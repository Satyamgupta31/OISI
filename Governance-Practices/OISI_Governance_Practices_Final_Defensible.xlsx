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OISI-Community-Engagement\Governance-Practices\"/>
    </mc:Choice>
  </mc:AlternateContent>
  <xr:revisionPtr revIDLastSave="0" documentId="13_ncr:1_{5DF5BC48-CE93-46C3-9FEB-68612C8C0B50}" xr6:coauthVersionLast="47" xr6:coauthVersionMax="47" xr10:uidLastSave="{00000000-0000-0000-0000-000000000000}"/>
  <bookViews>
    <workbookView xWindow="-120" yWindow="-120" windowWidth="29040" windowHeight="15720" activeTab="1" xr2:uid="{00000000-000D-0000-FFFF-FFFF00000000}"/>
  </bookViews>
  <sheets>
    <sheet name="Summary" sheetId="1" r:id="rId1"/>
    <sheet name="Scoring" sheetId="2" r:id="rId2"/>
    <sheet name="Metric Rules" sheetId="3" r:id="rId3"/>
    <sheet name="Methodology" sheetId="4" r:id="rId4"/>
    <sheet name="Parameters" sheetId="5" r:id="rId5"/>
    <sheet name="Diagnostics" sheetId="6" r:id="rId6"/>
    <sheet name="Sensitivity" sheetId="7" r:id="rId7"/>
    <sheet name="Coverage" sheetId="8" r:id="rId8"/>
    <sheet name="Verification" sheetId="9" r:id="rId9"/>
    <sheet name="Review Queue" sheetId="10" r:id="rId10"/>
    <sheet name="Calc" sheetId="11" r:id="rId11"/>
    <sheet name="Data" sheetId="12" r:id="rId12"/>
    <sheet name="Field Guide" sheetId="13" r:id="rId13"/>
  </sheets>
  <definedNames>
    <definedName name="_xlnm._FilterDatabase" localSheetId="10" hidden="1">Calc!$A$1:$O$113</definedName>
    <definedName name="_xlnm._FilterDatabase" localSheetId="7" hidden="1">Coverage!$A$1:$L$113</definedName>
    <definedName name="_xlnm._FilterDatabase" localSheetId="11" hidden="1">Data!$A$1:$AD$113</definedName>
    <definedName name="_xlnm._FilterDatabase" localSheetId="5" hidden="1">Diagnostics!$A$1:$J$21</definedName>
    <definedName name="_xlnm._FilterDatabase" localSheetId="12" hidden="1">'Field Guide'!$A$1:$D$23</definedName>
    <definedName name="_xlnm._FilterDatabase" localSheetId="3" hidden="1">Methodology!$A$1:$B$16</definedName>
    <definedName name="_xlnm._FilterDatabase" localSheetId="2" hidden="1">'Metric Rules'!$A$1:$H$9</definedName>
    <definedName name="_xlnm._FilterDatabase" localSheetId="4" hidden="1">Parameters!$A$1:$C$10</definedName>
    <definedName name="_xlnm._FilterDatabase" localSheetId="9" hidden="1">'Review Queue'!$A$1:$F$23</definedName>
    <definedName name="_xlnm._FilterDatabase" localSheetId="1" hidden="1">Scoring!$A$1:$X$113</definedName>
    <definedName name="_xlnm._FilterDatabase" localSheetId="6" hidden="1">Sensitivity!$A$1:$G$7</definedName>
    <definedName name="_xlnm._FilterDatabase" localSheetId="0" hidden="1">Summary!$A$1:$B$15</definedName>
    <definedName name="_xlnm._FilterDatabase" localSheetId="8" hidden="1">Verification!$A$1:$H$113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3" i="9" l="1"/>
  <c r="N113" i="2" s="1"/>
  <c r="F112" i="9"/>
  <c r="N112" i="2" s="1"/>
  <c r="F111" i="9"/>
  <c r="N111" i="2" s="1"/>
  <c r="F110" i="9"/>
  <c r="N110" i="2" s="1"/>
  <c r="F109" i="9"/>
  <c r="N109" i="2" s="1"/>
  <c r="F108" i="9"/>
  <c r="N108" i="2" s="1"/>
  <c r="F107" i="9"/>
  <c r="N107" i="2" s="1"/>
  <c r="F106" i="9"/>
  <c r="N106" i="2" s="1"/>
  <c r="F105" i="9"/>
  <c r="N105" i="2" s="1"/>
  <c r="F104" i="9"/>
  <c r="N104" i="2" s="1"/>
  <c r="F103" i="9"/>
  <c r="N103" i="2" s="1"/>
  <c r="F102" i="9"/>
  <c r="N102" i="2" s="1"/>
  <c r="F101" i="9"/>
  <c r="N101" i="2" s="1"/>
  <c r="F100" i="9"/>
  <c r="N100" i="2" s="1"/>
  <c r="F99" i="9"/>
  <c r="N99" i="2" s="1"/>
  <c r="F98" i="9"/>
  <c r="N98" i="2" s="1"/>
  <c r="F97" i="9"/>
  <c r="N97" i="2" s="1"/>
  <c r="F96" i="9"/>
  <c r="N96" i="2" s="1"/>
  <c r="F95" i="9"/>
  <c r="N95" i="2" s="1"/>
  <c r="F94" i="9"/>
  <c r="N94" i="2" s="1"/>
  <c r="F93" i="9"/>
  <c r="N93" i="2" s="1"/>
  <c r="F92" i="9"/>
  <c r="N92" i="2" s="1"/>
  <c r="F91" i="9"/>
  <c r="N91" i="2" s="1"/>
  <c r="F90" i="9"/>
  <c r="N90" i="2" s="1"/>
  <c r="F89" i="9"/>
  <c r="N89" i="2" s="1"/>
  <c r="F88" i="9"/>
  <c r="N88" i="2" s="1"/>
  <c r="F87" i="9"/>
  <c r="N87" i="2" s="1"/>
  <c r="F86" i="9"/>
  <c r="N86" i="2" s="1"/>
  <c r="F85" i="9"/>
  <c r="N85" i="2" s="1"/>
  <c r="F84" i="9"/>
  <c r="N84" i="2" s="1"/>
  <c r="F83" i="9"/>
  <c r="N83" i="2" s="1"/>
  <c r="F82" i="9"/>
  <c r="N82" i="2" s="1"/>
  <c r="F81" i="9"/>
  <c r="N81" i="2" s="1"/>
  <c r="F80" i="9"/>
  <c r="N80" i="2" s="1"/>
  <c r="F79" i="9"/>
  <c r="N79" i="2" s="1"/>
  <c r="F78" i="9"/>
  <c r="N78" i="2" s="1"/>
  <c r="F77" i="9"/>
  <c r="N77" i="2" s="1"/>
  <c r="F76" i="9"/>
  <c r="N76" i="2" s="1"/>
  <c r="F75" i="9"/>
  <c r="N75" i="2" s="1"/>
  <c r="F74" i="9"/>
  <c r="N74" i="2" s="1"/>
  <c r="F73" i="9"/>
  <c r="N73" i="2" s="1"/>
  <c r="F72" i="9"/>
  <c r="N72" i="2" s="1"/>
  <c r="F71" i="9"/>
  <c r="N71" i="2" s="1"/>
  <c r="F70" i="9"/>
  <c r="N70" i="2" s="1"/>
  <c r="F69" i="9"/>
  <c r="N69" i="2" s="1"/>
  <c r="F68" i="9"/>
  <c r="N68" i="2" s="1"/>
  <c r="F67" i="9"/>
  <c r="N67" i="2" s="1"/>
  <c r="F66" i="9"/>
  <c r="N66" i="2" s="1"/>
  <c r="F65" i="9"/>
  <c r="N65" i="2" s="1"/>
  <c r="F64" i="9"/>
  <c r="N64" i="2" s="1"/>
  <c r="F63" i="9"/>
  <c r="N63" i="2" s="1"/>
  <c r="F62" i="9"/>
  <c r="N62" i="2" s="1"/>
  <c r="F61" i="9"/>
  <c r="N61" i="2" s="1"/>
  <c r="F60" i="9"/>
  <c r="N60" i="2" s="1"/>
  <c r="F59" i="9"/>
  <c r="N59" i="2" s="1"/>
  <c r="F58" i="9"/>
  <c r="N58" i="2" s="1"/>
  <c r="F57" i="9"/>
  <c r="N57" i="2" s="1"/>
  <c r="F56" i="9"/>
  <c r="N56" i="2" s="1"/>
  <c r="F55" i="9"/>
  <c r="N55" i="2" s="1"/>
  <c r="F54" i="9"/>
  <c r="N54" i="2" s="1"/>
  <c r="F53" i="9"/>
  <c r="N53" i="2" s="1"/>
  <c r="F52" i="9"/>
  <c r="N52" i="2" s="1"/>
  <c r="F51" i="9"/>
  <c r="N51" i="2" s="1"/>
  <c r="F50" i="9"/>
  <c r="N50" i="2" s="1"/>
  <c r="F49" i="9"/>
  <c r="N49" i="2" s="1"/>
  <c r="F48" i="9"/>
  <c r="N48" i="2" s="1"/>
  <c r="F47" i="9"/>
  <c r="N47" i="2" s="1"/>
  <c r="F46" i="9"/>
  <c r="N46" i="2" s="1"/>
  <c r="F45" i="9"/>
  <c r="N45" i="2" s="1"/>
  <c r="F44" i="9"/>
  <c r="N44" i="2" s="1"/>
  <c r="F43" i="9"/>
  <c r="N43" i="2" s="1"/>
  <c r="F42" i="9"/>
  <c r="N42" i="2" s="1"/>
  <c r="F41" i="9"/>
  <c r="N41" i="2" s="1"/>
  <c r="F40" i="9"/>
  <c r="N40" i="2" s="1"/>
  <c r="F39" i="9"/>
  <c r="N39" i="2" s="1"/>
  <c r="F38" i="9"/>
  <c r="N38" i="2" s="1"/>
  <c r="F37" i="9"/>
  <c r="N37" i="2" s="1"/>
  <c r="F36" i="9"/>
  <c r="N36" i="2" s="1"/>
  <c r="F35" i="9"/>
  <c r="N35" i="2" s="1"/>
  <c r="F34" i="9"/>
  <c r="N34" i="2" s="1"/>
  <c r="F33" i="9"/>
  <c r="N33" i="2" s="1"/>
  <c r="F32" i="9"/>
  <c r="N32" i="2" s="1"/>
  <c r="F31" i="9"/>
  <c r="N31" i="2" s="1"/>
  <c r="F30" i="9"/>
  <c r="N30" i="2" s="1"/>
  <c r="F29" i="9"/>
  <c r="N29" i="2" s="1"/>
  <c r="F28" i="9"/>
  <c r="N28" i="2" s="1"/>
  <c r="F27" i="9"/>
  <c r="N27" i="2" s="1"/>
  <c r="F26" i="9"/>
  <c r="N26" i="2" s="1"/>
  <c r="F25" i="9"/>
  <c r="N25" i="2" s="1"/>
  <c r="F24" i="9"/>
  <c r="N24" i="2" s="1"/>
  <c r="F23" i="9"/>
  <c r="N23" i="2" s="1"/>
  <c r="F22" i="9"/>
  <c r="N22" i="2" s="1"/>
  <c r="F21" i="9"/>
  <c r="N21" i="2" s="1"/>
  <c r="F20" i="9"/>
  <c r="N20" i="2" s="1"/>
  <c r="F19" i="9"/>
  <c r="N19" i="2" s="1"/>
  <c r="F18" i="9"/>
  <c r="N18" i="2" s="1"/>
  <c r="F17" i="9"/>
  <c r="N17" i="2" s="1"/>
  <c r="F16" i="9"/>
  <c r="N16" i="2" s="1"/>
  <c r="F15" i="9"/>
  <c r="N15" i="2" s="1"/>
  <c r="F14" i="9"/>
  <c r="N14" i="2" s="1"/>
  <c r="F13" i="9"/>
  <c r="N13" i="2" s="1"/>
  <c r="F12" i="9"/>
  <c r="N12" i="2" s="1"/>
  <c r="F11" i="9"/>
  <c r="N11" i="2" s="1"/>
  <c r="F10" i="9"/>
  <c r="N10" i="2" s="1"/>
  <c r="F9" i="9"/>
  <c r="N9" i="2" s="1"/>
  <c r="F8" i="9"/>
  <c r="N8" i="2" s="1"/>
  <c r="F7" i="9"/>
  <c r="N7" i="2" s="1"/>
  <c r="F6" i="9"/>
  <c r="N6" i="2" s="1"/>
  <c r="F5" i="9"/>
  <c r="N5" i="2" s="1"/>
  <c r="F4" i="9"/>
  <c r="N4" i="2" s="1"/>
  <c r="F3" i="9"/>
  <c r="N3" i="2" s="1"/>
  <c r="F2" i="9"/>
  <c r="N2" i="2" s="1"/>
  <c r="V113" i="2"/>
  <c r="U113" i="2"/>
  <c r="T113" i="2"/>
  <c r="R113" i="2"/>
  <c r="Q113" i="2"/>
  <c r="P113" i="2"/>
  <c r="O113" i="2"/>
  <c r="M113" i="2"/>
  <c r="L113" i="2"/>
  <c r="V112" i="2"/>
  <c r="U112" i="2"/>
  <c r="T112" i="2"/>
  <c r="R112" i="2"/>
  <c r="Q112" i="2"/>
  <c r="P112" i="2"/>
  <c r="O112" i="2"/>
  <c r="M112" i="2"/>
  <c r="L112" i="2"/>
  <c r="V111" i="2"/>
  <c r="U111" i="2"/>
  <c r="T111" i="2"/>
  <c r="R111" i="2"/>
  <c r="Q111" i="2"/>
  <c r="P111" i="2"/>
  <c r="O111" i="2"/>
  <c r="M111" i="2"/>
  <c r="L111" i="2"/>
  <c r="V110" i="2"/>
  <c r="U110" i="2"/>
  <c r="T110" i="2"/>
  <c r="R110" i="2"/>
  <c r="Q110" i="2"/>
  <c r="P110" i="2"/>
  <c r="O110" i="2"/>
  <c r="M110" i="2"/>
  <c r="L110" i="2"/>
  <c r="V109" i="2"/>
  <c r="U109" i="2"/>
  <c r="T109" i="2"/>
  <c r="R109" i="2"/>
  <c r="Q109" i="2"/>
  <c r="P109" i="2"/>
  <c r="O109" i="2"/>
  <c r="M109" i="2"/>
  <c r="L109" i="2"/>
  <c r="V108" i="2"/>
  <c r="U108" i="2"/>
  <c r="T108" i="2"/>
  <c r="R108" i="2"/>
  <c r="Q108" i="2"/>
  <c r="P108" i="2"/>
  <c r="O108" i="2"/>
  <c r="M108" i="2"/>
  <c r="L108" i="2"/>
  <c r="V107" i="2"/>
  <c r="U107" i="2"/>
  <c r="T107" i="2"/>
  <c r="R107" i="2"/>
  <c r="Q107" i="2"/>
  <c r="P107" i="2"/>
  <c r="O107" i="2"/>
  <c r="M107" i="2"/>
  <c r="L107" i="2"/>
  <c r="V106" i="2"/>
  <c r="U106" i="2"/>
  <c r="T106" i="2"/>
  <c r="R106" i="2"/>
  <c r="Q106" i="2"/>
  <c r="P106" i="2"/>
  <c r="O106" i="2"/>
  <c r="M106" i="2"/>
  <c r="L106" i="2"/>
  <c r="V105" i="2"/>
  <c r="U105" i="2"/>
  <c r="T105" i="2"/>
  <c r="R105" i="2"/>
  <c r="Q105" i="2"/>
  <c r="P105" i="2"/>
  <c r="O105" i="2"/>
  <c r="M105" i="2"/>
  <c r="L105" i="2"/>
  <c r="V104" i="2"/>
  <c r="U104" i="2"/>
  <c r="T104" i="2"/>
  <c r="R104" i="2"/>
  <c r="Q104" i="2"/>
  <c r="P104" i="2"/>
  <c r="O104" i="2"/>
  <c r="M104" i="2"/>
  <c r="L104" i="2"/>
  <c r="V103" i="2"/>
  <c r="U103" i="2"/>
  <c r="T103" i="2"/>
  <c r="R103" i="2"/>
  <c r="Q103" i="2"/>
  <c r="P103" i="2"/>
  <c r="O103" i="2"/>
  <c r="M103" i="2"/>
  <c r="L103" i="2"/>
  <c r="V102" i="2"/>
  <c r="U102" i="2"/>
  <c r="T102" i="2"/>
  <c r="R102" i="2"/>
  <c r="Q102" i="2"/>
  <c r="P102" i="2"/>
  <c r="O102" i="2"/>
  <c r="M102" i="2"/>
  <c r="L102" i="2"/>
  <c r="V101" i="2"/>
  <c r="U101" i="2"/>
  <c r="T101" i="2"/>
  <c r="R101" i="2"/>
  <c r="Q101" i="2"/>
  <c r="P101" i="2"/>
  <c r="O101" i="2"/>
  <c r="M101" i="2"/>
  <c r="L101" i="2"/>
  <c r="V100" i="2"/>
  <c r="U100" i="2"/>
  <c r="T100" i="2"/>
  <c r="R100" i="2"/>
  <c r="Q100" i="2"/>
  <c r="P100" i="2"/>
  <c r="O100" i="2"/>
  <c r="M100" i="2"/>
  <c r="L100" i="2"/>
  <c r="V99" i="2"/>
  <c r="U99" i="2"/>
  <c r="T99" i="2"/>
  <c r="R99" i="2"/>
  <c r="Q99" i="2"/>
  <c r="P99" i="2"/>
  <c r="O99" i="2"/>
  <c r="M99" i="2"/>
  <c r="L99" i="2"/>
  <c r="V98" i="2"/>
  <c r="U98" i="2"/>
  <c r="T98" i="2"/>
  <c r="R98" i="2"/>
  <c r="Q98" i="2"/>
  <c r="P98" i="2"/>
  <c r="O98" i="2"/>
  <c r="M98" i="2"/>
  <c r="L98" i="2"/>
  <c r="V97" i="2"/>
  <c r="U97" i="2"/>
  <c r="T97" i="2"/>
  <c r="R97" i="2"/>
  <c r="Q97" i="2"/>
  <c r="P97" i="2"/>
  <c r="O97" i="2"/>
  <c r="M97" i="2"/>
  <c r="L97" i="2"/>
  <c r="V96" i="2"/>
  <c r="U96" i="2"/>
  <c r="T96" i="2"/>
  <c r="R96" i="2"/>
  <c r="Q96" i="2"/>
  <c r="P96" i="2"/>
  <c r="O96" i="2"/>
  <c r="M96" i="2"/>
  <c r="L96" i="2"/>
  <c r="V95" i="2"/>
  <c r="U95" i="2"/>
  <c r="T95" i="2"/>
  <c r="R95" i="2"/>
  <c r="Q95" i="2"/>
  <c r="P95" i="2"/>
  <c r="O95" i="2"/>
  <c r="M95" i="2"/>
  <c r="L95" i="2"/>
  <c r="V94" i="2"/>
  <c r="U94" i="2"/>
  <c r="T94" i="2"/>
  <c r="R94" i="2"/>
  <c r="Q94" i="2"/>
  <c r="P94" i="2"/>
  <c r="O94" i="2"/>
  <c r="M94" i="2"/>
  <c r="L94" i="2"/>
  <c r="V93" i="2"/>
  <c r="U93" i="2"/>
  <c r="T93" i="2"/>
  <c r="R93" i="2"/>
  <c r="Q93" i="2"/>
  <c r="P93" i="2"/>
  <c r="O93" i="2"/>
  <c r="M93" i="2"/>
  <c r="L93" i="2"/>
  <c r="V92" i="2"/>
  <c r="U92" i="2"/>
  <c r="T92" i="2"/>
  <c r="R92" i="2"/>
  <c r="Q92" i="2"/>
  <c r="P92" i="2"/>
  <c r="O92" i="2"/>
  <c r="M92" i="2"/>
  <c r="L92" i="2"/>
  <c r="V91" i="2"/>
  <c r="U91" i="2"/>
  <c r="T91" i="2"/>
  <c r="R91" i="2"/>
  <c r="Q91" i="2"/>
  <c r="P91" i="2"/>
  <c r="O91" i="2"/>
  <c r="M91" i="2"/>
  <c r="L91" i="2"/>
  <c r="V90" i="2"/>
  <c r="U90" i="2"/>
  <c r="T90" i="2"/>
  <c r="R90" i="2"/>
  <c r="Q90" i="2"/>
  <c r="P90" i="2"/>
  <c r="O90" i="2"/>
  <c r="M90" i="2"/>
  <c r="L90" i="2"/>
  <c r="V89" i="2"/>
  <c r="U89" i="2"/>
  <c r="T89" i="2"/>
  <c r="R89" i="2"/>
  <c r="Q89" i="2"/>
  <c r="P89" i="2"/>
  <c r="O89" i="2"/>
  <c r="M89" i="2"/>
  <c r="L89" i="2"/>
  <c r="V88" i="2"/>
  <c r="U88" i="2"/>
  <c r="T88" i="2"/>
  <c r="R88" i="2"/>
  <c r="Q88" i="2"/>
  <c r="P88" i="2"/>
  <c r="O88" i="2"/>
  <c r="M88" i="2"/>
  <c r="L88" i="2"/>
  <c r="V87" i="2"/>
  <c r="U87" i="2"/>
  <c r="T87" i="2"/>
  <c r="R87" i="2"/>
  <c r="Q87" i="2"/>
  <c r="P87" i="2"/>
  <c r="O87" i="2"/>
  <c r="M87" i="2"/>
  <c r="L87" i="2"/>
  <c r="V86" i="2"/>
  <c r="U86" i="2"/>
  <c r="T86" i="2"/>
  <c r="R86" i="2"/>
  <c r="Q86" i="2"/>
  <c r="P86" i="2"/>
  <c r="O86" i="2"/>
  <c r="M86" i="2"/>
  <c r="L86" i="2"/>
  <c r="V85" i="2"/>
  <c r="U85" i="2"/>
  <c r="T85" i="2"/>
  <c r="R85" i="2"/>
  <c r="Q85" i="2"/>
  <c r="P85" i="2"/>
  <c r="O85" i="2"/>
  <c r="M85" i="2"/>
  <c r="L85" i="2"/>
  <c r="V84" i="2"/>
  <c r="U84" i="2"/>
  <c r="T84" i="2"/>
  <c r="R84" i="2"/>
  <c r="Q84" i="2"/>
  <c r="P84" i="2"/>
  <c r="O84" i="2"/>
  <c r="M84" i="2"/>
  <c r="L84" i="2"/>
  <c r="V83" i="2"/>
  <c r="U83" i="2"/>
  <c r="T83" i="2"/>
  <c r="R83" i="2"/>
  <c r="Q83" i="2"/>
  <c r="P83" i="2"/>
  <c r="O83" i="2"/>
  <c r="M83" i="2"/>
  <c r="L83" i="2"/>
  <c r="V82" i="2"/>
  <c r="U82" i="2"/>
  <c r="T82" i="2"/>
  <c r="R82" i="2"/>
  <c r="Q82" i="2"/>
  <c r="P82" i="2"/>
  <c r="O82" i="2"/>
  <c r="M82" i="2"/>
  <c r="L82" i="2"/>
  <c r="V81" i="2"/>
  <c r="U81" i="2"/>
  <c r="T81" i="2"/>
  <c r="R81" i="2"/>
  <c r="Q81" i="2"/>
  <c r="P81" i="2"/>
  <c r="O81" i="2"/>
  <c r="M81" i="2"/>
  <c r="L81" i="2"/>
  <c r="V80" i="2"/>
  <c r="U80" i="2"/>
  <c r="T80" i="2"/>
  <c r="R80" i="2"/>
  <c r="Q80" i="2"/>
  <c r="P80" i="2"/>
  <c r="O80" i="2"/>
  <c r="M80" i="2"/>
  <c r="L80" i="2"/>
  <c r="V79" i="2"/>
  <c r="U79" i="2"/>
  <c r="T79" i="2"/>
  <c r="R79" i="2"/>
  <c r="Q79" i="2"/>
  <c r="P79" i="2"/>
  <c r="O79" i="2"/>
  <c r="M79" i="2"/>
  <c r="L79" i="2"/>
  <c r="V78" i="2"/>
  <c r="U78" i="2"/>
  <c r="T78" i="2"/>
  <c r="R78" i="2"/>
  <c r="Q78" i="2"/>
  <c r="P78" i="2"/>
  <c r="O78" i="2"/>
  <c r="M78" i="2"/>
  <c r="L78" i="2"/>
  <c r="V77" i="2"/>
  <c r="U77" i="2"/>
  <c r="T77" i="2"/>
  <c r="R77" i="2"/>
  <c r="Q77" i="2"/>
  <c r="P77" i="2"/>
  <c r="O77" i="2"/>
  <c r="M77" i="2"/>
  <c r="L77" i="2"/>
  <c r="V76" i="2"/>
  <c r="U76" i="2"/>
  <c r="T76" i="2"/>
  <c r="R76" i="2"/>
  <c r="Q76" i="2"/>
  <c r="P76" i="2"/>
  <c r="O76" i="2"/>
  <c r="M76" i="2"/>
  <c r="L76" i="2"/>
  <c r="V75" i="2"/>
  <c r="U75" i="2"/>
  <c r="T75" i="2"/>
  <c r="R75" i="2"/>
  <c r="Q75" i="2"/>
  <c r="P75" i="2"/>
  <c r="O75" i="2"/>
  <c r="M75" i="2"/>
  <c r="L75" i="2"/>
  <c r="V74" i="2"/>
  <c r="U74" i="2"/>
  <c r="T74" i="2"/>
  <c r="R74" i="2"/>
  <c r="Q74" i="2"/>
  <c r="P74" i="2"/>
  <c r="O74" i="2"/>
  <c r="M74" i="2"/>
  <c r="L74" i="2"/>
  <c r="V73" i="2"/>
  <c r="U73" i="2"/>
  <c r="T73" i="2"/>
  <c r="R73" i="2"/>
  <c r="Q73" i="2"/>
  <c r="P73" i="2"/>
  <c r="O73" i="2"/>
  <c r="M73" i="2"/>
  <c r="L73" i="2"/>
  <c r="V72" i="2"/>
  <c r="U72" i="2"/>
  <c r="T72" i="2"/>
  <c r="R72" i="2"/>
  <c r="Q72" i="2"/>
  <c r="P72" i="2"/>
  <c r="O72" i="2"/>
  <c r="M72" i="2"/>
  <c r="L72" i="2"/>
  <c r="V71" i="2"/>
  <c r="U71" i="2"/>
  <c r="T71" i="2"/>
  <c r="R71" i="2"/>
  <c r="Q71" i="2"/>
  <c r="P71" i="2"/>
  <c r="O71" i="2"/>
  <c r="M71" i="2"/>
  <c r="L71" i="2"/>
  <c r="V70" i="2"/>
  <c r="U70" i="2"/>
  <c r="T70" i="2"/>
  <c r="R70" i="2"/>
  <c r="Q70" i="2"/>
  <c r="P70" i="2"/>
  <c r="O70" i="2"/>
  <c r="M70" i="2"/>
  <c r="L70" i="2"/>
  <c r="V69" i="2"/>
  <c r="U69" i="2"/>
  <c r="T69" i="2"/>
  <c r="R69" i="2"/>
  <c r="Q69" i="2"/>
  <c r="P69" i="2"/>
  <c r="O69" i="2"/>
  <c r="M69" i="2"/>
  <c r="L69" i="2"/>
  <c r="V68" i="2"/>
  <c r="U68" i="2"/>
  <c r="T68" i="2"/>
  <c r="R68" i="2"/>
  <c r="Q68" i="2"/>
  <c r="P68" i="2"/>
  <c r="O68" i="2"/>
  <c r="M68" i="2"/>
  <c r="L68" i="2"/>
  <c r="V67" i="2"/>
  <c r="U67" i="2"/>
  <c r="T67" i="2"/>
  <c r="R67" i="2"/>
  <c r="Q67" i="2"/>
  <c r="P67" i="2"/>
  <c r="O67" i="2"/>
  <c r="M67" i="2"/>
  <c r="L67" i="2"/>
  <c r="V66" i="2"/>
  <c r="U66" i="2"/>
  <c r="T66" i="2"/>
  <c r="R66" i="2"/>
  <c r="Q66" i="2"/>
  <c r="P66" i="2"/>
  <c r="O66" i="2"/>
  <c r="M66" i="2"/>
  <c r="L66" i="2"/>
  <c r="V65" i="2"/>
  <c r="U65" i="2"/>
  <c r="T65" i="2"/>
  <c r="R65" i="2"/>
  <c r="Q65" i="2"/>
  <c r="P65" i="2"/>
  <c r="O65" i="2"/>
  <c r="M65" i="2"/>
  <c r="L65" i="2"/>
  <c r="V64" i="2"/>
  <c r="U64" i="2"/>
  <c r="T64" i="2"/>
  <c r="R64" i="2"/>
  <c r="Q64" i="2"/>
  <c r="P64" i="2"/>
  <c r="O64" i="2"/>
  <c r="M64" i="2"/>
  <c r="L64" i="2"/>
  <c r="V63" i="2"/>
  <c r="U63" i="2"/>
  <c r="T63" i="2"/>
  <c r="R63" i="2"/>
  <c r="Q63" i="2"/>
  <c r="P63" i="2"/>
  <c r="O63" i="2"/>
  <c r="M63" i="2"/>
  <c r="L63" i="2"/>
  <c r="V62" i="2"/>
  <c r="U62" i="2"/>
  <c r="T62" i="2"/>
  <c r="R62" i="2"/>
  <c r="Q62" i="2"/>
  <c r="P62" i="2"/>
  <c r="O62" i="2"/>
  <c r="M62" i="2"/>
  <c r="L62" i="2"/>
  <c r="V61" i="2"/>
  <c r="U61" i="2"/>
  <c r="T61" i="2"/>
  <c r="R61" i="2"/>
  <c r="Q61" i="2"/>
  <c r="P61" i="2"/>
  <c r="O61" i="2"/>
  <c r="M61" i="2"/>
  <c r="L61" i="2"/>
  <c r="V60" i="2"/>
  <c r="U60" i="2"/>
  <c r="T60" i="2"/>
  <c r="R60" i="2"/>
  <c r="Q60" i="2"/>
  <c r="P60" i="2"/>
  <c r="O60" i="2"/>
  <c r="M60" i="2"/>
  <c r="L60" i="2"/>
  <c r="V59" i="2"/>
  <c r="U59" i="2"/>
  <c r="T59" i="2"/>
  <c r="R59" i="2"/>
  <c r="Q59" i="2"/>
  <c r="P59" i="2"/>
  <c r="O59" i="2"/>
  <c r="M59" i="2"/>
  <c r="L59" i="2"/>
  <c r="V58" i="2"/>
  <c r="U58" i="2"/>
  <c r="T58" i="2"/>
  <c r="R58" i="2"/>
  <c r="Q58" i="2"/>
  <c r="P58" i="2"/>
  <c r="O58" i="2"/>
  <c r="M58" i="2"/>
  <c r="L58" i="2"/>
  <c r="V57" i="2"/>
  <c r="U57" i="2"/>
  <c r="T57" i="2"/>
  <c r="R57" i="2"/>
  <c r="Q57" i="2"/>
  <c r="P57" i="2"/>
  <c r="O57" i="2"/>
  <c r="M57" i="2"/>
  <c r="L57" i="2"/>
  <c r="V56" i="2"/>
  <c r="U56" i="2"/>
  <c r="T56" i="2"/>
  <c r="R56" i="2"/>
  <c r="Q56" i="2"/>
  <c r="P56" i="2"/>
  <c r="O56" i="2"/>
  <c r="M56" i="2"/>
  <c r="L56" i="2"/>
  <c r="V55" i="2"/>
  <c r="U55" i="2"/>
  <c r="T55" i="2"/>
  <c r="R55" i="2"/>
  <c r="Q55" i="2"/>
  <c r="P55" i="2"/>
  <c r="O55" i="2"/>
  <c r="M55" i="2"/>
  <c r="L55" i="2"/>
  <c r="V54" i="2"/>
  <c r="U54" i="2"/>
  <c r="T54" i="2"/>
  <c r="R54" i="2"/>
  <c r="Q54" i="2"/>
  <c r="P54" i="2"/>
  <c r="O54" i="2"/>
  <c r="M54" i="2"/>
  <c r="L54" i="2"/>
  <c r="V53" i="2"/>
  <c r="U53" i="2"/>
  <c r="T53" i="2"/>
  <c r="R53" i="2"/>
  <c r="Q53" i="2"/>
  <c r="P53" i="2"/>
  <c r="O53" i="2"/>
  <c r="M53" i="2"/>
  <c r="L53" i="2"/>
  <c r="V52" i="2"/>
  <c r="U52" i="2"/>
  <c r="T52" i="2"/>
  <c r="R52" i="2"/>
  <c r="Q52" i="2"/>
  <c r="P52" i="2"/>
  <c r="O52" i="2"/>
  <c r="M52" i="2"/>
  <c r="L52" i="2"/>
  <c r="V51" i="2"/>
  <c r="U51" i="2"/>
  <c r="T51" i="2"/>
  <c r="R51" i="2"/>
  <c r="Q51" i="2"/>
  <c r="P51" i="2"/>
  <c r="O51" i="2"/>
  <c r="M51" i="2"/>
  <c r="L51" i="2"/>
  <c r="V50" i="2"/>
  <c r="U50" i="2"/>
  <c r="T50" i="2"/>
  <c r="R50" i="2"/>
  <c r="Q50" i="2"/>
  <c r="P50" i="2"/>
  <c r="O50" i="2"/>
  <c r="M50" i="2"/>
  <c r="L50" i="2"/>
  <c r="V49" i="2"/>
  <c r="U49" i="2"/>
  <c r="T49" i="2"/>
  <c r="R49" i="2"/>
  <c r="Q49" i="2"/>
  <c r="P49" i="2"/>
  <c r="O49" i="2"/>
  <c r="M49" i="2"/>
  <c r="L49" i="2"/>
  <c r="V48" i="2"/>
  <c r="U48" i="2"/>
  <c r="T48" i="2"/>
  <c r="R48" i="2"/>
  <c r="Q48" i="2"/>
  <c r="P48" i="2"/>
  <c r="O48" i="2"/>
  <c r="M48" i="2"/>
  <c r="L48" i="2"/>
  <c r="V47" i="2"/>
  <c r="U47" i="2"/>
  <c r="T47" i="2"/>
  <c r="R47" i="2"/>
  <c r="Q47" i="2"/>
  <c r="P47" i="2"/>
  <c r="O47" i="2"/>
  <c r="M47" i="2"/>
  <c r="L47" i="2"/>
  <c r="V46" i="2"/>
  <c r="U46" i="2"/>
  <c r="T46" i="2"/>
  <c r="R46" i="2"/>
  <c r="Q46" i="2"/>
  <c r="P46" i="2"/>
  <c r="O46" i="2"/>
  <c r="M46" i="2"/>
  <c r="L46" i="2"/>
  <c r="V45" i="2"/>
  <c r="U45" i="2"/>
  <c r="T45" i="2"/>
  <c r="R45" i="2"/>
  <c r="Q45" i="2"/>
  <c r="P45" i="2"/>
  <c r="O45" i="2"/>
  <c r="M45" i="2"/>
  <c r="L45" i="2"/>
  <c r="V44" i="2"/>
  <c r="U44" i="2"/>
  <c r="T44" i="2"/>
  <c r="R44" i="2"/>
  <c r="Q44" i="2"/>
  <c r="P44" i="2"/>
  <c r="O44" i="2"/>
  <c r="M44" i="2"/>
  <c r="L44" i="2"/>
  <c r="V43" i="2"/>
  <c r="U43" i="2"/>
  <c r="T43" i="2"/>
  <c r="R43" i="2"/>
  <c r="Q43" i="2"/>
  <c r="P43" i="2"/>
  <c r="O43" i="2"/>
  <c r="M43" i="2"/>
  <c r="L43" i="2"/>
  <c r="V42" i="2"/>
  <c r="U42" i="2"/>
  <c r="T42" i="2"/>
  <c r="R42" i="2"/>
  <c r="Q42" i="2"/>
  <c r="P42" i="2"/>
  <c r="O42" i="2"/>
  <c r="M42" i="2"/>
  <c r="L42" i="2"/>
  <c r="V41" i="2"/>
  <c r="U41" i="2"/>
  <c r="T41" i="2"/>
  <c r="R41" i="2"/>
  <c r="Q41" i="2"/>
  <c r="P41" i="2"/>
  <c r="O41" i="2"/>
  <c r="M41" i="2"/>
  <c r="L41" i="2"/>
  <c r="V40" i="2"/>
  <c r="U40" i="2"/>
  <c r="T40" i="2"/>
  <c r="R40" i="2"/>
  <c r="Q40" i="2"/>
  <c r="P40" i="2"/>
  <c r="O40" i="2"/>
  <c r="M40" i="2"/>
  <c r="L40" i="2"/>
  <c r="V39" i="2"/>
  <c r="U39" i="2"/>
  <c r="T39" i="2"/>
  <c r="R39" i="2"/>
  <c r="Q39" i="2"/>
  <c r="P39" i="2"/>
  <c r="O39" i="2"/>
  <c r="M39" i="2"/>
  <c r="L39" i="2"/>
  <c r="V38" i="2"/>
  <c r="U38" i="2"/>
  <c r="T38" i="2"/>
  <c r="R38" i="2"/>
  <c r="Q38" i="2"/>
  <c r="P38" i="2"/>
  <c r="O38" i="2"/>
  <c r="M38" i="2"/>
  <c r="L38" i="2"/>
  <c r="V37" i="2"/>
  <c r="U37" i="2"/>
  <c r="T37" i="2"/>
  <c r="R37" i="2"/>
  <c r="Q37" i="2"/>
  <c r="P37" i="2"/>
  <c r="O37" i="2"/>
  <c r="M37" i="2"/>
  <c r="L37" i="2"/>
  <c r="V36" i="2"/>
  <c r="U36" i="2"/>
  <c r="T36" i="2"/>
  <c r="R36" i="2"/>
  <c r="Q36" i="2"/>
  <c r="P36" i="2"/>
  <c r="O36" i="2"/>
  <c r="M36" i="2"/>
  <c r="L36" i="2"/>
  <c r="V35" i="2"/>
  <c r="U35" i="2"/>
  <c r="T35" i="2"/>
  <c r="R35" i="2"/>
  <c r="Q35" i="2"/>
  <c r="P35" i="2"/>
  <c r="O35" i="2"/>
  <c r="M35" i="2"/>
  <c r="L35" i="2"/>
  <c r="V34" i="2"/>
  <c r="U34" i="2"/>
  <c r="T34" i="2"/>
  <c r="R34" i="2"/>
  <c r="Q34" i="2"/>
  <c r="P34" i="2"/>
  <c r="O34" i="2"/>
  <c r="M34" i="2"/>
  <c r="L34" i="2"/>
  <c r="V33" i="2"/>
  <c r="U33" i="2"/>
  <c r="T33" i="2"/>
  <c r="R33" i="2"/>
  <c r="Q33" i="2"/>
  <c r="P33" i="2"/>
  <c r="O33" i="2"/>
  <c r="M33" i="2"/>
  <c r="L33" i="2"/>
  <c r="V32" i="2"/>
  <c r="U32" i="2"/>
  <c r="T32" i="2"/>
  <c r="R32" i="2"/>
  <c r="Q32" i="2"/>
  <c r="P32" i="2"/>
  <c r="O32" i="2"/>
  <c r="M32" i="2"/>
  <c r="L32" i="2"/>
  <c r="V31" i="2"/>
  <c r="U31" i="2"/>
  <c r="T31" i="2"/>
  <c r="R31" i="2"/>
  <c r="Q31" i="2"/>
  <c r="P31" i="2"/>
  <c r="O31" i="2"/>
  <c r="M31" i="2"/>
  <c r="L31" i="2"/>
  <c r="V30" i="2"/>
  <c r="U30" i="2"/>
  <c r="T30" i="2"/>
  <c r="R30" i="2"/>
  <c r="Q30" i="2"/>
  <c r="P30" i="2"/>
  <c r="O30" i="2"/>
  <c r="M30" i="2"/>
  <c r="L30" i="2"/>
  <c r="V29" i="2"/>
  <c r="U29" i="2"/>
  <c r="T29" i="2"/>
  <c r="R29" i="2"/>
  <c r="Q29" i="2"/>
  <c r="P29" i="2"/>
  <c r="O29" i="2"/>
  <c r="M29" i="2"/>
  <c r="L29" i="2"/>
  <c r="V28" i="2"/>
  <c r="U28" i="2"/>
  <c r="T28" i="2"/>
  <c r="R28" i="2"/>
  <c r="Q28" i="2"/>
  <c r="P28" i="2"/>
  <c r="O28" i="2"/>
  <c r="M28" i="2"/>
  <c r="L28" i="2"/>
  <c r="V27" i="2"/>
  <c r="U27" i="2"/>
  <c r="T27" i="2"/>
  <c r="R27" i="2"/>
  <c r="Q27" i="2"/>
  <c r="P27" i="2"/>
  <c r="O27" i="2"/>
  <c r="M27" i="2"/>
  <c r="L27" i="2"/>
  <c r="V26" i="2"/>
  <c r="U26" i="2"/>
  <c r="T26" i="2"/>
  <c r="R26" i="2"/>
  <c r="Q26" i="2"/>
  <c r="P26" i="2"/>
  <c r="O26" i="2"/>
  <c r="M26" i="2"/>
  <c r="L26" i="2"/>
  <c r="V25" i="2"/>
  <c r="U25" i="2"/>
  <c r="T25" i="2"/>
  <c r="R25" i="2"/>
  <c r="Q25" i="2"/>
  <c r="P25" i="2"/>
  <c r="O25" i="2"/>
  <c r="M25" i="2"/>
  <c r="L25" i="2"/>
  <c r="V24" i="2"/>
  <c r="U24" i="2"/>
  <c r="T24" i="2"/>
  <c r="R24" i="2"/>
  <c r="Q24" i="2"/>
  <c r="P24" i="2"/>
  <c r="O24" i="2"/>
  <c r="M24" i="2"/>
  <c r="L24" i="2"/>
  <c r="V23" i="2"/>
  <c r="U23" i="2"/>
  <c r="T23" i="2"/>
  <c r="R23" i="2"/>
  <c r="Q23" i="2"/>
  <c r="P23" i="2"/>
  <c r="O23" i="2"/>
  <c r="M23" i="2"/>
  <c r="L23" i="2"/>
  <c r="V22" i="2"/>
  <c r="U22" i="2"/>
  <c r="T22" i="2"/>
  <c r="R22" i="2"/>
  <c r="Q22" i="2"/>
  <c r="P22" i="2"/>
  <c r="O22" i="2"/>
  <c r="M22" i="2"/>
  <c r="L22" i="2"/>
  <c r="V21" i="2"/>
  <c r="U21" i="2"/>
  <c r="T21" i="2"/>
  <c r="R21" i="2"/>
  <c r="Q21" i="2"/>
  <c r="P21" i="2"/>
  <c r="O21" i="2"/>
  <c r="M21" i="2"/>
  <c r="L21" i="2"/>
  <c r="V20" i="2"/>
  <c r="U20" i="2"/>
  <c r="T20" i="2"/>
  <c r="R20" i="2"/>
  <c r="Q20" i="2"/>
  <c r="P20" i="2"/>
  <c r="O20" i="2"/>
  <c r="M20" i="2"/>
  <c r="L20" i="2"/>
  <c r="V19" i="2"/>
  <c r="U19" i="2"/>
  <c r="T19" i="2"/>
  <c r="R19" i="2"/>
  <c r="Q19" i="2"/>
  <c r="P19" i="2"/>
  <c r="O19" i="2"/>
  <c r="M19" i="2"/>
  <c r="L19" i="2"/>
  <c r="V18" i="2"/>
  <c r="U18" i="2"/>
  <c r="T18" i="2"/>
  <c r="R18" i="2"/>
  <c r="Q18" i="2"/>
  <c r="P18" i="2"/>
  <c r="O18" i="2"/>
  <c r="M18" i="2"/>
  <c r="L18" i="2"/>
  <c r="V17" i="2"/>
  <c r="U17" i="2"/>
  <c r="T17" i="2"/>
  <c r="R17" i="2"/>
  <c r="Q17" i="2"/>
  <c r="P17" i="2"/>
  <c r="O17" i="2"/>
  <c r="M17" i="2"/>
  <c r="L17" i="2"/>
  <c r="V16" i="2"/>
  <c r="U16" i="2"/>
  <c r="T16" i="2"/>
  <c r="R16" i="2"/>
  <c r="Q16" i="2"/>
  <c r="P16" i="2"/>
  <c r="O16" i="2"/>
  <c r="M16" i="2"/>
  <c r="L16" i="2"/>
  <c r="V15" i="2"/>
  <c r="U15" i="2"/>
  <c r="T15" i="2"/>
  <c r="R15" i="2"/>
  <c r="Q15" i="2"/>
  <c r="P15" i="2"/>
  <c r="O15" i="2"/>
  <c r="M15" i="2"/>
  <c r="L15" i="2"/>
  <c r="V14" i="2"/>
  <c r="U14" i="2"/>
  <c r="T14" i="2"/>
  <c r="R14" i="2"/>
  <c r="Q14" i="2"/>
  <c r="P14" i="2"/>
  <c r="O14" i="2"/>
  <c r="M14" i="2"/>
  <c r="L14" i="2"/>
  <c r="V13" i="2"/>
  <c r="U13" i="2"/>
  <c r="T13" i="2"/>
  <c r="R13" i="2"/>
  <c r="Q13" i="2"/>
  <c r="P13" i="2"/>
  <c r="O13" i="2"/>
  <c r="M13" i="2"/>
  <c r="L13" i="2"/>
  <c r="V12" i="2"/>
  <c r="U12" i="2"/>
  <c r="T12" i="2"/>
  <c r="R12" i="2"/>
  <c r="Q12" i="2"/>
  <c r="P12" i="2"/>
  <c r="O12" i="2"/>
  <c r="M12" i="2"/>
  <c r="L12" i="2"/>
  <c r="V11" i="2"/>
  <c r="U11" i="2"/>
  <c r="T11" i="2"/>
  <c r="R11" i="2"/>
  <c r="Q11" i="2"/>
  <c r="P11" i="2"/>
  <c r="O11" i="2"/>
  <c r="M11" i="2"/>
  <c r="L11" i="2"/>
  <c r="V10" i="2"/>
  <c r="U10" i="2"/>
  <c r="T10" i="2"/>
  <c r="R10" i="2"/>
  <c r="Q10" i="2"/>
  <c r="P10" i="2"/>
  <c r="O10" i="2"/>
  <c r="M10" i="2"/>
  <c r="L10" i="2"/>
  <c r="V9" i="2"/>
  <c r="U9" i="2"/>
  <c r="T9" i="2"/>
  <c r="R9" i="2"/>
  <c r="Q9" i="2"/>
  <c r="P9" i="2"/>
  <c r="O9" i="2"/>
  <c r="M9" i="2"/>
  <c r="L9" i="2"/>
  <c r="V8" i="2"/>
  <c r="U8" i="2"/>
  <c r="T8" i="2"/>
  <c r="R8" i="2"/>
  <c r="Q8" i="2"/>
  <c r="P8" i="2"/>
  <c r="O8" i="2"/>
  <c r="M8" i="2"/>
  <c r="L8" i="2"/>
  <c r="V7" i="2"/>
  <c r="U7" i="2"/>
  <c r="T7" i="2"/>
  <c r="R7" i="2"/>
  <c r="Q7" i="2"/>
  <c r="P7" i="2"/>
  <c r="O7" i="2"/>
  <c r="M7" i="2"/>
  <c r="L7" i="2"/>
  <c r="V6" i="2"/>
  <c r="U6" i="2"/>
  <c r="T6" i="2"/>
  <c r="R6" i="2"/>
  <c r="Q6" i="2"/>
  <c r="P6" i="2"/>
  <c r="O6" i="2"/>
  <c r="M6" i="2"/>
  <c r="L6" i="2"/>
  <c r="V5" i="2"/>
  <c r="U5" i="2"/>
  <c r="T5" i="2"/>
  <c r="R5" i="2"/>
  <c r="Q5" i="2"/>
  <c r="P5" i="2"/>
  <c r="O5" i="2"/>
  <c r="M5" i="2"/>
  <c r="L5" i="2"/>
  <c r="V4" i="2"/>
  <c r="U4" i="2"/>
  <c r="T4" i="2"/>
  <c r="R4" i="2"/>
  <c r="Q4" i="2"/>
  <c r="P4" i="2"/>
  <c r="O4" i="2"/>
  <c r="M4" i="2"/>
  <c r="L4" i="2"/>
  <c r="V3" i="2"/>
  <c r="U3" i="2"/>
  <c r="T3" i="2"/>
  <c r="R3" i="2"/>
  <c r="Q3" i="2"/>
  <c r="P3" i="2"/>
  <c r="O3" i="2"/>
  <c r="M3" i="2"/>
  <c r="L3" i="2"/>
  <c r="V2" i="2"/>
  <c r="U2" i="2"/>
  <c r="T2" i="2"/>
  <c r="R2" i="2"/>
  <c r="Q2" i="2"/>
  <c r="P2" i="2"/>
  <c r="O2" i="2"/>
  <c r="M2" i="2"/>
  <c r="L2" i="2"/>
  <c r="B13" i="1"/>
  <c r="B12" i="1"/>
  <c r="S101" i="2" l="1"/>
  <c r="L101" i="8" s="1"/>
  <c r="W101" i="2"/>
  <c r="K101" i="8" s="1"/>
  <c r="S100" i="2"/>
  <c r="L100" i="8" s="1"/>
  <c r="W100" i="2"/>
  <c r="K100" i="8" s="1"/>
  <c r="W43" i="2"/>
  <c r="K43" i="8" s="1"/>
  <c r="S43" i="2"/>
  <c r="L43" i="8" s="1"/>
  <c r="S113" i="2"/>
  <c r="L113" i="8" s="1"/>
  <c r="W113" i="2"/>
  <c r="K113" i="8" s="1"/>
  <c r="W112" i="2"/>
  <c r="K112" i="8" s="1"/>
  <c r="S112" i="2"/>
  <c r="L112" i="8" s="1"/>
  <c r="S111" i="2"/>
  <c r="L111" i="8" s="1"/>
  <c r="W111" i="2"/>
  <c r="K111" i="8" s="1"/>
  <c r="W110" i="2"/>
  <c r="K110" i="8" s="1"/>
  <c r="S110" i="2"/>
  <c r="L110" i="8" s="1"/>
  <c r="W109" i="2"/>
  <c r="K109" i="8" s="1"/>
  <c r="S109" i="2"/>
  <c r="L109" i="8" s="1"/>
  <c r="S108" i="2"/>
  <c r="L108" i="8" s="1"/>
  <c r="W108" i="2"/>
  <c r="K108" i="8" s="1"/>
  <c r="S107" i="2"/>
  <c r="L107" i="8" s="1"/>
  <c r="W107" i="2"/>
  <c r="K107" i="8" s="1"/>
  <c r="W106" i="2"/>
  <c r="K106" i="8" s="1"/>
  <c r="S106" i="2"/>
  <c r="L106" i="8" s="1"/>
  <c r="S105" i="2"/>
  <c r="L105" i="8" s="1"/>
  <c r="W105" i="2"/>
  <c r="K105" i="8" s="1"/>
  <c r="W104" i="2"/>
  <c r="K104" i="8" s="1"/>
  <c r="S104" i="2"/>
  <c r="L104" i="8" s="1"/>
  <c r="W103" i="2"/>
  <c r="K103" i="8" s="1"/>
  <c r="S103" i="2"/>
  <c r="L103" i="8" s="1"/>
  <c r="W102" i="2"/>
  <c r="K102" i="8" s="1"/>
  <c r="S102" i="2"/>
  <c r="L102" i="8" s="1"/>
  <c r="W99" i="2"/>
  <c r="K99" i="8" s="1"/>
  <c r="S99" i="2"/>
  <c r="L99" i="8" s="1"/>
  <c r="W98" i="2"/>
  <c r="K98" i="8" s="1"/>
  <c r="S98" i="2"/>
  <c r="L98" i="8" s="1"/>
  <c r="W97" i="2"/>
  <c r="K97" i="8" s="1"/>
  <c r="S97" i="2"/>
  <c r="L97" i="8" s="1"/>
  <c r="S96" i="2"/>
  <c r="L96" i="8" s="1"/>
  <c r="W96" i="2"/>
  <c r="K96" i="8" s="1"/>
  <c r="W95" i="2"/>
  <c r="K95" i="8" s="1"/>
  <c r="S95" i="2"/>
  <c r="L95" i="8" s="1"/>
  <c r="W94" i="2"/>
  <c r="K94" i="8" s="1"/>
  <c r="S94" i="2"/>
  <c r="L94" i="8" s="1"/>
  <c r="W93" i="2"/>
  <c r="K93" i="8" s="1"/>
  <c r="S93" i="2"/>
  <c r="L93" i="8" s="1"/>
  <c r="S92" i="2"/>
  <c r="L92" i="8" s="1"/>
  <c r="W92" i="2"/>
  <c r="K92" i="8" s="1"/>
  <c r="S91" i="2"/>
  <c r="L91" i="8" s="1"/>
  <c r="W91" i="2"/>
  <c r="K91" i="8" s="1"/>
  <c r="S90" i="2"/>
  <c r="L90" i="8" s="1"/>
  <c r="W90" i="2"/>
  <c r="K90" i="8" s="1"/>
  <c r="S89" i="2"/>
  <c r="L89" i="8" s="1"/>
  <c r="W89" i="2"/>
  <c r="K89" i="8" s="1"/>
  <c r="W88" i="2"/>
  <c r="K88" i="8" s="1"/>
  <c r="S88" i="2"/>
  <c r="L88" i="8" s="1"/>
  <c r="W87" i="2"/>
  <c r="K87" i="8" s="1"/>
  <c r="S87" i="2"/>
  <c r="L87" i="8" s="1"/>
  <c r="W86" i="2"/>
  <c r="K86" i="8" s="1"/>
  <c r="S86" i="2"/>
  <c r="L86" i="8" s="1"/>
  <c r="S85" i="2"/>
  <c r="L85" i="8" s="1"/>
  <c r="W85" i="2"/>
  <c r="K85" i="8" s="1"/>
  <c r="S84" i="2"/>
  <c r="L84" i="8" s="1"/>
  <c r="W84" i="2"/>
  <c r="K84" i="8" s="1"/>
  <c r="S83" i="2"/>
  <c r="L83" i="8" s="1"/>
  <c r="W83" i="2"/>
  <c r="K83" i="8" s="1"/>
  <c r="W82" i="2"/>
  <c r="K82" i="8" s="1"/>
  <c r="S82" i="2"/>
  <c r="L82" i="8" s="1"/>
  <c r="S81" i="2"/>
  <c r="L81" i="8" s="1"/>
  <c r="W81" i="2"/>
  <c r="K81" i="8" s="1"/>
  <c r="S80" i="2"/>
  <c r="L80" i="8" s="1"/>
  <c r="W80" i="2"/>
  <c r="K80" i="8" s="1"/>
  <c r="W79" i="2"/>
  <c r="K79" i="8" s="1"/>
  <c r="S79" i="2"/>
  <c r="L79" i="8" s="1"/>
  <c r="S78" i="2"/>
  <c r="L78" i="8" s="1"/>
  <c r="W78" i="2"/>
  <c r="K78" i="8" s="1"/>
  <c r="S77" i="2"/>
  <c r="L77" i="8" s="1"/>
  <c r="W77" i="2"/>
  <c r="K77" i="8" s="1"/>
  <c r="S76" i="2"/>
  <c r="L76" i="8" s="1"/>
  <c r="W76" i="2"/>
  <c r="K76" i="8" s="1"/>
  <c r="S75" i="2"/>
  <c r="L75" i="8" s="1"/>
  <c r="W75" i="2"/>
  <c r="K75" i="8" s="1"/>
  <c r="S74" i="2"/>
  <c r="L74" i="8" s="1"/>
  <c r="W74" i="2"/>
  <c r="K74" i="8" s="1"/>
  <c r="W73" i="2"/>
  <c r="K73" i="8" s="1"/>
  <c r="S73" i="2"/>
  <c r="L73" i="8" s="1"/>
  <c r="W72" i="2"/>
  <c r="K72" i="8" s="1"/>
  <c r="S72" i="2"/>
  <c r="L72" i="8" s="1"/>
  <c r="W71" i="2"/>
  <c r="K71" i="8" s="1"/>
  <c r="S71" i="2"/>
  <c r="L71" i="8" s="1"/>
  <c r="S70" i="2"/>
  <c r="L70" i="8" s="1"/>
  <c r="W70" i="2"/>
  <c r="K70" i="8" s="1"/>
  <c r="W69" i="2"/>
  <c r="K69" i="8" s="1"/>
  <c r="S69" i="2"/>
  <c r="L69" i="8" s="1"/>
  <c r="S68" i="2"/>
  <c r="L68" i="8" s="1"/>
  <c r="W68" i="2"/>
  <c r="K68" i="8" s="1"/>
  <c r="W67" i="2"/>
  <c r="K67" i="8" s="1"/>
  <c r="S67" i="2"/>
  <c r="L67" i="8" s="1"/>
  <c r="W66" i="2"/>
  <c r="K66" i="8" s="1"/>
  <c r="S66" i="2"/>
  <c r="L66" i="8" s="1"/>
  <c r="S65" i="2"/>
  <c r="L65" i="8" s="1"/>
  <c r="W65" i="2"/>
  <c r="K65" i="8" s="1"/>
  <c r="W64" i="2"/>
  <c r="K64" i="8" s="1"/>
  <c r="S64" i="2"/>
  <c r="L64" i="8" s="1"/>
  <c r="W63" i="2"/>
  <c r="K63" i="8" s="1"/>
  <c r="S63" i="2"/>
  <c r="L63" i="8" s="1"/>
  <c r="W62" i="2"/>
  <c r="K62" i="8" s="1"/>
  <c r="S62" i="2"/>
  <c r="L62" i="8" s="1"/>
  <c r="S61" i="2"/>
  <c r="L61" i="8" s="1"/>
  <c r="W61" i="2"/>
  <c r="K61" i="8" s="1"/>
  <c r="S60" i="2"/>
  <c r="L60" i="8" s="1"/>
  <c r="W60" i="2"/>
  <c r="K60" i="8" s="1"/>
  <c r="W59" i="2"/>
  <c r="K59" i="8" s="1"/>
  <c r="S59" i="2"/>
  <c r="L59" i="8" s="1"/>
  <c r="W58" i="2"/>
  <c r="K58" i="8" s="1"/>
  <c r="S58" i="2"/>
  <c r="L58" i="8" s="1"/>
  <c r="W57" i="2"/>
  <c r="K57" i="8" s="1"/>
  <c r="S57" i="2"/>
  <c r="L57" i="8" s="1"/>
  <c r="W56" i="2"/>
  <c r="K56" i="8" s="1"/>
  <c r="S56" i="2"/>
  <c r="L56" i="8" s="1"/>
  <c r="S55" i="2"/>
  <c r="L55" i="8" s="1"/>
  <c r="W55" i="2"/>
  <c r="K55" i="8" s="1"/>
  <c r="W54" i="2"/>
  <c r="K54" i="8" s="1"/>
  <c r="S54" i="2"/>
  <c r="L54" i="8" s="1"/>
  <c r="W53" i="2"/>
  <c r="K53" i="8" s="1"/>
  <c r="S53" i="2"/>
  <c r="L53" i="8" s="1"/>
  <c r="W52" i="2"/>
  <c r="K52" i="8" s="1"/>
  <c r="S52" i="2"/>
  <c r="L52" i="8" s="1"/>
  <c r="S51" i="2"/>
  <c r="L51" i="8" s="1"/>
  <c r="W51" i="2"/>
  <c r="K51" i="8" s="1"/>
  <c r="W50" i="2"/>
  <c r="K50" i="8" s="1"/>
  <c r="S50" i="2"/>
  <c r="L50" i="8" s="1"/>
  <c r="S49" i="2"/>
  <c r="L49" i="8" s="1"/>
  <c r="W49" i="2"/>
  <c r="K49" i="8" s="1"/>
  <c r="S48" i="2"/>
  <c r="L48" i="8" s="1"/>
  <c r="W48" i="2"/>
  <c r="K48" i="8" s="1"/>
  <c r="S47" i="2"/>
  <c r="L47" i="8" s="1"/>
  <c r="W47" i="2"/>
  <c r="K47" i="8" s="1"/>
  <c r="S46" i="2"/>
  <c r="L46" i="8" s="1"/>
  <c r="W46" i="2"/>
  <c r="K46" i="8" s="1"/>
  <c r="W45" i="2"/>
  <c r="K45" i="8" s="1"/>
  <c r="S45" i="2"/>
  <c r="L45" i="8" s="1"/>
  <c r="S44" i="2"/>
  <c r="L44" i="8" s="1"/>
  <c r="W44" i="2"/>
  <c r="K44" i="8" s="1"/>
  <c r="W42" i="2"/>
  <c r="K42" i="8" s="1"/>
  <c r="S42" i="2"/>
  <c r="L42" i="8" s="1"/>
  <c r="S41" i="2"/>
  <c r="L41" i="8" s="1"/>
  <c r="W41" i="2"/>
  <c r="K41" i="8" s="1"/>
  <c r="W40" i="2"/>
  <c r="K40" i="8" s="1"/>
  <c r="S40" i="2"/>
  <c r="L40" i="8" s="1"/>
  <c r="S39" i="2"/>
  <c r="L39" i="8" s="1"/>
  <c r="W39" i="2"/>
  <c r="K39" i="8" s="1"/>
  <c r="S38" i="2"/>
  <c r="L38" i="8" s="1"/>
  <c r="W38" i="2"/>
  <c r="K38" i="8" s="1"/>
  <c r="W37" i="2"/>
  <c r="K37" i="8" s="1"/>
  <c r="S37" i="2"/>
  <c r="L37" i="8" s="1"/>
  <c r="W36" i="2"/>
  <c r="K36" i="8" s="1"/>
  <c r="S36" i="2"/>
  <c r="L36" i="8" s="1"/>
  <c r="W35" i="2"/>
  <c r="K35" i="8" s="1"/>
  <c r="S35" i="2"/>
  <c r="L35" i="8" s="1"/>
  <c r="W34" i="2"/>
  <c r="K34" i="8" s="1"/>
  <c r="S34" i="2"/>
  <c r="L34" i="8" s="1"/>
  <c r="W33" i="2"/>
  <c r="K33" i="8" s="1"/>
  <c r="S33" i="2"/>
  <c r="L33" i="8" s="1"/>
  <c r="S32" i="2"/>
  <c r="L32" i="8" s="1"/>
  <c r="W32" i="2"/>
  <c r="K32" i="8" s="1"/>
  <c r="W31" i="2"/>
  <c r="K31" i="8" s="1"/>
  <c r="S31" i="2"/>
  <c r="L31" i="8" s="1"/>
  <c r="S30" i="2"/>
  <c r="L30" i="8" s="1"/>
  <c r="W30" i="2"/>
  <c r="K30" i="8" s="1"/>
  <c r="W29" i="2"/>
  <c r="K29" i="8" s="1"/>
  <c r="S29" i="2"/>
  <c r="L29" i="8" s="1"/>
  <c r="S28" i="2"/>
  <c r="L28" i="8" s="1"/>
  <c r="W28" i="2"/>
  <c r="K28" i="8" s="1"/>
  <c r="W27" i="2"/>
  <c r="K27" i="8" s="1"/>
  <c r="S27" i="2"/>
  <c r="L27" i="8" s="1"/>
  <c r="W26" i="2"/>
  <c r="K26" i="8" s="1"/>
  <c r="S26" i="2"/>
  <c r="L26" i="8" s="1"/>
  <c r="W25" i="2"/>
  <c r="K25" i="8" s="1"/>
  <c r="S25" i="2"/>
  <c r="L25" i="8" s="1"/>
  <c r="W24" i="2"/>
  <c r="K24" i="8" s="1"/>
  <c r="S24" i="2"/>
  <c r="L24" i="8" s="1"/>
  <c r="S23" i="2"/>
  <c r="L23" i="8" s="1"/>
  <c r="W23" i="2"/>
  <c r="K23" i="8" s="1"/>
  <c r="S22" i="2"/>
  <c r="L22" i="8" s="1"/>
  <c r="W22" i="2"/>
  <c r="K22" i="8" s="1"/>
  <c r="W21" i="2"/>
  <c r="K21" i="8" s="1"/>
  <c r="S21" i="2"/>
  <c r="L21" i="8" s="1"/>
  <c r="W20" i="2"/>
  <c r="K20" i="8" s="1"/>
  <c r="S20" i="2"/>
  <c r="L20" i="8" s="1"/>
  <c r="W19" i="2"/>
  <c r="K19" i="8" s="1"/>
  <c r="S19" i="2"/>
  <c r="L19" i="8" s="1"/>
  <c r="W18" i="2"/>
  <c r="K18" i="8" s="1"/>
  <c r="S18" i="2"/>
  <c r="L18" i="8" s="1"/>
  <c r="S17" i="2"/>
  <c r="L17" i="8" s="1"/>
  <c r="W17" i="2"/>
  <c r="K17" i="8" s="1"/>
  <c r="S16" i="2"/>
  <c r="L16" i="8" s="1"/>
  <c r="W16" i="2"/>
  <c r="K16" i="8" s="1"/>
  <c r="W15" i="2"/>
  <c r="K15" i="8" s="1"/>
  <c r="S15" i="2"/>
  <c r="L15" i="8" s="1"/>
  <c r="W14" i="2"/>
  <c r="K14" i="8" s="1"/>
  <c r="S14" i="2"/>
  <c r="L14" i="8" s="1"/>
  <c r="S13" i="2"/>
  <c r="L13" i="8" s="1"/>
  <c r="W13" i="2"/>
  <c r="K13" i="8" s="1"/>
  <c r="W12" i="2"/>
  <c r="K12" i="8" s="1"/>
  <c r="S12" i="2"/>
  <c r="L12" i="8" s="1"/>
  <c r="S11" i="2"/>
  <c r="L11" i="8" s="1"/>
  <c r="W11" i="2"/>
  <c r="K11" i="8" s="1"/>
  <c r="S10" i="2"/>
  <c r="L10" i="8" s="1"/>
  <c r="W10" i="2"/>
  <c r="K10" i="8" s="1"/>
  <c r="W9" i="2"/>
  <c r="K9" i="8" s="1"/>
  <c r="S9" i="2"/>
  <c r="L9" i="8" s="1"/>
  <c r="W8" i="2"/>
  <c r="K8" i="8" s="1"/>
  <c r="S8" i="2"/>
  <c r="L8" i="8" s="1"/>
  <c r="S7" i="2"/>
  <c r="L7" i="8" s="1"/>
  <c r="W7" i="2"/>
  <c r="K7" i="8" s="1"/>
  <c r="S6" i="2"/>
  <c r="L6" i="8" s="1"/>
  <c r="W6" i="2"/>
  <c r="K6" i="8" s="1"/>
  <c r="W5" i="2"/>
  <c r="K5" i="8" s="1"/>
  <c r="S5" i="2"/>
  <c r="L5" i="8" s="1"/>
  <c r="W4" i="2"/>
  <c r="K4" i="8" s="1"/>
  <c r="S4" i="2"/>
  <c r="L4" i="8" s="1"/>
  <c r="W3" i="2"/>
  <c r="K3" i="8" s="1"/>
  <c r="S3" i="2"/>
  <c r="L3" i="8" s="1"/>
  <c r="S2" i="2"/>
  <c r="W2" i="2"/>
  <c r="K2" i="8" s="1"/>
  <c r="B7" i="1" l="1"/>
  <c r="B8" i="1"/>
  <c r="B10" i="1"/>
  <c r="B11" i="1"/>
  <c r="L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OISI</author>
  </authors>
  <commentList>
    <comment ref="E2" authorId="0" shapeId="0" xr:uid="{00000000-0006-0000-0800-000001000000}">
      <text>
        <r>
          <rPr>
            <sz val="11"/>
            <color theme="1"/>
            <rFont val="Calibri"/>
            <family val="2"/>
            <scheme val="minor"/>
          </rPr>
          <t>Optional reviewer correction after checking field 950 and evidence. Allowed values: 0 or 100.</t>
        </r>
      </text>
    </comment>
    <comment ref="E3" authorId="0" shapeId="0" xr:uid="{00000000-0006-0000-0800-000002000000}">
      <text>
        <r>
          <rPr>
            <sz val="11"/>
            <color theme="1"/>
            <rFont val="Calibri"/>
            <family val="2"/>
            <scheme val="minor"/>
          </rPr>
          <t>Optional reviewer correction after checking field 950 and evidence. Allowed values: 0 or 100.</t>
        </r>
      </text>
    </comment>
    <comment ref="E4" authorId="0" shapeId="0" xr:uid="{00000000-0006-0000-0800-000003000000}">
      <text>
        <r>
          <rPr>
            <sz val="11"/>
            <color theme="1"/>
            <rFont val="Calibri"/>
            <family val="2"/>
            <scheme val="minor"/>
          </rPr>
          <t>Optional reviewer correction after checking field 950 and evidence. Allowed values: 0 or 100.</t>
        </r>
      </text>
    </comment>
    <comment ref="E5" authorId="0" shapeId="0" xr:uid="{00000000-0006-0000-0800-000004000000}">
      <text>
        <r>
          <rPr>
            <sz val="11"/>
            <color theme="1"/>
            <rFont val="Calibri"/>
            <family val="2"/>
            <scheme val="minor"/>
          </rPr>
          <t>Optional reviewer correction after checking field 950 and evidence. Allowed values: 0 or 100.</t>
        </r>
      </text>
    </comment>
    <comment ref="E6" authorId="0" shapeId="0" xr:uid="{00000000-0006-0000-0800-000005000000}">
      <text>
        <r>
          <rPr>
            <sz val="11"/>
            <color theme="1"/>
            <rFont val="Calibri"/>
            <family val="2"/>
            <scheme val="minor"/>
          </rPr>
          <t>Optional reviewer correction after checking field 950 and evidence. Allowed values: 0 or 100.</t>
        </r>
      </text>
    </comment>
    <comment ref="E7" authorId="0" shapeId="0" xr:uid="{00000000-0006-0000-0800-000006000000}">
      <text>
        <r>
          <rPr>
            <sz val="11"/>
            <color theme="1"/>
            <rFont val="Calibri"/>
            <family val="2"/>
            <scheme val="minor"/>
          </rPr>
          <t>Optional reviewer correction after checking field 950 and evidence. Allowed values: 0 or 100.</t>
        </r>
      </text>
    </comment>
    <comment ref="E8" authorId="0" shapeId="0" xr:uid="{00000000-0006-0000-0800-000007000000}">
      <text>
        <r>
          <rPr>
            <sz val="11"/>
            <color theme="1"/>
            <rFont val="Calibri"/>
            <family val="2"/>
            <scheme val="minor"/>
          </rPr>
          <t>Optional reviewer correction after checking field 950 and evidence. Allowed values: 0 or 100.</t>
        </r>
      </text>
    </comment>
    <comment ref="E9" authorId="0" shapeId="0" xr:uid="{00000000-0006-0000-0800-000008000000}">
      <text>
        <r>
          <rPr>
            <sz val="11"/>
            <color theme="1"/>
            <rFont val="Calibri"/>
            <family val="2"/>
            <scheme val="minor"/>
          </rPr>
          <t>Optional reviewer correction after checking field 950 and evidence. Allowed values: 0 or 100.</t>
        </r>
      </text>
    </comment>
    <comment ref="E10" authorId="0" shapeId="0" xr:uid="{00000000-0006-0000-0800-000009000000}">
      <text>
        <r>
          <rPr>
            <sz val="11"/>
            <color theme="1"/>
            <rFont val="Calibri"/>
            <family val="2"/>
            <scheme val="minor"/>
          </rPr>
          <t>Optional reviewer correction after checking field 950 and evidence. Allowed values: 0 or 100.</t>
        </r>
      </text>
    </comment>
    <comment ref="E11" authorId="0" shapeId="0" xr:uid="{00000000-0006-0000-0800-00000A000000}">
      <text>
        <r>
          <rPr>
            <sz val="11"/>
            <color theme="1"/>
            <rFont val="Calibri"/>
            <family val="2"/>
            <scheme val="minor"/>
          </rPr>
          <t>Optional reviewer correction after checking field 950 and evidence. Allowed values: 0 or 100.</t>
        </r>
      </text>
    </comment>
    <comment ref="E12" authorId="0" shapeId="0" xr:uid="{00000000-0006-0000-0800-00000B000000}">
      <text>
        <r>
          <rPr>
            <sz val="11"/>
            <color theme="1"/>
            <rFont val="Calibri"/>
            <family val="2"/>
            <scheme val="minor"/>
          </rPr>
          <t>Optional reviewer correction after checking field 950 and evidence. Allowed values: 0 or 100.</t>
        </r>
      </text>
    </comment>
    <comment ref="E13" authorId="0" shapeId="0" xr:uid="{00000000-0006-0000-0800-00000C000000}">
      <text>
        <r>
          <rPr>
            <sz val="11"/>
            <color theme="1"/>
            <rFont val="Calibri"/>
            <family val="2"/>
            <scheme val="minor"/>
          </rPr>
          <t>Optional reviewer correction after checking field 950 and evidence. Allowed values: 0 or 100.</t>
        </r>
      </text>
    </comment>
    <comment ref="E14" authorId="0" shapeId="0" xr:uid="{00000000-0006-0000-0800-00000D000000}">
      <text>
        <r>
          <rPr>
            <sz val="11"/>
            <color theme="1"/>
            <rFont val="Calibri"/>
            <family val="2"/>
            <scheme val="minor"/>
          </rPr>
          <t>Optional reviewer correction after checking field 950 and evidence. Allowed values: 0 or 100.</t>
        </r>
      </text>
    </comment>
    <comment ref="E15" authorId="0" shapeId="0" xr:uid="{00000000-0006-0000-0800-00000E000000}">
      <text>
        <r>
          <rPr>
            <sz val="11"/>
            <color theme="1"/>
            <rFont val="Calibri"/>
            <family val="2"/>
            <scheme val="minor"/>
          </rPr>
          <t>Optional reviewer correction after checking field 950 and evidence. Allowed values: 0 or 100.</t>
        </r>
      </text>
    </comment>
    <comment ref="E16" authorId="0" shapeId="0" xr:uid="{00000000-0006-0000-0800-00000F000000}">
      <text>
        <r>
          <rPr>
            <sz val="11"/>
            <color theme="1"/>
            <rFont val="Calibri"/>
            <family val="2"/>
            <scheme val="minor"/>
          </rPr>
          <t>Optional reviewer correction after checking field 950 and evidence. Allowed values: 0 or 100.</t>
        </r>
      </text>
    </comment>
    <comment ref="E17" authorId="0" shapeId="0" xr:uid="{00000000-0006-0000-0800-000010000000}">
      <text>
        <r>
          <rPr>
            <sz val="11"/>
            <color theme="1"/>
            <rFont val="Calibri"/>
            <family val="2"/>
            <scheme val="minor"/>
          </rPr>
          <t>Optional reviewer correction after checking field 950 and evidence. Allowed values: 0 or 100.</t>
        </r>
      </text>
    </comment>
    <comment ref="E18" authorId="0" shapeId="0" xr:uid="{00000000-0006-0000-0800-000011000000}">
      <text>
        <r>
          <rPr>
            <sz val="11"/>
            <color theme="1"/>
            <rFont val="Calibri"/>
            <family val="2"/>
            <scheme val="minor"/>
          </rPr>
          <t>Optional reviewer correction after checking field 950 and evidence. Allowed values: 0 or 100.</t>
        </r>
      </text>
    </comment>
    <comment ref="E19" authorId="0" shapeId="0" xr:uid="{00000000-0006-0000-0800-000012000000}">
      <text>
        <r>
          <rPr>
            <sz val="11"/>
            <color theme="1"/>
            <rFont val="Calibri"/>
            <family val="2"/>
            <scheme val="minor"/>
          </rPr>
          <t>Optional reviewer correction after checking field 950 and evidence. Allowed values: 0 or 100.</t>
        </r>
      </text>
    </comment>
    <comment ref="E20" authorId="0" shapeId="0" xr:uid="{00000000-0006-0000-0800-000013000000}">
      <text>
        <r>
          <rPr>
            <sz val="11"/>
            <color theme="1"/>
            <rFont val="Calibri"/>
            <family val="2"/>
            <scheme val="minor"/>
          </rPr>
          <t>Optional reviewer correction after checking field 950 and evidence. Allowed values: 0 or 100.</t>
        </r>
      </text>
    </comment>
    <comment ref="E21" authorId="0" shapeId="0" xr:uid="{00000000-0006-0000-0800-000014000000}">
      <text>
        <r>
          <rPr>
            <sz val="11"/>
            <color theme="1"/>
            <rFont val="Calibri"/>
            <family val="2"/>
            <scheme val="minor"/>
          </rPr>
          <t>Optional reviewer correction after checking field 950 and evidence. Allowed values: 0 or 100.</t>
        </r>
      </text>
    </comment>
    <comment ref="E22" authorId="0" shapeId="0" xr:uid="{00000000-0006-0000-0800-000015000000}">
      <text>
        <r>
          <rPr>
            <sz val="11"/>
            <color theme="1"/>
            <rFont val="Calibri"/>
            <family val="2"/>
            <scheme val="minor"/>
          </rPr>
          <t>Optional reviewer correction after checking field 950 and evidence. Allowed values: 0 or 100.</t>
        </r>
      </text>
    </comment>
    <comment ref="E23" authorId="0" shapeId="0" xr:uid="{00000000-0006-0000-0800-000016000000}">
      <text>
        <r>
          <rPr>
            <sz val="11"/>
            <color theme="1"/>
            <rFont val="Calibri"/>
            <family val="2"/>
            <scheme val="minor"/>
          </rPr>
          <t>Optional reviewer correction after checking field 950 and evidence. Allowed values: 0 or 100.</t>
        </r>
      </text>
    </comment>
    <comment ref="E24" authorId="0" shapeId="0" xr:uid="{00000000-0006-0000-0800-000017000000}">
      <text>
        <r>
          <rPr>
            <sz val="11"/>
            <color theme="1"/>
            <rFont val="Calibri"/>
            <family val="2"/>
            <scheme val="minor"/>
          </rPr>
          <t>Optional reviewer correction after checking field 950 and evidence. Allowed values: 0 or 100.</t>
        </r>
      </text>
    </comment>
    <comment ref="E25" authorId="0" shapeId="0" xr:uid="{00000000-0006-0000-0800-000018000000}">
      <text>
        <r>
          <rPr>
            <sz val="11"/>
            <color theme="1"/>
            <rFont val="Calibri"/>
            <family val="2"/>
            <scheme val="minor"/>
          </rPr>
          <t>Optional reviewer correction after checking field 950 and evidence. Allowed values: 0 or 100.</t>
        </r>
      </text>
    </comment>
    <comment ref="E26" authorId="0" shapeId="0" xr:uid="{00000000-0006-0000-0800-000019000000}">
      <text>
        <r>
          <rPr>
            <sz val="11"/>
            <color theme="1"/>
            <rFont val="Calibri"/>
            <family val="2"/>
            <scheme val="minor"/>
          </rPr>
          <t>Optional reviewer correction after checking field 950 and evidence. Allowed values: 0 or 100.</t>
        </r>
      </text>
    </comment>
    <comment ref="E27" authorId="0" shapeId="0" xr:uid="{00000000-0006-0000-0800-00001A000000}">
      <text>
        <r>
          <rPr>
            <sz val="11"/>
            <color theme="1"/>
            <rFont val="Calibri"/>
            <family val="2"/>
            <scheme val="minor"/>
          </rPr>
          <t>Optional reviewer correction after checking field 950 and evidence. Allowed values: 0 or 100.</t>
        </r>
      </text>
    </comment>
    <comment ref="E28" authorId="0" shapeId="0" xr:uid="{00000000-0006-0000-0800-00001B000000}">
      <text>
        <r>
          <rPr>
            <sz val="11"/>
            <color theme="1"/>
            <rFont val="Calibri"/>
            <family val="2"/>
            <scheme val="minor"/>
          </rPr>
          <t>Optional reviewer correction after checking field 950 and evidence. Allowed values: 0 or 100.</t>
        </r>
      </text>
    </comment>
    <comment ref="E29" authorId="0" shapeId="0" xr:uid="{00000000-0006-0000-0800-00001C000000}">
      <text>
        <r>
          <rPr>
            <sz val="11"/>
            <color theme="1"/>
            <rFont val="Calibri"/>
            <family val="2"/>
            <scheme val="minor"/>
          </rPr>
          <t>Optional reviewer correction after checking field 950 and evidence. Allowed values: 0 or 100.</t>
        </r>
      </text>
    </comment>
    <comment ref="E30" authorId="0" shapeId="0" xr:uid="{00000000-0006-0000-0800-00001D000000}">
      <text>
        <r>
          <rPr>
            <sz val="11"/>
            <color theme="1"/>
            <rFont val="Calibri"/>
            <family val="2"/>
            <scheme val="minor"/>
          </rPr>
          <t>Optional reviewer correction after checking field 950 and evidence. Allowed values: 0 or 100.</t>
        </r>
      </text>
    </comment>
    <comment ref="E31" authorId="0" shapeId="0" xr:uid="{00000000-0006-0000-0800-00001E000000}">
      <text>
        <r>
          <rPr>
            <sz val="11"/>
            <color theme="1"/>
            <rFont val="Calibri"/>
            <family val="2"/>
            <scheme val="minor"/>
          </rPr>
          <t>Optional reviewer correction after checking field 950 and evidence. Allowed values: 0 or 100.</t>
        </r>
      </text>
    </comment>
    <comment ref="E32" authorId="0" shapeId="0" xr:uid="{00000000-0006-0000-0800-00001F000000}">
      <text>
        <r>
          <rPr>
            <sz val="11"/>
            <color theme="1"/>
            <rFont val="Calibri"/>
            <family val="2"/>
            <scheme val="minor"/>
          </rPr>
          <t>Optional reviewer correction after checking field 950 and evidence. Allowed values: 0 or 100.</t>
        </r>
      </text>
    </comment>
    <comment ref="E33" authorId="0" shapeId="0" xr:uid="{00000000-0006-0000-0800-000020000000}">
      <text>
        <r>
          <rPr>
            <sz val="11"/>
            <color theme="1"/>
            <rFont val="Calibri"/>
            <family val="2"/>
            <scheme val="minor"/>
          </rPr>
          <t>Optional reviewer correction after checking field 950 and evidence. Allowed values: 0 or 100.</t>
        </r>
      </text>
    </comment>
    <comment ref="E34" authorId="0" shapeId="0" xr:uid="{00000000-0006-0000-0800-000021000000}">
      <text>
        <r>
          <rPr>
            <sz val="11"/>
            <color theme="1"/>
            <rFont val="Calibri"/>
            <family val="2"/>
            <scheme val="minor"/>
          </rPr>
          <t>Optional reviewer correction after checking field 950 and evidence. Allowed values: 0 or 100.</t>
        </r>
      </text>
    </comment>
    <comment ref="E35" authorId="0" shapeId="0" xr:uid="{00000000-0006-0000-0800-000022000000}">
      <text>
        <r>
          <rPr>
            <sz val="11"/>
            <color theme="1"/>
            <rFont val="Calibri"/>
            <family val="2"/>
            <scheme val="minor"/>
          </rPr>
          <t>Optional reviewer correction after checking field 950 and evidence. Allowed values: 0 or 100.</t>
        </r>
      </text>
    </comment>
    <comment ref="E36" authorId="0" shapeId="0" xr:uid="{00000000-0006-0000-0800-000023000000}">
      <text>
        <r>
          <rPr>
            <sz val="11"/>
            <color theme="1"/>
            <rFont val="Calibri"/>
            <family val="2"/>
            <scheme val="minor"/>
          </rPr>
          <t>Optional reviewer correction after checking field 950 and evidence. Allowed values: 0 or 100.</t>
        </r>
      </text>
    </comment>
    <comment ref="E37" authorId="0" shapeId="0" xr:uid="{00000000-0006-0000-0800-000024000000}">
      <text>
        <r>
          <rPr>
            <sz val="11"/>
            <color theme="1"/>
            <rFont val="Calibri"/>
            <family val="2"/>
            <scheme val="minor"/>
          </rPr>
          <t>Optional reviewer correction after checking field 950 and evidence. Allowed values: 0 or 100.</t>
        </r>
      </text>
    </comment>
    <comment ref="E38" authorId="0" shapeId="0" xr:uid="{00000000-0006-0000-0800-000025000000}">
      <text>
        <r>
          <rPr>
            <sz val="11"/>
            <color theme="1"/>
            <rFont val="Calibri"/>
            <family val="2"/>
            <scheme val="minor"/>
          </rPr>
          <t>Optional reviewer correction after checking field 950 and evidence. Allowed values: 0 or 100.</t>
        </r>
      </text>
    </comment>
    <comment ref="E39" authorId="0" shapeId="0" xr:uid="{00000000-0006-0000-0800-000026000000}">
      <text>
        <r>
          <rPr>
            <sz val="11"/>
            <color theme="1"/>
            <rFont val="Calibri"/>
            <family val="2"/>
            <scheme val="minor"/>
          </rPr>
          <t>Optional reviewer correction after checking field 950 and evidence. Allowed values: 0 or 100.</t>
        </r>
      </text>
    </comment>
    <comment ref="E40" authorId="0" shapeId="0" xr:uid="{00000000-0006-0000-0800-000027000000}">
      <text>
        <r>
          <rPr>
            <sz val="11"/>
            <color theme="1"/>
            <rFont val="Calibri"/>
            <family val="2"/>
            <scheme val="minor"/>
          </rPr>
          <t>Optional reviewer correction after checking field 950 and evidence. Allowed values: 0 or 100.</t>
        </r>
      </text>
    </comment>
    <comment ref="E41" authorId="0" shapeId="0" xr:uid="{00000000-0006-0000-0800-000028000000}">
      <text>
        <r>
          <rPr>
            <sz val="11"/>
            <color theme="1"/>
            <rFont val="Calibri"/>
            <family val="2"/>
            <scheme val="minor"/>
          </rPr>
          <t>Optional reviewer correction after checking field 950 and evidence. Allowed values: 0 or 100.</t>
        </r>
      </text>
    </comment>
    <comment ref="E42" authorId="0" shapeId="0" xr:uid="{00000000-0006-0000-0800-000029000000}">
      <text>
        <r>
          <rPr>
            <sz val="11"/>
            <color theme="1"/>
            <rFont val="Calibri"/>
            <family val="2"/>
            <scheme val="minor"/>
          </rPr>
          <t>Optional reviewer correction after checking field 950 and evidence. Allowed values: 0 or 100.</t>
        </r>
      </text>
    </comment>
    <comment ref="E43" authorId="0" shapeId="0" xr:uid="{00000000-0006-0000-0800-00002A000000}">
      <text>
        <r>
          <rPr>
            <sz val="11"/>
            <color theme="1"/>
            <rFont val="Calibri"/>
            <family val="2"/>
            <scheme val="minor"/>
          </rPr>
          <t>Optional reviewer correction after checking field 950 and evidence. Allowed values: 0 or 100.</t>
        </r>
      </text>
    </comment>
    <comment ref="E44" authorId="0" shapeId="0" xr:uid="{00000000-0006-0000-0800-00002B000000}">
      <text>
        <r>
          <rPr>
            <sz val="11"/>
            <color theme="1"/>
            <rFont val="Calibri"/>
            <family val="2"/>
            <scheme val="minor"/>
          </rPr>
          <t>Optional reviewer correction after checking field 950 and evidence. Allowed values: 0 or 100.</t>
        </r>
      </text>
    </comment>
    <comment ref="E45" authorId="0" shapeId="0" xr:uid="{00000000-0006-0000-0800-00002C000000}">
      <text>
        <r>
          <rPr>
            <sz val="11"/>
            <color theme="1"/>
            <rFont val="Calibri"/>
            <family val="2"/>
            <scheme val="minor"/>
          </rPr>
          <t>Optional reviewer correction after checking field 950 and evidence. Allowed values: 0 or 100.</t>
        </r>
      </text>
    </comment>
    <comment ref="E46" authorId="0" shapeId="0" xr:uid="{00000000-0006-0000-0800-00002D000000}">
      <text>
        <r>
          <rPr>
            <sz val="11"/>
            <color theme="1"/>
            <rFont val="Calibri"/>
            <family val="2"/>
            <scheme val="minor"/>
          </rPr>
          <t>Optional reviewer correction after checking field 950 and evidence. Allowed values: 0 or 100.</t>
        </r>
      </text>
    </comment>
    <comment ref="E47" authorId="0" shapeId="0" xr:uid="{00000000-0006-0000-0800-00002E000000}">
      <text>
        <r>
          <rPr>
            <sz val="11"/>
            <color theme="1"/>
            <rFont val="Calibri"/>
            <family val="2"/>
            <scheme val="minor"/>
          </rPr>
          <t>Optional reviewer correction after checking field 950 and evidence. Allowed values: 0 or 100.</t>
        </r>
      </text>
    </comment>
    <comment ref="E48" authorId="0" shapeId="0" xr:uid="{00000000-0006-0000-0800-00002F000000}">
      <text>
        <r>
          <rPr>
            <sz val="11"/>
            <color theme="1"/>
            <rFont val="Calibri"/>
            <family val="2"/>
            <scheme val="minor"/>
          </rPr>
          <t>Optional reviewer correction after checking field 950 and evidence. Allowed values: 0 or 100.</t>
        </r>
      </text>
    </comment>
    <comment ref="E49" authorId="0" shapeId="0" xr:uid="{00000000-0006-0000-0800-000030000000}">
      <text>
        <r>
          <rPr>
            <sz val="11"/>
            <color theme="1"/>
            <rFont val="Calibri"/>
            <family val="2"/>
            <scheme val="minor"/>
          </rPr>
          <t>Optional reviewer correction after checking field 950 and evidence. Allowed values: 0 or 100.</t>
        </r>
      </text>
    </comment>
    <comment ref="E50" authorId="0" shapeId="0" xr:uid="{00000000-0006-0000-0800-000031000000}">
      <text>
        <r>
          <rPr>
            <sz val="11"/>
            <color theme="1"/>
            <rFont val="Calibri"/>
            <family val="2"/>
            <scheme val="minor"/>
          </rPr>
          <t>Optional reviewer correction after checking field 950 and evidence. Allowed values: 0 or 100.</t>
        </r>
      </text>
    </comment>
    <comment ref="E51" authorId="0" shapeId="0" xr:uid="{00000000-0006-0000-0800-000032000000}">
      <text>
        <r>
          <rPr>
            <sz val="11"/>
            <color theme="1"/>
            <rFont val="Calibri"/>
            <family val="2"/>
            <scheme val="minor"/>
          </rPr>
          <t>Optional reviewer correction after checking field 950 and evidence. Allowed values: 0 or 100.</t>
        </r>
      </text>
    </comment>
    <comment ref="E52" authorId="0" shapeId="0" xr:uid="{00000000-0006-0000-0800-000033000000}">
      <text>
        <r>
          <rPr>
            <sz val="11"/>
            <color theme="1"/>
            <rFont val="Calibri"/>
            <family val="2"/>
            <scheme val="minor"/>
          </rPr>
          <t>Optional reviewer correction after checking field 950 and evidence. Allowed values: 0 or 100.</t>
        </r>
      </text>
    </comment>
    <comment ref="E53" authorId="0" shapeId="0" xr:uid="{00000000-0006-0000-0800-000034000000}">
      <text>
        <r>
          <rPr>
            <sz val="11"/>
            <color theme="1"/>
            <rFont val="Calibri"/>
            <family val="2"/>
            <scheme val="minor"/>
          </rPr>
          <t>Optional reviewer correction after checking field 950 and evidence. Allowed values: 0 or 100.</t>
        </r>
      </text>
    </comment>
    <comment ref="E54" authorId="0" shapeId="0" xr:uid="{00000000-0006-0000-0800-000035000000}">
      <text>
        <r>
          <rPr>
            <sz val="11"/>
            <color theme="1"/>
            <rFont val="Calibri"/>
            <family val="2"/>
            <scheme val="minor"/>
          </rPr>
          <t>Optional reviewer correction after checking field 950 and evidence. Allowed values: 0 or 100.</t>
        </r>
      </text>
    </comment>
    <comment ref="E55" authorId="0" shapeId="0" xr:uid="{00000000-0006-0000-0800-000036000000}">
      <text>
        <r>
          <rPr>
            <sz val="11"/>
            <color theme="1"/>
            <rFont val="Calibri"/>
            <family val="2"/>
            <scheme val="minor"/>
          </rPr>
          <t>Optional reviewer correction after checking field 950 and evidence. Allowed values: 0 or 100.</t>
        </r>
      </text>
    </comment>
    <comment ref="E56" authorId="0" shapeId="0" xr:uid="{00000000-0006-0000-0800-000037000000}">
      <text>
        <r>
          <rPr>
            <sz val="11"/>
            <color theme="1"/>
            <rFont val="Calibri"/>
            <family val="2"/>
            <scheme val="minor"/>
          </rPr>
          <t>Optional reviewer correction after checking field 950 and evidence. Allowed values: 0 or 100.</t>
        </r>
      </text>
    </comment>
    <comment ref="E57" authorId="0" shapeId="0" xr:uid="{00000000-0006-0000-0800-000038000000}">
      <text>
        <r>
          <rPr>
            <sz val="11"/>
            <color theme="1"/>
            <rFont val="Calibri"/>
            <family val="2"/>
            <scheme val="minor"/>
          </rPr>
          <t>Optional reviewer correction after checking field 950 and evidence. Allowed values: 0 or 100.</t>
        </r>
      </text>
    </comment>
    <comment ref="E58" authorId="0" shapeId="0" xr:uid="{00000000-0006-0000-0800-000039000000}">
      <text>
        <r>
          <rPr>
            <sz val="11"/>
            <color theme="1"/>
            <rFont val="Calibri"/>
            <family val="2"/>
            <scheme val="minor"/>
          </rPr>
          <t>Optional reviewer correction after checking field 950 and evidence. Allowed values: 0 or 100.</t>
        </r>
      </text>
    </comment>
    <comment ref="E59" authorId="0" shapeId="0" xr:uid="{00000000-0006-0000-0800-00003A000000}">
      <text>
        <r>
          <rPr>
            <sz val="11"/>
            <color theme="1"/>
            <rFont val="Calibri"/>
            <family val="2"/>
            <scheme val="minor"/>
          </rPr>
          <t>Optional reviewer correction after checking field 950 and evidence. Allowed values: 0 or 100.</t>
        </r>
      </text>
    </comment>
    <comment ref="E60" authorId="0" shapeId="0" xr:uid="{00000000-0006-0000-0800-00003B000000}">
      <text>
        <r>
          <rPr>
            <sz val="11"/>
            <color theme="1"/>
            <rFont val="Calibri"/>
            <family val="2"/>
            <scheme val="minor"/>
          </rPr>
          <t>Optional reviewer correction after checking field 950 and evidence. Allowed values: 0 or 100.</t>
        </r>
      </text>
    </comment>
    <comment ref="E61" authorId="0" shapeId="0" xr:uid="{00000000-0006-0000-0800-00003C000000}">
      <text>
        <r>
          <rPr>
            <sz val="11"/>
            <color theme="1"/>
            <rFont val="Calibri"/>
            <family val="2"/>
            <scheme val="minor"/>
          </rPr>
          <t>Optional reviewer correction after checking field 950 and evidence. Allowed values: 0 or 100.</t>
        </r>
      </text>
    </comment>
    <comment ref="E62" authorId="0" shapeId="0" xr:uid="{00000000-0006-0000-0800-00003D000000}">
      <text>
        <r>
          <rPr>
            <sz val="11"/>
            <color theme="1"/>
            <rFont val="Calibri"/>
            <family val="2"/>
            <scheme val="minor"/>
          </rPr>
          <t>Optional reviewer correction after checking field 950 and evidence. Allowed values: 0 or 100.</t>
        </r>
      </text>
    </comment>
    <comment ref="E63" authorId="0" shapeId="0" xr:uid="{00000000-0006-0000-0800-00003E000000}">
      <text>
        <r>
          <rPr>
            <sz val="11"/>
            <color theme="1"/>
            <rFont val="Calibri"/>
            <family val="2"/>
            <scheme val="minor"/>
          </rPr>
          <t>Optional reviewer correction after checking field 950 and evidence. Allowed values: 0 or 100.</t>
        </r>
      </text>
    </comment>
    <comment ref="E64" authorId="0" shapeId="0" xr:uid="{00000000-0006-0000-0800-00003F000000}">
      <text>
        <r>
          <rPr>
            <sz val="11"/>
            <color theme="1"/>
            <rFont val="Calibri"/>
            <family val="2"/>
            <scheme val="minor"/>
          </rPr>
          <t>Optional reviewer correction after checking field 950 and evidence. Allowed values: 0 or 100.</t>
        </r>
      </text>
    </comment>
    <comment ref="E65" authorId="0" shapeId="0" xr:uid="{00000000-0006-0000-0800-000040000000}">
      <text>
        <r>
          <rPr>
            <sz val="11"/>
            <color theme="1"/>
            <rFont val="Calibri"/>
            <family val="2"/>
            <scheme val="minor"/>
          </rPr>
          <t>Optional reviewer correction after checking field 950 and evidence. Allowed values: 0 or 100.</t>
        </r>
      </text>
    </comment>
    <comment ref="E66" authorId="0" shapeId="0" xr:uid="{00000000-0006-0000-0800-000041000000}">
      <text>
        <r>
          <rPr>
            <sz val="11"/>
            <color theme="1"/>
            <rFont val="Calibri"/>
            <family val="2"/>
            <scheme val="minor"/>
          </rPr>
          <t>Optional reviewer correction after checking field 950 and evidence. Allowed values: 0 or 100.</t>
        </r>
      </text>
    </comment>
    <comment ref="E67" authorId="0" shapeId="0" xr:uid="{00000000-0006-0000-0800-000042000000}">
      <text>
        <r>
          <rPr>
            <sz val="11"/>
            <color theme="1"/>
            <rFont val="Calibri"/>
            <family val="2"/>
            <scheme val="minor"/>
          </rPr>
          <t>Optional reviewer correction after checking field 950 and evidence. Allowed values: 0 or 100.</t>
        </r>
      </text>
    </comment>
    <comment ref="E68" authorId="0" shapeId="0" xr:uid="{00000000-0006-0000-0800-000043000000}">
      <text>
        <r>
          <rPr>
            <sz val="11"/>
            <color theme="1"/>
            <rFont val="Calibri"/>
            <family val="2"/>
            <scheme val="minor"/>
          </rPr>
          <t>Optional reviewer correction after checking field 950 and evidence. Allowed values: 0 or 100.</t>
        </r>
      </text>
    </comment>
    <comment ref="E69" authorId="0" shapeId="0" xr:uid="{00000000-0006-0000-0800-000044000000}">
      <text>
        <r>
          <rPr>
            <sz val="11"/>
            <color theme="1"/>
            <rFont val="Calibri"/>
            <family val="2"/>
            <scheme val="minor"/>
          </rPr>
          <t>Optional reviewer correction after checking field 950 and evidence. Allowed values: 0 or 100.</t>
        </r>
      </text>
    </comment>
    <comment ref="E70" authorId="0" shapeId="0" xr:uid="{00000000-0006-0000-0800-000045000000}">
      <text>
        <r>
          <rPr>
            <sz val="11"/>
            <color theme="1"/>
            <rFont val="Calibri"/>
            <family val="2"/>
            <scheme val="minor"/>
          </rPr>
          <t>Optional reviewer correction after checking field 950 and evidence. Allowed values: 0 or 100.</t>
        </r>
      </text>
    </comment>
    <comment ref="E71" authorId="0" shapeId="0" xr:uid="{00000000-0006-0000-0800-000046000000}">
      <text>
        <r>
          <rPr>
            <sz val="11"/>
            <color theme="1"/>
            <rFont val="Calibri"/>
            <family val="2"/>
            <scheme val="minor"/>
          </rPr>
          <t>Optional reviewer correction after checking field 950 and evidence. Allowed values: 0 or 100.</t>
        </r>
      </text>
    </comment>
    <comment ref="E72" authorId="0" shapeId="0" xr:uid="{00000000-0006-0000-0800-000047000000}">
      <text>
        <r>
          <rPr>
            <sz val="11"/>
            <color theme="1"/>
            <rFont val="Calibri"/>
            <family val="2"/>
            <scheme val="minor"/>
          </rPr>
          <t>Optional reviewer correction after checking field 950 and evidence. Allowed values: 0 or 100.</t>
        </r>
      </text>
    </comment>
    <comment ref="E73" authorId="0" shapeId="0" xr:uid="{00000000-0006-0000-0800-000048000000}">
      <text>
        <r>
          <rPr>
            <sz val="11"/>
            <color theme="1"/>
            <rFont val="Calibri"/>
            <family val="2"/>
            <scheme val="minor"/>
          </rPr>
          <t>Optional reviewer correction after checking field 950 and evidence. Allowed values: 0 or 100.</t>
        </r>
      </text>
    </comment>
    <comment ref="E74" authorId="0" shapeId="0" xr:uid="{00000000-0006-0000-0800-000049000000}">
      <text>
        <r>
          <rPr>
            <sz val="11"/>
            <color theme="1"/>
            <rFont val="Calibri"/>
            <family val="2"/>
            <scheme val="minor"/>
          </rPr>
          <t>Optional reviewer correction after checking field 950 and evidence. Allowed values: 0 or 100.</t>
        </r>
      </text>
    </comment>
    <comment ref="E75" authorId="0" shapeId="0" xr:uid="{00000000-0006-0000-0800-00004A000000}">
      <text>
        <r>
          <rPr>
            <sz val="11"/>
            <color theme="1"/>
            <rFont val="Calibri"/>
            <family val="2"/>
            <scheme val="minor"/>
          </rPr>
          <t>Optional reviewer correction after checking field 950 and evidence. Allowed values: 0 or 100.</t>
        </r>
      </text>
    </comment>
    <comment ref="E76" authorId="0" shapeId="0" xr:uid="{00000000-0006-0000-0800-00004B000000}">
      <text>
        <r>
          <rPr>
            <sz val="11"/>
            <color theme="1"/>
            <rFont val="Calibri"/>
            <family val="2"/>
            <scheme val="minor"/>
          </rPr>
          <t>Optional reviewer correction after checking field 950 and evidence. Allowed values: 0 or 100.</t>
        </r>
      </text>
    </comment>
    <comment ref="E77" authorId="0" shapeId="0" xr:uid="{00000000-0006-0000-0800-00004C000000}">
      <text>
        <r>
          <rPr>
            <sz val="11"/>
            <color theme="1"/>
            <rFont val="Calibri"/>
            <family val="2"/>
            <scheme val="minor"/>
          </rPr>
          <t>Optional reviewer correction after checking field 950 and evidence. Allowed values: 0 or 100.</t>
        </r>
      </text>
    </comment>
    <comment ref="E78" authorId="0" shapeId="0" xr:uid="{00000000-0006-0000-0800-00004D000000}">
      <text>
        <r>
          <rPr>
            <sz val="11"/>
            <color theme="1"/>
            <rFont val="Calibri"/>
            <family val="2"/>
            <scheme val="minor"/>
          </rPr>
          <t>Optional reviewer correction after checking field 950 and evidence. Allowed values: 0 or 100.</t>
        </r>
      </text>
    </comment>
    <comment ref="E79" authorId="0" shapeId="0" xr:uid="{00000000-0006-0000-0800-00004E000000}">
      <text>
        <r>
          <rPr>
            <sz val="11"/>
            <color theme="1"/>
            <rFont val="Calibri"/>
            <family val="2"/>
            <scheme val="minor"/>
          </rPr>
          <t>Optional reviewer correction after checking field 950 and evidence. Allowed values: 0 or 100.</t>
        </r>
      </text>
    </comment>
    <comment ref="E80" authorId="0" shapeId="0" xr:uid="{00000000-0006-0000-0800-00004F000000}">
      <text>
        <r>
          <rPr>
            <sz val="11"/>
            <color theme="1"/>
            <rFont val="Calibri"/>
            <family val="2"/>
            <scheme val="minor"/>
          </rPr>
          <t>Optional reviewer correction after checking field 950 and evidence. Allowed values: 0 or 100.</t>
        </r>
      </text>
    </comment>
    <comment ref="E81" authorId="0" shapeId="0" xr:uid="{00000000-0006-0000-0800-000050000000}">
      <text>
        <r>
          <rPr>
            <sz val="11"/>
            <color theme="1"/>
            <rFont val="Calibri"/>
            <family val="2"/>
            <scheme val="minor"/>
          </rPr>
          <t>Optional reviewer correction after checking field 950 and evidence. Allowed values: 0 or 100.</t>
        </r>
      </text>
    </comment>
    <comment ref="E82" authorId="0" shapeId="0" xr:uid="{00000000-0006-0000-0800-000051000000}">
      <text>
        <r>
          <rPr>
            <sz val="11"/>
            <color theme="1"/>
            <rFont val="Calibri"/>
            <family val="2"/>
            <scheme val="minor"/>
          </rPr>
          <t>Optional reviewer correction after checking field 950 and evidence. Allowed values: 0 or 100.</t>
        </r>
      </text>
    </comment>
    <comment ref="E83" authorId="0" shapeId="0" xr:uid="{00000000-0006-0000-0800-000052000000}">
      <text>
        <r>
          <rPr>
            <sz val="11"/>
            <color theme="1"/>
            <rFont val="Calibri"/>
            <family val="2"/>
            <scheme val="minor"/>
          </rPr>
          <t>Optional reviewer correction after checking field 950 and evidence. Allowed values: 0 or 100.</t>
        </r>
      </text>
    </comment>
    <comment ref="E84" authorId="0" shapeId="0" xr:uid="{00000000-0006-0000-0800-000053000000}">
      <text>
        <r>
          <rPr>
            <sz val="11"/>
            <color theme="1"/>
            <rFont val="Calibri"/>
            <family val="2"/>
            <scheme val="minor"/>
          </rPr>
          <t>Optional reviewer correction after checking field 950 and evidence. Allowed values: 0 or 100.</t>
        </r>
      </text>
    </comment>
    <comment ref="E85" authorId="0" shapeId="0" xr:uid="{00000000-0006-0000-0800-000054000000}">
      <text>
        <r>
          <rPr>
            <sz val="11"/>
            <color theme="1"/>
            <rFont val="Calibri"/>
            <family val="2"/>
            <scheme val="minor"/>
          </rPr>
          <t>Optional reviewer correction after checking field 950 and evidence. Allowed values: 0 or 100.</t>
        </r>
      </text>
    </comment>
    <comment ref="E86" authorId="0" shapeId="0" xr:uid="{00000000-0006-0000-0800-000055000000}">
      <text>
        <r>
          <rPr>
            <sz val="11"/>
            <color theme="1"/>
            <rFont val="Calibri"/>
            <family val="2"/>
            <scheme val="minor"/>
          </rPr>
          <t>Optional reviewer correction after checking field 950 and evidence. Allowed values: 0 or 100.</t>
        </r>
      </text>
    </comment>
    <comment ref="E87" authorId="0" shapeId="0" xr:uid="{00000000-0006-0000-0800-000056000000}">
      <text>
        <r>
          <rPr>
            <sz val="11"/>
            <color theme="1"/>
            <rFont val="Calibri"/>
            <family val="2"/>
            <scheme val="minor"/>
          </rPr>
          <t>Optional reviewer correction after checking field 950 and evidence. Allowed values: 0 or 100.</t>
        </r>
      </text>
    </comment>
    <comment ref="E88" authorId="0" shapeId="0" xr:uid="{00000000-0006-0000-0800-000057000000}">
      <text>
        <r>
          <rPr>
            <sz val="11"/>
            <color theme="1"/>
            <rFont val="Calibri"/>
            <family val="2"/>
            <scheme val="minor"/>
          </rPr>
          <t>Optional reviewer correction after checking field 950 and evidence. Allowed values: 0 or 100.</t>
        </r>
      </text>
    </comment>
    <comment ref="E89" authorId="0" shapeId="0" xr:uid="{00000000-0006-0000-0800-000058000000}">
      <text>
        <r>
          <rPr>
            <sz val="11"/>
            <color theme="1"/>
            <rFont val="Calibri"/>
            <family val="2"/>
            <scheme val="minor"/>
          </rPr>
          <t>Optional reviewer correction after checking field 950 and evidence. Allowed values: 0 or 100.</t>
        </r>
      </text>
    </comment>
    <comment ref="E90" authorId="0" shapeId="0" xr:uid="{00000000-0006-0000-0800-000059000000}">
      <text>
        <r>
          <rPr>
            <sz val="11"/>
            <color theme="1"/>
            <rFont val="Calibri"/>
            <family val="2"/>
            <scheme val="minor"/>
          </rPr>
          <t>Optional reviewer correction after checking field 950 and evidence. Allowed values: 0 or 100.</t>
        </r>
      </text>
    </comment>
    <comment ref="E91" authorId="0" shapeId="0" xr:uid="{00000000-0006-0000-0800-00005A000000}">
      <text>
        <r>
          <rPr>
            <sz val="11"/>
            <color theme="1"/>
            <rFont val="Calibri"/>
            <family val="2"/>
            <scheme val="minor"/>
          </rPr>
          <t>Optional reviewer correction after checking field 950 and evidence. Allowed values: 0 or 100.</t>
        </r>
      </text>
    </comment>
    <comment ref="E92" authorId="0" shapeId="0" xr:uid="{00000000-0006-0000-0800-00005B000000}">
      <text>
        <r>
          <rPr>
            <sz val="11"/>
            <color theme="1"/>
            <rFont val="Calibri"/>
            <family val="2"/>
            <scheme val="minor"/>
          </rPr>
          <t>Optional reviewer correction after checking field 950 and evidence. Allowed values: 0 or 100.</t>
        </r>
      </text>
    </comment>
    <comment ref="E93" authorId="0" shapeId="0" xr:uid="{00000000-0006-0000-0800-00005C000000}">
      <text>
        <r>
          <rPr>
            <sz val="11"/>
            <color theme="1"/>
            <rFont val="Calibri"/>
            <family val="2"/>
            <scheme val="minor"/>
          </rPr>
          <t>Optional reviewer correction after checking field 950 and evidence. Allowed values: 0 or 100.</t>
        </r>
      </text>
    </comment>
    <comment ref="E94" authorId="0" shapeId="0" xr:uid="{00000000-0006-0000-0800-00005D000000}">
      <text>
        <r>
          <rPr>
            <sz val="11"/>
            <color theme="1"/>
            <rFont val="Calibri"/>
            <family val="2"/>
            <scheme val="minor"/>
          </rPr>
          <t>Optional reviewer correction after checking field 950 and evidence. Allowed values: 0 or 100.</t>
        </r>
      </text>
    </comment>
    <comment ref="E95" authorId="0" shapeId="0" xr:uid="{00000000-0006-0000-0800-00005E000000}">
      <text>
        <r>
          <rPr>
            <sz val="11"/>
            <color theme="1"/>
            <rFont val="Calibri"/>
            <family val="2"/>
            <scheme val="minor"/>
          </rPr>
          <t>Optional reviewer correction after checking field 950 and evidence. Allowed values: 0 or 100.</t>
        </r>
      </text>
    </comment>
    <comment ref="E96" authorId="0" shapeId="0" xr:uid="{00000000-0006-0000-0800-00005F000000}">
      <text>
        <r>
          <rPr>
            <sz val="11"/>
            <color theme="1"/>
            <rFont val="Calibri"/>
            <family val="2"/>
            <scheme val="minor"/>
          </rPr>
          <t>Optional reviewer correction after checking field 950 and evidence. Allowed values: 0 or 100.</t>
        </r>
      </text>
    </comment>
    <comment ref="E97" authorId="0" shapeId="0" xr:uid="{00000000-0006-0000-0800-000060000000}">
      <text>
        <r>
          <rPr>
            <sz val="11"/>
            <color theme="1"/>
            <rFont val="Calibri"/>
            <family val="2"/>
            <scheme val="minor"/>
          </rPr>
          <t>Optional reviewer correction after checking field 950 and evidence. Allowed values: 0 or 100.</t>
        </r>
      </text>
    </comment>
    <comment ref="E98" authorId="0" shapeId="0" xr:uid="{00000000-0006-0000-0800-000061000000}">
      <text>
        <r>
          <rPr>
            <sz val="11"/>
            <color theme="1"/>
            <rFont val="Calibri"/>
            <family val="2"/>
            <scheme val="minor"/>
          </rPr>
          <t>Optional reviewer correction after checking field 950 and evidence. Allowed values: 0 or 100.</t>
        </r>
      </text>
    </comment>
    <comment ref="E99" authorId="0" shapeId="0" xr:uid="{00000000-0006-0000-0800-000062000000}">
      <text>
        <r>
          <rPr>
            <sz val="11"/>
            <color theme="1"/>
            <rFont val="Calibri"/>
            <family val="2"/>
            <scheme val="minor"/>
          </rPr>
          <t>Optional reviewer correction after checking field 950 and evidence. Allowed values: 0 or 100.</t>
        </r>
      </text>
    </comment>
    <comment ref="E100" authorId="0" shapeId="0" xr:uid="{00000000-0006-0000-0800-000063000000}">
      <text>
        <r>
          <rPr>
            <sz val="11"/>
            <color theme="1"/>
            <rFont val="Calibri"/>
            <family val="2"/>
            <scheme val="minor"/>
          </rPr>
          <t>Optional reviewer correction after checking field 950 and evidence. Allowed values: 0 or 100.</t>
        </r>
      </text>
    </comment>
    <comment ref="E101" authorId="0" shapeId="0" xr:uid="{00000000-0006-0000-0800-000064000000}">
      <text>
        <r>
          <rPr>
            <sz val="11"/>
            <color theme="1"/>
            <rFont val="Calibri"/>
            <family val="2"/>
            <scheme val="minor"/>
          </rPr>
          <t>Optional reviewer correction after checking field 950 and evidence. Allowed values: 0 or 100.</t>
        </r>
      </text>
    </comment>
    <comment ref="E102" authorId="0" shapeId="0" xr:uid="{00000000-0006-0000-0800-000065000000}">
      <text>
        <r>
          <rPr>
            <sz val="11"/>
            <color theme="1"/>
            <rFont val="Calibri"/>
            <family val="2"/>
            <scheme val="minor"/>
          </rPr>
          <t>Optional reviewer correction after checking field 950 and evidence. Allowed values: 0 or 100.</t>
        </r>
      </text>
    </comment>
    <comment ref="E103" authorId="0" shapeId="0" xr:uid="{00000000-0006-0000-0800-000066000000}">
      <text>
        <r>
          <rPr>
            <sz val="11"/>
            <color theme="1"/>
            <rFont val="Calibri"/>
            <family val="2"/>
            <scheme val="minor"/>
          </rPr>
          <t>Optional reviewer correction after checking field 950 and evidence. Allowed values: 0 or 100.</t>
        </r>
      </text>
    </comment>
    <comment ref="E104" authorId="0" shapeId="0" xr:uid="{00000000-0006-0000-0800-000067000000}">
      <text>
        <r>
          <rPr>
            <sz val="11"/>
            <color theme="1"/>
            <rFont val="Calibri"/>
            <family val="2"/>
            <scheme val="minor"/>
          </rPr>
          <t>Optional reviewer correction after checking field 950 and evidence. Allowed values: 0 or 100.</t>
        </r>
      </text>
    </comment>
    <comment ref="E105" authorId="0" shapeId="0" xr:uid="{00000000-0006-0000-0800-000068000000}">
      <text>
        <r>
          <rPr>
            <sz val="11"/>
            <color theme="1"/>
            <rFont val="Calibri"/>
            <family val="2"/>
            <scheme val="minor"/>
          </rPr>
          <t>Optional reviewer correction after checking field 950 and evidence. Allowed values: 0 or 100.</t>
        </r>
      </text>
    </comment>
    <comment ref="E106" authorId="0" shapeId="0" xr:uid="{00000000-0006-0000-0800-000069000000}">
      <text>
        <r>
          <rPr>
            <sz val="11"/>
            <color theme="1"/>
            <rFont val="Calibri"/>
            <family val="2"/>
            <scheme val="minor"/>
          </rPr>
          <t>Optional reviewer correction after checking field 950 and evidence. Allowed values: 0 or 100.</t>
        </r>
      </text>
    </comment>
    <comment ref="E107" authorId="0" shapeId="0" xr:uid="{00000000-0006-0000-0800-00006A000000}">
      <text>
        <r>
          <rPr>
            <sz val="11"/>
            <color theme="1"/>
            <rFont val="Calibri"/>
            <family val="2"/>
            <scheme val="minor"/>
          </rPr>
          <t>Optional reviewer correction after checking field 950 and evidence. Allowed values: 0 or 100.</t>
        </r>
      </text>
    </comment>
    <comment ref="E108" authorId="0" shapeId="0" xr:uid="{00000000-0006-0000-0800-00006B000000}">
      <text>
        <r>
          <rPr>
            <sz val="11"/>
            <color theme="1"/>
            <rFont val="Calibri"/>
            <family val="2"/>
            <scheme val="minor"/>
          </rPr>
          <t>Optional reviewer correction after checking field 950 and evidence. Allowed values: 0 or 100.</t>
        </r>
      </text>
    </comment>
    <comment ref="E109" authorId="0" shapeId="0" xr:uid="{00000000-0006-0000-0800-00006C000000}">
      <text>
        <r>
          <rPr>
            <sz val="11"/>
            <color theme="1"/>
            <rFont val="Calibri"/>
            <family val="2"/>
            <scheme val="minor"/>
          </rPr>
          <t>Optional reviewer correction after checking field 950 and evidence. Allowed values: 0 or 100.</t>
        </r>
      </text>
    </comment>
    <comment ref="E110" authorId="0" shapeId="0" xr:uid="{00000000-0006-0000-0800-00006D000000}">
      <text>
        <r>
          <rPr>
            <sz val="11"/>
            <color theme="1"/>
            <rFont val="Calibri"/>
            <family val="2"/>
            <scheme val="minor"/>
          </rPr>
          <t>Optional reviewer correction after checking field 950 and evidence. Allowed values: 0 or 100.</t>
        </r>
      </text>
    </comment>
    <comment ref="E111" authorId="0" shapeId="0" xr:uid="{00000000-0006-0000-0800-00006E000000}">
      <text>
        <r>
          <rPr>
            <sz val="11"/>
            <color theme="1"/>
            <rFont val="Calibri"/>
            <family val="2"/>
            <scheme val="minor"/>
          </rPr>
          <t>Optional reviewer correction after checking field 950 and evidence. Allowed values: 0 or 100.</t>
        </r>
      </text>
    </comment>
    <comment ref="E112" authorId="0" shapeId="0" xr:uid="{00000000-0006-0000-0800-00006F000000}">
      <text>
        <r>
          <rPr>
            <sz val="11"/>
            <color theme="1"/>
            <rFont val="Calibri"/>
            <family val="2"/>
            <scheme val="minor"/>
          </rPr>
          <t>Optional reviewer correction after checking field 950 and evidence. Allowed values: 0 or 100.</t>
        </r>
      </text>
    </comment>
    <comment ref="E113" authorId="0" shapeId="0" xr:uid="{00000000-0006-0000-0800-000070000000}">
      <text>
        <r>
          <rPr>
            <sz val="11"/>
            <color theme="1"/>
            <rFont val="Calibri"/>
            <family val="2"/>
            <scheme val="minor"/>
          </rPr>
          <t>Optional reviewer correction after checking field 950 and evidence. Allowed values: 0 or 100.</t>
        </r>
      </text>
    </comment>
  </commentList>
</comments>
</file>

<file path=xl/sharedStrings.xml><?xml version="1.0" encoding="utf-8"?>
<sst xmlns="http://schemas.openxmlformats.org/spreadsheetml/2006/main" count="4958" uniqueCount="1271">
  <si>
    <t>Governance Practices: Final Equal-Weight Results</t>
  </si>
  <si>
    <t>Value</t>
  </si>
  <si>
    <t>Entries</t>
  </si>
  <si>
    <t>Final metrics</t>
  </si>
  <si>
    <t>G1-G7</t>
  </si>
  <si>
    <t>Weight per metric</t>
  </si>
  <si>
    <t>1/7 = 14.29%</t>
  </si>
  <si>
    <t>Coverage gate</t>
  </si>
  <si>
    <t>None</t>
  </si>
  <si>
    <t>Unavailable data</t>
  </si>
  <si>
    <t>Zero in final score</t>
  </si>
  <si>
    <t>Mean score</t>
  </si>
  <si>
    <t>Median score</t>
  </si>
  <si>
    <t>Standard deviation</t>
  </si>
  <si>
    <t>Minimum score</t>
  </si>
  <si>
    <t>Maximum score</t>
  </si>
  <si>
    <t>Mean observed coverage</t>
  </si>
  <si>
    <t>Entries with all seven metrics observed</t>
  </si>
  <si>
    <t>Interpretation</t>
  </si>
  <si>
    <t>Final scores reflect reported values and missingness because unavailable values score zero. Coverage is diagnostic only.</t>
  </si>
  <si>
    <t>Metric review</t>
  </si>
  <si>
    <t>See Metric Rules, Verification, Review Queue, Diagnostics, and Sensitivity.</t>
  </si>
  <si>
    <t>Service</t>
  </si>
  <si>
    <t>Provider</t>
  </si>
  <si>
    <t>Solution category</t>
  </si>
  <si>
    <t>024 structure status</t>
  </si>
  <si>
    <t>108 bylaws status</t>
  </si>
  <si>
    <t>050 board structure</t>
  </si>
  <si>
    <t>950 other detail</t>
  </si>
  <si>
    <t>048 community governance</t>
  </si>
  <si>
    <t>029 accessibility status</t>
  </si>
  <si>
    <t>035 equity status</t>
  </si>
  <si>
    <t>044 privacy status</t>
  </si>
  <si>
    <t>G1</t>
  </si>
  <si>
    <t>G2</t>
  </si>
  <si>
    <t>G3</t>
  </si>
  <si>
    <t>G4</t>
  </si>
  <si>
    <t>G5</t>
  </si>
  <si>
    <t>G6</t>
  </si>
  <si>
    <t>G7</t>
  </si>
  <si>
    <t>Final score / 100</t>
  </si>
  <si>
    <t>Rank</t>
  </si>
  <si>
    <t>Available metrics (of 7)</t>
  </si>
  <si>
    <t>Observed coverage</t>
  </si>
  <si>
    <t>Observed-only mean</t>
  </si>
  <si>
    <t>Data-quality notes</t>
  </si>
  <si>
    <t>2i2c</t>
  </si>
  <si>
    <t>Code for Science and Society</t>
  </si>
  <si>
    <t>Authoring tool</t>
  </si>
  <si>
    <t>In progress</t>
  </si>
  <si>
    <t>Unknown</t>
  </si>
  <si>
    <t>Advisory board or steering committee</t>
  </si>
  <si>
    <t>Considering</t>
  </si>
  <si>
    <t>Implemented/available</t>
  </si>
  <si>
    <t>108_bylaws_status unavailable/unknown scored 0; No independent verification recorded</t>
  </si>
  <si>
    <t>Academic Preservation Trust (APTrust)</t>
  </si>
  <si>
    <t>Digital preservation service</t>
  </si>
  <si>
    <t>Multi-board governance</t>
  </si>
  <si>
    <t>Formal</t>
  </si>
  <si>
    <t>Not planning</t>
  </si>
  <si>
    <t>No independent verification recorded</t>
  </si>
  <si>
    <t>AfricArXiv</t>
  </si>
  <si>
    <t>UbuntuNet Alliance</t>
  </si>
  <si>
    <t>Repository service</t>
  </si>
  <si>
    <t>Ad hoc</t>
  </si>
  <si>
    <t>Arches Heritage Data Management Platform</t>
  </si>
  <si>
    <t>Getty Conservation Institute (GCI)</t>
  </si>
  <si>
    <t>Data management planning tool or service</t>
  </si>
  <si>
    <t>Archipelago Commons</t>
  </si>
  <si>
    <t>Metropolitan New York Library Council</t>
  </si>
  <si>
    <t>Digital library, collection or exhibit platform | Repository software</t>
  </si>
  <si>
    <t>Archival Resource Key</t>
  </si>
  <si>
    <t>ARK Alliance</t>
  </si>
  <si>
    <t>Standard, specification or protocol</t>
  </si>
  <si>
    <t>Not applicable</t>
  </si>
  <si>
    <t>108_bylaws_status unavailable/unknown scored 0; 044_commitment_to_privacy_status unavailable/unknown scored 0; No independent verification recorded</t>
  </si>
  <si>
    <t>Archivematica</t>
  </si>
  <si>
    <t>Artefactual</t>
  </si>
  <si>
    <t>Digital preservation system</t>
  </si>
  <si>
    <t>ArchivesSpace</t>
  </si>
  <si>
    <t>Archive information management system | Discovery system</t>
  </si>
  <si>
    <t>ARGOS</t>
  </si>
  <si>
    <t>OpenAIRE</t>
  </si>
  <si>
    <t>arXiv</t>
  </si>
  <si>
    <t>Cornell University</t>
  </si>
  <si>
    <t>035_commitment_to_equity_status unavailable/unknown scored 0; No independent verification recorded</t>
  </si>
  <si>
    <t>AtoM</t>
  </si>
  <si>
    <t>Archive information management system</t>
  </si>
  <si>
    <t>048 community governance missing/unrecognized scored 0; No independent verification recorded</t>
  </si>
  <si>
    <t>Avalon Media System</t>
  </si>
  <si>
    <t>Indiana University Libraries</t>
  </si>
  <si>
    <t>Biodiversity Heritage Library</t>
  </si>
  <si>
    <t>BHL Consortium</t>
  </si>
  <si>
    <t>Digital library, collection or exhibit platform | Open scholarly dataset | Repository service</t>
  </si>
  <si>
    <t>bioRxiv</t>
  </si>
  <si>
    <t>Cold Spring Harbor Laboratory</t>
  </si>
  <si>
    <t>BitCurator Environment</t>
  </si>
  <si>
    <t>BitCurator Consortium</t>
  </si>
  <si>
    <t>Digital preservation tool</t>
  </si>
  <si>
    <t>Blacklight</t>
  </si>
  <si>
    <t>Discovery system | Integrated Library System (ILS) or Library Services Platform (LSP)</t>
  </si>
  <si>
    <t>BrCRIS</t>
  </si>
  <si>
    <t>IBICT</t>
  </si>
  <si>
    <t>Discovery system | Research profiling system</t>
  </si>
  <si>
    <t>024_governance_structure_status unavailable/unknown scored 0; 108_bylaws_status unavailable/unknown scored 0; No independent verification recorded</t>
  </si>
  <si>
    <t>Browsertrix</t>
  </si>
  <si>
    <t>Webrecorder</t>
  </si>
  <si>
    <t>Digital library, collection or exhibit platform | Web archiving system</t>
  </si>
  <si>
    <t>029_web_accessibility_status unavailable/unknown scored 0; 035_commitment_to_equity_status unavailable/unknown scored 0; No independent verification recorded</t>
  </si>
  <si>
    <t>CLOCKSS</t>
  </si>
  <si>
    <t>COAR International Repository Directory (IRD)</t>
  </si>
  <si>
    <t>COAR</t>
  </si>
  <si>
    <t>Index or directory</t>
  </si>
  <si>
    <t>COAR Notify</t>
  </si>
  <si>
    <t>Other</t>
  </si>
  <si>
    <t>Editorial Board</t>
  </si>
  <si>
    <t>Review 050 Other response; override available; No independent verification recorded</t>
  </si>
  <si>
    <t>CollectiveAccess</t>
  </si>
  <si>
    <t>Whirl-i-Gig</t>
  </si>
  <si>
    <t>Archive information management system | Digital asset management system | Digital library, collection or exhibit platform</t>
  </si>
  <si>
    <t>CORE</t>
  </si>
  <si>
    <t>The Open University</t>
  </si>
  <si>
    <t>Discovery system</t>
  </si>
  <si>
    <t>COUNTER Code of Practice</t>
  </si>
  <si>
    <t>COUNTER Metrics</t>
  </si>
  <si>
    <t>Creative Commons Licenses</t>
  </si>
  <si>
    <t>Creative Commons</t>
  </si>
  <si>
    <t>Crossref Metadata Retrieval</t>
  </si>
  <si>
    <t>Crossref</t>
  </si>
  <si>
    <t>Open scholarly dataset</t>
  </si>
  <si>
    <t>D4Science Infrastructure</t>
  </si>
  <si>
    <t>National Research Council of Italy</t>
  </si>
  <si>
    <t>Computing framework | Informal scholarly communications | Repository service</t>
  </si>
  <si>
    <t>DART (Digital Archivist's Resource Tool)</t>
  </si>
  <si>
    <t>Database Information System</t>
  </si>
  <si>
    <t>University Library of Regensburg</t>
  </si>
  <si>
    <t>Discovery system | Index or directory</t>
  </si>
  <si>
    <t>108_bylaws_status unavailable/unknown scored 0; 029_web_accessibility_status unavailable/unknown scored 0; 035_commitment_to_equity_status unavailable/unknown scored 0; No independent verification recorded</t>
  </si>
  <si>
    <t>Data Citation Corpus</t>
  </si>
  <si>
    <t>Make Data Count</t>
  </si>
  <si>
    <t>Discovery system | Open scholarly dataset</t>
  </si>
  <si>
    <t>DataCite</t>
  </si>
  <si>
    <t>Discovery system | Persistent identifier service</t>
  </si>
  <si>
    <t>Data Stewardship Wizard</t>
  </si>
  <si>
    <t>DSW Team</t>
  </si>
  <si>
    <t>Dataverse</t>
  </si>
  <si>
    <t>Harvard University Institute for Quantitative Social Science (IQSS)</t>
  </si>
  <si>
    <t>Repository software</t>
  </si>
  <si>
    <t>DLCM Backend</t>
  </si>
  <si>
    <t>DLCM Technology</t>
  </si>
  <si>
    <t>Archive information management system | Digital preservation system</t>
  </si>
  <si>
    <t>DLCM Portal</t>
  </si>
  <si>
    <t>Archive information management system | Digital preservation system | Software preservation service</t>
  </si>
  <si>
    <t>DMP Tool</t>
  </si>
  <si>
    <t>California Digital Library</t>
  </si>
  <si>
    <t>DOAJ (Directory of Open Access Journals)</t>
  </si>
  <si>
    <t>DOAJ Foundation</t>
  </si>
  <si>
    <t>Discovery system | Index or directory | Open scholarly dataset</t>
  </si>
  <si>
    <t>Advisory board or steering committee | Other</t>
  </si>
  <si>
    <t>Foundation Board &amp; Advisory Board</t>
  </si>
  <si>
    <t>dokieli</t>
  </si>
  <si>
    <t>Annotations system | Authoring tool | Informal scholarly communications</t>
  </si>
  <si>
    <t>024_governance_structure_status unavailable/unknown scored 0; 108_bylaws_status unavailable/unknown scored 0; 035_commitment_to_equity_status unavailable/unknown scored 0; 044_commitment_to_privacy_status unavailable/unknown scored 0; No independent verification recorded</t>
  </si>
  <si>
    <t>Dryad</t>
  </si>
  <si>
    <t>DSpace</t>
  </si>
  <si>
    <t>Lyrasis</t>
  </si>
  <si>
    <t>DuraCloud</t>
  </si>
  <si>
    <t>Digital preservation service | Digital preservation system | Digital preservation tool</t>
  </si>
  <si>
    <t>024_governance_structure_status unavailable/unknown scored 0; 029_web_accessibility_status unavailable/unknown scored 0; 035_commitment_to_equity_status unavailable/unknown scored 0; 044_commitment_to_privacy_status unavailable/unknown scored 0; 048 community governance missing/unrecognized scored 0; No independent verification recorded</t>
  </si>
  <si>
    <t>Episciences</t>
  </si>
  <si>
    <t>Center for Direct Scientific Communication (CCSD)</t>
  </si>
  <si>
    <t>Peer review system | Publishing system | Submissions system</t>
  </si>
  <si>
    <t>EPrints</t>
  </si>
  <si>
    <t>EPrints Services</t>
  </si>
  <si>
    <t>108_bylaws_status unavailable/unknown scored 0; 035_commitment_to_equity_status unavailable/unknown scored 0; 044_commitment_to_privacy_status unavailable/unknown scored 0; 048 community governance missing/unrecognized scored 0; No independent verification recorded</t>
  </si>
  <si>
    <t>Érudit</t>
  </si>
  <si>
    <t>Discovery system | Publishing system | Repository software</t>
  </si>
  <si>
    <t>Europe PMC</t>
  </si>
  <si>
    <t>EMBL European Bioinformatics Institute (EMBL-EBI)</t>
  </si>
  <si>
    <t>Digital preservation system | Discovery system | Repository service</t>
  </si>
  <si>
    <t>FAIR Wizard</t>
  </si>
  <si>
    <t>Codevence Solution s.r.o.</t>
  </si>
  <si>
    <t>Fedora</t>
  </si>
  <si>
    <t>fido</t>
  </si>
  <si>
    <t>Open Preservation Foundation</t>
  </si>
  <si>
    <t>Fulcrum</t>
  </si>
  <si>
    <t>Michigan Publishing</t>
  </si>
  <si>
    <t>Publishing system</t>
  </si>
  <si>
    <t>Review 050 Other response; override available; 108_bylaws_status unavailable/unknown scored 0; No independent verification recorded</t>
  </si>
  <si>
    <t>Galaxy</t>
  </si>
  <si>
    <t>The Galaxy community</t>
  </si>
  <si>
    <t>Computing framework | Discovery system</t>
  </si>
  <si>
    <t>GeoServer</t>
  </si>
  <si>
    <t>Open Source Geospatial Foundation</t>
  </si>
  <si>
    <t>Geospatial data tool or platform</t>
  </si>
  <si>
    <t>Hyku</t>
  </si>
  <si>
    <t>Samvera</t>
  </si>
  <si>
    <t>Hyrax</t>
  </si>
  <si>
    <t>IIIF</t>
  </si>
  <si>
    <t>IIIF Consortium</t>
  </si>
  <si>
    <t>029_web_accessibility_status unavailable/unknown scored 0; No independent verification recorded</t>
  </si>
  <si>
    <t>ImpactU</t>
  </si>
  <si>
    <t>Universidad de Antioquia and other Colombian universities</t>
  </si>
  <si>
    <t>Open scholarly dataset | Research profiling system</t>
  </si>
  <si>
    <t>024_governance_structure_status unavailable/unknown scored 0; 108_bylaws_status unavailable/unknown scored 0; 029_web_accessibility_status unavailable/unknown scored 0; 035_commitment_to_equity_status unavailable/unknown scored 0; 044_commitment_to_privacy_status unavailable/unknown scored 0; No independent verification recorded</t>
  </si>
  <si>
    <t>International Generic Sample Number (IGSN)</t>
  </si>
  <si>
    <t>International Generic Sample Number Organization e.V.</t>
  </si>
  <si>
    <t>Persistent identifier service</t>
  </si>
  <si>
    <t>InvenioRDM</t>
  </si>
  <si>
    <t>CERN</t>
  </si>
  <si>
    <t>044_commitment_to_privacy_status unavailable/unknown scored 0; No independent verification recorded</t>
  </si>
  <si>
    <t>iRODS</t>
  </si>
  <si>
    <t>Renaissance Computing Institute (RENCI)</t>
  </si>
  <si>
    <t>Data management planning tool or service | Digital preservation system | Discovery system</t>
  </si>
  <si>
    <t>In addition to the Executive Committee (which makes decisions on budgets and by laws), there is an Advisory Board that is advisory/strategic: https://irods.org/advisory-board/</t>
  </si>
  <si>
    <t>Islandora</t>
  </si>
  <si>
    <t>Islandora Foundation</t>
  </si>
  <si>
    <t>Authoring tool | Digital asset management system</t>
  </si>
  <si>
    <t>Janeway</t>
  </si>
  <si>
    <t>Open Library of Humanities</t>
  </si>
  <si>
    <t>JHOVE</t>
  </si>
  <si>
    <t>Computing library | Digital preservation tool</t>
  </si>
  <si>
    <t>LA Referencia</t>
  </si>
  <si>
    <t>Manifold</t>
  </si>
  <si>
    <t>Manifold Digital Services</t>
  </si>
  <si>
    <t>024_governance_structure_status unavailable/unknown scored 0; 108_bylaws_status unavailable/unknown scored 0; 044_commitment_to_privacy_status unavailable/unknown scored 0; No independent verification recorded</t>
  </si>
  <si>
    <t>medRxiv</t>
  </si>
  <si>
    <t>Metadata Encoding and Transmission Standard (METS)</t>
  </si>
  <si>
    <t>METS Editorial Board</t>
  </si>
  <si>
    <t>Mirador</t>
  </si>
  <si>
    <t>Project Mirador</t>
  </si>
  <si>
    <t>Annotations system | Media viewer/player</t>
  </si>
  <si>
    <t>Mukurtu CMS</t>
  </si>
  <si>
    <t>Center for Digital Scholarship and Curation</t>
  </si>
  <si>
    <t>Archive information management system | Digital asset management system</t>
  </si>
  <si>
    <t>MyCoRe</t>
  </si>
  <si>
    <t>MyCoRe Community</t>
  </si>
  <si>
    <t>Digital asset management system | Digital library, collection or exhibit platform | Repository software</t>
  </si>
  <si>
    <t>NumPy</t>
  </si>
  <si>
    <t>NumPy Community</t>
  </si>
  <si>
    <t>Computing library | Standard, specification or protocol</t>
  </si>
  <si>
    <t>OA.Report</t>
  </si>
  <si>
    <t>OA.Works</t>
  </si>
  <si>
    <t>Open access or subscription management tool | Research profiling system</t>
  </si>
  <si>
    <t>OA Switchboard</t>
  </si>
  <si>
    <t>Stichting OA Switchboard</t>
  </si>
  <si>
    <t>Open access or subscription management tool</t>
  </si>
  <si>
    <t>Omeka</t>
  </si>
  <si>
    <t>Digital Scholar</t>
  </si>
  <si>
    <t>Digital library, collection or exhibit platform</t>
  </si>
  <si>
    <t>OpenAIRE Graph</t>
  </si>
  <si>
    <t>OpenAlex</t>
  </si>
  <si>
    <t>OurResearch</t>
  </si>
  <si>
    <t>OpenAPC</t>
  </si>
  <si>
    <t>Bielefeld University</t>
  </si>
  <si>
    <t>OpenCitations</t>
  </si>
  <si>
    <t>Research Centre for Open Scholarly Metadata, University of Bologna</t>
  </si>
  <si>
    <t>openCost</t>
  </si>
  <si>
    <t>Open scholarly dataset | Standard, specification or protocol</t>
  </si>
  <si>
    <t>Open Data Editor</t>
  </si>
  <si>
    <t>Open Knowledge Foundation</t>
  </si>
  <si>
    <t>Data collection or management tool</t>
  </si>
  <si>
    <t>OpenEdition</t>
  </si>
  <si>
    <t>OpenEdition Center, Aix-Marseille University, the EHESS and Avignon University</t>
  </si>
  <si>
    <t>Open Journal Systems (OJS)</t>
  </si>
  <si>
    <t>Public Knowledge Project (PKP)</t>
  </si>
  <si>
    <t>Open Monograph Press (OMP)</t>
  </si>
  <si>
    <t>Open Preprint Systems (OPS)</t>
  </si>
  <si>
    <t>Openverse</t>
  </si>
  <si>
    <t>WordPress Foundation</t>
  </si>
  <si>
    <t>O Portal Brasileiro de Publicações e Dados Científicos em Acesso Aberto (The Brazilian Open Access Publications and Scientific Data Portal) (Oasisbr)</t>
  </si>
  <si>
    <t>Instituto Brasileiro de Informação em Ciência e Tecnologia (Brazilian Institute of Information in Science and Technology) (Ibict)</t>
  </si>
  <si>
    <t>OSF (Open Science Framework)</t>
  </si>
  <si>
    <t>Center for Open Science, Inc.</t>
  </si>
  <si>
    <t>Repository service | Repository software</t>
  </si>
  <si>
    <t>Oxford Common File Layout</t>
  </si>
  <si>
    <t>Oxford Common File Layout (OCFL)</t>
  </si>
  <si>
    <t>108_bylaws_status unavailable/unknown scored 0; 029_web_accessibility_status unavailable/unknown scored 0; 044_commitment_to_privacy_status unavailable/unknown scored 0; No independent verification recorded</t>
  </si>
  <si>
    <t>Peer Community In</t>
  </si>
  <si>
    <t>PCI, Peer Community In</t>
  </si>
  <si>
    <t>Peer review system</t>
  </si>
  <si>
    <t>PKP Preservation Network</t>
  </si>
  <si>
    <t>PREreview</t>
  </si>
  <si>
    <t>Discovery system | Peer review system</t>
  </si>
  <si>
    <t>Pressbooks</t>
  </si>
  <si>
    <t>Book Oven, Inc.</t>
  </si>
  <si>
    <t>Public Access Submission System</t>
  </si>
  <si>
    <t>Eclipse Foundation</t>
  </si>
  <si>
    <t>Submissions system</t>
  </si>
  <si>
    <t>Public Utility Data Liberation (PUDL)</t>
  </si>
  <si>
    <t>Catalyst Cooperative</t>
  </si>
  <si>
    <t>Open scholarly dataset | Web archiving system</t>
  </si>
  <si>
    <t>Board of directors</t>
  </si>
  <si>
    <t>PubPub</t>
  </si>
  <si>
    <t>Knowledge Futures</t>
  </si>
  <si>
    <t>Pundit</t>
  </si>
  <si>
    <t>Net7 Srl</t>
  </si>
  <si>
    <t>Annotations system</t>
  </si>
  <si>
    <t>pyOpenSci</t>
  </si>
  <si>
    <t>Community Initiatives</t>
  </si>
  <si>
    <t>Research software community</t>
  </si>
  <si>
    <t>Renku</t>
  </si>
  <si>
    <t>Swiss Data Science Center</t>
  </si>
  <si>
    <t>Data management planning tool or service | Discovery system | Research software community</t>
  </si>
  <si>
    <t>RePEc</t>
  </si>
  <si>
    <t>Research Organization Registry (ROR)</t>
  </si>
  <si>
    <t>California Digital Library, Crossref, DataCite</t>
  </si>
  <si>
    <t>Rogue Scholar</t>
  </si>
  <si>
    <t>The Rogue Scholar</t>
  </si>
  <si>
    <t>Digital preservation system | Discovery system</t>
  </si>
  <si>
    <t>RSpace</t>
  </si>
  <si>
    <t>Research Innovations Ltd (trading as Research Space)</t>
  </si>
  <si>
    <t>Board of directors of UK limited company</t>
  </si>
  <si>
    <t>Sciety</t>
  </si>
  <si>
    <t>eLife</t>
  </si>
  <si>
    <t>Synapse</t>
  </si>
  <si>
    <t>Sage Bionetworks</t>
  </si>
  <si>
    <t>Annotations system | Repository service</t>
  </si>
  <si>
    <t>TagTeam</t>
  </si>
  <si>
    <t>Harvard University</t>
  </si>
  <si>
    <t>Annotations system | Discovery system</t>
  </si>
  <si>
    <t>Thoth Open Metadata</t>
  </si>
  <si>
    <t>Digital preservation service | Format conversion tool or service | Open scholarly dataset</t>
  </si>
  <si>
    <t>Board of Directors</t>
  </si>
  <si>
    <t>Tropy</t>
  </si>
  <si>
    <t>Digital asset management system</t>
  </si>
  <si>
    <t>veraPDF</t>
  </si>
  <si>
    <t>veraPDF Consortium</t>
  </si>
  <si>
    <t>Digital preservation tool | Standard, specification or protocol</t>
  </si>
  <si>
    <t>ViPER</t>
  </si>
  <si>
    <t>Vireo ETD</t>
  </si>
  <si>
    <t>Texas Digital Library</t>
  </si>
  <si>
    <t>Publishing system | Repository software | Submissions system</t>
  </si>
  <si>
    <t>VIVO</t>
  </si>
  <si>
    <t>Discovery system | Research profiling system | Standard, specification or protocol</t>
  </si>
  <si>
    <t>VuFind®</t>
  </si>
  <si>
    <t>Open Library Foundation</t>
  </si>
  <si>
    <t>Zenodo</t>
  </si>
  <si>
    <t>108_bylaws_status unavailable/unknown scored 0; 029_web_accessibility_status unavailable/unknown scored 0; No independent verification recorded</t>
  </si>
  <si>
    <t>Zotero</t>
  </si>
  <si>
    <t>Code</t>
  </si>
  <si>
    <t>Metric</t>
  </si>
  <si>
    <t>Source field(s)</t>
  </si>
  <si>
    <t>Exact weight</t>
  </si>
  <si>
    <t>Displayed weight</t>
  </si>
  <si>
    <t>Scoring criteria</t>
  </si>
  <si>
    <t>Unavailable-data treatment</t>
  </si>
  <si>
    <t>Why this metric is retained</t>
  </si>
  <si>
    <t>Governance structure status</t>
  </si>
  <si>
    <t>024_governance_structure_status</t>
  </si>
  <si>
    <t>14.29%</t>
  </si>
  <si>
    <t>Implemented/available=100; In progress=67; Considering=33; Not planning=0.</t>
  </si>
  <si>
    <t>Unknown, not applicable, blank, or unrecognized=0 in final score; omitted from observed-only diagnostics. Explicit negative response counts as observed zero.</t>
  </si>
  <si>
    <t>Reports whether a governance structure is implemented or at an earlier stated stage; the data show responses across the status ladder.</t>
  </si>
  <si>
    <t>Bylaws or equivalent formal rules</t>
  </si>
  <si>
    <t>108_bylaws_status</t>
  </si>
  <si>
    <t>Captures written bylaws or equivalent rules as a distinct formal-governance element; report its comparatively high missingness.</t>
  </si>
  <si>
    <t>Board or steering-body presence</t>
  </si>
  <si>
    <t>050_board_structure + 950_board_structure_other</t>
  </si>
  <si>
    <t>Recognized advisory/steering or multi-board category=100; None=0; Other=100 only when field 950 substantiates a relevant board/committee; otherwise 0 pending review.</t>
  </si>
  <si>
    <t>Blank=0 and unavailable. Other is scored 0 provisionally and flagged unless field 950 supports a relevant body; reviewer override 0/100 available. None is an observed zero.</t>
  </si>
  <si>
    <t>Captures whether a board/steering body exists. Corrects the former error that credited the explicit response None.</t>
  </si>
  <si>
    <t>Web accessibility status</t>
  </si>
  <si>
    <t>029_web_accessibility_status</t>
  </si>
  <si>
    <t>Formal=100; Ad hoc=50; None=0.</t>
  </si>
  <si>
    <t>Blank or unrecognized=0 and unavailable. Explicit None counts as observed zero.</t>
  </si>
  <si>
    <t>Measures formal versus ad hoc community participation in governance; all source service names match the governance dataset.</t>
  </si>
  <si>
    <t>Equity commitment status</t>
  </si>
  <si>
    <t>035_commitment_to_equity_status</t>
  </si>
  <si>
    <t>Captures the reported maturity of accessibility-related commitments or practice.</t>
  </si>
  <si>
    <t>Privacy commitment status</t>
  </si>
  <si>
    <t>044_commitment_to_privacy_status</t>
  </si>
  <si>
    <t>Captures the reported maturity of explicit equity commitments.</t>
  </si>
  <si>
    <t>Community governance formality</t>
  </si>
  <si>
    <t>048_community_governance_status</t>
  </si>
  <si>
    <t>Captures the reported maturity of privacy commitments relevant to users and their data.</t>
  </si>
  <si>
    <t>Total</t>
  </si>
  <si>
    <t>100.00%</t>
  </si>
  <si>
    <t>Exact weight per metric is 1/7; 14.29% is display rounding.</t>
  </si>
  <si>
    <t>Methodology and interpretation</t>
  </si>
  <si>
    <t>Details</t>
  </si>
  <si>
    <t>Scope</t>
  </si>
  <si>
    <t>Seven indicators represent governance-structure status, formal rules, governing-body presence, community participation in governance, accessibility, equity, and privacy.</t>
  </si>
  <si>
    <t>Equal weighting</t>
  </si>
  <si>
    <t>Each top-level metric receives exactly 1/7 of the score (14.2857%; displayed as 14.29%). Equal weighting is a transparent design choice, not an empirically estimated claim of equal causal importance.</t>
  </si>
  <si>
    <t>Final formula</t>
  </si>
  <si>
    <t>Governance Practices Score = (G1 + G2 + G3 + G4 + G5 + G6 + G7) / 7. Each metric is scored from 0 to 100.</t>
  </si>
  <si>
    <t>No coverage gate</t>
  </si>
  <si>
    <t>Every infrastructure receives a score. There is no minimum coverage or eligibility rule; the denominator stays seven.</t>
  </si>
  <si>
    <t>Zero-fill assumption</t>
  </si>
  <si>
    <t>Unknown, Not applicable, blank, and unrecognized responses score zero in the final composite. This makes the score reflect reported performance and data completeness; zero does not prove absence of the underlying practice.</t>
  </si>
  <si>
    <t>Coverage diagnostics</t>
  </si>
  <si>
    <t>Observed metric count and observed coverage (count/7) are reported but do not gate scoring. Explicit negative responses such as Not planning or None count as observed zero. Unknown, N/A, blank, and unresolved status values are excluded from observed coverage.</t>
  </si>
  <si>
    <t>Average the metric scores with observed data only. This is descriptive and uses a variable denominator; it is not the final score or primary zero-filled ranking.</t>
  </si>
  <si>
    <t>048 source merge</t>
  </si>
  <si>
    <t>Community governance fields 048 and 049 are imported from the Community Engagement verification workbook and matched by exact service name. All 112 names match; the current Community Engagement index does not score 048 as a separate metric.</t>
  </si>
  <si>
    <t>050 correction</t>
  </si>
  <si>
    <t>The prior binary rule awarded points to any nonblank value and therefore treated None as positive. The revised rule scores None=0 and requires field 950 evidence to count Other as a governing body. Other cases are flagged for review and may be overridden in Verification.</t>
  </si>
  <si>
    <t>Fields excluded from score</t>
  </si>
  <si>
    <t>026 Governance records and 033 Transparent pricing are excluded as requested. Field 046 Values frameworks and 100 Board level remain descriptive; 046 contains heterogeneous frameworks and is blank for 76 entries, while 100 has only 15 responses. URLs and summaries are evidence/context, not additional metrics.</t>
  </si>
  <si>
    <t>Why 033 is excluded</t>
  </si>
  <si>
    <t>The prior source has 59 No direct costs and 47 Implemented/available responses. Treating both as fully transparent pricing places 94.6% at the score ceiling and conflates absence of charge with price transparency.</t>
  </si>
  <si>
    <t>Sensitivity analysis</t>
  </si>
  <si>
    <t>The zero-filled seven-metric score is the main result. Observed-only, complete-case, and six-metric results excluding G3 are included only as sensitivity checks; none exclude entries from the primary score.</t>
  </si>
  <si>
    <t>Evidence limitation</t>
  </si>
  <si>
    <t>The source verification_status and verification_notes fields are empty for all entries. Scores are therefore based on recorded fields and have not been independently verified through every linked source.</t>
  </si>
  <si>
    <t>Interpretation caution</t>
  </si>
  <si>
    <t>G1, G2, and G3 are related structural-governance indicators. Retaining all three gives the formal governance cluster 3/7 of the total metric weight. Sensitivity results show how much G3 influences rankings.</t>
  </si>
  <si>
    <t>No bands</t>
  </si>
  <si>
    <t>No 70-point cutoff or high/medium/low performance bands are applied.</t>
  </si>
  <si>
    <t>Parameter</t>
  </si>
  <si>
    <t>Explanation</t>
  </si>
  <si>
    <t>Number of metrics</t>
  </si>
  <si>
    <t>G1 through G7</t>
  </si>
  <si>
    <t>Exact metric weight</t>
  </si>
  <si>
    <t>Each metric contributes equally; exact weight sums to 100%.</t>
  </si>
  <si>
    <t>Displayed metric weight</t>
  </si>
  <si>
    <t>Rounded display only.</t>
  </si>
  <si>
    <t>Final score denominator</t>
  </si>
  <si>
    <t>Fixed for every infrastructure.</t>
  </si>
  <si>
    <t>Coverage eligibility threshold</t>
  </si>
  <si>
    <t>Coverage is diagnostic only; all entries are scored.</t>
  </si>
  <si>
    <t>Unknown, N/A, blank, or unrecognized values contribute zero to the final score.</t>
  </si>
  <si>
    <t>Status ladder</t>
  </si>
  <si>
    <t>100 / 67 / 33 / 0</t>
  </si>
  <si>
    <t>Implemented / In progress / Considering / Not planning.</t>
  </si>
  <si>
    <t>Community governance ladder</t>
  </si>
  <si>
    <t>100 / 50 / 0</t>
  </si>
  <si>
    <t>Formal / Ad hoc / None.</t>
  </si>
  <si>
    <t>050 Other handling</t>
  </si>
  <si>
    <t>Review + override</t>
  </si>
  <si>
    <t>Use 950 description; score 100 only when a relevant board or committee is substantiated.</t>
  </si>
  <si>
    <t>Observed n</t>
  </si>
  <si>
    <t>Mean among observed</t>
  </si>
  <si>
    <t>Mean under zero-fill</t>
  </si>
  <si>
    <t>SD among observed</t>
  </si>
  <si>
    <t>% at 100 among observed</t>
  </si>
  <si>
    <t>% at 0 among observed</t>
  </si>
  <si>
    <t>Reading</t>
  </si>
  <si>
    <t>G1 Governance structure status</t>
  </si>
  <si>
    <t>Broad status variation; unknown values are zero-filled.</t>
  </si>
  <si>
    <t>G2 Bylaws or equivalent formal rules</t>
  </si>
  <si>
    <t>29 unknown values; zero-fill materially affects its mean.</t>
  </si>
  <si>
    <t>G3 Board or steering-body presence</t>
  </si>
  <si>
    <t>Other values need review; explicit None correctly scores zero.</t>
  </si>
  <si>
    <t>G4 Web accessibility status</t>
  </si>
  <si>
    <t>Accessibility applicability field is sparse; use status as recorded.</t>
  </si>
  <si>
    <t>G5 Equity commitment status</t>
  </si>
  <si>
    <t>Equity commitment has good spread across status levels.</t>
  </si>
  <si>
    <t>G6 Privacy commitment status</t>
  </si>
  <si>
    <t>High implemented share; still retains non-ceiling variation.</t>
  </si>
  <si>
    <t>G7 Community governance formality</t>
  </si>
  <si>
    <t>Community governance is sourced from the matched CE sheet; six blanks.</t>
  </si>
  <si>
    <t>Component summary</t>
  </si>
  <si>
    <t>Entries scored</t>
  </si>
  <si>
    <t>Metrics</t>
  </si>
  <si>
    <t>1/7 = 14.2857% (display 14.29%)</t>
  </si>
  <si>
    <t>Mean zero-filled score</t>
  </si>
  <si>
    <t>Median zero-filled score</t>
  </si>
  <si>
    <t>Score standard deviation</t>
  </si>
  <si>
    <t>All seven metrics observed</t>
  </si>
  <si>
    <t>Verification data</t>
  </si>
  <si>
    <t>verification_status and verification_notes are blank across the source entries.</t>
  </si>
  <si>
    <t>Sensitivity variant</t>
  </si>
  <si>
    <t>Spearman rho vs baseline</t>
  </si>
  <si>
    <t>Mean absolute score change</t>
  </si>
  <si>
    <t>Max absolute score change</t>
  </si>
  <si>
    <t>Entries moving &gt;=10 ranks</t>
  </si>
  <si>
    <t>Baseline: seven-metric zero-filled</t>
  </si>
  <si>
    <t>Primary result; all entries scored.</t>
  </si>
  <si>
    <t>Diagnostic only; variable denominator and partial coverage.</t>
  </si>
  <si>
    <t>Complete-data subset, same seven metrics</t>
  </si>
  <si>
    <t>Sensitivity only; does not exclude other entries from the main score.</t>
  </si>
  <si>
    <t>Six-metric variant excluding G3</t>
  </si>
  <si>
    <t>Sensitivity check for the influence of board-presence metric; not the official metric set.</t>
  </si>
  <si>
    <t>Note</t>
  </si>
  <si>
    <t>G3 sensitivity uses provisional 050/950 coding. Refresh this workbook after reviewer overrides to update all result and sensitivity tables.</t>
  </si>
  <si>
    <t>G1 observed</t>
  </si>
  <si>
    <t>G2 observed</t>
  </si>
  <si>
    <t>G3 observed</t>
  </si>
  <si>
    <t>G4 observed</t>
  </si>
  <si>
    <t>G5 observed</t>
  </si>
  <si>
    <t>G6 observed</t>
  </si>
  <si>
    <t>G7 observed</t>
  </si>
  <si>
    <t>Zero-filled final score</t>
  </si>
  <si>
    <t>Provisional G3</t>
  </si>
  <si>
    <t>Reviewer override (0 or 100)</t>
  </si>
  <si>
    <t>Final G3</t>
  </si>
  <si>
    <t>Review status</t>
  </si>
  <si>
    <t>Reviewer notes</t>
  </si>
  <si>
    <t>No G3 review flagged</t>
  </si>
  <si>
    <t>Allowed override values are 0 or 100; use only after checking the described body's role.</t>
  </si>
  <si>
    <t>Review Other response</t>
  </si>
  <si>
    <t>Metric / field</t>
  </si>
  <si>
    <t>Raw value</t>
  </si>
  <si>
    <t>Provisional treatment</t>
  </si>
  <si>
    <t>Review reason / action</t>
  </si>
  <si>
    <t>G1: 024_governance_structure_status</t>
  </si>
  <si>
    <t>Status scored 100; no paired URL supplied</t>
  </si>
  <si>
    <t>Review official evidence where available; this is a documentation check, not an eligibility rule.</t>
  </si>
  <si>
    <t>G3: 050/950</t>
  </si>
  <si>
    <t>Other | Editorial Board</t>
  </si>
  <si>
    <t>Confirm the described body governs, oversees, or advises this infrastructure; then enter 0 or 100 on Verification.</t>
  </si>
  <si>
    <t>G4: 029_web_accessibility_status</t>
  </si>
  <si>
    <t xml:space="preserve">Other | </t>
  </si>
  <si>
    <t>G7: 048/049</t>
  </si>
  <si>
    <t>Formal scored 100; no paired URL supplied</t>
  </si>
  <si>
    <t>Other | Board of directors</t>
  </si>
  <si>
    <t>Other | Board of directors of UK limited company</t>
  </si>
  <si>
    <t>Other | Board of Directors</t>
  </si>
  <si>
    <t>G3 provisional</t>
  </si>
  <si>
    <t>G3 coding rationale</t>
  </si>
  <si>
    <t>G3 review flag</t>
  </si>
  <si>
    <t>Python-checked zero-filled score</t>
  </si>
  <si>
    <t>Available metrics</t>
  </si>
  <si>
    <t>Data-quality flags</t>
  </si>
  <si>
    <t>Recognized board or steering-body category</t>
  </si>
  <si>
    <t>No</t>
  </si>
  <si>
    <t>Explicitly reports no board/steering body</t>
  </si>
  <si>
    <t>Blank or unrecognized board-structure response</t>
  </si>
  <si>
    <t>Other response needs review; no qualifying governance body established</t>
  </si>
  <si>
    <t>Yes</t>
  </si>
  <si>
    <t>Other field names a board/committee; review its relationship to the infrastructure</t>
  </si>
  <si>
    <t>001_service_name</t>
  </si>
  <si>
    <t>008_provider_name</t>
  </si>
  <si>
    <t>010_website</t>
  </si>
  <si>
    <t>013_location</t>
  </si>
  <si>
    <t>014_solution_category</t>
  </si>
  <si>
    <t>019_open_code_repository_url</t>
  </si>
  <si>
    <t>025_governance_structure_url</t>
  </si>
  <si>
    <t>026_governance_records_status</t>
  </si>
  <si>
    <t>027_governance_summary</t>
  </si>
  <si>
    <t>028_governance_records_url</t>
  </si>
  <si>
    <t>050_board_structure</t>
  </si>
  <si>
    <t>950_board_structure_other</t>
  </si>
  <si>
    <t>100_board_level</t>
  </si>
  <si>
    <t>900_board_level_other</t>
  </si>
  <si>
    <t>030_web_accessibility_url</t>
  </si>
  <si>
    <t>031_web_accessibility_applicability</t>
  </si>
  <si>
    <t>033_transparent_pricing_status</t>
  </si>
  <si>
    <t>034_transparent_pricing_url</t>
  </si>
  <si>
    <t>036_commitment_to_equity_url</t>
  </si>
  <si>
    <t>045_commitment_to_privacy_url</t>
  </si>
  <si>
    <t>046_values_frameworks</t>
  </si>
  <si>
    <t>verification_status</t>
  </si>
  <si>
    <t>verification_notes</t>
  </si>
  <si>
    <t>049_community_governance_url</t>
  </si>
  <si>
    <t>https://2i2c.org/</t>
  </si>
  <si>
    <t>US</t>
  </si>
  <si>
    <t>https://github.com/2i2c-org/infrastructure</t>
  </si>
  <si>
    <t>https://compass.2i2c.org/organization/structure/</t>
  </si>
  <si>
    <t>&lt;p&gt;2i2c is governed by a &lt;a href="https://compass.2i2c.org/organization/structure/" target="_blank"&gt;Steering Council&lt;/a&gt;, and is a fiscally sponsored project of &lt;a href="https://www.codeforsociety.org/" target="_blank"&gt;Code for Science &amp;amp; Society&lt;/a&gt;, a US-based 501(c)3. Additional governance development is in progress. &lt;/p&gt;</t>
  </si>
  <si>
    <t>https://docs.google.com/document/d/1FNiDyKNDoe_TgU2WxuNZ5CayYD56tlNJpImQsAIGOmg/edit</t>
  </si>
  <si>
    <t>https://docs.2i2c.org/user/topics/policy/privacy/</t>
  </si>
  <si>
    <t>https://aptrust.org</t>
  </si>
  <si>
    <t>https://github.com/APTrust/registry</t>
  </si>
  <si>
    <t>https://aptrust.org/governance/</t>
  </si>
  <si>
    <t>The Governing Board is the primary governing body for APTrust; however, member institutions contribute actively to governance through input gathered by the Board.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</si>
  <si>
    <t>https://aptrust.org/resources/member-meetings/</t>
  </si>
  <si>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The Board meets quarterly in person or by phone as needed and holds an annual meeting of the Board with all institutional members. APTrust is legally constituted as part of the University of Virginia. Activities and operating guidelines of APTrust are subject to the rules and policies of the University of Virginia, as are any contracts between individual member institutions and the University of Virginia.
</t>
  </si>
  <si>
    <t>https://aptrust.org/about/services-and-fees/</t>
  </si>
  <si>
    <t>https://aptrust.org/resources/policies/#vision-mission-and-shared-values</t>
  </si>
  <si>
    <t>It Takes a Village Open Source Software Sustainability toolkit</t>
  </si>
  <si>
    <t>https://aptrust.org/resources/policies/#governance-manual</t>
  </si>
  <si>
    <t>https://africarxiv.org/</t>
  </si>
  <si>
    <t>MW</t>
  </si>
  <si>
    <t>https://africarxiv.org/governance</t>
  </si>
  <si>
    <t>n/a</t>
  </si>
  <si>
    <t>https://africarxiv.ubuntunet.net/info/privacy</t>
  </si>
  <si>
    <t>Helsinki Initiative on Multilingualism</t>
  </si>
  <si>
    <t>https://archesproject.org</t>
  </si>
  <si>
    <t>https://github.com/archesproject</t>
  </si>
  <si>
    <t>https://www.archesproject.org/archesgovernance/</t>
  </si>
  <si>
    <t>Works to decide on the strategic and operational requirements and priorities of the Arches Project.</t>
  </si>
  <si>
    <t>https://www.archesproject.org/accessibility/</t>
  </si>
  <si>
    <t>Our tool or project</t>
  </si>
  <si>
    <t>No direct costs</t>
  </si>
  <si>
    <t>FAIR Guiding Principles for Scientific Data Management and Stewardship</t>
  </si>
  <si>
    <t>https://docs.archipelago.nyc/</t>
  </si>
  <si>
    <t>https://github.com/esmero/</t>
  </si>
  <si>
    <t>Archipelago is governed by an Advisory Board, and is a project of the &lt;a href="https://metro.org"&gt;Metropolitan New York Library Council&lt;/a&gt;, which is governed by a &lt;a href="https://metro.org/team/"&gt;Board of Trustees&lt;/a&gt;.</t>
  </si>
  <si>
    <t>https://docs.google.com/document/d/1IXLYykwTbYS34VqzU-4AOD47EKQC95WyKrmZOKZkz6s/edit?usp=sharing</t>
  </si>
  <si>
    <t>https://docs.archipelago.nyc/1.5.0/CODE_OF_CONDUCT/</t>
  </si>
  <si>
    <t>Contributor Covenant Code of Conduct for Open Source and Other Digital Commons Communities | FAIR Guiding Principles for Scientific Data Management and Stewardship</t>
  </si>
  <si>
    <t>https://metro.org/wp-content/uploads/2025/05/METROBylaws20242.pdf</t>
  </si>
  <si>
    <t>https://arks.org/</t>
  </si>
  <si>
    <t>https://github.com/arks-org</t>
  </si>
  <si>
    <t>&lt;p&gt;&lt;a href="https://arks.org/community/" target="_blank"&gt;ARK Alliance&lt;/a&gt; is a global community group that works to promote and support the ARK community. Participation is open to all ARK users. Oversight and activities are conducted by committees, including the Advisory Group, Outreach Group, Technical Group, and the Name Assigning Authority Number (NAAN) Group.&lt;/p&gt;</t>
  </si>
  <si>
    <t>https://www.archivematica.org/</t>
  </si>
  <si>
    <t>CA</t>
  </si>
  <si>
    <t>https://github.com/artefactual/archivematica</t>
  </si>
  <si>
    <t>We have a board of directors for the company Artefactual not the Archiveamtica software.</t>
  </si>
  <si>
    <t>https://www.artefactual.com/pricing</t>
  </si>
  <si>
    <t>https://www.artefactual.com/data-collection-and-privacy-notice</t>
  </si>
  <si>
    <t>https://archivesspace.org/</t>
  </si>
  <si>
    <t>https://github.com/archivesspace/archivesspace</t>
  </si>
  <si>
    <t>https://archivesspace.org/governance-board-and-councils</t>
  </si>
  <si>
    <t>https://archivesspace.atlassian.net/wiki/spaces/AC/overview</t>
  </si>
  <si>
    <t>high level decision-making and strategic discussions, ensuring the financial health of the organization and approval of the annual budget, overseeing and representing the ArchivesSpace community at large in the relationship with Lyrasis, the organizational home</t>
  </si>
  <si>
    <t>https://archivesspace.org/application/accessibility-vpat</t>
  </si>
  <si>
    <t>https://archivesspace.org/membership/member-benefits</t>
  </si>
  <si>
    <t>https://archivesspace.org/about/anti-racism-inclusion-initiatives</t>
  </si>
  <si>
    <t>https://archivesspace.org/about/lyrasis-privacy-policy</t>
  </si>
  <si>
    <t>https://argos.openaire.eu/</t>
  </si>
  <si>
    <t>https://github.com/OpenCDMP/OpenCDMP</t>
  </si>
  <si>
    <t>https://www.openaire.eu/governance</t>
  </si>
  <si>
    <t>The Board is essential in shaping OpenAIRE and thereby the ARGOS roadmap and development. They are regularly consulted and their input and decisions are highly valued and respected.</t>
  </si>
  <si>
    <t>https://catalogue.openaire.eu/service/openaire.argos/subscriptions</t>
  </si>
  <si>
    <t>https://www.openaire.eu/openaire-gep</t>
  </si>
  <si>
    <t>https://www.openaire.eu/privacy-policy</t>
  </si>
  <si>
    <t>https://www.openaire.eu/organisation-2</t>
  </si>
  <si>
    <t>https://arxiv.org/</t>
  </si>
  <si>
    <t>https://github.com/arXiv</t>
  </si>
  <si>
    <t>https://info.arxiv.org/about/governance.html</t>
  </si>
  <si>
    <t>&lt;p&gt;arXiv is &lt;a href="https://info.arxiv.org/about/governance.html" target="_blank"&gt;governed&lt;/a&gt; by the Leadership team with guidance from the arXiv &lt;a href="https://info.arxiv.org/about/people/science_advisory_council.html" target="_blank"&gt;Science Advisory Council&lt;/a&gt;, &lt;a href="https://info.arxiv.org/about/people/institutions_advisory_council.html" target="_blank"&gt;Institutions Advisory Council&lt;/a&gt;, and &lt;a href="https://info.arxiv.org/about/people/editorial_advisory_council.html" target="_blank"&gt;Editorial Advisory Council&lt;/a&gt;. arXiv is housed at &lt;a href="https://www.cornell.edu/" target="_blank"&gt;Cornell University&lt;/a&gt;.&lt;/p&gt;</t>
  </si>
  <si>
    <t>https://info.arxiv.org/about/reports/index.html</t>
  </si>
  <si>
    <t>https://info.arxiv.org/help/web_accessibility.html</t>
  </si>
  <si>
    <t>Our website</t>
  </si>
  <si>
    <t>https://info.arxiv.org/about/funding.html</t>
  </si>
  <si>
    <t>https://info.arxiv.org/help/policies/privacy_policy.html</t>
  </si>
  <si>
    <t>https://info.arxiv.org/about/arXiv_bylaws.html</t>
  </si>
  <si>
    <t>https://www.accesstomemory.org/en/</t>
  </si>
  <si>
    <t>https://github.com/artefactual/atom</t>
  </si>
  <si>
    <t xml:space="preserve">Artefactual the company has a board of directors. AtoM does not have a board but there is the AtoM Foundation, a federally incorporated, community driven, soliciting non-profit body. The Foundation was established in 2018 to oversee and support the development, sustainability and adoption of Access to Memory (AtoM). https://accesstomemoryfoundation.org/ </t>
  </si>
  <si>
    <t>https://avalon.samvera.org/</t>
  </si>
  <si>
    <t>https://github.com/avalonmediasystem/avalon</t>
  </si>
  <si>
    <t>https://samvera.atlassian.net/wiki/spaces/samvera/pages/1387986974/Samvera+Bylaws</t>
  </si>
  <si>
    <t>Avalon is a project of Samvera, a distinct series entity hosted by OASIS Open. Samvera is governed by a Board of Directors.</t>
  </si>
  <si>
    <t>https://samvera.atlassian.net/wiki/spaces/samvera/pages/426512038/Notes+from+Samvera+Board+meetings+and+calls</t>
  </si>
  <si>
    <t>https://www.biodiversitylibrary.org/</t>
  </si>
  <si>
    <t>https://github.com/gbhl/bhl-us</t>
  </si>
  <si>
    <t>https://about.biodiversitylibrary.org/about/bhl-consortium/</t>
  </si>
  <si>
    <t>BHL is led by a global consortium of libraries and hosted by the Smithsonian Libraries and Archives.</t>
  </si>
  <si>
    <t>https://about.biodiversitylibrary.org/about/strategic-plan/</t>
  </si>
  <si>
    <t>Both</t>
  </si>
  <si>
    <t>https://www.si.edu/privacy</t>
  </si>
  <si>
    <t>https://about.biodiversitylibrary.org/about/bylaws/</t>
  </si>
  <si>
    <t>https://www.biorxiv.org/</t>
  </si>
  <si>
    <t>https://www.biorxiv.org/content/about-biorxiv</t>
  </si>
  <si>
    <t>&lt;p&gt;bioRxiv is governed by an &lt;a href="https://www.biorxiv.org/content/about-biorxiv" target="_blank"&gt;Advisory Board and Affiliates&lt;/a&gt;, and is housed at &lt;a href="https://www.cshl.edu/" target="_blank"&gt;Cold Spring Harbor Laboratory&lt;/a&gt;, which is governed by a &lt;a href="https://www.cshl.edu/about-us/board-of-trustees/" target="_blank"&gt;Board of Trustees&lt;/a&gt;. Additional governance development is in progress. &lt;/p&gt;</t>
  </si>
  <si>
    <t>http://cshlp.org/misc/preprints_privacy_policy/</t>
  </si>
  <si>
    <t>https://bitcuratorconsortium.org/</t>
  </si>
  <si>
    <t>https://github.com/bitcurator/bitcurator-salt</t>
  </si>
  <si>
    <t>https://bitcuratorconsortium.org/about/executive-council/</t>
  </si>
  <si>
    <t>BitCurator is a project of the BitCurator Consortium (BCC) is an independent, community-led membership association hosted by the Open Library Foundation, a 501(c)(3) Public Charity organization in the United States.</t>
  </si>
  <si>
    <t>https://bitcuratorconsortium.org/inclusivity-statement/</t>
  </si>
  <si>
    <t>https://bitcuratorconsortium.org/privacy-policy/</t>
  </si>
  <si>
    <t>https://bitcuratorconsortium.org/bitcurator-consortium-charter/</t>
  </si>
  <si>
    <t>https://projectblacklight.org/</t>
  </si>
  <si>
    <t>https://github.com/projectblacklight</t>
  </si>
  <si>
    <t>Blacklight is a collaborative, open source project produced by developers from many diverse organizations. The project does not have a formal governance structure. Development is largely motivated by the needs of each developer’s organization.</t>
  </si>
  <si>
    <t>https://brcris.ibict.br/</t>
  </si>
  <si>
    <t>BR</t>
  </si>
  <si>
    <t>https://github.com/projetos-codic-ibict</t>
  </si>
  <si>
    <t>&lt;p&gt;BrCRIS is a project led by the &lt;a href="https://www.gov.br/ibict/pt-br" target="_blank"&gt;Instituto Brasileiro de Informação em Ciência e Tecnologia&lt;/a&gt; (IBICT), a national information body and research unit of the &lt;a href="https://www.gov.br/mcti/pt-br" target="_blank"&gt;Ministério da Ciência, Tecnologia e Inovação (MCTI)&lt;/a&gt;. &lt;/p&gt;</t>
  </si>
  <si>
    <t>https://brcris.ibict.br/about</t>
  </si>
  <si>
    <t>https://webrecorder.net/browsertrix/</t>
  </si>
  <si>
    <t>https://github.com/webrecorder/browsertrix</t>
  </si>
  <si>
    <t>Browsertrix's development is overseen by Webrecorder Software LLC.</t>
  </si>
  <si>
    <t>To oversee Webrecorder</t>
  </si>
  <si>
    <t>https://webrecorder.net/browsertrix/pricing/</t>
  </si>
  <si>
    <t>https://webrecorder.net/legal/webrecorder-privacy-policy/</t>
  </si>
  <si>
    <t>https://clockss.org</t>
  </si>
  <si>
    <t>https://github.com/lockss</t>
  </si>
  <si>
    <t>https://clockss.org/digital-archive-community/board-of-directors/</t>
  </si>
  <si>
    <t xml:space="preserve">*Select and remove Officers and Agents and set their Terms of Reference
*Agree CLOCKSS strategy
*Ensure that there are funds to deliver the strategy; set and track the budget 
*Agree how to invest CLOCKSS money, or to incur debt
*Check that the strategy is being delivered, and request corrective action where necessary 
*Decide the level of risk that is right for CLOCKSS, require staff to identify risk and propose mitigating activities, agree and monitor this activity 
*Prepare the annual accounts and report, with support from staff 
*Act in the interests of CLOCKSS, not another individual or organization
</t>
  </si>
  <si>
    <t>https://clockss.org/join-clockss/</t>
  </si>
  <si>
    <t>https://clockss.org/biblio-equity-in-action-advancing-collection-development-for-diversity-equity-and-inclusion/</t>
  </si>
  <si>
    <t>https://clockss.org/clockss-privacy-policy/</t>
  </si>
  <si>
    <t>https://clockss.org/wp-content/uploads/2024/03/DIGITAL-DISTRIBUTED-COMMUNITY-ARCHIVE-ByLaws.pdf</t>
  </si>
  <si>
    <t>https://ird.coar-repositories.org/</t>
  </si>
  <si>
    <t>https://github.com/antleaf/IRD</t>
  </si>
  <si>
    <t>https://coar-repositories.org/about-coar/</t>
  </si>
  <si>
    <t>The Stichting COAR is a not-for-profit foundation that was created on April 3, 2023 in accordance with the Netherlands Civil Code (Art. 2:285 et seq.). It is governed by a board of directors.</t>
  </si>
  <si>
    <t>http://www.coar-repositories.org/</t>
  </si>
  <si>
    <t>https://coar-notify.net/</t>
  </si>
  <si>
    <t>https://github.com/coar-notify/coar-notify.net</t>
  </si>
  <si>
    <t>https://coar-notify.net/about/editorial/</t>
  </si>
  <si>
    <t>https://www.collectiveaccess.org/</t>
  </si>
  <si>
    <t>https://github.com/collectiveaccess</t>
  </si>
  <si>
    <t>No board.</t>
  </si>
  <si>
    <t>https://core.ac.uk/</t>
  </si>
  <si>
    <t>GB</t>
  </si>
  <si>
    <t>https://github.com/oacore</t>
  </si>
  <si>
    <t>https://core.ac.uk/governance</t>
  </si>
  <si>
    <t>&lt;p&gt;CORE is a &lt;a href="https://core.ac.uk/governance" target="_blank"&gt;community governed service&lt;/a&gt;, governed by an Advisory Board, Board of Supporters, The Open University Stakeholder Group, Research networks representatives, and CORE Leadership and management team. &lt;/p&gt;</t>
  </si>
  <si>
    <t>https://core.ac.uk/accessibility</t>
  </si>
  <si>
    <t>https://core.ac.uk/membership</t>
  </si>
  <si>
    <t>https://core.ac.uk/privacy</t>
  </si>
  <si>
    <t>https://www.countermetrics.org/</t>
  </si>
  <si>
    <t>https://cop5.countermetrics.org/en/5.1/index.html</t>
  </si>
  <si>
    <t>https://www.countermetrics.org/about/people/</t>
  </si>
  <si>
    <t>COUNTER is a non-profit organization supported by a global community of library, publisher and vendor members, who contribute to the development of the Code of Practice through working groups and outreach. We are governed by a Board of Directors responsible for ensuring we deliver on our mission, while our Executive Committee oversees operational activities including technical development of the Code of Practice. 
You can find out more at https://www.countermetrics.org/about/</t>
  </si>
  <si>
    <t>https://www.countermetrics.org/category/agm-minutes/</t>
  </si>
  <si>
    <t>https://www.countermetrics.org/accessibility/</t>
  </si>
  <si>
    <t>Our tool or project | Our website</t>
  </si>
  <si>
    <t>https://www.countermetrics.org/members/</t>
  </si>
  <si>
    <t>https://www.countermetrics.org/privacy-data-protection/</t>
  </si>
  <si>
    <t>Principles for Open Scholarly Infrastructure (POSI)</t>
  </si>
  <si>
    <t>https://find-and-update.company-information.service.gov.uk/company/04865179/filing-history</t>
  </si>
  <si>
    <t>https://creativecommons.org/</t>
  </si>
  <si>
    <t>https://github.com/creativecommons</t>
  </si>
  <si>
    <t>https://creativecommons.org/mission/team/</t>
  </si>
  <si>
    <t>&lt;p&gt;Creative Commons is &lt;a href="https://creativecommons.org/mission/team/" target="_blank"&gt;governed by&lt;/a&gt; a Board and Advisory Council. &lt;/p&gt;</t>
  </si>
  <si>
    <t>https://drive.google.com/file/d/10rQDv5Hzuss38oi1ovGuoxHagmFzqn_f/view</t>
  </si>
  <si>
    <t>https://creativecommons.org/privacy/</t>
  </si>
  <si>
    <t>http://www.crossref.org/services/metadata-retrieval</t>
  </si>
  <si>
    <t>https://gitlab.com/crossref</t>
  </si>
  <si>
    <t>https://www.crossref.org/board-and-governance/</t>
  </si>
  <si>
    <t>&lt;p&gt;Crossref is governed by a &lt;a href="https://www.crossref.org/board-and-governance/" target="_blank"&gt;Board of Directors&lt;/a&gt;, elected by its members. Their board consists of a representative balance of 16 institutions, publishers, or funders, and they are responsible for the fiduciary and strategic oversight of the organisation. &lt;/p&gt;</t>
  </si>
  <si>
    <t>https://www.crossref.org/fees/</t>
  </si>
  <si>
    <t>https://www.crossref.org/gem/</t>
  </si>
  <si>
    <t>https://www.crossref.org/operations-and-sustainability/privacy/</t>
  </si>
  <si>
    <t>https://www.crossref.org/board-and-governance/bylaws/</t>
  </si>
  <si>
    <t>https://www.d4science.org/</t>
  </si>
  <si>
    <t>IT</t>
  </si>
  <si>
    <t>https://code-repo.d4science.org/</t>
  </si>
  <si>
    <t>https://www.d4science.org/faq</t>
  </si>
  <si>
    <t>https://www.iubenda.com/privacy-policy/441050</t>
  </si>
  <si>
    <t>https://aptrust.github.io/dart-docs/</t>
  </si>
  <si>
    <t>https://github.com/aptrust/dart/</t>
  </si>
  <si>
    <t>The Governing Board is the primary governing body for APTrust.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</si>
  <si>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
  </si>
  <si>
    <t>https://dbis.ur.de/?lang=en</t>
  </si>
  <si>
    <t>DE</t>
  </si>
  <si>
    <t>https://github.com/ub-regensburg/dbis</t>
  </si>
  <si>
    <t>https://www.ur-library.de/en/ezb-dbis-advisory-board/</t>
  </si>
  <si>
    <t>The EZB-DBIS Advisory Board represents the wishes and requirements of the participating institutions. The advisory board members advise the Regensburg University Library on strategic issues, provide suggestions for optimization, and offer broad input for the further development of both the EZB and DBIS services.</t>
  </si>
  <si>
    <t>https://www.uni-regensburg.de/en/data-protection</t>
  </si>
  <si>
    <t>https://makedatacount.org/find-a-tool/#section-1</t>
  </si>
  <si>
    <t>https://github.com/Make-Data-Count-Community/corpus-data-file</t>
  </si>
  <si>
    <t>https://makedatacount.org/learn-about-us/#section-4</t>
  </si>
  <si>
    <t>Make Data Count is managed by the Make Data Count Director, a Sustainability Committee, and an Advisory Group. DataCite serves as a the fiscal home of Make Data Count.</t>
  </si>
  <si>
    <t>https://makedatacount.org/privacy-policy/</t>
  </si>
  <si>
    <t>https://datacite.org/</t>
  </si>
  <si>
    <t>https://github.com/datacite</t>
  </si>
  <si>
    <t>https://datacite.org/governance/</t>
  </si>
  <si>
    <t>&lt;p&gt;DataCite is &lt;a href="https://datacite.org/governance/" target="_blank"&gt;governed by&lt;/a&gt; its members and Executive Board.&lt;/p&gt;</t>
  </si>
  <si>
    <t>https://datacite.org/fee-model/</t>
  </si>
  <si>
    <t>https://datacite.org/commitment-to-equity-and-inclusion/</t>
  </si>
  <si>
    <t>https://datacite.org/privacy-policy/</t>
  </si>
  <si>
    <t>https://datacite.org/wp-content/uploads/2023/06/Statutes_26April2022.pdf</t>
  </si>
  <si>
    <t>https://ds-wizard.org/</t>
  </si>
  <si>
    <t>CZ</t>
  </si>
  <si>
    <t>https://github.com/ds-wizard</t>
  </si>
  <si>
    <t>https://ds-wizard.org/about</t>
  </si>
  <si>
    <t>Data Stewardship Wizard is hosted by the Czech Technical University in Prague / ELIXIR-CZ.</t>
  </si>
  <si>
    <t>https://discord.com/channels/693010138302513174/1102900416783597620</t>
  </si>
  <si>
    <t>https://dataverse.org/</t>
  </si>
  <si>
    <t>https://github.com/IQSS/dataverse</t>
  </si>
  <si>
    <t>https://github.com/gdcc</t>
  </si>
  <si>
    <t>&lt;p&gt;Dataverse is developed at &lt;a href="https://www.iq.harvard.edu/about" target="_blank"&gt;Harvard's Institute for Quantitative Social Science (IQSS)&lt;/a&gt;, along with many collaborators and contributors worldwide. Harvard has &lt;a href="https://www.harvard.edu/about/leadership-and-governance/" target="_blank"&gt;two governing boards&lt;/a&gt;, the Board of Overseers and the Harvard Corporation. There is also a &lt;a href="https://github.com/gdcc" target="_blank"&gt;Global Dataverse Community Consortium&lt;/a&gt;.&lt;/p&gt;</t>
  </si>
  <si>
    <t>https://edib.harvard.edu/</t>
  </si>
  <si>
    <t>https://support.dataverse.harvard.edu/harvard-dataverse-privacy-policy</t>
  </si>
  <si>
    <t>https://gitlab.unige.ch/dlcm/community/dlcm-backend</t>
  </si>
  <si>
    <t>CH</t>
  </si>
  <si>
    <t>https://olos.swiss/about-us</t>
  </si>
  <si>
    <t>Advisory board of OLOS association</t>
  </si>
  <si>
    <t>https://olos.swiss/pricing</t>
  </si>
  <si>
    <t>https://gitlab.unige.ch/dlcm/ui/dlcm-portal</t>
  </si>
  <si>
    <t>https://dmptool.org/</t>
  </si>
  <si>
    <t>https://github.com/cdluc3/dmptool/wiki</t>
  </si>
  <si>
    <t>[Please fill in]</t>
  </si>
  <si>
    <t>https://dmptool.org/terms</t>
  </si>
  <si>
    <t>https://doaj.org/</t>
  </si>
  <si>
    <t>DK</t>
  </si>
  <si>
    <t>https://github.com/DOAJ</t>
  </si>
  <si>
    <t>https://doaj.org/about/advisory-board-council/</t>
  </si>
  <si>
    <t>&lt;p&gt;DOAJ is an independent organisation run and managed by the DOAJ Foundation, a non-profit community-governed foundation based in Denmark . DOAJ has a &lt;a href="https://doaj.org/about/advisory-board-council/" target="_blank"&gt;Board of Directors and an Advisory Board&lt;/a&gt;, the members of which carry out their duties voluntarily. &lt;/p&gt;</t>
  </si>
  <si>
    <t>https://doaj.org/support/</t>
  </si>
  <si>
    <t>https://doaj.org/about/#diversity-equity-and-inclusion</t>
  </si>
  <si>
    <t>https://doaj.org/privacy/</t>
  </si>
  <si>
    <t>FOREST Framework for Values-Driven Scholarly Communication | Helsinki Initiative on Multilingualism | Joint Statement of Principles of the Coalition for Diversity and Inclusion in Scholarly Communication (C4DISC) | Principles for Open Scholarly Infrastructure (POSI) | San Francisco Declaration on Research Assessment (DORA)</t>
  </si>
  <si>
    <t>https://dokie.li/</t>
  </si>
  <si>
    <t>https://github.com/linkeddata/dokieli</t>
  </si>
  <si>
    <t>&lt;p&gt;dokieli is a decentralised article authoring, annotation, and social notifcation tool. No governance is known of at this time. &lt;/p&gt;</t>
  </si>
  <si>
    <t>https://dokie.li/docs#accessibility-statement</t>
  </si>
  <si>
    <t>https://datadryad.org/</t>
  </si>
  <si>
    <t>https://github.com/CDL-Dryad/dryad-app</t>
  </si>
  <si>
    <t>https://datadryad.org/stash/about#our-board</t>
  </si>
  <si>
    <t>&lt;p&gt;Dryad is a not-for-profit membership organization, recognized as a 501(c)3 by the U.S. Internal Revenue Service. Dryad members nominate and elect the &lt;a href="https://datadryad.org/stash/about#our-board" target="_blank"&gt;Board of Directors&lt;/a&gt;, twelve individuals from the stakeholder community who provide strategic planning, fiscal oversight, and oversee the position of the Executive Director.&lt;/p&gt;</t>
  </si>
  <si>
    <t>https://blog.datadryad.org/category/governance/</t>
  </si>
  <si>
    <t>https://datadryad.org/stash/join_us#fees</t>
  </si>
  <si>
    <t>https://datadryad.org/stash/terms#privacy</t>
  </si>
  <si>
    <t>https://datadryad.org/docs/DryadBylaws.pdf</t>
  </si>
  <si>
    <t>https://dspace.org/</t>
  </si>
  <si>
    <t>https://github.com/DSpace/DSpace</t>
  </si>
  <si>
    <t>https://dspace.org/governance/</t>
  </si>
  <si>
    <t>&lt;p&gt;&lt;a href="https://wiki.lyrasis.org/display/DSPACE/Project+Governance" target="_blank"&gt;DSpace governance&lt;/a&gt; is based on a representative, community-based membership model incrementally rewarding members who have made the greatest commitments to the project. It consists of a Leadership Group, Steering Group, and Working Groups.&lt;/p&gt;</t>
  </si>
  <si>
    <t>https://wiki.lyrasis.org/display/DSPACE/Leadership+Group</t>
  </si>
  <si>
    <t>https://dspace.org/accessibility/</t>
  </si>
  <si>
    <t>https://dspace.org/membership/</t>
  </si>
  <si>
    <t>https://lyrasis.org/job-bank/</t>
  </si>
  <si>
    <t>https://demo.dspace.org/info/privacy</t>
  </si>
  <si>
    <t>https://dspace.org/governance</t>
  </si>
  <si>
    <t>https://lyrasis.org/duracloud/</t>
  </si>
  <si>
    <t>https://github.com/duracloud/duracloud</t>
  </si>
  <si>
    <t>N/A</t>
  </si>
  <si>
    <t>https://www.episciences.org/</t>
  </si>
  <si>
    <t>FR</t>
  </si>
  <si>
    <t>https://github.com/CCSDForge/episciences</t>
  </si>
  <si>
    <t>https://www.ccsd.cnrs.fr/en/governance/</t>
  </si>
  <si>
    <t>&lt;strong&gt;The Steering Committee&lt;/strong&gt;
- Defines the global strategy of the CCSD and arbitrates the priority axes according to the proposals of the orientation committee;
- Approves the budget and overall resources of the CCSD;
ensures the coherence of the pricing policy related to the HAL portals;
- Validates the annual activity report and the financial statement of the CCSD;
- Proposes and deliberate on the admission of a new supervising body;
- Appoints the director of the CCSD;
- Appoints the members of the international scientific council.
&lt;strong&gt;Orientation Committee&lt;/strong&gt;
- Proposes scientific and technical orientations to the Steering committee;
- Centralizes and prioritizes the needs of all users.</t>
  </si>
  <si>
    <t>https://www.episciences.org/privacy-and-personal-data/</t>
  </si>
  <si>
    <t>https://www.episciences.org/governance/</t>
  </si>
  <si>
    <t>https://www.eprints.org/</t>
  </si>
  <si>
    <t>https://github.com/eprints/eprints3.4</t>
  </si>
  <si>
    <t>https://www.erudit.org/</t>
  </si>
  <si>
    <t>https://github.com/erudit/eruditorg</t>
  </si>
  <si>
    <t>https://apropos.erudit.org/direction-et-conseils/?lang=en</t>
  </si>
  <si>
    <t>&lt;p&gt;Érudit is a consortium comprised of three Canadian universities: &lt;a href="https://www.umontreal.ca/en/" target="_blank"&gt;Université de Montréal&lt;/a&gt;, &lt;a href="https://www.ulaval.ca/en" target="_blank"&gt;Université Laval&lt;/a&gt;, and &lt;a href="https://uqam.ca/" target="_blank"&gt;Université du Québec à Montréal&lt;/a&gt;. It is governed by representatives from the research, university library, and scholarly publishing sectors. Its &lt;a href="https://apropos.erudit.org/direction-et-conseils/?lang=en" target="_blank"&gt;governed by &lt;/a&gt;a governing board and scientific director. &lt;/p&gt;</t>
  </si>
  <si>
    <t>https://apropos.erudit.org/rapports-annuels/?lang=en</t>
  </si>
  <si>
    <t>https://apropos.erudit.org/accessibility-statement/?lang=en</t>
  </si>
  <si>
    <t>https://apropos.erudit.org/equity-diversity-inclusion/?lang=en</t>
  </si>
  <si>
    <t>https://www.iubenda.com/privacy-policy/79766356</t>
  </si>
  <si>
    <t>https://europepmc.org/</t>
  </si>
  <si>
    <t>https://github.com/EuropePMC</t>
  </si>
  <si>
    <t>https://europepmc.org/Governance</t>
  </si>
  <si>
    <t>&lt;p&gt;Europe PMC is developed by the &lt;a href="https://www.ebi.ac.uk/" target="_blank"&gt;EMBL-EBI&lt;/a&gt; (European Bioinformatics Institute), an outstation of the EMBL. Europe PMC is &lt;a href="https://europepmc.org/Governance" target="_blank"&gt;governed by&lt;/a&gt; an international, independent Scientific Advisory Board that advises the PI of the Europe PMC grant and the Directors of the EMBL-EBI. The Europe PMC Funders are represented by the Funder Committee.&lt;/p&gt;</t>
  </si>
  <si>
    <t>https://europepmc.org/Accessibility</t>
  </si>
  <si>
    <t>https://www.ebi.ac.uk/about/equality-in-science</t>
  </si>
  <si>
    <t>https://europepmc.org/PrivacyNotice</t>
  </si>
  <si>
    <t>https://fair-wizard.com/</t>
  </si>
  <si>
    <t>FAIR Wizard is a product of Codevence Solutions s.r.o., a company based in the Czech Republic.</t>
  </si>
  <si>
    <t>https://fair-wizard.com/plans</t>
  </si>
  <si>
    <t>https://fair-wizard.com/static/documents/privacy-policy.pdf</t>
  </si>
  <si>
    <t>https://fedorarepository.org/</t>
  </si>
  <si>
    <t>https://github.com/fcrepo/fcrepo</t>
  </si>
  <si>
    <t>https://wiki.lyrasis.org/display/FF/Project+Governance</t>
  </si>
  <si>
    <t>Fedora is community-owned, community-supported and community-governed. The Fedora Governance Group is responsible for the strategic leadership of the Fedora Program, its community, and associated technology. This group is responsible for leading the overall Vision &amp; Strategy. Governance details can be found here: &lt;a href="https://fedorarepository.org/governance/" target="_blank"&gt;https://fedorarepository.org/governance/&lt;/a&gt;</t>
  </si>
  <si>
    <t>https://wiki.lyrasis.org/display/FF/Meetings</t>
  </si>
  <si>
    <t xml:space="preserve">Board is that of the Fedora Community </t>
  </si>
  <si>
    <t>https://fedorarepository.org/membership</t>
  </si>
  <si>
    <t>https://fedorarepository.org/privacy-policy/</t>
  </si>
  <si>
    <t>https://openpreservation.org/tools/fido</t>
  </si>
  <si>
    <t>https://github.com/openpreserve/fido</t>
  </si>
  <si>
    <t>https://openpreservation.org/about-old/board-of-directors/</t>
  </si>
  <si>
    <t>Fido is a project of the Open Preservation Foundation a company, limited by guarantee, registered in England and Wales and Stichting Open Preservation, registered as a foundation with the Kamer van Koophandel.</t>
  </si>
  <si>
    <t>https://openpreservation.org/privacy-policy/</t>
  </si>
  <si>
    <t>https://www.fulcrum.org/</t>
  </si>
  <si>
    <t>https://github.com/mlibrary/heliotrope</t>
  </si>
  <si>
    <t>https://www.fulcrum.org/about/</t>
  </si>
  <si>
    <t>&lt;p&gt;&lt;a href="https://www.fulcrum.org/about/" target="_blank"&gt;Fulcrum&lt;/a&gt; has been developed by a group of campus-based publishers working closely with disciplinary faculty and information science specialists, with &lt;a href="https://www.fulcrum.org/partner-with-us/" target="_blank"&gt;publishing services&lt;/a&gt; provided in collaboration with &lt;a href="https://services.publishing.umich.edu/" target="_blank"&gt;Michigan Publishing&lt;/a&gt;, an arm of the &lt;a href="https://www.lib.umich.edu/" target="_blank"&gt;University of Michigan Library&lt;/a&gt;, governed by the &lt;a href="https://regents.umich.edu/" target="_blank"&gt;Regents of the University of Michigan&lt;/a&gt;. &lt;/p&gt;</t>
  </si>
  <si>
    <t>https://www.fulcrum.org/accessibility/</t>
  </si>
  <si>
    <t>https://www.fulcrum.org/partner-with-us/</t>
  </si>
  <si>
    <t>https://www.lib.umich.edu/about-us/about-library/diversity-equity-inclusion-and-accessibility</t>
  </si>
  <si>
    <t>https://www.fulcrum.org/privacy/</t>
  </si>
  <si>
    <t>https://galaxyproject.org/</t>
  </si>
  <si>
    <t>https://github.com/galaxyproject/</t>
  </si>
  <si>
    <t>https://galaxyproject.org/community/governance/</t>
  </si>
  <si>
    <t>https://galaxyproject.org/community/wg/</t>
  </si>
  <si>
    <t>Collecting feedback from the community and steering the roadmap process.</t>
  </si>
  <si>
    <t>https://galaxyproject.org/community/coc/</t>
  </si>
  <si>
    <t>https://usegalaxy-eu.github.io/gdpr/</t>
  </si>
  <si>
    <t>https://geoserver.org</t>
  </si>
  <si>
    <t>https://github.com/geoserver/geoserver</t>
  </si>
  <si>
    <t>https://docs.geoserver.org/latest/en/developer/policies/psc.html</t>
  </si>
  <si>
    <t>GeoServer is a volunteer community hosted by the Open Source Geospatial Foundation (OSGeo).</t>
  </si>
  <si>
    <t>https://github.com/geoserver/geoserver/wiki/Proposals</t>
  </si>
  <si>
    <t>Contributor Covenant Code of Conduct for Open Source and Other Digital Commons Communities</t>
  </si>
  <si>
    <t>https://docs.geoserver.org/latest/en/developer/policies/index.html</t>
  </si>
  <si>
    <t>https://hyku.samvera.org/</t>
  </si>
  <si>
    <t>https://github.com/samvera/hyku</t>
  </si>
  <si>
    <t>&lt;p&gt;Hyku is a project of Samvera, a distinct series entity hosted by &lt;a href="https://www.oasis-open.org/" target="_blank"&gt;OASIS Open&lt;/a&gt;. Samvera is &lt;a href="https://samvera.atlassian.net/wiki/spaces/samvera/pages/1387986974/Samvera+Bylaws" target="_blank"&gt;governed by&lt;/a&gt; a Board of Directors. &lt;/p&gt;</t>
  </si>
  <si>
    <t>https://repo.samvera.org/concern/generic_works/19cc96b4-6e98-4dba-b908-91e3439cad44</t>
  </si>
  <si>
    <t>https://repo.samvera.org/concern/generic_works/66c8c363-ac35-4e65-bb3d-2631b7c80ff6?locale=en</t>
  </si>
  <si>
    <t>COAR Next Generation Repositories Principles | It Takes a Village Open Source Software Sustainability toolkit</t>
  </si>
  <si>
    <t>https://hyrax.samvera.org/</t>
  </si>
  <si>
    <t>https://github.com/samvera/hyrax</t>
  </si>
  <si>
    <t>Hyrax is a project of the Samvera Community. Samvera operates as a distinct series entity hosted by the OASIS Open Development Foundation, LLC, under the Charter and Series Agreement.</t>
  </si>
  <si>
    <t>https://iiif.io/</t>
  </si>
  <si>
    <t>https://github.com/IIIF</t>
  </si>
  <si>
    <t>https://iiif.io/community/consortium/consortium_committees/</t>
  </si>
  <si>
    <t>&lt;p&gt;IIIF is &lt;a href="https://iiif.io/community/consortium/consortium_committees" target="_blank"&gt;governed by&lt;/a&gt; an Executive Committee and an Operating Committee. &lt;/p&gt;</t>
  </si>
  <si>
    <t>https://iiif.io/community/consortium/mou/</t>
  </si>
  <si>
    <t>https://iiif.io/community/consortium/join/</t>
  </si>
  <si>
    <t>https://iiif.io/community/consortium/next_steps/</t>
  </si>
  <si>
    <t>https://iiif.io/privacy/</t>
  </si>
  <si>
    <t>https://iiif.io/community/coordinating-committee/</t>
  </si>
  <si>
    <t>https://impactu.colav.co/</t>
  </si>
  <si>
    <t>CO</t>
  </si>
  <si>
    <t>https://github.com/colav/impactu</t>
  </si>
  <si>
    <t>The initiative is coordinated by the Collaborative Laboratory of Computational Social Sciences and Digital Humanities (CoLaV) at the University of Antioquia in collaboration with the University of Valle, the Externado University of Colombia, and the Autonomous Latin American University.</t>
  </si>
  <si>
    <t>https://ev.igsn.org</t>
  </si>
  <si>
    <t>https://github.com/IGSN</t>
  </si>
  <si>
    <t>https://ev.igsn.org/membership/igsn-statutes-en</t>
  </si>
  <si>
    <t>The Executive Board is responsible for all affairs of the Association to the extent not entrusted to any other constituent body of the Association by its statutes. Its responsibilities include preparing and convening the General Assembly, appointing working groups, implementing resolutions of the General Assembly, accounting, etc.</t>
  </si>
  <si>
    <t>https://inveniosoftware.org/products/rdm/</t>
  </si>
  <si>
    <t>https://github.com/inveniosoftware</t>
  </si>
  <si>
    <t>https://inveniosoftware.org/governance/</t>
  </si>
  <si>
    <t>&lt;p&gt;Invenio is a community-driven effort, &lt;a href="https://inveniosoftware.org/governance/" target="_blank"&gt;governed by&lt;/a&gt; &lt;a href="https://home.cern/" target="_blank"&gt;CERN&lt;/a&gt; for the benefit of the community.&lt;/p&gt;</t>
  </si>
  <si>
    <t>https://irods.org/</t>
  </si>
  <si>
    <t>https://github.com/irods</t>
  </si>
  <si>
    <t>https://irods.org/uploads/2014/09/bylaws_v113015.pdf</t>
  </si>
  <si>
    <t>Governance is determined by Consortium Membership.</t>
  </si>
  <si>
    <t>Executive Board members are expected to aid the Consortium through the following actions:
 - Aiding in fundraising, public relations, and acquisition of new Consortium Members;
 - Making amendments and alterations to the Consortium Bylaws;
 - Providing oversight and approval of Consortium activities, staffing, budgets, and deliverables as detailed in the Bylaws.</t>
  </si>
  <si>
    <t>https://irods.org/uploads/members_benefit_sheet.pdf</t>
  </si>
  <si>
    <t>https://www.islandora.ca/</t>
  </si>
  <si>
    <t>https://github.com/islandora</t>
  </si>
  <si>
    <t>https://www.islandora.ca/governance</t>
  </si>
  <si>
    <t>&lt;p&gt;The Islandora Foundation maintains a &lt;a href="https://github.com/Islandora/islandora-community/wiki/Board-of-Directors-%28BOD%29" target="_blank"&gt;Board&lt;/a&gt; and &lt;a href="https://islandora.webflow.io/by-laws" target="_blank"&gt;By-laws&lt;/a&gt; from which the Islandora Community grows. The Board is elected biannually from the &lt;a href="https://github.com/Islandora/islandora-community/wiki/Leadership-Group-%28LG%29" target="_blank"&gt;Islandora Leadership Group&lt;/a&gt;. &lt;/p&gt;</t>
  </si>
  <si>
    <t>https://github.com/Islandora/islandora-community/wiki/Board-of-Directors-%28BOD%29</t>
  </si>
  <si>
    <t>https://islandora.github.io/documentation/user-documentation/accessibility/</t>
  </si>
  <si>
    <t>https://www.islandora.ca/about</t>
  </si>
  <si>
    <t>https://janeway.systems/</t>
  </si>
  <si>
    <t>https://github.com/birkbeckctp/</t>
  </si>
  <si>
    <t>&lt;p&gt;Janeway is a not for profit making organization, &lt;a href="https://janeway.systems/" target="_blank"&gt;developed&lt;/a&gt; at the Centre for Technology and Publishing, Birkbeck, University of London, and the Open Library of Humanities, UK. For more on Birkbeck's governance, &lt;a href="https://www.bbk.ac.uk/about-us/governance" target="_blank"&gt;click here&lt;/a&gt;. Additional governance development is in progress.&lt;/p&gt;</t>
  </si>
  <si>
    <t>https://janeway.systems/hosting</t>
  </si>
  <si>
    <t>https://www.bbk.ac.uk/about-us/equality/statement</t>
  </si>
  <si>
    <t>https://www.openlibhums.org/site/privacy/</t>
  </si>
  <si>
    <t>https://jhove.openpreservation.org/</t>
  </si>
  <si>
    <t>https://github.com/openpreserve/jhove</t>
  </si>
  <si>
    <t>https://openpreservation.org/about/board-of-directors/</t>
  </si>
  <si>
    <t>The OPF operates as an independent, not-for-profit membership organization.</t>
  </si>
  <si>
    <t>To oversee the overall strategic direction and sustainability of the Foundation. The Board are drawn from our membership and are expected to approve significant business decisions, ensure compliance with laws and regulations, monitoring financial performance, and appointing and evaluating senior management. While they primarily focusing on long-term vision and not day-to-day operations, their purview is important to our strategic direction.</t>
  </si>
  <si>
    <t>https://www.lareferencia.info</t>
  </si>
  <si>
    <t>UY</t>
  </si>
  <si>
    <t>https://github.com/lareferencia</t>
  </si>
  <si>
    <t>https://www.lareferencia.info/en/institutional/partners-and-representatives</t>
  </si>
  <si>
    <t>&lt;p&gt;La Referencia is &lt;a href="https://www.lareferencia.info/en/institutional/partners-and-representatives" target="_blank"&gt;governed by&lt;/a&gt; a Board of Directors, network of Political Authorities from node countries, and a Technical Committee. &lt;/p&gt;</t>
  </si>
  <si>
    <t>https://www.lareferencia.info/es/recursos/documentos/actas-consejo-directivo</t>
  </si>
  <si>
    <t>https://manifoldapp.org/</t>
  </si>
  <si>
    <t>https://github.com/ManifoldScholar/manifold</t>
  </si>
  <si>
    <t>&lt;p&gt;Manifold is a collaboration between the &lt;a href="https://www.gc.cuny.edu/" target="_blank"&gt;CUNY Graduate Center&lt;/a&gt;, the &lt;a href="https://www.upress.umn.edu/" target="_blank"&gt;University of Minnesota Press&lt;/a&gt;, and &lt;a href="https://castironcoding.com/" target="_blank"&gt;Cast Iron Coding&lt;/a&gt;. Additional governance information was not provided, and will be updated as made available. &lt;/p&gt;</t>
  </si>
  <si>
    <t>https://manifoldapp.org/services</t>
  </si>
  <si>
    <t>https://www.medrxiv.org/</t>
  </si>
  <si>
    <t>&lt;p&gt;medRxiv is housed at &lt;a href="https://www.cshl.edu/" target="_blank"&gt;Cold Spring Harbor Laboratory&lt;/a&gt;, which is governed by a &lt;a href="https://www.cshl.edu/about-us/board-of-trustees/" target="_blank"&gt;Board of Trustees&lt;/a&gt;. Additional governance development is in progress.&lt;/p&gt;</t>
  </si>
  <si>
    <t>http://www.cshlp.org/misc/preprints_privacy_policy/</t>
  </si>
  <si>
    <t>COAR Next Generation Repositories Principles | San Francisco Declaration on Research Assessment (DORA)</t>
  </si>
  <si>
    <t>https://www.loc.gov/standards/mets/</t>
  </si>
  <si>
    <t>https://github.com/mets</t>
  </si>
  <si>
    <t>https://www.loc.gov/standards/mets/mets-board.html</t>
  </si>
  <si>
    <t>The METS schema is maintained by the METS Editorial Board, an international group of volunteers who represent important communities of interest for METS.</t>
  </si>
  <si>
    <t>https://github.com/mets/METS-board/wiki/01-Meeting-Agendas-and-Notes</t>
  </si>
  <si>
    <t>The METS Editorial Board is responsible for maintenance of the METS schema and its documentation and for engaging with the METS user community.</t>
  </si>
  <si>
    <t>https://www.loc.gov/standards/mets/mets-boardprocedures.html</t>
  </si>
  <si>
    <t>https://projectmirador.org/</t>
  </si>
  <si>
    <t>https://github.com/projectmirador/mirador</t>
  </si>
  <si>
    <t>&lt;p&gt;The provider is considering additional governance development. &lt;/p&gt;</t>
  </si>
  <si>
    <t>https://docs.google.com/document/d/1wWozmLxUsN7QRWzekiIMjjuShhDIsJw0P0lIaiARSa8/edit</t>
  </si>
  <si>
    <t>https://github.com/ProjectMirador/mirador/wiki/M3-Accessibility-Guidelines-for-Contributors</t>
  </si>
  <si>
    <t>https://github.com/cul/mirador/blob/master/CODE_OF_CONDUCT.md#inclusivity</t>
  </si>
  <si>
    <t>https://mukurtu.org/</t>
  </si>
  <si>
    <t>https://github.com/MukurtuCMS/mukurtucms</t>
  </si>
  <si>
    <t>&lt;p&gt;Mukurtu CMS is managed by the &lt;a href="https://cdsc.libraries.wsu.edu/" target="_blank"&gt;Center for Digital Scholarship and Curation&lt;/a&gt; at Washington State University, which is governed by a &lt;a href="https://policies.wsu.edu/prf/index/manuals/board-of-regents-policy-manual/" target="_blank"&gt;Board of Regents&lt;/a&gt;. Additional governance development is in progress.&lt;/p&gt;</t>
  </si>
  <si>
    <t>https://mukurtu.org/get-mukurtu/</t>
  </si>
  <si>
    <t>https://mukurtu.org/about/</t>
  </si>
  <si>
    <t>https://mukurtu.org/privacy/</t>
  </si>
  <si>
    <t>https://www.mycore.de</t>
  </si>
  <si>
    <t>https://github.com/MyCoRe-Org/mycore</t>
  </si>
  <si>
    <t>n.a.</t>
  </si>
  <si>
    <t>https://www.mycore.de/en/site/accessibility/</t>
  </si>
  <si>
    <t>https://www.mycore.de/en/site/privacy/</t>
  </si>
  <si>
    <t>https://numpy.org/</t>
  </si>
  <si>
    <t>https://github.com/numpy/numpy</t>
  </si>
  <si>
    <t>https://numpy.org/devdocs/dev/governance/governance.html#steering-council</t>
  </si>
  <si>
    <t>https://github.com/numpy/archive</t>
  </si>
  <si>
    <t>The governing board makes decisions mainly on administrative issues, such as how funds should be spent, who serves on the steering council, and whom to grant commit rights.</t>
  </si>
  <si>
    <t>https://numpy.org/devdocs/dev/governance/index.html</t>
  </si>
  <si>
    <t>https://oa.report/</t>
  </si>
  <si>
    <t>https://github.com/oaworks/oa-report</t>
  </si>
  <si>
    <t>https://oa.works/about/governance/</t>
  </si>
  <si>
    <t>https://drive.google.com/drive/folders/1BRmxtsdw5_IIcyRCFoLPSNLs070vbl3T?usp=sharing</t>
  </si>
  <si>
    <t>Our Articles of Governance states "The Advisory Committee has the power to dictate all activities and affairs of OA.Works through a vote." This provides the committee the broadest possible powers to note only advise, but to bind OA.Work's to act in the communities interests.</t>
  </si>
  <si>
    <t>https://about.oa.report/help/accessibility-statement</t>
  </si>
  <si>
    <t>https://oa.works/policies/privacy/</t>
  </si>
  <si>
    <t>https://oa.works/about/governance/articles-of-governance/</t>
  </si>
  <si>
    <t>https://www.oaswitchboard.org/</t>
  </si>
  <si>
    <t>NL</t>
  </si>
  <si>
    <t>https://bitbucket.org/oaswitchboard/api/src/master/</t>
  </si>
  <si>
    <t>https://www.oaswitchboard.org/governance</t>
  </si>
  <si>
    <t>&lt;p&gt;OA Switchboard is governed by a &lt;a href="https://www.oaswitchboard.org/governance" target="_blank"&gt;Board of Directors&lt;/a&gt;, and supported additionally by a &lt;a href="https://www.oaswitchboard.org/governance" target="_blank"&gt;Client Advisory Board&lt;/a&gt;, &lt;a href="https://www.oaswitchboard.org/governance" target="_blank"&gt;Advisory Group&lt;/a&gt;, and &lt;a href="https://www.oaswitchboard.org/governance" target="_blank"&gt;Working Groups&lt;/a&gt;. &lt;/p&gt;</t>
  </si>
  <si>
    <t>https://www.oaswitchboard.org/faq</t>
  </si>
  <si>
    <t>https://www.oaswitchboard.org/privacy-statement</t>
  </si>
  <si>
    <t>https://omeka.org/</t>
  </si>
  <si>
    <t>https://github.com/omeka</t>
  </si>
  <si>
    <t>https://digitalscholar.org/assets/downloads/Corporation%20for%20Digital%20Scholarship%20%E2%80%93%20Articles%20of%20Incorporation.pdf</t>
  </si>
  <si>
    <t>Omeka is a project of &lt;a href="https://digitalscholar.org/" target="_blank"&gt;Digital Scholar&lt;/a&gt;, a US-based non-stock corporation that operates following the guidelines laid out by the IRS for 501c3 organizations. See the articles of incorporation, bylaws, and governance documents on the Digital Scholar website.</t>
  </si>
  <si>
    <t>https://www.omeka.net/signup</t>
  </si>
  <si>
    <t>https://digitalscholar.org/assets/downloads/Corporation%20for%20Digital%20Scholarship%20%E2%80%93%20Governance%20Policies.pdf</t>
  </si>
  <si>
    <t>https://forum.omeka.org/privacy</t>
  </si>
  <si>
    <t>https://graph.openaire.eu/</t>
  </si>
  <si>
    <t>https://code-repo.d4science.org/D-Net/dnet-hadoop</t>
  </si>
  <si>
    <t xml:space="preserve">The Board is essential in shaping OpenAIRE and thereby the OpenAIRE Graph's roadmap and development. They are regularly consulted and their input and decisions are highly valued and respected. </t>
  </si>
  <si>
    <t>https://openalex.org/</t>
  </si>
  <si>
    <t>https://github.com/ourresearch</t>
  </si>
  <si>
    <t>https://ourresearch.org/transparency</t>
  </si>
  <si>
    <t>&lt;p&gt;OpenAlex is an initiative of OurResearch, which is &lt;a href="https://ourresearch.org/team" target="_blank"&gt;governed by&lt;/a&gt; a Board of Directors.&lt;/p&gt;</t>
  </si>
  <si>
    <t>https://ourresearch.org/accessibility</t>
  </si>
  <si>
    <t>https://openalex.org/pricing</t>
  </si>
  <si>
    <t>https://openalex.org/OpenAlex_privacy_policy.pdf</t>
  </si>
  <si>
    <t>https://openapc.net/</t>
  </si>
  <si>
    <t>https://github.com/OpenAPC/openapc-de</t>
  </si>
  <si>
    <t>No governing board - not applicable</t>
  </si>
  <si>
    <t>https://github.com/OpenAPC/openapc-de/blob/master/CONDUCT.md</t>
  </si>
  <si>
    <t>https://opencitations.net/</t>
  </si>
  <si>
    <t>https://github.com/opencitations</t>
  </si>
  <si>
    <t>https://opencitations.net/governance/</t>
  </si>
  <si>
    <t>For administrative convenience, OpenCitations is managed by the &lt;a href="https://openscholarlymetadata.org/" target="_blank"&gt;Research Centre for Open Scholarly Metadata&lt;/a&gt; at the &lt;a href="https://www.unibo.it/" target="_blank"&gt;University of Bologna&lt;/a&gt;. OpenCitations' governance comprises the following bodies: the Directors; the Council, comprising one delegate appointed by each OpenCitations Member; the &lt;a href="https://opencitations.net/about" target="_blank"&gt;International Advisory Board&lt;/a&gt; elected by the Council, to guide the future developments of OpenCitations strategically; the Management Team.</t>
  </si>
  <si>
    <t>https://opencitations.net/privacy-policy/</t>
  </si>
  <si>
    <t>FAIR Guiding Principles for Scientific Data Management and Stewardship | Principles for Open Scholarly Infrastructure (POSI)</t>
  </si>
  <si>
    <t>https://opencitations.net/wp-content/uploads/pdf/oc_bodies.pdf</t>
  </si>
  <si>
    <t>https://www.opencost.de</t>
  </si>
  <si>
    <t>https://github.com/opencost-de/opencost/tree/main/doc</t>
  </si>
  <si>
    <t>No board structure</t>
  </si>
  <si>
    <t>https://okfn.org/en/projects/open-data-editor/</t>
  </si>
  <si>
    <t>https://github.com/okfn/opendataeditor</t>
  </si>
  <si>
    <t>https://okfn.org/en/who-we-are/governance/</t>
  </si>
  <si>
    <t>Open Data Editor is a project of the Open Knowledge Foundation (OKFN), a not-for-profit organization incorporated in England &amp; Wales.</t>
  </si>
  <si>
    <t>https://okfn.org/en/who-we-are/board/#minutes</t>
  </si>
  <si>
    <t>https://okfn.org/en/privacy-policy/</t>
  </si>
  <si>
    <t>https://www.openedition.org/</t>
  </si>
  <si>
    <t>https://github.com/OpenEdition</t>
  </si>
  <si>
    <t>https://www.openedition.org/19221</t>
  </si>
  <si>
    <t>https://www.openedition.org/21402</t>
  </si>
  <si>
    <t>https://www.openedition.org/19362</t>
  </si>
  <si>
    <t>https://pkp.sfu.ca</t>
  </si>
  <si>
    <t>https://github.com/pkp</t>
  </si>
  <si>
    <t>https://pkp.sfu.ca/about/governance/</t>
  </si>
  <si>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</si>
  <si>
    <t>https://pkp.sfu.ca/interest-groups/</t>
  </si>
  <si>
    <t>https://pkp.sfu.ca/general-accessibility-statement/</t>
  </si>
  <si>
    <t>https://pkp.sfu.ca/hosting-services/hosting/journals/</t>
  </si>
  <si>
    <t>https://pkp.sfu.ca/code/</t>
  </si>
  <si>
    <t>https://pkp.sfu.ca/privacy-policy/</t>
  </si>
  <si>
    <t>http://www.sfu.ca/policies/gazette/board.html</t>
  </si>
  <si>
    <t>https://pkp.sfu.ca/</t>
  </si>
  <si>
    <t>https://github.com/pkp/</t>
  </si>
  <si>
    <t>https://pkp.sfu.ca/hosting-services/hosting/monographs/</t>
  </si>
  <si>
    <t>https://pkp.sfu.ca/software/ops/</t>
  </si>
  <si>
    <t>https://github.com/pkp/https://github.com/pkp/ops</t>
  </si>
  <si>
    <t>https://pkp.sfu.ca/about/governance/advisory/</t>
  </si>
  <si>
    <t>https://pkp.sfu.ca/hosting-services/hosting/preprints/</t>
  </si>
  <si>
    <t>https://openverse.org</t>
  </si>
  <si>
    <t>https://github.com/WordPress/openverse</t>
  </si>
  <si>
    <t>https://docs.openverse.org/meta/index.html</t>
  </si>
  <si>
    <t>https://make.wordpress.org/openverse/</t>
  </si>
  <si>
    <t>Openverse has no board.</t>
  </si>
  <si>
    <t>https://wordpress.org/about/accessibility/</t>
  </si>
  <si>
    <t>https://make.wordpress.org/handbook/diversity-equity-and-inclusion-in-wordpress/</t>
  </si>
  <si>
    <t>https://openverse.org/privacy</t>
  </si>
  <si>
    <t>https://docs.openverse.org/meta/decision_making/index.html</t>
  </si>
  <si>
    <t>https://oasisbr.ibict.br/</t>
  </si>
  <si>
    <t>https://github.com/projetos-codic-ibict/oasisbr-vufind</t>
  </si>
  <si>
    <t>https://oasisbr.ibict.br/vufind/about/home</t>
  </si>
  <si>
    <t>&lt;p&gt;The Brazilian Portal of Publications and Scientific Data in Open Access (Oasisbr) is an initiative of the Instituto Brasileiro de Informação em Ciência e Tecnologia (IBICT), a national information body and research unit of the Ministério da Ciência, Tecnologia e Inovação (MCTI). Oasisbr is supported and governed by the nonprofit collaborative repository group &lt;a href="http://rbrd.ibict.br/" target="_blank"&gt;Rede Brasileira de Repositórios Digitais (RBRD)&lt;/a&gt;. &lt;/p&gt;</t>
  </si>
  <si>
    <t>https://osf.io</t>
  </si>
  <si>
    <t>https://github.com/CenterForOpenScience/osf.io</t>
  </si>
  <si>
    <t>https://www.cos.io/about/board</t>
  </si>
  <si>
    <t>&lt;p&gt;OSF is a project of Center for Open Science, which is &lt;a href="https://www.cos.io/about/board" target="_blank"&gt;governed by&lt;/a&gt; a Board of Directors.&lt;/p&gt;</t>
  </si>
  <si>
    <t>https://help.osf.io/hc/en-us/articles/360019737894-FAQs#what-accessibility-standards-does-osf-adhere-to</t>
  </si>
  <si>
    <t>https://www.cos.io/products/osf-preprints</t>
  </si>
  <si>
    <t>https://www.cos.io/about/diversity-equity-and-inclusion-at-cos</t>
  </si>
  <si>
    <t>https://github.com/CenterForOpenScience/cos.io/blob/master/PRIVACY_POLICY.md</t>
  </si>
  <si>
    <t>https://osf.io/pjnse</t>
  </si>
  <si>
    <t>https://ocfl.io/</t>
  </si>
  <si>
    <t>https://github.com/OCFL/spec</t>
  </si>
  <si>
    <t>&lt;p&gt;The OCFL specification is governed by its Editorial Board. The group meets every other week to discuss issues related to the specification and how we can collaborate with the community. We host community meetings to hear about how the community uses the specification; information provided by the community impacts the Editors' decisions about the specification.&lt;/p&gt;
&lt;p&gt;There is no formal governance for the community.&lt;/p&gt;</t>
  </si>
  <si>
    <t>https://peercommunityin.org/</t>
  </si>
  <si>
    <t>https://github.com/pci-dev</t>
  </si>
  <si>
    <t>https://peercommunityin.org/pci-structure-history/</t>
  </si>
  <si>
    <t>The &lt;a href="https://peercommunityin.org/pci-structure-history/"&gt;Peer Community In initiative&lt;/a&gt;: Members of the PCI association is made up of (i) The representatives of the managing boards of all the thematic PCIs, (ii) The three founders of PCI (Denis Bourguet, Benoit Facon and Thomas Guillemaud) and (iii) The support officer of PCI (currently Barbara Class). The roles of the PCI association are to define the strategy of PCI, to create/abolish thematic PCIs and to fund and organise the functioning of the various thematic PCIs and Peer Community Journal.</t>
  </si>
  <si>
    <t>https://peercommunityin.org/pci-finances/</t>
  </si>
  <si>
    <t>https://pkp.sfu.ca/pkp-pn/</t>
  </si>
  <si>
    <t>https://github.com/pkp/pln</t>
  </si>
  <si>
    <t>See Open Journal Systems for governance and financial information.</t>
  </si>
  <si>
    <t>https://prereview.org</t>
  </si>
  <si>
    <t>https://github.com/PREreview/prereview.org</t>
  </si>
  <si>
    <t>https://prereview.org/people</t>
  </si>
  <si>
    <t>&lt;p&gt;PREreview is governed by an &lt;a href="https://content.prereview.org/people/" target="_blank"&gt;Advisory Committee&lt;/a&gt;, and is a fiscally sponsored project of &lt;a href="https://www.codeforsociety.org/" target="_blank"&gt;Code for Science &amp;amp; Society&lt;/a&gt;, a US-based 501(c)3&lt;/p&gt;</t>
  </si>
  <si>
    <t>https://prereview.org/edia-statement</t>
  </si>
  <si>
    <t>https://prereview.org/trainings</t>
  </si>
  <si>
    <t>https://prereview.org/privacy-policy</t>
  </si>
  <si>
    <t>COAR Next Generation Repositories Principles | Joint Statement of Principles of the Coalition for Diversity and Inclusion in Scholarly Communication (C4DISC) | San Francisco Declaration on Research Assessment (DORA)</t>
  </si>
  <si>
    <t>https://pressbooks.com/</t>
  </si>
  <si>
    <t>https://github.com/pressbooks</t>
  </si>
  <si>
    <t>&lt;p&gt;The provider is considering additional governance development.&lt;/p&gt;</t>
  </si>
  <si>
    <t>https://pressbooks.com/accessibility/</t>
  </si>
  <si>
    <t>https://pressbooks.com/plans-pricing/</t>
  </si>
  <si>
    <t>https://pressbooks.com/privacy-policy/</t>
  </si>
  <si>
    <t>https://eclipse-pass.org/</t>
  </si>
  <si>
    <t>https://github.com/eclipse-pass</t>
  </si>
  <si>
    <t>https://www.eclipse.org/org/documents/</t>
  </si>
  <si>
    <t>&lt;p&gt;The Public Access Submission System (PASS) is a project of the Eclipse Foundation, which is governed by a &lt;a href="https://www.eclipse.org/org/foundation/directors.php" target="_blank"&gt;Board of Directors&lt;/a&gt;.&lt;/p&gt;</t>
  </si>
  <si>
    <t>https://www.eclipse.org/org/documents/Community_Code_of_Conduct.php</t>
  </si>
  <si>
    <t>https://www.eclipse.org/org/documents/eclipse-foundation-hosted-services-privacy-and-acceptable-usage-policy.pdf</t>
  </si>
  <si>
    <t>https://www.eclipse.org/org/workinggroups/about.php</t>
  </si>
  <si>
    <t>https://github.com/catalyst-cooperative/pudl</t>
  </si>
  <si>
    <t>https://github.com/catalyst-cooperative/pudl/</t>
  </si>
  <si>
    <t>As a democractic worker-owned co-operative, we operate with one vote per member. Currently, all members of Catalyst Cooperative serve on the board. The board has absolute control over the organization, a fiduciary responsibility to the co-operative, and is primarily responsible for ongoing financial planning and decision-making, approving policy changes, and hiring. According to the Catalyst Cooperative bylaws, the board is mandated to serve the following purposes:
"The Cooperative shall strive to perform data and policy analysis in support of creating a more just, livable, and sustainable world for all humanity with focus areas including climate and energy policies, electric utility regulation and finances, and land-use, transportation, and housing policies.
The Cooperative shall strive to provide members with fulfilling work that is equitably compensated, while also allowing them the flexibility to pursue other paths in life. The Cooperative may produce free or low-cost and thus more widely available data products, applications, and policy analyses to help educate the public, inform public policymaking, and level the playing field between profit-maximizing and non-commercial interests.
The Cooperative may also have as one or more of its purposes any purpose or purposes permitted for cooperatives under Colorado law. The Cooperative shall be operated on a cooperative basis for the mutual benefit of its members."
See our &lt;a href="https://catalystcoop-handbook.readthedocs.io/en/latest/bylaws.html#catalyst-cooperative-bylaws" target="_blank"&gt;bylaws&lt;/a&gt; for more information.</t>
  </si>
  <si>
    <t>https://catalystcoop-handbook.readthedocs.io/en/latest/bylaws.html</t>
  </si>
  <si>
    <t>https://www.pubpub.org/</t>
  </si>
  <si>
    <t>https://github.com/pubpub</t>
  </si>
  <si>
    <t>https://www.knowledgefutures.org/about</t>
  </si>
  <si>
    <t>&lt;p&gt;PubPub is an initiative of &lt;a href="https://www.knowledgefutures.org/" target="_blank"&gt;Knowledge Futures&lt;/a&gt;, which is &lt;a href="https://www.knowledgefutures.org/about" target="_blank"&gt;governed by&lt;/a&gt; a Board of Directors.&lt;/p&gt;</t>
  </si>
  <si>
    <t>https://notes.knowledgefutures.org/pub/dwubshpn/release/1</t>
  </si>
  <si>
    <t>https://www.pubpub.org/pricing</t>
  </si>
  <si>
    <t>https://notes.knowledgefutures.org/pub/cqih29xa/release/24#conduct</t>
  </si>
  <si>
    <t>https://www.pubpub.org/legal/privacy</t>
  </si>
  <si>
    <t>https://thepund.it</t>
  </si>
  <si>
    <t>https://github.com/net7/pundit-client</t>
  </si>
  <si>
    <t>Pundit is developed by Net7, an IT company based in Pisa, Italy.</t>
  </si>
  <si>
    <t>https://www.iubenda.com/privacy-policy/69930136</t>
  </si>
  <si>
    <t>https://www.pyopensci.org/</t>
  </si>
  <si>
    <t>https://github.com/pyOpenSci</t>
  </si>
  <si>
    <t>https://www.pyopensci.org/handbook/governance/structure.html</t>
  </si>
  <si>
    <t>https://www.pyopensci.org/handbook/reference/index.html</t>
  </si>
  <si>
    <t xml:space="preserve">The board provides broad oversight to the organization. They provide input on strategic decisions made and oversight on budget and spending. </t>
  </si>
  <si>
    <t>https://www.pyopensci.org/handbook/governance/index.html</t>
  </si>
  <si>
    <t>https://renkulab.io</t>
  </si>
  <si>
    <t>https://github.com/SwissDataScienceCenter/renku</t>
  </si>
  <si>
    <t>Renku software development is led by the Swiss Data Science Center engineering team and external contributors. The project roadmap is determined by the SDSC and other stakeholders within the Swiss academic system.</t>
  </si>
  <si>
    <t xml:space="preserve">We do not have a board in a formal sense; the leadership of the Swiss Data Science Center and the academic advisors serve as an advisory body for the activities of the Renku project and its technological and business development. </t>
  </si>
  <si>
    <t>https://renkulab.io/help/privacy</t>
  </si>
  <si>
    <t>http://repec.org</t>
  </si>
  <si>
    <t>https://github.com/repec-org</t>
  </si>
  <si>
    <t>https://governance.repec.org</t>
  </si>
  <si>
    <t>Since 2010‒10‒01, RePEc has been an independent project of the Open Library Society. RePEc is run by a board of directors, according to the &lt;a href="https://governance.repec.org/rules.html"&gt;RePEc governance rules&lt;/a&gt;.</t>
  </si>
  <si>
    <t>https://governance.repec.org/resolutions.html</t>
  </si>
  <si>
    <t>Limited. We depend entirely on volunteers, and they decide what they want to work on. We cannot force anyone...</t>
  </si>
  <si>
    <t>https://ideas.repec.org/privacy.html</t>
  </si>
  <si>
    <t>https://governance.repec.org/rules.html</t>
  </si>
  <si>
    <t>https://ror.org</t>
  </si>
  <si>
    <t>https://github.com/ror-community</t>
  </si>
  <si>
    <t>https://ror.org/about/#governance-model</t>
  </si>
  <si>
    <t>&lt;p&gt;ROR is operated as a collaborative initiative by &lt;a href="https://cdlib.org/" target="_blank"&gt;California Digital Library&lt;/a&gt;, &lt;a href="https://crossref.org/" target="_blank"&gt;Crossref&lt;/a&gt;, and &lt;a href="https://datacite.org/" target="_blank"&gt;DataCite&lt;/a&gt;. The three ROR governing organizations collectively assume and share responsibility for ROR governance, operations, resourcing, and decision-making. These responsibilities are defined in a &lt;a href="https://ror.org/documents/ROR-Memorandum-of-Agreement-2022.pdf" target="_blank"&gt;Memorandum of Agreement (MOA)&lt;/a&gt;.&lt;/p&gt;</t>
  </si>
  <si>
    <t>https://ror.org/about/#business-model</t>
  </si>
  <si>
    <t>https://ror.org/privacy/</t>
  </si>
  <si>
    <t>https://ror.org/community/#steering-group</t>
  </si>
  <si>
    <t>https://rogue-scholar.org/</t>
  </si>
  <si>
    <t>https://github.com/front-matter/rogue-scholar</t>
  </si>
  <si>
    <t>&lt;p&gt;No governance is known of at this time. &lt;/p&gt;</t>
  </si>
  <si>
    <t>https://rogue-scholar.org/#pricing</t>
  </si>
  <si>
    <t>https://www.researchspace.com/</t>
  </si>
  <si>
    <t>https://github.com/rspace-os</t>
  </si>
  <si>
    <t>...</t>
  </si>
  <si>
    <t>The board addresses routine reporting requirements and reviews strategic and financial matters.</t>
  </si>
  <si>
    <t>https://www.researchspace.com/pricing</t>
  </si>
  <si>
    <t>https://www.researchspace.com/privacy-policy</t>
  </si>
  <si>
    <t>https://sciety.org</t>
  </si>
  <si>
    <t>https://github.com/sciety/sciety</t>
  </si>
  <si>
    <t>https://elifesciences.org/about/people/directors</t>
  </si>
  <si>
    <t xml:space="preserve">The purview of the board is as follows:
Fixing number of directors  
Approval of budget  
Selection and approval of EiC and other board directors  
Entering into agreements that bind the company into the liability of others  
Mergers, sales assignments or transfer of assets  
Creation of a subsidiary  
Approval of compensation for directors  
Change of the corporation status  </t>
  </si>
  <si>
    <t>https://sciety.org/legal</t>
  </si>
  <si>
    <t>https://www.synapse.org/</t>
  </si>
  <si>
    <t>https://github.com/Sage-Bionetworks</t>
  </si>
  <si>
    <t xml:space="preserve">Strategic Guidance: The Sage Board guides our long-term direction, ensuring alignment with its mission. This includes setting priorities, approving strategic plans, and identifying major goals to drive scientific impact.
Financial Oversight: Our Board oversees Sage’s finances, ensuring responsible stewardship of resources. This includes reviewing budgets, ensuring transparency in financial reporting, approving major expenditures, and sometimes assisting in fundraising efforts.
Outreach and Advocacy: Sage Board members act as ambassadors for the organization, helping to promote its mission to external audiences, advocate for scientific issues and patient impact, and build partnerships with other institutions.
Leadership and Organizational Health: Our Board oversees the hiring and performance of our President and CEO. They also review high-level staff appointments.
Monitoring and Evaluation: The Board tracks Sage’s organizational progress toward its goals, evaluating the impact of programs and initiatives to ensure alignment with our nonprofit mission. 
</t>
  </si>
  <si>
    <t>https://help.synapse.org/docs/Synapse-Pricing.2965078125.html</t>
  </si>
  <si>
    <t>https://www.synapse.org/TrustCenter:PrivacyPolicy</t>
  </si>
  <si>
    <t>https://cyber.harvard.edu/hoap/TagTeam</t>
  </si>
  <si>
    <t>https://github.com/berkmancenter/tagteam</t>
  </si>
  <si>
    <t xml:space="preserve">n/a </t>
  </si>
  <si>
    <t>https://cyber.harvard.edu/hoap/Why_tag_for_OATP</t>
  </si>
  <si>
    <t>https://cyber.harvard.edu/hoap/TagTeam_terms_of_service#Privacy_Policy</t>
  </si>
  <si>
    <t>https://thoth.pub/</t>
  </si>
  <si>
    <t>https://github.com/thoth-pub/thoth</t>
  </si>
  <si>
    <t>https://thoth.pub/about/about-us#our-governance</t>
  </si>
  <si>
    <t>Thoth Open Metadata has been set up as a UK Community Interest Company (CIC) limited by guarantee, to ensure that the community’s interest are being met, no private gain (such as paying out dividends to its membership) is sought, and any surplus or assets are used principally for the benefit of the community. Thoth has been formed as a “large membership” CIC, which means that the members have ultimate control over the activities of the CIC. It also requires there to be more members than Directors and allows for the membership to grow as the company grows. These members collectively decide when and how the overall membership will grow. Another key feature of a Community Interest Company is the Asset Lock, which guarantees transfer of resources to a predefined set of organisations in the case of the CIC facing insolvency. The Membership approves the appointments of Thoth’s Board of Directors, which is responsible for proper management of the company’s business.</t>
  </si>
  <si>
    <t>The Board of Directors is responsible for the overall management of the non-profit CIC.</t>
  </si>
  <si>
    <t>https://thoth.pub/pricing</t>
  </si>
  <si>
    <t>https://thoth.pub/policies/privacy</t>
  </si>
  <si>
    <t>https://find-and-update.company-information.service.gov.uk/company/14549556/filing-history</t>
  </si>
  <si>
    <t>https://tropy.org/</t>
  </si>
  <si>
    <t>https://github.com/tropy/tropy</t>
  </si>
  <si>
    <t>https://digitalscholar.org/governance/leadership/</t>
  </si>
  <si>
    <t>Tropy is a hosted project of Digital Scholar, a non-stock corporation in the United States that follows 501(c)3 guidelines in its operations.</t>
  </si>
  <si>
    <t>https://digitalscholar.org/governance/anti-discrimination-policy/</t>
  </si>
  <si>
    <t>https://digitalscholar.org/assets/downloads/Corporation%20for%20Digital%20Scholarship%20%E2%80%93%20Bylaws.pdf</t>
  </si>
  <si>
    <t>https://verapdf.org</t>
  </si>
  <si>
    <t>https://github.com/verapdf</t>
  </si>
  <si>
    <t>https://openpreservation.org/tools/viper</t>
  </si>
  <si>
    <t>https://github.com/openpreserve/ViPER</t>
  </si>
  <si>
    <t>ViPER is a project of the Open Preservation Foundation a company, limited by guarantee, registered in England and Wales and Stichting Open Preservation, registered as a foundation with the Kamer van Koophandel.</t>
  </si>
  <si>
    <t>https://texasdigitallibrary.atlassian.net/wiki/spaces/VUG/pages/87490642/About</t>
  </si>
  <si>
    <t>https://github.com/TexasDigitalLibrary/Vireo</t>
  </si>
  <si>
    <t>https://www.tdl.org/about-tdl/governance/</t>
  </si>
  <si>
    <t>Video is a project of the Texas Digital Library (TDL), a consortium of Texas higher education institutions. UT Austin serves as the fiscal agent for TDL.</t>
  </si>
  <si>
    <t>https://texasdigitallibrary.atlassian.net/wiki/x/9YBuOw</t>
  </si>
  <si>
    <t>https://texasdigitallibrary.atlassian.net/wiki/spaces/VUG/pages/2701131781/Accessibility</t>
  </si>
  <si>
    <t>https://www.tdl.org/community/members/membership/fees/</t>
  </si>
  <si>
    <t>https://vivoweb.org/</t>
  </si>
  <si>
    <t>https://github.com/vivo-project</t>
  </si>
  <si>
    <t>https://vivoweb.org/governance/</t>
  </si>
  <si>
    <t>VIVO's Leadership Group sets development priorities and creates strategies for realizing those priorities. The Leadership Group consists of members and elected community representatives. VIVO Committers work with the community to maintain and advance the VIVO codebase by writing code as well as managing code contributions from the community. The VIVO Committers meet regularly to plan new features and enhancements.</t>
  </si>
  <si>
    <t>https://wiki.lyrasis.org/display/VIVO/VIVO+Project+Governance</t>
  </si>
  <si>
    <t>The Leadership Group establishes priorities and is responsible for making strategic decisions in these areas. 
- Annual budget allocation
- Substantial changes in allocations during the year
- Strategic product roadmap
- Strategic community direction</t>
  </si>
  <si>
    <t>https://vivoweb.org/privacy-policy/</t>
  </si>
  <si>
    <t>https://wiki.lyrasis.org/display/VIVO/VIVO+Project+Charter+v+1.1</t>
  </si>
  <si>
    <t>https://vufind.org/</t>
  </si>
  <si>
    <t>https://github.com/vufind-org</t>
  </si>
  <si>
    <t>https://github.com/vufind-org/vufind/blob/dev/GOVERNANCE.md</t>
  </si>
  <si>
    <t>&lt;p&gt;VuFind is developed and maintained by the &lt;a href="https://openlibraryfoundation.org/" target="_blank"&gt;Open Library Foundation&lt;/a&gt;, and is governed by a &lt;a href="https://vufind.org/wiki/community:roles_and_responsibilities#project_management_committee" target="_blank"&gt;Project Management Committee&lt;/a&gt; with additional roles outlined &lt;a href="https://github.com/vufind-org/vufind/blob/dev/GOVERNANCE.md" target="_blank"&gt;here&lt;/a&gt;.&lt;/p&gt;</t>
  </si>
  <si>
    <t>https://vufind.org/wiki/community:pmc_meetings</t>
  </si>
  <si>
    <t>https://vufind.org/wiki/accessibility</t>
  </si>
  <si>
    <t>https://github.com/vufind-org/vufind/blob/dev/CODE_OF_CONDUCT.md</t>
  </si>
  <si>
    <t>https://vufind.org/wiki/configuration:user_privacy</t>
  </si>
  <si>
    <t>https://zenodo.org/</t>
  </si>
  <si>
    <t>https://github.com/zenodo/zenodo-rdm</t>
  </si>
  <si>
    <t>&lt;p&gt;Zenodo is a community-driven effort, governed by &lt;a href="https://home.cern/" target="_blank"&gt;CERN&lt;/a&gt; for the benefit of the community. The provider is considering additional governance development.&lt;/p&gt;</t>
  </si>
  <si>
    <t>https://help.zenodo.org/faq/#cpolicies-1</t>
  </si>
  <si>
    <t>https://diversity-and-inclusion.web.cern.ch/</t>
  </si>
  <si>
    <t>https://about.zenodo.org/privacy-policy/</t>
  </si>
  <si>
    <t>https://www.zotero.org/</t>
  </si>
  <si>
    <t>https://github.com/zotero</t>
  </si>
  <si>
    <t>Zotero is a hosted project of Digital Scholar, a non-stock corporation in the United States that follows 501(c)3 guidelines in its operations.</t>
  </si>
  <si>
    <t>https://www.zotero.org/accessibility</t>
  </si>
  <si>
    <t>https://www.zotero.org/storage</t>
  </si>
  <si>
    <t>https://www.zotero.org/support/privacy</t>
  </si>
  <si>
    <t>Variable Code</t>
  </si>
  <si>
    <t>Readable Field</t>
  </si>
  <si>
    <t>Role in Component</t>
  </si>
  <si>
    <t>Verification Guidance</t>
  </si>
  <si>
    <t>Governance Structure Status</t>
  </si>
  <si>
    <t>Status of a documented governance structure.</t>
  </si>
  <si>
    <t>Verify against official governance documentation.</t>
  </si>
  <si>
    <t>Governance Structure Url</t>
  </si>
  <si>
    <t>Governance structure evidence URL.</t>
  </si>
  <si>
    <t>Open and verify.</t>
  </si>
  <si>
    <t>Governance Records Status</t>
  </si>
  <si>
    <t>Status of publicly available governance/decision records.</t>
  </si>
  <si>
    <t>Verify minutes, decisions, records or equivalent.</t>
  </si>
  <si>
    <t>Governance Summary</t>
  </si>
  <si>
    <t>Narrative description of governance arrangements.</t>
  </si>
  <si>
    <t>Check consistency with formal governance documentation.</t>
  </si>
  <si>
    <t>Governance Records Url</t>
  </si>
  <si>
    <t>Governance records evidence URL.</t>
  </si>
  <si>
    <t>Board Structure</t>
  </si>
  <si>
    <t>Reported type of board or steering structure.</t>
  </si>
  <si>
    <t>Verify board/steering composition and type.</t>
  </si>
  <si>
    <t>Board Structure Other</t>
  </si>
  <si>
    <t>Other board structure description.</t>
  </si>
  <si>
    <t>Verify free-text value.</t>
  </si>
  <si>
    <t>Board Level</t>
  </si>
  <si>
    <t>Reported board representation/level information.</t>
  </si>
  <si>
    <t>Verify if present.</t>
  </si>
  <si>
    <t>Board Level Other</t>
  </si>
  <si>
    <t>Other board-level information.</t>
  </si>
  <si>
    <t>Bylaws Status</t>
  </si>
  <si>
    <t>Presence/maturity of bylaws or equivalent formal rules.</t>
  </si>
  <si>
    <t>Verify the official bylaws/governing document.</t>
  </si>
  <si>
    <t>Web Accessibility Status</t>
  </si>
  <si>
    <t>Status of web accessibility commitment/practice.</t>
  </si>
  <si>
    <t>Verify statement or policy.</t>
  </si>
  <si>
    <t>Web Accessibility Url</t>
  </si>
  <si>
    <t>Accessibility evidence URL.</t>
  </si>
  <si>
    <t>Web Accessibility Applicability</t>
  </si>
  <si>
    <t>Whether accessibility criterion is applicable.</t>
  </si>
  <si>
    <t>Check applicability.</t>
  </si>
  <si>
    <t>Transparent Pricing Status</t>
  </si>
  <si>
    <t>Status of transparent pricing or no direct costs.</t>
  </si>
  <si>
    <t>Verify pricing/funding page.</t>
  </si>
  <si>
    <t>Transparent Pricing Url</t>
  </si>
  <si>
    <t>Pricing transparency evidence URL.</t>
  </si>
  <si>
    <t>Commitment To Equity Status</t>
  </si>
  <si>
    <t>Status of an explicit equity commitment.</t>
  </si>
  <si>
    <t>Verify policy/statement.</t>
  </si>
  <si>
    <t>Commitment To Equity Url</t>
  </si>
  <si>
    <t>Equity evidence URL.</t>
  </si>
  <si>
    <t>Commitment To Privacy Status</t>
  </si>
  <si>
    <t>Status of an explicit privacy commitment.</t>
  </si>
  <si>
    <t>Verify privacy policy.</t>
  </si>
  <si>
    <t>Commitment To Privacy Url</t>
  </si>
  <si>
    <t>Privacy evidence URL.</t>
  </si>
  <si>
    <t>Values Frameworks</t>
  </si>
  <si>
    <t>Values/principles/frameworks explicitly adopted or referenced.</t>
  </si>
  <si>
    <t>Verify named frameworks and their relevance.</t>
  </si>
  <si>
    <t>Community Governance Status</t>
  </si>
  <si>
    <t>Extent of community participation in governance.</t>
  </si>
  <si>
    <t>Verify whether governance is formal, ad hoc, or absent.</t>
  </si>
  <si>
    <t>Community Governance Url</t>
  </si>
  <si>
    <t>Evidence URL for community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</si>
</sst>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245B55"/>
      </patternFill>
    </fill>
    <fill>
      <patternFill patternType="solid">
        <fgColor rgb="FFFCECC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2" fontId="0" fillId="0" borderId="0" xfId="0" applyNumberFormat="1" applyAlignment="1">
      <alignment vertical="top" wrapText="1"/>
    </xf>
    <xf numFmtId="10" fontId="0" fillId="0" borderId="0" xfId="0" applyNumberFormat="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pane ySplit="1" topLeftCell="A2" activePane="bottomLeft" state="frozen"/>
      <selection pane="bottomLeft"/>
    </sheetView>
  </sheetViews>
  <sheetFormatPr defaultRowHeight="15" x14ac:dyDescent="0.25"/>
  <cols>
    <col min="1" max="1" width="42" customWidth="1"/>
    <col min="2" max="2" width="110" customWidth="1"/>
  </cols>
  <sheetData>
    <row r="1" spans="1:2" ht="32.1" customHeight="1" x14ac:dyDescent="0.25">
      <c r="A1" s="1" t="s">
        <v>0</v>
      </c>
      <c r="B1" s="1" t="s">
        <v>1</v>
      </c>
    </row>
    <row r="2" spans="1:2" x14ac:dyDescent="0.25">
      <c r="A2" s="2" t="s">
        <v>2</v>
      </c>
      <c r="B2" s="2">
        <v>112</v>
      </c>
    </row>
    <row r="3" spans="1:2" x14ac:dyDescent="0.25">
      <c r="A3" s="2" t="s">
        <v>3</v>
      </c>
      <c r="B3" s="2" t="s">
        <v>4</v>
      </c>
    </row>
    <row r="4" spans="1:2" x14ac:dyDescent="0.25">
      <c r="A4" s="2" t="s">
        <v>5</v>
      </c>
      <c r="B4" s="2" t="s">
        <v>6</v>
      </c>
    </row>
    <row r="5" spans="1:2" x14ac:dyDescent="0.25">
      <c r="A5" s="2" t="s">
        <v>7</v>
      </c>
      <c r="B5" s="2" t="s">
        <v>8</v>
      </c>
    </row>
    <row r="6" spans="1:2" x14ac:dyDescent="0.25">
      <c r="A6" s="2" t="s">
        <v>9</v>
      </c>
      <c r="B6" s="2" t="s">
        <v>10</v>
      </c>
    </row>
    <row r="7" spans="1:2" x14ac:dyDescent="0.25">
      <c r="A7" s="2" t="s">
        <v>11</v>
      </c>
      <c r="B7" s="2">
        <f>AVERAGE(Scoring!S2:S113)</f>
        <v>64.177295918367363</v>
      </c>
    </row>
    <row r="8" spans="1:2" x14ac:dyDescent="0.25">
      <c r="A8" s="2" t="s">
        <v>12</v>
      </c>
      <c r="B8" s="2">
        <f>MEDIAN(Scoring!S2:S113)</f>
        <v>70.214285714285722</v>
      </c>
    </row>
    <row r="9" spans="1:2" x14ac:dyDescent="0.25">
      <c r="A9" s="2" t="s">
        <v>13</v>
      </c>
      <c r="B9" s="2">
        <v>26.00008582021967</v>
      </c>
    </row>
    <row r="10" spans="1:2" x14ac:dyDescent="0.25">
      <c r="A10" s="2" t="s">
        <v>14</v>
      </c>
      <c r="B10" s="2">
        <f>MIN(Scoring!S2:S113)</f>
        <v>0</v>
      </c>
    </row>
    <row r="11" spans="1:2" x14ac:dyDescent="0.25">
      <c r="A11" s="2" t="s">
        <v>15</v>
      </c>
      <c r="B11" s="2">
        <f>MAX(Scoring!S2:S113)</f>
        <v>100</v>
      </c>
    </row>
    <row r="12" spans="1:2" x14ac:dyDescent="0.25">
      <c r="A12" s="2" t="s">
        <v>16</v>
      </c>
      <c r="B12" s="2">
        <f>AVERAGE(Coverage!J2:J113)</f>
        <v>0.90178571428571419</v>
      </c>
    </row>
    <row r="13" spans="1:2" x14ac:dyDescent="0.25">
      <c r="A13" s="2" t="s">
        <v>17</v>
      </c>
      <c r="B13" s="2">
        <f>COUNTIF(Coverage!I2:I113,7)</f>
        <v>68</v>
      </c>
    </row>
    <row r="14" spans="1:2" x14ac:dyDescent="0.25">
      <c r="A14" s="2" t="s">
        <v>18</v>
      </c>
      <c r="B14" s="2" t="s">
        <v>19</v>
      </c>
    </row>
    <row r="15" spans="1:2" x14ac:dyDescent="0.25">
      <c r="A15" s="2" t="s">
        <v>20</v>
      </c>
      <c r="B15" s="2" t="s">
        <v>21</v>
      </c>
    </row>
  </sheetData>
  <autoFilter ref="A1:B1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3"/>
  <sheetViews>
    <sheetView tabSelected="1" topLeftCell="G1" workbookViewId="0">
      <pane ySplit="1" topLeftCell="A2" activePane="bottomLeft" state="frozen"/>
      <selection pane="bottomLeft" activeCell="G2" sqref="G2"/>
    </sheetView>
  </sheetViews>
  <sheetFormatPr defaultRowHeight="15" x14ac:dyDescent="0.25"/>
  <cols>
    <col min="1" max="1" width="37" customWidth="1"/>
    <col min="2" max="2" width="28" customWidth="1"/>
    <col min="3" max="3" width="32" customWidth="1"/>
    <col min="4" max="4" width="25" customWidth="1"/>
    <col min="5" max="5" width="20" customWidth="1"/>
    <col min="6" max="6" width="32" customWidth="1"/>
    <col min="7" max="7" width="55" customWidth="1"/>
    <col min="8" max="8" width="24" customWidth="1"/>
    <col min="9" max="9" width="26" customWidth="1"/>
    <col min="10" max="11" width="22" customWidth="1"/>
    <col min="12" max="19" width="14" customWidth="1"/>
    <col min="20" max="20" width="10" customWidth="1"/>
    <col min="21" max="21" width="22" customWidth="1"/>
    <col min="22" max="22" width="18" customWidth="1"/>
    <col min="23" max="23" width="20" customWidth="1"/>
    <col min="24" max="24" width="70" customWidth="1"/>
  </cols>
  <sheetData>
    <row r="1" spans="1:24" ht="32.1" customHeight="1" x14ac:dyDescent="0.25">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row>
    <row r="2" spans="1:24" ht="30" x14ac:dyDescent="0.25">
      <c r="A2" s="2" t="s">
        <v>46</v>
      </c>
      <c r="B2" s="2" t="s">
        <v>47</v>
      </c>
      <c r="C2" s="2" t="s">
        <v>48</v>
      </c>
      <c r="D2" s="2" t="s">
        <v>49</v>
      </c>
      <c r="E2" s="2" t="s">
        <v>50</v>
      </c>
      <c r="F2" s="2" t="s">
        <v>51</v>
      </c>
      <c r="G2" s="2"/>
      <c r="H2" s="2" t="s">
        <v>8</v>
      </c>
      <c r="I2" s="2" t="s">
        <v>52</v>
      </c>
      <c r="J2" s="2" t="s">
        <v>52</v>
      </c>
      <c r="K2" s="2" t="s">
        <v>53</v>
      </c>
      <c r="L2" s="3">
        <f>Calc!B2</f>
        <v>67</v>
      </c>
      <c r="M2" s="3">
        <f>Calc!C2</f>
        <v>0</v>
      </c>
      <c r="N2" s="3">
        <f>Verification!F2</f>
        <v>100</v>
      </c>
      <c r="O2" s="3">
        <f>Calc!E2</f>
        <v>33</v>
      </c>
      <c r="P2" s="3">
        <f>Calc!F2</f>
        <v>33</v>
      </c>
      <c r="Q2" s="3">
        <f>Calc!G2</f>
        <v>100</v>
      </c>
      <c r="R2" s="3">
        <f>Calc!H2</f>
        <v>0</v>
      </c>
      <c r="S2" s="3">
        <f t="shared" ref="S2:S33" si="0">AVERAGE(L2:R2)</f>
        <v>47.571428571428569</v>
      </c>
      <c r="T2" s="2" t="e">
        <f t="shared" ref="T2:T33" ca="1" si="1">_xludf.RANK.EQ(S2,$S$2:$S$113,0)</f>
        <v>#NAME?</v>
      </c>
      <c r="U2" s="2">
        <f>Coverage!I2</f>
        <v>6</v>
      </c>
      <c r="V2" s="4">
        <f>Coverage!J2</f>
        <v>0.8571428571428571</v>
      </c>
      <c r="W2" s="3">
        <f>IFERROR(SUMPRODUCT(L2:R2,Coverage!B2:H2)/U2,0)</f>
        <v>55.5</v>
      </c>
      <c r="X2" s="2" t="s">
        <v>54</v>
      </c>
    </row>
    <row r="3" spans="1:24" ht="30" x14ac:dyDescent="0.25">
      <c r="A3" s="2" t="s">
        <v>55</v>
      </c>
      <c r="B3" s="2" t="s">
        <v>55</v>
      </c>
      <c r="C3" s="2" t="s">
        <v>56</v>
      </c>
      <c r="D3" s="2" t="s">
        <v>53</v>
      </c>
      <c r="E3" s="2" t="s">
        <v>53</v>
      </c>
      <c r="F3" s="2" t="s">
        <v>57</v>
      </c>
      <c r="G3" s="2"/>
      <c r="H3" s="2" t="s">
        <v>58</v>
      </c>
      <c r="I3" s="2" t="s">
        <v>52</v>
      </c>
      <c r="J3" s="2" t="s">
        <v>53</v>
      </c>
      <c r="K3" s="2" t="s">
        <v>59</v>
      </c>
      <c r="L3" s="3">
        <f>Calc!B3</f>
        <v>100</v>
      </c>
      <c r="M3" s="3">
        <f>Calc!C3</f>
        <v>100</v>
      </c>
      <c r="N3" s="3">
        <f>Verification!F3</f>
        <v>100</v>
      </c>
      <c r="O3" s="3">
        <f>Calc!E3</f>
        <v>33</v>
      </c>
      <c r="P3" s="3">
        <f>Calc!F3</f>
        <v>100</v>
      </c>
      <c r="Q3" s="3">
        <f>Calc!G3</f>
        <v>0</v>
      </c>
      <c r="R3" s="3">
        <f>Calc!H3</f>
        <v>100</v>
      </c>
      <c r="S3" s="3">
        <f t="shared" si="0"/>
        <v>76.142857142857139</v>
      </c>
      <c r="T3" s="2" t="e">
        <f t="shared" ca="1" si="1"/>
        <v>#NAME?</v>
      </c>
      <c r="U3" s="2">
        <f>Coverage!I3</f>
        <v>7</v>
      </c>
      <c r="V3" s="4">
        <f>Coverage!J3</f>
        <v>1</v>
      </c>
      <c r="W3" s="3">
        <f>IFERROR(SUMPRODUCT(L3:R3,Coverage!B3:H3)/U3,0)</f>
        <v>76.142857142857139</v>
      </c>
      <c r="X3" s="2" t="s">
        <v>60</v>
      </c>
    </row>
    <row r="4" spans="1:24" ht="30" x14ac:dyDescent="0.25">
      <c r="A4" s="2" t="s">
        <v>61</v>
      </c>
      <c r="B4" s="2" t="s">
        <v>62</v>
      </c>
      <c r="C4" s="2" t="s">
        <v>63</v>
      </c>
      <c r="D4" s="2" t="s">
        <v>53</v>
      </c>
      <c r="E4" s="2" t="s">
        <v>59</v>
      </c>
      <c r="F4" s="2" t="s">
        <v>51</v>
      </c>
      <c r="G4" s="2"/>
      <c r="H4" s="2" t="s">
        <v>64</v>
      </c>
      <c r="I4" s="2" t="s">
        <v>49</v>
      </c>
      <c r="J4" s="2" t="s">
        <v>49</v>
      </c>
      <c r="K4" s="2" t="s">
        <v>53</v>
      </c>
      <c r="L4" s="3">
        <f>Calc!B4</f>
        <v>100</v>
      </c>
      <c r="M4" s="3">
        <f>Calc!C4</f>
        <v>0</v>
      </c>
      <c r="N4" s="3">
        <f>Verification!F4</f>
        <v>100</v>
      </c>
      <c r="O4" s="3">
        <f>Calc!E4</f>
        <v>67</v>
      </c>
      <c r="P4" s="3">
        <f>Calc!F4</f>
        <v>67</v>
      </c>
      <c r="Q4" s="3">
        <f>Calc!G4</f>
        <v>100</v>
      </c>
      <c r="R4" s="3">
        <f>Calc!H4</f>
        <v>50</v>
      </c>
      <c r="S4" s="3">
        <f t="shared" si="0"/>
        <v>69.142857142857139</v>
      </c>
      <c r="T4" s="2" t="e">
        <f t="shared" ca="1" si="1"/>
        <v>#NAME?</v>
      </c>
      <c r="U4" s="2">
        <f>Coverage!I4</f>
        <v>7</v>
      </c>
      <c r="V4" s="4">
        <f>Coverage!J4</f>
        <v>1</v>
      </c>
      <c r="W4" s="3">
        <f>IFERROR(SUMPRODUCT(L4:R4,Coverage!B4:H4)/U4,0)</f>
        <v>69.142857142857139</v>
      </c>
      <c r="X4" s="2" t="s">
        <v>60</v>
      </c>
    </row>
    <row r="5" spans="1:24" ht="30" x14ac:dyDescent="0.25">
      <c r="A5" s="2" t="s">
        <v>65</v>
      </c>
      <c r="B5" s="2" t="s">
        <v>66</v>
      </c>
      <c r="C5" s="2" t="s">
        <v>67</v>
      </c>
      <c r="D5" s="2" t="s">
        <v>53</v>
      </c>
      <c r="E5" s="2" t="s">
        <v>53</v>
      </c>
      <c r="F5" s="2" t="s">
        <v>51</v>
      </c>
      <c r="G5" s="2"/>
      <c r="H5" s="2" t="s">
        <v>58</v>
      </c>
      <c r="I5" s="2" t="s">
        <v>53</v>
      </c>
      <c r="J5" s="2" t="s">
        <v>59</v>
      </c>
      <c r="K5" s="2" t="s">
        <v>59</v>
      </c>
      <c r="L5" s="3">
        <f>Calc!B5</f>
        <v>100</v>
      </c>
      <c r="M5" s="3">
        <f>Calc!C5</f>
        <v>100</v>
      </c>
      <c r="N5" s="3">
        <f>Verification!F5</f>
        <v>100</v>
      </c>
      <c r="O5" s="3">
        <f>Calc!E5</f>
        <v>100</v>
      </c>
      <c r="P5" s="3">
        <f>Calc!F5</f>
        <v>0</v>
      </c>
      <c r="Q5" s="3">
        <f>Calc!G5</f>
        <v>0</v>
      </c>
      <c r="R5" s="3">
        <f>Calc!H5</f>
        <v>100</v>
      </c>
      <c r="S5" s="3">
        <f t="shared" si="0"/>
        <v>71.428571428571431</v>
      </c>
      <c r="T5" s="2" t="e">
        <f t="shared" ca="1" si="1"/>
        <v>#NAME?</v>
      </c>
      <c r="U5" s="2">
        <f>Coverage!I5</f>
        <v>7</v>
      </c>
      <c r="V5" s="4">
        <f>Coverage!J5</f>
        <v>1</v>
      </c>
      <c r="W5" s="3">
        <f>IFERROR(SUMPRODUCT(L5:R5,Coverage!B5:H5)/U5,0)</f>
        <v>71.428571428571431</v>
      </c>
      <c r="X5" s="2" t="s">
        <v>60</v>
      </c>
    </row>
    <row r="6" spans="1:24" ht="45" x14ac:dyDescent="0.25">
      <c r="A6" s="2" t="s">
        <v>68</v>
      </c>
      <c r="B6" s="2" t="s">
        <v>69</v>
      </c>
      <c r="C6" s="2" t="s">
        <v>70</v>
      </c>
      <c r="D6" s="2" t="s">
        <v>53</v>
      </c>
      <c r="E6" s="2" t="s">
        <v>53</v>
      </c>
      <c r="F6" s="2" t="s">
        <v>51</v>
      </c>
      <c r="G6" s="2"/>
      <c r="H6" s="2" t="s">
        <v>58</v>
      </c>
      <c r="I6" s="2" t="s">
        <v>53</v>
      </c>
      <c r="J6" s="2" t="s">
        <v>53</v>
      </c>
      <c r="K6" s="2" t="s">
        <v>52</v>
      </c>
      <c r="L6" s="3">
        <f>Calc!B6</f>
        <v>100</v>
      </c>
      <c r="M6" s="3">
        <f>Calc!C6</f>
        <v>100</v>
      </c>
      <c r="N6" s="3">
        <f>Verification!F6</f>
        <v>100</v>
      </c>
      <c r="O6" s="3">
        <f>Calc!E6</f>
        <v>100</v>
      </c>
      <c r="P6" s="3">
        <f>Calc!F6</f>
        <v>100</v>
      </c>
      <c r="Q6" s="3">
        <f>Calc!G6</f>
        <v>33</v>
      </c>
      <c r="R6" s="3">
        <f>Calc!H6</f>
        <v>100</v>
      </c>
      <c r="S6" s="3">
        <f t="shared" si="0"/>
        <v>90.428571428571431</v>
      </c>
      <c r="T6" s="2" t="e">
        <f t="shared" ca="1" si="1"/>
        <v>#NAME?</v>
      </c>
      <c r="U6" s="2">
        <f>Coverage!I6</f>
        <v>7</v>
      </c>
      <c r="V6" s="4">
        <f>Coverage!J6</f>
        <v>1</v>
      </c>
      <c r="W6" s="3">
        <f>IFERROR(SUMPRODUCT(L6:R6,Coverage!B6:H6)/U6,0)</f>
        <v>90.428571428571431</v>
      </c>
      <c r="X6" s="2" t="s">
        <v>60</v>
      </c>
    </row>
    <row r="7" spans="1:24" ht="45" x14ac:dyDescent="0.25">
      <c r="A7" s="2" t="s">
        <v>71</v>
      </c>
      <c r="B7" s="2" t="s">
        <v>72</v>
      </c>
      <c r="C7" s="2" t="s">
        <v>73</v>
      </c>
      <c r="D7" s="2" t="s">
        <v>49</v>
      </c>
      <c r="E7" s="2" t="s">
        <v>50</v>
      </c>
      <c r="F7" s="2" t="s">
        <v>51</v>
      </c>
      <c r="G7" s="2"/>
      <c r="H7" s="2" t="s">
        <v>64</v>
      </c>
      <c r="I7" s="2" t="s">
        <v>49</v>
      </c>
      <c r="J7" s="2" t="s">
        <v>52</v>
      </c>
      <c r="K7" s="2" t="s">
        <v>74</v>
      </c>
      <c r="L7" s="3">
        <f>Calc!B7</f>
        <v>67</v>
      </c>
      <c r="M7" s="3">
        <f>Calc!C7</f>
        <v>0</v>
      </c>
      <c r="N7" s="3">
        <f>Verification!F7</f>
        <v>100</v>
      </c>
      <c r="O7" s="3">
        <f>Calc!E7</f>
        <v>67</v>
      </c>
      <c r="P7" s="3">
        <f>Calc!F7</f>
        <v>33</v>
      </c>
      <c r="Q7" s="3">
        <f>Calc!G7</f>
        <v>0</v>
      </c>
      <c r="R7" s="3">
        <f>Calc!H7</f>
        <v>50</v>
      </c>
      <c r="S7" s="3">
        <f t="shared" si="0"/>
        <v>45.285714285714285</v>
      </c>
      <c r="T7" s="2" t="e">
        <f t="shared" ca="1" si="1"/>
        <v>#NAME?</v>
      </c>
      <c r="U7" s="2">
        <f>Coverage!I7</f>
        <v>5</v>
      </c>
      <c r="V7" s="4">
        <f>Coverage!J7</f>
        <v>0.7142857142857143</v>
      </c>
      <c r="W7" s="3">
        <f>IFERROR(SUMPRODUCT(L7:R7,Coverage!B7:H7)/U7,0)</f>
        <v>63.4</v>
      </c>
      <c r="X7" s="2" t="s">
        <v>75</v>
      </c>
    </row>
    <row r="8" spans="1:24" ht="30" x14ac:dyDescent="0.25">
      <c r="A8" s="2" t="s">
        <v>76</v>
      </c>
      <c r="B8" s="2" t="s">
        <v>77</v>
      </c>
      <c r="C8" s="2" t="s">
        <v>78</v>
      </c>
      <c r="D8" s="2" t="s">
        <v>52</v>
      </c>
      <c r="E8" s="2" t="s">
        <v>52</v>
      </c>
      <c r="F8" s="2" t="s">
        <v>8</v>
      </c>
      <c r="G8" s="2"/>
      <c r="H8" s="2" t="s">
        <v>8</v>
      </c>
      <c r="I8" s="2" t="s">
        <v>52</v>
      </c>
      <c r="J8" s="2" t="s">
        <v>52</v>
      </c>
      <c r="K8" s="2" t="s">
        <v>53</v>
      </c>
      <c r="L8" s="3">
        <f>Calc!B8</f>
        <v>33</v>
      </c>
      <c r="M8" s="3">
        <f>Calc!C8</f>
        <v>33</v>
      </c>
      <c r="N8" s="3">
        <f>Verification!F8</f>
        <v>0</v>
      </c>
      <c r="O8" s="3">
        <f>Calc!E8</f>
        <v>33</v>
      </c>
      <c r="P8" s="3">
        <f>Calc!F8</f>
        <v>33</v>
      </c>
      <c r="Q8" s="3">
        <f>Calc!G8</f>
        <v>100</v>
      </c>
      <c r="R8" s="3">
        <f>Calc!H8</f>
        <v>0</v>
      </c>
      <c r="S8" s="3">
        <f t="shared" si="0"/>
        <v>33.142857142857146</v>
      </c>
      <c r="T8" s="2" t="e">
        <f t="shared" ca="1" si="1"/>
        <v>#NAME?</v>
      </c>
      <c r="U8" s="2">
        <f>Coverage!I8</f>
        <v>7</v>
      </c>
      <c r="V8" s="4">
        <f>Coverage!J8</f>
        <v>1</v>
      </c>
      <c r="W8" s="3">
        <f>IFERROR(SUMPRODUCT(L8:R8,Coverage!B8:H8)/U8,0)</f>
        <v>33.142857142857146</v>
      </c>
      <c r="X8" s="2" t="s">
        <v>60</v>
      </c>
    </row>
    <row r="9" spans="1:24" ht="30" x14ac:dyDescent="0.25">
      <c r="A9" s="2" t="s">
        <v>79</v>
      </c>
      <c r="B9" s="2" t="s">
        <v>79</v>
      </c>
      <c r="C9" s="2" t="s">
        <v>80</v>
      </c>
      <c r="D9" s="2" t="s">
        <v>53</v>
      </c>
      <c r="E9" s="2" t="s">
        <v>53</v>
      </c>
      <c r="F9" s="2" t="s">
        <v>51</v>
      </c>
      <c r="G9" s="2"/>
      <c r="H9" s="2" t="s">
        <v>58</v>
      </c>
      <c r="I9" s="2" t="s">
        <v>53</v>
      </c>
      <c r="J9" s="2" t="s">
        <v>53</v>
      </c>
      <c r="K9" s="2" t="s">
        <v>53</v>
      </c>
      <c r="L9" s="3">
        <f>Calc!B9</f>
        <v>100</v>
      </c>
      <c r="M9" s="3">
        <f>Calc!C9</f>
        <v>100</v>
      </c>
      <c r="N9" s="3">
        <f>Verification!F9</f>
        <v>100</v>
      </c>
      <c r="O9" s="3">
        <f>Calc!E9</f>
        <v>100</v>
      </c>
      <c r="P9" s="3">
        <f>Calc!F9</f>
        <v>100</v>
      </c>
      <c r="Q9" s="3">
        <f>Calc!G9</f>
        <v>100</v>
      </c>
      <c r="R9" s="3">
        <f>Calc!H9</f>
        <v>100</v>
      </c>
      <c r="S9" s="3">
        <f t="shared" si="0"/>
        <v>100</v>
      </c>
      <c r="T9" s="2" t="e">
        <f t="shared" ca="1" si="1"/>
        <v>#NAME?</v>
      </c>
      <c r="U9" s="2">
        <f>Coverage!I9</f>
        <v>7</v>
      </c>
      <c r="V9" s="4">
        <f>Coverage!J9</f>
        <v>1</v>
      </c>
      <c r="W9" s="3">
        <f>IFERROR(SUMPRODUCT(L9:R9,Coverage!B9:H9)/U9,0)</f>
        <v>100</v>
      </c>
      <c r="X9" s="2" t="s">
        <v>60</v>
      </c>
    </row>
    <row r="10" spans="1:24" ht="30" x14ac:dyDescent="0.25">
      <c r="A10" s="2" t="s">
        <v>81</v>
      </c>
      <c r="B10" s="2" t="s">
        <v>82</v>
      </c>
      <c r="C10" s="2" t="s">
        <v>67</v>
      </c>
      <c r="D10" s="2" t="s">
        <v>53</v>
      </c>
      <c r="E10" s="2" t="s">
        <v>53</v>
      </c>
      <c r="F10" s="2" t="s">
        <v>51</v>
      </c>
      <c r="G10" s="2"/>
      <c r="H10" s="2" t="s">
        <v>58</v>
      </c>
      <c r="I10" s="2" t="s">
        <v>49</v>
      </c>
      <c r="J10" s="2" t="s">
        <v>53</v>
      </c>
      <c r="K10" s="2" t="s">
        <v>53</v>
      </c>
      <c r="L10" s="3">
        <f>Calc!B10</f>
        <v>100</v>
      </c>
      <c r="M10" s="3">
        <f>Calc!C10</f>
        <v>100</v>
      </c>
      <c r="N10" s="3">
        <f>Verification!F10</f>
        <v>100</v>
      </c>
      <c r="O10" s="3">
        <f>Calc!E10</f>
        <v>67</v>
      </c>
      <c r="P10" s="3">
        <f>Calc!F10</f>
        <v>100</v>
      </c>
      <c r="Q10" s="3">
        <f>Calc!G10</f>
        <v>100</v>
      </c>
      <c r="R10" s="3">
        <f>Calc!H10</f>
        <v>100</v>
      </c>
      <c r="S10" s="3">
        <f t="shared" si="0"/>
        <v>95.285714285714292</v>
      </c>
      <c r="T10" s="2" t="e">
        <f t="shared" ca="1" si="1"/>
        <v>#NAME?</v>
      </c>
      <c r="U10" s="2">
        <f>Coverage!I10</f>
        <v>7</v>
      </c>
      <c r="V10" s="4">
        <f>Coverage!J10</f>
        <v>1</v>
      </c>
      <c r="W10" s="3">
        <f>IFERROR(SUMPRODUCT(L10:R10,Coverage!B10:H10)/U10,0)</f>
        <v>95.285714285714292</v>
      </c>
      <c r="X10" s="2" t="s">
        <v>60</v>
      </c>
    </row>
    <row r="11" spans="1:24" ht="30" x14ac:dyDescent="0.25">
      <c r="A11" s="2" t="s">
        <v>83</v>
      </c>
      <c r="B11" s="2" t="s">
        <v>84</v>
      </c>
      <c r="C11" s="2" t="s">
        <v>63</v>
      </c>
      <c r="D11" s="2" t="s">
        <v>53</v>
      </c>
      <c r="E11" s="2" t="s">
        <v>53</v>
      </c>
      <c r="F11" s="2" t="s">
        <v>57</v>
      </c>
      <c r="G11" s="2"/>
      <c r="H11" s="2" t="s">
        <v>58</v>
      </c>
      <c r="I11" s="2" t="s">
        <v>53</v>
      </c>
      <c r="J11" s="2" t="s">
        <v>50</v>
      </c>
      <c r="K11" s="2" t="s">
        <v>53</v>
      </c>
      <c r="L11" s="3">
        <f>Calc!B11</f>
        <v>100</v>
      </c>
      <c r="M11" s="3">
        <f>Calc!C11</f>
        <v>100</v>
      </c>
      <c r="N11" s="3">
        <f>Verification!F11</f>
        <v>100</v>
      </c>
      <c r="O11" s="3">
        <f>Calc!E11</f>
        <v>100</v>
      </c>
      <c r="P11" s="3">
        <f>Calc!F11</f>
        <v>0</v>
      </c>
      <c r="Q11" s="3">
        <f>Calc!G11</f>
        <v>100</v>
      </c>
      <c r="R11" s="3">
        <f>Calc!H11</f>
        <v>100</v>
      </c>
      <c r="S11" s="3">
        <f t="shared" si="0"/>
        <v>85.714285714285708</v>
      </c>
      <c r="T11" s="2" t="e">
        <f t="shared" ca="1" si="1"/>
        <v>#NAME?</v>
      </c>
      <c r="U11" s="2">
        <f>Coverage!I11</f>
        <v>6</v>
      </c>
      <c r="V11" s="4">
        <f>Coverage!J11</f>
        <v>0.8571428571428571</v>
      </c>
      <c r="W11" s="3">
        <f>IFERROR(SUMPRODUCT(L11:R11,Coverage!B11:H11)/U11,0)</f>
        <v>100</v>
      </c>
      <c r="X11" s="2" t="s">
        <v>85</v>
      </c>
    </row>
    <row r="12" spans="1:24" ht="30" x14ac:dyDescent="0.25">
      <c r="A12" s="2" t="s">
        <v>86</v>
      </c>
      <c r="B12" s="2" t="s">
        <v>77</v>
      </c>
      <c r="C12" s="2" t="s">
        <v>87</v>
      </c>
      <c r="D12" s="2" t="s">
        <v>52</v>
      </c>
      <c r="E12" s="2" t="s">
        <v>52</v>
      </c>
      <c r="F12" s="2"/>
      <c r="G12" s="2"/>
      <c r="H12" s="2"/>
      <c r="I12" s="2" t="s">
        <v>49</v>
      </c>
      <c r="J12" s="2" t="s">
        <v>52</v>
      </c>
      <c r="K12" s="2" t="s">
        <v>53</v>
      </c>
      <c r="L12" s="3">
        <f>Calc!B12</f>
        <v>33</v>
      </c>
      <c r="M12" s="3">
        <f>Calc!C12</f>
        <v>33</v>
      </c>
      <c r="N12" s="3">
        <f>Verification!F12</f>
        <v>0</v>
      </c>
      <c r="O12" s="3">
        <f>Calc!E12</f>
        <v>67</v>
      </c>
      <c r="P12" s="3">
        <f>Calc!F12</f>
        <v>33</v>
      </c>
      <c r="Q12" s="3">
        <f>Calc!G12</f>
        <v>100</v>
      </c>
      <c r="R12" s="3">
        <f>Calc!H12</f>
        <v>0</v>
      </c>
      <c r="S12" s="3">
        <f t="shared" si="0"/>
        <v>38</v>
      </c>
      <c r="T12" s="2" t="e">
        <f t="shared" ca="1" si="1"/>
        <v>#NAME?</v>
      </c>
      <c r="U12" s="2">
        <f>Coverage!I12</f>
        <v>5</v>
      </c>
      <c r="V12" s="4">
        <f>Coverage!J12</f>
        <v>0.7142857142857143</v>
      </c>
      <c r="W12" s="3">
        <f>IFERROR(SUMPRODUCT(L12:R12,Coverage!B12:H12)/U12,0)</f>
        <v>53.2</v>
      </c>
      <c r="X12" s="2" t="s">
        <v>88</v>
      </c>
    </row>
    <row r="13" spans="1:24" ht="45" x14ac:dyDescent="0.25">
      <c r="A13" s="2" t="s">
        <v>89</v>
      </c>
      <c r="B13" s="2" t="s">
        <v>90</v>
      </c>
      <c r="C13" s="2" t="s">
        <v>70</v>
      </c>
      <c r="D13" s="2" t="s">
        <v>53</v>
      </c>
      <c r="E13" s="2" t="s">
        <v>53</v>
      </c>
      <c r="F13" s="2" t="s">
        <v>51</v>
      </c>
      <c r="G13" s="2"/>
      <c r="H13" s="2" t="s">
        <v>58</v>
      </c>
      <c r="I13" s="2" t="s">
        <v>49</v>
      </c>
      <c r="J13" s="2" t="s">
        <v>52</v>
      </c>
      <c r="K13" s="2" t="s">
        <v>59</v>
      </c>
      <c r="L13" s="3">
        <f>Calc!B13</f>
        <v>100</v>
      </c>
      <c r="M13" s="3">
        <f>Calc!C13</f>
        <v>100</v>
      </c>
      <c r="N13" s="3">
        <f>Verification!F13</f>
        <v>100</v>
      </c>
      <c r="O13" s="3">
        <f>Calc!E13</f>
        <v>67</v>
      </c>
      <c r="P13" s="3">
        <f>Calc!F13</f>
        <v>33</v>
      </c>
      <c r="Q13" s="3">
        <f>Calc!G13</f>
        <v>0</v>
      </c>
      <c r="R13" s="3">
        <f>Calc!H13</f>
        <v>100</v>
      </c>
      <c r="S13" s="3">
        <f t="shared" si="0"/>
        <v>71.428571428571431</v>
      </c>
      <c r="T13" s="2" t="e">
        <f t="shared" ca="1" si="1"/>
        <v>#NAME?</v>
      </c>
      <c r="U13" s="2">
        <f>Coverage!I13</f>
        <v>7</v>
      </c>
      <c r="V13" s="4">
        <f>Coverage!J13</f>
        <v>1</v>
      </c>
      <c r="W13" s="3">
        <f>IFERROR(SUMPRODUCT(L13:R13,Coverage!B13:H13)/U13,0)</f>
        <v>71.428571428571431</v>
      </c>
      <c r="X13" s="2" t="s">
        <v>60</v>
      </c>
    </row>
    <row r="14" spans="1:24" ht="45" x14ac:dyDescent="0.25">
      <c r="A14" s="2" t="s">
        <v>91</v>
      </c>
      <c r="B14" s="2" t="s">
        <v>92</v>
      </c>
      <c r="C14" s="2" t="s">
        <v>93</v>
      </c>
      <c r="D14" s="2" t="s">
        <v>53</v>
      </c>
      <c r="E14" s="2" t="s">
        <v>53</v>
      </c>
      <c r="F14" s="2" t="s">
        <v>51</v>
      </c>
      <c r="G14" s="2"/>
      <c r="H14" s="2" t="s">
        <v>58</v>
      </c>
      <c r="I14" s="2" t="s">
        <v>52</v>
      </c>
      <c r="J14" s="2" t="s">
        <v>52</v>
      </c>
      <c r="K14" s="2" t="s">
        <v>53</v>
      </c>
      <c r="L14" s="3">
        <f>Calc!B14</f>
        <v>100</v>
      </c>
      <c r="M14" s="3">
        <f>Calc!C14</f>
        <v>100</v>
      </c>
      <c r="N14" s="3">
        <f>Verification!F14</f>
        <v>100</v>
      </c>
      <c r="O14" s="3">
        <f>Calc!E14</f>
        <v>33</v>
      </c>
      <c r="P14" s="3">
        <f>Calc!F14</f>
        <v>33</v>
      </c>
      <c r="Q14" s="3">
        <f>Calc!G14</f>
        <v>100</v>
      </c>
      <c r="R14" s="3">
        <f>Calc!H14</f>
        <v>100</v>
      </c>
      <c r="S14" s="3">
        <f t="shared" si="0"/>
        <v>80.857142857142861</v>
      </c>
      <c r="T14" s="2" t="e">
        <f t="shared" ca="1" si="1"/>
        <v>#NAME?</v>
      </c>
      <c r="U14" s="2">
        <f>Coverage!I14</f>
        <v>7</v>
      </c>
      <c r="V14" s="4">
        <f>Coverage!J14</f>
        <v>1</v>
      </c>
      <c r="W14" s="3">
        <f>IFERROR(SUMPRODUCT(L14:R14,Coverage!B14:H14)/U14,0)</f>
        <v>80.857142857142861</v>
      </c>
      <c r="X14" s="2" t="s">
        <v>60</v>
      </c>
    </row>
    <row r="15" spans="1:24" ht="30" x14ac:dyDescent="0.25">
      <c r="A15" s="2" t="s">
        <v>94</v>
      </c>
      <c r="B15" s="2" t="s">
        <v>95</v>
      </c>
      <c r="C15" s="2" t="s">
        <v>63</v>
      </c>
      <c r="D15" s="2" t="s">
        <v>49</v>
      </c>
      <c r="E15" s="2" t="s">
        <v>50</v>
      </c>
      <c r="F15" s="2" t="s">
        <v>51</v>
      </c>
      <c r="G15" s="2"/>
      <c r="H15" s="2" t="s">
        <v>64</v>
      </c>
      <c r="I15" s="2" t="s">
        <v>52</v>
      </c>
      <c r="J15" s="2" t="s">
        <v>49</v>
      </c>
      <c r="K15" s="2" t="s">
        <v>53</v>
      </c>
      <c r="L15" s="3">
        <f>Calc!B15</f>
        <v>67</v>
      </c>
      <c r="M15" s="3">
        <f>Calc!C15</f>
        <v>0</v>
      </c>
      <c r="N15" s="3">
        <f>Verification!F15</f>
        <v>100</v>
      </c>
      <c r="O15" s="3">
        <f>Calc!E15</f>
        <v>33</v>
      </c>
      <c r="P15" s="3">
        <f>Calc!F15</f>
        <v>67</v>
      </c>
      <c r="Q15" s="3">
        <f>Calc!G15</f>
        <v>100</v>
      </c>
      <c r="R15" s="3">
        <f>Calc!H15</f>
        <v>50</v>
      </c>
      <c r="S15" s="3">
        <f t="shared" si="0"/>
        <v>59.571428571428569</v>
      </c>
      <c r="T15" s="2" t="e">
        <f t="shared" ca="1" si="1"/>
        <v>#NAME?</v>
      </c>
      <c r="U15" s="2">
        <f>Coverage!I15</f>
        <v>6</v>
      </c>
      <c r="V15" s="4">
        <f>Coverage!J15</f>
        <v>0.8571428571428571</v>
      </c>
      <c r="W15" s="3">
        <f>IFERROR(SUMPRODUCT(L15:R15,Coverage!B15:H15)/U15,0)</f>
        <v>69.5</v>
      </c>
      <c r="X15" s="2" t="s">
        <v>54</v>
      </c>
    </row>
    <row r="16" spans="1:24" ht="30" x14ac:dyDescent="0.25">
      <c r="A16" s="2" t="s">
        <v>96</v>
      </c>
      <c r="B16" s="2" t="s">
        <v>97</v>
      </c>
      <c r="C16" s="2" t="s">
        <v>98</v>
      </c>
      <c r="D16" s="2" t="s">
        <v>53</v>
      </c>
      <c r="E16" s="2" t="s">
        <v>53</v>
      </c>
      <c r="F16" s="2" t="s">
        <v>51</v>
      </c>
      <c r="G16" s="2"/>
      <c r="H16" s="2" t="s">
        <v>58</v>
      </c>
      <c r="I16" s="2" t="s">
        <v>52</v>
      </c>
      <c r="J16" s="2" t="s">
        <v>53</v>
      </c>
      <c r="K16" s="2" t="s">
        <v>53</v>
      </c>
      <c r="L16" s="3">
        <f>Calc!B16</f>
        <v>100</v>
      </c>
      <c r="M16" s="3">
        <f>Calc!C16</f>
        <v>100</v>
      </c>
      <c r="N16" s="3">
        <f>Verification!F16</f>
        <v>100</v>
      </c>
      <c r="O16" s="3">
        <f>Calc!E16</f>
        <v>33</v>
      </c>
      <c r="P16" s="3">
        <f>Calc!F16</f>
        <v>100</v>
      </c>
      <c r="Q16" s="3">
        <f>Calc!G16</f>
        <v>100</v>
      </c>
      <c r="R16" s="3">
        <f>Calc!H16</f>
        <v>100</v>
      </c>
      <c r="S16" s="3">
        <f t="shared" si="0"/>
        <v>90.428571428571431</v>
      </c>
      <c r="T16" s="2" t="e">
        <f t="shared" ca="1" si="1"/>
        <v>#NAME?</v>
      </c>
      <c r="U16" s="2">
        <f>Coverage!I16</f>
        <v>7</v>
      </c>
      <c r="V16" s="4">
        <f>Coverage!J16</f>
        <v>1</v>
      </c>
      <c r="W16" s="3">
        <f>IFERROR(SUMPRODUCT(L16:R16,Coverage!B16:H16)/U16,0)</f>
        <v>90.428571428571431</v>
      </c>
      <c r="X16" s="2" t="s">
        <v>60</v>
      </c>
    </row>
    <row r="17" spans="1:24" ht="45" x14ac:dyDescent="0.25">
      <c r="A17" s="2" t="s">
        <v>99</v>
      </c>
      <c r="B17" s="2" t="s">
        <v>99</v>
      </c>
      <c r="C17" s="2" t="s">
        <v>100</v>
      </c>
      <c r="D17" s="2" t="s">
        <v>49</v>
      </c>
      <c r="E17" s="2" t="s">
        <v>49</v>
      </c>
      <c r="F17" s="2" t="s">
        <v>8</v>
      </c>
      <c r="G17" s="2"/>
      <c r="H17" s="2" t="s">
        <v>64</v>
      </c>
      <c r="I17" s="2" t="s">
        <v>49</v>
      </c>
      <c r="J17" s="2" t="s">
        <v>49</v>
      </c>
      <c r="K17" s="2" t="s">
        <v>49</v>
      </c>
      <c r="L17" s="3">
        <f>Calc!B17</f>
        <v>67</v>
      </c>
      <c r="M17" s="3">
        <f>Calc!C17</f>
        <v>67</v>
      </c>
      <c r="N17" s="3">
        <f>Verification!F17</f>
        <v>0</v>
      </c>
      <c r="O17" s="3">
        <f>Calc!E17</f>
        <v>67</v>
      </c>
      <c r="P17" s="3">
        <f>Calc!F17</f>
        <v>67</v>
      </c>
      <c r="Q17" s="3">
        <f>Calc!G17</f>
        <v>67</v>
      </c>
      <c r="R17" s="3">
        <f>Calc!H17</f>
        <v>50</v>
      </c>
      <c r="S17" s="3">
        <f t="shared" si="0"/>
        <v>55</v>
      </c>
      <c r="T17" s="2" t="e">
        <f t="shared" ca="1" si="1"/>
        <v>#NAME?</v>
      </c>
      <c r="U17" s="2">
        <f>Coverage!I17</f>
        <v>7</v>
      </c>
      <c r="V17" s="4">
        <f>Coverage!J17</f>
        <v>1</v>
      </c>
      <c r="W17" s="3">
        <f>IFERROR(SUMPRODUCT(L17:R17,Coverage!B17:H17)/U17,0)</f>
        <v>55</v>
      </c>
      <c r="X17" s="2" t="s">
        <v>60</v>
      </c>
    </row>
    <row r="18" spans="1:24" ht="45" x14ac:dyDescent="0.25">
      <c r="A18" s="2" t="s">
        <v>101</v>
      </c>
      <c r="B18" s="2" t="s">
        <v>102</v>
      </c>
      <c r="C18" s="2" t="s">
        <v>103</v>
      </c>
      <c r="D18" s="2" t="s">
        <v>50</v>
      </c>
      <c r="E18" s="2" t="s">
        <v>50</v>
      </c>
      <c r="F18" s="2" t="s">
        <v>51</v>
      </c>
      <c r="G18" s="2"/>
      <c r="H18" s="2" t="s">
        <v>64</v>
      </c>
      <c r="I18" s="2" t="s">
        <v>49</v>
      </c>
      <c r="J18" s="2" t="s">
        <v>52</v>
      </c>
      <c r="K18" s="2" t="s">
        <v>53</v>
      </c>
      <c r="L18" s="3">
        <f>Calc!B18</f>
        <v>0</v>
      </c>
      <c r="M18" s="3">
        <f>Calc!C18</f>
        <v>0</v>
      </c>
      <c r="N18" s="3">
        <f>Verification!F18</f>
        <v>100</v>
      </c>
      <c r="O18" s="3">
        <f>Calc!E18</f>
        <v>67</v>
      </c>
      <c r="P18" s="3">
        <f>Calc!F18</f>
        <v>33</v>
      </c>
      <c r="Q18" s="3">
        <f>Calc!G18</f>
        <v>100</v>
      </c>
      <c r="R18" s="3">
        <f>Calc!H18</f>
        <v>50</v>
      </c>
      <c r="S18" s="3">
        <f t="shared" si="0"/>
        <v>50</v>
      </c>
      <c r="T18" s="2" t="e">
        <f t="shared" ca="1" si="1"/>
        <v>#NAME?</v>
      </c>
      <c r="U18" s="2">
        <f>Coverage!I18</f>
        <v>5</v>
      </c>
      <c r="V18" s="4">
        <f>Coverage!J18</f>
        <v>0.7142857142857143</v>
      </c>
      <c r="W18" s="3">
        <f>IFERROR(SUMPRODUCT(L18:R18,Coverage!B18:H18)/U18,0)</f>
        <v>70</v>
      </c>
      <c r="X18" s="2" t="s">
        <v>104</v>
      </c>
    </row>
    <row r="19" spans="1:24" ht="45" x14ac:dyDescent="0.25">
      <c r="A19" s="2" t="s">
        <v>105</v>
      </c>
      <c r="B19" s="2" t="s">
        <v>106</v>
      </c>
      <c r="C19" s="2" t="s">
        <v>107</v>
      </c>
      <c r="D19" s="2" t="s">
        <v>59</v>
      </c>
      <c r="E19" s="2" t="s">
        <v>59</v>
      </c>
      <c r="F19" s="2" t="s">
        <v>8</v>
      </c>
      <c r="G19" s="2"/>
      <c r="H19" s="2" t="s">
        <v>8</v>
      </c>
      <c r="I19" s="2" t="s">
        <v>50</v>
      </c>
      <c r="J19" s="2" t="s">
        <v>50</v>
      </c>
      <c r="K19" s="2" t="s">
        <v>53</v>
      </c>
      <c r="L19" s="3">
        <f>Calc!B19</f>
        <v>0</v>
      </c>
      <c r="M19" s="3">
        <f>Calc!C19</f>
        <v>0</v>
      </c>
      <c r="N19" s="3">
        <f>Verification!F19</f>
        <v>0</v>
      </c>
      <c r="O19" s="3">
        <f>Calc!E19</f>
        <v>0</v>
      </c>
      <c r="P19" s="3">
        <f>Calc!F19</f>
        <v>0</v>
      </c>
      <c r="Q19" s="3">
        <f>Calc!G19</f>
        <v>100</v>
      </c>
      <c r="R19" s="3">
        <f>Calc!H19</f>
        <v>0</v>
      </c>
      <c r="S19" s="3">
        <f t="shared" si="0"/>
        <v>14.285714285714286</v>
      </c>
      <c r="T19" s="2" t="e">
        <f t="shared" ca="1" si="1"/>
        <v>#NAME?</v>
      </c>
      <c r="U19" s="2">
        <f>Coverage!I19</f>
        <v>5</v>
      </c>
      <c r="V19" s="4">
        <f>Coverage!J19</f>
        <v>0.7142857142857143</v>
      </c>
      <c r="W19" s="3">
        <f>IFERROR(SUMPRODUCT(L19:R19,Coverage!B19:H19)/U19,0)</f>
        <v>20</v>
      </c>
      <c r="X19" s="2" t="s">
        <v>108</v>
      </c>
    </row>
    <row r="20" spans="1:24" ht="30" x14ac:dyDescent="0.25">
      <c r="A20" s="2" t="s">
        <v>109</v>
      </c>
      <c r="B20" s="2" t="s">
        <v>109</v>
      </c>
      <c r="C20" s="2" t="s">
        <v>56</v>
      </c>
      <c r="D20" s="2" t="s">
        <v>53</v>
      </c>
      <c r="E20" s="2" t="s">
        <v>53</v>
      </c>
      <c r="F20" s="2" t="s">
        <v>51</v>
      </c>
      <c r="G20" s="2"/>
      <c r="H20" s="2" t="s">
        <v>58</v>
      </c>
      <c r="I20" s="2" t="s">
        <v>49</v>
      </c>
      <c r="J20" s="2" t="s">
        <v>53</v>
      </c>
      <c r="K20" s="2" t="s">
        <v>53</v>
      </c>
      <c r="L20" s="3">
        <f>Calc!B20</f>
        <v>100</v>
      </c>
      <c r="M20" s="3">
        <f>Calc!C20</f>
        <v>100</v>
      </c>
      <c r="N20" s="3">
        <f>Verification!F20</f>
        <v>100</v>
      </c>
      <c r="O20" s="3">
        <f>Calc!E20</f>
        <v>67</v>
      </c>
      <c r="P20" s="3">
        <f>Calc!F20</f>
        <v>100</v>
      </c>
      <c r="Q20" s="3">
        <f>Calc!G20</f>
        <v>100</v>
      </c>
      <c r="R20" s="3">
        <f>Calc!H20</f>
        <v>100</v>
      </c>
      <c r="S20" s="3">
        <f t="shared" si="0"/>
        <v>95.285714285714292</v>
      </c>
      <c r="T20" s="2" t="e">
        <f t="shared" ca="1" si="1"/>
        <v>#NAME?</v>
      </c>
      <c r="U20" s="2">
        <f>Coverage!I20</f>
        <v>7</v>
      </c>
      <c r="V20" s="4">
        <f>Coverage!J20</f>
        <v>1</v>
      </c>
      <c r="W20" s="3">
        <f>IFERROR(SUMPRODUCT(L20:R20,Coverage!B20:H20)/U20,0)</f>
        <v>95.285714285714292</v>
      </c>
      <c r="X20" s="2" t="s">
        <v>60</v>
      </c>
    </row>
    <row r="21" spans="1:24" ht="30" x14ac:dyDescent="0.25">
      <c r="A21" s="2" t="s">
        <v>110</v>
      </c>
      <c r="B21" s="2" t="s">
        <v>111</v>
      </c>
      <c r="C21" s="2" t="s">
        <v>112</v>
      </c>
      <c r="D21" s="2" t="s">
        <v>53</v>
      </c>
      <c r="E21" s="2" t="s">
        <v>49</v>
      </c>
      <c r="F21" s="2" t="s">
        <v>51</v>
      </c>
      <c r="G21" s="2"/>
      <c r="H21" s="2" t="s">
        <v>64</v>
      </c>
      <c r="I21" s="2" t="s">
        <v>52</v>
      </c>
      <c r="J21" s="2" t="s">
        <v>53</v>
      </c>
      <c r="K21" s="2" t="s">
        <v>59</v>
      </c>
      <c r="L21" s="3">
        <f>Calc!B21</f>
        <v>100</v>
      </c>
      <c r="M21" s="3">
        <f>Calc!C21</f>
        <v>67</v>
      </c>
      <c r="N21" s="3">
        <f>Verification!F21</f>
        <v>100</v>
      </c>
      <c r="O21" s="3">
        <f>Calc!E21</f>
        <v>33</v>
      </c>
      <c r="P21" s="3">
        <f>Calc!F21</f>
        <v>100</v>
      </c>
      <c r="Q21" s="3">
        <f>Calc!G21</f>
        <v>0</v>
      </c>
      <c r="R21" s="3">
        <f>Calc!H21</f>
        <v>50</v>
      </c>
      <c r="S21" s="3">
        <f t="shared" si="0"/>
        <v>64.285714285714292</v>
      </c>
      <c r="T21" s="2" t="e">
        <f t="shared" ca="1" si="1"/>
        <v>#NAME?</v>
      </c>
      <c r="U21" s="2">
        <f>Coverage!I21</f>
        <v>7</v>
      </c>
      <c r="V21" s="4">
        <f>Coverage!J21</f>
        <v>1</v>
      </c>
      <c r="W21" s="3">
        <f>IFERROR(SUMPRODUCT(L21:R21,Coverage!B21:H21)/U21,0)</f>
        <v>64.285714285714292</v>
      </c>
      <c r="X21" s="2" t="s">
        <v>60</v>
      </c>
    </row>
    <row r="22" spans="1:24" ht="30" x14ac:dyDescent="0.25">
      <c r="A22" s="2" t="s">
        <v>113</v>
      </c>
      <c r="B22" s="2" t="s">
        <v>111</v>
      </c>
      <c r="C22" s="2" t="s">
        <v>73</v>
      </c>
      <c r="D22" s="2" t="s">
        <v>53</v>
      </c>
      <c r="E22" s="2" t="s">
        <v>59</v>
      </c>
      <c r="F22" s="2" t="s">
        <v>114</v>
      </c>
      <c r="G22" s="2" t="s">
        <v>115</v>
      </c>
      <c r="H22" s="2" t="s">
        <v>64</v>
      </c>
      <c r="I22" s="2" t="s">
        <v>52</v>
      </c>
      <c r="J22" s="2" t="s">
        <v>53</v>
      </c>
      <c r="K22" s="2" t="s">
        <v>59</v>
      </c>
      <c r="L22" s="3">
        <f>Calc!B22</f>
        <v>100</v>
      </c>
      <c r="M22" s="3">
        <f>Calc!C22</f>
        <v>0</v>
      </c>
      <c r="N22" s="3">
        <f>Verification!F22</f>
        <v>0</v>
      </c>
      <c r="O22" s="3">
        <f>Calc!E22</f>
        <v>33</v>
      </c>
      <c r="P22" s="3">
        <f>Calc!F22</f>
        <v>100</v>
      </c>
      <c r="Q22" s="3">
        <f>Calc!G22</f>
        <v>0</v>
      </c>
      <c r="R22" s="3">
        <f>Calc!H22</f>
        <v>50</v>
      </c>
      <c r="S22" s="3">
        <f t="shared" si="0"/>
        <v>40.428571428571431</v>
      </c>
      <c r="T22" s="2" t="e">
        <f t="shared" ca="1" si="1"/>
        <v>#NAME?</v>
      </c>
      <c r="U22" s="2">
        <f>Coverage!I22</f>
        <v>7</v>
      </c>
      <c r="V22" s="4">
        <f>Coverage!J22</f>
        <v>1</v>
      </c>
      <c r="W22" s="3">
        <f>IFERROR(SUMPRODUCT(L22:R22,Coverage!B22:H22)/U22,0)</f>
        <v>40.428571428571431</v>
      </c>
      <c r="X22" s="2" t="s">
        <v>116</v>
      </c>
    </row>
    <row r="23" spans="1:24" ht="75" x14ac:dyDescent="0.25">
      <c r="A23" s="2" t="s">
        <v>117</v>
      </c>
      <c r="B23" s="2" t="s">
        <v>118</v>
      </c>
      <c r="C23" s="2" t="s">
        <v>119</v>
      </c>
      <c r="D23" s="2" t="s">
        <v>59</v>
      </c>
      <c r="E23" s="2" t="s">
        <v>59</v>
      </c>
      <c r="F23" s="2" t="s">
        <v>8</v>
      </c>
      <c r="G23" s="2"/>
      <c r="H23" s="2" t="s">
        <v>64</v>
      </c>
      <c r="I23" s="2" t="s">
        <v>49</v>
      </c>
      <c r="J23" s="2" t="s">
        <v>59</v>
      </c>
      <c r="K23" s="2" t="s">
        <v>59</v>
      </c>
      <c r="L23" s="3">
        <f>Calc!B23</f>
        <v>0</v>
      </c>
      <c r="M23" s="3">
        <f>Calc!C23</f>
        <v>0</v>
      </c>
      <c r="N23" s="3">
        <f>Verification!F23</f>
        <v>0</v>
      </c>
      <c r="O23" s="3">
        <f>Calc!E23</f>
        <v>67</v>
      </c>
      <c r="P23" s="3">
        <f>Calc!F23</f>
        <v>0</v>
      </c>
      <c r="Q23" s="3">
        <f>Calc!G23</f>
        <v>0</v>
      </c>
      <c r="R23" s="3">
        <f>Calc!H23</f>
        <v>50</v>
      </c>
      <c r="S23" s="3">
        <f t="shared" si="0"/>
        <v>16.714285714285715</v>
      </c>
      <c r="T23" s="2" t="e">
        <f t="shared" ca="1" si="1"/>
        <v>#NAME?</v>
      </c>
      <c r="U23" s="2">
        <f>Coverage!I23</f>
        <v>7</v>
      </c>
      <c r="V23" s="4">
        <f>Coverage!J23</f>
        <v>1</v>
      </c>
      <c r="W23" s="3">
        <f>IFERROR(SUMPRODUCT(L23:R23,Coverage!B23:H23)/U23,0)</f>
        <v>16.714285714285715</v>
      </c>
      <c r="X23" s="2" t="s">
        <v>60</v>
      </c>
    </row>
    <row r="24" spans="1:24" ht="30" x14ac:dyDescent="0.25">
      <c r="A24" s="2" t="s">
        <v>120</v>
      </c>
      <c r="B24" s="2" t="s">
        <v>121</v>
      </c>
      <c r="C24" s="2" t="s">
        <v>122</v>
      </c>
      <c r="D24" s="2" t="s">
        <v>53</v>
      </c>
      <c r="E24" s="2" t="s">
        <v>53</v>
      </c>
      <c r="F24" s="2" t="s">
        <v>57</v>
      </c>
      <c r="G24" s="2"/>
      <c r="H24" s="2" t="s">
        <v>58</v>
      </c>
      <c r="I24" s="2" t="s">
        <v>53</v>
      </c>
      <c r="J24" s="2" t="s">
        <v>52</v>
      </c>
      <c r="K24" s="2" t="s">
        <v>53</v>
      </c>
      <c r="L24" s="3">
        <f>Calc!B24</f>
        <v>100</v>
      </c>
      <c r="M24" s="3">
        <f>Calc!C24</f>
        <v>100</v>
      </c>
      <c r="N24" s="3">
        <f>Verification!F24</f>
        <v>100</v>
      </c>
      <c r="O24" s="3">
        <f>Calc!E24</f>
        <v>100</v>
      </c>
      <c r="P24" s="3">
        <f>Calc!F24</f>
        <v>33</v>
      </c>
      <c r="Q24" s="3">
        <f>Calc!G24</f>
        <v>100</v>
      </c>
      <c r="R24" s="3">
        <f>Calc!H24</f>
        <v>100</v>
      </c>
      <c r="S24" s="3">
        <f t="shared" si="0"/>
        <v>90.428571428571431</v>
      </c>
      <c r="T24" s="2" t="e">
        <f t="shared" ca="1" si="1"/>
        <v>#NAME?</v>
      </c>
      <c r="U24" s="2">
        <f>Coverage!I24</f>
        <v>7</v>
      </c>
      <c r="V24" s="4">
        <f>Coverage!J24</f>
        <v>1</v>
      </c>
      <c r="W24" s="3">
        <f>IFERROR(SUMPRODUCT(L24:R24,Coverage!B24:H24)/U24,0)</f>
        <v>90.428571428571431</v>
      </c>
      <c r="X24" s="2" t="s">
        <v>60</v>
      </c>
    </row>
    <row r="25" spans="1:24" ht="30" x14ac:dyDescent="0.25">
      <c r="A25" s="2" t="s">
        <v>123</v>
      </c>
      <c r="B25" s="2" t="s">
        <v>124</v>
      </c>
      <c r="C25" s="2" t="s">
        <v>73</v>
      </c>
      <c r="D25" s="2" t="s">
        <v>53</v>
      </c>
      <c r="E25" s="2" t="s">
        <v>53</v>
      </c>
      <c r="F25" s="2" t="s">
        <v>57</v>
      </c>
      <c r="G25" s="2"/>
      <c r="H25" s="2" t="s">
        <v>58</v>
      </c>
      <c r="I25" s="2" t="s">
        <v>53</v>
      </c>
      <c r="J25" s="2" t="s">
        <v>49</v>
      </c>
      <c r="K25" s="2" t="s">
        <v>53</v>
      </c>
      <c r="L25" s="3">
        <f>Calc!B25</f>
        <v>100</v>
      </c>
      <c r="M25" s="3">
        <f>Calc!C25</f>
        <v>100</v>
      </c>
      <c r="N25" s="3">
        <f>Verification!F25</f>
        <v>100</v>
      </c>
      <c r="O25" s="3">
        <f>Calc!E25</f>
        <v>100</v>
      </c>
      <c r="P25" s="3">
        <f>Calc!F25</f>
        <v>67</v>
      </c>
      <c r="Q25" s="3">
        <f>Calc!G25</f>
        <v>100</v>
      </c>
      <c r="R25" s="3">
        <f>Calc!H25</f>
        <v>100</v>
      </c>
      <c r="S25" s="3">
        <f t="shared" si="0"/>
        <v>95.285714285714292</v>
      </c>
      <c r="T25" s="2" t="e">
        <f t="shared" ca="1" si="1"/>
        <v>#NAME?</v>
      </c>
      <c r="U25" s="2">
        <f>Coverage!I25</f>
        <v>7</v>
      </c>
      <c r="V25" s="4">
        <f>Coverage!J25</f>
        <v>1</v>
      </c>
      <c r="W25" s="3">
        <f>IFERROR(SUMPRODUCT(L25:R25,Coverage!B25:H25)/U25,0)</f>
        <v>95.285714285714292</v>
      </c>
      <c r="X25" s="2" t="s">
        <v>60</v>
      </c>
    </row>
    <row r="26" spans="1:24" ht="30" x14ac:dyDescent="0.25">
      <c r="A26" s="2" t="s">
        <v>125</v>
      </c>
      <c r="B26" s="2" t="s">
        <v>126</v>
      </c>
      <c r="C26" s="2" t="s">
        <v>73</v>
      </c>
      <c r="D26" s="2" t="s">
        <v>53</v>
      </c>
      <c r="E26" s="2" t="s">
        <v>50</v>
      </c>
      <c r="F26" s="2" t="s">
        <v>51</v>
      </c>
      <c r="G26" s="2"/>
      <c r="H26" s="2" t="s">
        <v>8</v>
      </c>
      <c r="I26" s="2" t="s">
        <v>52</v>
      </c>
      <c r="J26" s="2" t="s">
        <v>49</v>
      </c>
      <c r="K26" s="2" t="s">
        <v>53</v>
      </c>
      <c r="L26" s="3">
        <f>Calc!B26</f>
        <v>100</v>
      </c>
      <c r="M26" s="3">
        <f>Calc!C26</f>
        <v>0</v>
      </c>
      <c r="N26" s="3">
        <f>Verification!F26</f>
        <v>100</v>
      </c>
      <c r="O26" s="3">
        <f>Calc!E26</f>
        <v>33</v>
      </c>
      <c r="P26" s="3">
        <f>Calc!F26</f>
        <v>67</v>
      </c>
      <c r="Q26" s="3">
        <f>Calc!G26</f>
        <v>100</v>
      </c>
      <c r="R26" s="3">
        <f>Calc!H26</f>
        <v>0</v>
      </c>
      <c r="S26" s="3">
        <f t="shared" si="0"/>
        <v>57.142857142857146</v>
      </c>
      <c r="T26" s="2" t="e">
        <f t="shared" ca="1" si="1"/>
        <v>#NAME?</v>
      </c>
      <c r="U26" s="2">
        <f>Coverage!I26</f>
        <v>6</v>
      </c>
      <c r="V26" s="4">
        <f>Coverage!J26</f>
        <v>0.8571428571428571</v>
      </c>
      <c r="W26" s="3">
        <f>IFERROR(SUMPRODUCT(L26:R26,Coverage!B26:H26)/U26,0)</f>
        <v>66.666666666666671</v>
      </c>
      <c r="X26" s="2" t="s">
        <v>54</v>
      </c>
    </row>
    <row r="27" spans="1:24" ht="30" x14ac:dyDescent="0.25">
      <c r="A27" s="2" t="s">
        <v>127</v>
      </c>
      <c r="B27" s="2" t="s">
        <v>128</v>
      </c>
      <c r="C27" s="2" t="s">
        <v>129</v>
      </c>
      <c r="D27" s="2" t="s">
        <v>53</v>
      </c>
      <c r="E27" s="2" t="s">
        <v>53</v>
      </c>
      <c r="F27" s="2" t="s">
        <v>57</v>
      </c>
      <c r="G27" s="2"/>
      <c r="H27" s="2" t="s">
        <v>58</v>
      </c>
      <c r="I27" s="2" t="s">
        <v>49</v>
      </c>
      <c r="J27" s="2" t="s">
        <v>53</v>
      </c>
      <c r="K27" s="2" t="s">
        <v>53</v>
      </c>
      <c r="L27" s="3">
        <f>Calc!B27</f>
        <v>100</v>
      </c>
      <c r="M27" s="3">
        <f>Calc!C27</f>
        <v>100</v>
      </c>
      <c r="N27" s="3">
        <f>Verification!F27</f>
        <v>100</v>
      </c>
      <c r="O27" s="3">
        <f>Calc!E27</f>
        <v>67</v>
      </c>
      <c r="P27" s="3">
        <f>Calc!F27</f>
        <v>100</v>
      </c>
      <c r="Q27" s="3">
        <f>Calc!G27</f>
        <v>100</v>
      </c>
      <c r="R27" s="3">
        <f>Calc!H27</f>
        <v>100</v>
      </c>
      <c r="S27" s="3">
        <f t="shared" si="0"/>
        <v>95.285714285714292</v>
      </c>
      <c r="T27" s="2" t="e">
        <f t="shared" ca="1" si="1"/>
        <v>#NAME?</v>
      </c>
      <c r="U27" s="2">
        <f>Coverage!I27</f>
        <v>7</v>
      </c>
      <c r="V27" s="4">
        <f>Coverage!J27</f>
        <v>1</v>
      </c>
      <c r="W27" s="3">
        <f>IFERROR(SUMPRODUCT(L27:R27,Coverage!B27:H27)/U27,0)</f>
        <v>95.285714285714292</v>
      </c>
      <c r="X27" s="2" t="s">
        <v>60</v>
      </c>
    </row>
    <row r="28" spans="1:24" ht="45" x14ac:dyDescent="0.25">
      <c r="A28" s="2" t="s">
        <v>130</v>
      </c>
      <c r="B28" s="2" t="s">
        <v>131</v>
      </c>
      <c r="C28" s="2" t="s">
        <v>132</v>
      </c>
      <c r="D28" s="2" t="s">
        <v>49</v>
      </c>
      <c r="E28" s="2" t="s">
        <v>59</v>
      </c>
      <c r="F28" s="2"/>
      <c r="G28" s="2"/>
      <c r="H28" s="2"/>
      <c r="I28" s="2" t="s">
        <v>52</v>
      </c>
      <c r="J28" s="2" t="s">
        <v>52</v>
      </c>
      <c r="K28" s="2" t="s">
        <v>53</v>
      </c>
      <c r="L28" s="3">
        <f>Calc!B28</f>
        <v>67</v>
      </c>
      <c r="M28" s="3">
        <f>Calc!C28</f>
        <v>0</v>
      </c>
      <c r="N28" s="3">
        <f>Verification!F28</f>
        <v>0</v>
      </c>
      <c r="O28" s="3">
        <f>Calc!E28</f>
        <v>33</v>
      </c>
      <c r="P28" s="3">
        <f>Calc!F28</f>
        <v>33</v>
      </c>
      <c r="Q28" s="3">
        <f>Calc!G28</f>
        <v>100</v>
      </c>
      <c r="R28" s="3">
        <f>Calc!H28</f>
        <v>0</v>
      </c>
      <c r="S28" s="3">
        <f t="shared" si="0"/>
        <v>33.285714285714285</v>
      </c>
      <c r="T28" s="2" t="e">
        <f t="shared" ca="1" si="1"/>
        <v>#NAME?</v>
      </c>
      <c r="U28" s="2">
        <f>Coverage!I28</f>
        <v>5</v>
      </c>
      <c r="V28" s="4">
        <f>Coverage!J28</f>
        <v>0.7142857142857143</v>
      </c>
      <c r="W28" s="3">
        <f>IFERROR(SUMPRODUCT(L28:R28,Coverage!B28:H28)/U28,0)</f>
        <v>46.6</v>
      </c>
      <c r="X28" s="2" t="s">
        <v>88</v>
      </c>
    </row>
    <row r="29" spans="1:24" ht="30" x14ac:dyDescent="0.25">
      <c r="A29" s="2" t="s">
        <v>133</v>
      </c>
      <c r="B29" s="2" t="s">
        <v>55</v>
      </c>
      <c r="C29" s="2" t="s">
        <v>98</v>
      </c>
      <c r="D29" s="2" t="s">
        <v>53</v>
      </c>
      <c r="E29" s="2" t="s">
        <v>53</v>
      </c>
      <c r="F29" s="2" t="s">
        <v>51</v>
      </c>
      <c r="G29" s="2"/>
      <c r="H29" s="2" t="s">
        <v>58</v>
      </c>
      <c r="I29" s="2" t="s">
        <v>49</v>
      </c>
      <c r="J29" s="2" t="s">
        <v>53</v>
      </c>
      <c r="K29" s="2" t="s">
        <v>59</v>
      </c>
      <c r="L29" s="3">
        <f>Calc!B29</f>
        <v>100</v>
      </c>
      <c r="M29" s="3">
        <f>Calc!C29</f>
        <v>100</v>
      </c>
      <c r="N29" s="3">
        <f>Verification!F29</f>
        <v>100</v>
      </c>
      <c r="O29" s="3">
        <f>Calc!E29</f>
        <v>67</v>
      </c>
      <c r="P29" s="3">
        <f>Calc!F29</f>
        <v>100</v>
      </c>
      <c r="Q29" s="3">
        <f>Calc!G29</f>
        <v>0</v>
      </c>
      <c r="R29" s="3">
        <f>Calc!H29</f>
        <v>100</v>
      </c>
      <c r="S29" s="3">
        <f t="shared" si="0"/>
        <v>81</v>
      </c>
      <c r="T29" s="2" t="e">
        <f t="shared" ca="1" si="1"/>
        <v>#NAME?</v>
      </c>
      <c r="U29" s="2">
        <f>Coverage!I29</f>
        <v>7</v>
      </c>
      <c r="V29" s="4">
        <f>Coverage!J29</f>
        <v>1</v>
      </c>
      <c r="W29" s="3">
        <f>IFERROR(SUMPRODUCT(L29:R29,Coverage!B29:H29)/U29,0)</f>
        <v>81</v>
      </c>
      <c r="X29" s="2" t="s">
        <v>60</v>
      </c>
    </row>
    <row r="30" spans="1:24" ht="60" x14ac:dyDescent="0.25">
      <c r="A30" s="2" t="s">
        <v>134</v>
      </c>
      <c r="B30" s="2" t="s">
        <v>135</v>
      </c>
      <c r="C30" s="2" t="s">
        <v>136</v>
      </c>
      <c r="D30" s="2" t="s">
        <v>53</v>
      </c>
      <c r="E30" s="2" t="s">
        <v>50</v>
      </c>
      <c r="F30" s="2" t="s">
        <v>51</v>
      </c>
      <c r="G30" s="2"/>
      <c r="H30" s="2" t="s">
        <v>64</v>
      </c>
      <c r="I30" s="2" t="s">
        <v>50</v>
      </c>
      <c r="J30" s="2" t="s">
        <v>50</v>
      </c>
      <c r="K30" s="2" t="s">
        <v>53</v>
      </c>
      <c r="L30" s="3">
        <f>Calc!B30</f>
        <v>100</v>
      </c>
      <c r="M30" s="3">
        <f>Calc!C30</f>
        <v>0</v>
      </c>
      <c r="N30" s="3">
        <f>Verification!F30</f>
        <v>100</v>
      </c>
      <c r="O30" s="3">
        <f>Calc!E30</f>
        <v>0</v>
      </c>
      <c r="P30" s="3">
        <f>Calc!F30</f>
        <v>0</v>
      </c>
      <c r="Q30" s="3">
        <f>Calc!G30</f>
        <v>100</v>
      </c>
      <c r="R30" s="3">
        <f>Calc!H30</f>
        <v>50</v>
      </c>
      <c r="S30" s="3">
        <f t="shared" si="0"/>
        <v>50</v>
      </c>
      <c r="T30" s="2" t="e">
        <f t="shared" ca="1" si="1"/>
        <v>#NAME?</v>
      </c>
      <c r="U30" s="2">
        <f>Coverage!I30</f>
        <v>4</v>
      </c>
      <c r="V30" s="4">
        <f>Coverage!J30</f>
        <v>0.5714285714285714</v>
      </c>
      <c r="W30" s="3">
        <f>IFERROR(SUMPRODUCT(L30:R30,Coverage!B30:H30)/U30,0)</f>
        <v>87.5</v>
      </c>
      <c r="X30" s="2" t="s">
        <v>137</v>
      </c>
    </row>
    <row r="31" spans="1:24" ht="30" x14ac:dyDescent="0.25">
      <c r="A31" s="2" t="s">
        <v>138</v>
      </c>
      <c r="B31" s="2" t="s">
        <v>139</v>
      </c>
      <c r="C31" s="2" t="s">
        <v>140</v>
      </c>
      <c r="D31" s="2" t="s">
        <v>53</v>
      </c>
      <c r="E31" s="2" t="s">
        <v>59</v>
      </c>
      <c r="F31" s="2" t="s">
        <v>8</v>
      </c>
      <c r="G31" s="2"/>
      <c r="H31" s="2" t="s">
        <v>64</v>
      </c>
      <c r="I31" s="2" t="s">
        <v>52</v>
      </c>
      <c r="J31" s="2" t="s">
        <v>59</v>
      </c>
      <c r="K31" s="2" t="s">
        <v>53</v>
      </c>
      <c r="L31" s="3">
        <f>Calc!B31</f>
        <v>100</v>
      </c>
      <c r="M31" s="3">
        <f>Calc!C31</f>
        <v>0</v>
      </c>
      <c r="N31" s="3">
        <f>Verification!F31</f>
        <v>0</v>
      </c>
      <c r="O31" s="3">
        <f>Calc!E31</f>
        <v>33</v>
      </c>
      <c r="P31" s="3">
        <f>Calc!F31</f>
        <v>0</v>
      </c>
      <c r="Q31" s="3">
        <f>Calc!G31</f>
        <v>100</v>
      </c>
      <c r="R31" s="3">
        <f>Calc!H31</f>
        <v>50</v>
      </c>
      <c r="S31" s="3">
        <f t="shared" si="0"/>
        <v>40.428571428571431</v>
      </c>
      <c r="T31" s="2" t="e">
        <f t="shared" ca="1" si="1"/>
        <v>#NAME?</v>
      </c>
      <c r="U31" s="2">
        <f>Coverage!I31</f>
        <v>7</v>
      </c>
      <c r="V31" s="4">
        <f>Coverage!J31</f>
        <v>1</v>
      </c>
      <c r="W31" s="3">
        <f>IFERROR(SUMPRODUCT(L31:R31,Coverage!B31:H31)/U31,0)</f>
        <v>40.428571428571431</v>
      </c>
      <c r="X31" s="2" t="s">
        <v>60</v>
      </c>
    </row>
    <row r="32" spans="1:24" ht="30" x14ac:dyDescent="0.25">
      <c r="A32" s="2" t="s">
        <v>141</v>
      </c>
      <c r="B32" s="2" t="s">
        <v>141</v>
      </c>
      <c r="C32" s="2" t="s">
        <v>142</v>
      </c>
      <c r="D32" s="2" t="s">
        <v>53</v>
      </c>
      <c r="E32" s="2" t="s">
        <v>53</v>
      </c>
      <c r="F32" s="2" t="s">
        <v>51</v>
      </c>
      <c r="G32" s="2"/>
      <c r="H32" s="2" t="s">
        <v>58</v>
      </c>
      <c r="I32" s="2" t="s">
        <v>49</v>
      </c>
      <c r="J32" s="2" t="s">
        <v>53</v>
      </c>
      <c r="K32" s="2" t="s">
        <v>53</v>
      </c>
      <c r="L32" s="3">
        <f>Calc!B32</f>
        <v>100</v>
      </c>
      <c r="M32" s="3">
        <f>Calc!C32</f>
        <v>100</v>
      </c>
      <c r="N32" s="3">
        <f>Verification!F32</f>
        <v>100</v>
      </c>
      <c r="O32" s="3">
        <f>Calc!E32</f>
        <v>67</v>
      </c>
      <c r="P32" s="3">
        <f>Calc!F32</f>
        <v>100</v>
      </c>
      <c r="Q32" s="3">
        <f>Calc!G32</f>
        <v>100</v>
      </c>
      <c r="R32" s="3">
        <f>Calc!H32</f>
        <v>100</v>
      </c>
      <c r="S32" s="3">
        <f t="shared" si="0"/>
        <v>95.285714285714292</v>
      </c>
      <c r="T32" s="2" t="e">
        <f t="shared" ca="1" si="1"/>
        <v>#NAME?</v>
      </c>
      <c r="U32" s="2">
        <f>Coverage!I32</f>
        <v>7</v>
      </c>
      <c r="V32" s="4">
        <f>Coverage!J32</f>
        <v>1</v>
      </c>
      <c r="W32" s="3">
        <f>IFERROR(SUMPRODUCT(L32:R32,Coverage!B32:H32)/U32,0)</f>
        <v>95.285714285714292</v>
      </c>
      <c r="X32" s="2" t="s">
        <v>60</v>
      </c>
    </row>
    <row r="33" spans="1:24" ht="30" x14ac:dyDescent="0.25">
      <c r="A33" s="2" t="s">
        <v>143</v>
      </c>
      <c r="B33" s="2" t="s">
        <v>144</v>
      </c>
      <c r="C33" s="2" t="s">
        <v>67</v>
      </c>
      <c r="D33" s="2" t="s">
        <v>53</v>
      </c>
      <c r="E33" s="2" t="s">
        <v>59</v>
      </c>
      <c r="F33" s="2" t="s">
        <v>51</v>
      </c>
      <c r="G33" s="2"/>
      <c r="H33" s="2" t="s">
        <v>64</v>
      </c>
      <c r="I33" s="2" t="s">
        <v>49</v>
      </c>
      <c r="J33" s="2" t="s">
        <v>53</v>
      </c>
      <c r="K33" s="2" t="s">
        <v>59</v>
      </c>
      <c r="L33" s="3">
        <f>Calc!B33</f>
        <v>100</v>
      </c>
      <c r="M33" s="3">
        <f>Calc!C33</f>
        <v>0</v>
      </c>
      <c r="N33" s="3">
        <f>Verification!F33</f>
        <v>100</v>
      </c>
      <c r="O33" s="3">
        <f>Calc!E33</f>
        <v>67</v>
      </c>
      <c r="P33" s="3">
        <f>Calc!F33</f>
        <v>100</v>
      </c>
      <c r="Q33" s="3">
        <f>Calc!G33</f>
        <v>0</v>
      </c>
      <c r="R33" s="3">
        <f>Calc!H33</f>
        <v>50</v>
      </c>
      <c r="S33" s="3">
        <f t="shared" si="0"/>
        <v>59.571428571428569</v>
      </c>
      <c r="T33" s="2" t="e">
        <f t="shared" ca="1" si="1"/>
        <v>#NAME?</v>
      </c>
      <c r="U33" s="2">
        <f>Coverage!I33</f>
        <v>7</v>
      </c>
      <c r="V33" s="4">
        <f>Coverage!J33</f>
        <v>1</v>
      </c>
      <c r="W33" s="3">
        <f>IFERROR(SUMPRODUCT(L33:R33,Coverage!B33:H33)/U33,0)</f>
        <v>59.571428571428569</v>
      </c>
      <c r="X33" s="2" t="s">
        <v>60</v>
      </c>
    </row>
    <row r="34" spans="1:24" ht="45" x14ac:dyDescent="0.25">
      <c r="A34" s="2" t="s">
        <v>145</v>
      </c>
      <c r="B34" s="2" t="s">
        <v>146</v>
      </c>
      <c r="C34" s="2" t="s">
        <v>147</v>
      </c>
      <c r="D34" s="2" t="s">
        <v>53</v>
      </c>
      <c r="E34" s="2" t="s">
        <v>50</v>
      </c>
      <c r="F34" s="2" t="s">
        <v>8</v>
      </c>
      <c r="G34" s="2"/>
      <c r="H34" s="2" t="s">
        <v>64</v>
      </c>
      <c r="I34" s="2" t="s">
        <v>49</v>
      </c>
      <c r="J34" s="2" t="s">
        <v>53</v>
      </c>
      <c r="K34" s="2" t="s">
        <v>53</v>
      </c>
      <c r="L34" s="3">
        <f>Calc!B34</f>
        <v>100</v>
      </c>
      <c r="M34" s="3">
        <f>Calc!C34</f>
        <v>0</v>
      </c>
      <c r="N34" s="3">
        <f>Verification!F34</f>
        <v>0</v>
      </c>
      <c r="O34" s="3">
        <f>Calc!E34</f>
        <v>67</v>
      </c>
      <c r="P34" s="3">
        <f>Calc!F34</f>
        <v>100</v>
      </c>
      <c r="Q34" s="3">
        <f>Calc!G34</f>
        <v>100</v>
      </c>
      <c r="R34" s="3">
        <f>Calc!H34</f>
        <v>50</v>
      </c>
      <c r="S34" s="3">
        <f t="shared" ref="S34:S65" si="2">AVERAGE(L34:R34)</f>
        <v>59.571428571428569</v>
      </c>
      <c r="T34" s="2" t="e">
        <f t="shared" ref="T34:T65" ca="1" si="3">_xludf.RANK.EQ(S34,$S$2:$S$113,0)</f>
        <v>#NAME?</v>
      </c>
      <c r="U34" s="2">
        <f>Coverage!I34</f>
        <v>6</v>
      </c>
      <c r="V34" s="4">
        <f>Coverage!J34</f>
        <v>0.8571428571428571</v>
      </c>
      <c r="W34" s="3">
        <f>IFERROR(SUMPRODUCT(L34:R34,Coverage!B34:H34)/U34,0)</f>
        <v>69.5</v>
      </c>
      <c r="X34" s="2" t="s">
        <v>54</v>
      </c>
    </row>
    <row r="35" spans="1:24" ht="45" x14ac:dyDescent="0.25">
      <c r="A35" s="2" t="s">
        <v>148</v>
      </c>
      <c r="B35" s="2" t="s">
        <v>149</v>
      </c>
      <c r="C35" s="2" t="s">
        <v>150</v>
      </c>
      <c r="D35" s="2" t="s">
        <v>53</v>
      </c>
      <c r="E35" s="2" t="s">
        <v>59</v>
      </c>
      <c r="F35" s="2" t="s">
        <v>51</v>
      </c>
      <c r="G35" s="2"/>
      <c r="H35" s="2" t="s">
        <v>8</v>
      </c>
      <c r="I35" s="2" t="s">
        <v>52</v>
      </c>
      <c r="J35" s="2" t="s">
        <v>59</v>
      </c>
      <c r="K35" s="2" t="s">
        <v>52</v>
      </c>
      <c r="L35" s="3">
        <f>Calc!B35</f>
        <v>100</v>
      </c>
      <c r="M35" s="3">
        <f>Calc!C35</f>
        <v>0</v>
      </c>
      <c r="N35" s="3">
        <f>Verification!F35</f>
        <v>100</v>
      </c>
      <c r="O35" s="3">
        <f>Calc!E35</f>
        <v>33</v>
      </c>
      <c r="P35" s="3">
        <f>Calc!F35</f>
        <v>0</v>
      </c>
      <c r="Q35" s="3">
        <f>Calc!G35</f>
        <v>33</v>
      </c>
      <c r="R35" s="3">
        <f>Calc!H35</f>
        <v>0</v>
      </c>
      <c r="S35" s="3">
        <f t="shared" si="2"/>
        <v>38</v>
      </c>
      <c r="T35" s="2" t="e">
        <f t="shared" ca="1" si="3"/>
        <v>#NAME?</v>
      </c>
      <c r="U35" s="2">
        <f>Coverage!I35</f>
        <v>7</v>
      </c>
      <c r="V35" s="4">
        <f>Coverage!J35</f>
        <v>1</v>
      </c>
      <c r="W35" s="3">
        <f>IFERROR(SUMPRODUCT(L35:R35,Coverage!B35:H35)/U35,0)</f>
        <v>38</v>
      </c>
      <c r="X35" s="2" t="s">
        <v>60</v>
      </c>
    </row>
    <row r="36" spans="1:24" ht="60" x14ac:dyDescent="0.25">
      <c r="A36" s="2" t="s">
        <v>151</v>
      </c>
      <c r="B36" s="2" t="s">
        <v>149</v>
      </c>
      <c r="C36" s="2" t="s">
        <v>152</v>
      </c>
      <c r="D36" s="2" t="s">
        <v>53</v>
      </c>
      <c r="E36" s="2" t="s">
        <v>59</v>
      </c>
      <c r="F36" s="2" t="s">
        <v>51</v>
      </c>
      <c r="G36" s="2"/>
      <c r="H36" s="2" t="s">
        <v>8</v>
      </c>
      <c r="I36" s="2" t="s">
        <v>52</v>
      </c>
      <c r="J36" s="2" t="s">
        <v>59</v>
      </c>
      <c r="K36" s="2" t="s">
        <v>52</v>
      </c>
      <c r="L36" s="3">
        <f>Calc!B36</f>
        <v>100</v>
      </c>
      <c r="M36" s="3">
        <f>Calc!C36</f>
        <v>0</v>
      </c>
      <c r="N36" s="3">
        <f>Verification!F36</f>
        <v>100</v>
      </c>
      <c r="O36" s="3">
        <f>Calc!E36</f>
        <v>33</v>
      </c>
      <c r="P36" s="3">
        <f>Calc!F36</f>
        <v>0</v>
      </c>
      <c r="Q36" s="3">
        <f>Calc!G36</f>
        <v>33</v>
      </c>
      <c r="R36" s="3">
        <f>Calc!H36</f>
        <v>0</v>
      </c>
      <c r="S36" s="3">
        <f t="shared" si="2"/>
        <v>38</v>
      </c>
      <c r="T36" s="2" t="e">
        <f t="shared" ca="1" si="3"/>
        <v>#NAME?</v>
      </c>
      <c r="U36" s="2">
        <f>Coverage!I36</f>
        <v>7</v>
      </c>
      <c r="V36" s="4">
        <f>Coverage!J36</f>
        <v>1</v>
      </c>
      <c r="W36" s="3">
        <f>IFERROR(SUMPRODUCT(L36:R36,Coverage!B36:H36)/U36,0)</f>
        <v>38</v>
      </c>
      <c r="X36" s="2" t="s">
        <v>60</v>
      </c>
    </row>
    <row r="37" spans="1:24" ht="30" x14ac:dyDescent="0.25">
      <c r="A37" s="2" t="s">
        <v>153</v>
      </c>
      <c r="B37" s="2" t="s">
        <v>154</v>
      </c>
      <c r="C37" s="2" t="s">
        <v>67</v>
      </c>
      <c r="D37" s="2" t="s">
        <v>59</v>
      </c>
      <c r="E37" s="2" t="s">
        <v>59</v>
      </c>
      <c r="F37" s="2" t="s">
        <v>8</v>
      </c>
      <c r="G37" s="2"/>
      <c r="H37" s="2" t="s">
        <v>8</v>
      </c>
      <c r="I37" s="2" t="s">
        <v>53</v>
      </c>
      <c r="J37" s="2" t="s">
        <v>59</v>
      </c>
      <c r="K37" s="2" t="s">
        <v>53</v>
      </c>
      <c r="L37" s="3">
        <f>Calc!B37</f>
        <v>0</v>
      </c>
      <c r="M37" s="3">
        <f>Calc!C37</f>
        <v>0</v>
      </c>
      <c r="N37" s="3">
        <f>Verification!F37</f>
        <v>0</v>
      </c>
      <c r="O37" s="3">
        <f>Calc!E37</f>
        <v>100</v>
      </c>
      <c r="P37" s="3">
        <f>Calc!F37</f>
        <v>0</v>
      </c>
      <c r="Q37" s="3">
        <f>Calc!G37</f>
        <v>100</v>
      </c>
      <c r="R37" s="3">
        <f>Calc!H37</f>
        <v>0</v>
      </c>
      <c r="S37" s="3">
        <f t="shared" si="2"/>
        <v>28.571428571428573</v>
      </c>
      <c r="T37" s="2" t="e">
        <f t="shared" ca="1" si="3"/>
        <v>#NAME?</v>
      </c>
      <c r="U37" s="2">
        <f>Coverage!I37</f>
        <v>7</v>
      </c>
      <c r="V37" s="4">
        <f>Coverage!J37</f>
        <v>1</v>
      </c>
      <c r="W37" s="3">
        <f>IFERROR(SUMPRODUCT(L37:R37,Coverage!B37:H37)/U37,0)</f>
        <v>28.571428571428573</v>
      </c>
      <c r="X37" s="2" t="s">
        <v>60</v>
      </c>
    </row>
    <row r="38" spans="1:24" ht="30" x14ac:dyDescent="0.25">
      <c r="A38" s="2" t="s">
        <v>155</v>
      </c>
      <c r="B38" s="2" t="s">
        <v>156</v>
      </c>
      <c r="C38" s="2" t="s">
        <v>157</v>
      </c>
      <c r="D38" s="2" t="s">
        <v>53</v>
      </c>
      <c r="E38" s="2" t="s">
        <v>53</v>
      </c>
      <c r="F38" s="2" t="s">
        <v>158</v>
      </c>
      <c r="G38" s="2" t="s">
        <v>159</v>
      </c>
      <c r="H38" s="2" t="s">
        <v>58</v>
      </c>
      <c r="I38" s="2" t="s">
        <v>53</v>
      </c>
      <c r="J38" s="2" t="s">
        <v>53</v>
      </c>
      <c r="K38" s="2" t="s">
        <v>53</v>
      </c>
      <c r="L38" s="3">
        <f>Calc!B38</f>
        <v>100</v>
      </c>
      <c r="M38" s="3">
        <f>Calc!C38</f>
        <v>100</v>
      </c>
      <c r="N38" s="3">
        <f>Verification!F38</f>
        <v>100</v>
      </c>
      <c r="O38" s="3">
        <f>Calc!E38</f>
        <v>100</v>
      </c>
      <c r="P38" s="3">
        <f>Calc!F38</f>
        <v>100</v>
      </c>
      <c r="Q38" s="3">
        <f>Calc!G38</f>
        <v>100</v>
      </c>
      <c r="R38" s="3">
        <f>Calc!H38</f>
        <v>100</v>
      </c>
      <c r="S38" s="3">
        <f t="shared" si="2"/>
        <v>100</v>
      </c>
      <c r="T38" s="2" t="e">
        <f t="shared" ca="1" si="3"/>
        <v>#NAME?</v>
      </c>
      <c r="U38" s="2">
        <f>Coverage!I38</f>
        <v>7</v>
      </c>
      <c r="V38" s="4">
        <f>Coverage!J38</f>
        <v>1</v>
      </c>
      <c r="W38" s="3">
        <f>IFERROR(SUMPRODUCT(L38:R38,Coverage!B38:H38)/U38,0)</f>
        <v>100</v>
      </c>
      <c r="X38" s="2" t="s">
        <v>60</v>
      </c>
    </row>
    <row r="39" spans="1:24" ht="75" x14ac:dyDescent="0.25">
      <c r="A39" s="2" t="s">
        <v>160</v>
      </c>
      <c r="B39" s="2" t="s">
        <v>160</v>
      </c>
      <c r="C39" s="2" t="s">
        <v>161</v>
      </c>
      <c r="D39" s="2" t="s">
        <v>50</v>
      </c>
      <c r="E39" s="2" t="s">
        <v>50</v>
      </c>
      <c r="F39" s="2"/>
      <c r="G39" s="2"/>
      <c r="H39" s="2" t="s">
        <v>8</v>
      </c>
      <c r="I39" s="2" t="s">
        <v>53</v>
      </c>
      <c r="J39" s="2" t="s">
        <v>50</v>
      </c>
      <c r="K39" s="2" t="s">
        <v>74</v>
      </c>
      <c r="L39" s="3">
        <f>Calc!B39</f>
        <v>0</v>
      </c>
      <c r="M39" s="3">
        <f>Calc!C39</f>
        <v>0</v>
      </c>
      <c r="N39" s="3">
        <f>Verification!F39</f>
        <v>0</v>
      </c>
      <c r="O39" s="3">
        <f>Calc!E39</f>
        <v>100</v>
      </c>
      <c r="P39" s="3">
        <f>Calc!F39</f>
        <v>0</v>
      </c>
      <c r="Q39" s="3">
        <f>Calc!G39</f>
        <v>0</v>
      </c>
      <c r="R39" s="3">
        <f>Calc!H39</f>
        <v>0</v>
      </c>
      <c r="S39" s="3">
        <f t="shared" si="2"/>
        <v>14.285714285714286</v>
      </c>
      <c r="T39" s="2" t="e">
        <f t="shared" ca="1" si="3"/>
        <v>#NAME?</v>
      </c>
      <c r="U39" s="2">
        <f>Coverage!I39</f>
        <v>2</v>
      </c>
      <c r="V39" s="4">
        <f>Coverage!J39</f>
        <v>0.2857142857142857</v>
      </c>
      <c r="W39" s="3">
        <f>IFERROR(SUMPRODUCT(L39:R39,Coverage!B39:H39)/U39,0)</f>
        <v>50</v>
      </c>
      <c r="X39" s="2" t="s">
        <v>162</v>
      </c>
    </row>
    <row r="40" spans="1:24" ht="30" x14ac:dyDescent="0.25">
      <c r="A40" s="2" t="s">
        <v>163</v>
      </c>
      <c r="B40" s="2" t="s">
        <v>163</v>
      </c>
      <c r="C40" s="2" t="s">
        <v>63</v>
      </c>
      <c r="D40" s="2" t="s">
        <v>53</v>
      </c>
      <c r="E40" s="2" t="s">
        <v>53</v>
      </c>
      <c r="F40" s="2" t="s">
        <v>114</v>
      </c>
      <c r="G40" s="2"/>
      <c r="H40" s="2" t="s">
        <v>58</v>
      </c>
      <c r="I40" s="2" t="s">
        <v>53</v>
      </c>
      <c r="J40" s="2" t="s">
        <v>49</v>
      </c>
      <c r="K40" s="2" t="s">
        <v>53</v>
      </c>
      <c r="L40" s="3">
        <f>Calc!B40</f>
        <v>100</v>
      </c>
      <c r="M40" s="3">
        <f>Calc!C40</f>
        <v>100</v>
      </c>
      <c r="N40" s="3">
        <f>Verification!F40</f>
        <v>0</v>
      </c>
      <c r="O40" s="3">
        <f>Calc!E40</f>
        <v>100</v>
      </c>
      <c r="P40" s="3">
        <f>Calc!F40</f>
        <v>67</v>
      </c>
      <c r="Q40" s="3">
        <f>Calc!G40</f>
        <v>100</v>
      </c>
      <c r="R40" s="3">
        <f>Calc!H40</f>
        <v>100</v>
      </c>
      <c r="S40" s="3">
        <f t="shared" si="2"/>
        <v>81</v>
      </c>
      <c r="T40" s="2" t="e">
        <f t="shared" ca="1" si="3"/>
        <v>#NAME?</v>
      </c>
      <c r="U40" s="2">
        <f>Coverage!I40</f>
        <v>7</v>
      </c>
      <c r="V40" s="4">
        <f>Coverage!J40</f>
        <v>1</v>
      </c>
      <c r="W40" s="3">
        <f>IFERROR(SUMPRODUCT(L40:R40,Coverage!B40:H40)/U40,0)</f>
        <v>81</v>
      </c>
      <c r="X40" s="2" t="s">
        <v>116</v>
      </c>
    </row>
    <row r="41" spans="1:24" ht="30" x14ac:dyDescent="0.25">
      <c r="A41" s="2" t="s">
        <v>164</v>
      </c>
      <c r="B41" s="2" t="s">
        <v>165</v>
      </c>
      <c r="C41" s="2" t="s">
        <v>147</v>
      </c>
      <c r="D41" s="2" t="s">
        <v>53</v>
      </c>
      <c r="E41" s="2" t="s">
        <v>53</v>
      </c>
      <c r="F41" s="2" t="s">
        <v>51</v>
      </c>
      <c r="G41" s="2"/>
      <c r="H41" s="2" t="s">
        <v>58</v>
      </c>
      <c r="I41" s="2" t="s">
        <v>53</v>
      </c>
      <c r="J41" s="2" t="s">
        <v>53</v>
      </c>
      <c r="K41" s="2" t="s">
        <v>53</v>
      </c>
      <c r="L41" s="3">
        <f>Calc!B41</f>
        <v>100</v>
      </c>
      <c r="M41" s="3">
        <f>Calc!C41</f>
        <v>100</v>
      </c>
      <c r="N41" s="3">
        <f>Verification!F41</f>
        <v>100</v>
      </c>
      <c r="O41" s="3">
        <f>Calc!E41</f>
        <v>100</v>
      </c>
      <c r="P41" s="3">
        <f>Calc!F41</f>
        <v>100</v>
      </c>
      <c r="Q41" s="3">
        <f>Calc!G41</f>
        <v>100</v>
      </c>
      <c r="R41" s="3">
        <f>Calc!H41</f>
        <v>100</v>
      </c>
      <c r="S41" s="3">
        <f t="shared" si="2"/>
        <v>100</v>
      </c>
      <c r="T41" s="2" t="e">
        <f t="shared" ca="1" si="3"/>
        <v>#NAME?</v>
      </c>
      <c r="U41" s="2">
        <f>Coverage!I41</f>
        <v>7</v>
      </c>
      <c r="V41" s="4">
        <f>Coverage!J41</f>
        <v>1</v>
      </c>
      <c r="W41" s="3">
        <f>IFERROR(SUMPRODUCT(L41:R41,Coverage!B41:H41)/U41,0)</f>
        <v>100</v>
      </c>
      <c r="X41" s="2" t="s">
        <v>60</v>
      </c>
    </row>
    <row r="42" spans="1:24" ht="90" x14ac:dyDescent="0.25">
      <c r="A42" s="2" t="s">
        <v>166</v>
      </c>
      <c r="B42" s="2" t="s">
        <v>165</v>
      </c>
      <c r="C42" s="2" t="s">
        <v>167</v>
      </c>
      <c r="D42" s="2" t="s">
        <v>50</v>
      </c>
      <c r="E42" s="2" t="s">
        <v>59</v>
      </c>
      <c r="F42" s="2" t="s">
        <v>8</v>
      </c>
      <c r="G42" s="2"/>
      <c r="H42" s="2"/>
      <c r="I42" s="2" t="s">
        <v>50</v>
      </c>
      <c r="J42" s="2" t="s">
        <v>50</v>
      </c>
      <c r="K42" s="2" t="s">
        <v>50</v>
      </c>
      <c r="L42" s="3">
        <f>Calc!B42</f>
        <v>0</v>
      </c>
      <c r="M42" s="3">
        <f>Calc!C42</f>
        <v>0</v>
      </c>
      <c r="N42" s="3">
        <f>Verification!F42</f>
        <v>0</v>
      </c>
      <c r="O42" s="3">
        <f>Calc!E42</f>
        <v>0</v>
      </c>
      <c r="P42" s="3">
        <f>Calc!F42</f>
        <v>0</v>
      </c>
      <c r="Q42" s="3">
        <f>Calc!G42</f>
        <v>0</v>
      </c>
      <c r="R42" s="3">
        <f>Calc!H42</f>
        <v>0</v>
      </c>
      <c r="S42" s="3">
        <f t="shared" si="2"/>
        <v>0</v>
      </c>
      <c r="T42" s="2" t="e">
        <f t="shared" ca="1" si="3"/>
        <v>#NAME?</v>
      </c>
      <c r="U42" s="2">
        <f>Coverage!I42</f>
        <v>2</v>
      </c>
      <c r="V42" s="4">
        <f>Coverage!J42</f>
        <v>0.2857142857142857</v>
      </c>
      <c r="W42" s="3">
        <f>IFERROR(SUMPRODUCT(L42:R42,Coverage!B42:H42)/U42,0)</f>
        <v>0</v>
      </c>
      <c r="X42" s="2" t="s">
        <v>168</v>
      </c>
    </row>
    <row r="43" spans="1:24" ht="30" x14ac:dyDescent="0.25">
      <c r="A43" s="2" t="s">
        <v>169</v>
      </c>
      <c r="B43" s="2" t="s">
        <v>170</v>
      </c>
      <c r="C43" s="2" t="s">
        <v>171</v>
      </c>
      <c r="D43" s="2" t="s">
        <v>53</v>
      </c>
      <c r="E43" s="2" t="s">
        <v>53</v>
      </c>
      <c r="F43" s="2" t="s">
        <v>57</v>
      </c>
      <c r="G43" s="2"/>
      <c r="H43" s="2" t="s">
        <v>64</v>
      </c>
      <c r="I43" s="2" t="s">
        <v>49</v>
      </c>
      <c r="J43" s="2" t="s">
        <v>52</v>
      </c>
      <c r="K43" s="2" t="s">
        <v>53</v>
      </c>
      <c r="L43" s="3">
        <f>Calc!B43</f>
        <v>100</v>
      </c>
      <c r="M43" s="3">
        <f>Calc!C43</f>
        <v>100</v>
      </c>
      <c r="N43" s="3">
        <f>Verification!F43</f>
        <v>100</v>
      </c>
      <c r="O43" s="3">
        <f>Calc!E43</f>
        <v>67</v>
      </c>
      <c r="P43" s="3">
        <f>Calc!F43</f>
        <v>33</v>
      </c>
      <c r="Q43" s="3">
        <f>Calc!G43</f>
        <v>100</v>
      </c>
      <c r="R43" s="3">
        <f>Calc!H43</f>
        <v>50</v>
      </c>
      <c r="S43" s="3">
        <f t="shared" si="2"/>
        <v>78.571428571428569</v>
      </c>
      <c r="T43" s="2" t="e">
        <f t="shared" ca="1" si="3"/>
        <v>#NAME?</v>
      </c>
      <c r="U43" s="2">
        <f>Coverage!I43</f>
        <v>7</v>
      </c>
      <c r="V43" s="4">
        <f>Coverage!J43</f>
        <v>1</v>
      </c>
      <c r="W43" s="3">
        <f>IFERROR(SUMPRODUCT(L43:R43,Coverage!B43:H43)/U43,0)</f>
        <v>78.571428571428569</v>
      </c>
      <c r="X43" s="2" t="s">
        <v>60</v>
      </c>
    </row>
    <row r="44" spans="1:24" ht="75" x14ac:dyDescent="0.25">
      <c r="A44" s="2" t="s">
        <v>172</v>
      </c>
      <c r="B44" s="2" t="s">
        <v>173</v>
      </c>
      <c r="C44" s="2" t="s">
        <v>147</v>
      </c>
      <c r="D44" s="2" t="s">
        <v>49</v>
      </c>
      <c r="E44" s="2" t="s">
        <v>50</v>
      </c>
      <c r="F44" s="2"/>
      <c r="G44" s="2"/>
      <c r="H44" s="2"/>
      <c r="I44" s="2" t="s">
        <v>49</v>
      </c>
      <c r="J44" s="2" t="s">
        <v>50</v>
      </c>
      <c r="K44" s="2" t="s">
        <v>50</v>
      </c>
      <c r="L44" s="3">
        <f>Calc!B44</f>
        <v>67</v>
      </c>
      <c r="M44" s="3">
        <f>Calc!C44</f>
        <v>0</v>
      </c>
      <c r="N44" s="3">
        <f>Verification!F44</f>
        <v>0</v>
      </c>
      <c r="O44" s="3">
        <f>Calc!E44</f>
        <v>67</v>
      </c>
      <c r="P44" s="3">
        <f>Calc!F44</f>
        <v>0</v>
      </c>
      <c r="Q44" s="3">
        <f>Calc!G44</f>
        <v>0</v>
      </c>
      <c r="R44" s="3">
        <f>Calc!H44</f>
        <v>0</v>
      </c>
      <c r="S44" s="3">
        <f t="shared" si="2"/>
        <v>19.142857142857142</v>
      </c>
      <c r="T44" s="2" t="e">
        <f t="shared" ca="1" si="3"/>
        <v>#NAME?</v>
      </c>
      <c r="U44" s="2">
        <f>Coverage!I44</f>
        <v>2</v>
      </c>
      <c r="V44" s="4">
        <f>Coverage!J44</f>
        <v>0.2857142857142857</v>
      </c>
      <c r="W44" s="3">
        <f>IFERROR(SUMPRODUCT(L44:R44,Coverage!B44:H44)/U44,0)</f>
        <v>67</v>
      </c>
      <c r="X44" s="2" t="s">
        <v>174</v>
      </c>
    </row>
    <row r="45" spans="1:24" ht="30" x14ac:dyDescent="0.25">
      <c r="A45" s="2" t="s">
        <v>175</v>
      </c>
      <c r="B45" s="2" t="s">
        <v>175</v>
      </c>
      <c r="C45" s="2" t="s">
        <v>176</v>
      </c>
      <c r="D45" s="2" t="s">
        <v>53</v>
      </c>
      <c r="E45" s="2" t="s">
        <v>53</v>
      </c>
      <c r="F45" s="2" t="s">
        <v>57</v>
      </c>
      <c r="G45" s="2"/>
      <c r="H45" s="2" t="s">
        <v>58</v>
      </c>
      <c r="I45" s="2" t="s">
        <v>53</v>
      </c>
      <c r="J45" s="2" t="s">
        <v>53</v>
      </c>
      <c r="K45" s="2" t="s">
        <v>53</v>
      </c>
      <c r="L45" s="3">
        <f>Calc!B45</f>
        <v>100</v>
      </c>
      <c r="M45" s="3">
        <f>Calc!C45</f>
        <v>100</v>
      </c>
      <c r="N45" s="3">
        <f>Verification!F45</f>
        <v>100</v>
      </c>
      <c r="O45" s="3">
        <f>Calc!E45</f>
        <v>100</v>
      </c>
      <c r="P45" s="3">
        <f>Calc!F45</f>
        <v>100</v>
      </c>
      <c r="Q45" s="3">
        <f>Calc!G45</f>
        <v>100</v>
      </c>
      <c r="R45" s="3">
        <f>Calc!H45</f>
        <v>100</v>
      </c>
      <c r="S45" s="3">
        <f t="shared" si="2"/>
        <v>100</v>
      </c>
      <c r="T45" s="2" t="e">
        <f t="shared" ca="1" si="3"/>
        <v>#NAME?</v>
      </c>
      <c r="U45" s="2">
        <f>Coverage!I45</f>
        <v>7</v>
      </c>
      <c r="V45" s="4">
        <f>Coverage!J45</f>
        <v>1</v>
      </c>
      <c r="W45" s="3">
        <f>IFERROR(SUMPRODUCT(L45:R45,Coverage!B45:H45)/U45,0)</f>
        <v>100</v>
      </c>
      <c r="X45" s="2" t="s">
        <v>60</v>
      </c>
    </row>
    <row r="46" spans="1:24" ht="45" x14ac:dyDescent="0.25">
      <c r="A46" s="2" t="s">
        <v>177</v>
      </c>
      <c r="B46" s="2" t="s">
        <v>178</v>
      </c>
      <c r="C46" s="2" t="s">
        <v>179</v>
      </c>
      <c r="D46" s="2" t="s">
        <v>53</v>
      </c>
      <c r="E46" s="2" t="s">
        <v>53</v>
      </c>
      <c r="F46" s="2" t="s">
        <v>51</v>
      </c>
      <c r="G46" s="2"/>
      <c r="H46" s="2" t="s">
        <v>58</v>
      </c>
      <c r="I46" s="2" t="s">
        <v>53</v>
      </c>
      <c r="J46" s="2" t="s">
        <v>53</v>
      </c>
      <c r="K46" s="2" t="s">
        <v>53</v>
      </c>
      <c r="L46" s="3">
        <f>Calc!B46</f>
        <v>100</v>
      </c>
      <c r="M46" s="3">
        <f>Calc!C46</f>
        <v>100</v>
      </c>
      <c r="N46" s="3">
        <f>Verification!F46</f>
        <v>100</v>
      </c>
      <c r="O46" s="3">
        <f>Calc!E46</f>
        <v>100</v>
      </c>
      <c r="P46" s="3">
        <f>Calc!F46</f>
        <v>100</v>
      </c>
      <c r="Q46" s="3">
        <f>Calc!G46</f>
        <v>100</v>
      </c>
      <c r="R46" s="3">
        <f>Calc!H46</f>
        <v>100</v>
      </c>
      <c r="S46" s="3">
        <f t="shared" si="2"/>
        <v>100</v>
      </c>
      <c r="T46" s="2" t="e">
        <f t="shared" ca="1" si="3"/>
        <v>#NAME?</v>
      </c>
      <c r="U46" s="2">
        <f>Coverage!I46</f>
        <v>7</v>
      </c>
      <c r="V46" s="4">
        <f>Coverage!J46</f>
        <v>1</v>
      </c>
      <c r="W46" s="3">
        <f>IFERROR(SUMPRODUCT(L46:R46,Coverage!B46:H46)/U46,0)</f>
        <v>100</v>
      </c>
      <c r="X46" s="2" t="s">
        <v>60</v>
      </c>
    </row>
    <row r="47" spans="1:24" ht="30" x14ac:dyDescent="0.25">
      <c r="A47" s="2" t="s">
        <v>180</v>
      </c>
      <c r="B47" s="2" t="s">
        <v>181</v>
      </c>
      <c r="C47" s="2" t="s">
        <v>67</v>
      </c>
      <c r="D47" s="2" t="s">
        <v>49</v>
      </c>
      <c r="E47" s="2" t="s">
        <v>59</v>
      </c>
      <c r="F47" s="2" t="s">
        <v>8</v>
      </c>
      <c r="G47" s="2"/>
      <c r="H47" s="2" t="s">
        <v>64</v>
      </c>
      <c r="I47" s="2" t="s">
        <v>49</v>
      </c>
      <c r="J47" s="2" t="s">
        <v>52</v>
      </c>
      <c r="K47" s="2" t="s">
        <v>53</v>
      </c>
      <c r="L47" s="3">
        <f>Calc!B47</f>
        <v>67</v>
      </c>
      <c r="M47" s="3">
        <f>Calc!C47</f>
        <v>0</v>
      </c>
      <c r="N47" s="3">
        <f>Verification!F47</f>
        <v>0</v>
      </c>
      <c r="O47" s="3">
        <f>Calc!E47</f>
        <v>67</v>
      </c>
      <c r="P47" s="3">
        <f>Calc!F47</f>
        <v>33</v>
      </c>
      <c r="Q47" s="3">
        <f>Calc!G47</f>
        <v>100</v>
      </c>
      <c r="R47" s="3">
        <f>Calc!H47</f>
        <v>50</v>
      </c>
      <c r="S47" s="3">
        <f t="shared" si="2"/>
        <v>45.285714285714285</v>
      </c>
      <c r="T47" s="2" t="e">
        <f t="shared" ca="1" si="3"/>
        <v>#NAME?</v>
      </c>
      <c r="U47" s="2">
        <f>Coverage!I47</f>
        <v>7</v>
      </c>
      <c r="V47" s="4">
        <f>Coverage!J47</f>
        <v>1</v>
      </c>
      <c r="W47" s="3">
        <f>IFERROR(SUMPRODUCT(L47:R47,Coverage!B47:H47)/U47,0)</f>
        <v>45.285714285714285</v>
      </c>
      <c r="X47" s="2" t="s">
        <v>60</v>
      </c>
    </row>
    <row r="48" spans="1:24" ht="30" x14ac:dyDescent="0.25">
      <c r="A48" s="2" t="s">
        <v>182</v>
      </c>
      <c r="B48" s="2" t="s">
        <v>165</v>
      </c>
      <c r="C48" s="2" t="s">
        <v>147</v>
      </c>
      <c r="D48" s="2" t="s">
        <v>53</v>
      </c>
      <c r="E48" s="2" t="s">
        <v>53</v>
      </c>
      <c r="F48" s="2" t="s">
        <v>51</v>
      </c>
      <c r="G48" s="2"/>
      <c r="H48" s="2" t="s">
        <v>58</v>
      </c>
      <c r="I48" s="2" t="s">
        <v>52</v>
      </c>
      <c r="J48" s="2" t="s">
        <v>53</v>
      </c>
      <c r="K48" s="2" t="s">
        <v>53</v>
      </c>
      <c r="L48" s="3">
        <f>Calc!B48</f>
        <v>100</v>
      </c>
      <c r="M48" s="3">
        <f>Calc!C48</f>
        <v>100</v>
      </c>
      <c r="N48" s="3">
        <f>Verification!F48</f>
        <v>100</v>
      </c>
      <c r="O48" s="3">
        <f>Calc!E48</f>
        <v>33</v>
      </c>
      <c r="P48" s="3">
        <f>Calc!F48</f>
        <v>100</v>
      </c>
      <c r="Q48" s="3">
        <f>Calc!G48</f>
        <v>100</v>
      </c>
      <c r="R48" s="3">
        <f>Calc!H48</f>
        <v>100</v>
      </c>
      <c r="S48" s="3">
        <f t="shared" si="2"/>
        <v>90.428571428571431</v>
      </c>
      <c r="T48" s="2" t="e">
        <f t="shared" ca="1" si="3"/>
        <v>#NAME?</v>
      </c>
      <c r="U48" s="2">
        <f>Coverage!I48</f>
        <v>7</v>
      </c>
      <c r="V48" s="4">
        <f>Coverage!J48</f>
        <v>1</v>
      </c>
      <c r="W48" s="3">
        <f>IFERROR(SUMPRODUCT(L48:R48,Coverage!B48:H48)/U48,0)</f>
        <v>90.428571428571431</v>
      </c>
      <c r="X48" s="2" t="s">
        <v>60</v>
      </c>
    </row>
    <row r="49" spans="1:24" ht="30" x14ac:dyDescent="0.25">
      <c r="A49" s="2" t="s">
        <v>183</v>
      </c>
      <c r="B49" s="2" t="s">
        <v>184</v>
      </c>
      <c r="C49" s="2" t="s">
        <v>98</v>
      </c>
      <c r="D49" s="2" t="s">
        <v>53</v>
      </c>
      <c r="E49" s="2" t="s">
        <v>50</v>
      </c>
      <c r="F49" s="2" t="s">
        <v>51</v>
      </c>
      <c r="G49" s="2"/>
      <c r="H49" s="2" t="s">
        <v>58</v>
      </c>
      <c r="I49" s="2" t="s">
        <v>52</v>
      </c>
      <c r="J49" s="2" t="s">
        <v>49</v>
      </c>
      <c r="K49" s="2" t="s">
        <v>53</v>
      </c>
      <c r="L49" s="3">
        <f>Calc!B49</f>
        <v>100</v>
      </c>
      <c r="M49" s="3">
        <f>Calc!C49</f>
        <v>0</v>
      </c>
      <c r="N49" s="3">
        <f>Verification!F49</f>
        <v>100</v>
      </c>
      <c r="O49" s="3">
        <f>Calc!E49</f>
        <v>33</v>
      </c>
      <c r="P49" s="3">
        <f>Calc!F49</f>
        <v>67</v>
      </c>
      <c r="Q49" s="3">
        <f>Calc!G49</f>
        <v>100</v>
      </c>
      <c r="R49" s="3">
        <f>Calc!H49</f>
        <v>100</v>
      </c>
      <c r="S49" s="3">
        <f t="shared" si="2"/>
        <v>71.428571428571431</v>
      </c>
      <c r="T49" s="2" t="e">
        <f t="shared" ca="1" si="3"/>
        <v>#NAME?</v>
      </c>
      <c r="U49" s="2">
        <f>Coverage!I49</f>
        <v>6</v>
      </c>
      <c r="V49" s="4">
        <f>Coverage!J49</f>
        <v>0.8571428571428571</v>
      </c>
      <c r="W49" s="3">
        <f>IFERROR(SUMPRODUCT(L49:R49,Coverage!B49:H49)/U49,0)</f>
        <v>83.333333333333329</v>
      </c>
      <c r="X49" s="2" t="s">
        <v>54</v>
      </c>
    </row>
    <row r="50" spans="1:24" ht="30" x14ac:dyDescent="0.25">
      <c r="A50" s="2" t="s">
        <v>185</v>
      </c>
      <c r="B50" s="2" t="s">
        <v>186</v>
      </c>
      <c r="C50" s="2" t="s">
        <v>187</v>
      </c>
      <c r="D50" s="2" t="s">
        <v>53</v>
      </c>
      <c r="E50" s="2" t="s">
        <v>50</v>
      </c>
      <c r="F50" s="2" t="s">
        <v>114</v>
      </c>
      <c r="G50" s="2"/>
      <c r="H50" s="2" t="s">
        <v>64</v>
      </c>
      <c r="I50" s="2" t="s">
        <v>53</v>
      </c>
      <c r="J50" s="2" t="s">
        <v>53</v>
      </c>
      <c r="K50" s="2" t="s">
        <v>53</v>
      </c>
      <c r="L50" s="3">
        <f>Calc!B50</f>
        <v>100</v>
      </c>
      <c r="M50" s="3">
        <f>Calc!C50</f>
        <v>0</v>
      </c>
      <c r="N50" s="3">
        <f>Verification!F50</f>
        <v>0</v>
      </c>
      <c r="O50" s="3">
        <f>Calc!E50</f>
        <v>100</v>
      </c>
      <c r="P50" s="3">
        <f>Calc!F50</f>
        <v>100</v>
      </c>
      <c r="Q50" s="3">
        <f>Calc!G50</f>
        <v>100</v>
      </c>
      <c r="R50" s="3">
        <f>Calc!H50</f>
        <v>50</v>
      </c>
      <c r="S50" s="3">
        <f t="shared" si="2"/>
        <v>64.285714285714292</v>
      </c>
      <c r="T50" s="2" t="e">
        <f t="shared" ca="1" si="3"/>
        <v>#NAME?</v>
      </c>
      <c r="U50" s="2">
        <f>Coverage!I50</f>
        <v>6</v>
      </c>
      <c r="V50" s="4">
        <f>Coverage!J50</f>
        <v>0.8571428571428571</v>
      </c>
      <c r="W50" s="3">
        <f>IFERROR(SUMPRODUCT(L50:R50,Coverage!B50:H50)/U50,0)</f>
        <v>75</v>
      </c>
      <c r="X50" s="2" t="s">
        <v>188</v>
      </c>
    </row>
    <row r="51" spans="1:24" ht="30" x14ac:dyDescent="0.25">
      <c r="A51" s="2" t="s">
        <v>189</v>
      </c>
      <c r="B51" s="2" t="s">
        <v>190</v>
      </c>
      <c r="C51" s="2" t="s">
        <v>191</v>
      </c>
      <c r="D51" s="2" t="s">
        <v>53</v>
      </c>
      <c r="E51" s="2" t="s">
        <v>53</v>
      </c>
      <c r="F51" s="2" t="s">
        <v>57</v>
      </c>
      <c r="G51" s="2"/>
      <c r="H51" s="2" t="s">
        <v>58</v>
      </c>
      <c r="I51" s="2" t="s">
        <v>49</v>
      </c>
      <c r="J51" s="2" t="s">
        <v>53</v>
      </c>
      <c r="K51" s="2" t="s">
        <v>53</v>
      </c>
      <c r="L51" s="3">
        <f>Calc!B51</f>
        <v>100</v>
      </c>
      <c r="M51" s="3">
        <f>Calc!C51</f>
        <v>100</v>
      </c>
      <c r="N51" s="3">
        <f>Verification!F51</f>
        <v>100</v>
      </c>
      <c r="O51" s="3">
        <f>Calc!E51</f>
        <v>67</v>
      </c>
      <c r="P51" s="3">
        <f>Calc!F51</f>
        <v>100</v>
      </c>
      <c r="Q51" s="3">
        <f>Calc!G51</f>
        <v>100</v>
      </c>
      <c r="R51" s="3">
        <f>Calc!H51</f>
        <v>100</v>
      </c>
      <c r="S51" s="3">
        <f t="shared" si="2"/>
        <v>95.285714285714292</v>
      </c>
      <c r="T51" s="2" t="e">
        <f t="shared" ca="1" si="3"/>
        <v>#NAME?</v>
      </c>
      <c r="U51" s="2">
        <f>Coverage!I51</f>
        <v>7</v>
      </c>
      <c r="V51" s="4">
        <f>Coverage!J51</f>
        <v>1</v>
      </c>
      <c r="W51" s="3">
        <f>IFERROR(SUMPRODUCT(L51:R51,Coverage!B51:H51)/U51,0)</f>
        <v>95.285714285714292</v>
      </c>
      <c r="X51" s="2" t="s">
        <v>60</v>
      </c>
    </row>
    <row r="52" spans="1:24" ht="30" x14ac:dyDescent="0.25">
      <c r="A52" s="2" t="s">
        <v>192</v>
      </c>
      <c r="B52" s="2" t="s">
        <v>193</v>
      </c>
      <c r="C52" s="2" t="s">
        <v>194</v>
      </c>
      <c r="D52" s="2" t="s">
        <v>53</v>
      </c>
      <c r="E52" s="2" t="s">
        <v>53</v>
      </c>
      <c r="F52" s="2" t="s">
        <v>51</v>
      </c>
      <c r="G52" s="2"/>
      <c r="H52" s="2" t="s">
        <v>58</v>
      </c>
      <c r="I52" s="2" t="s">
        <v>59</v>
      </c>
      <c r="J52" s="2" t="s">
        <v>59</v>
      </c>
      <c r="K52" s="2" t="s">
        <v>59</v>
      </c>
      <c r="L52" s="3">
        <f>Calc!B52</f>
        <v>100</v>
      </c>
      <c r="M52" s="3">
        <f>Calc!C52</f>
        <v>100</v>
      </c>
      <c r="N52" s="3">
        <f>Verification!F52</f>
        <v>100</v>
      </c>
      <c r="O52" s="3">
        <f>Calc!E52</f>
        <v>0</v>
      </c>
      <c r="P52" s="3">
        <f>Calc!F52</f>
        <v>0</v>
      </c>
      <c r="Q52" s="3">
        <f>Calc!G52</f>
        <v>0</v>
      </c>
      <c r="R52" s="3">
        <f>Calc!H52</f>
        <v>100</v>
      </c>
      <c r="S52" s="3">
        <f t="shared" si="2"/>
        <v>57.142857142857146</v>
      </c>
      <c r="T52" s="2" t="e">
        <f t="shared" ca="1" si="3"/>
        <v>#NAME?</v>
      </c>
      <c r="U52" s="2">
        <f>Coverage!I52</f>
        <v>7</v>
      </c>
      <c r="V52" s="4">
        <f>Coverage!J52</f>
        <v>1</v>
      </c>
      <c r="W52" s="3">
        <f>IFERROR(SUMPRODUCT(L52:R52,Coverage!B52:H52)/U52,0)</f>
        <v>57.142857142857146</v>
      </c>
      <c r="X52" s="2" t="s">
        <v>60</v>
      </c>
    </row>
    <row r="53" spans="1:24" ht="30" x14ac:dyDescent="0.25">
      <c r="A53" s="2" t="s">
        <v>195</v>
      </c>
      <c r="B53" s="2" t="s">
        <v>196</v>
      </c>
      <c r="C53" s="2" t="s">
        <v>147</v>
      </c>
      <c r="D53" s="2" t="s">
        <v>53</v>
      </c>
      <c r="E53" s="2" t="s">
        <v>53</v>
      </c>
      <c r="F53" s="2" t="s">
        <v>51</v>
      </c>
      <c r="G53" s="2"/>
      <c r="H53" s="2" t="s">
        <v>58</v>
      </c>
      <c r="I53" s="2" t="s">
        <v>53</v>
      </c>
      <c r="J53" s="2" t="s">
        <v>52</v>
      </c>
      <c r="K53" s="2" t="s">
        <v>53</v>
      </c>
      <c r="L53" s="3">
        <f>Calc!B53</f>
        <v>100</v>
      </c>
      <c r="M53" s="3">
        <f>Calc!C53</f>
        <v>100</v>
      </c>
      <c r="N53" s="3">
        <f>Verification!F53</f>
        <v>100</v>
      </c>
      <c r="O53" s="3">
        <f>Calc!E53</f>
        <v>100</v>
      </c>
      <c r="P53" s="3">
        <f>Calc!F53</f>
        <v>33</v>
      </c>
      <c r="Q53" s="3">
        <f>Calc!G53</f>
        <v>100</v>
      </c>
      <c r="R53" s="3">
        <f>Calc!H53</f>
        <v>100</v>
      </c>
      <c r="S53" s="3">
        <f t="shared" si="2"/>
        <v>90.428571428571431</v>
      </c>
      <c r="T53" s="2" t="e">
        <f t="shared" ca="1" si="3"/>
        <v>#NAME?</v>
      </c>
      <c r="U53" s="2">
        <f>Coverage!I53</f>
        <v>7</v>
      </c>
      <c r="V53" s="4">
        <f>Coverage!J53</f>
        <v>1</v>
      </c>
      <c r="W53" s="3">
        <f>IFERROR(SUMPRODUCT(L53:R53,Coverage!B53:H53)/U53,0)</f>
        <v>90.428571428571431</v>
      </c>
      <c r="X53" s="2" t="s">
        <v>60</v>
      </c>
    </row>
    <row r="54" spans="1:24" ht="30" x14ac:dyDescent="0.25">
      <c r="A54" s="2" t="s">
        <v>197</v>
      </c>
      <c r="B54" s="2" t="s">
        <v>196</v>
      </c>
      <c r="C54" s="2" t="s">
        <v>147</v>
      </c>
      <c r="D54" s="2" t="s">
        <v>53</v>
      </c>
      <c r="E54" s="2" t="s">
        <v>53</v>
      </c>
      <c r="F54" s="2" t="s">
        <v>51</v>
      </c>
      <c r="G54" s="2"/>
      <c r="H54" s="2" t="s">
        <v>58</v>
      </c>
      <c r="I54" s="2" t="s">
        <v>49</v>
      </c>
      <c r="J54" s="2" t="s">
        <v>49</v>
      </c>
      <c r="K54" s="2" t="s">
        <v>49</v>
      </c>
      <c r="L54" s="3">
        <f>Calc!B54</f>
        <v>100</v>
      </c>
      <c r="M54" s="3">
        <f>Calc!C54</f>
        <v>100</v>
      </c>
      <c r="N54" s="3">
        <f>Verification!F54</f>
        <v>100</v>
      </c>
      <c r="O54" s="3">
        <f>Calc!E54</f>
        <v>67</v>
      </c>
      <c r="P54" s="3">
        <f>Calc!F54</f>
        <v>67</v>
      </c>
      <c r="Q54" s="3">
        <f>Calc!G54</f>
        <v>67</v>
      </c>
      <c r="R54" s="3">
        <f>Calc!H54</f>
        <v>100</v>
      </c>
      <c r="S54" s="3">
        <f t="shared" si="2"/>
        <v>85.857142857142861</v>
      </c>
      <c r="T54" s="2" t="e">
        <f t="shared" ca="1" si="3"/>
        <v>#NAME?</v>
      </c>
      <c r="U54" s="2">
        <f>Coverage!I54</f>
        <v>7</v>
      </c>
      <c r="V54" s="4">
        <f>Coverage!J54</f>
        <v>1</v>
      </c>
      <c r="W54" s="3">
        <f>IFERROR(SUMPRODUCT(L54:R54,Coverage!B54:H54)/U54,0)</f>
        <v>85.857142857142861</v>
      </c>
      <c r="X54" s="2" t="s">
        <v>60</v>
      </c>
    </row>
    <row r="55" spans="1:24" ht="30" x14ac:dyDescent="0.25">
      <c r="A55" s="2" t="s">
        <v>198</v>
      </c>
      <c r="B55" s="2" t="s">
        <v>199</v>
      </c>
      <c r="C55" s="2" t="s">
        <v>73</v>
      </c>
      <c r="D55" s="2" t="s">
        <v>53</v>
      </c>
      <c r="E55" s="2" t="s">
        <v>53</v>
      </c>
      <c r="F55" s="2" t="s">
        <v>51</v>
      </c>
      <c r="G55" s="2"/>
      <c r="H55" s="2" t="s">
        <v>58</v>
      </c>
      <c r="I55" s="2" t="s">
        <v>74</v>
      </c>
      <c r="J55" s="2" t="s">
        <v>53</v>
      </c>
      <c r="K55" s="2" t="s">
        <v>53</v>
      </c>
      <c r="L55" s="3">
        <f>Calc!B55</f>
        <v>100</v>
      </c>
      <c r="M55" s="3">
        <f>Calc!C55</f>
        <v>100</v>
      </c>
      <c r="N55" s="3">
        <f>Verification!F55</f>
        <v>100</v>
      </c>
      <c r="O55" s="3">
        <f>Calc!E55</f>
        <v>0</v>
      </c>
      <c r="P55" s="3">
        <f>Calc!F55</f>
        <v>100</v>
      </c>
      <c r="Q55" s="3">
        <f>Calc!G55</f>
        <v>100</v>
      </c>
      <c r="R55" s="3">
        <f>Calc!H55</f>
        <v>100</v>
      </c>
      <c r="S55" s="3">
        <f t="shared" si="2"/>
        <v>85.714285714285708</v>
      </c>
      <c r="T55" s="2" t="e">
        <f t="shared" ca="1" si="3"/>
        <v>#NAME?</v>
      </c>
      <c r="U55" s="2">
        <f>Coverage!I55</f>
        <v>6</v>
      </c>
      <c r="V55" s="4">
        <f>Coverage!J55</f>
        <v>0.8571428571428571</v>
      </c>
      <c r="W55" s="3">
        <f>IFERROR(SUMPRODUCT(L55:R55,Coverage!B55:H55)/U55,0)</f>
        <v>100</v>
      </c>
      <c r="X55" s="2" t="s">
        <v>200</v>
      </c>
    </row>
    <row r="56" spans="1:24" ht="90" x14ac:dyDescent="0.25">
      <c r="A56" s="2" t="s">
        <v>201</v>
      </c>
      <c r="B56" s="2" t="s">
        <v>202</v>
      </c>
      <c r="C56" s="2" t="s">
        <v>203</v>
      </c>
      <c r="D56" s="2" t="s">
        <v>50</v>
      </c>
      <c r="E56" s="2" t="s">
        <v>50</v>
      </c>
      <c r="F56" s="2" t="s">
        <v>8</v>
      </c>
      <c r="G56" s="2"/>
      <c r="H56" s="2" t="s">
        <v>8</v>
      </c>
      <c r="I56" s="2" t="s">
        <v>50</v>
      </c>
      <c r="J56" s="2" t="s">
        <v>50</v>
      </c>
      <c r="K56" s="2" t="s">
        <v>50</v>
      </c>
      <c r="L56" s="3">
        <f>Calc!B56</f>
        <v>0</v>
      </c>
      <c r="M56" s="3">
        <f>Calc!C56</f>
        <v>0</v>
      </c>
      <c r="N56" s="3">
        <f>Verification!F56</f>
        <v>0</v>
      </c>
      <c r="O56" s="3">
        <f>Calc!E56</f>
        <v>0</v>
      </c>
      <c r="P56" s="3">
        <f>Calc!F56</f>
        <v>0</v>
      </c>
      <c r="Q56" s="3">
        <f>Calc!G56</f>
        <v>0</v>
      </c>
      <c r="R56" s="3">
        <f>Calc!H56</f>
        <v>0</v>
      </c>
      <c r="S56" s="3">
        <f t="shared" si="2"/>
        <v>0</v>
      </c>
      <c r="T56" s="2" t="e">
        <f t="shared" ca="1" si="3"/>
        <v>#NAME?</v>
      </c>
      <c r="U56" s="2">
        <f>Coverage!I56</f>
        <v>2</v>
      </c>
      <c r="V56" s="4">
        <f>Coverage!J56</f>
        <v>0.2857142857142857</v>
      </c>
      <c r="W56" s="3">
        <f>IFERROR(SUMPRODUCT(L56:R56,Coverage!B56:H56)/U56,0)</f>
        <v>0</v>
      </c>
      <c r="X56" s="2" t="s">
        <v>204</v>
      </c>
    </row>
    <row r="57" spans="1:24" ht="30" x14ac:dyDescent="0.25">
      <c r="A57" s="2" t="s">
        <v>205</v>
      </c>
      <c r="B57" s="2" t="s">
        <v>206</v>
      </c>
      <c r="C57" s="2" t="s">
        <v>207</v>
      </c>
      <c r="D57" s="2" t="s">
        <v>53</v>
      </c>
      <c r="E57" s="2" t="s">
        <v>53</v>
      </c>
      <c r="F57" s="2" t="s">
        <v>51</v>
      </c>
      <c r="G57" s="2"/>
      <c r="H57" s="2"/>
      <c r="I57" s="2" t="s">
        <v>49</v>
      </c>
      <c r="J57" s="2" t="s">
        <v>52</v>
      </c>
      <c r="K57" s="2" t="s">
        <v>52</v>
      </c>
      <c r="L57" s="3">
        <f>Calc!B57</f>
        <v>100</v>
      </c>
      <c r="M57" s="3">
        <f>Calc!C57</f>
        <v>100</v>
      </c>
      <c r="N57" s="3">
        <f>Verification!F57</f>
        <v>100</v>
      </c>
      <c r="O57" s="3">
        <f>Calc!E57</f>
        <v>67</v>
      </c>
      <c r="P57" s="3">
        <f>Calc!F57</f>
        <v>33</v>
      </c>
      <c r="Q57" s="3">
        <f>Calc!G57</f>
        <v>33</v>
      </c>
      <c r="R57" s="3">
        <f>Calc!H57</f>
        <v>0</v>
      </c>
      <c r="S57" s="3">
        <f t="shared" si="2"/>
        <v>61.857142857142854</v>
      </c>
      <c r="T57" s="2" t="e">
        <f t="shared" ca="1" si="3"/>
        <v>#NAME?</v>
      </c>
      <c r="U57" s="2">
        <f>Coverage!I57</f>
        <v>6</v>
      </c>
      <c r="V57" s="4">
        <f>Coverage!J57</f>
        <v>0.8571428571428571</v>
      </c>
      <c r="W57" s="3">
        <f>IFERROR(SUMPRODUCT(L57:R57,Coverage!B57:H57)/U57,0)</f>
        <v>72.166666666666671</v>
      </c>
      <c r="X57" s="2" t="s">
        <v>88</v>
      </c>
    </row>
    <row r="58" spans="1:24" ht="30" x14ac:dyDescent="0.25">
      <c r="A58" s="2" t="s">
        <v>208</v>
      </c>
      <c r="B58" s="2" t="s">
        <v>209</v>
      </c>
      <c r="C58" s="2" t="s">
        <v>147</v>
      </c>
      <c r="D58" s="2" t="s">
        <v>53</v>
      </c>
      <c r="E58" s="2" t="s">
        <v>53</v>
      </c>
      <c r="F58" s="2" t="s">
        <v>51</v>
      </c>
      <c r="G58" s="2"/>
      <c r="H58" s="2" t="s">
        <v>58</v>
      </c>
      <c r="I58" s="2" t="s">
        <v>49</v>
      </c>
      <c r="J58" s="2" t="s">
        <v>53</v>
      </c>
      <c r="K58" s="2" t="s">
        <v>74</v>
      </c>
      <c r="L58" s="3">
        <f>Calc!B58</f>
        <v>100</v>
      </c>
      <c r="M58" s="3">
        <f>Calc!C58</f>
        <v>100</v>
      </c>
      <c r="N58" s="3">
        <f>Verification!F58</f>
        <v>100</v>
      </c>
      <c r="O58" s="3">
        <f>Calc!E58</f>
        <v>67</v>
      </c>
      <c r="P58" s="3">
        <f>Calc!F58</f>
        <v>100</v>
      </c>
      <c r="Q58" s="3">
        <f>Calc!G58</f>
        <v>0</v>
      </c>
      <c r="R58" s="3">
        <f>Calc!H58</f>
        <v>100</v>
      </c>
      <c r="S58" s="3">
        <f t="shared" si="2"/>
        <v>81</v>
      </c>
      <c r="T58" s="2" t="e">
        <f t="shared" ca="1" si="3"/>
        <v>#NAME?</v>
      </c>
      <c r="U58" s="2">
        <f>Coverage!I58</f>
        <v>6</v>
      </c>
      <c r="V58" s="4">
        <f>Coverage!J58</f>
        <v>0.8571428571428571</v>
      </c>
      <c r="W58" s="3">
        <f>IFERROR(SUMPRODUCT(L58:R58,Coverage!B58:H58)/U58,0)</f>
        <v>94.5</v>
      </c>
      <c r="X58" s="2" t="s">
        <v>210</v>
      </c>
    </row>
    <row r="59" spans="1:24" ht="60" x14ac:dyDescent="0.25">
      <c r="A59" s="2" t="s">
        <v>211</v>
      </c>
      <c r="B59" s="2" t="s">
        <v>212</v>
      </c>
      <c r="C59" s="2" t="s">
        <v>213</v>
      </c>
      <c r="D59" s="2" t="s">
        <v>53</v>
      </c>
      <c r="E59" s="2" t="s">
        <v>53</v>
      </c>
      <c r="F59" s="2" t="s">
        <v>51</v>
      </c>
      <c r="G59" s="2" t="s">
        <v>214</v>
      </c>
      <c r="H59" s="2" t="s">
        <v>64</v>
      </c>
      <c r="I59" s="2" t="s">
        <v>59</v>
      </c>
      <c r="J59" s="2" t="s">
        <v>59</v>
      </c>
      <c r="K59" s="2" t="s">
        <v>59</v>
      </c>
      <c r="L59" s="3">
        <f>Calc!B59</f>
        <v>100</v>
      </c>
      <c r="M59" s="3">
        <f>Calc!C59</f>
        <v>100</v>
      </c>
      <c r="N59" s="3">
        <f>Verification!F59</f>
        <v>100</v>
      </c>
      <c r="O59" s="3">
        <f>Calc!E59</f>
        <v>0</v>
      </c>
      <c r="P59" s="3">
        <f>Calc!F59</f>
        <v>0</v>
      </c>
      <c r="Q59" s="3">
        <f>Calc!G59</f>
        <v>0</v>
      </c>
      <c r="R59" s="3">
        <f>Calc!H59</f>
        <v>50</v>
      </c>
      <c r="S59" s="3">
        <f t="shared" si="2"/>
        <v>50</v>
      </c>
      <c r="T59" s="2" t="e">
        <f t="shared" ca="1" si="3"/>
        <v>#NAME?</v>
      </c>
      <c r="U59" s="2">
        <f>Coverage!I59</f>
        <v>7</v>
      </c>
      <c r="V59" s="4">
        <f>Coverage!J59</f>
        <v>1</v>
      </c>
      <c r="W59" s="3">
        <f>IFERROR(SUMPRODUCT(L59:R59,Coverage!B59:H59)/U59,0)</f>
        <v>50</v>
      </c>
      <c r="X59" s="2" t="s">
        <v>60</v>
      </c>
    </row>
    <row r="60" spans="1:24" ht="30" x14ac:dyDescent="0.25">
      <c r="A60" s="2" t="s">
        <v>215</v>
      </c>
      <c r="B60" s="2" t="s">
        <v>216</v>
      </c>
      <c r="C60" s="2" t="s">
        <v>217</v>
      </c>
      <c r="D60" s="2" t="s">
        <v>53</v>
      </c>
      <c r="E60" s="2" t="s">
        <v>53</v>
      </c>
      <c r="F60" s="2" t="s">
        <v>51</v>
      </c>
      <c r="G60" s="2"/>
      <c r="H60" s="2" t="s">
        <v>8</v>
      </c>
      <c r="I60" s="2" t="s">
        <v>53</v>
      </c>
      <c r="J60" s="2" t="s">
        <v>53</v>
      </c>
      <c r="K60" s="2" t="s">
        <v>50</v>
      </c>
      <c r="L60" s="3">
        <f>Calc!B60</f>
        <v>100</v>
      </c>
      <c r="M60" s="3">
        <f>Calc!C60</f>
        <v>100</v>
      </c>
      <c r="N60" s="3">
        <f>Verification!F60</f>
        <v>100</v>
      </c>
      <c r="O60" s="3">
        <f>Calc!E60</f>
        <v>100</v>
      </c>
      <c r="P60" s="3">
        <f>Calc!F60</f>
        <v>100</v>
      </c>
      <c r="Q60" s="3">
        <f>Calc!G60</f>
        <v>0</v>
      </c>
      <c r="R60" s="3">
        <f>Calc!H60</f>
        <v>0</v>
      </c>
      <c r="S60" s="3">
        <f t="shared" si="2"/>
        <v>71.428571428571431</v>
      </c>
      <c r="T60" s="2" t="e">
        <f t="shared" ca="1" si="3"/>
        <v>#NAME?</v>
      </c>
      <c r="U60" s="2">
        <f>Coverage!I60</f>
        <v>6</v>
      </c>
      <c r="V60" s="4">
        <f>Coverage!J60</f>
        <v>0.8571428571428571</v>
      </c>
      <c r="W60" s="3">
        <f>IFERROR(SUMPRODUCT(L60:R60,Coverage!B60:H60)/U60,0)</f>
        <v>83.333333333333329</v>
      </c>
      <c r="X60" s="2" t="s">
        <v>210</v>
      </c>
    </row>
    <row r="61" spans="1:24" ht="30" x14ac:dyDescent="0.25">
      <c r="A61" s="2" t="s">
        <v>218</v>
      </c>
      <c r="B61" s="2" t="s">
        <v>219</v>
      </c>
      <c r="C61" s="2" t="s">
        <v>187</v>
      </c>
      <c r="D61" s="2" t="s">
        <v>49</v>
      </c>
      <c r="E61" s="2" t="s">
        <v>50</v>
      </c>
      <c r="F61" s="2" t="s">
        <v>51</v>
      </c>
      <c r="G61" s="2"/>
      <c r="H61" s="2" t="s">
        <v>64</v>
      </c>
      <c r="I61" s="2" t="s">
        <v>53</v>
      </c>
      <c r="J61" s="2" t="s">
        <v>53</v>
      </c>
      <c r="K61" s="2" t="s">
        <v>53</v>
      </c>
      <c r="L61" s="3">
        <f>Calc!B61</f>
        <v>67</v>
      </c>
      <c r="M61" s="3">
        <f>Calc!C61</f>
        <v>0</v>
      </c>
      <c r="N61" s="3">
        <f>Verification!F61</f>
        <v>100</v>
      </c>
      <c r="O61" s="3">
        <f>Calc!E61</f>
        <v>100</v>
      </c>
      <c r="P61" s="3">
        <f>Calc!F61</f>
        <v>100</v>
      </c>
      <c r="Q61" s="3">
        <f>Calc!G61</f>
        <v>100</v>
      </c>
      <c r="R61" s="3">
        <f>Calc!H61</f>
        <v>50</v>
      </c>
      <c r="S61" s="3">
        <f t="shared" si="2"/>
        <v>73.857142857142861</v>
      </c>
      <c r="T61" s="2" t="e">
        <f t="shared" ca="1" si="3"/>
        <v>#NAME?</v>
      </c>
      <c r="U61" s="2">
        <f>Coverage!I61</f>
        <v>6</v>
      </c>
      <c r="V61" s="4">
        <f>Coverage!J61</f>
        <v>0.8571428571428571</v>
      </c>
      <c r="W61" s="3">
        <f>IFERROR(SUMPRODUCT(L61:R61,Coverage!B61:H61)/U61,0)</f>
        <v>86.166666666666671</v>
      </c>
      <c r="X61" s="2" t="s">
        <v>54</v>
      </c>
    </row>
    <row r="62" spans="1:24" ht="30" x14ac:dyDescent="0.25">
      <c r="A62" s="2" t="s">
        <v>220</v>
      </c>
      <c r="B62" s="2" t="s">
        <v>184</v>
      </c>
      <c r="C62" s="2" t="s">
        <v>221</v>
      </c>
      <c r="D62" s="2" t="s">
        <v>53</v>
      </c>
      <c r="E62" s="2" t="s">
        <v>59</v>
      </c>
      <c r="F62" s="2" t="s">
        <v>51</v>
      </c>
      <c r="G62" s="2"/>
      <c r="H62" s="2" t="s">
        <v>64</v>
      </c>
      <c r="I62" s="2" t="s">
        <v>49</v>
      </c>
      <c r="J62" s="2" t="s">
        <v>49</v>
      </c>
      <c r="K62" s="2" t="s">
        <v>53</v>
      </c>
      <c r="L62" s="3">
        <f>Calc!B62</f>
        <v>100</v>
      </c>
      <c r="M62" s="3">
        <f>Calc!C62</f>
        <v>0</v>
      </c>
      <c r="N62" s="3">
        <f>Verification!F62</f>
        <v>100</v>
      </c>
      <c r="O62" s="3">
        <f>Calc!E62</f>
        <v>67</v>
      </c>
      <c r="P62" s="3">
        <f>Calc!F62</f>
        <v>67</v>
      </c>
      <c r="Q62" s="3">
        <f>Calc!G62</f>
        <v>100</v>
      </c>
      <c r="R62" s="3">
        <f>Calc!H62</f>
        <v>50</v>
      </c>
      <c r="S62" s="3">
        <f t="shared" si="2"/>
        <v>69.142857142857139</v>
      </c>
      <c r="T62" s="2" t="e">
        <f t="shared" ca="1" si="3"/>
        <v>#NAME?</v>
      </c>
      <c r="U62" s="2">
        <f>Coverage!I62</f>
        <v>7</v>
      </c>
      <c r="V62" s="4">
        <f>Coverage!J62</f>
        <v>1</v>
      </c>
      <c r="W62" s="3">
        <f>IFERROR(SUMPRODUCT(L62:R62,Coverage!B62:H62)/U62,0)</f>
        <v>69.142857142857139</v>
      </c>
      <c r="X62" s="2" t="s">
        <v>60</v>
      </c>
    </row>
    <row r="63" spans="1:24" ht="30" x14ac:dyDescent="0.25">
      <c r="A63" s="2" t="s">
        <v>222</v>
      </c>
      <c r="B63" s="2" t="s">
        <v>222</v>
      </c>
      <c r="C63" s="2" t="s">
        <v>122</v>
      </c>
      <c r="D63" s="2" t="s">
        <v>53</v>
      </c>
      <c r="E63" s="2" t="s">
        <v>50</v>
      </c>
      <c r="F63" s="2" t="s">
        <v>57</v>
      </c>
      <c r="G63" s="2"/>
      <c r="H63" s="2" t="s">
        <v>58</v>
      </c>
      <c r="I63" s="2" t="s">
        <v>52</v>
      </c>
      <c r="J63" s="2" t="s">
        <v>52</v>
      </c>
      <c r="K63" s="2" t="s">
        <v>49</v>
      </c>
      <c r="L63" s="3">
        <f>Calc!B63</f>
        <v>100</v>
      </c>
      <c r="M63" s="3">
        <f>Calc!C63</f>
        <v>0</v>
      </c>
      <c r="N63" s="3">
        <f>Verification!F63</f>
        <v>100</v>
      </c>
      <c r="O63" s="3">
        <f>Calc!E63</f>
        <v>33</v>
      </c>
      <c r="P63" s="3">
        <f>Calc!F63</f>
        <v>33</v>
      </c>
      <c r="Q63" s="3">
        <f>Calc!G63</f>
        <v>67</v>
      </c>
      <c r="R63" s="3">
        <f>Calc!H63</f>
        <v>100</v>
      </c>
      <c r="S63" s="3">
        <f t="shared" si="2"/>
        <v>61.857142857142854</v>
      </c>
      <c r="T63" s="2" t="e">
        <f t="shared" ca="1" si="3"/>
        <v>#NAME?</v>
      </c>
      <c r="U63" s="2">
        <f>Coverage!I63</f>
        <v>6</v>
      </c>
      <c r="V63" s="4">
        <f>Coverage!J63</f>
        <v>0.8571428571428571</v>
      </c>
      <c r="W63" s="3">
        <f>IFERROR(SUMPRODUCT(L63:R63,Coverage!B63:H63)/U63,0)</f>
        <v>72.166666666666671</v>
      </c>
      <c r="X63" s="2" t="s">
        <v>54</v>
      </c>
    </row>
    <row r="64" spans="1:24" ht="60" x14ac:dyDescent="0.25">
      <c r="A64" s="2" t="s">
        <v>223</v>
      </c>
      <c r="B64" s="2" t="s">
        <v>224</v>
      </c>
      <c r="C64" s="2" t="s">
        <v>187</v>
      </c>
      <c r="D64" s="2" t="s">
        <v>50</v>
      </c>
      <c r="E64" s="2" t="s">
        <v>50</v>
      </c>
      <c r="F64" s="2" t="s">
        <v>51</v>
      </c>
      <c r="G64" s="2"/>
      <c r="H64" s="2" t="s">
        <v>8</v>
      </c>
      <c r="I64" s="2" t="s">
        <v>53</v>
      </c>
      <c r="J64" s="2" t="s">
        <v>49</v>
      </c>
      <c r="K64" s="2" t="s">
        <v>50</v>
      </c>
      <c r="L64" s="3">
        <f>Calc!B64</f>
        <v>0</v>
      </c>
      <c r="M64" s="3">
        <f>Calc!C64</f>
        <v>0</v>
      </c>
      <c r="N64" s="3">
        <f>Verification!F64</f>
        <v>100</v>
      </c>
      <c r="O64" s="3">
        <f>Calc!E64</f>
        <v>100</v>
      </c>
      <c r="P64" s="3">
        <f>Calc!F64</f>
        <v>67</v>
      </c>
      <c r="Q64" s="3">
        <f>Calc!G64</f>
        <v>0</v>
      </c>
      <c r="R64" s="3">
        <f>Calc!H64</f>
        <v>0</v>
      </c>
      <c r="S64" s="3">
        <f t="shared" si="2"/>
        <v>38.142857142857146</v>
      </c>
      <c r="T64" s="2" t="e">
        <f t="shared" ca="1" si="3"/>
        <v>#NAME?</v>
      </c>
      <c r="U64" s="2">
        <f>Coverage!I64</f>
        <v>4</v>
      </c>
      <c r="V64" s="4">
        <f>Coverage!J64</f>
        <v>0.5714285714285714</v>
      </c>
      <c r="W64" s="3">
        <f>IFERROR(SUMPRODUCT(L64:R64,Coverage!B64:H64)/U64,0)</f>
        <v>66.75</v>
      </c>
      <c r="X64" s="2" t="s">
        <v>225</v>
      </c>
    </row>
    <row r="65" spans="1:24" ht="30" x14ac:dyDescent="0.25">
      <c r="A65" s="2" t="s">
        <v>226</v>
      </c>
      <c r="B65" s="2" t="s">
        <v>95</v>
      </c>
      <c r="C65" s="2" t="s">
        <v>63</v>
      </c>
      <c r="D65" s="2" t="s">
        <v>49</v>
      </c>
      <c r="E65" s="2" t="s">
        <v>50</v>
      </c>
      <c r="F65" s="2" t="s">
        <v>51</v>
      </c>
      <c r="G65" s="2"/>
      <c r="H65" s="2" t="s">
        <v>64</v>
      </c>
      <c r="I65" s="2" t="s">
        <v>52</v>
      </c>
      <c r="J65" s="2" t="s">
        <v>49</v>
      </c>
      <c r="K65" s="2" t="s">
        <v>53</v>
      </c>
      <c r="L65" s="3">
        <f>Calc!B65</f>
        <v>67</v>
      </c>
      <c r="M65" s="3">
        <f>Calc!C65</f>
        <v>0</v>
      </c>
      <c r="N65" s="3">
        <f>Verification!F65</f>
        <v>100</v>
      </c>
      <c r="O65" s="3">
        <f>Calc!E65</f>
        <v>33</v>
      </c>
      <c r="P65" s="3">
        <f>Calc!F65</f>
        <v>67</v>
      </c>
      <c r="Q65" s="3">
        <f>Calc!G65</f>
        <v>100</v>
      </c>
      <c r="R65" s="3">
        <f>Calc!H65</f>
        <v>50</v>
      </c>
      <c r="S65" s="3">
        <f t="shared" si="2"/>
        <v>59.571428571428569</v>
      </c>
      <c r="T65" s="2" t="e">
        <f t="shared" ca="1" si="3"/>
        <v>#NAME?</v>
      </c>
      <c r="U65" s="2">
        <f>Coverage!I65</f>
        <v>6</v>
      </c>
      <c r="V65" s="4">
        <f>Coverage!J65</f>
        <v>0.8571428571428571</v>
      </c>
      <c r="W65" s="3">
        <f>IFERROR(SUMPRODUCT(L65:R65,Coverage!B65:H65)/U65,0)</f>
        <v>69.5</v>
      </c>
      <c r="X65" s="2" t="s">
        <v>54</v>
      </c>
    </row>
    <row r="66" spans="1:24" ht="30" x14ac:dyDescent="0.25">
      <c r="A66" s="2" t="s">
        <v>227</v>
      </c>
      <c r="B66" s="2" t="s">
        <v>228</v>
      </c>
      <c r="C66" s="2" t="s">
        <v>73</v>
      </c>
      <c r="D66" s="2" t="s">
        <v>53</v>
      </c>
      <c r="E66" s="2" t="s">
        <v>53</v>
      </c>
      <c r="F66" s="2" t="s">
        <v>51</v>
      </c>
      <c r="G66" s="2"/>
      <c r="H66" s="2" t="s">
        <v>64</v>
      </c>
      <c r="I66" s="2" t="s">
        <v>59</v>
      </c>
      <c r="J66" s="2" t="s">
        <v>59</v>
      </c>
      <c r="K66" s="2" t="s">
        <v>59</v>
      </c>
      <c r="L66" s="3">
        <f>Calc!B66</f>
        <v>100</v>
      </c>
      <c r="M66" s="3">
        <f>Calc!C66</f>
        <v>100</v>
      </c>
      <c r="N66" s="3">
        <f>Verification!F66</f>
        <v>100</v>
      </c>
      <c r="O66" s="3">
        <f>Calc!E66</f>
        <v>0</v>
      </c>
      <c r="P66" s="3">
        <f>Calc!F66</f>
        <v>0</v>
      </c>
      <c r="Q66" s="3">
        <f>Calc!G66</f>
        <v>0</v>
      </c>
      <c r="R66" s="3">
        <f>Calc!H66</f>
        <v>50</v>
      </c>
      <c r="S66" s="3">
        <f t="shared" ref="S66:S97" si="4">AVERAGE(L66:R66)</f>
        <v>50</v>
      </c>
      <c r="T66" s="2" t="e">
        <f t="shared" ref="T66:T97" ca="1" si="5">_xludf.RANK.EQ(S66,$S$2:$S$113,0)</f>
        <v>#NAME?</v>
      </c>
      <c r="U66" s="2">
        <f>Coverage!I66</f>
        <v>7</v>
      </c>
      <c r="V66" s="4">
        <f>Coverage!J66</f>
        <v>1</v>
      </c>
      <c r="W66" s="3">
        <f>IFERROR(SUMPRODUCT(L66:R66,Coverage!B66:H66)/U66,0)</f>
        <v>50</v>
      </c>
      <c r="X66" s="2" t="s">
        <v>60</v>
      </c>
    </row>
    <row r="67" spans="1:24" ht="45" x14ac:dyDescent="0.25">
      <c r="A67" s="2" t="s">
        <v>229</v>
      </c>
      <c r="B67" s="2" t="s">
        <v>230</v>
      </c>
      <c r="C67" s="2" t="s">
        <v>231</v>
      </c>
      <c r="D67" s="2" t="s">
        <v>52</v>
      </c>
      <c r="E67" s="2" t="s">
        <v>50</v>
      </c>
      <c r="F67" s="2" t="s">
        <v>8</v>
      </c>
      <c r="G67" s="2"/>
      <c r="H67" s="2" t="s">
        <v>64</v>
      </c>
      <c r="I67" s="2" t="s">
        <v>53</v>
      </c>
      <c r="J67" s="2" t="s">
        <v>53</v>
      </c>
      <c r="K67" s="2" t="s">
        <v>50</v>
      </c>
      <c r="L67" s="3">
        <f>Calc!B67</f>
        <v>33</v>
      </c>
      <c r="M67" s="3">
        <f>Calc!C67</f>
        <v>0</v>
      </c>
      <c r="N67" s="3">
        <f>Verification!F67</f>
        <v>0</v>
      </c>
      <c r="O67" s="3">
        <f>Calc!E67</f>
        <v>100</v>
      </c>
      <c r="P67" s="3">
        <f>Calc!F67</f>
        <v>100</v>
      </c>
      <c r="Q67" s="3">
        <f>Calc!G67</f>
        <v>0</v>
      </c>
      <c r="R67" s="3">
        <f>Calc!H67</f>
        <v>50</v>
      </c>
      <c r="S67" s="3">
        <f t="shared" si="4"/>
        <v>40.428571428571431</v>
      </c>
      <c r="T67" s="2" t="e">
        <f t="shared" ca="1" si="5"/>
        <v>#NAME?</v>
      </c>
      <c r="U67" s="2">
        <f>Coverage!I67</f>
        <v>5</v>
      </c>
      <c r="V67" s="4">
        <f>Coverage!J67</f>
        <v>0.7142857142857143</v>
      </c>
      <c r="W67" s="3">
        <f>IFERROR(SUMPRODUCT(L67:R67,Coverage!B67:H67)/U67,0)</f>
        <v>56.6</v>
      </c>
      <c r="X67" s="2" t="s">
        <v>75</v>
      </c>
    </row>
    <row r="68" spans="1:24" ht="45" x14ac:dyDescent="0.25">
      <c r="A68" s="2" t="s">
        <v>232</v>
      </c>
      <c r="B68" s="2" t="s">
        <v>233</v>
      </c>
      <c r="C68" s="2" t="s">
        <v>234</v>
      </c>
      <c r="D68" s="2" t="s">
        <v>49</v>
      </c>
      <c r="E68" s="2" t="s">
        <v>50</v>
      </c>
      <c r="F68" s="2" t="s">
        <v>51</v>
      </c>
      <c r="G68" s="2"/>
      <c r="H68" s="2" t="s">
        <v>64</v>
      </c>
      <c r="I68" s="2" t="s">
        <v>49</v>
      </c>
      <c r="J68" s="2" t="s">
        <v>53</v>
      </c>
      <c r="K68" s="2" t="s">
        <v>53</v>
      </c>
      <c r="L68" s="3">
        <f>Calc!B68</f>
        <v>67</v>
      </c>
      <c r="M68" s="3">
        <f>Calc!C68</f>
        <v>0</v>
      </c>
      <c r="N68" s="3">
        <f>Verification!F68</f>
        <v>100</v>
      </c>
      <c r="O68" s="3">
        <f>Calc!E68</f>
        <v>67</v>
      </c>
      <c r="P68" s="3">
        <f>Calc!F68</f>
        <v>100</v>
      </c>
      <c r="Q68" s="3">
        <f>Calc!G68</f>
        <v>100</v>
      </c>
      <c r="R68" s="3">
        <f>Calc!H68</f>
        <v>50</v>
      </c>
      <c r="S68" s="3">
        <f t="shared" si="4"/>
        <v>69.142857142857139</v>
      </c>
      <c r="T68" s="2" t="e">
        <f t="shared" ca="1" si="5"/>
        <v>#NAME?</v>
      </c>
      <c r="U68" s="2">
        <f>Coverage!I68</f>
        <v>6</v>
      </c>
      <c r="V68" s="4">
        <f>Coverage!J68</f>
        <v>0.8571428571428571</v>
      </c>
      <c r="W68" s="3">
        <f>IFERROR(SUMPRODUCT(L68:R68,Coverage!B68:H68)/U68,0)</f>
        <v>80.666666666666671</v>
      </c>
      <c r="X68" s="2" t="s">
        <v>54</v>
      </c>
    </row>
    <row r="69" spans="1:24" ht="60" x14ac:dyDescent="0.25">
      <c r="A69" s="2" t="s">
        <v>235</v>
      </c>
      <c r="B69" s="2" t="s">
        <v>236</v>
      </c>
      <c r="C69" s="2" t="s">
        <v>237</v>
      </c>
      <c r="D69" s="2" t="s">
        <v>59</v>
      </c>
      <c r="E69" s="2" t="s">
        <v>59</v>
      </c>
      <c r="F69" s="2" t="s">
        <v>8</v>
      </c>
      <c r="G69" s="2"/>
      <c r="H69" s="2" t="s">
        <v>64</v>
      </c>
      <c r="I69" s="2" t="s">
        <v>53</v>
      </c>
      <c r="J69" s="2" t="s">
        <v>50</v>
      </c>
      <c r="K69" s="2" t="s">
        <v>53</v>
      </c>
      <c r="L69" s="3">
        <f>Calc!B69</f>
        <v>0</v>
      </c>
      <c r="M69" s="3">
        <f>Calc!C69</f>
        <v>0</v>
      </c>
      <c r="N69" s="3">
        <f>Verification!F69</f>
        <v>0</v>
      </c>
      <c r="O69" s="3">
        <f>Calc!E69</f>
        <v>100</v>
      </c>
      <c r="P69" s="3">
        <f>Calc!F69</f>
        <v>0</v>
      </c>
      <c r="Q69" s="3">
        <f>Calc!G69</f>
        <v>100</v>
      </c>
      <c r="R69" s="3">
        <f>Calc!H69</f>
        <v>50</v>
      </c>
      <c r="S69" s="3">
        <f t="shared" si="4"/>
        <v>35.714285714285715</v>
      </c>
      <c r="T69" s="2" t="e">
        <f t="shared" ca="1" si="5"/>
        <v>#NAME?</v>
      </c>
      <c r="U69" s="2">
        <f>Coverage!I69</f>
        <v>6</v>
      </c>
      <c r="V69" s="4">
        <f>Coverage!J69</f>
        <v>0.8571428571428571</v>
      </c>
      <c r="W69" s="3">
        <f>IFERROR(SUMPRODUCT(L69:R69,Coverage!B69:H69)/U69,0)</f>
        <v>41.666666666666664</v>
      </c>
      <c r="X69" s="2" t="s">
        <v>85</v>
      </c>
    </row>
    <row r="70" spans="1:24" ht="30" x14ac:dyDescent="0.25">
      <c r="A70" s="2" t="s">
        <v>238</v>
      </c>
      <c r="B70" s="2" t="s">
        <v>239</v>
      </c>
      <c r="C70" s="2" t="s">
        <v>240</v>
      </c>
      <c r="D70" s="2" t="s">
        <v>53</v>
      </c>
      <c r="E70" s="2" t="s">
        <v>53</v>
      </c>
      <c r="F70" s="2" t="s">
        <v>51</v>
      </c>
      <c r="G70" s="2"/>
      <c r="H70" s="2" t="s">
        <v>58</v>
      </c>
      <c r="I70" s="2" t="s">
        <v>49</v>
      </c>
      <c r="J70" s="2" t="s">
        <v>49</v>
      </c>
      <c r="K70" s="2" t="s">
        <v>59</v>
      </c>
      <c r="L70" s="3">
        <f>Calc!B70</f>
        <v>100</v>
      </c>
      <c r="M70" s="3">
        <f>Calc!C70</f>
        <v>100</v>
      </c>
      <c r="N70" s="3">
        <f>Verification!F70</f>
        <v>100</v>
      </c>
      <c r="O70" s="3">
        <f>Calc!E70</f>
        <v>67</v>
      </c>
      <c r="P70" s="3">
        <f>Calc!F70</f>
        <v>67</v>
      </c>
      <c r="Q70" s="3">
        <f>Calc!G70</f>
        <v>0</v>
      </c>
      <c r="R70" s="3">
        <f>Calc!H70</f>
        <v>100</v>
      </c>
      <c r="S70" s="3">
        <f t="shared" si="4"/>
        <v>76.285714285714292</v>
      </c>
      <c r="T70" s="2" t="e">
        <f t="shared" ca="1" si="5"/>
        <v>#NAME?</v>
      </c>
      <c r="U70" s="2">
        <f>Coverage!I70</f>
        <v>7</v>
      </c>
      <c r="V70" s="4">
        <f>Coverage!J70</f>
        <v>1</v>
      </c>
      <c r="W70" s="3">
        <f>IFERROR(SUMPRODUCT(L70:R70,Coverage!B70:H70)/U70,0)</f>
        <v>76.285714285714292</v>
      </c>
      <c r="X70" s="2" t="s">
        <v>60</v>
      </c>
    </row>
    <row r="71" spans="1:24" ht="45" x14ac:dyDescent="0.25">
      <c r="A71" s="2" t="s">
        <v>241</v>
      </c>
      <c r="B71" s="2" t="s">
        <v>242</v>
      </c>
      <c r="C71" s="2" t="s">
        <v>243</v>
      </c>
      <c r="D71" s="2" t="s">
        <v>53</v>
      </c>
      <c r="E71" s="2" t="s">
        <v>53</v>
      </c>
      <c r="F71" s="2" t="s">
        <v>51</v>
      </c>
      <c r="G71" s="2"/>
      <c r="H71" s="2" t="s">
        <v>58</v>
      </c>
      <c r="I71" s="2" t="s">
        <v>53</v>
      </c>
      <c r="J71" s="2" t="s">
        <v>52</v>
      </c>
      <c r="K71" s="2" t="s">
        <v>53</v>
      </c>
      <c r="L71" s="3">
        <f>Calc!B71</f>
        <v>100</v>
      </c>
      <c r="M71" s="3">
        <f>Calc!C71</f>
        <v>100</v>
      </c>
      <c r="N71" s="3">
        <f>Verification!F71</f>
        <v>100</v>
      </c>
      <c r="O71" s="3">
        <f>Calc!E71</f>
        <v>100</v>
      </c>
      <c r="P71" s="3">
        <f>Calc!F71</f>
        <v>33</v>
      </c>
      <c r="Q71" s="3">
        <f>Calc!G71</f>
        <v>100</v>
      </c>
      <c r="R71" s="3">
        <f>Calc!H71</f>
        <v>100</v>
      </c>
      <c r="S71" s="3">
        <f t="shared" si="4"/>
        <v>90.428571428571431</v>
      </c>
      <c r="T71" s="2" t="e">
        <f t="shared" ca="1" si="5"/>
        <v>#NAME?</v>
      </c>
      <c r="U71" s="2">
        <f>Coverage!I71</f>
        <v>7</v>
      </c>
      <c r="V71" s="4">
        <f>Coverage!J71</f>
        <v>1</v>
      </c>
      <c r="W71" s="3">
        <f>IFERROR(SUMPRODUCT(L71:R71,Coverage!B71:H71)/U71,0)</f>
        <v>90.428571428571431</v>
      </c>
      <c r="X71" s="2" t="s">
        <v>60</v>
      </c>
    </row>
    <row r="72" spans="1:24" ht="30" x14ac:dyDescent="0.25">
      <c r="A72" s="2" t="s">
        <v>244</v>
      </c>
      <c r="B72" s="2" t="s">
        <v>245</v>
      </c>
      <c r="C72" s="2" t="s">
        <v>246</v>
      </c>
      <c r="D72" s="2" t="s">
        <v>53</v>
      </c>
      <c r="E72" s="2" t="s">
        <v>53</v>
      </c>
      <c r="F72" s="2"/>
      <c r="G72" s="2"/>
      <c r="H72" s="2" t="s">
        <v>58</v>
      </c>
      <c r="I72" s="2" t="s">
        <v>50</v>
      </c>
      <c r="J72" s="2" t="s">
        <v>53</v>
      </c>
      <c r="K72" s="2" t="s">
        <v>53</v>
      </c>
      <c r="L72" s="3">
        <f>Calc!B72</f>
        <v>100</v>
      </c>
      <c r="M72" s="3">
        <f>Calc!C72</f>
        <v>100</v>
      </c>
      <c r="N72" s="3">
        <f>Verification!F72</f>
        <v>0</v>
      </c>
      <c r="O72" s="3">
        <f>Calc!E72</f>
        <v>0</v>
      </c>
      <c r="P72" s="3">
        <f>Calc!F72</f>
        <v>100</v>
      </c>
      <c r="Q72" s="3">
        <f>Calc!G72</f>
        <v>100</v>
      </c>
      <c r="R72" s="3">
        <f>Calc!H72</f>
        <v>100</v>
      </c>
      <c r="S72" s="3">
        <f t="shared" si="4"/>
        <v>71.428571428571431</v>
      </c>
      <c r="T72" s="2" t="e">
        <f t="shared" ca="1" si="5"/>
        <v>#NAME?</v>
      </c>
      <c r="U72" s="2">
        <f>Coverage!I72</f>
        <v>5</v>
      </c>
      <c r="V72" s="4">
        <f>Coverage!J72</f>
        <v>0.7142857142857143</v>
      </c>
      <c r="W72" s="3">
        <f>IFERROR(SUMPRODUCT(L72:R72,Coverage!B72:H72)/U72,0)</f>
        <v>100</v>
      </c>
      <c r="X72" s="2" t="s">
        <v>200</v>
      </c>
    </row>
    <row r="73" spans="1:24" ht="30" x14ac:dyDescent="0.25">
      <c r="A73" s="2" t="s">
        <v>247</v>
      </c>
      <c r="B73" s="2" t="s">
        <v>248</v>
      </c>
      <c r="C73" s="2" t="s">
        <v>249</v>
      </c>
      <c r="D73" s="2" t="s">
        <v>53</v>
      </c>
      <c r="E73" s="2" t="s">
        <v>53</v>
      </c>
      <c r="F73" s="2" t="s">
        <v>51</v>
      </c>
      <c r="G73" s="2"/>
      <c r="H73" s="2" t="s">
        <v>64</v>
      </c>
      <c r="I73" s="2" t="s">
        <v>53</v>
      </c>
      <c r="J73" s="2" t="s">
        <v>49</v>
      </c>
      <c r="K73" s="2" t="s">
        <v>53</v>
      </c>
      <c r="L73" s="3">
        <f>Calc!B73</f>
        <v>100</v>
      </c>
      <c r="M73" s="3">
        <f>Calc!C73</f>
        <v>100</v>
      </c>
      <c r="N73" s="3">
        <f>Verification!F73</f>
        <v>100</v>
      </c>
      <c r="O73" s="3">
        <f>Calc!E73</f>
        <v>100</v>
      </c>
      <c r="P73" s="3">
        <f>Calc!F73</f>
        <v>67</v>
      </c>
      <c r="Q73" s="3">
        <f>Calc!G73</f>
        <v>100</v>
      </c>
      <c r="R73" s="3">
        <f>Calc!H73</f>
        <v>50</v>
      </c>
      <c r="S73" s="3">
        <f t="shared" si="4"/>
        <v>88.142857142857139</v>
      </c>
      <c r="T73" s="2" t="e">
        <f t="shared" ca="1" si="5"/>
        <v>#NAME?</v>
      </c>
      <c r="U73" s="2">
        <f>Coverage!I73</f>
        <v>7</v>
      </c>
      <c r="V73" s="4">
        <f>Coverage!J73</f>
        <v>1</v>
      </c>
      <c r="W73" s="3">
        <f>IFERROR(SUMPRODUCT(L73:R73,Coverage!B73:H73)/U73,0)</f>
        <v>88.142857142857139</v>
      </c>
      <c r="X73" s="2" t="s">
        <v>60</v>
      </c>
    </row>
    <row r="74" spans="1:24" ht="30" x14ac:dyDescent="0.25">
      <c r="A74" s="2" t="s">
        <v>250</v>
      </c>
      <c r="B74" s="2" t="s">
        <v>82</v>
      </c>
      <c r="C74" s="2" t="s">
        <v>140</v>
      </c>
      <c r="D74" s="2" t="s">
        <v>53</v>
      </c>
      <c r="E74" s="2" t="s">
        <v>53</v>
      </c>
      <c r="F74" s="2" t="s">
        <v>51</v>
      </c>
      <c r="G74" s="2"/>
      <c r="H74" s="2" t="s">
        <v>58</v>
      </c>
      <c r="I74" s="2" t="s">
        <v>52</v>
      </c>
      <c r="J74" s="2" t="s">
        <v>53</v>
      </c>
      <c r="K74" s="2" t="s">
        <v>53</v>
      </c>
      <c r="L74" s="3">
        <f>Calc!B74</f>
        <v>100</v>
      </c>
      <c r="M74" s="3">
        <f>Calc!C74</f>
        <v>100</v>
      </c>
      <c r="N74" s="3">
        <f>Verification!F74</f>
        <v>100</v>
      </c>
      <c r="O74" s="3">
        <f>Calc!E74</f>
        <v>33</v>
      </c>
      <c r="P74" s="3">
        <f>Calc!F74</f>
        <v>100</v>
      </c>
      <c r="Q74" s="3">
        <f>Calc!G74</f>
        <v>100</v>
      </c>
      <c r="R74" s="3">
        <f>Calc!H74</f>
        <v>100</v>
      </c>
      <c r="S74" s="3">
        <f t="shared" si="4"/>
        <v>90.428571428571431</v>
      </c>
      <c r="T74" s="2" t="e">
        <f t="shared" ca="1" si="5"/>
        <v>#NAME?</v>
      </c>
      <c r="U74" s="2">
        <f>Coverage!I74</f>
        <v>7</v>
      </c>
      <c r="V74" s="4">
        <f>Coverage!J74</f>
        <v>1</v>
      </c>
      <c r="W74" s="3">
        <f>IFERROR(SUMPRODUCT(L74:R74,Coverage!B74:H74)/U74,0)</f>
        <v>90.428571428571431</v>
      </c>
      <c r="X74" s="2" t="s">
        <v>60</v>
      </c>
    </row>
    <row r="75" spans="1:24" ht="30" x14ac:dyDescent="0.25">
      <c r="A75" s="2" t="s">
        <v>251</v>
      </c>
      <c r="B75" s="2" t="s">
        <v>252</v>
      </c>
      <c r="C75" s="2" t="s">
        <v>129</v>
      </c>
      <c r="D75" s="2" t="s">
        <v>53</v>
      </c>
      <c r="E75" s="2" t="s">
        <v>50</v>
      </c>
      <c r="F75" s="2" t="s">
        <v>51</v>
      </c>
      <c r="G75" s="2"/>
      <c r="H75" s="2" t="s">
        <v>58</v>
      </c>
      <c r="I75" s="2" t="s">
        <v>53</v>
      </c>
      <c r="J75" s="2" t="s">
        <v>52</v>
      </c>
      <c r="K75" s="2" t="s">
        <v>53</v>
      </c>
      <c r="L75" s="3">
        <f>Calc!B75</f>
        <v>100</v>
      </c>
      <c r="M75" s="3">
        <f>Calc!C75</f>
        <v>0</v>
      </c>
      <c r="N75" s="3">
        <f>Verification!F75</f>
        <v>100</v>
      </c>
      <c r="O75" s="3">
        <f>Calc!E75</f>
        <v>100</v>
      </c>
      <c r="P75" s="3">
        <f>Calc!F75</f>
        <v>33</v>
      </c>
      <c r="Q75" s="3">
        <f>Calc!G75</f>
        <v>100</v>
      </c>
      <c r="R75" s="3">
        <f>Calc!H75</f>
        <v>100</v>
      </c>
      <c r="S75" s="3">
        <f t="shared" si="4"/>
        <v>76.142857142857139</v>
      </c>
      <c r="T75" s="2" t="e">
        <f t="shared" ca="1" si="5"/>
        <v>#NAME?</v>
      </c>
      <c r="U75" s="2">
        <f>Coverage!I75</f>
        <v>6</v>
      </c>
      <c r="V75" s="4">
        <f>Coverage!J75</f>
        <v>0.8571428571428571</v>
      </c>
      <c r="W75" s="3">
        <f>IFERROR(SUMPRODUCT(L75:R75,Coverage!B75:H75)/U75,0)</f>
        <v>88.833333333333329</v>
      </c>
      <c r="X75" s="2" t="s">
        <v>54</v>
      </c>
    </row>
    <row r="76" spans="1:24" ht="30" x14ac:dyDescent="0.25">
      <c r="A76" s="2" t="s">
        <v>253</v>
      </c>
      <c r="B76" s="2" t="s">
        <v>254</v>
      </c>
      <c r="C76" s="2" t="s">
        <v>129</v>
      </c>
      <c r="D76" s="2" t="s">
        <v>59</v>
      </c>
      <c r="E76" s="2" t="s">
        <v>59</v>
      </c>
      <c r="F76" s="2" t="s">
        <v>8</v>
      </c>
      <c r="G76" s="2"/>
      <c r="H76" s="2" t="s">
        <v>8</v>
      </c>
      <c r="I76" s="2" t="s">
        <v>59</v>
      </c>
      <c r="J76" s="2" t="s">
        <v>53</v>
      </c>
      <c r="K76" s="2" t="s">
        <v>59</v>
      </c>
      <c r="L76" s="3">
        <f>Calc!B76</f>
        <v>0</v>
      </c>
      <c r="M76" s="3">
        <f>Calc!C76</f>
        <v>0</v>
      </c>
      <c r="N76" s="3">
        <f>Verification!F76</f>
        <v>0</v>
      </c>
      <c r="O76" s="3">
        <f>Calc!E76</f>
        <v>0</v>
      </c>
      <c r="P76" s="3">
        <f>Calc!F76</f>
        <v>100</v>
      </c>
      <c r="Q76" s="3">
        <f>Calc!G76</f>
        <v>0</v>
      </c>
      <c r="R76" s="3">
        <f>Calc!H76</f>
        <v>0</v>
      </c>
      <c r="S76" s="3">
        <f t="shared" si="4"/>
        <v>14.285714285714286</v>
      </c>
      <c r="T76" s="2" t="e">
        <f t="shared" ca="1" si="5"/>
        <v>#NAME?</v>
      </c>
      <c r="U76" s="2">
        <f>Coverage!I76</f>
        <v>7</v>
      </c>
      <c r="V76" s="4">
        <f>Coverage!J76</f>
        <v>1</v>
      </c>
      <c r="W76" s="3">
        <f>IFERROR(SUMPRODUCT(L76:R76,Coverage!B76:H76)/U76,0)</f>
        <v>14.285714285714286</v>
      </c>
      <c r="X76" s="2" t="s">
        <v>60</v>
      </c>
    </row>
    <row r="77" spans="1:24" ht="45" x14ac:dyDescent="0.25">
      <c r="A77" s="2" t="s">
        <v>255</v>
      </c>
      <c r="B77" s="2" t="s">
        <v>256</v>
      </c>
      <c r="C77" s="2" t="s">
        <v>129</v>
      </c>
      <c r="D77" s="2" t="s">
        <v>53</v>
      </c>
      <c r="E77" s="2" t="s">
        <v>53</v>
      </c>
      <c r="F77" s="2" t="s">
        <v>51</v>
      </c>
      <c r="G77" s="2"/>
      <c r="H77" s="2" t="s">
        <v>58</v>
      </c>
      <c r="I77" s="2" t="s">
        <v>52</v>
      </c>
      <c r="J77" s="2" t="s">
        <v>52</v>
      </c>
      <c r="K77" s="2" t="s">
        <v>53</v>
      </c>
      <c r="L77" s="3">
        <f>Calc!B77</f>
        <v>100</v>
      </c>
      <c r="M77" s="3">
        <f>Calc!C77</f>
        <v>100</v>
      </c>
      <c r="N77" s="3">
        <f>Verification!F77</f>
        <v>100</v>
      </c>
      <c r="O77" s="3">
        <f>Calc!E77</f>
        <v>33</v>
      </c>
      <c r="P77" s="3">
        <f>Calc!F77</f>
        <v>33</v>
      </c>
      <c r="Q77" s="3">
        <f>Calc!G77</f>
        <v>100</v>
      </c>
      <c r="R77" s="3">
        <f>Calc!H77</f>
        <v>100</v>
      </c>
      <c r="S77" s="3">
        <f t="shared" si="4"/>
        <v>80.857142857142861</v>
      </c>
      <c r="T77" s="2" t="e">
        <f t="shared" ca="1" si="5"/>
        <v>#NAME?</v>
      </c>
      <c r="U77" s="2">
        <f>Coverage!I77</f>
        <v>7</v>
      </c>
      <c r="V77" s="4">
        <f>Coverage!J77</f>
        <v>1</v>
      </c>
      <c r="W77" s="3">
        <f>IFERROR(SUMPRODUCT(L77:R77,Coverage!B77:H77)/U77,0)</f>
        <v>80.857142857142861</v>
      </c>
      <c r="X77" s="2" t="s">
        <v>60</v>
      </c>
    </row>
    <row r="78" spans="1:24" ht="30" x14ac:dyDescent="0.25">
      <c r="A78" s="2" t="s">
        <v>257</v>
      </c>
      <c r="B78" s="2" t="s">
        <v>257</v>
      </c>
      <c r="C78" s="2" t="s">
        <v>258</v>
      </c>
      <c r="D78" s="2" t="s">
        <v>59</v>
      </c>
      <c r="E78" s="2" t="s">
        <v>59</v>
      </c>
      <c r="F78" s="2" t="s">
        <v>8</v>
      </c>
      <c r="G78" s="2"/>
      <c r="H78" s="2"/>
      <c r="I78" s="2" t="s">
        <v>59</v>
      </c>
      <c r="J78" s="2" t="s">
        <v>59</v>
      </c>
      <c r="K78" s="2" t="s">
        <v>59</v>
      </c>
      <c r="L78" s="3">
        <f>Calc!B78</f>
        <v>0</v>
      </c>
      <c r="M78" s="3">
        <f>Calc!C78</f>
        <v>0</v>
      </c>
      <c r="N78" s="3">
        <f>Verification!F78</f>
        <v>0</v>
      </c>
      <c r="O78" s="3">
        <f>Calc!E78</f>
        <v>0</v>
      </c>
      <c r="P78" s="3">
        <f>Calc!F78</f>
        <v>0</v>
      </c>
      <c r="Q78" s="3">
        <f>Calc!G78</f>
        <v>0</v>
      </c>
      <c r="R78" s="3">
        <f>Calc!H78</f>
        <v>0</v>
      </c>
      <c r="S78" s="3">
        <f t="shared" si="4"/>
        <v>0</v>
      </c>
      <c r="T78" s="2" t="e">
        <f t="shared" ca="1" si="5"/>
        <v>#NAME?</v>
      </c>
      <c r="U78" s="2">
        <f>Coverage!I78</f>
        <v>6</v>
      </c>
      <c r="V78" s="4">
        <f>Coverage!J78</f>
        <v>0.8571428571428571</v>
      </c>
      <c r="W78" s="3">
        <f>IFERROR(SUMPRODUCT(L78:R78,Coverage!B78:H78)/U78,0)</f>
        <v>0</v>
      </c>
      <c r="X78" s="2" t="s">
        <v>88</v>
      </c>
    </row>
    <row r="79" spans="1:24" ht="30" x14ac:dyDescent="0.25">
      <c r="A79" s="2" t="s">
        <v>259</v>
      </c>
      <c r="B79" s="2" t="s">
        <v>260</v>
      </c>
      <c r="C79" s="2" t="s">
        <v>261</v>
      </c>
      <c r="D79" s="2" t="s">
        <v>53</v>
      </c>
      <c r="E79" s="2" t="s">
        <v>53</v>
      </c>
      <c r="F79" s="2" t="s">
        <v>51</v>
      </c>
      <c r="G79" s="2"/>
      <c r="H79" s="2" t="s">
        <v>58</v>
      </c>
      <c r="I79" s="2" t="s">
        <v>52</v>
      </c>
      <c r="J79" s="2" t="s">
        <v>52</v>
      </c>
      <c r="K79" s="2" t="s">
        <v>53</v>
      </c>
      <c r="L79" s="3">
        <f>Calc!B79</f>
        <v>100</v>
      </c>
      <c r="M79" s="3">
        <f>Calc!C79</f>
        <v>100</v>
      </c>
      <c r="N79" s="3">
        <f>Verification!F79</f>
        <v>100</v>
      </c>
      <c r="O79" s="3">
        <f>Calc!E79</f>
        <v>33</v>
      </c>
      <c r="P79" s="3">
        <f>Calc!F79</f>
        <v>33</v>
      </c>
      <c r="Q79" s="3">
        <f>Calc!G79</f>
        <v>100</v>
      </c>
      <c r="R79" s="3">
        <f>Calc!H79</f>
        <v>100</v>
      </c>
      <c r="S79" s="3">
        <f t="shared" si="4"/>
        <v>80.857142857142861</v>
      </c>
      <c r="T79" s="2" t="e">
        <f t="shared" ca="1" si="5"/>
        <v>#NAME?</v>
      </c>
      <c r="U79" s="2">
        <f>Coverage!I79</f>
        <v>7</v>
      </c>
      <c r="V79" s="4">
        <f>Coverage!J79</f>
        <v>1</v>
      </c>
      <c r="W79" s="3">
        <f>IFERROR(SUMPRODUCT(L79:R79,Coverage!B79:H79)/U79,0)</f>
        <v>80.857142857142861</v>
      </c>
      <c r="X79" s="2" t="s">
        <v>60</v>
      </c>
    </row>
    <row r="80" spans="1:24" ht="45" x14ac:dyDescent="0.25">
      <c r="A80" s="2" t="s">
        <v>262</v>
      </c>
      <c r="B80" s="2" t="s">
        <v>263</v>
      </c>
      <c r="C80" s="2" t="s">
        <v>122</v>
      </c>
      <c r="D80" s="2" t="s">
        <v>53</v>
      </c>
      <c r="E80" s="2" t="s">
        <v>53</v>
      </c>
      <c r="F80" s="2" t="s">
        <v>57</v>
      </c>
      <c r="G80" s="2"/>
      <c r="H80" s="2" t="s">
        <v>58</v>
      </c>
      <c r="I80" s="2" t="s">
        <v>52</v>
      </c>
      <c r="J80" s="2" t="s">
        <v>52</v>
      </c>
      <c r="K80" s="2" t="s">
        <v>53</v>
      </c>
      <c r="L80" s="3">
        <f>Calc!B80</f>
        <v>100</v>
      </c>
      <c r="M80" s="3">
        <f>Calc!C80</f>
        <v>100</v>
      </c>
      <c r="N80" s="3">
        <f>Verification!F80</f>
        <v>100</v>
      </c>
      <c r="O80" s="3">
        <f>Calc!E80</f>
        <v>33</v>
      </c>
      <c r="P80" s="3">
        <f>Calc!F80</f>
        <v>33</v>
      </c>
      <c r="Q80" s="3">
        <f>Calc!G80</f>
        <v>100</v>
      </c>
      <c r="R80" s="3">
        <f>Calc!H80</f>
        <v>100</v>
      </c>
      <c r="S80" s="3">
        <f t="shared" si="4"/>
        <v>80.857142857142861</v>
      </c>
      <c r="T80" s="2" t="e">
        <f t="shared" ca="1" si="5"/>
        <v>#NAME?</v>
      </c>
      <c r="U80" s="2">
        <f>Coverage!I80</f>
        <v>7</v>
      </c>
      <c r="V80" s="4">
        <f>Coverage!J80</f>
        <v>1</v>
      </c>
      <c r="W80" s="3">
        <f>IFERROR(SUMPRODUCT(L80:R80,Coverage!B80:H80)/U80,0)</f>
        <v>80.857142857142861</v>
      </c>
      <c r="X80" s="2" t="s">
        <v>60</v>
      </c>
    </row>
    <row r="81" spans="1:24" ht="30" x14ac:dyDescent="0.25">
      <c r="A81" s="2" t="s">
        <v>264</v>
      </c>
      <c r="B81" s="2" t="s">
        <v>265</v>
      </c>
      <c r="C81" s="2" t="s">
        <v>187</v>
      </c>
      <c r="D81" s="2" t="s">
        <v>53</v>
      </c>
      <c r="E81" s="2" t="s">
        <v>53</v>
      </c>
      <c r="F81" s="2" t="s">
        <v>57</v>
      </c>
      <c r="G81" s="2"/>
      <c r="H81" s="2" t="s">
        <v>58</v>
      </c>
      <c r="I81" s="2" t="s">
        <v>53</v>
      </c>
      <c r="J81" s="2" t="s">
        <v>49</v>
      </c>
      <c r="K81" s="2" t="s">
        <v>53</v>
      </c>
      <c r="L81" s="3">
        <f>Calc!B81</f>
        <v>100</v>
      </c>
      <c r="M81" s="3">
        <f>Calc!C81</f>
        <v>100</v>
      </c>
      <c r="N81" s="3">
        <f>Verification!F81</f>
        <v>100</v>
      </c>
      <c r="O81" s="3">
        <f>Calc!E81</f>
        <v>100</v>
      </c>
      <c r="P81" s="3">
        <f>Calc!F81</f>
        <v>67</v>
      </c>
      <c r="Q81" s="3">
        <f>Calc!G81</f>
        <v>100</v>
      </c>
      <c r="R81" s="3">
        <f>Calc!H81</f>
        <v>100</v>
      </c>
      <c r="S81" s="3">
        <f t="shared" si="4"/>
        <v>95.285714285714292</v>
      </c>
      <c r="T81" s="2" t="e">
        <f t="shared" ca="1" si="5"/>
        <v>#NAME?</v>
      </c>
      <c r="U81" s="2">
        <f>Coverage!I81</f>
        <v>7</v>
      </c>
      <c r="V81" s="4">
        <f>Coverage!J81</f>
        <v>1</v>
      </c>
      <c r="W81" s="3">
        <f>IFERROR(SUMPRODUCT(L81:R81,Coverage!B81:H81)/U81,0)</f>
        <v>95.285714285714292</v>
      </c>
      <c r="X81" s="2" t="s">
        <v>60</v>
      </c>
    </row>
    <row r="82" spans="1:24" ht="30" x14ac:dyDescent="0.25">
      <c r="A82" s="2" t="s">
        <v>266</v>
      </c>
      <c r="B82" s="2" t="s">
        <v>265</v>
      </c>
      <c r="C82" s="2" t="s">
        <v>187</v>
      </c>
      <c r="D82" s="2" t="s">
        <v>53</v>
      </c>
      <c r="E82" s="2" t="s">
        <v>53</v>
      </c>
      <c r="F82" s="2" t="s">
        <v>57</v>
      </c>
      <c r="G82" s="2"/>
      <c r="H82" s="2" t="s">
        <v>58</v>
      </c>
      <c r="I82" s="2" t="s">
        <v>53</v>
      </c>
      <c r="J82" s="2" t="s">
        <v>49</v>
      </c>
      <c r="K82" s="2" t="s">
        <v>53</v>
      </c>
      <c r="L82" s="3">
        <f>Calc!B82</f>
        <v>100</v>
      </c>
      <c r="M82" s="3">
        <f>Calc!C82</f>
        <v>100</v>
      </c>
      <c r="N82" s="3">
        <f>Verification!F82</f>
        <v>100</v>
      </c>
      <c r="O82" s="3">
        <f>Calc!E82</f>
        <v>100</v>
      </c>
      <c r="P82" s="3">
        <f>Calc!F82</f>
        <v>67</v>
      </c>
      <c r="Q82" s="3">
        <f>Calc!G82</f>
        <v>100</v>
      </c>
      <c r="R82" s="3">
        <f>Calc!H82</f>
        <v>100</v>
      </c>
      <c r="S82" s="3">
        <f t="shared" si="4"/>
        <v>95.285714285714292</v>
      </c>
      <c r="T82" s="2" t="e">
        <f t="shared" ca="1" si="5"/>
        <v>#NAME?</v>
      </c>
      <c r="U82" s="2">
        <f>Coverage!I82</f>
        <v>7</v>
      </c>
      <c r="V82" s="4">
        <f>Coverage!J82</f>
        <v>1</v>
      </c>
      <c r="W82" s="3">
        <f>IFERROR(SUMPRODUCT(L82:R82,Coverage!B82:H82)/U82,0)</f>
        <v>95.285714285714292</v>
      </c>
      <c r="X82" s="2" t="s">
        <v>60</v>
      </c>
    </row>
    <row r="83" spans="1:24" ht="30" x14ac:dyDescent="0.25">
      <c r="A83" s="2" t="s">
        <v>267</v>
      </c>
      <c r="B83" s="2" t="s">
        <v>265</v>
      </c>
      <c r="C83" s="2" t="s">
        <v>187</v>
      </c>
      <c r="D83" s="2" t="s">
        <v>53</v>
      </c>
      <c r="E83" s="2" t="s">
        <v>53</v>
      </c>
      <c r="F83" s="2" t="s">
        <v>57</v>
      </c>
      <c r="G83" s="2"/>
      <c r="H83" s="2" t="s">
        <v>58</v>
      </c>
      <c r="I83" s="2" t="s">
        <v>53</v>
      </c>
      <c r="J83" s="2" t="s">
        <v>49</v>
      </c>
      <c r="K83" s="2" t="s">
        <v>53</v>
      </c>
      <c r="L83" s="3">
        <f>Calc!B83</f>
        <v>100</v>
      </c>
      <c r="M83" s="3">
        <f>Calc!C83</f>
        <v>100</v>
      </c>
      <c r="N83" s="3">
        <f>Verification!F83</f>
        <v>100</v>
      </c>
      <c r="O83" s="3">
        <f>Calc!E83</f>
        <v>100</v>
      </c>
      <c r="P83" s="3">
        <f>Calc!F83</f>
        <v>67</v>
      </c>
      <c r="Q83" s="3">
        <f>Calc!G83</f>
        <v>100</v>
      </c>
      <c r="R83" s="3">
        <f>Calc!H83</f>
        <v>100</v>
      </c>
      <c r="S83" s="3">
        <f t="shared" si="4"/>
        <v>95.285714285714292</v>
      </c>
      <c r="T83" s="2" t="e">
        <f t="shared" ca="1" si="5"/>
        <v>#NAME?</v>
      </c>
      <c r="U83" s="2">
        <f>Coverage!I83</f>
        <v>7</v>
      </c>
      <c r="V83" s="4">
        <f>Coverage!J83</f>
        <v>1</v>
      </c>
      <c r="W83" s="3">
        <f>IFERROR(SUMPRODUCT(L83:R83,Coverage!B83:H83)/U83,0)</f>
        <v>95.285714285714292</v>
      </c>
      <c r="X83" s="2" t="s">
        <v>60</v>
      </c>
    </row>
    <row r="84" spans="1:24" ht="30" x14ac:dyDescent="0.25">
      <c r="A84" s="2" t="s">
        <v>268</v>
      </c>
      <c r="B84" s="2" t="s">
        <v>269</v>
      </c>
      <c r="C84" s="2" t="s">
        <v>122</v>
      </c>
      <c r="D84" s="2" t="s">
        <v>49</v>
      </c>
      <c r="E84" s="2" t="s">
        <v>52</v>
      </c>
      <c r="F84" s="2" t="s">
        <v>8</v>
      </c>
      <c r="G84" s="2"/>
      <c r="H84" s="2" t="s">
        <v>64</v>
      </c>
      <c r="I84" s="2" t="s">
        <v>53</v>
      </c>
      <c r="J84" s="2" t="s">
        <v>53</v>
      </c>
      <c r="K84" s="2" t="s">
        <v>53</v>
      </c>
      <c r="L84" s="3">
        <f>Calc!B84</f>
        <v>67</v>
      </c>
      <c r="M84" s="3">
        <f>Calc!C84</f>
        <v>33</v>
      </c>
      <c r="N84" s="3">
        <f>Verification!F84</f>
        <v>0</v>
      </c>
      <c r="O84" s="3">
        <f>Calc!E84</f>
        <v>100</v>
      </c>
      <c r="P84" s="3">
        <f>Calc!F84</f>
        <v>100</v>
      </c>
      <c r="Q84" s="3">
        <f>Calc!G84</f>
        <v>100</v>
      </c>
      <c r="R84" s="3">
        <f>Calc!H84</f>
        <v>50</v>
      </c>
      <c r="S84" s="3">
        <f t="shared" si="4"/>
        <v>64.285714285714292</v>
      </c>
      <c r="T84" s="2" t="e">
        <f t="shared" ca="1" si="5"/>
        <v>#NAME?</v>
      </c>
      <c r="U84" s="2">
        <f>Coverage!I84</f>
        <v>7</v>
      </c>
      <c r="V84" s="4">
        <f>Coverage!J84</f>
        <v>1</v>
      </c>
      <c r="W84" s="3">
        <f>IFERROR(SUMPRODUCT(L84:R84,Coverage!B84:H84)/U84,0)</f>
        <v>64.285714285714292</v>
      </c>
      <c r="X84" s="2" t="s">
        <v>60</v>
      </c>
    </row>
    <row r="85" spans="1:24" ht="75" x14ac:dyDescent="0.25">
      <c r="A85" s="2" t="s">
        <v>270</v>
      </c>
      <c r="B85" s="2" t="s">
        <v>271</v>
      </c>
      <c r="C85" s="2" t="s">
        <v>63</v>
      </c>
      <c r="D85" s="2" t="s">
        <v>53</v>
      </c>
      <c r="E85" s="2" t="s">
        <v>50</v>
      </c>
      <c r="F85" s="2" t="s">
        <v>114</v>
      </c>
      <c r="G85" s="2"/>
      <c r="H85" s="2" t="s">
        <v>8</v>
      </c>
      <c r="I85" s="2" t="s">
        <v>52</v>
      </c>
      <c r="J85" s="2" t="s">
        <v>52</v>
      </c>
      <c r="K85" s="2" t="s">
        <v>52</v>
      </c>
      <c r="L85" s="3">
        <f>Calc!B85</f>
        <v>100</v>
      </c>
      <c r="M85" s="3">
        <f>Calc!C85</f>
        <v>0</v>
      </c>
      <c r="N85" s="3">
        <f>Verification!F85</f>
        <v>0</v>
      </c>
      <c r="O85" s="3">
        <f>Calc!E85</f>
        <v>33</v>
      </c>
      <c r="P85" s="3">
        <f>Calc!F85</f>
        <v>33</v>
      </c>
      <c r="Q85" s="3">
        <f>Calc!G85</f>
        <v>33</v>
      </c>
      <c r="R85" s="3">
        <f>Calc!H85</f>
        <v>0</v>
      </c>
      <c r="S85" s="3">
        <f t="shared" si="4"/>
        <v>28.428571428571427</v>
      </c>
      <c r="T85" s="2" t="e">
        <f t="shared" ca="1" si="5"/>
        <v>#NAME?</v>
      </c>
      <c r="U85" s="2">
        <f>Coverage!I85</f>
        <v>6</v>
      </c>
      <c r="V85" s="4">
        <f>Coverage!J85</f>
        <v>0.8571428571428571</v>
      </c>
      <c r="W85" s="3">
        <f>IFERROR(SUMPRODUCT(L85:R85,Coverage!B85:H85)/U85,0)</f>
        <v>33.166666666666664</v>
      </c>
      <c r="X85" s="2" t="s">
        <v>188</v>
      </c>
    </row>
    <row r="86" spans="1:24" ht="30" x14ac:dyDescent="0.25">
      <c r="A86" s="2" t="s">
        <v>272</v>
      </c>
      <c r="B86" s="2" t="s">
        <v>273</v>
      </c>
      <c r="C86" s="2" t="s">
        <v>274</v>
      </c>
      <c r="D86" s="2" t="s">
        <v>53</v>
      </c>
      <c r="E86" s="2" t="s">
        <v>53</v>
      </c>
      <c r="F86" s="2" t="s">
        <v>51</v>
      </c>
      <c r="G86" s="2"/>
      <c r="H86" s="2" t="s">
        <v>58</v>
      </c>
      <c r="I86" s="2" t="s">
        <v>53</v>
      </c>
      <c r="J86" s="2" t="s">
        <v>53</v>
      </c>
      <c r="K86" s="2" t="s">
        <v>53</v>
      </c>
      <c r="L86" s="3">
        <f>Calc!B86</f>
        <v>100</v>
      </c>
      <c r="M86" s="3">
        <f>Calc!C86</f>
        <v>100</v>
      </c>
      <c r="N86" s="3">
        <f>Verification!F86</f>
        <v>100</v>
      </c>
      <c r="O86" s="3">
        <f>Calc!E86</f>
        <v>100</v>
      </c>
      <c r="P86" s="3">
        <f>Calc!F86</f>
        <v>100</v>
      </c>
      <c r="Q86" s="3">
        <f>Calc!G86</f>
        <v>100</v>
      </c>
      <c r="R86" s="3">
        <f>Calc!H86</f>
        <v>100</v>
      </c>
      <c r="S86" s="3">
        <f t="shared" si="4"/>
        <v>100</v>
      </c>
      <c r="T86" s="2" t="e">
        <f t="shared" ca="1" si="5"/>
        <v>#NAME?</v>
      </c>
      <c r="U86" s="2">
        <f>Coverage!I86</f>
        <v>7</v>
      </c>
      <c r="V86" s="4">
        <f>Coverage!J86</f>
        <v>1</v>
      </c>
      <c r="W86" s="3">
        <f>IFERROR(SUMPRODUCT(L86:R86,Coverage!B86:H86)/U86,0)</f>
        <v>100</v>
      </c>
      <c r="X86" s="2" t="s">
        <v>60</v>
      </c>
    </row>
    <row r="87" spans="1:24" ht="60" x14ac:dyDescent="0.25">
      <c r="A87" s="2" t="s">
        <v>275</v>
      </c>
      <c r="B87" s="2" t="s">
        <v>276</v>
      </c>
      <c r="C87" s="2" t="s">
        <v>73</v>
      </c>
      <c r="D87" s="2" t="s">
        <v>52</v>
      </c>
      <c r="E87" s="2" t="s">
        <v>50</v>
      </c>
      <c r="F87" s="2" t="s">
        <v>51</v>
      </c>
      <c r="G87" s="2"/>
      <c r="H87" s="2" t="s">
        <v>8</v>
      </c>
      <c r="I87" s="2" t="s">
        <v>50</v>
      </c>
      <c r="J87" s="2" t="s">
        <v>52</v>
      </c>
      <c r="K87" s="2" t="s">
        <v>74</v>
      </c>
      <c r="L87" s="3">
        <f>Calc!B87</f>
        <v>33</v>
      </c>
      <c r="M87" s="3">
        <f>Calc!C87</f>
        <v>0</v>
      </c>
      <c r="N87" s="3">
        <f>Verification!F87</f>
        <v>100</v>
      </c>
      <c r="O87" s="3">
        <f>Calc!E87</f>
        <v>0</v>
      </c>
      <c r="P87" s="3">
        <f>Calc!F87</f>
        <v>33</v>
      </c>
      <c r="Q87" s="3">
        <f>Calc!G87</f>
        <v>0</v>
      </c>
      <c r="R87" s="3">
        <f>Calc!H87</f>
        <v>0</v>
      </c>
      <c r="S87" s="3">
        <f t="shared" si="4"/>
        <v>23.714285714285715</v>
      </c>
      <c r="T87" s="2" t="e">
        <f t="shared" ca="1" si="5"/>
        <v>#NAME?</v>
      </c>
      <c r="U87" s="2">
        <f>Coverage!I87</f>
        <v>4</v>
      </c>
      <c r="V87" s="4">
        <f>Coverage!J87</f>
        <v>0.5714285714285714</v>
      </c>
      <c r="W87" s="3">
        <f>IFERROR(SUMPRODUCT(L87:R87,Coverage!B87:H87)/U87,0)</f>
        <v>41.5</v>
      </c>
      <c r="X87" s="2" t="s">
        <v>277</v>
      </c>
    </row>
    <row r="88" spans="1:24" ht="45" x14ac:dyDescent="0.25">
      <c r="A88" s="2" t="s">
        <v>278</v>
      </c>
      <c r="B88" s="2" t="s">
        <v>279</v>
      </c>
      <c r="C88" s="2" t="s">
        <v>280</v>
      </c>
      <c r="D88" s="2" t="s">
        <v>53</v>
      </c>
      <c r="E88" s="2" t="s">
        <v>50</v>
      </c>
      <c r="F88" s="2" t="s">
        <v>51</v>
      </c>
      <c r="G88" s="2"/>
      <c r="H88" s="2" t="s">
        <v>58</v>
      </c>
      <c r="I88" s="2" t="s">
        <v>59</v>
      </c>
      <c r="J88" s="2" t="s">
        <v>53</v>
      </c>
      <c r="K88" s="2" t="s">
        <v>74</v>
      </c>
      <c r="L88" s="3">
        <f>Calc!B88</f>
        <v>100</v>
      </c>
      <c r="M88" s="3">
        <f>Calc!C88</f>
        <v>0</v>
      </c>
      <c r="N88" s="3">
        <f>Verification!F88</f>
        <v>100</v>
      </c>
      <c r="O88" s="3">
        <f>Calc!E88</f>
        <v>0</v>
      </c>
      <c r="P88" s="3">
        <f>Calc!F88</f>
        <v>100</v>
      </c>
      <c r="Q88" s="3">
        <f>Calc!G88</f>
        <v>0</v>
      </c>
      <c r="R88" s="3">
        <f>Calc!H88</f>
        <v>100</v>
      </c>
      <c r="S88" s="3">
        <f t="shared" si="4"/>
        <v>57.142857142857146</v>
      </c>
      <c r="T88" s="2" t="e">
        <f t="shared" ca="1" si="5"/>
        <v>#NAME?</v>
      </c>
      <c r="U88" s="2">
        <f>Coverage!I88</f>
        <v>5</v>
      </c>
      <c r="V88" s="4">
        <f>Coverage!J88</f>
        <v>0.7142857142857143</v>
      </c>
      <c r="W88" s="3">
        <f>IFERROR(SUMPRODUCT(L88:R88,Coverage!B88:H88)/U88,0)</f>
        <v>80</v>
      </c>
      <c r="X88" s="2" t="s">
        <v>75</v>
      </c>
    </row>
    <row r="89" spans="1:24" ht="30" x14ac:dyDescent="0.25">
      <c r="A89" s="2" t="s">
        <v>281</v>
      </c>
      <c r="B89" s="2" t="s">
        <v>265</v>
      </c>
      <c r="C89" s="2" t="s">
        <v>56</v>
      </c>
      <c r="D89" s="2" t="s">
        <v>53</v>
      </c>
      <c r="E89" s="2" t="s">
        <v>53</v>
      </c>
      <c r="F89" s="2" t="s">
        <v>57</v>
      </c>
      <c r="G89" s="2"/>
      <c r="H89" s="2" t="s">
        <v>58</v>
      </c>
      <c r="I89" s="2" t="s">
        <v>53</v>
      </c>
      <c r="J89" s="2" t="s">
        <v>49</v>
      </c>
      <c r="K89" s="2" t="s">
        <v>53</v>
      </c>
      <c r="L89" s="3">
        <f>Calc!B89</f>
        <v>100</v>
      </c>
      <c r="M89" s="3">
        <f>Calc!C89</f>
        <v>100</v>
      </c>
      <c r="N89" s="3">
        <f>Verification!F89</f>
        <v>100</v>
      </c>
      <c r="O89" s="3">
        <f>Calc!E89</f>
        <v>100</v>
      </c>
      <c r="P89" s="3">
        <f>Calc!F89</f>
        <v>67</v>
      </c>
      <c r="Q89" s="3">
        <f>Calc!G89</f>
        <v>100</v>
      </c>
      <c r="R89" s="3">
        <f>Calc!H89</f>
        <v>100</v>
      </c>
      <c r="S89" s="3">
        <f t="shared" si="4"/>
        <v>95.285714285714292</v>
      </c>
      <c r="T89" s="2" t="e">
        <f t="shared" ca="1" si="5"/>
        <v>#NAME?</v>
      </c>
      <c r="U89" s="2">
        <f>Coverage!I89</f>
        <v>7</v>
      </c>
      <c r="V89" s="4">
        <f>Coverage!J89</f>
        <v>1</v>
      </c>
      <c r="W89" s="3">
        <f>IFERROR(SUMPRODUCT(L89:R89,Coverage!B89:H89)/U89,0)</f>
        <v>95.285714285714292</v>
      </c>
      <c r="X89" s="2" t="s">
        <v>60</v>
      </c>
    </row>
    <row r="90" spans="1:24" ht="30" x14ac:dyDescent="0.25">
      <c r="A90" s="2" t="s">
        <v>282</v>
      </c>
      <c r="B90" s="2" t="s">
        <v>47</v>
      </c>
      <c r="C90" s="2" t="s">
        <v>283</v>
      </c>
      <c r="D90" s="2" t="s">
        <v>53</v>
      </c>
      <c r="E90" s="2" t="s">
        <v>50</v>
      </c>
      <c r="F90" s="2" t="s">
        <v>51</v>
      </c>
      <c r="G90" s="2"/>
      <c r="H90" s="2" t="s">
        <v>64</v>
      </c>
      <c r="I90" s="2" t="s">
        <v>49</v>
      </c>
      <c r="J90" s="2" t="s">
        <v>53</v>
      </c>
      <c r="K90" s="2" t="s">
        <v>53</v>
      </c>
      <c r="L90" s="3">
        <f>Calc!B90</f>
        <v>100</v>
      </c>
      <c r="M90" s="3">
        <f>Calc!C90</f>
        <v>0</v>
      </c>
      <c r="N90" s="3">
        <f>Verification!F90</f>
        <v>100</v>
      </c>
      <c r="O90" s="3">
        <f>Calc!E90</f>
        <v>67</v>
      </c>
      <c r="P90" s="3">
        <f>Calc!F90</f>
        <v>100</v>
      </c>
      <c r="Q90" s="3">
        <f>Calc!G90</f>
        <v>100</v>
      </c>
      <c r="R90" s="3">
        <f>Calc!H90</f>
        <v>50</v>
      </c>
      <c r="S90" s="3">
        <f t="shared" si="4"/>
        <v>73.857142857142861</v>
      </c>
      <c r="T90" s="2" t="e">
        <f t="shared" ca="1" si="5"/>
        <v>#NAME?</v>
      </c>
      <c r="U90" s="2">
        <f>Coverage!I90</f>
        <v>6</v>
      </c>
      <c r="V90" s="4">
        <f>Coverage!J90</f>
        <v>0.8571428571428571</v>
      </c>
      <c r="W90" s="3">
        <f>IFERROR(SUMPRODUCT(L90:R90,Coverage!B90:H90)/U90,0)</f>
        <v>86.166666666666671</v>
      </c>
      <c r="X90" s="2" t="s">
        <v>54</v>
      </c>
    </row>
    <row r="91" spans="1:24" ht="30" x14ac:dyDescent="0.25">
      <c r="A91" s="2" t="s">
        <v>284</v>
      </c>
      <c r="B91" s="2" t="s">
        <v>285</v>
      </c>
      <c r="C91" s="2" t="s">
        <v>187</v>
      </c>
      <c r="D91" s="2" t="s">
        <v>52</v>
      </c>
      <c r="E91" s="2" t="s">
        <v>50</v>
      </c>
      <c r="F91" s="2" t="s">
        <v>8</v>
      </c>
      <c r="G91" s="2"/>
      <c r="H91" s="2" t="s">
        <v>8</v>
      </c>
      <c r="I91" s="2" t="s">
        <v>53</v>
      </c>
      <c r="J91" s="2" t="s">
        <v>49</v>
      </c>
      <c r="K91" s="2" t="s">
        <v>53</v>
      </c>
      <c r="L91" s="3">
        <f>Calc!B91</f>
        <v>33</v>
      </c>
      <c r="M91" s="3">
        <f>Calc!C91</f>
        <v>0</v>
      </c>
      <c r="N91" s="3">
        <f>Verification!F91</f>
        <v>0</v>
      </c>
      <c r="O91" s="3">
        <f>Calc!E91</f>
        <v>100</v>
      </c>
      <c r="P91" s="3">
        <f>Calc!F91</f>
        <v>67</v>
      </c>
      <c r="Q91" s="3">
        <f>Calc!G91</f>
        <v>100</v>
      </c>
      <c r="R91" s="3">
        <f>Calc!H91</f>
        <v>0</v>
      </c>
      <c r="S91" s="3">
        <f t="shared" si="4"/>
        <v>42.857142857142854</v>
      </c>
      <c r="T91" s="2" t="e">
        <f t="shared" ca="1" si="5"/>
        <v>#NAME?</v>
      </c>
      <c r="U91" s="2">
        <f>Coverage!I91</f>
        <v>6</v>
      </c>
      <c r="V91" s="4">
        <f>Coverage!J91</f>
        <v>0.8571428571428571</v>
      </c>
      <c r="W91" s="3">
        <f>IFERROR(SUMPRODUCT(L91:R91,Coverage!B91:H91)/U91,0)</f>
        <v>50</v>
      </c>
      <c r="X91" s="2" t="s">
        <v>54</v>
      </c>
    </row>
    <row r="92" spans="1:24" ht="30" x14ac:dyDescent="0.25">
      <c r="A92" s="2" t="s">
        <v>286</v>
      </c>
      <c r="B92" s="2" t="s">
        <v>287</v>
      </c>
      <c r="C92" s="2" t="s">
        <v>288</v>
      </c>
      <c r="D92" s="2" t="s">
        <v>53</v>
      </c>
      <c r="E92" s="2" t="s">
        <v>53</v>
      </c>
      <c r="F92" s="2" t="s">
        <v>114</v>
      </c>
      <c r="G92" s="2"/>
      <c r="H92" s="2" t="s">
        <v>58</v>
      </c>
      <c r="I92" s="2" t="s">
        <v>52</v>
      </c>
      <c r="J92" s="2" t="s">
        <v>53</v>
      </c>
      <c r="K92" s="2" t="s">
        <v>53</v>
      </c>
      <c r="L92" s="3">
        <f>Calc!B92</f>
        <v>100</v>
      </c>
      <c r="M92" s="3">
        <f>Calc!C92</f>
        <v>100</v>
      </c>
      <c r="N92" s="3">
        <f>Verification!F92</f>
        <v>0</v>
      </c>
      <c r="O92" s="3">
        <f>Calc!E92</f>
        <v>33</v>
      </c>
      <c r="P92" s="3">
        <f>Calc!F92</f>
        <v>100</v>
      </c>
      <c r="Q92" s="3">
        <f>Calc!G92</f>
        <v>100</v>
      </c>
      <c r="R92" s="3">
        <f>Calc!H92</f>
        <v>100</v>
      </c>
      <c r="S92" s="3">
        <f t="shared" si="4"/>
        <v>76.142857142857139</v>
      </c>
      <c r="T92" s="2" t="e">
        <f t="shared" ca="1" si="5"/>
        <v>#NAME?</v>
      </c>
      <c r="U92" s="2">
        <f>Coverage!I92</f>
        <v>7</v>
      </c>
      <c r="V92" s="4">
        <f>Coverage!J92</f>
        <v>1</v>
      </c>
      <c r="W92" s="3">
        <f>IFERROR(SUMPRODUCT(L92:R92,Coverage!B92:H92)/U92,0)</f>
        <v>76.142857142857139</v>
      </c>
      <c r="X92" s="2" t="s">
        <v>116</v>
      </c>
    </row>
    <row r="93" spans="1:24" ht="30" x14ac:dyDescent="0.25">
      <c r="A93" s="2" t="s">
        <v>289</v>
      </c>
      <c r="B93" s="2" t="s">
        <v>290</v>
      </c>
      <c r="C93" s="2" t="s">
        <v>291</v>
      </c>
      <c r="D93" s="2" t="s">
        <v>49</v>
      </c>
      <c r="E93" s="2" t="s">
        <v>53</v>
      </c>
      <c r="F93" s="2" t="s">
        <v>114</v>
      </c>
      <c r="G93" s="2" t="s">
        <v>292</v>
      </c>
      <c r="H93" s="2" t="s">
        <v>64</v>
      </c>
      <c r="I93" s="2" t="s">
        <v>59</v>
      </c>
      <c r="J93" s="2" t="s">
        <v>59</v>
      </c>
      <c r="K93" s="2" t="s">
        <v>49</v>
      </c>
      <c r="L93" s="3">
        <f>Calc!B93</f>
        <v>67</v>
      </c>
      <c r="M93" s="3">
        <f>Calc!C93</f>
        <v>100</v>
      </c>
      <c r="N93" s="3">
        <f>Verification!F93</f>
        <v>100</v>
      </c>
      <c r="O93" s="3">
        <f>Calc!E93</f>
        <v>0</v>
      </c>
      <c r="P93" s="3">
        <f>Calc!F93</f>
        <v>0</v>
      </c>
      <c r="Q93" s="3">
        <f>Calc!G93</f>
        <v>67</v>
      </c>
      <c r="R93" s="3">
        <f>Calc!H93</f>
        <v>50</v>
      </c>
      <c r="S93" s="3">
        <f t="shared" si="4"/>
        <v>54.857142857142854</v>
      </c>
      <c r="T93" s="2" t="e">
        <f t="shared" ca="1" si="5"/>
        <v>#NAME?</v>
      </c>
      <c r="U93" s="2">
        <f>Coverage!I93</f>
        <v>7</v>
      </c>
      <c r="V93" s="4">
        <f>Coverage!J93</f>
        <v>1</v>
      </c>
      <c r="W93" s="3">
        <f>IFERROR(SUMPRODUCT(L93:R93,Coverage!B93:H93)/U93,0)</f>
        <v>54.857142857142854</v>
      </c>
      <c r="X93" s="2" t="s">
        <v>116</v>
      </c>
    </row>
    <row r="94" spans="1:24" ht="30" x14ac:dyDescent="0.25">
      <c r="A94" s="2" t="s">
        <v>293</v>
      </c>
      <c r="B94" s="2" t="s">
        <v>294</v>
      </c>
      <c r="C94" s="2" t="s">
        <v>187</v>
      </c>
      <c r="D94" s="2" t="s">
        <v>53</v>
      </c>
      <c r="E94" s="2" t="s">
        <v>50</v>
      </c>
      <c r="F94" s="2" t="s">
        <v>51</v>
      </c>
      <c r="G94" s="2"/>
      <c r="H94" s="2" t="s">
        <v>64</v>
      </c>
      <c r="I94" s="2" t="s">
        <v>53</v>
      </c>
      <c r="J94" s="2" t="s">
        <v>53</v>
      </c>
      <c r="K94" s="2" t="s">
        <v>53</v>
      </c>
      <c r="L94" s="3">
        <f>Calc!B94</f>
        <v>100</v>
      </c>
      <c r="M94" s="3">
        <f>Calc!C94</f>
        <v>0</v>
      </c>
      <c r="N94" s="3">
        <f>Verification!F94</f>
        <v>100</v>
      </c>
      <c r="O94" s="3">
        <f>Calc!E94</f>
        <v>100</v>
      </c>
      <c r="P94" s="3">
        <f>Calc!F94</f>
        <v>100</v>
      </c>
      <c r="Q94" s="3">
        <f>Calc!G94</f>
        <v>100</v>
      </c>
      <c r="R94" s="3">
        <f>Calc!H94</f>
        <v>50</v>
      </c>
      <c r="S94" s="3">
        <f t="shared" si="4"/>
        <v>78.571428571428569</v>
      </c>
      <c r="T94" s="2" t="e">
        <f t="shared" ca="1" si="5"/>
        <v>#NAME?</v>
      </c>
      <c r="U94" s="2">
        <f>Coverage!I94</f>
        <v>6</v>
      </c>
      <c r="V94" s="4">
        <f>Coverage!J94</f>
        <v>0.8571428571428571</v>
      </c>
      <c r="W94" s="3">
        <f>IFERROR(SUMPRODUCT(L94:R94,Coverage!B94:H94)/U94,0)</f>
        <v>91.666666666666671</v>
      </c>
      <c r="X94" s="2" t="s">
        <v>54</v>
      </c>
    </row>
    <row r="95" spans="1:24" ht="30" x14ac:dyDescent="0.25">
      <c r="A95" s="2" t="s">
        <v>295</v>
      </c>
      <c r="B95" s="2" t="s">
        <v>296</v>
      </c>
      <c r="C95" s="2" t="s">
        <v>297</v>
      </c>
      <c r="D95" s="2" t="s">
        <v>52</v>
      </c>
      <c r="E95" s="2" t="s">
        <v>59</v>
      </c>
      <c r="F95" s="2" t="s">
        <v>8</v>
      </c>
      <c r="G95" s="2"/>
      <c r="H95" s="2" t="s">
        <v>8</v>
      </c>
      <c r="I95" s="2" t="s">
        <v>59</v>
      </c>
      <c r="J95" s="2" t="s">
        <v>52</v>
      </c>
      <c r="K95" s="2" t="s">
        <v>53</v>
      </c>
      <c r="L95" s="3">
        <f>Calc!B95</f>
        <v>33</v>
      </c>
      <c r="M95" s="3">
        <f>Calc!C95</f>
        <v>0</v>
      </c>
      <c r="N95" s="3">
        <f>Verification!F95</f>
        <v>0</v>
      </c>
      <c r="O95" s="3">
        <f>Calc!E95</f>
        <v>0</v>
      </c>
      <c r="P95" s="3">
        <f>Calc!F95</f>
        <v>33</v>
      </c>
      <c r="Q95" s="3">
        <f>Calc!G95</f>
        <v>100</v>
      </c>
      <c r="R95" s="3">
        <f>Calc!H95</f>
        <v>0</v>
      </c>
      <c r="S95" s="3">
        <f t="shared" si="4"/>
        <v>23.714285714285715</v>
      </c>
      <c r="T95" s="2" t="e">
        <f t="shared" ca="1" si="5"/>
        <v>#NAME?</v>
      </c>
      <c r="U95" s="2">
        <f>Coverage!I95</f>
        <v>7</v>
      </c>
      <c r="V95" s="4">
        <f>Coverage!J95</f>
        <v>1</v>
      </c>
      <c r="W95" s="3">
        <f>IFERROR(SUMPRODUCT(L95:R95,Coverage!B95:H95)/U95,0)</f>
        <v>23.714285714285715</v>
      </c>
      <c r="X95" s="2" t="s">
        <v>60</v>
      </c>
    </row>
    <row r="96" spans="1:24" ht="45" x14ac:dyDescent="0.25">
      <c r="A96" s="2" t="s">
        <v>298</v>
      </c>
      <c r="B96" s="2" t="s">
        <v>299</v>
      </c>
      <c r="C96" s="2" t="s">
        <v>300</v>
      </c>
      <c r="D96" s="2" t="s">
        <v>53</v>
      </c>
      <c r="E96" s="2" t="s">
        <v>50</v>
      </c>
      <c r="F96" s="2" t="s">
        <v>51</v>
      </c>
      <c r="G96" s="2"/>
      <c r="H96" s="2" t="s">
        <v>64</v>
      </c>
      <c r="I96" s="2" t="s">
        <v>49</v>
      </c>
      <c r="J96" s="2" t="s">
        <v>49</v>
      </c>
      <c r="K96" s="2" t="s">
        <v>50</v>
      </c>
      <c r="L96" s="3">
        <f>Calc!B96</f>
        <v>100</v>
      </c>
      <c r="M96" s="3">
        <f>Calc!C96</f>
        <v>0</v>
      </c>
      <c r="N96" s="3">
        <f>Verification!F96</f>
        <v>100</v>
      </c>
      <c r="O96" s="3">
        <f>Calc!E96</f>
        <v>67</v>
      </c>
      <c r="P96" s="3">
        <f>Calc!F96</f>
        <v>67</v>
      </c>
      <c r="Q96" s="3">
        <f>Calc!G96</f>
        <v>0</v>
      </c>
      <c r="R96" s="3">
        <f>Calc!H96</f>
        <v>50</v>
      </c>
      <c r="S96" s="3">
        <f t="shared" si="4"/>
        <v>54.857142857142854</v>
      </c>
      <c r="T96" s="2" t="e">
        <f t="shared" ca="1" si="5"/>
        <v>#NAME?</v>
      </c>
      <c r="U96" s="2">
        <f>Coverage!I96</f>
        <v>5</v>
      </c>
      <c r="V96" s="4">
        <f>Coverage!J96</f>
        <v>0.7142857142857143</v>
      </c>
      <c r="W96" s="3">
        <f>IFERROR(SUMPRODUCT(L96:R96,Coverage!B96:H96)/U96,0)</f>
        <v>76.8</v>
      </c>
      <c r="X96" s="2" t="s">
        <v>75</v>
      </c>
    </row>
    <row r="97" spans="1:24" ht="45" x14ac:dyDescent="0.25">
      <c r="A97" s="2" t="s">
        <v>301</v>
      </c>
      <c r="B97" s="2" t="s">
        <v>302</v>
      </c>
      <c r="C97" s="2" t="s">
        <v>303</v>
      </c>
      <c r="D97" s="2" t="s">
        <v>52</v>
      </c>
      <c r="E97" s="2" t="s">
        <v>59</v>
      </c>
      <c r="F97" s="2" t="s">
        <v>8</v>
      </c>
      <c r="G97" s="2"/>
      <c r="H97" s="2" t="s">
        <v>8</v>
      </c>
      <c r="I97" s="2" t="s">
        <v>50</v>
      </c>
      <c r="J97" s="2" t="s">
        <v>52</v>
      </c>
      <c r="K97" s="2" t="s">
        <v>53</v>
      </c>
      <c r="L97" s="3">
        <f>Calc!B97</f>
        <v>33</v>
      </c>
      <c r="M97" s="3">
        <f>Calc!C97</f>
        <v>0</v>
      </c>
      <c r="N97" s="3">
        <f>Verification!F97</f>
        <v>0</v>
      </c>
      <c r="O97" s="3">
        <f>Calc!E97</f>
        <v>0</v>
      </c>
      <c r="P97" s="3">
        <f>Calc!F97</f>
        <v>33</v>
      </c>
      <c r="Q97" s="3">
        <f>Calc!G97</f>
        <v>100</v>
      </c>
      <c r="R97" s="3">
        <f>Calc!H97</f>
        <v>0</v>
      </c>
      <c r="S97" s="3">
        <f t="shared" si="4"/>
        <v>23.714285714285715</v>
      </c>
      <c r="T97" s="2" t="e">
        <f t="shared" ca="1" si="5"/>
        <v>#NAME?</v>
      </c>
      <c r="U97" s="2">
        <f>Coverage!I97</f>
        <v>6</v>
      </c>
      <c r="V97" s="4">
        <f>Coverage!J97</f>
        <v>0.8571428571428571</v>
      </c>
      <c r="W97" s="3">
        <f>IFERROR(SUMPRODUCT(L97:R97,Coverage!B97:H97)/U97,0)</f>
        <v>27.666666666666668</v>
      </c>
      <c r="X97" s="2" t="s">
        <v>200</v>
      </c>
    </row>
    <row r="98" spans="1:24" ht="45" x14ac:dyDescent="0.25">
      <c r="A98" s="2" t="s">
        <v>304</v>
      </c>
      <c r="B98" s="2" t="s">
        <v>304</v>
      </c>
      <c r="C98" s="2" t="s">
        <v>136</v>
      </c>
      <c r="D98" s="2" t="s">
        <v>49</v>
      </c>
      <c r="E98" s="2" t="s">
        <v>53</v>
      </c>
      <c r="F98" s="2" t="s">
        <v>51</v>
      </c>
      <c r="G98" s="2"/>
      <c r="H98" s="2" t="s">
        <v>64</v>
      </c>
      <c r="I98" s="2" t="s">
        <v>50</v>
      </c>
      <c r="J98" s="2" t="s">
        <v>50</v>
      </c>
      <c r="K98" s="2" t="s">
        <v>53</v>
      </c>
      <c r="L98" s="3">
        <f>Calc!B98</f>
        <v>67</v>
      </c>
      <c r="M98" s="3">
        <f>Calc!C98</f>
        <v>100</v>
      </c>
      <c r="N98" s="3">
        <f>Verification!F98</f>
        <v>100</v>
      </c>
      <c r="O98" s="3">
        <f>Calc!E98</f>
        <v>0</v>
      </c>
      <c r="P98" s="3">
        <f>Calc!F98</f>
        <v>0</v>
      </c>
      <c r="Q98" s="3">
        <f>Calc!G98</f>
        <v>100</v>
      </c>
      <c r="R98" s="3">
        <f>Calc!H98</f>
        <v>50</v>
      </c>
      <c r="S98" s="3">
        <f t="shared" ref="S98:S129" si="6">AVERAGE(L98:R98)</f>
        <v>59.571428571428569</v>
      </c>
      <c r="T98" s="2" t="e">
        <f t="shared" ref="T98:T129" ca="1" si="7">_xludf.RANK.EQ(S98,$S$2:$S$113,0)</f>
        <v>#NAME?</v>
      </c>
      <c r="U98" s="2">
        <f>Coverage!I98</f>
        <v>5</v>
      </c>
      <c r="V98" s="4">
        <f>Coverage!J98</f>
        <v>0.7142857142857143</v>
      </c>
      <c r="W98" s="3">
        <f>IFERROR(SUMPRODUCT(L98:R98,Coverage!B98:H98)/U98,0)</f>
        <v>83.4</v>
      </c>
      <c r="X98" s="2" t="s">
        <v>108</v>
      </c>
    </row>
    <row r="99" spans="1:24" ht="30" x14ac:dyDescent="0.25">
      <c r="A99" s="2" t="s">
        <v>305</v>
      </c>
      <c r="B99" s="2" t="s">
        <v>306</v>
      </c>
      <c r="C99" s="2" t="s">
        <v>207</v>
      </c>
      <c r="D99" s="2" t="s">
        <v>53</v>
      </c>
      <c r="E99" s="2" t="s">
        <v>53</v>
      </c>
      <c r="F99" s="2" t="s">
        <v>51</v>
      </c>
      <c r="G99" s="2"/>
      <c r="H99" s="2" t="s">
        <v>58</v>
      </c>
      <c r="I99" s="2" t="s">
        <v>52</v>
      </c>
      <c r="J99" s="2" t="s">
        <v>52</v>
      </c>
      <c r="K99" s="2" t="s">
        <v>53</v>
      </c>
      <c r="L99" s="3">
        <f>Calc!B99</f>
        <v>100</v>
      </c>
      <c r="M99" s="3">
        <f>Calc!C99</f>
        <v>100</v>
      </c>
      <c r="N99" s="3">
        <f>Verification!F99</f>
        <v>100</v>
      </c>
      <c r="O99" s="3">
        <f>Calc!E99</f>
        <v>33</v>
      </c>
      <c r="P99" s="3">
        <f>Calc!F99</f>
        <v>33</v>
      </c>
      <c r="Q99" s="3">
        <f>Calc!G99</f>
        <v>100</v>
      </c>
      <c r="R99" s="3">
        <f>Calc!H99</f>
        <v>100</v>
      </c>
      <c r="S99" s="3">
        <f t="shared" si="6"/>
        <v>80.857142857142861</v>
      </c>
      <c r="T99" s="2" t="e">
        <f t="shared" ca="1" si="7"/>
        <v>#NAME?</v>
      </c>
      <c r="U99" s="2">
        <f>Coverage!I99</f>
        <v>7</v>
      </c>
      <c r="V99" s="4">
        <f>Coverage!J99</f>
        <v>1</v>
      </c>
      <c r="W99" s="3">
        <f>IFERROR(SUMPRODUCT(L99:R99,Coverage!B99:H99)/U99,0)</f>
        <v>80.857142857142861</v>
      </c>
      <c r="X99" s="2" t="s">
        <v>60</v>
      </c>
    </row>
    <row r="100" spans="1:24" ht="30" x14ac:dyDescent="0.25">
      <c r="A100" s="2" t="s">
        <v>307</v>
      </c>
      <c r="B100" s="2" t="s">
        <v>308</v>
      </c>
      <c r="C100" s="2" t="s">
        <v>309</v>
      </c>
      <c r="D100" s="2" t="s">
        <v>49</v>
      </c>
      <c r="E100" s="2" t="s">
        <v>50</v>
      </c>
      <c r="F100" s="2" t="s">
        <v>8</v>
      </c>
      <c r="G100" s="2"/>
      <c r="H100" s="2" t="s">
        <v>64</v>
      </c>
      <c r="I100" s="2" t="s">
        <v>52</v>
      </c>
      <c r="J100" s="2" t="s">
        <v>52</v>
      </c>
      <c r="K100" s="2" t="s">
        <v>49</v>
      </c>
      <c r="L100" s="3">
        <f>Calc!B100</f>
        <v>67</v>
      </c>
      <c r="M100" s="3">
        <f>Calc!C100</f>
        <v>0</v>
      </c>
      <c r="N100" s="3">
        <f>Verification!F100</f>
        <v>0</v>
      </c>
      <c r="O100" s="3">
        <f>Calc!E100</f>
        <v>33</v>
      </c>
      <c r="P100" s="3">
        <f>Calc!F100</f>
        <v>33</v>
      </c>
      <c r="Q100" s="3">
        <f>Calc!G100</f>
        <v>67</v>
      </c>
      <c r="R100" s="3">
        <f>Calc!H100</f>
        <v>50</v>
      </c>
      <c r="S100" s="3">
        <f t="shared" si="6"/>
        <v>35.714285714285715</v>
      </c>
      <c r="T100" s="2" t="e">
        <f t="shared" ca="1" si="7"/>
        <v>#NAME?</v>
      </c>
      <c r="U100" s="2">
        <f>Coverage!I100</f>
        <v>6</v>
      </c>
      <c r="V100" s="4">
        <f>Coverage!J100</f>
        <v>0.8571428571428571</v>
      </c>
      <c r="W100" s="3">
        <f>IFERROR(SUMPRODUCT(L100:R100,Coverage!B100:H100)/U100,0)</f>
        <v>41.666666666666664</v>
      </c>
      <c r="X100" s="2" t="s">
        <v>54</v>
      </c>
    </row>
    <row r="101" spans="1:24" ht="30" x14ac:dyDescent="0.25">
      <c r="A101" s="2" t="s">
        <v>310</v>
      </c>
      <c r="B101" s="2" t="s">
        <v>311</v>
      </c>
      <c r="C101" s="2" t="s">
        <v>217</v>
      </c>
      <c r="D101" s="2" t="s">
        <v>52</v>
      </c>
      <c r="E101" s="2" t="s">
        <v>59</v>
      </c>
      <c r="F101" s="2" t="s">
        <v>114</v>
      </c>
      <c r="G101" s="2" t="s">
        <v>312</v>
      </c>
      <c r="H101" s="2" t="s">
        <v>8</v>
      </c>
      <c r="I101" s="2" t="s">
        <v>49</v>
      </c>
      <c r="J101" s="2" t="s">
        <v>52</v>
      </c>
      <c r="K101" s="2" t="s">
        <v>53</v>
      </c>
      <c r="L101" s="3">
        <f>Calc!B101</f>
        <v>33</v>
      </c>
      <c r="M101" s="3">
        <f>Calc!C101</f>
        <v>0</v>
      </c>
      <c r="N101" s="3">
        <f>Verification!F101</f>
        <v>100</v>
      </c>
      <c r="O101" s="3">
        <f>Calc!E101</f>
        <v>67</v>
      </c>
      <c r="P101" s="3">
        <f>Calc!F101</f>
        <v>33</v>
      </c>
      <c r="Q101" s="3">
        <f>Calc!G101</f>
        <v>100</v>
      </c>
      <c r="R101" s="3">
        <f>Calc!H101</f>
        <v>0</v>
      </c>
      <c r="S101" s="3">
        <f t="shared" si="6"/>
        <v>47.571428571428569</v>
      </c>
      <c r="T101" s="2" t="e">
        <f t="shared" ca="1" si="7"/>
        <v>#NAME?</v>
      </c>
      <c r="U101" s="2">
        <f>Coverage!I101</f>
        <v>7</v>
      </c>
      <c r="V101" s="4">
        <f>Coverage!J101</f>
        <v>1</v>
      </c>
      <c r="W101" s="3">
        <f>IFERROR(SUMPRODUCT(L101:R101,Coverage!B101:H101)/U101,0)</f>
        <v>47.571428571428569</v>
      </c>
      <c r="X101" s="2" t="s">
        <v>116</v>
      </c>
    </row>
    <row r="102" spans="1:24" ht="30" x14ac:dyDescent="0.25">
      <c r="A102" s="2" t="s">
        <v>313</v>
      </c>
      <c r="B102" s="2" t="s">
        <v>314</v>
      </c>
      <c r="C102" s="2" t="s">
        <v>283</v>
      </c>
      <c r="D102" s="2" t="s">
        <v>53</v>
      </c>
      <c r="E102" s="2" t="s">
        <v>52</v>
      </c>
      <c r="F102" s="2" t="s">
        <v>57</v>
      </c>
      <c r="G102" s="2"/>
      <c r="H102" s="2" t="s">
        <v>58</v>
      </c>
      <c r="I102" s="2" t="s">
        <v>52</v>
      </c>
      <c r="J102" s="2" t="s">
        <v>52</v>
      </c>
      <c r="K102" s="2" t="s">
        <v>53</v>
      </c>
      <c r="L102" s="3">
        <f>Calc!B102</f>
        <v>100</v>
      </c>
      <c r="M102" s="3">
        <f>Calc!C102</f>
        <v>33</v>
      </c>
      <c r="N102" s="3">
        <f>Verification!F102</f>
        <v>100</v>
      </c>
      <c r="O102" s="3">
        <f>Calc!E102</f>
        <v>33</v>
      </c>
      <c r="P102" s="3">
        <f>Calc!F102</f>
        <v>33</v>
      </c>
      <c r="Q102" s="3">
        <f>Calc!G102</f>
        <v>100</v>
      </c>
      <c r="R102" s="3">
        <f>Calc!H102</f>
        <v>100</v>
      </c>
      <c r="S102" s="3">
        <f t="shared" si="6"/>
        <v>71.285714285714292</v>
      </c>
      <c r="T102" s="2" t="e">
        <f t="shared" ca="1" si="7"/>
        <v>#NAME?</v>
      </c>
      <c r="U102" s="2">
        <f>Coverage!I102</f>
        <v>7</v>
      </c>
      <c r="V102" s="4">
        <f>Coverage!J102</f>
        <v>1</v>
      </c>
      <c r="W102" s="3">
        <f>IFERROR(SUMPRODUCT(L102:R102,Coverage!B102:H102)/U102,0)</f>
        <v>71.285714285714292</v>
      </c>
      <c r="X102" s="2" t="s">
        <v>60</v>
      </c>
    </row>
    <row r="103" spans="1:24" ht="30" x14ac:dyDescent="0.25">
      <c r="A103" s="2" t="s">
        <v>315</v>
      </c>
      <c r="B103" s="2" t="s">
        <v>316</v>
      </c>
      <c r="C103" s="2" t="s">
        <v>317</v>
      </c>
      <c r="D103" s="2" t="s">
        <v>59</v>
      </c>
      <c r="E103" s="2" t="s">
        <v>59</v>
      </c>
      <c r="F103" s="2" t="s">
        <v>51</v>
      </c>
      <c r="G103" s="2"/>
      <c r="H103" s="2" t="s">
        <v>8</v>
      </c>
      <c r="I103" s="2" t="s">
        <v>59</v>
      </c>
      <c r="J103" s="2" t="s">
        <v>52</v>
      </c>
      <c r="K103" s="2" t="s">
        <v>53</v>
      </c>
      <c r="L103" s="3">
        <f>Calc!B103</f>
        <v>0</v>
      </c>
      <c r="M103" s="3">
        <f>Calc!C103</f>
        <v>0</v>
      </c>
      <c r="N103" s="3">
        <f>Verification!F103</f>
        <v>100</v>
      </c>
      <c r="O103" s="3">
        <f>Calc!E103</f>
        <v>0</v>
      </c>
      <c r="P103" s="3">
        <f>Calc!F103</f>
        <v>33</v>
      </c>
      <c r="Q103" s="3">
        <f>Calc!G103</f>
        <v>100</v>
      </c>
      <c r="R103" s="3">
        <f>Calc!H103</f>
        <v>0</v>
      </c>
      <c r="S103" s="3">
        <f t="shared" si="6"/>
        <v>33.285714285714285</v>
      </c>
      <c r="T103" s="2" t="e">
        <f t="shared" ca="1" si="7"/>
        <v>#NAME?</v>
      </c>
      <c r="U103" s="2">
        <f>Coverage!I103</f>
        <v>7</v>
      </c>
      <c r="V103" s="4">
        <f>Coverage!J103</f>
        <v>1</v>
      </c>
      <c r="W103" s="3">
        <f>IFERROR(SUMPRODUCT(L103:R103,Coverage!B103:H103)/U103,0)</f>
        <v>33.285714285714285</v>
      </c>
      <c r="X103" s="2" t="s">
        <v>60</v>
      </c>
    </row>
    <row r="104" spans="1:24" ht="30" x14ac:dyDescent="0.25">
      <c r="A104" s="2" t="s">
        <v>318</v>
      </c>
      <c r="B104" s="2" t="s">
        <v>319</v>
      </c>
      <c r="C104" s="2" t="s">
        <v>320</v>
      </c>
      <c r="D104" s="2" t="s">
        <v>52</v>
      </c>
      <c r="E104" s="2" t="s">
        <v>59</v>
      </c>
      <c r="F104" s="2" t="s">
        <v>8</v>
      </c>
      <c r="G104" s="2"/>
      <c r="H104" s="2" t="s">
        <v>64</v>
      </c>
      <c r="I104" s="2" t="s">
        <v>49</v>
      </c>
      <c r="J104" s="2" t="s">
        <v>53</v>
      </c>
      <c r="K104" s="2" t="s">
        <v>53</v>
      </c>
      <c r="L104" s="3">
        <f>Calc!B104</f>
        <v>33</v>
      </c>
      <c r="M104" s="3">
        <f>Calc!C104</f>
        <v>0</v>
      </c>
      <c r="N104" s="3">
        <f>Verification!F104</f>
        <v>0</v>
      </c>
      <c r="O104" s="3">
        <f>Calc!E104</f>
        <v>67</v>
      </c>
      <c r="P104" s="3">
        <f>Calc!F104</f>
        <v>100</v>
      </c>
      <c r="Q104" s="3">
        <f>Calc!G104</f>
        <v>100</v>
      </c>
      <c r="R104" s="3">
        <f>Calc!H104</f>
        <v>50</v>
      </c>
      <c r="S104" s="3">
        <f t="shared" si="6"/>
        <v>50</v>
      </c>
      <c r="T104" s="2" t="e">
        <f t="shared" ca="1" si="7"/>
        <v>#NAME?</v>
      </c>
      <c r="U104" s="2">
        <f>Coverage!I104</f>
        <v>7</v>
      </c>
      <c r="V104" s="4">
        <f>Coverage!J104</f>
        <v>1</v>
      </c>
      <c r="W104" s="3">
        <f>IFERROR(SUMPRODUCT(L104:R104,Coverage!B104:H104)/U104,0)</f>
        <v>50</v>
      </c>
      <c r="X104" s="2" t="s">
        <v>60</v>
      </c>
    </row>
    <row r="105" spans="1:24" ht="45" x14ac:dyDescent="0.25">
      <c r="A105" s="2" t="s">
        <v>321</v>
      </c>
      <c r="B105" s="2" t="s">
        <v>321</v>
      </c>
      <c r="C105" s="2" t="s">
        <v>322</v>
      </c>
      <c r="D105" s="2" t="s">
        <v>53</v>
      </c>
      <c r="E105" s="2" t="s">
        <v>53</v>
      </c>
      <c r="F105" s="2" t="s">
        <v>114</v>
      </c>
      <c r="G105" s="2" t="s">
        <v>323</v>
      </c>
      <c r="H105" s="2" t="s">
        <v>58</v>
      </c>
      <c r="I105" s="2" t="s">
        <v>49</v>
      </c>
      <c r="J105" s="2" t="s">
        <v>49</v>
      </c>
      <c r="K105" s="2" t="s">
        <v>53</v>
      </c>
      <c r="L105" s="3">
        <f>Calc!B105</f>
        <v>100</v>
      </c>
      <c r="M105" s="3">
        <f>Calc!C105</f>
        <v>100</v>
      </c>
      <c r="N105" s="3">
        <f>Verification!F105</f>
        <v>100</v>
      </c>
      <c r="O105" s="3">
        <f>Calc!E105</f>
        <v>67</v>
      </c>
      <c r="P105" s="3">
        <f>Calc!F105</f>
        <v>67</v>
      </c>
      <c r="Q105" s="3">
        <f>Calc!G105</f>
        <v>100</v>
      </c>
      <c r="R105" s="3">
        <f>Calc!H105</f>
        <v>100</v>
      </c>
      <c r="S105" s="3">
        <f t="shared" si="6"/>
        <v>90.571428571428569</v>
      </c>
      <c r="T105" s="2" t="e">
        <f t="shared" ca="1" si="7"/>
        <v>#NAME?</v>
      </c>
      <c r="U105" s="2">
        <f>Coverage!I105</f>
        <v>7</v>
      </c>
      <c r="V105" s="4">
        <f>Coverage!J105</f>
        <v>1</v>
      </c>
      <c r="W105" s="3">
        <f>IFERROR(SUMPRODUCT(L105:R105,Coverage!B105:H105)/U105,0)</f>
        <v>90.571428571428569</v>
      </c>
      <c r="X105" s="2" t="s">
        <v>116</v>
      </c>
    </row>
    <row r="106" spans="1:24" ht="30" x14ac:dyDescent="0.25">
      <c r="A106" s="2" t="s">
        <v>324</v>
      </c>
      <c r="B106" s="2" t="s">
        <v>248</v>
      </c>
      <c r="C106" s="2" t="s">
        <v>325</v>
      </c>
      <c r="D106" s="2" t="s">
        <v>53</v>
      </c>
      <c r="E106" s="2" t="s">
        <v>53</v>
      </c>
      <c r="F106" s="2" t="s">
        <v>51</v>
      </c>
      <c r="G106" s="2"/>
      <c r="H106" s="2" t="s">
        <v>64</v>
      </c>
      <c r="I106" s="2" t="s">
        <v>52</v>
      </c>
      <c r="J106" s="2" t="s">
        <v>53</v>
      </c>
      <c r="K106" s="2" t="s">
        <v>52</v>
      </c>
      <c r="L106" s="3">
        <f>Calc!B106</f>
        <v>100</v>
      </c>
      <c r="M106" s="3">
        <f>Calc!C106</f>
        <v>100</v>
      </c>
      <c r="N106" s="3">
        <f>Verification!F106</f>
        <v>100</v>
      </c>
      <c r="O106" s="3">
        <f>Calc!E106</f>
        <v>33</v>
      </c>
      <c r="P106" s="3">
        <f>Calc!F106</f>
        <v>100</v>
      </c>
      <c r="Q106" s="3">
        <f>Calc!G106</f>
        <v>33</v>
      </c>
      <c r="R106" s="3">
        <f>Calc!H106</f>
        <v>50</v>
      </c>
      <c r="S106" s="3">
        <f t="shared" si="6"/>
        <v>73.714285714285708</v>
      </c>
      <c r="T106" s="2" t="e">
        <f t="shared" ca="1" si="7"/>
        <v>#NAME?</v>
      </c>
      <c r="U106" s="2">
        <f>Coverage!I106</f>
        <v>7</v>
      </c>
      <c r="V106" s="4">
        <f>Coverage!J106</f>
        <v>1</v>
      </c>
      <c r="W106" s="3">
        <f>IFERROR(SUMPRODUCT(L106:R106,Coverage!B106:H106)/U106,0)</f>
        <v>73.714285714285708</v>
      </c>
      <c r="X106" s="2" t="s">
        <v>60</v>
      </c>
    </row>
    <row r="107" spans="1:24" ht="30" x14ac:dyDescent="0.25">
      <c r="A107" s="2" t="s">
        <v>326</v>
      </c>
      <c r="B107" s="2" t="s">
        <v>327</v>
      </c>
      <c r="C107" s="2" t="s">
        <v>328</v>
      </c>
      <c r="D107" s="2" t="s">
        <v>49</v>
      </c>
      <c r="E107" s="2" t="s">
        <v>59</v>
      </c>
      <c r="F107" s="2" t="s">
        <v>8</v>
      </c>
      <c r="G107" s="2"/>
      <c r="H107" s="2" t="s">
        <v>58</v>
      </c>
      <c r="I107" s="2" t="s">
        <v>49</v>
      </c>
      <c r="J107" s="2" t="s">
        <v>52</v>
      </c>
      <c r="K107" s="2" t="s">
        <v>52</v>
      </c>
      <c r="L107" s="3">
        <f>Calc!B107</f>
        <v>67</v>
      </c>
      <c r="M107" s="3">
        <f>Calc!C107</f>
        <v>0</v>
      </c>
      <c r="N107" s="3">
        <f>Verification!F107</f>
        <v>0</v>
      </c>
      <c r="O107" s="3">
        <f>Calc!E107</f>
        <v>67</v>
      </c>
      <c r="P107" s="3">
        <f>Calc!F107</f>
        <v>33</v>
      </c>
      <c r="Q107" s="3">
        <f>Calc!G107</f>
        <v>33</v>
      </c>
      <c r="R107" s="3">
        <f>Calc!H107</f>
        <v>100</v>
      </c>
      <c r="S107" s="3">
        <f t="shared" si="6"/>
        <v>42.857142857142854</v>
      </c>
      <c r="T107" s="2" t="e">
        <f t="shared" ca="1" si="7"/>
        <v>#NAME?</v>
      </c>
      <c r="U107" s="2">
        <f>Coverage!I107</f>
        <v>7</v>
      </c>
      <c r="V107" s="4">
        <f>Coverage!J107</f>
        <v>1</v>
      </c>
      <c r="W107" s="3">
        <f>IFERROR(SUMPRODUCT(L107:R107,Coverage!B107:H107)/U107,0)</f>
        <v>42.857142857142854</v>
      </c>
      <c r="X107" s="2" t="s">
        <v>60</v>
      </c>
    </row>
    <row r="108" spans="1:24" ht="30" x14ac:dyDescent="0.25">
      <c r="A108" s="2" t="s">
        <v>329</v>
      </c>
      <c r="B108" s="2" t="s">
        <v>184</v>
      </c>
      <c r="C108" s="2" t="s">
        <v>98</v>
      </c>
      <c r="D108" s="2" t="s">
        <v>53</v>
      </c>
      <c r="E108" s="2" t="s">
        <v>50</v>
      </c>
      <c r="F108" s="2" t="s">
        <v>51</v>
      </c>
      <c r="G108" s="2"/>
      <c r="H108" s="2" t="s">
        <v>58</v>
      </c>
      <c r="I108" s="2" t="s">
        <v>52</v>
      </c>
      <c r="J108" s="2" t="s">
        <v>49</v>
      </c>
      <c r="K108" s="2" t="s">
        <v>53</v>
      </c>
      <c r="L108" s="3">
        <f>Calc!B108</f>
        <v>100</v>
      </c>
      <c r="M108" s="3">
        <f>Calc!C108</f>
        <v>0</v>
      </c>
      <c r="N108" s="3">
        <f>Verification!F108</f>
        <v>100</v>
      </c>
      <c r="O108" s="3">
        <f>Calc!E108</f>
        <v>33</v>
      </c>
      <c r="P108" s="3">
        <f>Calc!F108</f>
        <v>67</v>
      </c>
      <c r="Q108" s="3">
        <f>Calc!G108</f>
        <v>100</v>
      </c>
      <c r="R108" s="3">
        <f>Calc!H108</f>
        <v>100</v>
      </c>
      <c r="S108" s="3">
        <f t="shared" si="6"/>
        <v>71.428571428571431</v>
      </c>
      <c r="T108" s="2" t="e">
        <f t="shared" ca="1" si="7"/>
        <v>#NAME?</v>
      </c>
      <c r="U108" s="2">
        <f>Coverage!I108</f>
        <v>6</v>
      </c>
      <c r="V108" s="4">
        <f>Coverage!J108</f>
        <v>0.8571428571428571</v>
      </c>
      <c r="W108" s="3">
        <f>IFERROR(SUMPRODUCT(L108:R108,Coverage!B108:H108)/U108,0)</f>
        <v>83.333333333333329</v>
      </c>
      <c r="X108" s="2" t="s">
        <v>54</v>
      </c>
    </row>
    <row r="109" spans="1:24" ht="30" x14ac:dyDescent="0.25">
      <c r="A109" s="2" t="s">
        <v>330</v>
      </c>
      <c r="B109" s="2" t="s">
        <v>331</v>
      </c>
      <c r="C109" s="2" t="s">
        <v>332</v>
      </c>
      <c r="D109" s="2" t="s">
        <v>53</v>
      </c>
      <c r="E109" s="2" t="s">
        <v>53</v>
      </c>
      <c r="F109" s="2" t="s">
        <v>51</v>
      </c>
      <c r="G109" s="2"/>
      <c r="H109" s="2" t="s">
        <v>58</v>
      </c>
      <c r="I109" s="2" t="s">
        <v>53</v>
      </c>
      <c r="J109" s="2" t="s">
        <v>59</v>
      </c>
      <c r="K109" s="2" t="s">
        <v>50</v>
      </c>
      <c r="L109" s="3">
        <f>Calc!B109</f>
        <v>100</v>
      </c>
      <c r="M109" s="3">
        <f>Calc!C109</f>
        <v>100</v>
      </c>
      <c r="N109" s="3">
        <f>Verification!F109</f>
        <v>100</v>
      </c>
      <c r="O109" s="3">
        <f>Calc!E109</f>
        <v>100</v>
      </c>
      <c r="P109" s="3">
        <f>Calc!F109</f>
        <v>0</v>
      </c>
      <c r="Q109" s="3">
        <f>Calc!G109</f>
        <v>0</v>
      </c>
      <c r="R109" s="3">
        <f>Calc!H109</f>
        <v>100</v>
      </c>
      <c r="S109" s="3">
        <f t="shared" si="6"/>
        <v>71.428571428571431</v>
      </c>
      <c r="T109" s="2" t="e">
        <f t="shared" ca="1" si="7"/>
        <v>#NAME?</v>
      </c>
      <c r="U109" s="2">
        <f>Coverage!I109</f>
        <v>6</v>
      </c>
      <c r="V109" s="4">
        <f>Coverage!J109</f>
        <v>0.8571428571428571</v>
      </c>
      <c r="W109" s="3">
        <f>IFERROR(SUMPRODUCT(L109:R109,Coverage!B109:H109)/U109,0)</f>
        <v>83.333333333333329</v>
      </c>
      <c r="X109" s="2" t="s">
        <v>210</v>
      </c>
    </row>
    <row r="110" spans="1:24" ht="45" x14ac:dyDescent="0.25">
      <c r="A110" s="2" t="s">
        <v>333</v>
      </c>
      <c r="B110" s="2" t="s">
        <v>165</v>
      </c>
      <c r="C110" s="2" t="s">
        <v>334</v>
      </c>
      <c r="D110" s="2" t="s">
        <v>53</v>
      </c>
      <c r="E110" s="2" t="s">
        <v>53</v>
      </c>
      <c r="F110" s="2" t="s">
        <v>51</v>
      </c>
      <c r="G110" s="2"/>
      <c r="H110" s="2" t="s">
        <v>58</v>
      </c>
      <c r="I110" s="2" t="s">
        <v>49</v>
      </c>
      <c r="J110" s="2" t="s">
        <v>52</v>
      </c>
      <c r="K110" s="2" t="s">
        <v>53</v>
      </c>
      <c r="L110" s="3">
        <f>Calc!B110</f>
        <v>100</v>
      </c>
      <c r="M110" s="3">
        <f>Calc!C110</f>
        <v>100</v>
      </c>
      <c r="N110" s="3">
        <f>Verification!F110</f>
        <v>100</v>
      </c>
      <c r="O110" s="3">
        <f>Calc!E110</f>
        <v>67</v>
      </c>
      <c r="P110" s="3">
        <f>Calc!F110</f>
        <v>33</v>
      </c>
      <c r="Q110" s="3">
        <f>Calc!G110</f>
        <v>100</v>
      </c>
      <c r="R110" s="3">
        <f>Calc!H110</f>
        <v>100</v>
      </c>
      <c r="S110" s="3">
        <f t="shared" si="6"/>
        <v>85.714285714285708</v>
      </c>
      <c r="T110" s="2" t="e">
        <f t="shared" ca="1" si="7"/>
        <v>#NAME?</v>
      </c>
      <c r="U110" s="2">
        <f>Coverage!I110</f>
        <v>7</v>
      </c>
      <c r="V110" s="4">
        <f>Coverage!J110</f>
        <v>1</v>
      </c>
      <c r="W110" s="3">
        <f>IFERROR(SUMPRODUCT(L110:R110,Coverage!B110:H110)/U110,0)</f>
        <v>85.714285714285708</v>
      </c>
      <c r="X110" s="2" t="s">
        <v>60</v>
      </c>
    </row>
    <row r="111" spans="1:24" ht="30" x14ac:dyDescent="0.25">
      <c r="A111" s="2" t="s">
        <v>335</v>
      </c>
      <c r="B111" s="2" t="s">
        <v>336</v>
      </c>
      <c r="C111" s="2" t="s">
        <v>122</v>
      </c>
      <c r="D111" s="2" t="s">
        <v>53</v>
      </c>
      <c r="E111" s="2" t="s">
        <v>53</v>
      </c>
      <c r="F111" s="2" t="s">
        <v>51</v>
      </c>
      <c r="G111" s="2"/>
      <c r="H111" s="2" t="s">
        <v>58</v>
      </c>
      <c r="I111" s="2" t="s">
        <v>53</v>
      </c>
      <c r="J111" s="2" t="s">
        <v>53</v>
      </c>
      <c r="K111" s="2" t="s">
        <v>53</v>
      </c>
      <c r="L111" s="3">
        <f>Calc!B111</f>
        <v>100</v>
      </c>
      <c r="M111" s="3">
        <f>Calc!C111</f>
        <v>100</v>
      </c>
      <c r="N111" s="3">
        <f>Verification!F111</f>
        <v>100</v>
      </c>
      <c r="O111" s="3">
        <f>Calc!E111</f>
        <v>100</v>
      </c>
      <c r="P111" s="3">
        <f>Calc!F111</f>
        <v>100</v>
      </c>
      <c r="Q111" s="3">
        <f>Calc!G111</f>
        <v>100</v>
      </c>
      <c r="R111" s="3">
        <f>Calc!H111</f>
        <v>100</v>
      </c>
      <c r="S111" s="3">
        <f t="shared" si="6"/>
        <v>100</v>
      </c>
      <c r="T111" s="2" t="e">
        <f t="shared" ca="1" si="7"/>
        <v>#NAME?</v>
      </c>
      <c r="U111" s="2">
        <f>Coverage!I111</f>
        <v>7</v>
      </c>
      <c r="V111" s="4">
        <f>Coverage!J111</f>
        <v>1</v>
      </c>
      <c r="W111" s="3">
        <f>IFERROR(SUMPRODUCT(L111:R111,Coverage!B111:H111)/U111,0)</f>
        <v>100</v>
      </c>
      <c r="X111" s="2" t="s">
        <v>60</v>
      </c>
    </row>
    <row r="112" spans="1:24" ht="45" x14ac:dyDescent="0.25">
      <c r="A112" s="2" t="s">
        <v>337</v>
      </c>
      <c r="B112" s="2" t="s">
        <v>209</v>
      </c>
      <c r="C112" s="2" t="s">
        <v>63</v>
      </c>
      <c r="D112" s="2" t="s">
        <v>52</v>
      </c>
      <c r="E112" s="2" t="s">
        <v>50</v>
      </c>
      <c r="F112" s="2" t="s">
        <v>51</v>
      </c>
      <c r="G112" s="2"/>
      <c r="H112" s="2" t="s">
        <v>64</v>
      </c>
      <c r="I112" s="2" t="s">
        <v>50</v>
      </c>
      <c r="J112" s="2" t="s">
        <v>53</v>
      </c>
      <c r="K112" s="2" t="s">
        <v>53</v>
      </c>
      <c r="L112" s="3">
        <f>Calc!B112</f>
        <v>33</v>
      </c>
      <c r="M112" s="3">
        <f>Calc!C112</f>
        <v>0</v>
      </c>
      <c r="N112" s="3">
        <f>Verification!F112</f>
        <v>100</v>
      </c>
      <c r="O112" s="3">
        <f>Calc!E112</f>
        <v>0</v>
      </c>
      <c r="P112" s="3">
        <f>Calc!F112</f>
        <v>100</v>
      </c>
      <c r="Q112" s="3">
        <f>Calc!G112</f>
        <v>100</v>
      </c>
      <c r="R112" s="3">
        <f>Calc!H112</f>
        <v>50</v>
      </c>
      <c r="S112" s="3">
        <f t="shared" si="6"/>
        <v>54.714285714285715</v>
      </c>
      <c r="T112" s="2" t="e">
        <f t="shared" ca="1" si="7"/>
        <v>#NAME?</v>
      </c>
      <c r="U112" s="2">
        <f>Coverage!I112</f>
        <v>5</v>
      </c>
      <c r="V112" s="4">
        <f>Coverage!J112</f>
        <v>0.7142857142857143</v>
      </c>
      <c r="W112" s="3">
        <f>IFERROR(SUMPRODUCT(L112:R112,Coverage!B112:H112)/U112,0)</f>
        <v>76.599999999999994</v>
      </c>
      <c r="X112" s="2" t="s">
        <v>338</v>
      </c>
    </row>
    <row r="113" spans="1:24" ht="30" x14ac:dyDescent="0.25">
      <c r="A113" s="2" t="s">
        <v>339</v>
      </c>
      <c r="B113" s="2" t="s">
        <v>248</v>
      </c>
      <c r="C113" s="2" t="s">
        <v>297</v>
      </c>
      <c r="D113" s="2" t="s">
        <v>53</v>
      </c>
      <c r="E113" s="2" t="s">
        <v>53</v>
      </c>
      <c r="F113" s="2" t="s">
        <v>51</v>
      </c>
      <c r="G113" s="2"/>
      <c r="H113" s="2" t="s">
        <v>64</v>
      </c>
      <c r="I113" s="2" t="s">
        <v>53</v>
      </c>
      <c r="J113" s="2" t="s">
        <v>53</v>
      </c>
      <c r="K113" s="2" t="s">
        <v>53</v>
      </c>
      <c r="L113" s="3">
        <f>Calc!B113</f>
        <v>100</v>
      </c>
      <c r="M113" s="3">
        <f>Calc!C113</f>
        <v>100</v>
      </c>
      <c r="N113" s="3">
        <f>Verification!F113</f>
        <v>100</v>
      </c>
      <c r="O113" s="3">
        <f>Calc!E113</f>
        <v>100</v>
      </c>
      <c r="P113" s="3">
        <f>Calc!F113</f>
        <v>100</v>
      </c>
      <c r="Q113" s="3">
        <f>Calc!G113</f>
        <v>100</v>
      </c>
      <c r="R113" s="3">
        <f>Calc!H113</f>
        <v>50</v>
      </c>
      <c r="S113" s="3">
        <f t="shared" si="6"/>
        <v>92.857142857142861</v>
      </c>
      <c r="T113" s="2" t="e">
        <f t="shared" ca="1" si="7"/>
        <v>#NAME?</v>
      </c>
      <c r="U113" s="2">
        <f>Coverage!I113</f>
        <v>7</v>
      </c>
      <c r="V113" s="4">
        <f>Coverage!J113</f>
        <v>1</v>
      </c>
      <c r="W113" s="3">
        <f>IFERROR(SUMPRODUCT(L113:R113,Coverage!B113:H113)/U113,0)</f>
        <v>92.857142857142861</v>
      </c>
      <c r="X113" s="2" t="s">
        <v>60</v>
      </c>
    </row>
  </sheetData>
  <autoFilter ref="A1:X1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pane ySplit="1" topLeftCell="A2" activePane="bottomLeft" state="frozen"/>
      <selection pane="bottomLeft"/>
    </sheetView>
  </sheetViews>
  <sheetFormatPr defaultRowHeight="15" x14ac:dyDescent="0.25"/>
  <cols>
    <col min="1" max="1" width="10" customWidth="1"/>
    <col min="2" max="2" width="38" customWidth="1"/>
    <col min="3" max="3" width="42" customWidth="1"/>
    <col min="4" max="4" width="14" customWidth="1"/>
    <col min="5" max="5" width="16" customWidth="1"/>
    <col min="6" max="6" width="88" customWidth="1"/>
    <col min="7" max="7" width="85" customWidth="1"/>
    <col min="8" max="8" width="82" customWidth="1"/>
  </cols>
  <sheetData>
    <row r="1" spans="1:8" ht="32.1" customHeight="1" x14ac:dyDescent="0.25">
      <c r="A1" s="1" t="s">
        <v>340</v>
      </c>
      <c r="B1" s="1" t="s">
        <v>341</v>
      </c>
      <c r="C1" s="1" t="s">
        <v>342</v>
      </c>
      <c r="D1" s="1" t="s">
        <v>343</v>
      </c>
      <c r="E1" s="1" t="s">
        <v>344</v>
      </c>
      <c r="F1" s="1" t="s">
        <v>345</v>
      </c>
      <c r="G1" s="1" t="s">
        <v>346</v>
      </c>
      <c r="H1" s="1" t="s">
        <v>347</v>
      </c>
    </row>
    <row r="2" spans="1:8" ht="30" x14ac:dyDescent="0.25">
      <c r="A2" s="2" t="s">
        <v>33</v>
      </c>
      <c r="B2" s="2" t="s">
        <v>348</v>
      </c>
      <c r="C2" s="2" t="s">
        <v>349</v>
      </c>
      <c r="D2" s="2">
        <v>0.14285714285714279</v>
      </c>
      <c r="E2" s="2" t="s">
        <v>350</v>
      </c>
      <c r="F2" s="2" t="s">
        <v>351</v>
      </c>
      <c r="G2" s="2" t="s">
        <v>352</v>
      </c>
      <c r="H2" s="2" t="s">
        <v>353</v>
      </c>
    </row>
    <row r="3" spans="1:8" ht="30" x14ac:dyDescent="0.25">
      <c r="A3" s="2" t="s">
        <v>34</v>
      </c>
      <c r="B3" s="2" t="s">
        <v>354</v>
      </c>
      <c r="C3" s="2" t="s">
        <v>355</v>
      </c>
      <c r="D3" s="2">
        <v>0.14285714285714279</v>
      </c>
      <c r="E3" s="2" t="s">
        <v>350</v>
      </c>
      <c r="F3" s="2" t="s">
        <v>351</v>
      </c>
      <c r="G3" s="2" t="s">
        <v>352</v>
      </c>
      <c r="H3" s="2" t="s">
        <v>356</v>
      </c>
    </row>
    <row r="4" spans="1:8" ht="30" x14ac:dyDescent="0.25">
      <c r="A4" s="2" t="s">
        <v>35</v>
      </c>
      <c r="B4" s="2" t="s">
        <v>357</v>
      </c>
      <c r="C4" s="2" t="s">
        <v>358</v>
      </c>
      <c r="D4" s="2">
        <v>0.14285714285714279</v>
      </c>
      <c r="E4" s="2" t="s">
        <v>350</v>
      </c>
      <c r="F4" s="2" t="s">
        <v>359</v>
      </c>
      <c r="G4" s="2" t="s">
        <v>360</v>
      </c>
      <c r="H4" s="2" t="s">
        <v>361</v>
      </c>
    </row>
    <row r="5" spans="1:8" ht="30" x14ac:dyDescent="0.25">
      <c r="A5" s="2" t="s">
        <v>36</v>
      </c>
      <c r="B5" s="2" t="s">
        <v>362</v>
      </c>
      <c r="C5" s="2" t="s">
        <v>363</v>
      </c>
      <c r="D5" s="2">
        <v>0.14285714285714279</v>
      </c>
      <c r="E5" s="2" t="s">
        <v>350</v>
      </c>
      <c r="F5" s="2" t="s">
        <v>364</v>
      </c>
      <c r="G5" s="2" t="s">
        <v>365</v>
      </c>
      <c r="H5" s="2" t="s">
        <v>366</v>
      </c>
    </row>
    <row r="6" spans="1:8" ht="30" x14ac:dyDescent="0.25">
      <c r="A6" s="2" t="s">
        <v>37</v>
      </c>
      <c r="B6" s="2" t="s">
        <v>367</v>
      </c>
      <c r="C6" s="2" t="s">
        <v>368</v>
      </c>
      <c r="D6" s="2">
        <v>0.14285714285714279</v>
      </c>
      <c r="E6" s="2" t="s">
        <v>350</v>
      </c>
      <c r="F6" s="2" t="s">
        <v>351</v>
      </c>
      <c r="G6" s="2" t="s">
        <v>352</v>
      </c>
      <c r="H6" s="2" t="s">
        <v>369</v>
      </c>
    </row>
    <row r="7" spans="1:8" ht="30" x14ac:dyDescent="0.25">
      <c r="A7" s="2" t="s">
        <v>38</v>
      </c>
      <c r="B7" s="2" t="s">
        <v>370</v>
      </c>
      <c r="C7" s="2" t="s">
        <v>371</v>
      </c>
      <c r="D7" s="2">
        <v>0.14285714285714279</v>
      </c>
      <c r="E7" s="2" t="s">
        <v>350</v>
      </c>
      <c r="F7" s="2" t="s">
        <v>351</v>
      </c>
      <c r="G7" s="2" t="s">
        <v>352</v>
      </c>
      <c r="H7" s="2" t="s">
        <v>372</v>
      </c>
    </row>
    <row r="8" spans="1:8" ht="30" x14ac:dyDescent="0.25">
      <c r="A8" s="2" t="s">
        <v>39</v>
      </c>
      <c r="B8" s="2" t="s">
        <v>373</v>
      </c>
      <c r="C8" s="2" t="s">
        <v>374</v>
      </c>
      <c r="D8" s="2">
        <v>0.14285714285714279</v>
      </c>
      <c r="E8" s="2" t="s">
        <v>350</v>
      </c>
      <c r="F8" s="2" t="s">
        <v>351</v>
      </c>
      <c r="G8" s="2" t="s">
        <v>352</v>
      </c>
      <c r="H8" s="2" t="s">
        <v>375</v>
      </c>
    </row>
    <row r="9" spans="1:8" x14ac:dyDescent="0.25">
      <c r="A9" s="2" t="s">
        <v>376</v>
      </c>
      <c r="B9" s="2"/>
      <c r="C9" s="2"/>
      <c r="D9" s="2">
        <v>1</v>
      </c>
      <c r="E9" s="2" t="s">
        <v>377</v>
      </c>
      <c r="F9" s="2"/>
      <c r="G9" s="2"/>
      <c r="H9" s="2" t="s">
        <v>378</v>
      </c>
    </row>
  </sheetData>
  <autoFilter ref="A1:H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pane ySplit="1" topLeftCell="A2" activePane="bottomLeft" state="frozen"/>
      <selection pane="bottomLeft"/>
    </sheetView>
  </sheetViews>
  <sheetFormatPr defaultRowHeight="15" x14ac:dyDescent="0.25"/>
  <cols>
    <col min="1" max="1" width="30" customWidth="1"/>
    <col min="2" max="2" width="125" customWidth="1"/>
  </cols>
  <sheetData>
    <row r="1" spans="1:2" ht="32.1" customHeight="1" x14ac:dyDescent="0.25">
      <c r="A1" s="1" t="s">
        <v>379</v>
      </c>
      <c r="B1" s="1" t="s">
        <v>380</v>
      </c>
    </row>
    <row r="2" spans="1:2" ht="30" x14ac:dyDescent="0.25">
      <c r="A2" s="2" t="s">
        <v>381</v>
      </c>
      <c r="B2" s="2" t="s">
        <v>382</v>
      </c>
    </row>
    <row r="3" spans="1:2" ht="30" x14ac:dyDescent="0.25">
      <c r="A3" s="2" t="s">
        <v>383</v>
      </c>
      <c r="B3" s="2" t="s">
        <v>384</v>
      </c>
    </row>
    <row r="4" spans="1:2" x14ac:dyDescent="0.25">
      <c r="A4" s="2" t="s">
        <v>385</v>
      </c>
      <c r="B4" s="2" t="s">
        <v>386</v>
      </c>
    </row>
    <row r="5" spans="1:2" x14ac:dyDescent="0.25">
      <c r="A5" s="2" t="s">
        <v>387</v>
      </c>
      <c r="B5" s="2" t="s">
        <v>388</v>
      </c>
    </row>
    <row r="6" spans="1:2" ht="30" x14ac:dyDescent="0.25">
      <c r="A6" s="2" t="s">
        <v>389</v>
      </c>
      <c r="B6" s="2" t="s">
        <v>390</v>
      </c>
    </row>
    <row r="7" spans="1:2" ht="30" x14ac:dyDescent="0.25">
      <c r="A7" s="2" t="s">
        <v>391</v>
      </c>
      <c r="B7" s="2" t="s">
        <v>392</v>
      </c>
    </row>
    <row r="8" spans="1:2" ht="30" x14ac:dyDescent="0.25">
      <c r="A8" s="2" t="s">
        <v>44</v>
      </c>
      <c r="B8" s="2" t="s">
        <v>393</v>
      </c>
    </row>
    <row r="9" spans="1:2" ht="30" x14ac:dyDescent="0.25">
      <c r="A9" s="2" t="s">
        <v>394</v>
      </c>
      <c r="B9" s="2" t="s">
        <v>395</v>
      </c>
    </row>
    <row r="10" spans="1:2" ht="45" x14ac:dyDescent="0.25">
      <c r="A10" s="2" t="s">
        <v>396</v>
      </c>
      <c r="B10" s="2" t="s">
        <v>397</v>
      </c>
    </row>
    <row r="11" spans="1:2" ht="45" x14ac:dyDescent="0.25">
      <c r="A11" s="2" t="s">
        <v>398</v>
      </c>
      <c r="B11" s="2" t="s">
        <v>399</v>
      </c>
    </row>
    <row r="12" spans="1:2" ht="30" x14ac:dyDescent="0.25">
      <c r="A12" s="2" t="s">
        <v>400</v>
      </c>
      <c r="B12" s="2" t="s">
        <v>401</v>
      </c>
    </row>
    <row r="13" spans="1:2" ht="30" x14ac:dyDescent="0.25">
      <c r="A13" s="2" t="s">
        <v>402</v>
      </c>
      <c r="B13" s="2" t="s">
        <v>403</v>
      </c>
    </row>
    <row r="14" spans="1:2" ht="30" x14ac:dyDescent="0.25">
      <c r="A14" s="2" t="s">
        <v>404</v>
      </c>
      <c r="B14" s="2" t="s">
        <v>405</v>
      </c>
    </row>
    <row r="15" spans="1:2" ht="30" x14ac:dyDescent="0.25">
      <c r="A15" s="2" t="s">
        <v>406</v>
      </c>
      <c r="B15" s="2" t="s">
        <v>407</v>
      </c>
    </row>
    <row r="16" spans="1:2" x14ac:dyDescent="0.25">
      <c r="A16" s="2" t="s">
        <v>408</v>
      </c>
      <c r="B16" s="2" t="s">
        <v>409</v>
      </c>
    </row>
  </sheetData>
  <autoFilter ref="A1:B1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pane ySplit="1" topLeftCell="A2" activePane="bottomLeft" state="frozen"/>
      <selection pane="bottomLeft"/>
    </sheetView>
  </sheetViews>
  <sheetFormatPr defaultRowHeight="15" x14ac:dyDescent="0.25"/>
  <cols>
    <col min="1" max="1" width="33" customWidth="1"/>
    <col min="2" max="2" width="40" customWidth="1"/>
    <col min="3" max="3" width="95" customWidth="1"/>
  </cols>
  <sheetData>
    <row r="1" spans="1:3" ht="32.1" customHeight="1" x14ac:dyDescent="0.25">
      <c r="A1" s="1" t="s">
        <v>410</v>
      </c>
      <c r="B1" s="1" t="s">
        <v>1</v>
      </c>
      <c r="C1" s="1" t="s">
        <v>411</v>
      </c>
    </row>
    <row r="2" spans="1:3" x14ac:dyDescent="0.25">
      <c r="A2" s="2" t="s">
        <v>412</v>
      </c>
      <c r="B2" s="2">
        <v>7</v>
      </c>
      <c r="C2" s="2" t="s">
        <v>413</v>
      </c>
    </row>
    <row r="3" spans="1:3" x14ac:dyDescent="0.25">
      <c r="A3" s="2" t="s">
        <v>414</v>
      </c>
      <c r="B3" s="2">
        <v>0.14285714285714279</v>
      </c>
      <c r="C3" s="2" t="s">
        <v>415</v>
      </c>
    </row>
    <row r="4" spans="1:3" x14ac:dyDescent="0.25">
      <c r="A4" s="2" t="s">
        <v>416</v>
      </c>
      <c r="B4" s="2" t="s">
        <v>350</v>
      </c>
      <c r="C4" s="2" t="s">
        <v>417</v>
      </c>
    </row>
    <row r="5" spans="1:3" x14ac:dyDescent="0.25">
      <c r="A5" s="2" t="s">
        <v>418</v>
      </c>
      <c r="B5" s="2">
        <v>7</v>
      </c>
      <c r="C5" s="2" t="s">
        <v>419</v>
      </c>
    </row>
    <row r="6" spans="1:3" x14ac:dyDescent="0.25">
      <c r="A6" s="2" t="s">
        <v>420</v>
      </c>
      <c r="B6" s="2" t="s">
        <v>8</v>
      </c>
      <c r="C6" s="2" t="s">
        <v>421</v>
      </c>
    </row>
    <row r="7" spans="1:3" x14ac:dyDescent="0.25">
      <c r="A7" s="2" t="s">
        <v>346</v>
      </c>
      <c r="B7" s="2">
        <v>0</v>
      </c>
      <c r="C7" s="2" t="s">
        <v>422</v>
      </c>
    </row>
    <row r="8" spans="1:3" x14ac:dyDescent="0.25">
      <c r="A8" s="2" t="s">
        <v>423</v>
      </c>
      <c r="B8" s="2" t="s">
        <v>424</v>
      </c>
      <c r="C8" s="2" t="s">
        <v>425</v>
      </c>
    </row>
    <row r="9" spans="1:3" x14ac:dyDescent="0.25">
      <c r="A9" s="2" t="s">
        <v>426</v>
      </c>
      <c r="B9" s="2" t="s">
        <v>427</v>
      </c>
      <c r="C9" s="2" t="s">
        <v>428</v>
      </c>
    </row>
    <row r="10" spans="1:3" x14ac:dyDescent="0.25">
      <c r="A10" s="2" t="s">
        <v>429</v>
      </c>
      <c r="B10" s="2" t="s">
        <v>430</v>
      </c>
      <c r="C10" s="2" t="s">
        <v>431</v>
      </c>
    </row>
  </sheetData>
  <autoFilter ref="A1:C1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
  <sheetViews>
    <sheetView workbookViewId="0">
      <pane ySplit="1" topLeftCell="A2" activePane="bottomLeft" state="frozen"/>
      <selection pane="bottomLeft"/>
    </sheetView>
  </sheetViews>
  <sheetFormatPr defaultRowHeight="15" x14ac:dyDescent="0.25"/>
  <cols>
    <col min="1" max="1" width="42" customWidth="1"/>
    <col min="2" max="2" width="44" customWidth="1"/>
    <col min="3" max="3" width="14" customWidth="1"/>
    <col min="4" max="4" width="18" customWidth="1"/>
    <col min="5" max="6" width="23" customWidth="1"/>
    <col min="7" max="7" width="21" customWidth="1"/>
    <col min="8" max="9" width="25" customWidth="1"/>
    <col min="10" max="10" width="86" customWidth="1"/>
  </cols>
  <sheetData>
    <row r="1" spans="1:10" ht="32.1" customHeight="1" x14ac:dyDescent="0.25">
      <c r="A1" s="1" t="s">
        <v>341</v>
      </c>
      <c r="B1" s="1" t="s">
        <v>342</v>
      </c>
      <c r="C1" s="1" t="s">
        <v>432</v>
      </c>
      <c r="D1" s="1" t="s">
        <v>43</v>
      </c>
      <c r="E1" s="1" t="s">
        <v>433</v>
      </c>
      <c r="F1" s="1" t="s">
        <v>434</v>
      </c>
      <c r="G1" s="1" t="s">
        <v>435</v>
      </c>
      <c r="H1" s="1" t="s">
        <v>436</v>
      </c>
      <c r="I1" s="1" t="s">
        <v>437</v>
      </c>
      <c r="J1" s="1" t="s">
        <v>438</v>
      </c>
    </row>
    <row r="2" spans="1:10" x14ac:dyDescent="0.25">
      <c r="A2" s="2" t="s">
        <v>439</v>
      </c>
      <c r="B2" s="2" t="s">
        <v>349</v>
      </c>
      <c r="C2" s="2">
        <v>107</v>
      </c>
      <c r="D2" s="4">
        <v>0.9553571428571429</v>
      </c>
      <c r="E2" s="3">
        <v>82.570093457943926</v>
      </c>
      <c r="F2" s="3">
        <v>78.883928571428569</v>
      </c>
      <c r="G2" s="3">
        <v>30.374335006614871</v>
      </c>
      <c r="H2" s="4">
        <v>0.7009345794392523</v>
      </c>
      <c r="I2" s="4">
        <v>6.5420560747663545E-2</v>
      </c>
      <c r="J2" s="2" t="s">
        <v>440</v>
      </c>
    </row>
    <row r="3" spans="1:10" x14ac:dyDescent="0.25">
      <c r="A3" s="2" t="s">
        <v>441</v>
      </c>
      <c r="B3" s="2" t="s">
        <v>355</v>
      </c>
      <c r="C3" s="2">
        <v>83</v>
      </c>
      <c r="D3" s="4">
        <v>0.7410714285714286</v>
      </c>
      <c r="E3" s="3">
        <v>69.46987951807229</v>
      </c>
      <c r="F3" s="3">
        <v>51.482142857142847</v>
      </c>
      <c r="G3" s="3">
        <v>44.284223672212477</v>
      </c>
      <c r="H3" s="4">
        <v>0.66265060240963858</v>
      </c>
      <c r="I3" s="4">
        <v>0.26506024096385539</v>
      </c>
      <c r="J3" s="2" t="s">
        <v>442</v>
      </c>
    </row>
    <row r="4" spans="1:10" ht="30" x14ac:dyDescent="0.25">
      <c r="A4" s="2" t="s">
        <v>443</v>
      </c>
      <c r="B4" s="2" t="s">
        <v>358</v>
      </c>
      <c r="C4" s="2">
        <v>107</v>
      </c>
      <c r="D4" s="4">
        <v>0.9553571428571429</v>
      </c>
      <c r="E4" s="3">
        <v>75.700934579439249</v>
      </c>
      <c r="F4" s="3">
        <v>72.321428571428569</v>
      </c>
      <c r="G4" s="3">
        <v>42.888949179752387</v>
      </c>
      <c r="H4" s="4">
        <v>0.7570093457943925</v>
      </c>
      <c r="I4" s="4">
        <v>0.2429906542056075</v>
      </c>
      <c r="J4" s="2" t="s">
        <v>444</v>
      </c>
    </row>
    <row r="5" spans="1:10" x14ac:dyDescent="0.25">
      <c r="A5" s="2" t="s">
        <v>445</v>
      </c>
      <c r="B5" s="2" t="s">
        <v>363</v>
      </c>
      <c r="C5" s="2">
        <v>102</v>
      </c>
      <c r="D5" s="4">
        <v>0.9107142857142857</v>
      </c>
      <c r="E5" s="3">
        <v>62.754901960784323</v>
      </c>
      <c r="F5" s="3">
        <v>57.151785714285722</v>
      </c>
      <c r="G5" s="3">
        <v>32.533071039557548</v>
      </c>
      <c r="H5" s="4">
        <v>0.33333333333333331</v>
      </c>
      <c r="I5" s="4">
        <v>8.8235294117647065E-2</v>
      </c>
      <c r="J5" s="2" t="s">
        <v>446</v>
      </c>
    </row>
    <row r="6" spans="1:10" x14ac:dyDescent="0.25">
      <c r="A6" s="2" t="s">
        <v>447</v>
      </c>
      <c r="B6" s="2" t="s">
        <v>368</v>
      </c>
      <c r="C6" s="2">
        <v>103</v>
      </c>
      <c r="D6" s="4">
        <v>0.9196428571428571</v>
      </c>
      <c r="E6" s="3">
        <v>62.106796116504853</v>
      </c>
      <c r="F6" s="3">
        <v>57.116071428571431</v>
      </c>
      <c r="G6" s="3">
        <v>35.477577390545157</v>
      </c>
      <c r="H6" s="4">
        <v>0.38834951456310679</v>
      </c>
      <c r="I6" s="4">
        <v>0.116504854368932</v>
      </c>
      <c r="J6" s="2" t="s">
        <v>448</v>
      </c>
    </row>
    <row r="7" spans="1:10" x14ac:dyDescent="0.25">
      <c r="A7" s="2" t="s">
        <v>449</v>
      </c>
      <c r="B7" s="2" t="s">
        <v>371</v>
      </c>
      <c r="C7" s="2">
        <v>99</v>
      </c>
      <c r="D7" s="4">
        <v>0.8839285714285714</v>
      </c>
      <c r="E7" s="3">
        <v>79.454545454545453</v>
      </c>
      <c r="F7" s="3">
        <v>70.232142857142861</v>
      </c>
      <c r="G7" s="3">
        <v>36.938188261826213</v>
      </c>
      <c r="H7" s="4">
        <v>0.73737373737373735</v>
      </c>
      <c r="I7" s="4">
        <v>0.14141414141414141</v>
      </c>
      <c r="J7" s="2" t="s">
        <v>450</v>
      </c>
    </row>
    <row r="8" spans="1:10" x14ac:dyDescent="0.25">
      <c r="A8" s="2" t="s">
        <v>451</v>
      </c>
      <c r="B8" s="2" t="s">
        <v>374</v>
      </c>
      <c r="C8" s="2">
        <v>106</v>
      </c>
      <c r="D8" s="4">
        <v>0.9464285714285714</v>
      </c>
      <c r="E8" s="3">
        <v>65.566037735849051</v>
      </c>
      <c r="F8" s="3">
        <v>62.053571428571431</v>
      </c>
      <c r="G8" s="3">
        <v>37.844772044404174</v>
      </c>
      <c r="H8" s="4">
        <v>0.49056603773584911</v>
      </c>
      <c r="I8" s="4">
        <v>0.17924528301886791</v>
      </c>
      <c r="J8" s="2" t="s">
        <v>452</v>
      </c>
    </row>
    <row r="9" spans="1:10" x14ac:dyDescent="0.25">
      <c r="A9" s="2"/>
      <c r="B9" s="2"/>
      <c r="C9" s="2"/>
      <c r="D9" s="2"/>
      <c r="E9" s="2"/>
      <c r="F9" s="2"/>
      <c r="G9" s="2"/>
      <c r="H9" s="2"/>
      <c r="I9" s="2"/>
      <c r="J9" s="2"/>
    </row>
    <row r="10" spans="1:10" x14ac:dyDescent="0.25">
      <c r="A10" s="2" t="s">
        <v>453</v>
      </c>
      <c r="B10" s="2" t="s">
        <v>1</v>
      </c>
      <c r="C10" s="2"/>
      <c r="D10" s="2"/>
      <c r="E10" s="2"/>
      <c r="F10" s="2"/>
      <c r="G10" s="2"/>
      <c r="H10" s="2"/>
      <c r="I10" s="2"/>
      <c r="J10" s="2"/>
    </row>
    <row r="11" spans="1:10" x14ac:dyDescent="0.25">
      <c r="A11" s="2" t="s">
        <v>454</v>
      </c>
      <c r="B11" s="2">
        <v>112</v>
      </c>
      <c r="C11" s="2"/>
      <c r="D11" s="2"/>
      <c r="E11" s="2"/>
      <c r="F11" s="2"/>
      <c r="G11" s="2"/>
      <c r="H11" s="2"/>
      <c r="I11" s="2"/>
      <c r="J11" s="2"/>
    </row>
    <row r="12" spans="1:10" x14ac:dyDescent="0.25">
      <c r="A12" s="2" t="s">
        <v>455</v>
      </c>
      <c r="B12" s="2">
        <v>7</v>
      </c>
      <c r="C12" s="2"/>
      <c r="D12" s="2"/>
      <c r="E12" s="2"/>
      <c r="F12" s="2"/>
      <c r="G12" s="2"/>
      <c r="H12" s="2"/>
      <c r="I12" s="2"/>
      <c r="J12" s="2"/>
    </row>
    <row r="13" spans="1:10" x14ac:dyDescent="0.25">
      <c r="A13" s="2" t="s">
        <v>5</v>
      </c>
      <c r="B13" s="2" t="s">
        <v>456</v>
      </c>
      <c r="C13" s="2"/>
      <c r="D13" s="2"/>
      <c r="E13" s="2"/>
      <c r="F13" s="2"/>
      <c r="G13" s="2"/>
      <c r="H13" s="2"/>
      <c r="I13" s="2"/>
      <c r="J13" s="2"/>
    </row>
    <row r="14" spans="1:10" x14ac:dyDescent="0.25">
      <c r="A14" s="2" t="s">
        <v>457</v>
      </c>
      <c r="B14" s="2">
        <v>64.177295918367349</v>
      </c>
      <c r="C14" s="2"/>
      <c r="D14" s="2"/>
      <c r="E14" s="2"/>
      <c r="F14" s="2"/>
      <c r="G14" s="2"/>
      <c r="H14" s="2"/>
      <c r="I14" s="2"/>
      <c r="J14" s="2"/>
    </row>
    <row r="15" spans="1:10" x14ac:dyDescent="0.25">
      <c r="A15" s="2" t="s">
        <v>458</v>
      </c>
      <c r="B15" s="2">
        <v>70.214285714285722</v>
      </c>
      <c r="C15" s="2"/>
      <c r="D15" s="2"/>
      <c r="E15" s="2"/>
      <c r="F15" s="2"/>
      <c r="G15" s="2"/>
      <c r="H15" s="2"/>
      <c r="I15" s="2"/>
      <c r="J15" s="2"/>
    </row>
    <row r="16" spans="1:10" x14ac:dyDescent="0.25">
      <c r="A16" s="2" t="s">
        <v>459</v>
      </c>
      <c r="B16" s="2">
        <v>26.00008582021967</v>
      </c>
      <c r="C16" s="2"/>
      <c r="D16" s="2"/>
      <c r="E16" s="2"/>
      <c r="F16" s="2"/>
      <c r="G16" s="2"/>
      <c r="H16" s="2"/>
      <c r="I16" s="2"/>
      <c r="J16" s="2"/>
    </row>
    <row r="17" spans="1:10" x14ac:dyDescent="0.25">
      <c r="A17" s="2" t="s">
        <v>14</v>
      </c>
      <c r="B17" s="2">
        <v>0</v>
      </c>
      <c r="C17" s="2"/>
      <c r="D17" s="2"/>
      <c r="E17" s="2"/>
      <c r="F17" s="2"/>
      <c r="G17" s="2"/>
      <c r="H17" s="2"/>
      <c r="I17" s="2"/>
      <c r="J17" s="2"/>
    </row>
    <row r="18" spans="1:10" x14ac:dyDescent="0.25">
      <c r="A18" s="2" t="s">
        <v>15</v>
      </c>
      <c r="B18" s="2">
        <v>100</v>
      </c>
      <c r="C18" s="2"/>
      <c r="D18" s="2"/>
      <c r="E18" s="2"/>
      <c r="F18" s="2"/>
      <c r="G18" s="2"/>
      <c r="H18" s="2"/>
      <c r="I18" s="2"/>
      <c r="J18" s="2"/>
    </row>
    <row r="19" spans="1:10" x14ac:dyDescent="0.25">
      <c r="A19" s="2" t="s">
        <v>16</v>
      </c>
      <c r="B19" s="2">
        <v>0.9017857142857143</v>
      </c>
      <c r="C19" s="2"/>
      <c r="D19" s="2"/>
      <c r="E19" s="2"/>
      <c r="F19" s="2"/>
      <c r="G19" s="2"/>
      <c r="H19" s="2"/>
      <c r="I19" s="2"/>
      <c r="J19" s="2"/>
    </row>
    <row r="20" spans="1:10" x14ac:dyDescent="0.25">
      <c r="A20" s="2" t="s">
        <v>460</v>
      </c>
      <c r="B20" s="2">
        <v>68</v>
      </c>
      <c r="C20" s="2"/>
      <c r="D20" s="2"/>
      <c r="E20" s="2"/>
      <c r="F20" s="2"/>
      <c r="G20" s="2"/>
      <c r="H20" s="2"/>
      <c r="I20" s="2"/>
      <c r="J20" s="2"/>
    </row>
    <row r="21" spans="1:10" ht="30" x14ac:dyDescent="0.25">
      <c r="A21" s="2" t="s">
        <v>461</v>
      </c>
      <c r="B21" s="2" t="s">
        <v>462</v>
      </c>
      <c r="C21" s="2"/>
      <c r="D21" s="2"/>
      <c r="E21" s="2"/>
      <c r="F21" s="2"/>
      <c r="G21" s="2"/>
      <c r="H21" s="2"/>
      <c r="I21" s="2"/>
      <c r="J21" s="2"/>
    </row>
  </sheetData>
  <autoFilter ref="A1:J2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
  <sheetViews>
    <sheetView workbookViewId="0">
      <pane ySplit="1" topLeftCell="A2" activePane="bottomLeft" state="frozen"/>
      <selection pane="bottomLeft"/>
    </sheetView>
  </sheetViews>
  <sheetFormatPr defaultRowHeight="15" x14ac:dyDescent="0.25"/>
  <cols>
    <col min="1" max="1" width="48" customWidth="1"/>
    <col min="2" max="2" width="14" customWidth="1"/>
    <col min="3" max="3" width="22" customWidth="1"/>
    <col min="4" max="4" width="25" customWidth="1"/>
    <col min="5" max="6" width="24" customWidth="1"/>
    <col min="7" max="7" width="90" customWidth="1"/>
  </cols>
  <sheetData>
    <row r="1" spans="1:7" ht="32.1" customHeight="1" x14ac:dyDescent="0.25">
      <c r="A1" s="1" t="s">
        <v>463</v>
      </c>
      <c r="B1" s="1" t="s">
        <v>2</v>
      </c>
      <c r="C1" s="1" t="s">
        <v>464</v>
      </c>
      <c r="D1" s="1" t="s">
        <v>465</v>
      </c>
      <c r="E1" s="1" t="s">
        <v>466</v>
      </c>
      <c r="F1" s="1" t="s">
        <v>467</v>
      </c>
      <c r="G1" s="1" t="s">
        <v>18</v>
      </c>
    </row>
    <row r="2" spans="1:7" x14ac:dyDescent="0.25">
      <c r="A2" s="2" t="s">
        <v>468</v>
      </c>
      <c r="B2" s="2">
        <v>112</v>
      </c>
      <c r="C2" s="2">
        <v>1</v>
      </c>
      <c r="D2" s="2">
        <v>0</v>
      </c>
      <c r="E2" s="2">
        <v>0</v>
      </c>
      <c r="F2" s="2">
        <v>0</v>
      </c>
      <c r="G2" s="2" t="s">
        <v>469</v>
      </c>
    </row>
    <row r="3" spans="1:7" x14ac:dyDescent="0.25">
      <c r="A3" s="2" t="s">
        <v>44</v>
      </c>
      <c r="B3" s="2">
        <v>112</v>
      </c>
      <c r="C3" s="2">
        <v>0.93422370202743077</v>
      </c>
      <c r="D3" s="2">
        <v>5.65172193877551</v>
      </c>
      <c r="E3" s="2">
        <v>47.857142857142861</v>
      </c>
      <c r="F3" s="2">
        <v>40</v>
      </c>
      <c r="G3" s="2" t="s">
        <v>470</v>
      </c>
    </row>
    <row r="4" spans="1:7" x14ac:dyDescent="0.25">
      <c r="A4" s="2" t="s">
        <v>471</v>
      </c>
      <c r="B4" s="2">
        <v>68</v>
      </c>
      <c r="C4" s="2">
        <v>1</v>
      </c>
      <c r="D4" s="2">
        <v>0</v>
      </c>
      <c r="E4" s="2">
        <v>0</v>
      </c>
      <c r="F4" s="2">
        <v>0</v>
      </c>
      <c r="G4" s="2" t="s">
        <v>472</v>
      </c>
    </row>
    <row r="5" spans="1:7" x14ac:dyDescent="0.25">
      <c r="A5" s="2" t="s">
        <v>473</v>
      </c>
      <c r="B5" s="2">
        <v>112</v>
      </c>
      <c r="C5" s="2">
        <v>0.97985539966545654</v>
      </c>
      <c r="D5" s="2">
        <v>4.7293792517006814</v>
      </c>
      <c r="E5" s="2">
        <v>13.5</v>
      </c>
      <c r="F5" s="2">
        <v>12</v>
      </c>
      <c r="G5" s="2" t="s">
        <v>474</v>
      </c>
    </row>
    <row r="6" spans="1:7" x14ac:dyDescent="0.25">
      <c r="A6" s="2"/>
      <c r="B6" s="2"/>
      <c r="C6" s="2"/>
      <c r="D6" s="2"/>
      <c r="E6" s="2"/>
      <c r="F6" s="2"/>
      <c r="G6" s="2"/>
    </row>
    <row r="7" spans="1:7" ht="195" x14ac:dyDescent="0.25">
      <c r="A7" s="2" t="s">
        <v>475</v>
      </c>
      <c r="B7" s="2" t="s">
        <v>476</v>
      </c>
      <c r="C7" s="2"/>
      <c r="D7" s="2"/>
      <c r="E7" s="2"/>
      <c r="F7" s="2"/>
      <c r="G7" s="2"/>
    </row>
  </sheetData>
  <autoFilter ref="A1:G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13"/>
  <sheetViews>
    <sheetView workbookViewId="0">
      <pane ySplit="1" topLeftCell="A2" activePane="bottomLeft" state="frozen"/>
      <selection pane="bottomLeft"/>
    </sheetView>
  </sheetViews>
  <sheetFormatPr defaultRowHeight="15" x14ac:dyDescent="0.25"/>
  <cols>
    <col min="1" max="1" width="37" customWidth="1"/>
    <col min="2" max="8" width="17" customWidth="1"/>
    <col min="9" max="9" width="22" customWidth="1"/>
    <col min="10" max="10" width="18" customWidth="1"/>
    <col min="11" max="11" width="20" customWidth="1"/>
    <col min="12" max="12" width="22" customWidth="1"/>
  </cols>
  <sheetData>
    <row r="1" spans="1:12" ht="32.1" customHeight="1" x14ac:dyDescent="0.25">
      <c r="A1" s="1" t="s">
        <v>22</v>
      </c>
      <c r="B1" s="1" t="s">
        <v>477</v>
      </c>
      <c r="C1" s="1" t="s">
        <v>478</v>
      </c>
      <c r="D1" s="1" t="s">
        <v>479</v>
      </c>
      <c r="E1" s="1" t="s">
        <v>480</v>
      </c>
      <c r="F1" s="1" t="s">
        <v>481</v>
      </c>
      <c r="G1" s="1" t="s">
        <v>482</v>
      </c>
      <c r="H1" s="1" t="s">
        <v>483</v>
      </c>
      <c r="I1" s="1" t="s">
        <v>42</v>
      </c>
      <c r="J1" s="1" t="s">
        <v>43</v>
      </c>
      <c r="K1" s="1" t="s">
        <v>44</v>
      </c>
      <c r="L1" s="1" t="s">
        <v>484</v>
      </c>
    </row>
    <row r="2" spans="1:12" x14ac:dyDescent="0.25">
      <c r="A2" s="2" t="s">
        <v>46</v>
      </c>
      <c r="B2" s="2">
        <v>1</v>
      </c>
      <c r="C2" s="2">
        <v>0</v>
      </c>
      <c r="D2" s="2">
        <v>1</v>
      </c>
      <c r="E2" s="2">
        <v>1</v>
      </c>
      <c r="F2" s="2">
        <v>1</v>
      </c>
      <c r="G2" s="2">
        <v>1</v>
      </c>
      <c r="H2" s="2">
        <v>1</v>
      </c>
      <c r="I2" s="2">
        <v>6</v>
      </c>
      <c r="J2" s="4">
        <v>0.8571428571428571</v>
      </c>
      <c r="K2" s="3">
        <f>Scoring!W2</f>
        <v>55.5</v>
      </c>
      <c r="L2" s="3">
        <f>Scoring!S2</f>
        <v>47.571428571428569</v>
      </c>
    </row>
    <row r="3" spans="1:12" x14ac:dyDescent="0.25">
      <c r="A3" s="2" t="s">
        <v>55</v>
      </c>
      <c r="B3" s="2">
        <v>1</v>
      </c>
      <c r="C3" s="2">
        <v>1</v>
      </c>
      <c r="D3" s="2">
        <v>1</v>
      </c>
      <c r="E3" s="2">
        <v>1</v>
      </c>
      <c r="F3" s="2">
        <v>1</v>
      </c>
      <c r="G3" s="2">
        <v>1</v>
      </c>
      <c r="H3" s="2">
        <v>1</v>
      </c>
      <c r="I3" s="2">
        <v>7</v>
      </c>
      <c r="J3" s="4">
        <v>1</v>
      </c>
      <c r="K3" s="3">
        <f>Scoring!W3</f>
        <v>76.142857142857139</v>
      </c>
      <c r="L3" s="3">
        <f>Scoring!S3</f>
        <v>76.142857142857139</v>
      </c>
    </row>
    <row r="4" spans="1:12" x14ac:dyDescent="0.25">
      <c r="A4" s="2" t="s">
        <v>61</v>
      </c>
      <c r="B4" s="2">
        <v>1</v>
      </c>
      <c r="C4" s="2">
        <v>1</v>
      </c>
      <c r="D4" s="2">
        <v>1</v>
      </c>
      <c r="E4" s="2">
        <v>1</v>
      </c>
      <c r="F4" s="2">
        <v>1</v>
      </c>
      <c r="G4" s="2">
        <v>1</v>
      </c>
      <c r="H4" s="2">
        <v>1</v>
      </c>
      <c r="I4" s="2">
        <v>7</v>
      </c>
      <c r="J4" s="4">
        <v>1</v>
      </c>
      <c r="K4" s="3">
        <f>Scoring!W4</f>
        <v>69.142857142857139</v>
      </c>
      <c r="L4" s="3">
        <f>Scoring!S4</f>
        <v>69.142857142857139</v>
      </c>
    </row>
    <row r="5" spans="1:12" ht="30" x14ac:dyDescent="0.25">
      <c r="A5" s="2" t="s">
        <v>65</v>
      </c>
      <c r="B5" s="2">
        <v>1</v>
      </c>
      <c r="C5" s="2">
        <v>1</v>
      </c>
      <c r="D5" s="2">
        <v>1</v>
      </c>
      <c r="E5" s="2">
        <v>1</v>
      </c>
      <c r="F5" s="2">
        <v>1</v>
      </c>
      <c r="G5" s="2">
        <v>1</v>
      </c>
      <c r="H5" s="2">
        <v>1</v>
      </c>
      <c r="I5" s="2">
        <v>7</v>
      </c>
      <c r="J5" s="4">
        <v>1</v>
      </c>
      <c r="K5" s="3">
        <f>Scoring!W5</f>
        <v>71.428571428571431</v>
      </c>
      <c r="L5" s="3">
        <f>Scoring!S5</f>
        <v>71.428571428571431</v>
      </c>
    </row>
    <row r="6" spans="1:12" x14ac:dyDescent="0.25">
      <c r="A6" s="2" t="s">
        <v>68</v>
      </c>
      <c r="B6" s="2">
        <v>1</v>
      </c>
      <c r="C6" s="2">
        <v>1</v>
      </c>
      <c r="D6" s="2">
        <v>1</v>
      </c>
      <c r="E6" s="2">
        <v>1</v>
      </c>
      <c r="F6" s="2">
        <v>1</v>
      </c>
      <c r="G6" s="2">
        <v>1</v>
      </c>
      <c r="H6" s="2">
        <v>1</v>
      </c>
      <c r="I6" s="2">
        <v>7</v>
      </c>
      <c r="J6" s="4">
        <v>1</v>
      </c>
      <c r="K6" s="3">
        <f>Scoring!W6</f>
        <v>90.428571428571431</v>
      </c>
      <c r="L6" s="3">
        <f>Scoring!S6</f>
        <v>90.428571428571431</v>
      </c>
    </row>
    <row r="7" spans="1:12" x14ac:dyDescent="0.25">
      <c r="A7" s="2" t="s">
        <v>71</v>
      </c>
      <c r="B7" s="2">
        <v>1</v>
      </c>
      <c r="C7" s="2">
        <v>0</v>
      </c>
      <c r="D7" s="2">
        <v>1</v>
      </c>
      <c r="E7" s="2">
        <v>1</v>
      </c>
      <c r="F7" s="2">
        <v>1</v>
      </c>
      <c r="G7" s="2">
        <v>0</v>
      </c>
      <c r="H7" s="2">
        <v>1</v>
      </c>
      <c r="I7" s="2">
        <v>5</v>
      </c>
      <c r="J7" s="4">
        <v>0.7142857142857143</v>
      </c>
      <c r="K7" s="3">
        <f>Scoring!W7</f>
        <v>63.4</v>
      </c>
      <c r="L7" s="3">
        <f>Scoring!S7</f>
        <v>45.285714285714285</v>
      </c>
    </row>
    <row r="8" spans="1:12" x14ac:dyDescent="0.25">
      <c r="A8" s="2" t="s">
        <v>76</v>
      </c>
      <c r="B8" s="2">
        <v>1</v>
      </c>
      <c r="C8" s="2">
        <v>1</v>
      </c>
      <c r="D8" s="2">
        <v>1</v>
      </c>
      <c r="E8" s="2">
        <v>1</v>
      </c>
      <c r="F8" s="2">
        <v>1</v>
      </c>
      <c r="G8" s="2">
        <v>1</v>
      </c>
      <c r="H8" s="2">
        <v>1</v>
      </c>
      <c r="I8" s="2">
        <v>7</v>
      </c>
      <c r="J8" s="4">
        <v>1</v>
      </c>
      <c r="K8" s="3">
        <f>Scoring!W8</f>
        <v>33.142857142857146</v>
      </c>
      <c r="L8" s="3">
        <f>Scoring!S8</f>
        <v>33.142857142857146</v>
      </c>
    </row>
    <row r="9" spans="1:12" x14ac:dyDescent="0.25">
      <c r="A9" s="2" t="s">
        <v>79</v>
      </c>
      <c r="B9" s="2">
        <v>1</v>
      </c>
      <c r="C9" s="2">
        <v>1</v>
      </c>
      <c r="D9" s="2">
        <v>1</v>
      </c>
      <c r="E9" s="2">
        <v>1</v>
      </c>
      <c r="F9" s="2">
        <v>1</v>
      </c>
      <c r="G9" s="2">
        <v>1</v>
      </c>
      <c r="H9" s="2">
        <v>1</v>
      </c>
      <c r="I9" s="2">
        <v>7</v>
      </c>
      <c r="J9" s="4">
        <v>1</v>
      </c>
      <c r="K9" s="3">
        <f>Scoring!W9</f>
        <v>100</v>
      </c>
      <c r="L9" s="3">
        <f>Scoring!S9</f>
        <v>100</v>
      </c>
    </row>
    <row r="10" spans="1:12" x14ac:dyDescent="0.25">
      <c r="A10" s="2" t="s">
        <v>81</v>
      </c>
      <c r="B10" s="2">
        <v>1</v>
      </c>
      <c r="C10" s="2">
        <v>1</v>
      </c>
      <c r="D10" s="2">
        <v>1</v>
      </c>
      <c r="E10" s="2">
        <v>1</v>
      </c>
      <c r="F10" s="2">
        <v>1</v>
      </c>
      <c r="G10" s="2">
        <v>1</v>
      </c>
      <c r="H10" s="2">
        <v>1</v>
      </c>
      <c r="I10" s="2">
        <v>7</v>
      </c>
      <c r="J10" s="4">
        <v>1</v>
      </c>
      <c r="K10" s="3">
        <f>Scoring!W10</f>
        <v>95.285714285714292</v>
      </c>
      <c r="L10" s="3">
        <f>Scoring!S10</f>
        <v>95.285714285714292</v>
      </c>
    </row>
    <row r="11" spans="1:12" x14ac:dyDescent="0.25">
      <c r="A11" s="2" t="s">
        <v>83</v>
      </c>
      <c r="B11" s="2">
        <v>1</v>
      </c>
      <c r="C11" s="2">
        <v>1</v>
      </c>
      <c r="D11" s="2">
        <v>1</v>
      </c>
      <c r="E11" s="2">
        <v>1</v>
      </c>
      <c r="F11" s="2">
        <v>0</v>
      </c>
      <c r="G11" s="2">
        <v>1</v>
      </c>
      <c r="H11" s="2">
        <v>1</v>
      </c>
      <c r="I11" s="2">
        <v>6</v>
      </c>
      <c r="J11" s="4">
        <v>0.8571428571428571</v>
      </c>
      <c r="K11" s="3">
        <f>Scoring!W11</f>
        <v>100</v>
      </c>
      <c r="L11" s="3">
        <f>Scoring!S11</f>
        <v>85.714285714285708</v>
      </c>
    </row>
    <row r="12" spans="1:12" x14ac:dyDescent="0.25">
      <c r="A12" s="2" t="s">
        <v>86</v>
      </c>
      <c r="B12" s="2">
        <v>1</v>
      </c>
      <c r="C12" s="2">
        <v>1</v>
      </c>
      <c r="D12" s="2">
        <v>0</v>
      </c>
      <c r="E12" s="2">
        <v>1</v>
      </c>
      <c r="F12" s="2">
        <v>1</v>
      </c>
      <c r="G12" s="2">
        <v>1</v>
      </c>
      <c r="H12" s="2">
        <v>0</v>
      </c>
      <c r="I12" s="2">
        <v>5</v>
      </c>
      <c r="J12" s="4">
        <v>0.7142857142857143</v>
      </c>
      <c r="K12" s="3">
        <f>Scoring!W12</f>
        <v>53.2</v>
      </c>
      <c r="L12" s="3">
        <f>Scoring!S12</f>
        <v>38</v>
      </c>
    </row>
    <row r="13" spans="1:12" x14ac:dyDescent="0.25">
      <c r="A13" s="2" t="s">
        <v>89</v>
      </c>
      <c r="B13" s="2">
        <v>1</v>
      </c>
      <c r="C13" s="2">
        <v>1</v>
      </c>
      <c r="D13" s="2">
        <v>1</v>
      </c>
      <c r="E13" s="2">
        <v>1</v>
      </c>
      <c r="F13" s="2">
        <v>1</v>
      </c>
      <c r="G13" s="2">
        <v>1</v>
      </c>
      <c r="H13" s="2">
        <v>1</v>
      </c>
      <c r="I13" s="2">
        <v>7</v>
      </c>
      <c r="J13" s="4">
        <v>1</v>
      </c>
      <c r="K13" s="3">
        <f>Scoring!W13</f>
        <v>71.428571428571431</v>
      </c>
      <c r="L13" s="3">
        <f>Scoring!S13</f>
        <v>71.428571428571431</v>
      </c>
    </row>
    <row r="14" spans="1:12" x14ac:dyDescent="0.25">
      <c r="A14" s="2" t="s">
        <v>91</v>
      </c>
      <c r="B14" s="2">
        <v>1</v>
      </c>
      <c r="C14" s="2">
        <v>1</v>
      </c>
      <c r="D14" s="2">
        <v>1</v>
      </c>
      <c r="E14" s="2">
        <v>1</v>
      </c>
      <c r="F14" s="2">
        <v>1</v>
      </c>
      <c r="G14" s="2">
        <v>1</v>
      </c>
      <c r="H14" s="2">
        <v>1</v>
      </c>
      <c r="I14" s="2">
        <v>7</v>
      </c>
      <c r="J14" s="4">
        <v>1</v>
      </c>
      <c r="K14" s="3">
        <f>Scoring!W14</f>
        <v>80.857142857142861</v>
      </c>
      <c r="L14" s="3">
        <f>Scoring!S14</f>
        <v>80.857142857142861</v>
      </c>
    </row>
    <row r="15" spans="1:12" x14ac:dyDescent="0.25">
      <c r="A15" s="2" t="s">
        <v>94</v>
      </c>
      <c r="B15" s="2">
        <v>1</v>
      </c>
      <c r="C15" s="2">
        <v>0</v>
      </c>
      <c r="D15" s="2">
        <v>1</v>
      </c>
      <c r="E15" s="2">
        <v>1</v>
      </c>
      <c r="F15" s="2">
        <v>1</v>
      </c>
      <c r="G15" s="2">
        <v>1</v>
      </c>
      <c r="H15" s="2">
        <v>1</v>
      </c>
      <c r="I15" s="2">
        <v>6</v>
      </c>
      <c r="J15" s="4">
        <v>0.8571428571428571</v>
      </c>
      <c r="K15" s="3">
        <f>Scoring!W15</f>
        <v>69.5</v>
      </c>
      <c r="L15" s="3">
        <f>Scoring!S15</f>
        <v>59.571428571428569</v>
      </c>
    </row>
    <row r="16" spans="1:12" x14ac:dyDescent="0.25">
      <c r="A16" s="2" t="s">
        <v>96</v>
      </c>
      <c r="B16" s="2">
        <v>1</v>
      </c>
      <c r="C16" s="2">
        <v>1</v>
      </c>
      <c r="D16" s="2">
        <v>1</v>
      </c>
      <c r="E16" s="2">
        <v>1</v>
      </c>
      <c r="F16" s="2">
        <v>1</v>
      </c>
      <c r="G16" s="2">
        <v>1</v>
      </c>
      <c r="H16" s="2">
        <v>1</v>
      </c>
      <c r="I16" s="2">
        <v>7</v>
      </c>
      <c r="J16" s="4">
        <v>1</v>
      </c>
      <c r="K16" s="3">
        <f>Scoring!W16</f>
        <v>90.428571428571431</v>
      </c>
      <c r="L16" s="3">
        <f>Scoring!S16</f>
        <v>90.428571428571431</v>
      </c>
    </row>
    <row r="17" spans="1:12" x14ac:dyDescent="0.25">
      <c r="A17" s="2" t="s">
        <v>99</v>
      </c>
      <c r="B17" s="2">
        <v>1</v>
      </c>
      <c r="C17" s="2">
        <v>1</v>
      </c>
      <c r="D17" s="2">
        <v>1</v>
      </c>
      <c r="E17" s="2">
        <v>1</v>
      </c>
      <c r="F17" s="2">
        <v>1</v>
      </c>
      <c r="G17" s="2">
        <v>1</v>
      </c>
      <c r="H17" s="2">
        <v>1</v>
      </c>
      <c r="I17" s="2">
        <v>7</v>
      </c>
      <c r="J17" s="4">
        <v>1</v>
      </c>
      <c r="K17" s="3">
        <f>Scoring!W17</f>
        <v>55</v>
      </c>
      <c r="L17" s="3">
        <f>Scoring!S17</f>
        <v>55</v>
      </c>
    </row>
    <row r="18" spans="1:12" x14ac:dyDescent="0.25">
      <c r="A18" s="2" t="s">
        <v>101</v>
      </c>
      <c r="B18" s="2">
        <v>0</v>
      </c>
      <c r="C18" s="2">
        <v>0</v>
      </c>
      <c r="D18" s="2">
        <v>1</v>
      </c>
      <c r="E18" s="2">
        <v>1</v>
      </c>
      <c r="F18" s="2">
        <v>1</v>
      </c>
      <c r="G18" s="2">
        <v>1</v>
      </c>
      <c r="H18" s="2">
        <v>1</v>
      </c>
      <c r="I18" s="2">
        <v>5</v>
      </c>
      <c r="J18" s="4">
        <v>0.7142857142857143</v>
      </c>
      <c r="K18" s="3">
        <f>Scoring!W18</f>
        <v>70</v>
      </c>
      <c r="L18" s="3">
        <f>Scoring!S18</f>
        <v>50</v>
      </c>
    </row>
    <row r="19" spans="1:12" x14ac:dyDescent="0.25">
      <c r="A19" s="2" t="s">
        <v>105</v>
      </c>
      <c r="B19" s="2">
        <v>1</v>
      </c>
      <c r="C19" s="2">
        <v>1</v>
      </c>
      <c r="D19" s="2">
        <v>1</v>
      </c>
      <c r="E19" s="2">
        <v>0</v>
      </c>
      <c r="F19" s="2">
        <v>0</v>
      </c>
      <c r="G19" s="2">
        <v>1</v>
      </c>
      <c r="H19" s="2">
        <v>1</v>
      </c>
      <c r="I19" s="2">
        <v>5</v>
      </c>
      <c r="J19" s="4">
        <v>0.7142857142857143</v>
      </c>
      <c r="K19" s="3">
        <f>Scoring!W19</f>
        <v>20</v>
      </c>
      <c r="L19" s="3">
        <f>Scoring!S19</f>
        <v>14.285714285714286</v>
      </c>
    </row>
    <row r="20" spans="1:12" x14ac:dyDescent="0.25">
      <c r="A20" s="2" t="s">
        <v>109</v>
      </c>
      <c r="B20" s="2">
        <v>1</v>
      </c>
      <c r="C20" s="2">
        <v>1</v>
      </c>
      <c r="D20" s="2">
        <v>1</v>
      </c>
      <c r="E20" s="2">
        <v>1</v>
      </c>
      <c r="F20" s="2">
        <v>1</v>
      </c>
      <c r="G20" s="2">
        <v>1</v>
      </c>
      <c r="H20" s="2">
        <v>1</v>
      </c>
      <c r="I20" s="2">
        <v>7</v>
      </c>
      <c r="J20" s="4">
        <v>1</v>
      </c>
      <c r="K20" s="3">
        <f>Scoring!W20</f>
        <v>95.285714285714292</v>
      </c>
      <c r="L20" s="3">
        <f>Scoring!S20</f>
        <v>95.285714285714292</v>
      </c>
    </row>
    <row r="21" spans="1:12" ht="30" x14ac:dyDescent="0.25">
      <c r="A21" s="2" t="s">
        <v>110</v>
      </c>
      <c r="B21" s="2">
        <v>1</v>
      </c>
      <c r="C21" s="2">
        <v>1</v>
      </c>
      <c r="D21" s="2">
        <v>1</v>
      </c>
      <c r="E21" s="2">
        <v>1</v>
      </c>
      <c r="F21" s="2">
        <v>1</v>
      </c>
      <c r="G21" s="2">
        <v>1</v>
      </c>
      <c r="H21" s="2">
        <v>1</v>
      </c>
      <c r="I21" s="2">
        <v>7</v>
      </c>
      <c r="J21" s="4">
        <v>1</v>
      </c>
      <c r="K21" s="3">
        <f>Scoring!W21</f>
        <v>64.285714285714292</v>
      </c>
      <c r="L21" s="3">
        <f>Scoring!S21</f>
        <v>64.285714285714292</v>
      </c>
    </row>
    <row r="22" spans="1:12" x14ac:dyDescent="0.25">
      <c r="A22" s="2" t="s">
        <v>113</v>
      </c>
      <c r="B22" s="2">
        <v>1</v>
      </c>
      <c r="C22" s="2">
        <v>1</v>
      </c>
      <c r="D22" s="2">
        <v>1</v>
      </c>
      <c r="E22" s="2">
        <v>1</v>
      </c>
      <c r="F22" s="2">
        <v>1</v>
      </c>
      <c r="G22" s="2">
        <v>1</v>
      </c>
      <c r="H22" s="2">
        <v>1</v>
      </c>
      <c r="I22" s="2">
        <v>7</v>
      </c>
      <c r="J22" s="4">
        <v>1</v>
      </c>
      <c r="K22" s="3">
        <f>Scoring!W22</f>
        <v>40.428571428571431</v>
      </c>
      <c r="L22" s="3">
        <f>Scoring!S22</f>
        <v>40.428571428571431</v>
      </c>
    </row>
    <row r="23" spans="1:12" x14ac:dyDescent="0.25">
      <c r="A23" s="2" t="s">
        <v>117</v>
      </c>
      <c r="B23" s="2">
        <v>1</v>
      </c>
      <c r="C23" s="2">
        <v>1</v>
      </c>
      <c r="D23" s="2">
        <v>1</v>
      </c>
      <c r="E23" s="2">
        <v>1</v>
      </c>
      <c r="F23" s="2">
        <v>1</v>
      </c>
      <c r="G23" s="2">
        <v>1</v>
      </c>
      <c r="H23" s="2">
        <v>1</v>
      </c>
      <c r="I23" s="2">
        <v>7</v>
      </c>
      <c r="J23" s="4">
        <v>1</v>
      </c>
      <c r="K23" s="3">
        <f>Scoring!W23</f>
        <v>16.714285714285715</v>
      </c>
      <c r="L23" s="3">
        <f>Scoring!S23</f>
        <v>16.714285714285715</v>
      </c>
    </row>
    <row r="24" spans="1:12" x14ac:dyDescent="0.25">
      <c r="A24" s="2" t="s">
        <v>120</v>
      </c>
      <c r="B24" s="2">
        <v>1</v>
      </c>
      <c r="C24" s="2">
        <v>1</v>
      </c>
      <c r="D24" s="2">
        <v>1</v>
      </c>
      <c r="E24" s="2">
        <v>1</v>
      </c>
      <c r="F24" s="2">
        <v>1</v>
      </c>
      <c r="G24" s="2">
        <v>1</v>
      </c>
      <c r="H24" s="2">
        <v>1</v>
      </c>
      <c r="I24" s="2">
        <v>7</v>
      </c>
      <c r="J24" s="4">
        <v>1</v>
      </c>
      <c r="K24" s="3">
        <f>Scoring!W24</f>
        <v>90.428571428571431</v>
      </c>
      <c r="L24" s="3">
        <f>Scoring!S24</f>
        <v>90.428571428571431</v>
      </c>
    </row>
    <row r="25" spans="1:12" x14ac:dyDescent="0.25">
      <c r="A25" s="2" t="s">
        <v>123</v>
      </c>
      <c r="B25" s="2">
        <v>1</v>
      </c>
      <c r="C25" s="2">
        <v>1</v>
      </c>
      <c r="D25" s="2">
        <v>1</v>
      </c>
      <c r="E25" s="2">
        <v>1</v>
      </c>
      <c r="F25" s="2">
        <v>1</v>
      </c>
      <c r="G25" s="2">
        <v>1</v>
      </c>
      <c r="H25" s="2">
        <v>1</v>
      </c>
      <c r="I25" s="2">
        <v>7</v>
      </c>
      <c r="J25" s="4">
        <v>1</v>
      </c>
      <c r="K25" s="3">
        <f>Scoring!W25</f>
        <v>95.285714285714292</v>
      </c>
      <c r="L25" s="3">
        <f>Scoring!S25</f>
        <v>95.285714285714292</v>
      </c>
    </row>
    <row r="26" spans="1:12" x14ac:dyDescent="0.25">
      <c r="A26" s="2" t="s">
        <v>125</v>
      </c>
      <c r="B26" s="2">
        <v>1</v>
      </c>
      <c r="C26" s="2">
        <v>0</v>
      </c>
      <c r="D26" s="2">
        <v>1</v>
      </c>
      <c r="E26" s="2">
        <v>1</v>
      </c>
      <c r="F26" s="2">
        <v>1</v>
      </c>
      <c r="G26" s="2">
        <v>1</v>
      </c>
      <c r="H26" s="2">
        <v>1</v>
      </c>
      <c r="I26" s="2">
        <v>6</v>
      </c>
      <c r="J26" s="4">
        <v>0.8571428571428571</v>
      </c>
      <c r="K26" s="3">
        <f>Scoring!W26</f>
        <v>66.666666666666671</v>
      </c>
      <c r="L26" s="3">
        <f>Scoring!S26</f>
        <v>57.142857142857146</v>
      </c>
    </row>
    <row r="27" spans="1:12" x14ac:dyDescent="0.25">
      <c r="A27" s="2" t="s">
        <v>127</v>
      </c>
      <c r="B27" s="2">
        <v>1</v>
      </c>
      <c r="C27" s="2">
        <v>1</v>
      </c>
      <c r="D27" s="2">
        <v>1</v>
      </c>
      <c r="E27" s="2">
        <v>1</v>
      </c>
      <c r="F27" s="2">
        <v>1</v>
      </c>
      <c r="G27" s="2">
        <v>1</v>
      </c>
      <c r="H27" s="2">
        <v>1</v>
      </c>
      <c r="I27" s="2">
        <v>7</v>
      </c>
      <c r="J27" s="4">
        <v>1</v>
      </c>
      <c r="K27" s="3">
        <f>Scoring!W27</f>
        <v>95.285714285714292</v>
      </c>
      <c r="L27" s="3">
        <f>Scoring!S27</f>
        <v>95.285714285714292</v>
      </c>
    </row>
    <row r="28" spans="1:12" x14ac:dyDescent="0.25">
      <c r="A28" s="2" t="s">
        <v>130</v>
      </c>
      <c r="B28" s="2">
        <v>1</v>
      </c>
      <c r="C28" s="2">
        <v>1</v>
      </c>
      <c r="D28" s="2">
        <v>0</v>
      </c>
      <c r="E28" s="2">
        <v>1</v>
      </c>
      <c r="F28" s="2">
        <v>1</v>
      </c>
      <c r="G28" s="2">
        <v>1</v>
      </c>
      <c r="H28" s="2">
        <v>0</v>
      </c>
      <c r="I28" s="2">
        <v>5</v>
      </c>
      <c r="J28" s="4">
        <v>0.7142857142857143</v>
      </c>
      <c r="K28" s="3">
        <f>Scoring!W28</f>
        <v>46.6</v>
      </c>
      <c r="L28" s="3">
        <f>Scoring!S28</f>
        <v>33.285714285714285</v>
      </c>
    </row>
    <row r="29" spans="1:12" x14ac:dyDescent="0.25">
      <c r="A29" s="2" t="s">
        <v>133</v>
      </c>
      <c r="B29" s="2">
        <v>1</v>
      </c>
      <c r="C29" s="2">
        <v>1</v>
      </c>
      <c r="D29" s="2">
        <v>1</v>
      </c>
      <c r="E29" s="2">
        <v>1</v>
      </c>
      <c r="F29" s="2">
        <v>1</v>
      </c>
      <c r="G29" s="2">
        <v>1</v>
      </c>
      <c r="H29" s="2">
        <v>1</v>
      </c>
      <c r="I29" s="2">
        <v>7</v>
      </c>
      <c r="J29" s="4">
        <v>1</v>
      </c>
      <c r="K29" s="3">
        <f>Scoring!W29</f>
        <v>81</v>
      </c>
      <c r="L29" s="3">
        <f>Scoring!S29</f>
        <v>81</v>
      </c>
    </row>
    <row r="30" spans="1:12" x14ac:dyDescent="0.25">
      <c r="A30" s="2" t="s">
        <v>134</v>
      </c>
      <c r="B30" s="2">
        <v>1</v>
      </c>
      <c r="C30" s="2">
        <v>0</v>
      </c>
      <c r="D30" s="2">
        <v>1</v>
      </c>
      <c r="E30" s="2">
        <v>0</v>
      </c>
      <c r="F30" s="2">
        <v>0</v>
      </c>
      <c r="G30" s="2">
        <v>1</v>
      </c>
      <c r="H30" s="2">
        <v>1</v>
      </c>
      <c r="I30" s="2">
        <v>4</v>
      </c>
      <c r="J30" s="4">
        <v>0.5714285714285714</v>
      </c>
      <c r="K30" s="3">
        <f>Scoring!W30</f>
        <v>87.5</v>
      </c>
      <c r="L30" s="3">
        <f>Scoring!S30</f>
        <v>50</v>
      </c>
    </row>
    <row r="31" spans="1:12" x14ac:dyDescent="0.25">
      <c r="A31" s="2" t="s">
        <v>138</v>
      </c>
      <c r="B31" s="2">
        <v>1</v>
      </c>
      <c r="C31" s="2">
        <v>1</v>
      </c>
      <c r="D31" s="2">
        <v>1</v>
      </c>
      <c r="E31" s="2">
        <v>1</v>
      </c>
      <c r="F31" s="2">
        <v>1</v>
      </c>
      <c r="G31" s="2">
        <v>1</v>
      </c>
      <c r="H31" s="2">
        <v>1</v>
      </c>
      <c r="I31" s="2">
        <v>7</v>
      </c>
      <c r="J31" s="4">
        <v>1</v>
      </c>
      <c r="K31" s="3">
        <f>Scoring!W31</f>
        <v>40.428571428571431</v>
      </c>
      <c r="L31" s="3">
        <f>Scoring!S31</f>
        <v>40.428571428571431</v>
      </c>
    </row>
    <row r="32" spans="1:12" x14ac:dyDescent="0.25">
      <c r="A32" s="2" t="s">
        <v>141</v>
      </c>
      <c r="B32" s="2">
        <v>1</v>
      </c>
      <c r="C32" s="2">
        <v>1</v>
      </c>
      <c r="D32" s="2">
        <v>1</v>
      </c>
      <c r="E32" s="2">
        <v>1</v>
      </c>
      <c r="F32" s="2">
        <v>1</v>
      </c>
      <c r="G32" s="2">
        <v>1</v>
      </c>
      <c r="H32" s="2">
        <v>1</v>
      </c>
      <c r="I32" s="2">
        <v>7</v>
      </c>
      <c r="J32" s="4">
        <v>1</v>
      </c>
      <c r="K32" s="3">
        <f>Scoring!W32</f>
        <v>95.285714285714292</v>
      </c>
      <c r="L32" s="3">
        <f>Scoring!S32</f>
        <v>95.285714285714292</v>
      </c>
    </row>
    <row r="33" spans="1:12" x14ac:dyDescent="0.25">
      <c r="A33" s="2" t="s">
        <v>143</v>
      </c>
      <c r="B33" s="2">
        <v>1</v>
      </c>
      <c r="C33" s="2">
        <v>1</v>
      </c>
      <c r="D33" s="2">
        <v>1</v>
      </c>
      <c r="E33" s="2">
        <v>1</v>
      </c>
      <c r="F33" s="2">
        <v>1</v>
      </c>
      <c r="G33" s="2">
        <v>1</v>
      </c>
      <c r="H33" s="2">
        <v>1</v>
      </c>
      <c r="I33" s="2">
        <v>7</v>
      </c>
      <c r="J33" s="4">
        <v>1</v>
      </c>
      <c r="K33" s="3">
        <f>Scoring!W33</f>
        <v>59.571428571428569</v>
      </c>
      <c r="L33" s="3">
        <f>Scoring!S33</f>
        <v>59.571428571428569</v>
      </c>
    </row>
    <row r="34" spans="1:12" x14ac:dyDescent="0.25">
      <c r="A34" s="2" t="s">
        <v>145</v>
      </c>
      <c r="B34" s="2">
        <v>1</v>
      </c>
      <c r="C34" s="2">
        <v>0</v>
      </c>
      <c r="D34" s="2">
        <v>1</v>
      </c>
      <c r="E34" s="2">
        <v>1</v>
      </c>
      <c r="F34" s="2">
        <v>1</v>
      </c>
      <c r="G34" s="2">
        <v>1</v>
      </c>
      <c r="H34" s="2">
        <v>1</v>
      </c>
      <c r="I34" s="2">
        <v>6</v>
      </c>
      <c r="J34" s="4">
        <v>0.8571428571428571</v>
      </c>
      <c r="K34" s="3">
        <f>Scoring!W34</f>
        <v>69.5</v>
      </c>
      <c r="L34" s="3">
        <f>Scoring!S34</f>
        <v>59.571428571428569</v>
      </c>
    </row>
    <row r="35" spans="1:12" x14ac:dyDescent="0.25">
      <c r="A35" s="2" t="s">
        <v>148</v>
      </c>
      <c r="B35" s="2">
        <v>1</v>
      </c>
      <c r="C35" s="2">
        <v>1</v>
      </c>
      <c r="D35" s="2">
        <v>1</v>
      </c>
      <c r="E35" s="2">
        <v>1</v>
      </c>
      <c r="F35" s="2">
        <v>1</v>
      </c>
      <c r="G35" s="2">
        <v>1</v>
      </c>
      <c r="H35" s="2">
        <v>1</v>
      </c>
      <c r="I35" s="2">
        <v>7</v>
      </c>
      <c r="J35" s="4">
        <v>1</v>
      </c>
      <c r="K35" s="3">
        <f>Scoring!W35</f>
        <v>38</v>
      </c>
      <c r="L35" s="3">
        <f>Scoring!S35</f>
        <v>38</v>
      </c>
    </row>
    <row r="36" spans="1:12" x14ac:dyDescent="0.25">
      <c r="A36" s="2" t="s">
        <v>151</v>
      </c>
      <c r="B36" s="2">
        <v>1</v>
      </c>
      <c r="C36" s="2">
        <v>1</v>
      </c>
      <c r="D36" s="2">
        <v>1</v>
      </c>
      <c r="E36" s="2">
        <v>1</v>
      </c>
      <c r="F36" s="2">
        <v>1</v>
      </c>
      <c r="G36" s="2">
        <v>1</v>
      </c>
      <c r="H36" s="2">
        <v>1</v>
      </c>
      <c r="I36" s="2">
        <v>7</v>
      </c>
      <c r="J36" s="4">
        <v>1</v>
      </c>
      <c r="K36" s="3">
        <f>Scoring!W36</f>
        <v>38</v>
      </c>
      <c r="L36" s="3">
        <f>Scoring!S36</f>
        <v>38</v>
      </c>
    </row>
    <row r="37" spans="1:12" x14ac:dyDescent="0.25">
      <c r="A37" s="2" t="s">
        <v>153</v>
      </c>
      <c r="B37" s="2">
        <v>1</v>
      </c>
      <c r="C37" s="2">
        <v>1</v>
      </c>
      <c r="D37" s="2">
        <v>1</v>
      </c>
      <c r="E37" s="2">
        <v>1</v>
      </c>
      <c r="F37" s="2">
        <v>1</v>
      </c>
      <c r="G37" s="2">
        <v>1</v>
      </c>
      <c r="H37" s="2">
        <v>1</v>
      </c>
      <c r="I37" s="2">
        <v>7</v>
      </c>
      <c r="J37" s="4">
        <v>1</v>
      </c>
      <c r="K37" s="3">
        <f>Scoring!W37</f>
        <v>28.571428571428573</v>
      </c>
      <c r="L37" s="3">
        <f>Scoring!S37</f>
        <v>28.571428571428573</v>
      </c>
    </row>
    <row r="38" spans="1:12" ht="30" x14ac:dyDescent="0.25">
      <c r="A38" s="2" t="s">
        <v>155</v>
      </c>
      <c r="B38" s="2">
        <v>1</v>
      </c>
      <c r="C38" s="2">
        <v>1</v>
      </c>
      <c r="D38" s="2">
        <v>1</v>
      </c>
      <c r="E38" s="2">
        <v>1</v>
      </c>
      <c r="F38" s="2">
        <v>1</v>
      </c>
      <c r="G38" s="2">
        <v>1</v>
      </c>
      <c r="H38" s="2">
        <v>1</v>
      </c>
      <c r="I38" s="2">
        <v>7</v>
      </c>
      <c r="J38" s="4">
        <v>1</v>
      </c>
      <c r="K38" s="3">
        <f>Scoring!W38</f>
        <v>100</v>
      </c>
      <c r="L38" s="3">
        <f>Scoring!S38</f>
        <v>100</v>
      </c>
    </row>
    <row r="39" spans="1:12" x14ac:dyDescent="0.25">
      <c r="A39" s="2" t="s">
        <v>160</v>
      </c>
      <c r="B39" s="2">
        <v>0</v>
      </c>
      <c r="C39" s="2">
        <v>0</v>
      </c>
      <c r="D39" s="2">
        <v>0</v>
      </c>
      <c r="E39" s="2">
        <v>1</v>
      </c>
      <c r="F39" s="2">
        <v>0</v>
      </c>
      <c r="G39" s="2">
        <v>0</v>
      </c>
      <c r="H39" s="2">
        <v>1</v>
      </c>
      <c r="I39" s="2">
        <v>2</v>
      </c>
      <c r="J39" s="4">
        <v>0.2857142857142857</v>
      </c>
      <c r="K39" s="3">
        <f>Scoring!W39</f>
        <v>50</v>
      </c>
      <c r="L39" s="3">
        <f>Scoring!S39</f>
        <v>14.285714285714286</v>
      </c>
    </row>
    <row r="40" spans="1:12" x14ac:dyDescent="0.25">
      <c r="A40" s="2" t="s">
        <v>163</v>
      </c>
      <c r="B40" s="2">
        <v>1</v>
      </c>
      <c r="C40" s="2">
        <v>1</v>
      </c>
      <c r="D40" s="2">
        <v>1</v>
      </c>
      <c r="E40" s="2">
        <v>1</v>
      </c>
      <c r="F40" s="2">
        <v>1</v>
      </c>
      <c r="G40" s="2">
        <v>1</v>
      </c>
      <c r="H40" s="2">
        <v>1</v>
      </c>
      <c r="I40" s="2">
        <v>7</v>
      </c>
      <c r="J40" s="4">
        <v>1</v>
      </c>
      <c r="K40" s="3">
        <f>Scoring!W40</f>
        <v>81</v>
      </c>
      <c r="L40" s="3">
        <f>Scoring!S40</f>
        <v>81</v>
      </c>
    </row>
    <row r="41" spans="1:12" x14ac:dyDescent="0.25">
      <c r="A41" s="2" t="s">
        <v>164</v>
      </c>
      <c r="B41" s="2">
        <v>1</v>
      </c>
      <c r="C41" s="2">
        <v>1</v>
      </c>
      <c r="D41" s="2">
        <v>1</v>
      </c>
      <c r="E41" s="2">
        <v>1</v>
      </c>
      <c r="F41" s="2">
        <v>1</v>
      </c>
      <c r="G41" s="2">
        <v>1</v>
      </c>
      <c r="H41" s="2">
        <v>1</v>
      </c>
      <c r="I41" s="2">
        <v>7</v>
      </c>
      <c r="J41" s="4">
        <v>1</v>
      </c>
      <c r="K41" s="3">
        <f>Scoring!W41</f>
        <v>100</v>
      </c>
      <c r="L41" s="3">
        <f>Scoring!S41</f>
        <v>100</v>
      </c>
    </row>
    <row r="42" spans="1:12" x14ac:dyDescent="0.25">
      <c r="A42" s="2" t="s">
        <v>166</v>
      </c>
      <c r="B42" s="2">
        <v>0</v>
      </c>
      <c r="C42" s="2">
        <v>1</v>
      </c>
      <c r="D42" s="2">
        <v>1</v>
      </c>
      <c r="E42" s="2">
        <v>0</v>
      </c>
      <c r="F42" s="2">
        <v>0</v>
      </c>
      <c r="G42" s="2">
        <v>0</v>
      </c>
      <c r="H42" s="2">
        <v>0</v>
      </c>
      <c r="I42" s="2">
        <v>2</v>
      </c>
      <c r="J42" s="4">
        <v>0.2857142857142857</v>
      </c>
      <c r="K42" s="3">
        <f>Scoring!W42</f>
        <v>0</v>
      </c>
      <c r="L42" s="3">
        <f>Scoring!S42</f>
        <v>0</v>
      </c>
    </row>
    <row r="43" spans="1:12" x14ac:dyDescent="0.25">
      <c r="A43" s="2" t="s">
        <v>169</v>
      </c>
      <c r="B43" s="2">
        <v>1</v>
      </c>
      <c r="C43" s="2">
        <v>1</v>
      </c>
      <c r="D43" s="2">
        <v>1</v>
      </c>
      <c r="E43" s="2">
        <v>1</v>
      </c>
      <c r="F43" s="2">
        <v>1</v>
      </c>
      <c r="G43" s="2">
        <v>1</v>
      </c>
      <c r="H43" s="2">
        <v>1</v>
      </c>
      <c r="I43" s="2">
        <v>7</v>
      </c>
      <c r="J43" s="4">
        <v>1</v>
      </c>
      <c r="K43" s="3">
        <f>Scoring!W43</f>
        <v>78.571428571428569</v>
      </c>
      <c r="L43" s="3">
        <f>Scoring!S43</f>
        <v>78.571428571428569</v>
      </c>
    </row>
    <row r="44" spans="1:12" x14ac:dyDescent="0.25">
      <c r="A44" s="2" t="s">
        <v>172</v>
      </c>
      <c r="B44" s="2">
        <v>1</v>
      </c>
      <c r="C44" s="2">
        <v>0</v>
      </c>
      <c r="D44" s="2">
        <v>0</v>
      </c>
      <c r="E44" s="2">
        <v>1</v>
      </c>
      <c r="F44" s="2">
        <v>0</v>
      </c>
      <c r="G44" s="2">
        <v>0</v>
      </c>
      <c r="H44" s="2">
        <v>0</v>
      </c>
      <c r="I44" s="2">
        <v>2</v>
      </c>
      <c r="J44" s="4">
        <v>0.2857142857142857</v>
      </c>
      <c r="K44" s="3">
        <f>Scoring!W44</f>
        <v>67</v>
      </c>
      <c r="L44" s="3">
        <f>Scoring!S44</f>
        <v>19.142857142857142</v>
      </c>
    </row>
    <row r="45" spans="1:12" x14ac:dyDescent="0.25">
      <c r="A45" s="2" t="s">
        <v>175</v>
      </c>
      <c r="B45" s="2">
        <v>1</v>
      </c>
      <c r="C45" s="2">
        <v>1</v>
      </c>
      <c r="D45" s="2">
        <v>1</v>
      </c>
      <c r="E45" s="2">
        <v>1</v>
      </c>
      <c r="F45" s="2">
        <v>1</v>
      </c>
      <c r="G45" s="2">
        <v>1</v>
      </c>
      <c r="H45" s="2">
        <v>1</v>
      </c>
      <c r="I45" s="2">
        <v>7</v>
      </c>
      <c r="J45" s="4">
        <v>1</v>
      </c>
      <c r="K45" s="3">
        <f>Scoring!W45</f>
        <v>100</v>
      </c>
      <c r="L45" s="3">
        <f>Scoring!S45</f>
        <v>100</v>
      </c>
    </row>
    <row r="46" spans="1:12" x14ac:dyDescent="0.25">
      <c r="A46" s="2" t="s">
        <v>177</v>
      </c>
      <c r="B46" s="2">
        <v>1</v>
      </c>
      <c r="C46" s="2">
        <v>1</v>
      </c>
      <c r="D46" s="2">
        <v>1</v>
      </c>
      <c r="E46" s="2">
        <v>1</v>
      </c>
      <c r="F46" s="2">
        <v>1</v>
      </c>
      <c r="G46" s="2">
        <v>1</v>
      </c>
      <c r="H46" s="2">
        <v>1</v>
      </c>
      <c r="I46" s="2">
        <v>7</v>
      </c>
      <c r="J46" s="4">
        <v>1</v>
      </c>
      <c r="K46" s="3">
        <f>Scoring!W46</f>
        <v>100</v>
      </c>
      <c r="L46" s="3">
        <f>Scoring!S46</f>
        <v>100</v>
      </c>
    </row>
    <row r="47" spans="1:12" x14ac:dyDescent="0.25">
      <c r="A47" s="2" t="s">
        <v>180</v>
      </c>
      <c r="B47" s="2">
        <v>1</v>
      </c>
      <c r="C47" s="2">
        <v>1</v>
      </c>
      <c r="D47" s="2">
        <v>1</v>
      </c>
      <c r="E47" s="2">
        <v>1</v>
      </c>
      <c r="F47" s="2">
        <v>1</v>
      </c>
      <c r="G47" s="2">
        <v>1</v>
      </c>
      <c r="H47" s="2">
        <v>1</v>
      </c>
      <c r="I47" s="2">
        <v>7</v>
      </c>
      <c r="J47" s="4">
        <v>1</v>
      </c>
      <c r="K47" s="3">
        <f>Scoring!W47</f>
        <v>45.285714285714285</v>
      </c>
      <c r="L47" s="3">
        <f>Scoring!S47</f>
        <v>45.285714285714285</v>
      </c>
    </row>
    <row r="48" spans="1:12" x14ac:dyDescent="0.25">
      <c r="A48" s="2" t="s">
        <v>182</v>
      </c>
      <c r="B48" s="2">
        <v>1</v>
      </c>
      <c r="C48" s="2">
        <v>1</v>
      </c>
      <c r="D48" s="2">
        <v>1</v>
      </c>
      <c r="E48" s="2">
        <v>1</v>
      </c>
      <c r="F48" s="2">
        <v>1</v>
      </c>
      <c r="G48" s="2">
        <v>1</v>
      </c>
      <c r="H48" s="2">
        <v>1</v>
      </c>
      <c r="I48" s="2">
        <v>7</v>
      </c>
      <c r="J48" s="4">
        <v>1</v>
      </c>
      <c r="K48" s="3">
        <f>Scoring!W48</f>
        <v>90.428571428571431</v>
      </c>
      <c r="L48" s="3">
        <f>Scoring!S48</f>
        <v>90.428571428571431</v>
      </c>
    </row>
    <row r="49" spans="1:12" x14ac:dyDescent="0.25">
      <c r="A49" s="2" t="s">
        <v>183</v>
      </c>
      <c r="B49" s="2">
        <v>1</v>
      </c>
      <c r="C49" s="2">
        <v>0</v>
      </c>
      <c r="D49" s="2">
        <v>1</v>
      </c>
      <c r="E49" s="2">
        <v>1</v>
      </c>
      <c r="F49" s="2">
        <v>1</v>
      </c>
      <c r="G49" s="2">
        <v>1</v>
      </c>
      <c r="H49" s="2">
        <v>1</v>
      </c>
      <c r="I49" s="2">
        <v>6</v>
      </c>
      <c r="J49" s="4">
        <v>0.8571428571428571</v>
      </c>
      <c r="K49" s="3">
        <f>Scoring!W49</f>
        <v>83.333333333333329</v>
      </c>
      <c r="L49" s="3">
        <f>Scoring!S49</f>
        <v>71.428571428571431</v>
      </c>
    </row>
    <row r="50" spans="1:12" x14ac:dyDescent="0.25">
      <c r="A50" s="2" t="s">
        <v>185</v>
      </c>
      <c r="B50" s="2">
        <v>1</v>
      </c>
      <c r="C50" s="2">
        <v>0</v>
      </c>
      <c r="D50" s="2">
        <v>1</v>
      </c>
      <c r="E50" s="2">
        <v>1</v>
      </c>
      <c r="F50" s="2">
        <v>1</v>
      </c>
      <c r="G50" s="2">
        <v>1</v>
      </c>
      <c r="H50" s="2">
        <v>1</v>
      </c>
      <c r="I50" s="2">
        <v>6</v>
      </c>
      <c r="J50" s="4">
        <v>0.8571428571428571</v>
      </c>
      <c r="K50" s="3">
        <f>Scoring!W50</f>
        <v>75</v>
      </c>
      <c r="L50" s="3">
        <f>Scoring!S50</f>
        <v>64.285714285714292</v>
      </c>
    </row>
    <row r="51" spans="1:12" x14ac:dyDescent="0.25">
      <c r="A51" s="2" t="s">
        <v>189</v>
      </c>
      <c r="B51" s="2">
        <v>1</v>
      </c>
      <c r="C51" s="2">
        <v>1</v>
      </c>
      <c r="D51" s="2">
        <v>1</v>
      </c>
      <c r="E51" s="2">
        <v>1</v>
      </c>
      <c r="F51" s="2">
        <v>1</v>
      </c>
      <c r="G51" s="2">
        <v>1</v>
      </c>
      <c r="H51" s="2">
        <v>1</v>
      </c>
      <c r="I51" s="2">
        <v>7</v>
      </c>
      <c r="J51" s="4">
        <v>1</v>
      </c>
      <c r="K51" s="3">
        <f>Scoring!W51</f>
        <v>95.285714285714292</v>
      </c>
      <c r="L51" s="3">
        <f>Scoring!S51</f>
        <v>95.285714285714292</v>
      </c>
    </row>
    <row r="52" spans="1:12" x14ac:dyDescent="0.25">
      <c r="A52" s="2" t="s">
        <v>192</v>
      </c>
      <c r="B52" s="2">
        <v>1</v>
      </c>
      <c r="C52" s="2">
        <v>1</v>
      </c>
      <c r="D52" s="2">
        <v>1</v>
      </c>
      <c r="E52" s="2">
        <v>1</v>
      </c>
      <c r="F52" s="2">
        <v>1</v>
      </c>
      <c r="G52" s="2">
        <v>1</v>
      </c>
      <c r="H52" s="2">
        <v>1</v>
      </c>
      <c r="I52" s="2">
        <v>7</v>
      </c>
      <c r="J52" s="4">
        <v>1</v>
      </c>
      <c r="K52" s="3">
        <f>Scoring!W52</f>
        <v>57.142857142857146</v>
      </c>
      <c r="L52" s="3">
        <f>Scoring!S52</f>
        <v>57.142857142857146</v>
      </c>
    </row>
    <row r="53" spans="1:12" x14ac:dyDescent="0.25">
      <c r="A53" s="2" t="s">
        <v>195</v>
      </c>
      <c r="B53" s="2">
        <v>1</v>
      </c>
      <c r="C53" s="2">
        <v>1</v>
      </c>
      <c r="D53" s="2">
        <v>1</v>
      </c>
      <c r="E53" s="2">
        <v>1</v>
      </c>
      <c r="F53" s="2">
        <v>1</v>
      </c>
      <c r="G53" s="2">
        <v>1</v>
      </c>
      <c r="H53" s="2">
        <v>1</v>
      </c>
      <c r="I53" s="2">
        <v>7</v>
      </c>
      <c r="J53" s="4">
        <v>1</v>
      </c>
      <c r="K53" s="3">
        <f>Scoring!W53</f>
        <v>90.428571428571431</v>
      </c>
      <c r="L53" s="3">
        <f>Scoring!S53</f>
        <v>90.428571428571431</v>
      </c>
    </row>
    <row r="54" spans="1:12" x14ac:dyDescent="0.25">
      <c r="A54" s="2" t="s">
        <v>197</v>
      </c>
      <c r="B54" s="2">
        <v>1</v>
      </c>
      <c r="C54" s="2">
        <v>1</v>
      </c>
      <c r="D54" s="2">
        <v>1</v>
      </c>
      <c r="E54" s="2">
        <v>1</v>
      </c>
      <c r="F54" s="2">
        <v>1</v>
      </c>
      <c r="G54" s="2">
        <v>1</v>
      </c>
      <c r="H54" s="2">
        <v>1</v>
      </c>
      <c r="I54" s="2">
        <v>7</v>
      </c>
      <c r="J54" s="4">
        <v>1</v>
      </c>
      <c r="K54" s="3">
        <f>Scoring!W54</f>
        <v>85.857142857142861</v>
      </c>
      <c r="L54" s="3">
        <f>Scoring!S54</f>
        <v>85.857142857142861</v>
      </c>
    </row>
    <row r="55" spans="1:12" x14ac:dyDescent="0.25">
      <c r="A55" s="2" t="s">
        <v>198</v>
      </c>
      <c r="B55" s="2">
        <v>1</v>
      </c>
      <c r="C55" s="2">
        <v>1</v>
      </c>
      <c r="D55" s="2">
        <v>1</v>
      </c>
      <c r="E55" s="2">
        <v>0</v>
      </c>
      <c r="F55" s="2">
        <v>1</v>
      </c>
      <c r="G55" s="2">
        <v>1</v>
      </c>
      <c r="H55" s="2">
        <v>1</v>
      </c>
      <c r="I55" s="2">
        <v>6</v>
      </c>
      <c r="J55" s="4">
        <v>0.8571428571428571</v>
      </c>
      <c r="K55" s="3">
        <f>Scoring!W55</f>
        <v>100</v>
      </c>
      <c r="L55" s="3">
        <f>Scoring!S55</f>
        <v>85.714285714285708</v>
      </c>
    </row>
    <row r="56" spans="1:12" x14ac:dyDescent="0.25">
      <c r="A56" s="2" t="s">
        <v>201</v>
      </c>
      <c r="B56" s="2">
        <v>0</v>
      </c>
      <c r="C56" s="2">
        <v>0</v>
      </c>
      <c r="D56" s="2">
        <v>1</v>
      </c>
      <c r="E56" s="2">
        <v>0</v>
      </c>
      <c r="F56" s="2">
        <v>0</v>
      </c>
      <c r="G56" s="2">
        <v>0</v>
      </c>
      <c r="H56" s="2">
        <v>1</v>
      </c>
      <c r="I56" s="2">
        <v>2</v>
      </c>
      <c r="J56" s="4">
        <v>0.2857142857142857</v>
      </c>
      <c r="K56" s="3">
        <f>Scoring!W56</f>
        <v>0</v>
      </c>
      <c r="L56" s="3">
        <f>Scoring!S56</f>
        <v>0</v>
      </c>
    </row>
    <row r="57" spans="1:12" ht="30" x14ac:dyDescent="0.25">
      <c r="A57" s="2" t="s">
        <v>205</v>
      </c>
      <c r="B57" s="2">
        <v>1</v>
      </c>
      <c r="C57" s="2">
        <v>1</v>
      </c>
      <c r="D57" s="2">
        <v>1</v>
      </c>
      <c r="E57" s="2">
        <v>1</v>
      </c>
      <c r="F57" s="2">
        <v>1</v>
      </c>
      <c r="G57" s="2">
        <v>1</v>
      </c>
      <c r="H57" s="2">
        <v>0</v>
      </c>
      <c r="I57" s="2">
        <v>6</v>
      </c>
      <c r="J57" s="4">
        <v>0.8571428571428571</v>
      </c>
      <c r="K57" s="3">
        <f>Scoring!W57</f>
        <v>72.166666666666671</v>
      </c>
      <c r="L57" s="3">
        <f>Scoring!S57</f>
        <v>61.857142857142854</v>
      </c>
    </row>
    <row r="58" spans="1:12" x14ac:dyDescent="0.25">
      <c r="A58" s="2" t="s">
        <v>208</v>
      </c>
      <c r="B58" s="2">
        <v>1</v>
      </c>
      <c r="C58" s="2">
        <v>1</v>
      </c>
      <c r="D58" s="2">
        <v>1</v>
      </c>
      <c r="E58" s="2">
        <v>1</v>
      </c>
      <c r="F58" s="2">
        <v>1</v>
      </c>
      <c r="G58" s="2">
        <v>0</v>
      </c>
      <c r="H58" s="2">
        <v>1</v>
      </c>
      <c r="I58" s="2">
        <v>6</v>
      </c>
      <c r="J58" s="4">
        <v>0.8571428571428571</v>
      </c>
      <c r="K58" s="3">
        <f>Scoring!W58</f>
        <v>94.5</v>
      </c>
      <c r="L58" s="3">
        <f>Scoring!S58</f>
        <v>81</v>
      </c>
    </row>
    <row r="59" spans="1:12" x14ac:dyDescent="0.25">
      <c r="A59" s="2" t="s">
        <v>211</v>
      </c>
      <c r="B59" s="2">
        <v>1</v>
      </c>
      <c r="C59" s="2">
        <v>1</v>
      </c>
      <c r="D59" s="2">
        <v>1</v>
      </c>
      <c r="E59" s="2">
        <v>1</v>
      </c>
      <c r="F59" s="2">
        <v>1</v>
      </c>
      <c r="G59" s="2">
        <v>1</v>
      </c>
      <c r="H59" s="2">
        <v>1</v>
      </c>
      <c r="I59" s="2">
        <v>7</v>
      </c>
      <c r="J59" s="4">
        <v>1</v>
      </c>
      <c r="K59" s="3">
        <f>Scoring!W59</f>
        <v>50</v>
      </c>
      <c r="L59" s="3">
        <f>Scoring!S59</f>
        <v>50</v>
      </c>
    </row>
    <row r="60" spans="1:12" x14ac:dyDescent="0.25">
      <c r="A60" s="2" t="s">
        <v>215</v>
      </c>
      <c r="B60" s="2">
        <v>1</v>
      </c>
      <c r="C60" s="2">
        <v>1</v>
      </c>
      <c r="D60" s="2">
        <v>1</v>
      </c>
      <c r="E60" s="2">
        <v>1</v>
      </c>
      <c r="F60" s="2">
        <v>1</v>
      </c>
      <c r="G60" s="2">
        <v>0</v>
      </c>
      <c r="H60" s="2">
        <v>1</v>
      </c>
      <c r="I60" s="2">
        <v>6</v>
      </c>
      <c r="J60" s="4">
        <v>0.8571428571428571</v>
      </c>
      <c r="K60" s="3">
        <f>Scoring!W60</f>
        <v>83.333333333333329</v>
      </c>
      <c r="L60" s="3">
        <f>Scoring!S60</f>
        <v>71.428571428571431</v>
      </c>
    </row>
    <row r="61" spans="1:12" x14ac:dyDescent="0.25">
      <c r="A61" s="2" t="s">
        <v>218</v>
      </c>
      <c r="B61" s="2">
        <v>1</v>
      </c>
      <c r="C61" s="2">
        <v>0</v>
      </c>
      <c r="D61" s="2">
        <v>1</v>
      </c>
      <c r="E61" s="2">
        <v>1</v>
      </c>
      <c r="F61" s="2">
        <v>1</v>
      </c>
      <c r="G61" s="2">
        <v>1</v>
      </c>
      <c r="H61" s="2">
        <v>1</v>
      </c>
      <c r="I61" s="2">
        <v>6</v>
      </c>
      <c r="J61" s="4">
        <v>0.8571428571428571</v>
      </c>
      <c r="K61" s="3">
        <f>Scoring!W61</f>
        <v>86.166666666666671</v>
      </c>
      <c r="L61" s="3">
        <f>Scoring!S61</f>
        <v>73.857142857142861</v>
      </c>
    </row>
    <row r="62" spans="1:12" x14ac:dyDescent="0.25">
      <c r="A62" s="2" t="s">
        <v>220</v>
      </c>
      <c r="B62" s="2">
        <v>1</v>
      </c>
      <c r="C62" s="2">
        <v>1</v>
      </c>
      <c r="D62" s="2">
        <v>1</v>
      </c>
      <c r="E62" s="2">
        <v>1</v>
      </c>
      <c r="F62" s="2">
        <v>1</v>
      </c>
      <c r="G62" s="2">
        <v>1</v>
      </c>
      <c r="H62" s="2">
        <v>1</v>
      </c>
      <c r="I62" s="2">
        <v>7</v>
      </c>
      <c r="J62" s="4">
        <v>1</v>
      </c>
      <c r="K62" s="3">
        <f>Scoring!W62</f>
        <v>69.142857142857139</v>
      </c>
      <c r="L62" s="3">
        <f>Scoring!S62</f>
        <v>69.142857142857139</v>
      </c>
    </row>
    <row r="63" spans="1:12" x14ac:dyDescent="0.25">
      <c r="A63" s="2" t="s">
        <v>222</v>
      </c>
      <c r="B63" s="2">
        <v>1</v>
      </c>
      <c r="C63" s="2">
        <v>0</v>
      </c>
      <c r="D63" s="2">
        <v>1</v>
      </c>
      <c r="E63" s="2">
        <v>1</v>
      </c>
      <c r="F63" s="2">
        <v>1</v>
      </c>
      <c r="G63" s="2">
        <v>1</v>
      </c>
      <c r="H63" s="2">
        <v>1</v>
      </c>
      <c r="I63" s="2">
        <v>6</v>
      </c>
      <c r="J63" s="4">
        <v>0.8571428571428571</v>
      </c>
      <c r="K63" s="3">
        <f>Scoring!W63</f>
        <v>72.166666666666671</v>
      </c>
      <c r="L63" s="3">
        <f>Scoring!S63</f>
        <v>61.857142857142854</v>
      </c>
    </row>
    <row r="64" spans="1:12" x14ac:dyDescent="0.25">
      <c r="A64" s="2" t="s">
        <v>223</v>
      </c>
      <c r="B64" s="2">
        <v>0</v>
      </c>
      <c r="C64" s="2">
        <v>0</v>
      </c>
      <c r="D64" s="2">
        <v>1</v>
      </c>
      <c r="E64" s="2">
        <v>1</v>
      </c>
      <c r="F64" s="2">
        <v>1</v>
      </c>
      <c r="G64" s="2">
        <v>0</v>
      </c>
      <c r="H64" s="2">
        <v>1</v>
      </c>
      <c r="I64" s="2">
        <v>4</v>
      </c>
      <c r="J64" s="4">
        <v>0.5714285714285714</v>
      </c>
      <c r="K64" s="3">
        <f>Scoring!W64</f>
        <v>66.75</v>
      </c>
      <c r="L64" s="3">
        <f>Scoring!S64</f>
        <v>38.142857142857146</v>
      </c>
    </row>
    <row r="65" spans="1:12" x14ac:dyDescent="0.25">
      <c r="A65" s="2" t="s">
        <v>226</v>
      </c>
      <c r="B65" s="2">
        <v>1</v>
      </c>
      <c r="C65" s="2">
        <v>0</v>
      </c>
      <c r="D65" s="2">
        <v>1</v>
      </c>
      <c r="E65" s="2">
        <v>1</v>
      </c>
      <c r="F65" s="2">
        <v>1</v>
      </c>
      <c r="G65" s="2">
        <v>1</v>
      </c>
      <c r="H65" s="2">
        <v>1</v>
      </c>
      <c r="I65" s="2">
        <v>6</v>
      </c>
      <c r="J65" s="4">
        <v>0.8571428571428571</v>
      </c>
      <c r="K65" s="3">
        <f>Scoring!W65</f>
        <v>69.5</v>
      </c>
      <c r="L65" s="3">
        <f>Scoring!S65</f>
        <v>59.571428571428569</v>
      </c>
    </row>
    <row r="66" spans="1:12" ht="30" x14ac:dyDescent="0.25">
      <c r="A66" s="2" t="s">
        <v>227</v>
      </c>
      <c r="B66" s="2">
        <v>1</v>
      </c>
      <c r="C66" s="2">
        <v>1</v>
      </c>
      <c r="D66" s="2">
        <v>1</v>
      </c>
      <c r="E66" s="2">
        <v>1</v>
      </c>
      <c r="F66" s="2">
        <v>1</v>
      </c>
      <c r="G66" s="2">
        <v>1</v>
      </c>
      <c r="H66" s="2">
        <v>1</v>
      </c>
      <c r="I66" s="2">
        <v>7</v>
      </c>
      <c r="J66" s="4">
        <v>1</v>
      </c>
      <c r="K66" s="3">
        <f>Scoring!W66</f>
        <v>50</v>
      </c>
      <c r="L66" s="3">
        <f>Scoring!S66</f>
        <v>50</v>
      </c>
    </row>
    <row r="67" spans="1:12" x14ac:dyDescent="0.25">
      <c r="A67" s="2" t="s">
        <v>229</v>
      </c>
      <c r="B67" s="2">
        <v>1</v>
      </c>
      <c r="C67" s="2">
        <v>0</v>
      </c>
      <c r="D67" s="2">
        <v>1</v>
      </c>
      <c r="E67" s="2">
        <v>1</v>
      </c>
      <c r="F67" s="2">
        <v>1</v>
      </c>
      <c r="G67" s="2">
        <v>0</v>
      </c>
      <c r="H67" s="2">
        <v>1</v>
      </c>
      <c r="I67" s="2">
        <v>5</v>
      </c>
      <c r="J67" s="4">
        <v>0.7142857142857143</v>
      </c>
      <c r="K67" s="3">
        <f>Scoring!W67</f>
        <v>56.6</v>
      </c>
      <c r="L67" s="3">
        <f>Scoring!S67</f>
        <v>40.428571428571431</v>
      </c>
    </row>
    <row r="68" spans="1:12" x14ac:dyDescent="0.25">
      <c r="A68" s="2" t="s">
        <v>232</v>
      </c>
      <c r="B68" s="2">
        <v>1</v>
      </c>
      <c r="C68" s="2">
        <v>0</v>
      </c>
      <c r="D68" s="2">
        <v>1</v>
      </c>
      <c r="E68" s="2">
        <v>1</v>
      </c>
      <c r="F68" s="2">
        <v>1</v>
      </c>
      <c r="G68" s="2">
        <v>1</v>
      </c>
      <c r="H68" s="2">
        <v>1</v>
      </c>
      <c r="I68" s="2">
        <v>6</v>
      </c>
      <c r="J68" s="4">
        <v>0.8571428571428571</v>
      </c>
      <c r="K68" s="3">
        <f>Scoring!W68</f>
        <v>80.666666666666671</v>
      </c>
      <c r="L68" s="3">
        <f>Scoring!S68</f>
        <v>69.142857142857139</v>
      </c>
    </row>
    <row r="69" spans="1:12" x14ac:dyDescent="0.25">
      <c r="A69" s="2" t="s">
        <v>235</v>
      </c>
      <c r="B69" s="2">
        <v>1</v>
      </c>
      <c r="C69" s="2">
        <v>1</v>
      </c>
      <c r="D69" s="2">
        <v>1</v>
      </c>
      <c r="E69" s="2">
        <v>1</v>
      </c>
      <c r="F69" s="2">
        <v>0</v>
      </c>
      <c r="G69" s="2">
        <v>1</v>
      </c>
      <c r="H69" s="2">
        <v>1</v>
      </c>
      <c r="I69" s="2">
        <v>6</v>
      </c>
      <c r="J69" s="4">
        <v>0.8571428571428571</v>
      </c>
      <c r="K69" s="3">
        <f>Scoring!W69</f>
        <v>41.666666666666664</v>
      </c>
      <c r="L69" s="3">
        <f>Scoring!S69</f>
        <v>35.714285714285715</v>
      </c>
    </row>
    <row r="70" spans="1:12" x14ac:dyDescent="0.25">
      <c r="A70" s="2" t="s">
        <v>238</v>
      </c>
      <c r="B70" s="2">
        <v>1</v>
      </c>
      <c r="C70" s="2">
        <v>1</v>
      </c>
      <c r="D70" s="2">
        <v>1</v>
      </c>
      <c r="E70" s="2">
        <v>1</v>
      </c>
      <c r="F70" s="2">
        <v>1</v>
      </c>
      <c r="G70" s="2">
        <v>1</v>
      </c>
      <c r="H70" s="2">
        <v>1</v>
      </c>
      <c r="I70" s="2">
        <v>7</v>
      </c>
      <c r="J70" s="4">
        <v>1</v>
      </c>
      <c r="K70" s="3">
        <f>Scoring!W70</f>
        <v>76.285714285714292</v>
      </c>
      <c r="L70" s="3">
        <f>Scoring!S70</f>
        <v>76.285714285714292</v>
      </c>
    </row>
    <row r="71" spans="1:12" x14ac:dyDescent="0.25">
      <c r="A71" s="2" t="s">
        <v>241</v>
      </c>
      <c r="B71" s="2">
        <v>1</v>
      </c>
      <c r="C71" s="2">
        <v>1</v>
      </c>
      <c r="D71" s="2">
        <v>1</v>
      </c>
      <c r="E71" s="2">
        <v>1</v>
      </c>
      <c r="F71" s="2">
        <v>1</v>
      </c>
      <c r="G71" s="2">
        <v>1</v>
      </c>
      <c r="H71" s="2">
        <v>1</v>
      </c>
      <c r="I71" s="2">
        <v>7</v>
      </c>
      <c r="J71" s="4">
        <v>1</v>
      </c>
      <c r="K71" s="3">
        <f>Scoring!W71</f>
        <v>90.428571428571431</v>
      </c>
      <c r="L71" s="3">
        <f>Scoring!S71</f>
        <v>90.428571428571431</v>
      </c>
    </row>
    <row r="72" spans="1:12" x14ac:dyDescent="0.25">
      <c r="A72" s="2" t="s">
        <v>244</v>
      </c>
      <c r="B72" s="2">
        <v>1</v>
      </c>
      <c r="C72" s="2">
        <v>1</v>
      </c>
      <c r="D72" s="2">
        <v>0</v>
      </c>
      <c r="E72" s="2">
        <v>0</v>
      </c>
      <c r="F72" s="2">
        <v>1</v>
      </c>
      <c r="G72" s="2">
        <v>1</v>
      </c>
      <c r="H72" s="2">
        <v>1</v>
      </c>
      <c r="I72" s="2">
        <v>5</v>
      </c>
      <c r="J72" s="4">
        <v>0.7142857142857143</v>
      </c>
      <c r="K72" s="3">
        <f>Scoring!W72</f>
        <v>100</v>
      </c>
      <c r="L72" s="3">
        <f>Scoring!S72</f>
        <v>71.428571428571431</v>
      </c>
    </row>
    <row r="73" spans="1:12" x14ac:dyDescent="0.25">
      <c r="A73" s="2" t="s">
        <v>247</v>
      </c>
      <c r="B73" s="2">
        <v>1</v>
      </c>
      <c r="C73" s="2">
        <v>1</v>
      </c>
      <c r="D73" s="2">
        <v>1</v>
      </c>
      <c r="E73" s="2">
        <v>1</v>
      </c>
      <c r="F73" s="2">
        <v>1</v>
      </c>
      <c r="G73" s="2">
        <v>1</v>
      </c>
      <c r="H73" s="2">
        <v>1</v>
      </c>
      <c r="I73" s="2">
        <v>7</v>
      </c>
      <c r="J73" s="4">
        <v>1</v>
      </c>
      <c r="K73" s="3">
        <f>Scoring!W73</f>
        <v>88.142857142857139</v>
      </c>
      <c r="L73" s="3">
        <f>Scoring!S73</f>
        <v>88.142857142857139</v>
      </c>
    </row>
    <row r="74" spans="1:12" x14ac:dyDescent="0.25">
      <c r="A74" s="2" t="s">
        <v>250</v>
      </c>
      <c r="B74" s="2">
        <v>1</v>
      </c>
      <c r="C74" s="2">
        <v>1</v>
      </c>
      <c r="D74" s="2">
        <v>1</v>
      </c>
      <c r="E74" s="2">
        <v>1</v>
      </c>
      <c r="F74" s="2">
        <v>1</v>
      </c>
      <c r="G74" s="2">
        <v>1</v>
      </c>
      <c r="H74" s="2">
        <v>1</v>
      </c>
      <c r="I74" s="2">
        <v>7</v>
      </c>
      <c r="J74" s="4">
        <v>1</v>
      </c>
      <c r="K74" s="3">
        <f>Scoring!W74</f>
        <v>90.428571428571431</v>
      </c>
      <c r="L74" s="3">
        <f>Scoring!S74</f>
        <v>90.428571428571431</v>
      </c>
    </row>
    <row r="75" spans="1:12" x14ac:dyDescent="0.25">
      <c r="A75" s="2" t="s">
        <v>251</v>
      </c>
      <c r="B75" s="2">
        <v>1</v>
      </c>
      <c r="C75" s="2">
        <v>0</v>
      </c>
      <c r="D75" s="2">
        <v>1</v>
      </c>
      <c r="E75" s="2">
        <v>1</v>
      </c>
      <c r="F75" s="2">
        <v>1</v>
      </c>
      <c r="G75" s="2">
        <v>1</v>
      </c>
      <c r="H75" s="2">
        <v>1</v>
      </c>
      <c r="I75" s="2">
        <v>6</v>
      </c>
      <c r="J75" s="4">
        <v>0.8571428571428571</v>
      </c>
      <c r="K75" s="3">
        <f>Scoring!W75</f>
        <v>88.833333333333329</v>
      </c>
      <c r="L75" s="3">
        <f>Scoring!S75</f>
        <v>76.142857142857139</v>
      </c>
    </row>
    <row r="76" spans="1:12" x14ac:dyDescent="0.25">
      <c r="A76" s="2" t="s">
        <v>253</v>
      </c>
      <c r="B76" s="2">
        <v>1</v>
      </c>
      <c r="C76" s="2">
        <v>1</v>
      </c>
      <c r="D76" s="2">
        <v>1</v>
      </c>
      <c r="E76" s="2">
        <v>1</v>
      </c>
      <c r="F76" s="2">
        <v>1</v>
      </c>
      <c r="G76" s="2">
        <v>1</v>
      </c>
      <c r="H76" s="2">
        <v>1</v>
      </c>
      <c r="I76" s="2">
        <v>7</v>
      </c>
      <c r="J76" s="4">
        <v>1</v>
      </c>
      <c r="K76" s="3">
        <f>Scoring!W76</f>
        <v>14.285714285714286</v>
      </c>
      <c r="L76" s="3">
        <f>Scoring!S76</f>
        <v>14.285714285714286</v>
      </c>
    </row>
    <row r="77" spans="1:12" x14ac:dyDescent="0.25">
      <c r="A77" s="2" t="s">
        <v>255</v>
      </c>
      <c r="B77" s="2">
        <v>1</v>
      </c>
      <c r="C77" s="2">
        <v>1</v>
      </c>
      <c r="D77" s="2">
        <v>1</v>
      </c>
      <c r="E77" s="2">
        <v>1</v>
      </c>
      <c r="F77" s="2">
        <v>1</v>
      </c>
      <c r="G77" s="2">
        <v>1</v>
      </c>
      <c r="H77" s="2">
        <v>1</v>
      </c>
      <c r="I77" s="2">
        <v>7</v>
      </c>
      <c r="J77" s="4">
        <v>1</v>
      </c>
      <c r="K77" s="3">
        <f>Scoring!W77</f>
        <v>80.857142857142861</v>
      </c>
      <c r="L77" s="3">
        <f>Scoring!S77</f>
        <v>80.857142857142861</v>
      </c>
    </row>
    <row r="78" spans="1:12" x14ac:dyDescent="0.25">
      <c r="A78" s="2" t="s">
        <v>257</v>
      </c>
      <c r="B78" s="2">
        <v>1</v>
      </c>
      <c r="C78" s="2">
        <v>1</v>
      </c>
      <c r="D78" s="2">
        <v>1</v>
      </c>
      <c r="E78" s="2">
        <v>1</v>
      </c>
      <c r="F78" s="2">
        <v>1</v>
      </c>
      <c r="G78" s="2">
        <v>1</v>
      </c>
      <c r="H78" s="2">
        <v>0</v>
      </c>
      <c r="I78" s="2">
        <v>6</v>
      </c>
      <c r="J78" s="4">
        <v>0.8571428571428571</v>
      </c>
      <c r="K78" s="3">
        <f>Scoring!W78</f>
        <v>0</v>
      </c>
      <c r="L78" s="3">
        <f>Scoring!S78</f>
        <v>0</v>
      </c>
    </row>
    <row r="79" spans="1:12" x14ac:dyDescent="0.25">
      <c r="A79" s="2" t="s">
        <v>259</v>
      </c>
      <c r="B79" s="2">
        <v>1</v>
      </c>
      <c r="C79" s="2">
        <v>1</v>
      </c>
      <c r="D79" s="2">
        <v>1</v>
      </c>
      <c r="E79" s="2">
        <v>1</v>
      </c>
      <c r="F79" s="2">
        <v>1</v>
      </c>
      <c r="G79" s="2">
        <v>1</v>
      </c>
      <c r="H79" s="2">
        <v>1</v>
      </c>
      <c r="I79" s="2">
        <v>7</v>
      </c>
      <c r="J79" s="4">
        <v>1</v>
      </c>
      <c r="K79" s="3">
        <f>Scoring!W79</f>
        <v>80.857142857142861</v>
      </c>
      <c r="L79" s="3">
        <f>Scoring!S79</f>
        <v>80.857142857142861</v>
      </c>
    </row>
    <row r="80" spans="1:12" x14ac:dyDescent="0.25">
      <c r="A80" s="2" t="s">
        <v>262</v>
      </c>
      <c r="B80" s="2">
        <v>1</v>
      </c>
      <c r="C80" s="2">
        <v>1</v>
      </c>
      <c r="D80" s="2">
        <v>1</v>
      </c>
      <c r="E80" s="2">
        <v>1</v>
      </c>
      <c r="F80" s="2">
        <v>1</v>
      </c>
      <c r="G80" s="2">
        <v>1</v>
      </c>
      <c r="H80" s="2">
        <v>1</v>
      </c>
      <c r="I80" s="2">
        <v>7</v>
      </c>
      <c r="J80" s="4">
        <v>1</v>
      </c>
      <c r="K80" s="3">
        <f>Scoring!W80</f>
        <v>80.857142857142861</v>
      </c>
      <c r="L80" s="3">
        <f>Scoring!S80</f>
        <v>80.857142857142861</v>
      </c>
    </row>
    <row r="81" spans="1:12" x14ac:dyDescent="0.25">
      <c r="A81" s="2" t="s">
        <v>264</v>
      </c>
      <c r="B81" s="2">
        <v>1</v>
      </c>
      <c r="C81" s="2">
        <v>1</v>
      </c>
      <c r="D81" s="2">
        <v>1</v>
      </c>
      <c r="E81" s="2">
        <v>1</v>
      </c>
      <c r="F81" s="2">
        <v>1</v>
      </c>
      <c r="G81" s="2">
        <v>1</v>
      </c>
      <c r="H81" s="2">
        <v>1</v>
      </c>
      <c r="I81" s="2">
        <v>7</v>
      </c>
      <c r="J81" s="4">
        <v>1</v>
      </c>
      <c r="K81" s="3">
        <f>Scoring!W81</f>
        <v>95.285714285714292</v>
      </c>
      <c r="L81" s="3">
        <f>Scoring!S81</f>
        <v>95.285714285714292</v>
      </c>
    </row>
    <row r="82" spans="1:12" x14ac:dyDescent="0.25">
      <c r="A82" s="2" t="s">
        <v>266</v>
      </c>
      <c r="B82" s="2">
        <v>1</v>
      </c>
      <c r="C82" s="2">
        <v>1</v>
      </c>
      <c r="D82" s="2">
        <v>1</v>
      </c>
      <c r="E82" s="2">
        <v>1</v>
      </c>
      <c r="F82" s="2">
        <v>1</v>
      </c>
      <c r="G82" s="2">
        <v>1</v>
      </c>
      <c r="H82" s="2">
        <v>1</v>
      </c>
      <c r="I82" s="2">
        <v>7</v>
      </c>
      <c r="J82" s="4">
        <v>1</v>
      </c>
      <c r="K82" s="3">
        <f>Scoring!W82</f>
        <v>95.285714285714292</v>
      </c>
      <c r="L82" s="3">
        <f>Scoring!S82</f>
        <v>95.285714285714292</v>
      </c>
    </row>
    <row r="83" spans="1:12" x14ac:dyDescent="0.25">
      <c r="A83" s="2" t="s">
        <v>267</v>
      </c>
      <c r="B83" s="2">
        <v>1</v>
      </c>
      <c r="C83" s="2">
        <v>1</v>
      </c>
      <c r="D83" s="2">
        <v>1</v>
      </c>
      <c r="E83" s="2">
        <v>1</v>
      </c>
      <c r="F83" s="2">
        <v>1</v>
      </c>
      <c r="G83" s="2">
        <v>1</v>
      </c>
      <c r="H83" s="2">
        <v>1</v>
      </c>
      <c r="I83" s="2">
        <v>7</v>
      </c>
      <c r="J83" s="4">
        <v>1</v>
      </c>
      <c r="K83" s="3">
        <f>Scoring!W83</f>
        <v>95.285714285714292</v>
      </c>
      <c r="L83" s="3">
        <f>Scoring!S83</f>
        <v>95.285714285714292</v>
      </c>
    </row>
    <row r="84" spans="1:12" x14ac:dyDescent="0.25">
      <c r="A84" s="2" t="s">
        <v>268</v>
      </c>
      <c r="B84" s="2">
        <v>1</v>
      </c>
      <c r="C84" s="2">
        <v>1</v>
      </c>
      <c r="D84" s="2">
        <v>1</v>
      </c>
      <c r="E84" s="2">
        <v>1</v>
      </c>
      <c r="F84" s="2">
        <v>1</v>
      </c>
      <c r="G84" s="2">
        <v>1</v>
      </c>
      <c r="H84" s="2">
        <v>1</v>
      </c>
      <c r="I84" s="2">
        <v>7</v>
      </c>
      <c r="J84" s="4">
        <v>1</v>
      </c>
      <c r="K84" s="3">
        <f>Scoring!W84</f>
        <v>64.285714285714292</v>
      </c>
      <c r="L84" s="3">
        <f>Scoring!S84</f>
        <v>64.285714285714292</v>
      </c>
    </row>
    <row r="85" spans="1:12" ht="60" x14ac:dyDescent="0.25">
      <c r="A85" s="2" t="s">
        <v>270</v>
      </c>
      <c r="B85" s="2">
        <v>1</v>
      </c>
      <c r="C85" s="2">
        <v>0</v>
      </c>
      <c r="D85" s="2">
        <v>1</v>
      </c>
      <c r="E85" s="2">
        <v>1</v>
      </c>
      <c r="F85" s="2">
        <v>1</v>
      </c>
      <c r="G85" s="2">
        <v>1</v>
      </c>
      <c r="H85" s="2">
        <v>1</v>
      </c>
      <c r="I85" s="2">
        <v>6</v>
      </c>
      <c r="J85" s="4">
        <v>0.8571428571428571</v>
      </c>
      <c r="K85" s="3">
        <f>Scoring!W85</f>
        <v>33.166666666666664</v>
      </c>
      <c r="L85" s="3">
        <f>Scoring!S85</f>
        <v>28.428571428571427</v>
      </c>
    </row>
    <row r="86" spans="1:12" x14ac:dyDescent="0.25">
      <c r="A86" s="2" t="s">
        <v>272</v>
      </c>
      <c r="B86" s="2">
        <v>1</v>
      </c>
      <c r="C86" s="2">
        <v>1</v>
      </c>
      <c r="D86" s="2">
        <v>1</v>
      </c>
      <c r="E86" s="2">
        <v>1</v>
      </c>
      <c r="F86" s="2">
        <v>1</v>
      </c>
      <c r="G86" s="2">
        <v>1</v>
      </c>
      <c r="H86" s="2">
        <v>1</v>
      </c>
      <c r="I86" s="2">
        <v>7</v>
      </c>
      <c r="J86" s="4">
        <v>1</v>
      </c>
      <c r="K86" s="3">
        <f>Scoring!W86</f>
        <v>100</v>
      </c>
      <c r="L86" s="3">
        <f>Scoring!S86</f>
        <v>100</v>
      </c>
    </row>
    <row r="87" spans="1:12" x14ac:dyDescent="0.25">
      <c r="A87" s="2" t="s">
        <v>275</v>
      </c>
      <c r="B87" s="2">
        <v>1</v>
      </c>
      <c r="C87" s="2">
        <v>0</v>
      </c>
      <c r="D87" s="2">
        <v>1</v>
      </c>
      <c r="E87" s="2">
        <v>0</v>
      </c>
      <c r="F87" s="2">
        <v>1</v>
      </c>
      <c r="G87" s="2">
        <v>0</v>
      </c>
      <c r="H87" s="2">
        <v>1</v>
      </c>
      <c r="I87" s="2">
        <v>4</v>
      </c>
      <c r="J87" s="4">
        <v>0.5714285714285714</v>
      </c>
      <c r="K87" s="3">
        <f>Scoring!W87</f>
        <v>41.5</v>
      </c>
      <c r="L87" s="3">
        <f>Scoring!S87</f>
        <v>23.714285714285715</v>
      </c>
    </row>
    <row r="88" spans="1:12" x14ac:dyDescent="0.25">
      <c r="A88" s="2" t="s">
        <v>278</v>
      </c>
      <c r="B88" s="2">
        <v>1</v>
      </c>
      <c r="C88" s="2">
        <v>0</v>
      </c>
      <c r="D88" s="2">
        <v>1</v>
      </c>
      <c r="E88" s="2">
        <v>1</v>
      </c>
      <c r="F88" s="2">
        <v>1</v>
      </c>
      <c r="G88" s="2">
        <v>0</v>
      </c>
      <c r="H88" s="2">
        <v>1</v>
      </c>
      <c r="I88" s="2">
        <v>5</v>
      </c>
      <c r="J88" s="4">
        <v>0.7142857142857143</v>
      </c>
      <c r="K88" s="3">
        <f>Scoring!W88</f>
        <v>80</v>
      </c>
      <c r="L88" s="3">
        <f>Scoring!S88</f>
        <v>57.142857142857146</v>
      </c>
    </row>
    <row r="89" spans="1:12" x14ac:dyDescent="0.25">
      <c r="A89" s="2" t="s">
        <v>281</v>
      </c>
      <c r="B89" s="2">
        <v>1</v>
      </c>
      <c r="C89" s="2">
        <v>1</v>
      </c>
      <c r="D89" s="2">
        <v>1</v>
      </c>
      <c r="E89" s="2">
        <v>1</v>
      </c>
      <c r="F89" s="2">
        <v>1</v>
      </c>
      <c r="G89" s="2">
        <v>1</v>
      </c>
      <c r="H89" s="2">
        <v>1</v>
      </c>
      <c r="I89" s="2">
        <v>7</v>
      </c>
      <c r="J89" s="4">
        <v>1</v>
      </c>
      <c r="K89" s="3">
        <f>Scoring!W89</f>
        <v>95.285714285714292</v>
      </c>
      <c r="L89" s="3">
        <f>Scoring!S89</f>
        <v>95.285714285714292</v>
      </c>
    </row>
    <row r="90" spans="1:12" x14ac:dyDescent="0.25">
      <c r="A90" s="2" t="s">
        <v>282</v>
      </c>
      <c r="B90" s="2">
        <v>1</v>
      </c>
      <c r="C90" s="2">
        <v>0</v>
      </c>
      <c r="D90" s="2">
        <v>1</v>
      </c>
      <c r="E90" s="2">
        <v>1</v>
      </c>
      <c r="F90" s="2">
        <v>1</v>
      </c>
      <c r="G90" s="2">
        <v>1</v>
      </c>
      <c r="H90" s="2">
        <v>1</v>
      </c>
      <c r="I90" s="2">
        <v>6</v>
      </c>
      <c r="J90" s="4">
        <v>0.8571428571428571</v>
      </c>
      <c r="K90" s="3">
        <f>Scoring!W90</f>
        <v>86.166666666666671</v>
      </c>
      <c r="L90" s="3">
        <f>Scoring!S90</f>
        <v>73.857142857142861</v>
      </c>
    </row>
    <row r="91" spans="1:12" x14ac:dyDescent="0.25">
      <c r="A91" s="2" t="s">
        <v>284</v>
      </c>
      <c r="B91" s="2">
        <v>1</v>
      </c>
      <c r="C91" s="2">
        <v>0</v>
      </c>
      <c r="D91" s="2">
        <v>1</v>
      </c>
      <c r="E91" s="2">
        <v>1</v>
      </c>
      <c r="F91" s="2">
        <v>1</v>
      </c>
      <c r="G91" s="2">
        <v>1</v>
      </c>
      <c r="H91" s="2">
        <v>1</v>
      </c>
      <c r="I91" s="2">
        <v>6</v>
      </c>
      <c r="J91" s="4">
        <v>0.8571428571428571</v>
      </c>
      <c r="K91" s="3">
        <f>Scoring!W91</f>
        <v>50</v>
      </c>
      <c r="L91" s="3">
        <f>Scoring!S91</f>
        <v>42.857142857142854</v>
      </c>
    </row>
    <row r="92" spans="1:12" x14ac:dyDescent="0.25">
      <c r="A92" s="2" t="s">
        <v>286</v>
      </c>
      <c r="B92" s="2">
        <v>1</v>
      </c>
      <c r="C92" s="2">
        <v>1</v>
      </c>
      <c r="D92" s="2">
        <v>1</v>
      </c>
      <c r="E92" s="2">
        <v>1</v>
      </c>
      <c r="F92" s="2">
        <v>1</v>
      </c>
      <c r="G92" s="2">
        <v>1</v>
      </c>
      <c r="H92" s="2">
        <v>1</v>
      </c>
      <c r="I92" s="2">
        <v>7</v>
      </c>
      <c r="J92" s="4">
        <v>1</v>
      </c>
      <c r="K92" s="3">
        <f>Scoring!W92</f>
        <v>76.142857142857139</v>
      </c>
      <c r="L92" s="3">
        <f>Scoring!S92</f>
        <v>76.142857142857139</v>
      </c>
    </row>
    <row r="93" spans="1:12" x14ac:dyDescent="0.25">
      <c r="A93" s="2" t="s">
        <v>289</v>
      </c>
      <c r="B93" s="2">
        <v>1</v>
      </c>
      <c r="C93" s="2">
        <v>1</v>
      </c>
      <c r="D93" s="2">
        <v>1</v>
      </c>
      <c r="E93" s="2">
        <v>1</v>
      </c>
      <c r="F93" s="2">
        <v>1</v>
      </c>
      <c r="G93" s="2">
        <v>1</v>
      </c>
      <c r="H93" s="2">
        <v>1</v>
      </c>
      <c r="I93" s="2">
        <v>7</v>
      </c>
      <c r="J93" s="4">
        <v>1</v>
      </c>
      <c r="K93" s="3">
        <f>Scoring!W93</f>
        <v>54.857142857142854</v>
      </c>
      <c r="L93" s="3">
        <f>Scoring!S93</f>
        <v>54.857142857142854</v>
      </c>
    </row>
    <row r="94" spans="1:12" x14ac:dyDescent="0.25">
      <c r="A94" s="2" t="s">
        <v>293</v>
      </c>
      <c r="B94" s="2">
        <v>1</v>
      </c>
      <c r="C94" s="2">
        <v>0</v>
      </c>
      <c r="D94" s="2">
        <v>1</v>
      </c>
      <c r="E94" s="2">
        <v>1</v>
      </c>
      <c r="F94" s="2">
        <v>1</v>
      </c>
      <c r="G94" s="2">
        <v>1</v>
      </c>
      <c r="H94" s="2">
        <v>1</v>
      </c>
      <c r="I94" s="2">
        <v>6</v>
      </c>
      <c r="J94" s="4">
        <v>0.8571428571428571</v>
      </c>
      <c r="K94" s="3">
        <f>Scoring!W94</f>
        <v>91.666666666666671</v>
      </c>
      <c r="L94" s="3">
        <f>Scoring!S94</f>
        <v>78.571428571428569</v>
      </c>
    </row>
    <row r="95" spans="1:12" x14ac:dyDescent="0.25">
      <c r="A95" s="2" t="s">
        <v>295</v>
      </c>
      <c r="B95" s="2">
        <v>1</v>
      </c>
      <c r="C95" s="2">
        <v>1</v>
      </c>
      <c r="D95" s="2">
        <v>1</v>
      </c>
      <c r="E95" s="2">
        <v>1</v>
      </c>
      <c r="F95" s="2">
        <v>1</v>
      </c>
      <c r="G95" s="2">
        <v>1</v>
      </c>
      <c r="H95" s="2">
        <v>1</v>
      </c>
      <c r="I95" s="2">
        <v>7</v>
      </c>
      <c r="J95" s="4">
        <v>1</v>
      </c>
      <c r="K95" s="3">
        <f>Scoring!W95</f>
        <v>23.714285714285715</v>
      </c>
      <c r="L95" s="3">
        <f>Scoring!S95</f>
        <v>23.714285714285715</v>
      </c>
    </row>
    <row r="96" spans="1:12" x14ac:dyDescent="0.25">
      <c r="A96" s="2" t="s">
        <v>298</v>
      </c>
      <c r="B96" s="2">
        <v>1</v>
      </c>
      <c r="C96" s="2">
        <v>0</v>
      </c>
      <c r="D96" s="2">
        <v>1</v>
      </c>
      <c r="E96" s="2">
        <v>1</v>
      </c>
      <c r="F96" s="2">
        <v>1</v>
      </c>
      <c r="G96" s="2">
        <v>0</v>
      </c>
      <c r="H96" s="2">
        <v>1</v>
      </c>
      <c r="I96" s="2">
        <v>5</v>
      </c>
      <c r="J96" s="4">
        <v>0.7142857142857143</v>
      </c>
      <c r="K96" s="3">
        <f>Scoring!W96</f>
        <v>76.8</v>
      </c>
      <c r="L96" s="3">
        <f>Scoring!S96</f>
        <v>54.857142857142854</v>
      </c>
    </row>
    <row r="97" spans="1:12" x14ac:dyDescent="0.25">
      <c r="A97" s="2" t="s">
        <v>301</v>
      </c>
      <c r="B97" s="2">
        <v>1</v>
      </c>
      <c r="C97" s="2">
        <v>1</v>
      </c>
      <c r="D97" s="2">
        <v>1</v>
      </c>
      <c r="E97" s="2">
        <v>0</v>
      </c>
      <c r="F97" s="2">
        <v>1</v>
      </c>
      <c r="G97" s="2">
        <v>1</v>
      </c>
      <c r="H97" s="2">
        <v>1</v>
      </c>
      <c r="I97" s="2">
        <v>6</v>
      </c>
      <c r="J97" s="4">
        <v>0.8571428571428571</v>
      </c>
      <c r="K97" s="3">
        <f>Scoring!W97</f>
        <v>27.666666666666668</v>
      </c>
      <c r="L97" s="3">
        <f>Scoring!S97</f>
        <v>23.714285714285715</v>
      </c>
    </row>
    <row r="98" spans="1:12" x14ac:dyDescent="0.25">
      <c r="A98" s="2" t="s">
        <v>304</v>
      </c>
      <c r="B98" s="2">
        <v>1</v>
      </c>
      <c r="C98" s="2">
        <v>1</v>
      </c>
      <c r="D98" s="2">
        <v>1</v>
      </c>
      <c r="E98" s="2">
        <v>0</v>
      </c>
      <c r="F98" s="2">
        <v>0</v>
      </c>
      <c r="G98" s="2">
        <v>1</v>
      </c>
      <c r="H98" s="2">
        <v>1</v>
      </c>
      <c r="I98" s="2">
        <v>5</v>
      </c>
      <c r="J98" s="4">
        <v>0.7142857142857143</v>
      </c>
      <c r="K98" s="3">
        <f>Scoring!W98</f>
        <v>83.4</v>
      </c>
      <c r="L98" s="3">
        <f>Scoring!S98</f>
        <v>59.571428571428569</v>
      </c>
    </row>
    <row r="99" spans="1:12" x14ac:dyDescent="0.25">
      <c r="A99" s="2" t="s">
        <v>305</v>
      </c>
      <c r="B99" s="2">
        <v>1</v>
      </c>
      <c r="C99" s="2">
        <v>1</v>
      </c>
      <c r="D99" s="2">
        <v>1</v>
      </c>
      <c r="E99" s="2">
        <v>1</v>
      </c>
      <c r="F99" s="2">
        <v>1</v>
      </c>
      <c r="G99" s="2">
        <v>1</v>
      </c>
      <c r="H99" s="2">
        <v>1</v>
      </c>
      <c r="I99" s="2">
        <v>7</v>
      </c>
      <c r="J99" s="4">
        <v>1</v>
      </c>
      <c r="K99" s="3">
        <f>Scoring!W99</f>
        <v>80.857142857142861</v>
      </c>
      <c r="L99" s="3">
        <f>Scoring!S99</f>
        <v>80.857142857142861</v>
      </c>
    </row>
    <row r="100" spans="1:12" x14ac:dyDescent="0.25">
      <c r="A100" s="2" t="s">
        <v>307</v>
      </c>
      <c r="B100" s="2">
        <v>1</v>
      </c>
      <c r="C100" s="2">
        <v>0</v>
      </c>
      <c r="D100" s="2">
        <v>1</v>
      </c>
      <c r="E100" s="2">
        <v>1</v>
      </c>
      <c r="F100" s="2">
        <v>1</v>
      </c>
      <c r="G100" s="2">
        <v>1</v>
      </c>
      <c r="H100" s="2">
        <v>1</v>
      </c>
      <c r="I100" s="2">
        <v>6</v>
      </c>
      <c r="J100" s="4">
        <v>0.8571428571428571</v>
      </c>
      <c r="K100" s="3">
        <f>Scoring!W100</f>
        <v>41.666666666666664</v>
      </c>
      <c r="L100" s="3">
        <f>Scoring!S100</f>
        <v>35.714285714285715</v>
      </c>
    </row>
    <row r="101" spans="1:12" x14ac:dyDescent="0.25">
      <c r="A101" s="2" t="s">
        <v>310</v>
      </c>
      <c r="B101" s="2">
        <v>1</v>
      </c>
      <c r="C101" s="2">
        <v>1</v>
      </c>
      <c r="D101" s="2">
        <v>1</v>
      </c>
      <c r="E101" s="2">
        <v>1</v>
      </c>
      <c r="F101" s="2">
        <v>1</v>
      </c>
      <c r="G101" s="2">
        <v>1</v>
      </c>
      <c r="H101" s="2">
        <v>1</v>
      </c>
      <c r="I101" s="2">
        <v>7</v>
      </c>
      <c r="J101" s="4">
        <v>1</v>
      </c>
      <c r="K101" s="3">
        <f>Scoring!W101</f>
        <v>47.571428571428569</v>
      </c>
      <c r="L101" s="3">
        <f>Scoring!S101</f>
        <v>47.571428571428569</v>
      </c>
    </row>
    <row r="102" spans="1:12" x14ac:dyDescent="0.25">
      <c r="A102" s="2" t="s">
        <v>313</v>
      </c>
      <c r="B102" s="2">
        <v>1</v>
      </c>
      <c r="C102" s="2">
        <v>1</v>
      </c>
      <c r="D102" s="2">
        <v>1</v>
      </c>
      <c r="E102" s="2">
        <v>1</v>
      </c>
      <c r="F102" s="2">
        <v>1</v>
      </c>
      <c r="G102" s="2">
        <v>1</v>
      </c>
      <c r="H102" s="2">
        <v>1</v>
      </c>
      <c r="I102" s="2">
        <v>7</v>
      </c>
      <c r="J102" s="4">
        <v>1</v>
      </c>
      <c r="K102" s="3">
        <f>Scoring!W102</f>
        <v>71.285714285714292</v>
      </c>
      <c r="L102" s="3">
        <f>Scoring!S102</f>
        <v>71.285714285714292</v>
      </c>
    </row>
    <row r="103" spans="1:12" x14ac:dyDescent="0.25">
      <c r="A103" s="2" t="s">
        <v>315</v>
      </c>
      <c r="B103" s="2">
        <v>1</v>
      </c>
      <c r="C103" s="2">
        <v>1</v>
      </c>
      <c r="D103" s="2">
        <v>1</v>
      </c>
      <c r="E103" s="2">
        <v>1</v>
      </c>
      <c r="F103" s="2">
        <v>1</v>
      </c>
      <c r="G103" s="2">
        <v>1</v>
      </c>
      <c r="H103" s="2">
        <v>1</v>
      </c>
      <c r="I103" s="2">
        <v>7</v>
      </c>
      <c r="J103" s="4">
        <v>1</v>
      </c>
      <c r="K103" s="3">
        <f>Scoring!W103</f>
        <v>33.285714285714285</v>
      </c>
      <c r="L103" s="3">
        <f>Scoring!S103</f>
        <v>33.285714285714285</v>
      </c>
    </row>
    <row r="104" spans="1:12" x14ac:dyDescent="0.25">
      <c r="A104" s="2" t="s">
        <v>318</v>
      </c>
      <c r="B104" s="2">
        <v>1</v>
      </c>
      <c r="C104" s="2">
        <v>1</v>
      </c>
      <c r="D104" s="2">
        <v>1</v>
      </c>
      <c r="E104" s="2">
        <v>1</v>
      </c>
      <c r="F104" s="2">
        <v>1</v>
      </c>
      <c r="G104" s="2">
        <v>1</v>
      </c>
      <c r="H104" s="2">
        <v>1</v>
      </c>
      <c r="I104" s="2">
        <v>7</v>
      </c>
      <c r="J104" s="4">
        <v>1</v>
      </c>
      <c r="K104" s="3">
        <f>Scoring!W104</f>
        <v>50</v>
      </c>
      <c r="L104" s="3">
        <f>Scoring!S104</f>
        <v>50</v>
      </c>
    </row>
    <row r="105" spans="1:12" x14ac:dyDescent="0.25">
      <c r="A105" s="2" t="s">
        <v>321</v>
      </c>
      <c r="B105" s="2">
        <v>1</v>
      </c>
      <c r="C105" s="2">
        <v>1</v>
      </c>
      <c r="D105" s="2">
        <v>1</v>
      </c>
      <c r="E105" s="2">
        <v>1</v>
      </c>
      <c r="F105" s="2">
        <v>1</v>
      </c>
      <c r="G105" s="2">
        <v>1</v>
      </c>
      <c r="H105" s="2">
        <v>1</v>
      </c>
      <c r="I105" s="2">
        <v>7</v>
      </c>
      <c r="J105" s="4">
        <v>1</v>
      </c>
      <c r="K105" s="3">
        <f>Scoring!W105</f>
        <v>90.571428571428569</v>
      </c>
      <c r="L105" s="3">
        <f>Scoring!S105</f>
        <v>90.571428571428569</v>
      </c>
    </row>
    <row r="106" spans="1:12" x14ac:dyDescent="0.25">
      <c r="A106" s="2" t="s">
        <v>324</v>
      </c>
      <c r="B106" s="2">
        <v>1</v>
      </c>
      <c r="C106" s="2">
        <v>1</v>
      </c>
      <c r="D106" s="2">
        <v>1</v>
      </c>
      <c r="E106" s="2">
        <v>1</v>
      </c>
      <c r="F106" s="2">
        <v>1</v>
      </c>
      <c r="G106" s="2">
        <v>1</v>
      </c>
      <c r="H106" s="2">
        <v>1</v>
      </c>
      <c r="I106" s="2">
        <v>7</v>
      </c>
      <c r="J106" s="4">
        <v>1</v>
      </c>
      <c r="K106" s="3">
        <f>Scoring!W106</f>
        <v>73.714285714285708</v>
      </c>
      <c r="L106" s="3">
        <f>Scoring!S106</f>
        <v>73.714285714285708</v>
      </c>
    </row>
    <row r="107" spans="1:12" x14ac:dyDescent="0.25">
      <c r="A107" s="2" t="s">
        <v>326</v>
      </c>
      <c r="B107" s="2">
        <v>1</v>
      </c>
      <c r="C107" s="2">
        <v>1</v>
      </c>
      <c r="D107" s="2">
        <v>1</v>
      </c>
      <c r="E107" s="2">
        <v>1</v>
      </c>
      <c r="F107" s="2">
        <v>1</v>
      </c>
      <c r="G107" s="2">
        <v>1</v>
      </c>
      <c r="H107" s="2">
        <v>1</v>
      </c>
      <c r="I107" s="2">
        <v>7</v>
      </c>
      <c r="J107" s="4">
        <v>1</v>
      </c>
      <c r="K107" s="3">
        <f>Scoring!W107</f>
        <v>42.857142857142854</v>
      </c>
      <c r="L107" s="3">
        <f>Scoring!S107</f>
        <v>42.857142857142854</v>
      </c>
    </row>
    <row r="108" spans="1:12" x14ac:dyDescent="0.25">
      <c r="A108" s="2" t="s">
        <v>329</v>
      </c>
      <c r="B108" s="2">
        <v>1</v>
      </c>
      <c r="C108" s="2">
        <v>0</v>
      </c>
      <c r="D108" s="2">
        <v>1</v>
      </c>
      <c r="E108" s="2">
        <v>1</v>
      </c>
      <c r="F108" s="2">
        <v>1</v>
      </c>
      <c r="G108" s="2">
        <v>1</v>
      </c>
      <c r="H108" s="2">
        <v>1</v>
      </c>
      <c r="I108" s="2">
        <v>6</v>
      </c>
      <c r="J108" s="4">
        <v>0.8571428571428571</v>
      </c>
      <c r="K108" s="3">
        <f>Scoring!W108</f>
        <v>83.333333333333329</v>
      </c>
      <c r="L108" s="3">
        <f>Scoring!S108</f>
        <v>71.428571428571431</v>
      </c>
    </row>
    <row r="109" spans="1:12" x14ac:dyDescent="0.25">
      <c r="A109" s="2" t="s">
        <v>330</v>
      </c>
      <c r="B109" s="2">
        <v>1</v>
      </c>
      <c r="C109" s="2">
        <v>1</v>
      </c>
      <c r="D109" s="2">
        <v>1</v>
      </c>
      <c r="E109" s="2">
        <v>1</v>
      </c>
      <c r="F109" s="2">
        <v>1</v>
      </c>
      <c r="G109" s="2">
        <v>0</v>
      </c>
      <c r="H109" s="2">
        <v>1</v>
      </c>
      <c r="I109" s="2">
        <v>6</v>
      </c>
      <c r="J109" s="4">
        <v>0.8571428571428571</v>
      </c>
      <c r="K109" s="3">
        <f>Scoring!W109</f>
        <v>83.333333333333329</v>
      </c>
      <c r="L109" s="3">
        <f>Scoring!S109</f>
        <v>71.428571428571431</v>
      </c>
    </row>
    <row r="110" spans="1:12" x14ac:dyDescent="0.25">
      <c r="A110" s="2" t="s">
        <v>333</v>
      </c>
      <c r="B110" s="2">
        <v>1</v>
      </c>
      <c r="C110" s="2">
        <v>1</v>
      </c>
      <c r="D110" s="2">
        <v>1</v>
      </c>
      <c r="E110" s="2">
        <v>1</v>
      </c>
      <c r="F110" s="2">
        <v>1</v>
      </c>
      <c r="G110" s="2">
        <v>1</v>
      </c>
      <c r="H110" s="2">
        <v>1</v>
      </c>
      <c r="I110" s="2">
        <v>7</v>
      </c>
      <c r="J110" s="4">
        <v>1</v>
      </c>
      <c r="K110" s="3">
        <f>Scoring!W110</f>
        <v>85.714285714285708</v>
      </c>
      <c r="L110" s="3">
        <f>Scoring!S110</f>
        <v>85.714285714285708</v>
      </c>
    </row>
    <row r="111" spans="1:12" x14ac:dyDescent="0.25">
      <c r="A111" s="2" t="s">
        <v>335</v>
      </c>
      <c r="B111" s="2">
        <v>1</v>
      </c>
      <c r="C111" s="2">
        <v>1</v>
      </c>
      <c r="D111" s="2">
        <v>1</v>
      </c>
      <c r="E111" s="2">
        <v>1</v>
      </c>
      <c r="F111" s="2">
        <v>1</v>
      </c>
      <c r="G111" s="2">
        <v>1</v>
      </c>
      <c r="H111" s="2">
        <v>1</v>
      </c>
      <c r="I111" s="2">
        <v>7</v>
      </c>
      <c r="J111" s="4">
        <v>1</v>
      </c>
      <c r="K111" s="3">
        <f>Scoring!W111</f>
        <v>100</v>
      </c>
      <c r="L111" s="3">
        <f>Scoring!S111</f>
        <v>100</v>
      </c>
    </row>
    <row r="112" spans="1:12" x14ac:dyDescent="0.25">
      <c r="A112" s="2" t="s">
        <v>337</v>
      </c>
      <c r="B112" s="2">
        <v>1</v>
      </c>
      <c r="C112" s="2">
        <v>0</v>
      </c>
      <c r="D112" s="2">
        <v>1</v>
      </c>
      <c r="E112" s="2">
        <v>0</v>
      </c>
      <c r="F112" s="2">
        <v>1</v>
      </c>
      <c r="G112" s="2">
        <v>1</v>
      </c>
      <c r="H112" s="2">
        <v>1</v>
      </c>
      <c r="I112" s="2">
        <v>5</v>
      </c>
      <c r="J112" s="4">
        <v>0.7142857142857143</v>
      </c>
      <c r="K112" s="3">
        <f>Scoring!W112</f>
        <v>76.599999999999994</v>
      </c>
      <c r="L112" s="3">
        <f>Scoring!S112</f>
        <v>54.714285714285715</v>
      </c>
    </row>
    <row r="113" spans="1:12" x14ac:dyDescent="0.25">
      <c r="A113" s="2" t="s">
        <v>339</v>
      </c>
      <c r="B113" s="2">
        <v>1</v>
      </c>
      <c r="C113" s="2">
        <v>1</v>
      </c>
      <c r="D113" s="2">
        <v>1</v>
      </c>
      <c r="E113" s="2">
        <v>1</v>
      </c>
      <c r="F113" s="2">
        <v>1</v>
      </c>
      <c r="G113" s="2">
        <v>1</v>
      </c>
      <c r="H113" s="2">
        <v>1</v>
      </c>
      <c r="I113" s="2">
        <v>7</v>
      </c>
      <c r="J113" s="4">
        <v>1</v>
      </c>
      <c r="K113" s="3">
        <f>Scoring!W113</f>
        <v>92.857142857142861</v>
      </c>
      <c r="L113" s="3">
        <f>Scoring!S113</f>
        <v>92.857142857142861</v>
      </c>
    </row>
  </sheetData>
  <autoFilter ref="A1:L11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3"/>
  <sheetViews>
    <sheetView workbookViewId="0">
      <pane ySplit="1" topLeftCell="A2" activePane="bottomLeft" state="frozen"/>
      <selection pane="bottomLeft"/>
    </sheetView>
  </sheetViews>
  <sheetFormatPr defaultRowHeight="15" x14ac:dyDescent="0.25"/>
  <cols>
    <col min="1" max="1" width="38" customWidth="1"/>
    <col min="2" max="2" width="35" customWidth="1"/>
    <col min="3" max="3" width="58" customWidth="1"/>
    <col min="4" max="4" width="18" customWidth="1"/>
    <col min="5" max="5" width="25" customWidth="1"/>
    <col min="6" max="6" width="18" customWidth="1"/>
    <col min="7" max="7" width="25" customWidth="1"/>
    <col min="8" max="8" width="76" customWidth="1"/>
  </cols>
  <sheetData>
    <row r="1" spans="1:8" ht="32.1" customHeight="1" x14ac:dyDescent="0.25">
      <c r="A1" s="1" t="s">
        <v>22</v>
      </c>
      <c r="B1" s="1" t="s">
        <v>27</v>
      </c>
      <c r="C1" s="1" t="s">
        <v>28</v>
      </c>
      <c r="D1" s="1" t="s">
        <v>485</v>
      </c>
      <c r="E1" s="1" t="s">
        <v>486</v>
      </c>
      <c r="F1" s="1" t="s">
        <v>487</v>
      </c>
      <c r="G1" s="1" t="s">
        <v>488</v>
      </c>
      <c r="H1" s="1" t="s">
        <v>489</v>
      </c>
    </row>
    <row r="2" spans="1:8" ht="30" x14ac:dyDescent="0.25">
      <c r="A2" s="2" t="s">
        <v>46</v>
      </c>
      <c r="B2" s="2" t="s">
        <v>51</v>
      </c>
      <c r="C2" s="2"/>
      <c r="D2" s="3">
        <v>100</v>
      </c>
      <c r="E2" s="5"/>
      <c r="F2" s="3">
        <f t="shared" ref="F2:F33" si="0">IF(ISNUMBER(E2),E2,D2)</f>
        <v>100</v>
      </c>
      <c r="G2" s="2" t="s">
        <v>490</v>
      </c>
      <c r="H2" s="2" t="s">
        <v>491</v>
      </c>
    </row>
    <row r="3" spans="1:8" ht="30" x14ac:dyDescent="0.25">
      <c r="A3" s="2" t="s">
        <v>55</v>
      </c>
      <c r="B3" s="2" t="s">
        <v>57</v>
      </c>
      <c r="C3" s="2"/>
      <c r="D3" s="3">
        <v>100</v>
      </c>
      <c r="E3" s="5"/>
      <c r="F3" s="3">
        <f t="shared" si="0"/>
        <v>100</v>
      </c>
      <c r="G3" s="2" t="s">
        <v>490</v>
      </c>
      <c r="H3" s="2" t="s">
        <v>491</v>
      </c>
    </row>
    <row r="4" spans="1:8" ht="30" x14ac:dyDescent="0.25">
      <c r="A4" s="2" t="s">
        <v>61</v>
      </c>
      <c r="B4" s="2" t="s">
        <v>51</v>
      </c>
      <c r="C4" s="2"/>
      <c r="D4" s="3">
        <v>100</v>
      </c>
      <c r="E4" s="5"/>
      <c r="F4" s="3">
        <f t="shared" si="0"/>
        <v>100</v>
      </c>
      <c r="G4" s="2" t="s">
        <v>490</v>
      </c>
      <c r="H4" s="2" t="s">
        <v>491</v>
      </c>
    </row>
    <row r="5" spans="1:8" ht="30" x14ac:dyDescent="0.25">
      <c r="A5" s="2" t="s">
        <v>65</v>
      </c>
      <c r="B5" s="2" t="s">
        <v>51</v>
      </c>
      <c r="C5" s="2"/>
      <c r="D5" s="3">
        <v>100</v>
      </c>
      <c r="E5" s="5"/>
      <c r="F5" s="3">
        <f t="shared" si="0"/>
        <v>100</v>
      </c>
      <c r="G5" s="2" t="s">
        <v>490</v>
      </c>
      <c r="H5" s="2" t="s">
        <v>491</v>
      </c>
    </row>
    <row r="6" spans="1:8" ht="30" x14ac:dyDescent="0.25">
      <c r="A6" s="2" t="s">
        <v>68</v>
      </c>
      <c r="B6" s="2" t="s">
        <v>51</v>
      </c>
      <c r="C6" s="2"/>
      <c r="D6" s="3">
        <v>100</v>
      </c>
      <c r="E6" s="5"/>
      <c r="F6" s="3">
        <f t="shared" si="0"/>
        <v>100</v>
      </c>
      <c r="G6" s="2" t="s">
        <v>490</v>
      </c>
      <c r="H6" s="2" t="s">
        <v>491</v>
      </c>
    </row>
    <row r="7" spans="1:8" ht="30" x14ac:dyDescent="0.25">
      <c r="A7" s="2" t="s">
        <v>71</v>
      </c>
      <c r="B7" s="2" t="s">
        <v>51</v>
      </c>
      <c r="C7" s="2"/>
      <c r="D7" s="3">
        <v>100</v>
      </c>
      <c r="E7" s="5"/>
      <c r="F7" s="3">
        <f t="shared" si="0"/>
        <v>100</v>
      </c>
      <c r="G7" s="2" t="s">
        <v>490</v>
      </c>
      <c r="H7" s="2" t="s">
        <v>491</v>
      </c>
    </row>
    <row r="8" spans="1:8" ht="30" x14ac:dyDescent="0.25">
      <c r="A8" s="2" t="s">
        <v>76</v>
      </c>
      <c r="B8" s="2" t="s">
        <v>8</v>
      </c>
      <c r="C8" s="2"/>
      <c r="D8" s="3">
        <v>0</v>
      </c>
      <c r="E8" s="5"/>
      <c r="F8" s="3">
        <f t="shared" si="0"/>
        <v>0</v>
      </c>
      <c r="G8" s="2" t="s">
        <v>490</v>
      </c>
      <c r="H8" s="2" t="s">
        <v>491</v>
      </c>
    </row>
    <row r="9" spans="1:8" ht="30" x14ac:dyDescent="0.25">
      <c r="A9" s="2" t="s">
        <v>79</v>
      </c>
      <c r="B9" s="2" t="s">
        <v>51</v>
      </c>
      <c r="C9" s="2"/>
      <c r="D9" s="3">
        <v>100</v>
      </c>
      <c r="E9" s="5"/>
      <c r="F9" s="3">
        <f t="shared" si="0"/>
        <v>100</v>
      </c>
      <c r="G9" s="2" t="s">
        <v>490</v>
      </c>
      <c r="H9" s="2" t="s">
        <v>491</v>
      </c>
    </row>
    <row r="10" spans="1:8" ht="30" x14ac:dyDescent="0.25">
      <c r="A10" s="2" t="s">
        <v>81</v>
      </c>
      <c r="B10" s="2" t="s">
        <v>51</v>
      </c>
      <c r="C10" s="2"/>
      <c r="D10" s="3">
        <v>100</v>
      </c>
      <c r="E10" s="5"/>
      <c r="F10" s="3">
        <f t="shared" si="0"/>
        <v>100</v>
      </c>
      <c r="G10" s="2" t="s">
        <v>490</v>
      </c>
      <c r="H10" s="2" t="s">
        <v>491</v>
      </c>
    </row>
    <row r="11" spans="1:8" ht="30" x14ac:dyDescent="0.25">
      <c r="A11" s="2" t="s">
        <v>83</v>
      </c>
      <c r="B11" s="2" t="s">
        <v>57</v>
      </c>
      <c r="C11" s="2"/>
      <c r="D11" s="3">
        <v>100</v>
      </c>
      <c r="E11" s="5"/>
      <c r="F11" s="3">
        <f t="shared" si="0"/>
        <v>100</v>
      </c>
      <c r="G11" s="2" t="s">
        <v>490</v>
      </c>
      <c r="H11" s="2" t="s">
        <v>491</v>
      </c>
    </row>
    <row r="12" spans="1:8" ht="30" x14ac:dyDescent="0.25">
      <c r="A12" s="2" t="s">
        <v>86</v>
      </c>
      <c r="B12" s="2"/>
      <c r="C12" s="2"/>
      <c r="D12" s="3">
        <v>0</v>
      </c>
      <c r="E12" s="5"/>
      <c r="F12" s="3">
        <f t="shared" si="0"/>
        <v>0</v>
      </c>
      <c r="G12" s="2" t="s">
        <v>490</v>
      </c>
      <c r="H12" s="2" t="s">
        <v>491</v>
      </c>
    </row>
    <row r="13" spans="1:8" ht="30" x14ac:dyDescent="0.25">
      <c r="A13" s="2" t="s">
        <v>89</v>
      </c>
      <c r="B13" s="2" t="s">
        <v>51</v>
      </c>
      <c r="C13" s="2"/>
      <c r="D13" s="3">
        <v>100</v>
      </c>
      <c r="E13" s="5"/>
      <c r="F13" s="3">
        <f t="shared" si="0"/>
        <v>100</v>
      </c>
      <c r="G13" s="2" t="s">
        <v>490</v>
      </c>
      <c r="H13" s="2" t="s">
        <v>491</v>
      </c>
    </row>
    <row r="14" spans="1:8" ht="30" x14ac:dyDescent="0.25">
      <c r="A14" s="2" t="s">
        <v>91</v>
      </c>
      <c r="B14" s="2" t="s">
        <v>51</v>
      </c>
      <c r="C14" s="2"/>
      <c r="D14" s="3">
        <v>100</v>
      </c>
      <c r="E14" s="5"/>
      <c r="F14" s="3">
        <f t="shared" si="0"/>
        <v>100</v>
      </c>
      <c r="G14" s="2" t="s">
        <v>490</v>
      </c>
      <c r="H14" s="2" t="s">
        <v>491</v>
      </c>
    </row>
    <row r="15" spans="1:8" ht="30" x14ac:dyDescent="0.25">
      <c r="A15" s="2" t="s">
        <v>94</v>
      </c>
      <c r="B15" s="2" t="s">
        <v>51</v>
      </c>
      <c r="C15" s="2"/>
      <c r="D15" s="3">
        <v>100</v>
      </c>
      <c r="E15" s="5"/>
      <c r="F15" s="3">
        <f t="shared" si="0"/>
        <v>100</v>
      </c>
      <c r="G15" s="2" t="s">
        <v>490</v>
      </c>
      <c r="H15" s="2" t="s">
        <v>491</v>
      </c>
    </row>
    <row r="16" spans="1:8" ht="30" x14ac:dyDescent="0.25">
      <c r="A16" s="2" t="s">
        <v>96</v>
      </c>
      <c r="B16" s="2" t="s">
        <v>51</v>
      </c>
      <c r="C16" s="2"/>
      <c r="D16" s="3">
        <v>100</v>
      </c>
      <c r="E16" s="5"/>
      <c r="F16" s="3">
        <f t="shared" si="0"/>
        <v>100</v>
      </c>
      <c r="G16" s="2" t="s">
        <v>490</v>
      </c>
      <c r="H16" s="2" t="s">
        <v>491</v>
      </c>
    </row>
    <row r="17" spans="1:8" ht="30" x14ac:dyDescent="0.25">
      <c r="A17" s="2" t="s">
        <v>99</v>
      </c>
      <c r="B17" s="2" t="s">
        <v>8</v>
      </c>
      <c r="C17" s="2"/>
      <c r="D17" s="3">
        <v>0</v>
      </c>
      <c r="E17" s="5"/>
      <c r="F17" s="3">
        <f t="shared" si="0"/>
        <v>0</v>
      </c>
      <c r="G17" s="2" t="s">
        <v>490</v>
      </c>
      <c r="H17" s="2" t="s">
        <v>491</v>
      </c>
    </row>
    <row r="18" spans="1:8" ht="30" x14ac:dyDescent="0.25">
      <c r="A18" s="2" t="s">
        <v>101</v>
      </c>
      <c r="B18" s="2" t="s">
        <v>51</v>
      </c>
      <c r="C18" s="2"/>
      <c r="D18" s="3">
        <v>100</v>
      </c>
      <c r="E18" s="5"/>
      <c r="F18" s="3">
        <f t="shared" si="0"/>
        <v>100</v>
      </c>
      <c r="G18" s="2" t="s">
        <v>490</v>
      </c>
      <c r="H18" s="2" t="s">
        <v>491</v>
      </c>
    </row>
    <row r="19" spans="1:8" ht="30" x14ac:dyDescent="0.25">
      <c r="A19" s="2" t="s">
        <v>105</v>
      </c>
      <c r="B19" s="2" t="s">
        <v>8</v>
      </c>
      <c r="C19" s="2"/>
      <c r="D19" s="3">
        <v>0</v>
      </c>
      <c r="E19" s="5"/>
      <c r="F19" s="3">
        <f t="shared" si="0"/>
        <v>0</v>
      </c>
      <c r="G19" s="2" t="s">
        <v>490</v>
      </c>
      <c r="H19" s="2" t="s">
        <v>491</v>
      </c>
    </row>
    <row r="20" spans="1:8" ht="30" x14ac:dyDescent="0.25">
      <c r="A20" s="2" t="s">
        <v>109</v>
      </c>
      <c r="B20" s="2" t="s">
        <v>51</v>
      </c>
      <c r="C20" s="2"/>
      <c r="D20" s="3">
        <v>100</v>
      </c>
      <c r="E20" s="5"/>
      <c r="F20" s="3">
        <f t="shared" si="0"/>
        <v>100</v>
      </c>
      <c r="G20" s="2" t="s">
        <v>490</v>
      </c>
      <c r="H20" s="2" t="s">
        <v>491</v>
      </c>
    </row>
    <row r="21" spans="1:8" ht="30" x14ac:dyDescent="0.25">
      <c r="A21" s="2" t="s">
        <v>110</v>
      </c>
      <c r="B21" s="2" t="s">
        <v>51</v>
      </c>
      <c r="C21" s="2"/>
      <c r="D21" s="3">
        <v>100</v>
      </c>
      <c r="E21" s="5"/>
      <c r="F21" s="3">
        <f t="shared" si="0"/>
        <v>100</v>
      </c>
      <c r="G21" s="2" t="s">
        <v>490</v>
      </c>
      <c r="H21" s="2" t="s">
        <v>491</v>
      </c>
    </row>
    <row r="22" spans="1:8" ht="30" x14ac:dyDescent="0.25">
      <c r="A22" s="2" t="s">
        <v>113</v>
      </c>
      <c r="B22" s="2" t="s">
        <v>114</v>
      </c>
      <c r="C22" s="2" t="s">
        <v>115</v>
      </c>
      <c r="D22" s="3">
        <v>0</v>
      </c>
      <c r="E22" s="5"/>
      <c r="F22" s="3">
        <f t="shared" si="0"/>
        <v>0</v>
      </c>
      <c r="G22" s="2" t="s">
        <v>492</v>
      </c>
      <c r="H22" s="2" t="s">
        <v>491</v>
      </c>
    </row>
    <row r="23" spans="1:8" ht="30" x14ac:dyDescent="0.25">
      <c r="A23" s="2" t="s">
        <v>117</v>
      </c>
      <c r="B23" s="2" t="s">
        <v>8</v>
      </c>
      <c r="C23" s="2"/>
      <c r="D23" s="3">
        <v>0</v>
      </c>
      <c r="E23" s="5"/>
      <c r="F23" s="3">
        <f t="shared" si="0"/>
        <v>0</v>
      </c>
      <c r="G23" s="2" t="s">
        <v>490</v>
      </c>
      <c r="H23" s="2" t="s">
        <v>491</v>
      </c>
    </row>
    <row r="24" spans="1:8" ht="30" x14ac:dyDescent="0.25">
      <c r="A24" s="2" t="s">
        <v>120</v>
      </c>
      <c r="B24" s="2" t="s">
        <v>57</v>
      </c>
      <c r="C24" s="2"/>
      <c r="D24" s="3">
        <v>100</v>
      </c>
      <c r="E24" s="5"/>
      <c r="F24" s="3">
        <f t="shared" si="0"/>
        <v>100</v>
      </c>
      <c r="G24" s="2" t="s">
        <v>490</v>
      </c>
      <c r="H24" s="2" t="s">
        <v>491</v>
      </c>
    </row>
    <row r="25" spans="1:8" ht="30" x14ac:dyDescent="0.25">
      <c r="A25" s="2" t="s">
        <v>123</v>
      </c>
      <c r="B25" s="2" t="s">
        <v>57</v>
      </c>
      <c r="C25" s="2"/>
      <c r="D25" s="3">
        <v>100</v>
      </c>
      <c r="E25" s="5"/>
      <c r="F25" s="3">
        <f t="shared" si="0"/>
        <v>100</v>
      </c>
      <c r="G25" s="2" t="s">
        <v>490</v>
      </c>
      <c r="H25" s="2" t="s">
        <v>491</v>
      </c>
    </row>
    <row r="26" spans="1:8" ht="30" x14ac:dyDescent="0.25">
      <c r="A26" s="2" t="s">
        <v>125</v>
      </c>
      <c r="B26" s="2" t="s">
        <v>51</v>
      </c>
      <c r="C26" s="2"/>
      <c r="D26" s="3">
        <v>100</v>
      </c>
      <c r="E26" s="5"/>
      <c r="F26" s="3">
        <f t="shared" si="0"/>
        <v>100</v>
      </c>
      <c r="G26" s="2" t="s">
        <v>490</v>
      </c>
      <c r="H26" s="2" t="s">
        <v>491</v>
      </c>
    </row>
    <row r="27" spans="1:8" ht="30" x14ac:dyDescent="0.25">
      <c r="A27" s="2" t="s">
        <v>127</v>
      </c>
      <c r="B27" s="2" t="s">
        <v>57</v>
      </c>
      <c r="C27" s="2"/>
      <c r="D27" s="3">
        <v>100</v>
      </c>
      <c r="E27" s="5"/>
      <c r="F27" s="3">
        <f t="shared" si="0"/>
        <v>100</v>
      </c>
      <c r="G27" s="2" t="s">
        <v>490</v>
      </c>
      <c r="H27" s="2" t="s">
        <v>491</v>
      </c>
    </row>
    <row r="28" spans="1:8" ht="30" x14ac:dyDescent="0.25">
      <c r="A28" s="2" t="s">
        <v>130</v>
      </c>
      <c r="B28" s="2"/>
      <c r="C28" s="2"/>
      <c r="D28" s="3">
        <v>0</v>
      </c>
      <c r="E28" s="5"/>
      <c r="F28" s="3">
        <f t="shared" si="0"/>
        <v>0</v>
      </c>
      <c r="G28" s="2" t="s">
        <v>490</v>
      </c>
      <c r="H28" s="2" t="s">
        <v>491</v>
      </c>
    </row>
    <row r="29" spans="1:8" ht="30" x14ac:dyDescent="0.25">
      <c r="A29" s="2" t="s">
        <v>133</v>
      </c>
      <c r="B29" s="2" t="s">
        <v>51</v>
      </c>
      <c r="C29" s="2"/>
      <c r="D29" s="3">
        <v>100</v>
      </c>
      <c r="E29" s="5"/>
      <c r="F29" s="3">
        <f t="shared" si="0"/>
        <v>100</v>
      </c>
      <c r="G29" s="2" t="s">
        <v>490</v>
      </c>
      <c r="H29" s="2" t="s">
        <v>491</v>
      </c>
    </row>
    <row r="30" spans="1:8" ht="30" x14ac:dyDescent="0.25">
      <c r="A30" s="2" t="s">
        <v>134</v>
      </c>
      <c r="B30" s="2" t="s">
        <v>51</v>
      </c>
      <c r="C30" s="2"/>
      <c r="D30" s="3">
        <v>100</v>
      </c>
      <c r="E30" s="5"/>
      <c r="F30" s="3">
        <f t="shared" si="0"/>
        <v>100</v>
      </c>
      <c r="G30" s="2" t="s">
        <v>490</v>
      </c>
      <c r="H30" s="2" t="s">
        <v>491</v>
      </c>
    </row>
    <row r="31" spans="1:8" ht="30" x14ac:dyDescent="0.25">
      <c r="A31" s="2" t="s">
        <v>138</v>
      </c>
      <c r="B31" s="2" t="s">
        <v>8</v>
      </c>
      <c r="C31" s="2"/>
      <c r="D31" s="3">
        <v>0</v>
      </c>
      <c r="E31" s="5"/>
      <c r="F31" s="3">
        <f t="shared" si="0"/>
        <v>0</v>
      </c>
      <c r="G31" s="2" t="s">
        <v>490</v>
      </c>
      <c r="H31" s="2" t="s">
        <v>491</v>
      </c>
    </row>
    <row r="32" spans="1:8" ht="30" x14ac:dyDescent="0.25">
      <c r="A32" s="2" t="s">
        <v>141</v>
      </c>
      <c r="B32" s="2" t="s">
        <v>51</v>
      </c>
      <c r="C32" s="2"/>
      <c r="D32" s="3">
        <v>100</v>
      </c>
      <c r="E32" s="5"/>
      <c r="F32" s="3">
        <f t="shared" si="0"/>
        <v>100</v>
      </c>
      <c r="G32" s="2" t="s">
        <v>490</v>
      </c>
      <c r="H32" s="2" t="s">
        <v>491</v>
      </c>
    </row>
    <row r="33" spans="1:8" ht="30" x14ac:dyDescent="0.25">
      <c r="A33" s="2" t="s">
        <v>143</v>
      </c>
      <c r="B33" s="2" t="s">
        <v>51</v>
      </c>
      <c r="C33" s="2"/>
      <c r="D33" s="3">
        <v>100</v>
      </c>
      <c r="E33" s="5"/>
      <c r="F33" s="3">
        <f t="shared" si="0"/>
        <v>100</v>
      </c>
      <c r="G33" s="2" t="s">
        <v>490</v>
      </c>
      <c r="H33" s="2" t="s">
        <v>491</v>
      </c>
    </row>
    <row r="34" spans="1:8" ht="30" x14ac:dyDescent="0.25">
      <c r="A34" s="2" t="s">
        <v>145</v>
      </c>
      <c r="B34" s="2" t="s">
        <v>8</v>
      </c>
      <c r="C34" s="2"/>
      <c r="D34" s="3">
        <v>0</v>
      </c>
      <c r="E34" s="5"/>
      <c r="F34" s="3">
        <f t="shared" ref="F34:F65" si="1">IF(ISNUMBER(E34),E34,D34)</f>
        <v>0</v>
      </c>
      <c r="G34" s="2" t="s">
        <v>490</v>
      </c>
      <c r="H34" s="2" t="s">
        <v>491</v>
      </c>
    </row>
    <row r="35" spans="1:8" ht="30" x14ac:dyDescent="0.25">
      <c r="A35" s="2" t="s">
        <v>148</v>
      </c>
      <c r="B35" s="2" t="s">
        <v>51</v>
      </c>
      <c r="C35" s="2"/>
      <c r="D35" s="3">
        <v>100</v>
      </c>
      <c r="E35" s="5"/>
      <c r="F35" s="3">
        <f t="shared" si="1"/>
        <v>100</v>
      </c>
      <c r="G35" s="2" t="s">
        <v>490</v>
      </c>
      <c r="H35" s="2" t="s">
        <v>491</v>
      </c>
    </row>
    <row r="36" spans="1:8" ht="30" x14ac:dyDescent="0.25">
      <c r="A36" s="2" t="s">
        <v>151</v>
      </c>
      <c r="B36" s="2" t="s">
        <v>51</v>
      </c>
      <c r="C36" s="2"/>
      <c r="D36" s="3">
        <v>100</v>
      </c>
      <c r="E36" s="5"/>
      <c r="F36" s="3">
        <f t="shared" si="1"/>
        <v>100</v>
      </c>
      <c r="G36" s="2" t="s">
        <v>490</v>
      </c>
      <c r="H36" s="2" t="s">
        <v>491</v>
      </c>
    </row>
    <row r="37" spans="1:8" ht="30" x14ac:dyDescent="0.25">
      <c r="A37" s="2" t="s">
        <v>153</v>
      </c>
      <c r="B37" s="2" t="s">
        <v>8</v>
      </c>
      <c r="C37" s="2"/>
      <c r="D37" s="3">
        <v>0</v>
      </c>
      <c r="E37" s="5"/>
      <c r="F37" s="3">
        <f t="shared" si="1"/>
        <v>0</v>
      </c>
      <c r="G37" s="2" t="s">
        <v>490</v>
      </c>
      <c r="H37" s="2" t="s">
        <v>491</v>
      </c>
    </row>
    <row r="38" spans="1:8" ht="30" x14ac:dyDescent="0.25">
      <c r="A38" s="2" t="s">
        <v>155</v>
      </c>
      <c r="B38" s="2" t="s">
        <v>158</v>
      </c>
      <c r="C38" s="2" t="s">
        <v>159</v>
      </c>
      <c r="D38" s="3">
        <v>100</v>
      </c>
      <c r="E38" s="5"/>
      <c r="F38" s="3">
        <f t="shared" si="1"/>
        <v>100</v>
      </c>
      <c r="G38" s="2" t="s">
        <v>490</v>
      </c>
      <c r="H38" s="2" t="s">
        <v>491</v>
      </c>
    </row>
    <row r="39" spans="1:8" ht="30" x14ac:dyDescent="0.25">
      <c r="A39" s="2" t="s">
        <v>160</v>
      </c>
      <c r="B39" s="2"/>
      <c r="C39" s="2"/>
      <c r="D39" s="3">
        <v>0</v>
      </c>
      <c r="E39" s="5"/>
      <c r="F39" s="3">
        <f t="shared" si="1"/>
        <v>0</v>
      </c>
      <c r="G39" s="2" t="s">
        <v>490</v>
      </c>
      <c r="H39" s="2" t="s">
        <v>491</v>
      </c>
    </row>
    <row r="40" spans="1:8" ht="30" x14ac:dyDescent="0.25">
      <c r="A40" s="2" t="s">
        <v>163</v>
      </c>
      <c r="B40" s="2" t="s">
        <v>114</v>
      </c>
      <c r="C40" s="2"/>
      <c r="D40" s="3">
        <v>0</v>
      </c>
      <c r="E40" s="5"/>
      <c r="F40" s="3">
        <f t="shared" si="1"/>
        <v>0</v>
      </c>
      <c r="G40" s="2" t="s">
        <v>492</v>
      </c>
      <c r="H40" s="2" t="s">
        <v>491</v>
      </c>
    </row>
    <row r="41" spans="1:8" ht="30" x14ac:dyDescent="0.25">
      <c r="A41" s="2" t="s">
        <v>164</v>
      </c>
      <c r="B41" s="2" t="s">
        <v>51</v>
      </c>
      <c r="C41" s="2"/>
      <c r="D41" s="3">
        <v>100</v>
      </c>
      <c r="E41" s="5"/>
      <c r="F41" s="3">
        <f t="shared" si="1"/>
        <v>100</v>
      </c>
      <c r="G41" s="2" t="s">
        <v>490</v>
      </c>
      <c r="H41" s="2" t="s">
        <v>491</v>
      </c>
    </row>
    <row r="42" spans="1:8" ht="30" x14ac:dyDescent="0.25">
      <c r="A42" s="2" t="s">
        <v>166</v>
      </c>
      <c r="B42" s="2" t="s">
        <v>8</v>
      </c>
      <c r="C42" s="2"/>
      <c r="D42" s="3">
        <v>0</v>
      </c>
      <c r="E42" s="5"/>
      <c r="F42" s="3">
        <f t="shared" si="1"/>
        <v>0</v>
      </c>
      <c r="G42" s="2" t="s">
        <v>490</v>
      </c>
      <c r="H42" s="2" t="s">
        <v>491</v>
      </c>
    </row>
    <row r="43" spans="1:8" ht="30" x14ac:dyDescent="0.25">
      <c r="A43" s="2" t="s">
        <v>169</v>
      </c>
      <c r="B43" s="2" t="s">
        <v>57</v>
      </c>
      <c r="C43" s="2"/>
      <c r="D43" s="3">
        <v>100</v>
      </c>
      <c r="E43" s="5"/>
      <c r="F43" s="3">
        <f t="shared" si="1"/>
        <v>100</v>
      </c>
      <c r="G43" s="2" t="s">
        <v>490</v>
      </c>
      <c r="H43" s="2" t="s">
        <v>491</v>
      </c>
    </row>
    <row r="44" spans="1:8" ht="30" x14ac:dyDescent="0.25">
      <c r="A44" s="2" t="s">
        <v>172</v>
      </c>
      <c r="B44" s="2"/>
      <c r="C44" s="2"/>
      <c r="D44" s="3">
        <v>0</v>
      </c>
      <c r="E44" s="5"/>
      <c r="F44" s="3">
        <f t="shared" si="1"/>
        <v>0</v>
      </c>
      <c r="G44" s="2" t="s">
        <v>490</v>
      </c>
      <c r="H44" s="2" t="s">
        <v>491</v>
      </c>
    </row>
    <row r="45" spans="1:8" ht="30" x14ac:dyDescent="0.25">
      <c r="A45" s="2" t="s">
        <v>175</v>
      </c>
      <c r="B45" s="2" t="s">
        <v>57</v>
      </c>
      <c r="C45" s="2"/>
      <c r="D45" s="3">
        <v>100</v>
      </c>
      <c r="E45" s="5"/>
      <c r="F45" s="3">
        <f t="shared" si="1"/>
        <v>100</v>
      </c>
      <c r="G45" s="2" t="s">
        <v>490</v>
      </c>
      <c r="H45" s="2" t="s">
        <v>491</v>
      </c>
    </row>
    <row r="46" spans="1:8" ht="30" x14ac:dyDescent="0.25">
      <c r="A46" s="2" t="s">
        <v>177</v>
      </c>
      <c r="B46" s="2" t="s">
        <v>51</v>
      </c>
      <c r="C46" s="2"/>
      <c r="D46" s="3">
        <v>100</v>
      </c>
      <c r="E46" s="5"/>
      <c r="F46" s="3">
        <f t="shared" si="1"/>
        <v>100</v>
      </c>
      <c r="G46" s="2" t="s">
        <v>490</v>
      </c>
      <c r="H46" s="2" t="s">
        <v>491</v>
      </c>
    </row>
    <row r="47" spans="1:8" ht="30" x14ac:dyDescent="0.25">
      <c r="A47" s="2" t="s">
        <v>180</v>
      </c>
      <c r="B47" s="2" t="s">
        <v>8</v>
      </c>
      <c r="C47" s="2"/>
      <c r="D47" s="3">
        <v>0</v>
      </c>
      <c r="E47" s="5"/>
      <c r="F47" s="3">
        <f t="shared" si="1"/>
        <v>0</v>
      </c>
      <c r="G47" s="2" t="s">
        <v>490</v>
      </c>
      <c r="H47" s="2" t="s">
        <v>491</v>
      </c>
    </row>
    <row r="48" spans="1:8" ht="30" x14ac:dyDescent="0.25">
      <c r="A48" s="2" t="s">
        <v>182</v>
      </c>
      <c r="B48" s="2" t="s">
        <v>51</v>
      </c>
      <c r="C48" s="2"/>
      <c r="D48" s="3">
        <v>100</v>
      </c>
      <c r="E48" s="5"/>
      <c r="F48" s="3">
        <f t="shared" si="1"/>
        <v>100</v>
      </c>
      <c r="G48" s="2" t="s">
        <v>490</v>
      </c>
      <c r="H48" s="2" t="s">
        <v>491</v>
      </c>
    </row>
    <row r="49" spans="1:8" ht="30" x14ac:dyDescent="0.25">
      <c r="A49" s="2" t="s">
        <v>183</v>
      </c>
      <c r="B49" s="2" t="s">
        <v>51</v>
      </c>
      <c r="C49" s="2"/>
      <c r="D49" s="3">
        <v>100</v>
      </c>
      <c r="E49" s="5"/>
      <c r="F49" s="3">
        <f t="shared" si="1"/>
        <v>100</v>
      </c>
      <c r="G49" s="2" t="s">
        <v>490</v>
      </c>
      <c r="H49" s="2" t="s">
        <v>491</v>
      </c>
    </row>
    <row r="50" spans="1:8" ht="30" x14ac:dyDescent="0.25">
      <c r="A50" s="2" t="s">
        <v>185</v>
      </c>
      <c r="B50" s="2" t="s">
        <v>114</v>
      </c>
      <c r="C50" s="2"/>
      <c r="D50" s="3">
        <v>0</v>
      </c>
      <c r="E50" s="5"/>
      <c r="F50" s="3">
        <f t="shared" si="1"/>
        <v>0</v>
      </c>
      <c r="G50" s="2" t="s">
        <v>492</v>
      </c>
      <c r="H50" s="2" t="s">
        <v>491</v>
      </c>
    </row>
    <row r="51" spans="1:8" ht="30" x14ac:dyDescent="0.25">
      <c r="A51" s="2" t="s">
        <v>189</v>
      </c>
      <c r="B51" s="2" t="s">
        <v>57</v>
      </c>
      <c r="C51" s="2"/>
      <c r="D51" s="3">
        <v>100</v>
      </c>
      <c r="E51" s="5"/>
      <c r="F51" s="3">
        <f t="shared" si="1"/>
        <v>100</v>
      </c>
      <c r="G51" s="2" t="s">
        <v>490</v>
      </c>
      <c r="H51" s="2" t="s">
        <v>491</v>
      </c>
    </row>
    <row r="52" spans="1:8" ht="30" x14ac:dyDescent="0.25">
      <c r="A52" s="2" t="s">
        <v>192</v>
      </c>
      <c r="B52" s="2" t="s">
        <v>51</v>
      </c>
      <c r="C52" s="2"/>
      <c r="D52" s="3">
        <v>100</v>
      </c>
      <c r="E52" s="5"/>
      <c r="F52" s="3">
        <f t="shared" si="1"/>
        <v>100</v>
      </c>
      <c r="G52" s="2" t="s">
        <v>490</v>
      </c>
      <c r="H52" s="2" t="s">
        <v>491</v>
      </c>
    </row>
    <row r="53" spans="1:8" ht="30" x14ac:dyDescent="0.25">
      <c r="A53" s="2" t="s">
        <v>195</v>
      </c>
      <c r="B53" s="2" t="s">
        <v>51</v>
      </c>
      <c r="C53" s="2"/>
      <c r="D53" s="3">
        <v>100</v>
      </c>
      <c r="E53" s="5"/>
      <c r="F53" s="3">
        <f t="shared" si="1"/>
        <v>100</v>
      </c>
      <c r="G53" s="2" t="s">
        <v>490</v>
      </c>
      <c r="H53" s="2" t="s">
        <v>491</v>
      </c>
    </row>
    <row r="54" spans="1:8" ht="30" x14ac:dyDescent="0.25">
      <c r="A54" s="2" t="s">
        <v>197</v>
      </c>
      <c r="B54" s="2" t="s">
        <v>51</v>
      </c>
      <c r="C54" s="2"/>
      <c r="D54" s="3">
        <v>100</v>
      </c>
      <c r="E54" s="5"/>
      <c r="F54" s="3">
        <f t="shared" si="1"/>
        <v>100</v>
      </c>
      <c r="G54" s="2" t="s">
        <v>490</v>
      </c>
      <c r="H54" s="2" t="s">
        <v>491</v>
      </c>
    </row>
    <row r="55" spans="1:8" ht="30" x14ac:dyDescent="0.25">
      <c r="A55" s="2" t="s">
        <v>198</v>
      </c>
      <c r="B55" s="2" t="s">
        <v>51</v>
      </c>
      <c r="C55" s="2"/>
      <c r="D55" s="3">
        <v>100</v>
      </c>
      <c r="E55" s="5"/>
      <c r="F55" s="3">
        <f t="shared" si="1"/>
        <v>100</v>
      </c>
      <c r="G55" s="2" t="s">
        <v>490</v>
      </c>
      <c r="H55" s="2" t="s">
        <v>491</v>
      </c>
    </row>
    <row r="56" spans="1:8" ht="30" x14ac:dyDescent="0.25">
      <c r="A56" s="2" t="s">
        <v>201</v>
      </c>
      <c r="B56" s="2" t="s">
        <v>8</v>
      </c>
      <c r="C56" s="2"/>
      <c r="D56" s="3">
        <v>0</v>
      </c>
      <c r="E56" s="5"/>
      <c r="F56" s="3">
        <f t="shared" si="1"/>
        <v>0</v>
      </c>
      <c r="G56" s="2" t="s">
        <v>490</v>
      </c>
      <c r="H56" s="2" t="s">
        <v>491</v>
      </c>
    </row>
    <row r="57" spans="1:8" ht="30" x14ac:dyDescent="0.25">
      <c r="A57" s="2" t="s">
        <v>205</v>
      </c>
      <c r="B57" s="2" t="s">
        <v>51</v>
      </c>
      <c r="C57" s="2"/>
      <c r="D57" s="3">
        <v>100</v>
      </c>
      <c r="E57" s="5"/>
      <c r="F57" s="3">
        <f t="shared" si="1"/>
        <v>100</v>
      </c>
      <c r="G57" s="2" t="s">
        <v>490</v>
      </c>
      <c r="H57" s="2" t="s">
        <v>491</v>
      </c>
    </row>
    <row r="58" spans="1:8" ht="30" x14ac:dyDescent="0.25">
      <c r="A58" s="2" t="s">
        <v>208</v>
      </c>
      <c r="B58" s="2" t="s">
        <v>51</v>
      </c>
      <c r="C58" s="2"/>
      <c r="D58" s="3">
        <v>100</v>
      </c>
      <c r="E58" s="5"/>
      <c r="F58" s="3">
        <f t="shared" si="1"/>
        <v>100</v>
      </c>
      <c r="G58" s="2" t="s">
        <v>490</v>
      </c>
      <c r="H58" s="2" t="s">
        <v>491</v>
      </c>
    </row>
    <row r="59" spans="1:8" ht="45" x14ac:dyDescent="0.25">
      <c r="A59" s="2" t="s">
        <v>211</v>
      </c>
      <c r="B59" s="2" t="s">
        <v>51</v>
      </c>
      <c r="C59" s="2" t="s">
        <v>214</v>
      </c>
      <c r="D59" s="3">
        <v>100</v>
      </c>
      <c r="E59" s="5"/>
      <c r="F59" s="3">
        <f t="shared" si="1"/>
        <v>100</v>
      </c>
      <c r="G59" s="2" t="s">
        <v>490</v>
      </c>
      <c r="H59" s="2" t="s">
        <v>491</v>
      </c>
    </row>
    <row r="60" spans="1:8" ht="30" x14ac:dyDescent="0.25">
      <c r="A60" s="2" t="s">
        <v>215</v>
      </c>
      <c r="B60" s="2" t="s">
        <v>51</v>
      </c>
      <c r="C60" s="2"/>
      <c r="D60" s="3">
        <v>100</v>
      </c>
      <c r="E60" s="5"/>
      <c r="F60" s="3">
        <f t="shared" si="1"/>
        <v>100</v>
      </c>
      <c r="G60" s="2" t="s">
        <v>490</v>
      </c>
      <c r="H60" s="2" t="s">
        <v>491</v>
      </c>
    </row>
    <row r="61" spans="1:8" ht="30" x14ac:dyDescent="0.25">
      <c r="A61" s="2" t="s">
        <v>218</v>
      </c>
      <c r="B61" s="2" t="s">
        <v>51</v>
      </c>
      <c r="C61" s="2"/>
      <c r="D61" s="3">
        <v>100</v>
      </c>
      <c r="E61" s="5"/>
      <c r="F61" s="3">
        <f t="shared" si="1"/>
        <v>100</v>
      </c>
      <c r="G61" s="2" t="s">
        <v>490</v>
      </c>
      <c r="H61" s="2" t="s">
        <v>491</v>
      </c>
    </row>
    <row r="62" spans="1:8" ht="30" x14ac:dyDescent="0.25">
      <c r="A62" s="2" t="s">
        <v>220</v>
      </c>
      <c r="B62" s="2" t="s">
        <v>51</v>
      </c>
      <c r="C62" s="2"/>
      <c r="D62" s="3">
        <v>100</v>
      </c>
      <c r="E62" s="5"/>
      <c r="F62" s="3">
        <f t="shared" si="1"/>
        <v>100</v>
      </c>
      <c r="G62" s="2" t="s">
        <v>490</v>
      </c>
      <c r="H62" s="2" t="s">
        <v>491</v>
      </c>
    </row>
    <row r="63" spans="1:8" ht="30" x14ac:dyDescent="0.25">
      <c r="A63" s="2" t="s">
        <v>222</v>
      </c>
      <c r="B63" s="2" t="s">
        <v>57</v>
      </c>
      <c r="C63" s="2"/>
      <c r="D63" s="3">
        <v>100</v>
      </c>
      <c r="E63" s="5"/>
      <c r="F63" s="3">
        <f t="shared" si="1"/>
        <v>100</v>
      </c>
      <c r="G63" s="2" t="s">
        <v>490</v>
      </c>
      <c r="H63" s="2" t="s">
        <v>491</v>
      </c>
    </row>
    <row r="64" spans="1:8" ht="30" x14ac:dyDescent="0.25">
      <c r="A64" s="2" t="s">
        <v>223</v>
      </c>
      <c r="B64" s="2" t="s">
        <v>51</v>
      </c>
      <c r="C64" s="2"/>
      <c r="D64" s="3">
        <v>100</v>
      </c>
      <c r="E64" s="5"/>
      <c r="F64" s="3">
        <f t="shared" si="1"/>
        <v>100</v>
      </c>
      <c r="G64" s="2" t="s">
        <v>490</v>
      </c>
      <c r="H64" s="2" t="s">
        <v>491</v>
      </c>
    </row>
    <row r="65" spans="1:8" ht="30" x14ac:dyDescent="0.25">
      <c r="A65" s="2" t="s">
        <v>226</v>
      </c>
      <c r="B65" s="2" t="s">
        <v>51</v>
      </c>
      <c r="C65" s="2"/>
      <c r="D65" s="3">
        <v>100</v>
      </c>
      <c r="E65" s="5"/>
      <c r="F65" s="3">
        <f t="shared" si="1"/>
        <v>100</v>
      </c>
      <c r="G65" s="2" t="s">
        <v>490</v>
      </c>
      <c r="H65" s="2" t="s">
        <v>491</v>
      </c>
    </row>
    <row r="66" spans="1:8" ht="30" x14ac:dyDescent="0.25">
      <c r="A66" s="2" t="s">
        <v>227</v>
      </c>
      <c r="B66" s="2" t="s">
        <v>51</v>
      </c>
      <c r="C66" s="2"/>
      <c r="D66" s="3">
        <v>100</v>
      </c>
      <c r="E66" s="5"/>
      <c r="F66" s="3">
        <f t="shared" ref="F66:F97" si="2">IF(ISNUMBER(E66),E66,D66)</f>
        <v>100</v>
      </c>
      <c r="G66" s="2" t="s">
        <v>490</v>
      </c>
      <c r="H66" s="2" t="s">
        <v>491</v>
      </c>
    </row>
    <row r="67" spans="1:8" ht="30" x14ac:dyDescent="0.25">
      <c r="A67" s="2" t="s">
        <v>229</v>
      </c>
      <c r="B67" s="2" t="s">
        <v>8</v>
      </c>
      <c r="C67" s="2"/>
      <c r="D67" s="3">
        <v>0</v>
      </c>
      <c r="E67" s="5"/>
      <c r="F67" s="3">
        <f t="shared" si="2"/>
        <v>0</v>
      </c>
      <c r="G67" s="2" t="s">
        <v>490</v>
      </c>
      <c r="H67" s="2" t="s">
        <v>491</v>
      </c>
    </row>
    <row r="68" spans="1:8" ht="30" x14ac:dyDescent="0.25">
      <c r="A68" s="2" t="s">
        <v>232</v>
      </c>
      <c r="B68" s="2" t="s">
        <v>51</v>
      </c>
      <c r="C68" s="2"/>
      <c r="D68" s="3">
        <v>100</v>
      </c>
      <c r="E68" s="5"/>
      <c r="F68" s="3">
        <f t="shared" si="2"/>
        <v>100</v>
      </c>
      <c r="G68" s="2" t="s">
        <v>490</v>
      </c>
      <c r="H68" s="2" t="s">
        <v>491</v>
      </c>
    </row>
    <row r="69" spans="1:8" ht="30" x14ac:dyDescent="0.25">
      <c r="A69" s="2" t="s">
        <v>235</v>
      </c>
      <c r="B69" s="2" t="s">
        <v>8</v>
      </c>
      <c r="C69" s="2"/>
      <c r="D69" s="3">
        <v>0</v>
      </c>
      <c r="E69" s="5"/>
      <c r="F69" s="3">
        <f t="shared" si="2"/>
        <v>0</v>
      </c>
      <c r="G69" s="2" t="s">
        <v>490</v>
      </c>
      <c r="H69" s="2" t="s">
        <v>491</v>
      </c>
    </row>
    <row r="70" spans="1:8" ht="30" x14ac:dyDescent="0.25">
      <c r="A70" s="2" t="s">
        <v>238</v>
      </c>
      <c r="B70" s="2" t="s">
        <v>51</v>
      </c>
      <c r="C70" s="2"/>
      <c r="D70" s="3">
        <v>100</v>
      </c>
      <c r="E70" s="5"/>
      <c r="F70" s="3">
        <f t="shared" si="2"/>
        <v>100</v>
      </c>
      <c r="G70" s="2" t="s">
        <v>490</v>
      </c>
      <c r="H70" s="2" t="s">
        <v>491</v>
      </c>
    </row>
    <row r="71" spans="1:8" ht="30" x14ac:dyDescent="0.25">
      <c r="A71" s="2" t="s">
        <v>241</v>
      </c>
      <c r="B71" s="2" t="s">
        <v>51</v>
      </c>
      <c r="C71" s="2"/>
      <c r="D71" s="3">
        <v>100</v>
      </c>
      <c r="E71" s="5"/>
      <c r="F71" s="3">
        <f t="shared" si="2"/>
        <v>100</v>
      </c>
      <c r="G71" s="2" t="s">
        <v>490</v>
      </c>
      <c r="H71" s="2" t="s">
        <v>491</v>
      </c>
    </row>
    <row r="72" spans="1:8" ht="30" x14ac:dyDescent="0.25">
      <c r="A72" s="2" t="s">
        <v>244</v>
      </c>
      <c r="B72" s="2"/>
      <c r="C72" s="2"/>
      <c r="D72" s="3">
        <v>0</v>
      </c>
      <c r="E72" s="5"/>
      <c r="F72" s="3">
        <f t="shared" si="2"/>
        <v>0</v>
      </c>
      <c r="G72" s="2" t="s">
        <v>490</v>
      </c>
      <c r="H72" s="2" t="s">
        <v>491</v>
      </c>
    </row>
    <row r="73" spans="1:8" ht="30" x14ac:dyDescent="0.25">
      <c r="A73" s="2" t="s">
        <v>247</v>
      </c>
      <c r="B73" s="2" t="s">
        <v>51</v>
      </c>
      <c r="C73" s="2"/>
      <c r="D73" s="3">
        <v>100</v>
      </c>
      <c r="E73" s="5"/>
      <c r="F73" s="3">
        <f t="shared" si="2"/>
        <v>100</v>
      </c>
      <c r="G73" s="2" t="s">
        <v>490</v>
      </c>
      <c r="H73" s="2" t="s">
        <v>491</v>
      </c>
    </row>
    <row r="74" spans="1:8" ht="30" x14ac:dyDescent="0.25">
      <c r="A74" s="2" t="s">
        <v>250</v>
      </c>
      <c r="B74" s="2" t="s">
        <v>51</v>
      </c>
      <c r="C74" s="2"/>
      <c r="D74" s="3">
        <v>100</v>
      </c>
      <c r="E74" s="5"/>
      <c r="F74" s="3">
        <f t="shared" si="2"/>
        <v>100</v>
      </c>
      <c r="G74" s="2" t="s">
        <v>490</v>
      </c>
      <c r="H74" s="2" t="s">
        <v>491</v>
      </c>
    </row>
    <row r="75" spans="1:8" ht="30" x14ac:dyDescent="0.25">
      <c r="A75" s="2" t="s">
        <v>251</v>
      </c>
      <c r="B75" s="2" t="s">
        <v>51</v>
      </c>
      <c r="C75" s="2"/>
      <c r="D75" s="3">
        <v>100</v>
      </c>
      <c r="E75" s="5"/>
      <c r="F75" s="3">
        <f t="shared" si="2"/>
        <v>100</v>
      </c>
      <c r="G75" s="2" t="s">
        <v>490</v>
      </c>
      <c r="H75" s="2" t="s">
        <v>491</v>
      </c>
    </row>
    <row r="76" spans="1:8" ht="30" x14ac:dyDescent="0.25">
      <c r="A76" s="2" t="s">
        <v>253</v>
      </c>
      <c r="B76" s="2" t="s">
        <v>8</v>
      </c>
      <c r="C76" s="2"/>
      <c r="D76" s="3">
        <v>0</v>
      </c>
      <c r="E76" s="5"/>
      <c r="F76" s="3">
        <f t="shared" si="2"/>
        <v>0</v>
      </c>
      <c r="G76" s="2" t="s">
        <v>490</v>
      </c>
      <c r="H76" s="2" t="s">
        <v>491</v>
      </c>
    </row>
    <row r="77" spans="1:8" ht="30" x14ac:dyDescent="0.25">
      <c r="A77" s="2" t="s">
        <v>255</v>
      </c>
      <c r="B77" s="2" t="s">
        <v>51</v>
      </c>
      <c r="C77" s="2"/>
      <c r="D77" s="3">
        <v>100</v>
      </c>
      <c r="E77" s="5"/>
      <c r="F77" s="3">
        <f t="shared" si="2"/>
        <v>100</v>
      </c>
      <c r="G77" s="2" t="s">
        <v>490</v>
      </c>
      <c r="H77" s="2" t="s">
        <v>491</v>
      </c>
    </row>
    <row r="78" spans="1:8" ht="30" x14ac:dyDescent="0.25">
      <c r="A78" s="2" t="s">
        <v>257</v>
      </c>
      <c r="B78" s="2" t="s">
        <v>8</v>
      </c>
      <c r="C78" s="2"/>
      <c r="D78" s="3">
        <v>0</v>
      </c>
      <c r="E78" s="5"/>
      <c r="F78" s="3">
        <f t="shared" si="2"/>
        <v>0</v>
      </c>
      <c r="G78" s="2" t="s">
        <v>490</v>
      </c>
      <c r="H78" s="2" t="s">
        <v>491</v>
      </c>
    </row>
    <row r="79" spans="1:8" ht="30" x14ac:dyDescent="0.25">
      <c r="A79" s="2" t="s">
        <v>259</v>
      </c>
      <c r="B79" s="2" t="s">
        <v>51</v>
      </c>
      <c r="C79" s="2"/>
      <c r="D79" s="3">
        <v>100</v>
      </c>
      <c r="E79" s="5"/>
      <c r="F79" s="3">
        <f t="shared" si="2"/>
        <v>100</v>
      </c>
      <c r="G79" s="2" t="s">
        <v>490</v>
      </c>
      <c r="H79" s="2" t="s">
        <v>491</v>
      </c>
    </row>
    <row r="80" spans="1:8" ht="30" x14ac:dyDescent="0.25">
      <c r="A80" s="2" t="s">
        <v>262</v>
      </c>
      <c r="B80" s="2" t="s">
        <v>57</v>
      </c>
      <c r="C80" s="2"/>
      <c r="D80" s="3">
        <v>100</v>
      </c>
      <c r="E80" s="5"/>
      <c r="F80" s="3">
        <f t="shared" si="2"/>
        <v>100</v>
      </c>
      <c r="G80" s="2" t="s">
        <v>490</v>
      </c>
      <c r="H80" s="2" t="s">
        <v>491</v>
      </c>
    </row>
    <row r="81" spans="1:8" ht="30" x14ac:dyDescent="0.25">
      <c r="A81" s="2" t="s">
        <v>264</v>
      </c>
      <c r="B81" s="2" t="s">
        <v>57</v>
      </c>
      <c r="C81" s="2"/>
      <c r="D81" s="3">
        <v>100</v>
      </c>
      <c r="E81" s="5"/>
      <c r="F81" s="3">
        <f t="shared" si="2"/>
        <v>100</v>
      </c>
      <c r="G81" s="2" t="s">
        <v>490</v>
      </c>
      <c r="H81" s="2" t="s">
        <v>491</v>
      </c>
    </row>
    <row r="82" spans="1:8" ht="30" x14ac:dyDescent="0.25">
      <c r="A82" s="2" t="s">
        <v>266</v>
      </c>
      <c r="B82" s="2" t="s">
        <v>57</v>
      </c>
      <c r="C82" s="2"/>
      <c r="D82" s="3">
        <v>100</v>
      </c>
      <c r="E82" s="5"/>
      <c r="F82" s="3">
        <f t="shared" si="2"/>
        <v>100</v>
      </c>
      <c r="G82" s="2" t="s">
        <v>490</v>
      </c>
      <c r="H82" s="2" t="s">
        <v>491</v>
      </c>
    </row>
    <row r="83" spans="1:8" ht="30" x14ac:dyDescent="0.25">
      <c r="A83" s="2" t="s">
        <v>267</v>
      </c>
      <c r="B83" s="2" t="s">
        <v>57</v>
      </c>
      <c r="C83" s="2"/>
      <c r="D83" s="3">
        <v>100</v>
      </c>
      <c r="E83" s="5"/>
      <c r="F83" s="3">
        <f t="shared" si="2"/>
        <v>100</v>
      </c>
      <c r="G83" s="2" t="s">
        <v>490</v>
      </c>
      <c r="H83" s="2" t="s">
        <v>491</v>
      </c>
    </row>
    <row r="84" spans="1:8" ht="30" x14ac:dyDescent="0.25">
      <c r="A84" s="2" t="s">
        <v>268</v>
      </c>
      <c r="B84" s="2" t="s">
        <v>8</v>
      </c>
      <c r="C84" s="2"/>
      <c r="D84" s="3">
        <v>0</v>
      </c>
      <c r="E84" s="5"/>
      <c r="F84" s="3">
        <f t="shared" si="2"/>
        <v>0</v>
      </c>
      <c r="G84" s="2" t="s">
        <v>490</v>
      </c>
      <c r="H84" s="2" t="s">
        <v>491</v>
      </c>
    </row>
    <row r="85" spans="1:8" ht="60" x14ac:dyDescent="0.25">
      <c r="A85" s="2" t="s">
        <v>270</v>
      </c>
      <c r="B85" s="2" t="s">
        <v>114</v>
      </c>
      <c r="C85" s="2"/>
      <c r="D85" s="3">
        <v>0</v>
      </c>
      <c r="E85" s="5"/>
      <c r="F85" s="3">
        <f t="shared" si="2"/>
        <v>0</v>
      </c>
      <c r="G85" s="2" t="s">
        <v>492</v>
      </c>
      <c r="H85" s="2" t="s">
        <v>491</v>
      </c>
    </row>
    <row r="86" spans="1:8" ht="30" x14ac:dyDescent="0.25">
      <c r="A86" s="2" t="s">
        <v>272</v>
      </c>
      <c r="B86" s="2" t="s">
        <v>51</v>
      </c>
      <c r="C86" s="2"/>
      <c r="D86" s="3">
        <v>100</v>
      </c>
      <c r="E86" s="5"/>
      <c r="F86" s="3">
        <f t="shared" si="2"/>
        <v>100</v>
      </c>
      <c r="G86" s="2" t="s">
        <v>490</v>
      </c>
      <c r="H86" s="2" t="s">
        <v>491</v>
      </c>
    </row>
    <row r="87" spans="1:8" ht="30" x14ac:dyDescent="0.25">
      <c r="A87" s="2" t="s">
        <v>275</v>
      </c>
      <c r="B87" s="2" t="s">
        <v>51</v>
      </c>
      <c r="C87" s="2"/>
      <c r="D87" s="3">
        <v>100</v>
      </c>
      <c r="E87" s="5"/>
      <c r="F87" s="3">
        <f t="shared" si="2"/>
        <v>100</v>
      </c>
      <c r="G87" s="2" t="s">
        <v>490</v>
      </c>
      <c r="H87" s="2" t="s">
        <v>491</v>
      </c>
    </row>
    <row r="88" spans="1:8" ht="30" x14ac:dyDescent="0.25">
      <c r="A88" s="2" t="s">
        <v>278</v>
      </c>
      <c r="B88" s="2" t="s">
        <v>51</v>
      </c>
      <c r="C88" s="2"/>
      <c r="D88" s="3">
        <v>100</v>
      </c>
      <c r="E88" s="5"/>
      <c r="F88" s="3">
        <f t="shared" si="2"/>
        <v>100</v>
      </c>
      <c r="G88" s="2" t="s">
        <v>490</v>
      </c>
      <c r="H88" s="2" t="s">
        <v>491</v>
      </c>
    </row>
    <row r="89" spans="1:8" ht="30" x14ac:dyDescent="0.25">
      <c r="A89" s="2" t="s">
        <v>281</v>
      </c>
      <c r="B89" s="2" t="s">
        <v>57</v>
      </c>
      <c r="C89" s="2"/>
      <c r="D89" s="3">
        <v>100</v>
      </c>
      <c r="E89" s="5"/>
      <c r="F89" s="3">
        <f t="shared" si="2"/>
        <v>100</v>
      </c>
      <c r="G89" s="2" t="s">
        <v>490</v>
      </c>
      <c r="H89" s="2" t="s">
        <v>491</v>
      </c>
    </row>
    <row r="90" spans="1:8" ht="30" x14ac:dyDescent="0.25">
      <c r="A90" s="2" t="s">
        <v>282</v>
      </c>
      <c r="B90" s="2" t="s">
        <v>51</v>
      </c>
      <c r="C90" s="2"/>
      <c r="D90" s="3">
        <v>100</v>
      </c>
      <c r="E90" s="5"/>
      <c r="F90" s="3">
        <f t="shared" si="2"/>
        <v>100</v>
      </c>
      <c r="G90" s="2" t="s">
        <v>490</v>
      </c>
      <c r="H90" s="2" t="s">
        <v>491</v>
      </c>
    </row>
    <row r="91" spans="1:8" ht="30" x14ac:dyDescent="0.25">
      <c r="A91" s="2" t="s">
        <v>284</v>
      </c>
      <c r="B91" s="2" t="s">
        <v>8</v>
      </c>
      <c r="C91" s="2"/>
      <c r="D91" s="3">
        <v>0</v>
      </c>
      <c r="E91" s="5"/>
      <c r="F91" s="3">
        <f t="shared" si="2"/>
        <v>0</v>
      </c>
      <c r="G91" s="2" t="s">
        <v>490</v>
      </c>
      <c r="H91" s="2" t="s">
        <v>491</v>
      </c>
    </row>
    <row r="92" spans="1:8" ht="30" x14ac:dyDescent="0.25">
      <c r="A92" s="2" t="s">
        <v>286</v>
      </c>
      <c r="B92" s="2" t="s">
        <v>114</v>
      </c>
      <c r="C92" s="2"/>
      <c r="D92" s="3">
        <v>0</v>
      </c>
      <c r="E92" s="5"/>
      <c r="F92" s="3">
        <f t="shared" si="2"/>
        <v>0</v>
      </c>
      <c r="G92" s="2" t="s">
        <v>492</v>
      </c>
      <c r="H92" s="2" t="s">
        <v>491</v>
      </c>
    </row>
    <row r="93" spans="1:8" ht="30" x14ac:dyDescent="0.25">
      <c r="A93" s="2" t="s">
        <v>289</v>
      </c>
      <c r="B93" s="2" t="s">
        <v>114</v>
      </c>
      <c r="C93" s="2" t="s">
        <v>292</v>
      </c>
      <c r="D93" s="3">
        <v>100</v>
      </c>
      <c r="E93" s="5"/>
      <c r="F93" s="3">
        <f t="shared" si="2"/>
        <v>100</v>
      </c>
      <c r="G93" s="2" t="s">
        <v>492</v>
      </c>
      <c r="H93" s="2" t="s">
        <v>491</v>
      </c>
    </row>
    <row r="94" spans="1:8" ht="30" x14ac:dyDescent="0.25">
      <c r="A94" s="2" t="s">
        <v>293</v>
      </c>
      <c r="B94" s="2" t="s">
        <v>51</v>
      </c>
      <c r="C94" s="2"/>
      <c r="D94" s="3">
        <v>100</v>
      </c>
      <c r="E94" s="5"/>
      <c r="F94" s="3">
        <f t="shared" si="2"/>
        <v>100</v>
      </c>
      <c r="G94" s="2" t="s">
        <v>490</v>
      </c>
      <c r="H94" s="2" t="s">
        <v>491</v>
      </c>
    </row>
    <row r="95" spans="1:8" ht="30" x14ac:dyDescent="0.25">
      <c r="A95" s="2" t="s">
        <v>295</v>
      </c>
      <c r="B95" s="2" t="s">
        <v>8</v>
      </c>
      <c r="C95" s="2"/>
      <c r="D95" s="3">
        <v>0</v>
      </c>
      <c r="E95" s="5"/>
      <c r="F95" s="3">
        <f t="shared" si="2"/>
        <v>0</v>
      </c>
      <c r="G95" s="2" t="s">
        <v>490</v>
      </c>
      <c r="H95" s="2" t="s">
        <v>491</v>
      </c>
    </row>
    <row r="96" spans="1:8" ht="30" x14ac:dyDescent="0.25">
      <c r="A96" s="2" t="s">
        <v>298</v>
      </c>
      <c r="B96" s="2" t="s">
        <v>51</v>
      </c>
      <c r="C96" s="2"/>
      <c r="D96" s="3">
        <v>100</v>
      </c>
      <c r="E96" s="5"/>
      <c r="F96" s="3">
        <f t="shared" si="2"/>
        <v>100</v>
      </c>
      <c r="G96" s="2" t="s">
        <v>490</v>
      </c>
      <c r="H96" s="2" t="s">
        <v>491</v>
      </c>
    </row>
    <row r="97" spans="1:8" ht="30" x14ac:dyDescent="0.25">
      <c r="A97" s="2" t="s">
        <v>301</v>
      </c>
      <c r="B97" s="2" t="s">
        <v>8</v>
      </c>
      <c r="C97" s="2"/>
      <c r="D97" s="3">
        <v>0</v>
      </c>
      <c r="E97" s="5"/>
      <c r="F97" s="3">
        <f t="shared" si="2"/>
        <v>0</v>
      </c>
      <c r="G97" s="2" t="s">
        <v>490</v>
      </c>
      <c r="H97" s="2" t="s">
        <v>491</v>
      </c>
    </row>
    <row r="98" spans="1:8" ht="30" x14ac:dyDescent="0.25">
      <c r="A98" s="2" t="s">
        <v>304</v>
      </c>
      <c r="B98" s="2" t="s">
        <v>51</v>
      </c>
      <c r="C98" s="2"/>
      <c r="D98" s="3">
        <v>100</v>
      </c>
      <c r="E98" s="5"/>
      <c r="F98" s="3">
        <f t="shared" ref="F98:F129" si="3">IF(ISNUMBER(E98),E98,D98)</f>
        <v>100</v>
      </c>
      <c r="G98" s="2" t="s">
        <v>490</v>
      </c>
      <c r="H98" s="2" t="s">
        <v>491</v>
      </c>
    </row>
    <row r="99" spans="1:8" ht="30" x14ac:dyDescent="0.25">
      <c r="A99" s="2" t="s">
        <v>305</v>
      </c>
      <c r="B99" s="2" t="s">
        <v>51</v>
      </c>
      <c r="C99" s="2"/>
      <c r="D99" s="3">
        <v>100</v>
      </c>
      <c r="E99" s="5"/>
      <c r="F99" s="3">
        <f t="shared" si="3"/>
        <v>100</v>
      </c>
      <c r="G99" s="2" t="s">
        <v>490</v>
      </c>
      <c r="H99" s="2" t="s">
        <v>491</v>
      </c>
    </row>
    <row r="100" spans="1:8" ht="30" x14ac:dyDescent="0.25">
      <c r="A100" s="2" t="s">
        <v>307</v>
      </c>
      <c r="B100" s="2" t="s">
        <v>8</v>
      </c>
      <c r="C100" s="2"/>
      <c r="D100" s="3">
        <v>0</v>
      </c>
      <c r="E100" s="5"/>
      <c r="F100" s="3">
        <f t="shared" si="3"/>
        <v>0</v>
      </c>
      <c r="G100" s="2" t="s">
        <v>490</v>
      </c>
      <c r="H100" s="2" t="s">
        <v>491</v>
      </c>
    </row>
    <row r="101" spans="1:8" ht="30" x14ac:dyDescent="0.25">
      <c r="A101" s="2" t="s">
        <v>310</v>
      </c>
      <c r="B101" s="2" t="s">
        <v>114</v>
      </c>
      <c r="C101" s="2" t="s">
        <v>312</v>
      </c>
      <c r="D101" s="3">
        <v>100</v>
      </c>
      <c r="E101" s="5"/>
      <c r="F101" s="3">
        <f t="shared" si="3"/>
        <v>100</v>
      </c>
      <c r="G101" s="2" t="s">
        <v>492</v>
      </c>
      <c r="H101" s="2" t="s">
        <v>491</v>
      </c>
    </row>
    <row r="102" spans="1:8" ht="30" x14ac:dyDescent="0.25">
      <c r="A102" s="2" t="s">
        <v>313</v>
      </c>
      <c r="B102" s="2" t="s">
        <v>57</v>
      </c>
      <c r="C102" s="2"/>
      <c r="D102" s="3">
        <v>100</v>
      </c>
      <c r="E102" s="5"/>
      <c r="F102" s="3">
        <f t="shared" si="3"/>
        <v>100</v>
      </c>
      <c r="G102" s="2" t="s">
        <v>490</v>
      </c>
      <c r="H102" s="2" t="s">
        <v>491</v>
      </c>
    </row>
    <row r="103" spans="1:8" ht="30" x14ac:dyDescent="0.25">
      <c r="A103" s="2" t="s">
        <v>315</v>
      </c>
      <c r="B103" s="2" t="s">
        <v>51</v>
      </c>
      <c r="C103" s="2"/>
      <c r="D103" s="3">
        <v>100</v>
      </c>
      <c r="E103" s="5"/>
      <c r="F103" s="3">
        <f t="shared" si="3"/>
        <v>100</v>
      </c>
      <c r="G103" s="2" t="s">
        <v>490</v>
      </c>
      <c r="H103" s="2" t="s">
        <v>491</v>
      </c>
    </row>
    <row r="104" spans="1:8" ht="30" x14ac:dyDescent="0.25">
      <c r="A104" s="2" t="s">
        <v>318</v>
      </c>
      <c r="B104" s="2" t="s">
        <v>8</v>
      </c>
      <c r="C104" s="2"/>
      <c r="D104" s="3">
        <v>0</v>
      </c>
      <c r="E104" s="5"/>
      <c r="F104" s="3">
        <f t="shared" si="3"/>
        <v>0</v>
      </c>
      <c r="G104" s="2" t="s">
        <v>490</v>
      </c>
      <c r="H104" s="2" t="s">
        <v>491</v>
      </c>
    </row>
    <row r="105" spans="1:8" ht="30" x14ac:dyDescent="0.25">
      <c r="A105" s="2" t="s">
        <v>321</v>
      </c>
      <c r="B105" s="2" t="s">
        <v>114</v>
      </c>
      <c r="C105" s="2" t="s">
        <v>323</v>
      </c>
      <c r="D105" s="3">
        <v>100</v>
      </c>
      <c r="E105" s="5"/>
      <c r="F105" s="3">
        <f t="shared" si="3"/>
        <v>100</v>
      </c>
      <c r="G105" s="2" t="s">
        <v>492</v>
      </c>
      <c r="H105" s="2" t="s">
        <v>491</v>
      </c>
    </row>
    <row r="106" spans="1:8" ht="30" x14ac:dyDescent="0.25">
      <c r="A106" s="2" t="s">
        <v>324</v>
      </c>
      <c r="B106" s="2" t="s">
        <v>51</v>
      </c>
      <c r="C106" s="2"/>
      <c r="D106" s="3">
        <v>100</v>
      </c>
      <c r="E106" s="5"/>
      <c r="F106" s="3">
        <f t="shared" si="3"/>
        <v>100</v>
      </c>
      <c r="G106" s="2" t="s">
        <v>490</v>
      </c>
      <c r="H106" s="2" t="s">
        <v>491</v>
      </c>
    </row>
    <row r="107" spans="1:8" ht="30" x14ac:dyDescent="0.25">
      <c r="A107" s="2" t="s">
        <v>326</v>
      </c>
      <c r="B107" s="2" t="s">
        <v>8</v>
      </c>
      <c r="C107" s="2"/>
      <c r="D107" s="3">
        <v>0</v>
      </c>
      <c r="E107" s="5"/>
      <c r="F107" s="3">
        <f t="shared" si="3"/>
        <v>0</v>
      </c>
      <c r="G107" s="2" t="s">
        <v>490</v>
      </c>
      <c r="H107" s="2" t="s">
        <v>491</v>
      </c>
    </row>
    <row r="108" spans="1:8" ht="30" x14ac:dyDescent="0.25">
      <c r="A108" s="2" t="s">
        <v>329</v>
      </c>
      <c r="B108" s="2" t="s">
        <v>51</v>
      </c>
      <c r="C108" s="2"/>
      <c r="D108" s="3">
        <v>100</v>
      </c>
      <c r="E108" s="5"/>
      <c r="F108" s="3">
        <f t="shared" si="3"/>
        <v>100</v>
      </c>
      <c r="G108" s="2" t="s">
        <v>490</v>
      </c>
      <c r="H108" s="2" t="s">
        <v>491</v>
      </c>
    </row>
    <row r="109" spans="1:8" ht="30" x14ac:dyDescent="0.25">
      <c r="A109" s="2" t="s">
        <v>330</v>
      </c>
      <c r="B109" s="2" t="s">
        <v>51</v>
      </c>
      <c r="C109" s="2"/>
      <c r="D109" s="3">
        <v>100</v>
      </c>
      <c r="E109" s="5"/>
      <c r="F109" s="3">
        <f t="shared" si="3"/>
        <v>100</v>
      </c>
      <c r="G109" s="2" t="s">
        <v>490</v>
      </c>
      <c r="H109" s="2" t="s">
        <v>491</v>
      </c>
    </row>
    <row r="110" spans="1:8" ht="30" x14ac:dyDescent="0.25">
      <c r="A110" s="2" t="s">
        <v>333</v>
      </c>
      <c r="B110" s="2" t="s">
        <v>51</v>
      </c>
      <c r="C110" s="2"/>
      <c r="D110" s="3">
        <v>100</v>
      </c>
      <c r="E110" s="5"/>
      <c r="F110" s="3">
        <f t="shared" si="3"/>
        <v>100</v>
      </c>
      <c r="G110" s="2" t="s">
        <v>490</v>
      </c>
      <c r="H110" s="2" t="s">
        <v>491</v>
      </c>
    </row>
    <row r="111" spans="1:8" ht="30" x14ac:dyDescent="0.25">
      <c r="A111" s="2" t="s">
        <v>335</v>
      </c>
      <c r="B111" s="2" t="s">
        <v>51</v>
      </c>
      <c r="C111" s="2"/>
      <c r="D111" s="3">
        <v>100</v>
      </c>
      <c r="E111" s="5"/>
      <c r="F111" s="3">
        <f t="shared" si="3"/>
        <v>100</v>
      </c>
      <c r="G111" s="2" t="s">
        <v>490</v>
      </c>
      <c r="H111" s="2" t="s">
        <v>491</v>
      </c>
    </row>
    <row r="112" spans="1:8" ht="30" x14ac:dyDescent="0.25">
      <c r="A112" s="2" t="s">
        <v>337</v>
      </c>
      <c r="B112" s="2" t="s">
        <v>51</v>
      </c>
      <c r="C112" s="2"/>
      <c r="D112" s="3">
        <v>100</v>
      </c>
      <c r="E112" s="5"/>
      <c r="F112" s="3">
        <f t="shared" si="3"/>
        <v>100</v>
      </c>
      <c r="G112" s="2" t="s">
        <v>490</v>
      </c>
      <c r="H112" s="2" t="s">
        <v>491</v>
      </c>
    </row>
    <row r="113" spans="1:8" ht="30" x14ac:dyDescent="0.25">
      <c r="A113" s="2" t="s">
        <v>339</v>
      </c>
      <c r="B113" s="2" t="s">
        <v>51</v>
      </c>
      <c r="C113" s="2"/>
      <c r="D113" s="3">
        <v>100</v>
      </c>
      <c r="E113" s="5"/>
      <c r="F113" s="3">
        <f t="shared" si="3"/>
        <v>100</v>
      </c>
      <c r="G113" s="2" t="s">
        <v>490</v>
      </c>
      <c r="H113" s="2" t="s">
        <v>491</v>
      </c>
    </row>
  </sheetData>
  <autoFilter ref="A1:H113" xr:uid="{00000000-0009-0000-0000-000008000000}"/>
  <dataValidations count="1">
    <dataValidation type="list" allowBlank="1" errorTitle="Invalid G3 override" error="Enter 0 or 100 only." sqref="E2:E113" xr:uid="{00000000-0002-0000-0800-000000000000}">
      <formula1>"0,100"</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
  <sheetViews>
    <sheetView workbookViewId="0">
      <pane ySplit="1" topLeftCell="A2" activePane="bottomLeft" state="frozen"/>
      <selection pane="bottomLeft"/>
    </sheetView>
  </sheetViews>
  <sheetFormatPr defaultRowHeight="15" x14ac:dyDescent="0.25"/>
  <cols>
    <col min="1" max="1" width="38" customWidth="1"/>
    <col min="2" max="2" width="32" customWidth="1"/>
    <col min="3" max="3" width="76" customWidth="1"/>
    <col min="4" max="4" width="38" customWidth="1"/>
    <col min="5" max="5" width="88" customWidth="1"/>
    <col min="6" max="6" width="70" customWidth="1"/>
  </cols>
  <sheetData>
    <row r="1" spans="1:6" ht="32.1" customHeight="1" x14ac:dyDescent="0.25">
      <c r="A1" s="1" t="s">
        <v>22</v>
      </c>
      <c r="B1" s="1" t="s">
        <v>493</v>
      </c>
      <c r="C1" s="1" t="s">
        <v>494</v>
      </c>
      <c r="D1" s="1" t="s">
        <v>495</v>
      </c>
      <c r="E1" s="1" t="s">
        <v>496</v>
      </c>
      <c r="F1" s="1" t="s">
        <v>489</v>
      </c>
    </row>
    <row r="2" spans="1:6" ht="30" x14ac:dyDescent="0.25">
      <c r="A2" s="2" t="s">
        <v>68</v>
      </c>
      <c r="B2" s="2" t="s">
        <v>497</v>
      </c>
      <c r="C2" s="2" t="s">
        <v>53</v>
      </c>
      <c r="D2" s="2" t="s">
        <v>498</v>
      </c>
      <c r="E2" s="2" t="s">
        <v>499</v>
      </c>
      <c r="F2" s="2"/>
    </row>
    <row r="3" spans="1:6" ht="30" x14ac:dyDescent="0.25">
      <c r="A3" s="2" t="s">
        <v>113</v>
      </c>
      <c r="B3" s="2" t="s">
        <v>500</v>
      </c>
      <c r="C3" s="2" t="s">
        <v>501</v>
      </c>
      <c r="D3" s="2">
        <v>0</v>
      </c>
      <c r="E3" s="2" t="s">
        <v>502</v>
      </c>
      <c r="F3" s="2"/>
    </row>
    <row r="4" spans="1:6" ht="30" x14ac:dyDescent="0.25">
      <c r="A4" s="2" t="s">
        <v>153</v>
      </c>
      <c r="B4" s="2" t="s">
        <v>503</v>
      </c>
      <c r="C4" s="2" t="s">
        <v>53</v>
      </c>
      <c r="D4" s="2" t="s">
        <v>498</v>
      </c>
      <c r="E4" s="2" t="s">
        <v>499</v>
      </c>
      <c r="F4" s="2"/>
    </row>
    <row r="5" spans="1:6" ht="30" x14ac:dyDescent="0.25">
      <c r="A5" s="2" t="s">
        <v>155</v>
      </c>
      <c r="B5" s="2" t="s">
        <v>503</v>
      </c>
      <c r="C5" s="2" t="s">
        <v>53</v>
      </c>
      <c r="D5" s="2" t="s">
        <v>498</v>
      </c>
      <c r="E5" s="2" t="s">
        <v>499</v>
      </c>
      <c r="F5" s="2"/>
    </row>
    <row r="6" spans="1:6" ht="30" x14ac:dyDescent="0.25">
      <c r="A6" s="2" t="s">
        <v>163</v>
      </c>
      <c r="B6" s="2" t="s">
        <v>500</v>
      </c>
      <c r="C6" s="2" t="s">
        <v>504</v>
      </c>
      <c r="D6" s="2">
        <v>0</v>
      </c>
      <c r="E6" s="2" t="s">
        <v>502</v>
      </c>
      <c r="F6" s="2"/>
    </row>
    <row r="7" spans="1:6" ht="30" x14ac:dyDescent="0.25">
      <c r="A7" s="2" t="s">
        <v>163</v>
      </c>
      <c r="B7" s="2" t="s">
        <v>503</v>
      </c>
      <c r="C7" s="2" t="s">
        <v>53</v>
      </c>
      <c r="D7" s="2" t="s">
        <v>498</v>
      </c>
      <c r="E7" s="2" t="s">
        <v>499</v>
      </c>
      <c r="F7" s="2"/>
    </row>
    <row r="8" spans="1:6" ht="30" x14ac:dyDescent="0.25">
      <c r="A8" s="2" t="s">
        <v>183</v>
      </c>
      <c r="B8" s="2" t="s">
        <v>505</v>
      </c>
      <c r="C8" s="2" t="s">
        <v>58</v>
      </c>
      <c r="D8" s="2" t="s">
        <v>506</v>
      </c>
      <c r="E8" s="2" t="s">
        <v>499</v>
      </c>
      <c r="F8" s="2"/>
    </row>
    <row r="9" spans="1:6" ht="30" x14ac:dyDescent="0.25">
      <c r="A9" s="2" t="s">
        <v>185</v>
      </c>
      <c r="B9" s="2" t="s">
        <v>500</v>
      </c>
      <c r="C9" s="2" t="s">
        <v>504</v>
      </c>
      <c r="D9" s="2">
        <v>0</v>
      </c>
      <c r="E9" s="2" t="s">
        <v>502</v>
      </c>
      <c r="F9" s="2"/>
    </row>
    <row r="10" spans="1:6" ht="30" x14ac:dyDescent="0.25">
      <c r="A10" s="2" t="s">
        <v>218</v>
      </c>
      <c r="B10" s="2" t="s">
        <v>503</v>
      </c>
      <c r="C10" s="2" t="s">
        <v>53</v>
      </c>
      <c r="D10" s="2" t="s">
        <v>498</v>
      </c>
      <c r="E10" s="2" t="s">
        <v>499</v>
      </c>
      <c r="F10" s="2"/>
    </row>
    <row r="11" spans="1:6" ht="30" x14ac:dyDescent="0.25">
      <c r="A11" s="2" t="s">
        <v>222</v>
      </c>
      <c r="B11" s="2" t="s">
        <v>505</v>
      </c>
      <c r="C11" s="2" t="s">
        <v>58</v>
      </c>
      <c r="D11" s="2" t="s">
        <v>506</v>
      </c>
      <c r="E11" s="2" t="s">
        <v>499</v>
      </c>
      <c r="F11" s="2"/>
    </row>
    <row r="12" spans="1:6" ht="30" x14ac:dyDescent="0.25">
      <c r="A12" s="2" t="s">
        <v>223</v>
      </c>
      <c r="B12" s="2" t="s">
        <v>503</v>
      </c>
      <c r="C12" s="2" t="s">
        <v>53</v>
      </c>
      <c r="D12" s="2" t="s">
        <v>498</v>
      </c>
      <c r="E12" s="2" t="s">
        <v>499</v>
      </c>
      <c r="F12" s="2"/>
    </row>
    <row r="13" spans="1:6" ht="30" x14ac:dyDescent="0.25">
      <c r="A13" s="2" t="s">
        <v>247</v>
      </c>
      <c r="B13" s="2" t="s">
        <v>503</v>
      </c>
      <c r="C13" s="2" t="s">
        <v>53</v>
      </c>
      <c r="D13" s="2" t="s">
        <v>498</v>
      </c>
      <c r="E13" s="2" t="s">
        <v>499</v>
      </c>
      <c r="F13" s="2"/>
    </row>
    <row r="14" spans="1:6" ht="30" x14ac:dyDescent="0.25">
      <c r="A14" s="2" t="s">
        <v>251</v>
      </c>
      <c r="B14" s="2" t="s">
        <v>505</v>
      </c>
      <c r="C14" s="2" t="s">
        <v>58</v>
      </c>
      <c r="D14" s="2" t="s">
        <v>506</v>
      </c>
      <c r="E14" s="2" t="s">
        <v>499</v>
      </c>
      <c r="F14" s="2"/>
    </row>
    <row r="15" spans="1:6" ht="60" x14ac:dyDescent="0.25">
      <c r="A15" s="2" t="s">
        <v>270</v>
      </c>
      <c r="B15" s="2" t="s">
        <v>500</v>
      </c>
      <c r="C15" s="2" t="s">
        <v>504</v>
      </c>
      <c r="D15" s="2">
        <v>0</v>
      </c>
      <c r="E15" s="2" t="s">
        <v>502</v>
      </c>
      <c r="F15" s="2"/>
    </row>
    <row r="16" spans="1:6" ht="30" x14ac:dyDescent="0.25">
      <c r="A16" s="2" t="s">
        <v>278</v>
      </c>
      <c r="B16" s="2" t="s">
        <v>505</v>
      </c>
      <c r="C16" s="2" t="s">
        <v>58</v>
      </c>
      <c r="D16" s="2" t="s">
        <v>506</v>
      </c>
      <c r="E16" s="2" t="s">
        <v>499</v>
      </c>
      <c r="F16" s="2"/>
    </row>
    <row r="17" spans="1:6" ht="30" x14ac:dyDescent="0.25">
      <c r="A17" s="2" t="s">
        <v>286</v>
      </c>
      <c r="B17" s="2" t="s">
        <v>500</v>
      </c>
      <c r="C17" s="2" t="s">
        <v>504</v>
      </c>
      <c r="D17" s="2">
        <v>0</v>
      </c>
      <c r="E17" s="2" t="s">
        <v>502</v>
      </c>
      <c r="F17" s="2"/>
    </row>
    <row r="18" spans="1:6" ht="30" x14ac:dyDescent="0.25">
      <c r="A18" s="2" t="s">
        <v>289</v>
      </c>
      <c r="B18" s="2" t="s">
        <v>500</v>
      </c>
      <c r="C18" s="2" t="s">
        <v>507</v>
      </c>
      <c r="D18" s="2">
        <v>100</v>
      </c>
      <c r="E18" s="2" t="s">
        <v>502</v>
      </c>
      <c r="F18" s="2"/>
    </row>
    <row r="19" spans="1:6" ht="30" x14ac:dyDescent="0.25">
      <c r="A19" s="2" t="s">
        <v>310</v>
      </c>
      <c r="B19" s="2" t="s">
        <v>500</v>
      </c>
      <c r="C19" s="2" t="s">
        <v>508</v>
      </c>
      <c r="D19" s="2">
        <v>100</v>
      </c>
      <c r="E19" s="2" t="s">
        <v>502</v>
      </c>
      <c r="F19" s="2"/>
    </row>
    <row r="20" spans="1:6" ht="30" x14ac:dyDescent="0.25">
      <c r="A20" s="2" t="s">
        <v>313</v>
      </c>
      <c r="B20" s="2" t="s">
        <v>505</v>
      </c>
      <c r="C20" s="2" t="s">
        <v>58</v>
      </c>
      <c r="D20" s="2" t="s">
        <v>506</v>
      </c>
      <c r="E20" s="2" t="s">
        <v>499</v>
      </c>
      <c r="F20" s="2"/>
    </row>
    <row r="21" spans="1:6" ht="30" x14ac:dyDescent="0.25">
      <c r="A21" s="2" t="s">
        <v>321</v>
      </c>
      <c r="B21" s="2" t="s">
        <v>500</v>
      </c>
      <c r="C21" s="2" t="s">
        <v>509</v>
      </c>
      <c r="D21" s="2">
        <v>100</v>
      </c>
      <c r="E21" s="2" t="s">
        <v>502</v>
      </c>
      <c r="F21" s="2"/>
    </row>
    <row r="22" spans="1:6" ht="30" x14ac:dyDescent="0.25">
      <c r="A22" s="2" t="s">
        <v>326</v>
      </c>
      <c r="B22" s="2" t="s">
        <v>505</v>
      </c>
      <c r="C22" s="2" t="s">
        <v>58</v>
      </c>
      <c r="D22" s="2" t="s">
        <v>506</v>
      </c>
      <c r="E22" s="2" t="s">
        <v>499</v>
      </c>
      <c r="F22" s="2"/>
    </row>
    <row r="23" spans="1:6" ht="30" x14ac:dyDescent="0.25">
      <c r="A23" s="2" t="s">
        <v>329</v>
      </c>
      <c r="B23" s="2" t="s">
        <v>505</v>
      </c>
      <c r="C23" s="2" t="s">
        <v>58</v>
      </c>
      <c r="D23" s="2" t="s">
        <v>506</v>
      </c>
      <c r="E23" s="2" t="s">
        <v>499</v>
      </c>
      <c r="F23" s="2"/>
    </row>
  </sheetData>
  <autoFilter ref="A1:F23"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3"/>
  <sheetViews>
    <sheetView workbookViewId="0">
      <pane ySplit="1" topLeftCell="A2" activePane="bottomLeft" state="frozen"/>
      <selection pane="bottomLeft"/>
    </sheetView>
  </sheetViews>
  <sheetFormatPr defaultRowHeight="15" x14ac:dyDescent="0.25"/>
  <cols>
    <col min="1" max="1" width="38" customWidth="1"/>
    <col min="2" max="8" width="18" customWidth="1"/>
    <col min="9" max="9" width="76" customWidth="1"/>
    <col min="10" max="10" width="20" customWidth="1"/>
    <col min="11" max="11" width="23" customWidth="1"/>
    <col min="12" max="13" width="20" customWidth="1"/>
    <col min="14" max="14" width="22" customWidth="1"/>
    <col min="15" max="15" width="90" customWidth="1"/>
  </cols>
  <sheetData>
    <row r="1" spans="1:15" ht="32.1" customHeight="1" x14ac:dyDescent="0.25">
      <c r="A1" s="1" t="s">
        <v>22</v>
      </c>
      <c r="B1" s="1" t="s">
        <v>33</v>
      </c>
      <c r="C1" s="1" t="s">
        <v>34</v>
      </c>
      <c r="D1" s="1" t="s">
        <v>510</v>
      </c>
      <c r="E1" s="1" t="s">
        <v>36</v>
      </c>
      <c r="F1" s="1" t="s">
        <v>37</v>
      </c>
      <c r="G1" s="1" t="s">
        <v>38</v>
      </c>
      <c r="H1" s="1" t="s">
        <v>39</v>
      </c>
      <c r="I1" s="1" t="s">
        <v>511</v>
      </c>
      <c r="J1" s="1" t="s">
        <v>512</v>
      </c>
      <c r="K1" s="1" t="s">
        <v>513</v>
      </c>
      <c r="L1" s="1" t="s">
        <v>514</v>
      </c>
      <c r="M1" s="1" t="s">
        <v>43</v>
      </c>
      <c r="N1" s="1" t="s">
        <v>44</v>
      </c>
      <c r="O1" s="1" t="s">
        <v>515</v>
      </c>
    </row>
    <row r="2" spans="1:15" x14ac:dyDescent="0.25">
      <c r="A2" s="2" t="s">
        <v>46</v>
      </c>
      <c r="B2" s="2">
        <v>67</v>
      </c>
      <c r="C2" s="2">
        <v>0</v>
      </c>
      <c r="D2" s="2">
        <v>100</v>
      </c>
      <c r="E2" s="2">
        <v>33</v>
      </c>
      <c r="F2" s="2">
        <v>33</v>
      </c>
      <c r="G2" s="2">
        <v>100</v>
      </c>
      <c r="H2" s="2">
        <v>0</v>
      </c>
      <c r="I2" s="2" t="s">
        <v>516</v>
      </c>
      <c r="J2" s="2" t="s">
        <v>517</v>
      </c>
      <c r="K2" s="2">
        <v>47.571428571428569</v>
      </c>
      <c r="L2" s="2">
        <v>6</v>
      </c>
      <c r="M2" s="2">
        <v>0.8571428571428571</v>
      </c>
      <c r="N2" s="2">
        <v>55.5</v>
      </c>
      <c r="O2" s="2" t="s">
        <v>54</v>
      </c>
    </row>
    <row r="3" spans="1:15" x14ac:dyDescent="0.25">
      <c r="A3" s="2" t="s">
        <v>55</v>
      </c>
      <c r="B3" s="2">
        <v>100</v>
      </c>
      <c r="C3" s="2">
        <v>100</v>
      </c>
      <c r="D3" s="2">
        <v>100</v>
      </c>
      <c r="E3" s="2">
        <v>33</v>
      </c>
      <c r="F3" s="2">
        <v>100</v>
      </c>
      <c r="G3" s="2">
        <v>0</v>
      </c>
      <c r="H3" s="2">
        <v>100</v>
      </c>
      <c r="I3" s="2" t="s">
        <v>516</v>
      </c>
      <c r="J3" s="2" t="s">
        <v>517</v>
      </c>
      <c r="K3" s="2">
        <v>76.142857142857139</v>
      </c>
      <c r="L3" s="2">
        <v>7</v>
      </c>
      <c r="M3" s="2">
        <v>1</v>
      </c>
      <c r="N3" s="2">
        <v>76.142857142857139</v>
      </c>
      <c r="O3" s="2" t="s">
        <v>60</v>
      </c>
    </row>
    <row r="4" spans="1:15" x14ac:dyDescent="0.25">
      <c r="A4" s="2" t="s">
        <v>61</v>
      </c>
      <c r="B4" s="2">
        <v>100</v>
      </c>
      <c r="C4" s="2">
        <v>0</v>
      </c>
      <c r="D4" s="2">
        <v>100</v>
      </c>
      <c r="E4" s="2">
        <v>67</v>
      </c>
      <c r="F4" s="2">
        <v>67</v>
      </c>
      <c r="G4" s="2">
        <v>100</v>
      </c>
      <c r="H4" s="2">
        <v>50</v>
      </c>
      <c r="I4" s="2" t="s">
        <v>516</v>
      </c>
      <c r="J4" s="2" t="s">
        <v>517</v>
      </c>
      <c r="K4" s="2">
        <v>69.142857142857139</v>
      </c>
      <c r="L4" s="2">
        <v>7</v>
      </c>
      <c r="M4" s="2">
        <v>1</v>
      </c>
      <c r="N4" s="2">
        <v>69.142857142857139</v>
      </c>
      <c r="O4" s="2" t="s">
        <v>60</v>
      </c>
    </row>
    <row r="5" spans="1:15" ht="30" x14ac:dyDescent="0.25">
      <c r="A5" s="2" t="s">
        <v>65</v>
      </c>
      <c r="B5" s="2">
        <v>100</v>
      </c>
      <c r="C5" s="2">
        <v>100</v>
      </c>
      <c r="D5" s="2">
        <v>100</v>
      </c>
      <c r="E5" s="2">
        <v>100</v>
      </c>
      <c r="F5" s="2">
        <v>0</v>
      </c>
      <c r="G5" s="2">
        <v>0</v>
      </c>
      <c r="H5" s="2">
        <v>100</v>
      </c>
      <c r="I5" s="2" t="s">
        <v>516</v>
      </c>
      <c r="J5" s="2" t="s">
        <v>517</v>
      </c>
      <c r="K5" s="2">
        <v>71.428571428571431</v>
      </c>
      <c r="L5" s="2">
        <v>7</v>
      </c>
      <c r="M5" s="2">
        <v>1</v>
      </c>
      <c r="N5" s="2">
        <v>71.428571428571431</v>
      </c>
      <c r="O5" s="2" t="s">
        <v>60</v>
      </c>
    </row>
    <row r="6" spans="1:15" x14ac:dyDescent="0.25">
      <c r="A6" s="2" t="s">
        <v>68</v>
      </c>
      <c r="B6" s="2">
        <v>100</v>
      </c>
      <c r="C6" s="2">
        <v>100</v>
      </c>
      <c r="D6" s="2">
        <v>100</v>
      </c>
      <c r="E6" s="2">
        <v>100</v>
      </c>
      <c r="F6" s="2">
        <v>100</v>
      </c>
      <c r="G6" s="2">
        <v>33</v>
      </c>
      <c r="H6" s="2">
        <v>100</v>
      </c>
      <c r="I6" s="2" t="s">
        <v>516</v>
      </c>
      <c r="J6" s="2" t="s">
        <v>517</v>
      </c>
      <c r="K6" s="2">
        <v>90.428571428571431</v>
      </c>
      <c r="L6" s="2">
        <v>7</v>
      </c>
      <c r="M6" s="2">
        <v>1</v>
      </c>
      <c r="N6" s="2">
        <v>90.428571428571431</v>
      </c>
      <c r="O6" s="2" t="s">
        <v>60</v>
      </c>
    </row>
    <row r="7" spans="1:15" ht="30" x14ac:dyDescent="0.25">
      <c r="A7" s="2" t="s">
        <v>71</v>
      </c>
      <c r="B7" s="2">
        <v>67</v>
      </c>
      <c r="C7" s="2">
        <v>0</v>
      </c>
      <c r="D7" s="2">
        <v>100</v>
      </c>
      <c r="E7" s="2">
        <v>67</v>
      </c>
      <c r="F7" s="2">
        <v>33</v>
      </c>
      <c r="G7" s="2">
        <v>0</v>
      </c>
      <c r="H7" s="2">
        <v>50</v>
      </c>
      <c r="I7" s="2" t="s">
        <v>516</v>
      </c>
      <c r="J7" s="2" t="s">
        <v>517</v>
      </c>
      <c r="K7" s="2">
        <v>45.285714285714278</v>
      </c>
      <c r="L7" s="2">
        <v>5</v>
      </c>
      <c r="M7" s="2">
        <v>0.7142857142857143</v>
      </c>
      <c r="N7" s="2">
        <v>63.4</v>
      </c>
      <c r="O7" s="2" t="s">
        <v>75</v>
      </c>
    </row>
    <row r="8" spans="1:15" x14ac:dyDescent="0.25">
      <c r="A8" s="2" t="s">
        <v>76</v>
      </c>
      <c r="B8" s="2">
        <v>33</v>
      </c>
      <c r="C8" s="2">
        <v>33</v>
      </c>
      <c r="D8" s="2">
        <v>0</v>
      </c>
      <c r="E8" s="2">
        <v>33</v>
      </c>
      <c r="F8" s="2">
        <v>33</v>
      </c>
      <c r="G8" s="2">
        <v>100</v>
      </c>
      <c r="H8" s="2">
        <v>0</v>
      </c>
      <c r="I8" s="2" t="s">
        <v>518</v>
      </c>
      <c r="J8" s="2" t="s">
        <v>517</v>
      </c>
      <c r="K8" s="2">
        <v>33.142857142857153</v>
      </c>
      <c r="L8" s="2">
        <v>7</v>
      </c>
      <c r="M8" s="2">
        <v>1</v>
      </c>
      <c r="N8" s="2">
        <v>33.142857142857153</v>
      </c>
      <c r="O8" s="2" t="s">
        <v>60</v>
      </c>
    </row>
    <row r="9" spans="1:15" x14ac:dyDescent="0.25">
      <c r="A9" s="2" t="s">
        <v>79</v>
      </c>
      <c r="B9" s="2">
        <v>100</v>
      </c>
      <c r="C9" s="2">
        <v>100</v>
      </c>
      <c r="D9" s="2">
        <v>100</v>
      </c>
      <c r="E9" s="2">
        <v>100</v>
      </c>
      <c r="F9" s="2">
        <v>100</v>
      </c>
      <c r="G9" s="2">
        <v>100</v>
      </c>
      <c r="H9" s="2">
        <v>100</v>
      </c>
      <c r="I9" s="2" t="s">
        <v>516</v>
      </c>
      <c r="J9" s="2" t="s">
        <v>517</v>
      </c>
      <c r="K9" s="2">
        <v>100</v>
      </c>
      <c r="L9" s="2">
        <v>7</v>
      </c>
      <c r="M9" s="2">
        <v>1</v>
      </c>
      <c r="N9" s="2">
        <v>100</v>
      </c>
      <c r="O9" s="2" t="s">
        <v>60</v>
      </c>
    </row>
    <row r="10" spans="1:15" x14ac:dyDescent="0.25">
      <c r="A10" s="2" t="s">
        <v>81</v>
      </c>
      <c r="B10" s="2">
        <v>100</v>
      </c>
      <c r="C10" s="2">
        <v>100</v>
      </c>
      <c r="D10" s="2">
        <v>100</v>
      </c>
      <c r="E10" s="2">
        <v>67</v>
      </c>
      <c r="F10" s="2">
        <v>100</v>
      </c>
      <c r="G10" s="2">
        <v>100</v>
      </c>
      <c r="H10" s="2">
        <v>100</v>
      </c>
      <c r="I10" s="2" t="s">
        <v>516</v>
      </c>
      <c r="J10" s="2" t="s">
        <v>517</v>
      </c>
      <c r="K10" s="2">
        <v>95.285714285714292</v>
      </c>
      <c r="L10" s="2">
        <v>7</v>
      </c>
      <c r="M10" s="2">
        <v>1</v>
      </c>
      <c r="N10" s="2">
        <v>95.285714285714292</v>
      </c>
      <c r="O10" s="2" t="s">
        <v>60</v>
      </c>
    </row>
    <row r="11" spans="1:15" ht="30" x14ac:dyDescent="0.25">
      <c r="A11" s="2" t="s">
        <v>83</v>
      </c>
      <c r="B11" s="2">
        <v>100</v>
      </c>
      <c r="C11" s="2">
        <v>100</v>
      </c>
      <c r="D11" s="2">
        <v>100</v>
      </c>
      <c r="E11" s="2">
        <v>100</v>
      </c>
      <c r="F11" s="2">
        <v>0</v>
      </c>
      <c r="G11" s="2">
        <v>100</v>
      </c>
      <c r="H11" s="2">
        <v>100</v>
      </c>
      <c r="I11" s="2" t="s">
        <v>516</v>
      </c>
      <c r="J11" s="2" t="s">
        <v>517</v>
      </c>
      <c r="K11" s="2">
        <v>85.714285714285708</v>
      </c>
      <c r="L11" s="2">
        <v>6</v>
      </c>
      <c r="M11" s="2">
        <v>0.8571428571428571</v>
      </c>
      <c r="N11" s="2">
        <v>100</v>
      </c>
      <c r="O11" s="2" t="s">
        <v>85</v>
      </c>
    </row>
    <row r="12" spans="1:15" ht="30" x14ac:dyDescent="0.25">
      <c r="A12" s="2" t="s">
        <v>86</v>
      </c>
      <c r="B12" s="2">
        <v>33</v>
      </c>
      <c r="C12" s="2">
        <v>33</v>
      </c>
      <c r="D12" s="2">
        <v>0</v>
      </c>
      <c r="E12" s="2">
        <v>67</v>
      </c>
      <c r="F12" s="2">
        <v>33</v>
      </c>
      <c r="G12" s="2">
        <v>100</v>
      </c>
      <c r="H12" s="2">
        <v>0</v>
      </c>
      <c r="I12" s="2" t="s">
        <v>519</v>
      </c>
      <c r="J12" s="2" t="s">
        <v>517</v>
      </c>
      <c r="K12" s="2">
        <v>38</v>
      </c>
      <c r="L12" s="2">
        <v>5</v>
      </c>
      <c r="M12" s="2">
        <v>0.7142857142857143</v>
      </c>
      <c r="N12" s="2">
        <v>53.2</v>
      </c>
      <c r="O12" s="2" t="s">
        <v>88</v>
      </c>
    </row>
    <row r="13" spans="1:15" x14ac:dyDescent="0.25">
      <c r="A13" s="2" t="s">
        <v>89</v>
      </c>
      <c r="B13" s="2">
        <v>100</v>
      </c>
      <c r="C13" s="2">
        <v>100</v>
      </c>
      <c r="D13" s="2">
        <v>100</v>
      </c>
      <c r="E13" s="2">
        <v>67</v>
      </c>
      <c r="F13" s="2">
        <v>33</v>
      </c>
      <c r="G13" s="2">
        <v>0</v>
      </c>
      <c r="H13" s="2">
        <v>100</v>
      </c>
      <c r="I13" s="2" t="s">
        <v>516</v>
      </c>
      <c r="J13" s="2" t="s">
        <v>517</v>
      </c>
      <c r="K13" s="2">
        <v>71.428571428571431</v>
      </c>
      <c r="L13" s="2">
        <v>7</v>
      </c>
      <c r="M13" s="2">
        <v>1</v>
      </c>
      <c r="N13" s="2">
        <v>71.428571428571431</v>
      </c>
      <c r="O13" s="2" t="s">
        <v>60</v>
      </c>
    </row>
    <row r="14" spans="1:15" x14ac:dyDescent="0.25">
      <c r="A14" s="2" t="s">
        <v>91</v>
      </c>
      <c r="B14" s="2">
        <v>100</v>
      </c>
      <c r="C14" s="2">
        <v>100</v>
      </c>
      <c r="D14" s="2">
        <v>100</v>
      </c>
      <c r="E14" s="2">
        <v>33</v>
      </c>
      <c r="F14" s="2">
        <v>33</v>
      </c>
      <c r="G14" s="2">
        <v>100</v>
      </c>
      <c r="H14" s="2">
        <v>100</v>
      </c>
      <c r="I14" s="2" t="s">
        <v>516</v>
      </c>
      <c r="J14" s="2" t="s">
        <v>517</v>
      </c>
      <c r="K14" s="2">
        <v>80.857142857142861</v>
      </c>
      <c r="L14" s="2">
        <v>7</v>
      </c>
      <c r="M14" s="2">
        <v>1</v>
      </c>
      <c r="N14" s="2">
        <v>80.857142857142861</v>
      </c>
      <c r="O14" s="2" t="s">
        <v>60</v>
      </c>
    </row>
    <row r="15" spans="1:15" x14ac:dyDescent="0.25">
      <c r="A15" s="2" t="s">
        <v>94</v>
      </c>
      <c r="B15" s="2">
        <v>67</v>
      </c>
      <c r="C15" s="2">
        <v>0</v>
      </c>
      <c r="D15" s="2">
        <v>100</v>
      </c>
      <c r="E15" s="2">
        <v>33</v>
      </c>
      <c r="F15" s="2">
        <v>67</v>
      </c>
      <c r="G15" s="2">
        <v>100</v>
      </c>
      <c r="H15" s="2">
        <v>50</v>
      </c>
      <c r="I15" s="2" t="s">
        <v>516</v>
      </c>
      <c r="J15" s="2" t="s">
        <v>517</v>
      </c>
      <c r="K15" s="2">
        <v>59.571428571428569</v>
      </c>
      <c r="L15" s="2">
        <v>6</v>
      </c>
      <c r="M15" s="2">
        <v>0.8571428571428571</v>
      </c>
      <c r="N15" s="2">
        <v>69.5</v>
      </c>
      <c r="O15" s="2" t="s">
        <v>54</v>
      </c>
    </row>
    <row r="16" spans="1:15" x14ac:dyDescent="0.25">
      <c r="A16" s="2" t="s">
        <v>96</v>
      </c>
      <c r="B16" s="2">
        <v>100</v>
      </c>
      <c r="C16" s="2">
        <v>100</v>
      </c>
      <c r="D16" s="2">
        <v>100</v>
      </c>
      <c r="E16" s="2">
        <v>33</v>
      </c>
      <c r="F16" s="2">
        <v>100</v>
      </c>
      <c r="G16" s="2">
        <v>100</v>
      </c>
      <c r="H16" s="2">
        <v>100</v>
      </c>
      <c r="I16" s="2" t="s">
        <v>516</v>
      </c>
      <c r="J16" s="2" t="s">
        <v>517</v>
      </c>
      <c r="K16" s="2">
        <v>90.428571428571431</v>
      </c>
      <c r="L16" s="2">
        <v>7</v>
      </c>
      <c r="M16" s="2">
        <v>1</v>
      </c>
      <c r="N16" s="2">
        <v>90.428571428571431</v>
      </c>
      <c r="O16" s="2" t="s">
        <v>60</v>
      </c>
    </row>
    <row r="17" spans="1:15" x14ac:dyDescent="0.25">
      <c r="A17" s="2" t="s">
        <v>99</v>
      </c>
      <c r="B17" s="2">
        <v>67</v>
      </c>
      <c r="C17" s="2">
        <v>67</v>
      </c>
      <c r="D17" s="2">
        <v>0</v>
      </c>
      <c r="E17" s="2">
        <v>67</v>
      </c>
      <c r="F17" s="2">
        <v>67</v>
      </c>
      <c r="G17" s="2">
        <v>67</v>
      </c>
      <c r="H17" s="2">
        <v>50</v>
      </c>
      <c r="I17" s="2" t="s">
        <v>518</v>
      </c>
      <c r="J17" s="2" t="s">
        <v>517</v>
      </c>
      <c r="K17" s="2">
        <v>55</v>
      </c>
      <c r="L17" s="2">
        <v>7</v>
      </c>
      <c r="M17" s="2">
        <v>1</v>
      </c>
      <c r="N17" s="2">
        <v>55</v>
      </c>
      <c r="O17" s="2" t="s">
        <v>60</v>
      </c>
    </row>
    <row r="18" spans="1:15" ht="30" x14ac:dyDescent="0.25">
      <c r="A18" s="2" t="s">
        <v>101</v>
      </c>
      <c r="B18" s="2">
        <v>0</v>
      </c>
      <c r="C18" s="2">
        <v>0</v>
      </c>
      <c r="D18" s="2">
        <v>100</v>
      </c>
      <c r="E18" s="2">
        <v>67</v>
      </c>
      <c r="F18" s="2">
        <v>33</v>
      </c>
      <c r="G18" s="2">
        <v>100</v>
      </c>
      <c r="H18" s="2">
        <v>50</v>
      </c>
      <c r="I18" s="2" t="s">
        <v>516</v>
      </c>
      <c r="J18" s="2" t="s">
        <v>517</v>
      </c>
      <c r="K18" s="2">
        <v>50</v>
      </c>
      <c r="L18" s="2">
        <v>5</v>
      </c>
      <c r="M18" s="2">
        <v>0.7142857142857143</v>
      </c>
      <c r="N18" s="2">
        <v>70</v>
      </c>
      <c r="O18" s="2" t="s">
        <v>104</v>
      </c>
    </row>
    <row r="19" spans="1:15" ht="30" x14ac:dyDescent="0.25">
      <c r="A19" s="2" t="s">
        <v>105</v>
      </c>
      <c r="B19" s="2">
        <v>0</v>
      </c>
      <c r="C19" s="2">
        <v>0</v>
      </c>
      <c r="D19" s="2">
        <v>0</v>
      </c>
      <c r="E19" s="2">
        <v>0</v>
      </c>
      <c r="F19" s="2">
        <v>0</v>
      </c>
      <c r="G19" s="2">
        <v>100</v>
      </c>
      <c r="H19" s="2">
        <v>0</v>
      </c>
      <c r="I19" s="2" t="s">
        <v>518</v>
      </c>
      <c r="J19" s="2" t="s">
        <v>517</v>
      </c>
      <c r="K19" s="2">
        <v>14.28571428571429</v>
      </c>
      <c r="L19" s="2">
        <v>5</v>
      </c>
      <c r="M19" s="2">
        <v>0.7142857142857143</v>
      </c>
      <c r="N19" s="2">
        <v>20</v>
      </c>
      <c r="O19" s="2" t="s">
        <v>108</v>
      </c>
    </row>
    <row r="20" spans="1:15" x14ac:dyDescent="0.25">
      <c r="A20" s="2" t="s">
        <v>109</v>
      </c>
      <c r="B20" s="2">
        <v>100</v>
      </c>
      <c r="C20" s="2">
        <v>100</v>
      </c>
      <c r="D20" s="2">
        <v>100</v>
      </c>
      <c r="E20" s="2">
        <v>67</v>
      </c>
      <c r="F20" s="2">
        <v>100</v>
      </c>
      <c r="G20" s="2">
        <v>100</v>
      </c>
      <c r="H20" s="2">
        <v>100</v>
      </c>
      <c r="I20" s="2" t="s">
        <v>516</v>
      </c>
      <c r="J20" s="2" t="s">
        <v>517</v>
      </c>
      <c r="K20" s="2">
        <v>95.285714285714292</v>
      </c>
      <c r="L20" s="2">
        <v>7</v>
      </c>
      <c r="M20" s="2">
        <v>1</v>
      </c>
      <c r="N20" s="2">
        <v>95.285714285714292</v>
      </c>
      <c r="O20" s="2" t="s">
        <v>60</v>
      </c>
    </row>
    <row r="21" spans="1:15" ht="30" x14ac:dyDescent="0.25">
      <c r="A21" s="2" t="s">
        <v>110</v>
      </c>
      <c r="B21" s="2">
        <v>100</v>
      </c>
      <c r="C21" s="2">
        <v>67</v>
      </c>
      <c r="D21" s="2">
        <v>100</v>
      </c>
      <c r="E21" s="2">
        <v>33</v>
      </c>
      <c r="F21" s="2">
        <v>100</v>
      </c>
      <c r="G21" s="2">
        <v>0</v>
      </c>
      <c r="H21" s="2">
        <v>50</v>
      </c>
      <c r="I21" s="2" t="s">
        <v>516</v>
      </c>
      <c r="J21" s="2" t="s">
        <v>517</v>
      </c>
      <c r="K21" s="2">
        <v>64.285714285714292</v>
      </c>
      <c r="L21" s="2">
        <v>7</v>
      </c>
      <c r="M21" s="2">
        <v>1</v>
      </c>
      <c r="N21" s="2">
        <v>64.285714285714292</v>
      </c>
      <c r="O21" s="2" t="s">
        <v>60</v>
      </c>
    </row>
    <row r="22" spans="1:15" x14ac:dyDescent="0.25">
      <c r="A22" s="2" t="s">
        <v>113</v>
      </c>
      <c r="B22" s="2">
        <v>100</v>
      </c>
      <c r="C22" s="2">
        <v>0</v>
      </c>
      <c r="D22" s="2">
        <v>0</v>
      </c>
      <c r="E22" s="2">
        <v>33</v>
      </c>
      <c r="F22" s="2">
        <v>100</v>
      </c>
      <c r="G22" s="2">
        <v>0</v>
      </c>
      <c r="H22" s="2">
        <v>50</v>
      </c>
      <c r="I22" s="2" t="s">
        <v>520</v>
      </c>
      <c r="J22" s="2" t="s">
        <v>521</v>
      </c>
      <c r="K22" s="2">
        <v>40.428571428571431</v>
      </c>
      <c r="L22" s="2">
        <v>7</v>
      </c>
      <c r="M22" s="2">
        <v>1</v>
      </c>
      <c r="N22" s="2">
        <v>40.428571428571431</v>
      </c>
      <c r="O22" s="2" t="s">
        <v>116</v>
      </c>
    </row>
    <row r="23" spans="1:15" x14ac:dyDescent="0.25">
      <c r="A23" s="2" t="s">
        <v>117</v>
      </c>
      <c r="B23" s="2">
        <v>0</v>
      </c>
      <c r="C23" s="2">
        <v>0</v>
      </c>
      <c r="D23" s="2">
        <v>0</v>
      </c>
      <c r="E23" s="2">
        <v>67</v>
      </c>
      <c r="F23" s="2">
        <v>0</v>
      </c>
      <c r="G23" s="2">
        <v>0</v>
      </c>
      <c r="H23" s="2">
        <v>50</v>
      </c>
      <c r="I23" s="2" t="s">
        <v>518</v>
      </c>
      <c r="J23" s="2" t="s">
        <v>517</v>
      </c>
      <c r="K23" s="2">
        <v>16.714285714285719</v>
      </c>
      <c r="L23" s="2">
        <v>7</v>
      </c>
      <c r="M23" s="2">
        <v>1</v>
      </c>
      <c r="N23" s="2">
        <v>16.714285714285719</v>
      </c>
      <c r="O23" s="2" t="s">
        <v>60</v>
      </c>
    </row>
    <row r="24" spans="1:15" x14ac:dyDescent="0.25">
      <c r="A24" s="2" t="s">
        <v>120</v>
      </c>
      <c r="B24" s="2">
        <v>100</v>
      </c>
      <c r="C24" s="2">
        <v>100</v>
      </c>
      <c r="D24" s="2">
        <v>100</v>
      </c>
      <c r="E24" s="2">
        <v>100</v>
      </c>
      <c r="F24" s="2">
        <v>33</v>
      </c>
      <c r="G24" s="2">
        <v>100</v>
      </c>
      <c r="H24" s="2">
        <v>100</v>
      </c>
      <c r="I24" s="2" t="s">
        <v>516</v>
      </c>
      <c r="J24" s="2" t="s">
        <v>517</v>
      </c>
      <c r="K24" s="2">
        <v>90.428571428571431</v>
      </c>
      <c r="L24" s="2">
        <v>7</v>
      </c>
      <c r="M24" s="2">
        <v>1</v>
      </c>
      <c r="N24" s="2">
        <v>90.428571428571431</v>
      </c>
      <c r="O24" s="2" t="s">
        <v>60</v>
      </c>
    </row>
    <row r="25" spans="1:15" x14ac:dyDescent="0.25">
      <c r="A25" s="2" t="s">
        <v>123</v>
      </c>
      <c r="B25" s="2">
        <v>100</v>
      </c>
      <c r="C25" s="2">
        <v>100</v>
      </c>
      <c r="D25" s="2">
        <v>100</v>
      </c>
      <c r="E25" s="2">
        <v>100</v>
      </c>
      <c r="F25" s="2">
        <v>67</v>
      </c>
      <c r="G25" s="2">
        <v>100</v>
      </c>
      <c r="H25" s="2">
        <v>100</v>
      </c>
      <c r="I25" s="2" t="s">
        <v>516</v>
      </c>
      <c r="J25" s="2" t="s">
        <v>517</v>
      </c>
      <c r="K25" s="2">
        <v>95.285714285714292</v>
      </c>
      <c r="L25" s="2">
        <v>7</v>
      </c>
      <c r="M25" s="2">
        <v>1</v>
      </c>
      <c r="N25" s="2">
        <v>95.285714285714292</v>
      </c>
      <c r="O25" s="2" t="s">
        <v>60</v>
      </c>
    </row>
    <row r="26" spans="1:15" x14ac:dyDescent="0.25">
      <c r="A26" s="2" t="s">
        <v>125</v>
      </c>
      <c r="B26" s="2">
        <v>100</v>
      </c>
      <c r="C26" s="2">
        <v>0</v>
      </c>
      <c r="D26" s="2">
        <v>100</v>
      </c>
      <c r="E26" s="2">
        <v>33</v>
      </c>
      <c r="F26" s="2">
        <v>67</v>
      </c>
      <c r="G26" s="2">
        <v>100</v>
      </c>
      <c r="H26" s="2">
        <v>0</v>
      </c>
      <c r="I26" s="2" t="s">
        <v>516</v>
      </c>
      <c r="J26" s="2" t="s">
        <v>517</v>
      </c>
      <c r="K26" s="2">
        <v>57.142857142857153</v>
      </c>
      <c r="L26" s="2">
        <v>6</v>
      </c>
      <c r="M26" s="2">
        <v>0.8571428571428571</v>
      </c>
      <c r="N26" s="2">
        <v>66.666666666666671</v>
      </c>
      <c r="O26" s="2" t="s">
        <v>54</v>
      </c>
    </row>
    <row r="27" spans="1:15" x14ac:dyDescent="0.25">
      <c r="A27" s="2" t="s">
        <v>127</v>
      </c>
      <c r="B27" s="2">
        <v>100</v>
      </c>
      <c r="C27" s="2">
        <v>100</v>
      </c>
      <c r="D27" s="2">
        <v>100</v>
      </c>
      <c r="E27" s="2">
        <v>67</v>
      </c>
      <c r="F27" s="2">
        <v>100</v>
      </c>
      <c r="G27" s="2">
        <v>100</v>
      </c>
      <c r="H27" s="2">
        <v>100</v>
      </c>
      <c r="I27" s="2" t="s">
        <v>516</v>
      </c>
      <c r="J27" s="2" t="s">
        <v>517</v>
      </c>
      <c r="K27" s="2">
        <v>95.285714285714292</v>
      </c>
      <c r="L27" s="2">
        <v>7</v>
      </c>
      <c r="M27" s="2">
        <v>1</v>
      </c>
      <c r="N27" s="2">
        <v>95.285714285714292</v>
      </c>
      <c r="O27" s="2" t="s">
        <v>60</v>
      </c>
    </row>
    <row r="28" spans="1:15" ht="30" x14ac:dyDescent="0.25">
      <c r="A28" s="2" t="s">
        <v>130</v>
      </c>
      <c r="B28" s="2">
        <v>67</v>
      </c>
      <c r="C28" s="2">
        <v>0</v>
      </c>
      <c r="D28" s="2">
        <v>0</v>
      </c>
      <c r="E28" s="2">
        <v>33</v>
      </c>
      <c r="F28" s="2">
        <v>33</v>
      </c>
      <c r="G28" s="2">
        <v>100</v>
      </c>
      <c r="H28" s="2">
        <v>0</v>
      </c>
      <c r="I28" s="2" t="s">
        <v>519</v>
      </c>
      <c r="J28" s="2" t="s">
        <v>517</v>
      </c>
      <c r="K28" s="2">
        <v>33.285714285714278</v>
      </c>
      <c r="L28" s="2">
        <v>5</v>
      </c>
      <c r="M28" s="2">
        <v>0.7142857142857143</v>
      </c>
      <c r="N28" s="2">
        <v>46.6</v>
      </c>
      <c r="O28" s="2" t="s">
        <v>88</v>
      </c>
    </row>
    <row r="29" spans="1:15" x14ac:dyDescent="0.25">
      <c r="A29" s="2" t="s">
        <v>133</v>
      </c>
      <c r="B29" s="2">
        <v>100</v>
      </c>
      <c r="C29" s="2">
        <v>100</v>
      </c>
      <c r="D29" s="2">
        <v>100</v>
      </c>
      <c r="E29" s="2">
        <v>67</v>
      </c>
      <c r="F29" s="2">
        <v>100</v>
      </c>
      <c r="G29" s="2">
        <v>0</v>
      </c>
      <c r="H29" s="2">
        <v>100</v>
      </c>
      <c r="I29" s="2" t="s">
        <v>516</v>
      </c>
      <c r="J29" s="2" t="s">
        <v>517</v>
      </c>
      <c r="K29" s="2">
        <v>81</v>
      </c>
      <c r="L29" s="2">
        <v>7</v>
      </c>
      <c r="M29" s="2">
        <v>1</v>
      </c>
      <c r="N29" s="2">
        <v>81</v>
      </c>
      <c r="O29" s="2" t="s">
        <v>60</v>
      </c>
    </row>
    <row r="30" spans="1:15" ht="45" x14ac:dyDescent="0.25">
      <c r="A30" s="2" t="s">
        <v>134</v>
      </c>
      <c r="B30" s="2">
        <v>100</v>
      </c>
      <c r="C30" s="2">
        <v>0</v>
      </c>
      <c r="D30" s="2">
        <v>100</v>
      </c>
      <c r="E30" s="2">
        <v>0</v>
      </c>
      <c r="F30" s="2">
        <v>0</v>
      </c>
      <c r="G30" s="2">
        <v>100</v>
      </c>
      <c r="H30" s="2">
        <v>50</v>
      </c>
      <c r="I30" s="2" t="s">
        <v>516</v>
      </c>
      <c r="J30" s="2" t="s">
        <v>517</v>
      </c>
      <c r="K30" s="2">
        <v>50</v>
      </c>
      <c r="L30" s="2">
        <v>4</v>
      </c>
      <c r="M30" s="2">
        <v>0.5714285714285714</v>
      </c>
      <c r="N30" s="2">
        <v>87.5</v>
      </c>
      <c r="O30" s="2" t="s">
        <v>137</v>
      </c>
    </row>
    <row r="31" spans="1:15" x14ac:dyDescent="0.25">
      <c r="A31" s="2" t="s">
        <v>138</v>
      </c>
      <c r="B31" s="2">
        <v>100</v>
      </c>
      <c r="C31" s="2">
        <v>0</v>
      </c>
      <c r="D31" s="2">
        <v>0</v>
      </c>
      <c r="E31" s="2">
        <v>33</v>
      </c>
      <c r="F31" s="2">
        <v>0</v>
      </c>
      <c r="G31" s="2">
        <v>100</v>
      </c>
      <c r="H31" s="2">
        <v>50</v>
      </c>
      <c r="I31" s="2" t="s">
        <v>518</v>
      </c>
      <c r="J31" s="2" t="s">
        <v>517</v>
      </c>
      <c r="K31" s="2">
        <v>40.428571428571431</v>
      </c>
      <c r="L31" s="2">
        <v>7</v>
      </c>
      <c r="M31" s="2">
        <v>1</v>
      </c>
      <c r="N31" s="2">
        <v>40.428571428571431</v>
      </c>
      <c r="O31" s="2" t="s">
        <v>60</v>
      </c>
    </row>
    <row r="32" spans="1:15" x14ac:dyDescent="0.25">
      <c r="A32" s="2" t="s">
        <v>141</v>
      </c>
      <c r="B32" s="2">
        <v>100</v>
      </c>
      <c r="C32" s="2">
        <v>100</v>
      </c>
      <c r="D32" s="2">
        <v>100</v>
      </c>
      <c r="E32" s="2">
        <v>67</v>
      </c>
      <c r="F32" s="2">
        <v>100</v>
      </c>
      <c r="G32" s="2">
        <v>100</v>
      </c>
      <c r="H32" s="2">
        <v>100</v>
      </c>
      <c r="I32" s="2" t="s">
        <v>516</v>
      </c>
      <c r="J32" s="2" t="s">
        <v>517</v>
      </c>
      <c r="K32" s="2">
        <v>95.285714285714292</v>
      </c>
      <c r="L32" s="2">
        <v>7</v>
      </c>
      <c r="M32" s="2">
        <v>1</v>
      </c>
      <c r="N32" s="2">
        <v>95.285714285714292</v>
      </c>
      <c r="O32" s="2" t="s">
        <v>60</v>
      </c>
    </row>
    <row r="33" spans="1:15" x14ac:dyDescent="0.25">
      <c r="A33" s="2" t="s">
        <v>143</v>
      </c>
      <c r="B33" s="2">
        <v>100</v>
      </c>
      <c r="C33" s="2">
        <v>0</v>
      </c>
      <c r="D33" s="2">
        <v>100</v>
      </c>
      <c r="E33" s="2">
        <v>67</v>
      </c>
      <c r="F33" s="2">
        <v>100</v>
      </c>
      <c r="G33" s="2">
        <v>0</v>
      </c>
      <c r="H33" s="2">
        <v>50</v>
      </c>
      <c r="I33" s="2" t="s">
        <v>516</v>
      </c>
      <c r="J33" s="2" t="s">
        <v>517</v>
      </c>
      <c r="K33" s="2">
        <v>59.571428571428569</v>
      </c>
      <c r="L33" s="2">
        <v>7</v>
      </c>
      <c r="M33" s="2">
        <v>1</v>
      </c>
      <c r="N33" s="2">
        <v>59.571428571428569</v>
      </c>
      <c r="O33" s="2" t="s">
        <v>60</v>
      </c>
    </row>
    <row r="34" spans="1:15" x14ac:dyDescent="0.25">
      <c r="A34" s="2" t="s">
        <v>145</v>
      </c>
      <c r="B34" s="2">
        <v>100</v>
      </c>
      <c r="C34" s="2">
        <v>0</v>
      </c>
      <c r="D34" s="2">
        <v>0</v>
      </c>
      <c r="E34" s="2">
        <v>67</v>
      </c>
      <c r="F34" s="2">
        <v>100</v>
      </c>
      <c r="G34" s="2">
        <v>100</v>
      </c>
      <c r="H34" s="2">
        <v>50</v>
      </c>
      <c r="I34" s="2" t="s">
        <v>518</v>
      </c>
      <c r="J34" s="2" t="s">
        <v>517</v>
      </c>
      <c r="K34" s="2">
        <v>59.571428571428569</v>
      </c>
      <c r="L34" s="2">
        <v>6</v>
      </c>
      <c r="M34" s="2">
        <v>0.8571428571428571</v>
      </c>
      <c r="N34" s="2">
        <v>69.5</v>
      </c>
      <c r="O34" s="2" t="s">
        <v>54</v>
      </c>
    </row>
    <row r="35" spans="1:15" x14ac:dyDescent="0.25">
      <c r="A35" s="2" t="s">
        <v>148</v>
      </c>
      <c r="B35" s="2">
        <v>100</v>
      </c>
      <c r="C35" s="2">
        <v>0</v>
      </c>
      <c r="D35" s="2">
        <v>100</v>
      </c>
      <c r="E35" s="2">
        <v>33</v>
      </c>
      <c r="F35" s="2">
        <v>0</v>
      </c>
      <c r="G35" s="2">
        <v>33</v>
      </c>
      <c r="H35" s="2">
        <v>0</v>
      </c>
      <c r="I35" s="2" t="s">
        <v>516</v>
      </c>
      <c r="J35" s="2" t="s">
        <v>517</v>
      </c>
      <c r="K35" s="2">
        <v>38</v>
      </c>
      <c r="L35" s="2">
        <v>7</v>
      </c>
      <c r="M35" s="2">
        <v>1</v>
      </c>
      <c r="N35" s="2">
        <v>38</v>
      </c>
      <c r="O35" s="2" t="s">
        <v>60</v>
      </c>
    </row>
    <row r="36" spans="1:15" x14ac:dyDescent="0.25">
      <c r="A36" s="2" t="s">
        <v>151</v>
      </c>
      <c r="B36" s="2">
        <v>100</v>
      </c>
      <c r="C36" s="2">
        <v>0</v>
      </c>
      <c r="D36" s="2">
        <v>100</v>
      </c>
      <c r="E36" s="2">
        <v>33</v>
      </c>
      <c r="F36" s="2">
        <v>0</v>
      </c>
      <c r="G36" s="2">
        <v>33</v>
      </c>
      <c r="H36" s="2">
        <v>0</v>
      </c>
      <c r="I36" s="2" t="s">
        <v>516</v>
      </c>
      <c r="J36" s="2" t="s">
        <v>517</v>
      </c>
      <c r="K36" s="2">
        <v>38</v>
      </c>
      <c r="L36" s="2">
        <v>7</v>
      </c>
      <c r="M36" s="2">
        <v>1</v>
      </c>
      <c r="N36" s="2">
        <v>38</v>
      </c>
      <c r="O36" s="2" t="s">
        <v>60</v>
      </c>
    </row>
    <row r="37" spans="1:15" x14ac:dyDescent="0.25">
      <c r="A37" s="2" t="s">
        <v>153</v>
      </c>
      <c r="B37" s="2">
        <v>0</v>
      </c>
      <c r="C37" s="2">
        <v>0</v>
      </c>
      <c r="D37" s="2">
        <v>0</v>
      </c>
      <c r="E37" s="2">
        <v>100</v>
      </c>
      <c r="F37" s="2">
        <v>0</v>
      </c>
      <c r="G37" s="2">
        <v>100</v>
      </c>
      <c r="H37" s="2">
        <v>0</v>
      </c>
      <c r="I37" s="2" t="s">
        <v>518</v>
      </c>
      <c r="J37" s="2" t="s">
        <v>517</v>
      </c>
      <c r="K37" s="2">
        <v>28.571428571428569</v>
      </c>
      <c r="L37" s="2">
        <v>7</v>
      </c>
      <c r="M37" s="2">
        <v>1</v>
      </c>
      <c r="N37" s="2">
        <v>28.571428571428569</v>
      </c>
      <c r="O37" s="2" t="s">
        <v>60</v>
      </c>
    </row>
    <row r="38" spans="1:15" ht="30" x14ac:dyDescent="0.25">
      <c r="A38" s="2" t="s">
        <v>155</v>
      </c>
      <c r="B38" s="2">
        <v>100</v>
      </c>
      <c r="C38" s="2">
        <v>100</v>
      </c>
      <c r="D38" s="2">
        <v>100</v>
      </c>
      <c r="E38" s="2">
        <v>100</v>
      </c>
      <c r="F38" s="2">
        <v>100</v>
      </c>
      <c r="G38" s="2">
        <v>100</v>
      </c>
      <c r="H38" s="2">
        <v>100</v>
      </c>
      <c r="I38" s="2" t="s">
        <v>516</v>
      </c>
      <c r="J38" s="2" t="s">
        <v>517</v>
      </c>
      <c r="K38" s="2">
        <v>100</v>
      </c>
      <c r="L38" s="2">
        <v>7</v>
      </c>
      <c r="M38" s="2">
        <v>1</v>
      </c>
      <c r="N38" s="2">
        <v>100</v>
      </c>
      <c r="O38" s="2" t="s">
        <v>60</v>
      </c>
    </row>
    <row r="39" spans="1:15" ht="60" x14ac:dyDescent="0.25">
      <c r="A39" s="2" t="s">
        <v>160</v>
      </c>
      <c r="B39" s="2">
        <v>0</v>
      </c>
      <c r="C39" s="2">
        <v>0</v>
      </c>
      <c r="D39" s="2">
        <v>0</v>
      </c>
      <c r="E39" s="2">
        <v>100</v>
      </c>
      <c r="F39" s="2">
        <v>0</v>
      </c>
      <c r="G39" s="2">
        <v>0</v>
      </c>
      <c r="H39" s="2">
        <v>0</v>
      </c>
      <c r="I39" s="2" t="s">
        <v>519</v>
      </c>
      <c r="J39" s="2" t="s">
        <v>517</v>
      </c>
      <c r="K39" s="2">
        <v>14.28571428571429</v>
      </c>
      <c r="L39" s="2">
        <v>2</v>
      </c>
      <c r="M39" s="2">
        <v>0.2857142857142857</v>
      </c>
      <c r="N39" s="2">
        <v>50</v>
      </c>
      <c r="O39" s="2" t="s">
        <v>162</v>
      </c>
    </row>
    <row r="40" spans="1:15" x14ac:dyDescent="0.25">
      <c r="A40" s="2" t="s">
        <v>163</v>
      </c>
      <c r="B40" s="2">
        <v>100</v>
      </c>
      <c r="C40" s="2">
        <v>100</v>
      </c>
      <c r="D40" s="2">
        <v>0</v>
      </c>
      <c r="E40" s="2">
        <v>100</v>
      </c>
      <c r="F40" s="2">
        <v>67</v>
      </c>
      <c r="G40" s="2">
        <v>100</v>
      </c>
      <c r="H40" s="2">
        <v>100</v>
      </c>
      <c r="I40" s="2" t="s">
        <v>520</v>
      </c>
      <c r="J40" s="2" t="s">
        <v>521</v>
      </c>
      <c r="K40" s="2">
        <v>81</v>
      </c>
      <c r="L40" s="2">
        <v>7</v>
      </c>
      <c r="M40" s="2">
        <v>1</v>
      </c>
      <c r="N40" s="2">
        <v>81</v>
      </c>
      <c r="O40" s="2" t="s">
        <v>116</v>
      </c>
    </row>
    <row r="41" spans="1:15" x14ac:dyDescent="0.25">
      <c r="A41" s="2" t="s">
        <v>164</v>
      </c>
      <c r="B41" s="2">
        <v>100</v>
      </c>
      <c r="C41" s="2">
        <v>100</v>
      </c>
      <c r="D41" s="2">
        <v>100</v>
      </c>
      <c r="E41" s="2">
        <v>100</v>
      </c>
      <c r="F41" s="2">
        <v>100</v>
      </c>
      <c r="G41" s="2">
        <v>100</v>
      </c>
      <c r="H41" s="2">
        <v>100</v>
      </c>
      <c r="I41" s="2" t="s">
        <v>516</v>
      </c>
      <c r="J41" s="2" t="s">
        <v>517</v>
      </c>
      <c r="K41" s="2">
        <v>100</v>
      </c>
      <c r="L41" s="2">
        <v>7</v>
      </c>
      <c r="M41" s="2">
        <v>1</v>
      </c>
      <c r="N41" s="2">
        <v>100</v>
      </c>
      <c r="O41" s="2" t="s">
        <v>60</v>
      </c>
    </row>
    <row r="42" spans="1:15" ht="60" x14ac:dyDescent="0.25">
      <c r="A42" s="2" t="s">
        <v>166</v>
      </c>
      <c r="B42" s="2">
        <v>0</v>
      </c>
      <c r="C42" s="2">
        <v>0</v>
      </c>
      <c r="D42" s="2">
        <v>0</v>
      </c>
      <c r="E42" s="2">
        <v>0</v>
      </c>
      <c r="F42" s="2">
        <v>0</v>
      </c>
      <c r="G42" s="2">
        <v>0</v>
      </c>
      <c r="H42" s="2">
        <v>0</v>
      </c>
      <c r="I42" s="2" t="s">
        <v>518</v>
      </c>
      <c r="J42" s="2" t="s">
        <v>517</v>
      </c>
      <c r="K42" s="2">
        <v>0</v>
      </c>
      <c r="L42" s="2">
        <v>2</v>
      </c>
      <c r="M42" s="2">
        <v>0.2857142857142857</v>
      </c>
      <c r="N42" s="2">
        <v>0</v>
      </c>
      <c r="O42" s="2" t="s">
        <v>168</v>
      </c>
    </row>
    <row r="43" spans="1:15" x14ac:dyDescent="0.25">
      <c r="A43" s="2" t="s">
        <v>169</v>
      </c>
      <c r="B43" s="2">
        <v>100</v>
      </c>
      <c r="C43" s="2">
        <v>100</v>
      </c>
      <c r="D43" s="2">
        <v>100</v>
      </c>
      <c r="E43" s="2">
        <v>67</v>
      </c>
      <c r="F43" s="2">
        <v>33</v>
      </c>
      <c r="G43" s="2">
        <v>100</v>
      </c>
      <c r="H43" s="2">
        <v>50</v>
      </c>
      <c r="I43" s="2" t="s">
        <v>516</v>
      </c>
      <c r="J43" s="2" t="s">
        <v>517</v>
      </c>
      <c r="K43" s="2">
        <v>78.571428571428569</v>
      </c>
      <c r="L43" s="2">
        <v>7</v>
      </c>
      <c r="M43" s="2">
        <v>1</v>
      </c>
      <c r="N43" s="2">
        <v>78.571428571428569</v>
      </c>
      <c r="O43" s="2" t="s">
        <v>60</v>
      </c>
    </row>
    <row r="44" spans="1:15" ht="60" x14ac:dyDescent="0.25">
      <c r="A44" s="2" t="s">
        <v>172</v>
      </c>
      <c r="B44" s="2">
        <v>67</v>
      </c>
      <c r="C44" s="2">
        <v>0</v>
      </c>
      <c r="D44" s="2">
        <v>0</v>
      </c>
      <c r="E44" s="2">
        <v>67</v>
      </c>
      <c r="F44" s="2">
        <v>0</v>
      </c>
      <c r="G44" s="2">
        <v>0</v>
      </c>
      <c r="H44" s="2">
        <v>0</v>
      </c>
      <c r="I44" s="2" t="s">
        <v>519</v>
      </c>
      <c r="J44" s="2" t="s">
        <v>517</v>
      </c>
      <c r="K44" s="2">
        <v>19.142857142857139</v>
      </c>
      <c r="L44" s="2">
        <v>2</v>
      </c>
      <c r="M44" s="2">
        <v>0.2857142857142857</v>
      </c>
      <c r="N44" s="2">
        <v>67</v>
      </c>
      <c r="O44" s="2" t="s">
        <v>174</v>
      </c>
    </row>
    <row r="45" spans="1:15" x14ac:dyDescent="0.25">
      <c r="A45" s="2" t="s">
        <v>175</v>
      </c>
      <c r="B45" s="2">
        <v>100</v>
      </c>
      <c r="C45" s="2">
        <v>100</v>
      </c>
      <c r="D45" s="2">
        <v>100</v>
      </c>
      <c r="E45" s="2">
        <v>100</v>
      </c>
      <c r="F45" s="2">
        <v>100</v>
      </c>
      <c r="G45" s="2">
        <v>100</v>
      </c>
      <c r="H45" s="2">
        <v>100</v>
      </c>
      <c r="I45" s="2" t="s">
        <v>516</v>
      </c>
      <c r="J45" s="2" t="s">
        <v>517</v>
      </c>
      <c r="K45" s="2">
        <v>100</v>
      </c>
      <c r="L45" s="2">
        <v>7</v>
      </c>
      <c r="M45" s="2">
        <v>1</v>
      </c>
      <c r="N45" s="2">
        <v>100</v>
      </c>
      <c r="O45" s="2" t="s">
        <v>60</v>
      </c>
    </row>
    <row r="46" spans="1:15" x14ac:dyDescent="0.25">
      <c r="A46" s="2" t="s">
        <v>177</v>
      </c>
      <c r="B46" s="2">
        <v>100</v>
      </c>
      <c r="C46" s="2">
        <v>100</v>
      </c>
      <c r="D46" s="2">
        <v>100</v>
      </c>
      <c r="E46" s="2">
        <v>100</v>
      </c>
      <c r="F46" s="2">
        <v>100</v>
      </c>
      <c r="G46" s="2">
        <v>100</v>
      </c>
      <c r="H46" s="2">
        <v>100</v>
      </c>
      <c r="I46" s="2" t="s">
        <v>516</v>
      </c>
      <c r="J46" s="2" t="s">
        <v>517</v>
      </c>
      <c r="K46" s="2">
        <v>100</v>
      </c>
      <c r="L46" s="2">
        <v>7</v>
      </c>
      <c r="M46" s="2">
        <v>1</v>
      </c>
      <c r="N46" s="2">
        <v>100</v>
      </c>
      <c r="O46" s="2" t="s">
        <v>60</v>
      </c>
    </row>
    <row r="47" spans="1:15" x14ac:dyDescent="0.25">
      <c r="A47" s="2" t="s">
        <v>180</v>
      </c>
      <c r="B47" s="2">
        <v>67</v>
      </c>
      <c r="C47" s="2">
        <v>0</v>
      </c>
      <c r="D47" s="2">
        <v>0</v>
      </c>
      <c r="E47" s="2">
        <v>67</v>
      </c>
      <c r="F47" s="2">
        <v>33</v>
      </c>
      <c r="G47" s="2">
        <v>100</v>
      </c>
      <c r="H47" s="2">
        <v>50</v>
      </c>
      <c r="I47" s="2" t="s">
        <v>518</v>
      </c>
      <c r="J47" s="2" t="s">
        <v>517</v>
      </c>
      <c r="K47" s="2">
        <v>45.285714285714278</v>
      </c>
      <c r="L47" s="2">
        <v>7</v>
      </c>
      <c r="M47" s="2">
        <v>1</v>
      </c>
      <c r="N47" s="2">
        <v>45.285714285714278</v>
      </c>
      <c r="O47" s="2" t="s">
        <v>60</v>
      </c>
    </row>
    <row r="48" spans="1:15" x14ac:dyDescent="0.25">
      <c r="A48" s="2" t="s">
        <v>182</v>
      </c>
      <c r="B48" s="2">
        <v>100</v>
      </c>
      <c r="C48" s="2">
        <v>100</v>
      </c>
      <c r="D48" s="2">
        <v>100</v>
      </c>
      <c r="E48" s="2">
        <v>33</v>
      </c>
      <c r="F48" s="2">
        <v>100</v>
      </c>
      <c r="G48" s="2">
        <v>100</v>
      </c>
      <c r="H48" s="2">
        <v>100</v>
      </c>
      <c r="I48" s="2" t="s">
        <v>516</v>
      </c>
      <c r="J48" s="2" t="s">
        <v>517</v>
      </c>
      <c r="K48" s="2">
        <v>90.428571428571431</v>
      </c>
      <c r="L48" s="2">
        <v>7</v>
      </c>
      <c r="M48" s="2">
        <v>1</v>
      </c>
      <c r="N48" s="2">
        <v>90.428571428571431</v>
      </c>
      <c r="O48" s="2" t="s">
        <v>60</v>
      </c>
    </row>
    <row r="49" spans="1:15" x14ac:dyDescent="0.25">
      <c r="A49" s="2" t="s">
        <v>183</v>
      </c>
      <c r="B49" s="2">
        <v>100</v>
      </c>
      <c r="C49" s="2">
        <v>0</v>
      </c>
      <c r="D49" s="2">
        <v>100</v>
      </c>
      <c r="E49" s="2">
        <v>33</v>
      </c>
      <c r="F49" s="2">
        <v>67</v>
      </c>
      <c r="G49" s="2">
        <v>100</v>
      </c>
      <c r="H49" s="2">
        <v>100</v>
      </c>
      <c r="I49" s="2" t="s">
        <v>516</v>
      </c>
      <c r="J49" s="2" t="s">
        <v>517</v>
      </c>
      <c r="K49" s="2">
        <v>71.428571428571431</v>
      </c>
      <c r="L49" s="2">
        <v>6</v>
      </c>
      <c r="M49" s="2">
        <v>0.8571428571428571</v>
      </c>
      <c r="N49" s="2">
        <v>83.333333333333329</v>
      </c>
      <c r="O49" s="2" t="s">
        <v>54</v>
      </c>
    </row>
    <row r="50" spans="1:15" ht="30" x14ac:dyDescent="0.25">
      <c r="A50" s="2" t="s">
        <v>185</v>
      </c>
      <c r="B50" s="2">
        <v>100</v>
      </c>
      <c r="C50" s="2">
        <v>0</v>
      </c>
      <c r="D50" s="2">
        <v>0</v>
      </c>
      <c r="E50" s="2">
        <v>100</v>
      </c>
      <c r="F50" s="2">
        <v>100</v>
      </c>
      <c r="G50" s="2">
        <v>100</v>
      </c>
      <c r="H50" s="2">
        <v>50</v>
      </c>
      <c r="I50" s="2" t="s">
        <v>520</v>
      </c>
      <c r="J50" s="2" t="s">
        <v>521</v>
      </c>
      <c r="K50" s="2">
        <v>64.285714285714292</v>
      </c>
      <c r="L50" s="2">
        <v>6</v>
      </c>
      <c r="M50" s="2">
        <v>0.8571428571428571</v>
      </c>
      <c r="N50" s="2">
        <v>75</v>
      </c>
      <c r="O50" s="2" t="s">
        <v>188</v>
      </c>
    </row>
    <row r="51" spans="1:15" x14ac:dyDescent="0.25">
      <c r="A51" s="2" t="s">
        <v>189</v>
      </c>
      <c r="B51" s="2">
        <v>100</v>
      </c>
      <c r="C51" s="2">
        <v>100</v>
      </c>
      <c r="D51" s="2">
        <v>100</v>
      </c>
      <c r="E51" s="2">
        <v>67</v>
      </c>
      <c r="F51" s="2">
        <v>100</v>
      </c>
      <c r="G51" s="2">
        <v>100</v>
      </c>
      <c r="H51" s="2">
        <v>100</v>
      </c>
      <c r="I51" s="2" t="s">
        <v>516</v>
      </c>
      <c r="J51" s="2" t="s">
        <v>517</v>
      </c>
      <c r="K51" s="2">
        <v>95.285714285714292</v>
      </c>
      <c r="L51" s="2">
        <v>7</v>
      </c>
      <c r="M51" s="2">
        <v>1</v>
      </c>
      <c r="N51" s="2">
        <v>95.285714285714292</v>
      </c>
      <c r="O51" s="2" t="s">
        <v>60</v>
      </c>
    </row>
    <row r="52" spans="1:15" x14ac:dyDescent="0.25">
      <c r="A52" s="2" t="s">
        <v>192</v>
      </c>
      <c r="B52" s="2">
        <v>100</v>
      </c>
      <c r="C52" s="2">
        <v>100</v>
      </c>
      <c r="D52" s="2">
        <v>100</v>
      </c>
      <c r="E52" s="2">
        <v>0</v>
      </c>
      <c r="F52" s="2">
        <v>0</v>
      </c>
      <c r="G52" s="2">
        <v>0</v>
      </c>
      <c r="H52" s="2">
        <v>100</v>
      </c>
      <c r="I52" s="2" t="s">
        <v>516</v>
      </c>
      <c r="J52" s="2" t="s">
        <v>517</v>
      </c>
      <c r="K52" s="2">
        <v>57.142857142857153</v>
      </c>
      <c r="L52" s="2">
        <v>7</v>
      </c>
      <c r="M52" s="2">
        <v>1</v>
      </c>
      <c r="N52" s="2">
        <v>57.142857142857153</v>
      </c>
      <c r="O52" s="2" t="s">
        <v>60</v>
      </c>
    </row>
    <row r="53" spans="1:15" x14ac:dyDescent="0.25">
      <c r="A53" s="2" t="s">
        <v>195</v>
      </c>
      <c r="B53" s="2">
        <v>100</v>
      </c>
      <c r="C53" s="2">
        <v>100</v>
      </c>
      <c r="D53" s="2">
        <v>100</v>
      </c>
      <c r="E53" s="2">
        <v>100</v>
      </c>
      <c r="F53" s="2">
        <v>33</v>
      </c>
      <c r="G53" s="2">
        <v>100</v>
      </c>
      <c r="H53" s="2">
        <v>100</v>
      </c>
      <c r="I53" s="2" t="s">
        <v>516</v>
      </c>
      <c r="J53" s="2" t="s">
        <v>517</v>
      </c>
      <c r="K53" s="2">
        <v>90.428571428571431</v>
      </c>
      <c r="L53" s="2">
        <v>7</v>
      </c>
      <c r="M53" s="2">
        <v>1</v>
      </c>
      <c r="N53" s="2">
        <v>90.428571428571431</v>
      </c>
      <c r="O53" s="2" t="s">
        <v>60</v>
      </c>
    </row>
    <row r="54" spans="1:15" x14ac:dyDescent="0.25">
      <c r="A54" s="2" t="s">
        <v>197</v>
      </c>
      <c r="B54" s="2">
        <v>100</v>
      </c>
      <c r="C54" s="2">
        <v>100</v>
      </c>
      <c r="D54" s="2">
        <v>100</v>
      </c>
      <c r="E54" s="2">
        <v>67</v>
      </c>
      <c r="F54" s="2">
        <v>67</v>
      </c>
      <c r="G54" s="2">
        <v>67</v>
      </c>
      <c r="H54" s="2">
        <v>100</v>
      </c>
      <c r="I54" s="2" t="s">
        <v>516</v>
      </c>
      <c r="J54" s="2" t="s">
        <v>517</v>
      </c>
      <c r="K54" s="2">
        <v>85.857142857142861</v>
      </c>
      <c r="L54" s="2">
        <v>7</v>
      </c>
      <c r="M54" s="2">
        <v>1</v>
      </c>
      <c r="N54" s="2">
        <v>85.857142857142861</v>
      </c>
      <c r="O54" s="2" t="s">
        <v>60</v>
      </c>
    </row>
    <row r="55" spans="1:15" ht="30" x14ac:dyDescent="0.25">
      <c r="A55" s="2" t="s">
        <v>198</v>
      </c>
      <c r="B55" s="2">
        <v>100</v>
      </c>
      <c r="C55" s="2">
        <v>100</v>
      </c>
      <c r="D55" s="2">
        <v>100</v>
      </c>
      <c r="E55" s="2">
        <v>0</v>
      </c>
      <c r="F55" s="2">
        <v>100</v>
      </c>
      <c r="G55" s="2">
        <v>100</v>
      </c>
      <c r="H55" s="2">
        <v>100</v>
      </c>
      <c r="I55" s="2" t="s">
        <v>516</v>
      </c>
      <c r="J55" s="2" t="s">
        <v>517</v>
      </c>
      <c r="K55" s="2">
        <v>85.714285714285708</v>
      </c>
      <c r="L55" s="2">
        <v>6</v>
      </c>
      <c r="M55" s="2">
        <v>0.8571428571428571</v>
      </c>
      <c r="N55" s="2">
        <v>100</v>
      </c>
      <c r="O55" s="2" t="s">
        <v>200</v>
      </c>
    </row>
    <row r="56" spans="1:15" ht="75" x14ac:dyDescent="0.25">
      <c r="A56" s="2" t="s">
        <v>201</v>
      </c>
      <c r="B56" s="2">
        <v>0</v>
      </c>
      <c r="C56" s="2">
        <v>0</v>
      </c>
      <c r="D56" s="2">
        <v>0</v>
      </c>
      <c r="E56" s="2">
        <v>0</v>
      </c>
      <c r="F56" s="2">
        <v>0</v>
      </c>
      <c r="G56" s="2">
        <v>0</v>
      </c>
      <c r="H56" s="2">
        <v>0</v>
      </c>
      <c r="I56" s="2" t="s">
        <v>518</v>
      </c>
      <c r="J56" s="2" t="s">
        <v>517</v>
      </c>
      <c r="K56" s="2">
        <v>0</v>
      </c>
      <c r="L56" s="2">
        <v>2</v>
      </c>
      <c r="M56" s="2">
        <v>0.2857142857142857</v>
      </c>
      <c r="N56" s="2">
        <v>0</v>
      </c>
      <c r="O56" s="2" t="s">
        <v>204</v>
      </c>
    </row>
    <row r="57" spans="1:15" ht="30" x14ac:dyDescent="0.25">
      <c r="A57" s="2" t="s">
        <v>205</v>
      </c>
      <c r="B57" s="2">
        <v>100</v>
      </c>
      <c r="C57" s="2">
        <v>100</v>
      </c>
      <c r="D57" s="2">
        <v>100</v>
      </c>
      <c r="E57" s="2">
        <v>67</v>
      </c>
      <c r="F57" s="2">
        <v>33</v>
      </c>
      <c r="G57" s="2">
        <v>33</v>
      </c>
      <c r="H57" s="2">
        <v>0</v>
      </c>
      <c r="I57" s="2" t="s">
        <v>516</v>
      </c>
      <c r="J57" s="2" t="s">
        <v>517</v>
      </c>
      <c r="K57" s="2">
        <v>61.857142857142847</v>
      </c>
      <c r="L57" s="2">
        <v>6</v>
      </c>
      <c r="M57" s="2">
        <v>0.8571428571428571</v>
      </c>
      <c r="N57" s="2">
        <v>72.166666666666671</v>
      </c>
      <c r="O57" s="2" t="s">
        <v>88</v>
      </c>
    </row>
    <row r="58" spans="1:15" ht="30" x14ac:dyDescent="0.25">
      <c r="A58" s="2" t="s">
        <v>208</v>
      </c>
      <c r="B58" s="2">
        <v>100</v>
      </c>
      <c r="C58" s="2">
        <v>100</v>
      </c>
      <c r="D58" s="2">
        <v>100</v>
      </c>
      <c r="E58" s="2">
        <v>67</v>
      </c>
      <c r="F58" s="2">
        <v>100</v>
      </c>
      <c r="G58" s="2">
        <v>0</v>
      </c>
      <c r="H58" s="2">
        <v>100</v>
      </c>
      <c r="I58" s="2" t="s">
        <v>516</v>
      </c>
      <c r="J58" s="2" t="s">
        <v>517</v>
      </c>
      <c r="K58" s="2">
        <v>81</v>
      </c>
      <c r="L58" s="2">
        <v>6</v>
      </c>
      <c r="M58" s="2">
        <v>0.8571428571428571</v>
      </c>
      <c r="N58" s="2">
        <v>94.5</v>
      </c>
      <c r="O58" s="2" t="s">
        <v>210</v>
      </c>
    </row>
    <row r="59" spans="1:15" x14ac:dyDescent="0.25">
      <c r="A59" s="2" t="s">
        <v>211</v>
      </c>
      <c r="B59" s="2">
        <v>100</v>
      </c>
      <c r="C59" s="2">
        <v>100</v>
      </c>
      <c r="D59" s="2">
        <v>100</v>
      </c>
      <c r="E59" s="2">
        <v>0</v>
      </c>
      <c r="F59" s="2">
        <v>0</v>
      </c>
      <c r="G59" s="2">
        <v>0</v>
      </c>
      <c r="H59" s="2">
        <v>50</v>
      </c>
      <c r="I59" s="2" t="s">
        <v>516</v>
      </c>
      <c r="J59" s="2" t="s">
        <v>517</v>
      </c>
      <c r="K59" s="2">
        <v>50</v>
      </c>
      <c r="L59" s="2">
        <v>7</v>
      </c>
      <c r="M59" s="2">
        <v>1</v>
      </c>
      <c r="N59" s="2">
        <v>50</v>
      </c>
      <c r="O59" s="2" t="s">
        <v>60</v>
      </c>
    </row>
    <row r="60" spans="1:15" ht="30" x14ac:dyDescent="0.25">
      <c r="A60" s="2" t="s">
        <v>215</v>
      </c>
      <c r="B60" s="2">
        <v>100</v>
      </c>
      <c r="C60" s="2">
        <v>100</v>
      </c>
      <c r="D60" s="2">
        <v>100</v>
      </c>
      <c r="E60" s="2">
        <v>100</v>
      </c>
      <c r="F60" s="2">
        <v>100</v>
      </c>
      <c r="G60" s="2">
        <v>0</v>
      </c>
      <c r="H60" s="2">
        <v>0</v>
      </c>
      <c r="I60" s="2" t="s">
        <v>516</v>
      </c>
      <c r="J60" s="2" t="s">
        <v>517</v>
      </c>
      <c r="K60" s="2">
        <v>71.428571428571431</v>
      </c>
      <c r="L60" s="2">
        <v>6</v>
      </c>
      <c r="M60" s="2">
        <v>0.8571428571428571</v>
      </c>
      <c r="N60" s="2">
        <v>83.333333333333329</v>
      </c>
      <c r="O60" s="2" t="s">
        <v>210</v>
      </c>
    </row>
    <row r="61" spans="1:15" x14ac:dyDescent="0.25">
      <c r="A61" s="2" t="s">
        <v>218</v>
      </c>
      <c r="B61" s="2">
        <v>67</v>
      </c>
      <c r="C61" s="2">
        <v>0</v>
      </c>
      <c r="D61" s="2">
        <v>100</v>
      </c>
      <c r="E61" s="2">
        <v>100</v>
      </c>
      <c r="F61" s="2">
        <v>100</v>
      </c>
      <c r="G61" s="2">
        <v>100</v>
      </c>
      <c r="H61" s="2">
        <v>50</v>
      </c>
      <c r="I61" s="2" t="s">
        <v>516</v>
      </c>
      <c r="J61" s="2" t="s">
        <v>517</v>
      </c>
      <c r="K61" s="2">
        <v>73.857142857142861</v>
      </c>
      <c r="L61" s="2">
        <v>6</v>
      </c>
      <c r="M61" s="2">
        <v>0.8571428571428571</v>
      </c>
      <c r="N61" s="2">
        <v>86.166666666666671</v>
      </c>
      <c r="O61" s="2" t="s">
        <v>54</v>
      </c>
    </row>
    <row r="62" spans="1:15" x14ac:dyDescent="0.25">
      <c r="A62" s="2" t="s">
        <v>220</v>
      </c>
      <c r="B62" s="2">
        <v>100</v>
      </c>
      <c r="C62" s="2">
        <v>0</v>
      </c>
      <c r="D62" s="2">
        <v>100</v>
      </c>
      <c r="E62" s="2">
        <v>67</v>
      </c>
      <c r="F62" s="2">
        <v>67</v>
      </c>
      <c r="G62" s="2">
        <v>100</v>
      </c>
      <c r="H62" s="2">
        <v>50</v>
      </c>
      <c r="I62" s="2" t="s">
        <v>516</v>
      </c>
      <c r="J62" s="2" t="s">
        <v>517</v>
      </c>
      <c r="K62" s="2">
        <v>69.142857142857139</v>
      </c>
      <c r="L62" s="2">
        <v>7</v>
      </c>
      <c r="M62" s="2">
        <v>1</v>
      </c>
      <c r="N62" s="2">
        <v>69.142857142857139</v>
      </c>
      <c r="O62" s="2" t="s">
        <v>60</v>
      </c>
    </row>
    <row r="63" spans="1:15" x14ac:dyDescent="0.25">
      <c r="A63" s="2" t="s">
        <v>222</v>
      </c>
      <c r="B63" s="2">
        <v>100</v>
      </c>
      <c r="C63" s="2">
        <v>0</v>
      </c>
      <c r="D63" s="2">
        <v>100</v>
      </c>
      <c r="E63" s="2">
        <v>33</v>
      </c>
      <c r="F63" s="2">
        <v>33</v>
      </c>
      <c r="G63" s="2">
        <v>67</v>
      </c>
      <c r="H63" s="2">
        <v>100</v>
      </c>
      <c r="I63" s="2" t="s">
        <v>516</v>
      </c>
      <c r="J63" s="2" t="s">
        <v>517</v>
      </c>
      <c r="K63" s="2">
        <v>61.857142857142847</v>
      </c>
      <c r="L63" s="2">
        <v>6</v>
      </c>
      <c r="M63" s="2">
        <v>0.8571428571428571</v>
      </c>
      <c r="N63" s="2">
        <v>72.166666666666671</v>
      </c>
      <c r="O63" s="2" t="s">
        <v>54</v>
      </c>
    </row>
    <row r="64" spans="1:15" ht="45" x14ac:dyDescent="0.25">
      <c r="A64" s="2" t="s">
        <v>223</v>
      </c>
      <c r="B64" s="2">
        <v>0</v>
      </c>
      <c r="C64" s="2">
        <v>0</v>
      </c>
      <c r="D64" s="2">
        <v>100</v>
      </c>
      <c r="E64" s="2">
        <v>100</v>
      </c>
      <c r="F64" s="2">
        <v>67</v>
      </c>
      <c r="G64" s="2">
        <v>0</v>
      </c>
      <c r="H64" s="2">
        <v>0</v>
      </c>
      <c r="I64" s="2" t="s">
        <v>516</v>
      </c>
      <c r="J64" s="2" t="s">
        <v>517</v>
      </c>
      <c r="K64" s="2">
        <v>38.142857142857153</v>
      </c>
      <c r="L64" s="2">
        <v>4</v>
      </c>
      <c r="M64" s="2">
        <v>0.5714285714285714</v>
      </c>
      <c r="N64" s="2">
        <v>66.75</v>
      </c>
      <c r="O64" s="2" t="s">
        <v>225</v>
      </c>
    </row>
    <row r="65" spans="1:15" x14ac:dyDescent="0.25">
      <c r="A65" s="2" t="s">
        <v>226</v>
      </c>
      <c r="B65" s="2">
        <v>67</v>
      </c>
      <c r="C65" s="2">
        <v>0</v>
      </c>
      <c r="D65" s="2">
        <v>100</v>
      </c>
      <c r="E65" s="2">
        <v>33</v>
      </c>
      <c r="F65" s="2">
        <v>67</v>
      </c>
      <c r="G65" s="2">
        <v>100</v>
      </c>
      <c r="H65" s="2">
        <v>50</v>
      </c>
      <c r="I65" s="2" t="s">
        <v>516</v>
      </c>
      <c r="J65" s="2" t="s">
        <v>517</v>
      </c>
      <c r="K65" s="2">
        <v>59.571428571428569</v>
      </c>
      <c r="L65" s="2">
        <v>6</v>
      </c>
      <c r="M65" s="2">
        <v>0.8571428571428571</v>
      </c>
      <c r="N65" s="2">
        <v>69.5</v>
      </c>
      <c r="O65" s="2" t="s">
        <v>54</v>
      </c>
    </row>
    <row r="66" spans="1:15" ht="30" x14ac:dyDescent="0.25">
      <c r="A66" s="2" t="s">
        <v>227</v>
      </c>
      <c r="B66" s="2">
        <v>100</v>
      </c>
      <c r="C66" s="2">
        <v>100</v>
      </c>
      <c r="D66" s="2">
        <v>100</v>
      </c>
      <c r="E66" s="2">
        <v>0</v>
      </c>
      <c r="F66" s="2">
        <v>0</v>
      </c>
      <c r="G66" s="2">
        <v>0</v>
      </c>
      <c r="H66" s="2">
        <v>50</v>
      </c>
      <c r="I66" s="2" t="s">
        <v>516</v>
      </c>
      <c r="J66" s="2" t="s">
        <v>517</v>
      </c>
      <c r="K66" s="2">
        <v>50</v>
      </c>
      <c r="L66" s="2">
        <v>7</v>
      </c>
      <c r="M66" s="2">
        <v>1</v>
      </c>
      <c r="N66" s="2">
        <v>50</v>
      </c>
      <c r="O66" s="2" t="s">
        <v>60</v>
      </c>
    </row>
    <row r="67" spans="1:15" ht="30" x14ac:dyDescent="0.25">
      <c r="A67" s="2" t="s">
        <v>229</v>
      </c>
      <c r="B67" s="2">
        <v>33</v>
      </c>
      <c r="C67" s="2">
        <v>0</v>
      </c>
      <c r="D67" s="2">
        <v>0</v>
      </c>
      <c r="E67" s="2">
        <v>100</v>
      </c>
      <c r="F67" s="2">
        <v>100</v>
      </c>
      <c r="G67" s="2">
        <v>0</v>
      </c>
      <c r="H67" s="2">
        <v>50</v>
      </c>
      <c r="I67" s="2" t="s">
        <v>518</v>
      </c>
      <c r="J67" s="2" t="s">
        <v>517</v>
      </c>
      <c r="K67" s="2">
        <v>40.428571428571431</v>
      </c>
      <c r="L67" s="2">
        <v>5</v>
      </c>
      <c r="M67" s="2">
        <v>0.7142857142857143</v>
      </c>
      <c r="N67" s="2">
        <v>56.6</v>
      </c>
      <c r="O67" s="2" t="s">
        <v>75</v>
      </c>
    </row>
    <row r="68" spans="1:15" x14ac:dyDescent="0.25">
      <c r="A68" s="2" t="s">
        <v>232</v>
      </c>
      <c r="B68" s="2">
        <v>67</v>
      </c>
      <c r="C68" s="2">
        <v>0</v>
      </c>
      <c r="D68" s="2">
        <v>100</v>
      </c>
      <c r="E68" s="2">
        <v>67</v>
      </c>
      <c r="F68" s="2">
        <v>100</v>
      </c>
      <c r="G68" s="2">
        <v>100</v>
      </c>
      <c r="H68" s="2">
        <v>50</v>
      </c>
      <c r="I68" s="2" t="s">
        <v>516</v>
      </c>
      <c r="J68" s="2" t="s">
        <v>517</v>
      </c>
      <c r="K68" s="2">
        <v>69.142857142857139</v>
      </c>
      <c r="L68" s="2">
        <v>6</v>
      </c>
      <c r="M68" s="2">
        <v>0.8571428571428571</v>
      </c>
      <c r="N68" s="2">
        <v>80.666666666666671</v>
      </c>
      <c r="O68" s="2" t="s">
        <v>54</v>
      </c>
    </row>
    <row r="69" spans="1:15" ht="30" x14ac:dyDescent="0.25">
      <c r="A69" s="2" t="s">
        <v>235</v>
      </c>
      <c r="B69" s="2">
        <v>0</v>
      </c>
      <c r="C69" s="2">
        <v>0</v>
      </c>
      <c r="D69" s="2">
        <v>0</v>
      </c>
      <c r="E69" s="2">
        <v>100</v>
      </c>
      <c r="F69" s="2">
        <v>0</v>
      </c>
      <c r="G69" s="2">
        <v>100</v>
      </c>
      <c r="H69" s="2">
        <v>50</v>
      </c>
      <c r="I69" s="2" t="s">
        <v>518</v>
      </c>
      <c r="J69" s="2" t="s">
        <v>517</v>
      </c>
      <c r="K69" s="2">
        <v>35.714285714285722</v>
      </c>
      <c r="L69" s="2">
        <v>6</v>
      </c>
      <c r="M69" s="2">
        <v>0.8571428571428571</v>
      </c>
      <c r="N69" s="2">
        <v>41.666666666666657</v>
      </c>
      <c r="O69" s="2" t="s">
        <v>85</v>
      </c>
    </row>
    <row r="70" spans="1:15" x14ac:dyDescent="0.25">
      <c r="A70" s="2" t="s">
        <v>238</v>
      </c>
      <c r="B70" s="2">
        <v>100</v>
      </c>
      <c r="C70" s="2">
        <v>100</v>
      </c>
      <c r="D70" s="2">
        <v>100</v>
      </c>
      <c r="E70" s="2">
        <v>67</v>
      </c>
      <c r="F70" s="2">
        <v>67</v>
      </c>
      <c r="G70" s="2">
        <v>0</v>
      </c>
      <c r="H70" s="2">
        <v>100</v>
      </c>
      <c r="I70" s="2" t="s">
        <v>516</v>
      </c>
      <c r="J70" s="2" t="s">
        <v>517</v>
      </c>
      <c r="K70" s="2">
        <v>76.285714285714292</v>
      </c>
      <c r="L70" s="2">
        <v>7</v>
      </c>
      <c r="M70" s="2">
        <v>1</v>
      </c>
      <c r="N70" s="2">
        <v>76.285714285714292</v>
      </c>
      <c r="O70" s="2" t="s">
        <v>60</v>
      </c>
    </row>
    <row r="71" spans="1:15" x14ac:dyDescent="0.25">
      <c r="A71" s="2" t="s">
        <v>241</v>
      </c>
      <c r="B71" s="2">
        <v>100</v>
      </c>
      <c r="C71" s="2">
        <v>100</v>
      </c>
      <c r="D71" s="2">
        <v>100</v>
      </c>
      <c r="E71" s="2">
        <v>100</v>
      </c>
      <c r="F71" s="2">
        <v>33</v>
      </c>
      <c r="G71" s="2">
        <v>100</v>
      </c>
      <c r="H71" s="2">
        <v>100</v>
      </c>
      <c r="I71" s="2" t="s">
        <v>516</v>
      </c>
      <c r="J71" s="2" t="s">
        <v>517</v>
      </c>
      <c r="K71" s="2">
        <v>90.428571428571431</v>
      </c>
      <c r="L71" s="2">
        <v>7</v>
      </c>
      <c r="M71" s="2">
        <v>1</v>
      </c>
      <c r="N71" s="2">
        <v>90.428571428571431</v>
      </c>
      <c r="O71" s="2" t="s">
        <v>60</v>
      </c>
    </row>
    <row r="72" spans="1:15" ht="30" x14ac:dyDescent="0.25">
      <c r="A72" s="2" t="s">
        <v>244</v>
      </c>
      <c r="B72" s="2">
        <v>100</v>
      </c>
      <c r="C72" s="2">
        <v>100</v>
      </c>
      <c r="D72" s="2">
        <v>0</v>
      </c>
      <c r="E72" s="2">
        <v>0</v>
      </c>
      <c r="F72" s="2">
        <v>100</v>
      </c>
      <c r="G72" s="2">
        <v>100</v>
      </c>
      <c r="H72" s="2">
        <v>100</v>
      </c>
      <c r="I72" s="2" t="s">
        <v>519</v>
      </c>
      <c r="J72" s="2" t="s">
        <v>517</v>
      </c>
      <c r="K72" s="2">
        <v>71.428571428571431</v>
      </c>
      <c r="L72" s="2">
        <v>5</v>
      </c>
      <c r="M72" s="2">
        <v>0.7142857142857143</v>
      </c>
      <c r="N72" s="2">
        <v>100</v>
      </c>
      <c r="O72" s="2" t="s">
        <v>200</v>
      </c>
    </row>
    <row r="73" spans="1:15" x14ac:dyDescent="0.25">
      <c r="A73" s="2" t="s">
        <v>247</v>
      </c>
      <c r="B73" s="2">
        <v>100</v>
      </c>
      <c r="C73" s="2">
        <v>100</v>
      </c>
      <c r="D73" s="2">
        <v>100</v>
      </c>
      <c r="E73" s="2">
        <v>100</v>
      </c>
      <c r="F73" s="2">
        <v>67</v>
      </c>
      <c r="G73" s="2">
        <v>100</v>
      </c>
      <c r="H73" s="2">
        <v>50</v>
      </c>
      <c r="I73" s="2" t="s">
        <v>516</v>
      </c>
      <c r="J73" s="2" t="s">
        <v>517</v>
      </c>
      <c r="K73" s="2">
        <v>88.142857142857139</v>
      </c>
      <c r="L73" s="2">
        <v>7</v>
      </c>
      <c r="M73" s="2">
        <v>1</v>
      </c>
      <c r="N73" s="2">
        <v>88.142857142857139</v>
      </c>
      <c r="O73" s="2" t="s">
        <v>60</v>
      </c>
    </row>
    <row r="74" spans="1:15" x14ac:dyDescent="0.25">
      <c r="A74" s="2" t="s">
        <v>250</v>
      </c>
      <c r="B74" s="2">
        <v>100</v>
      </c>
      <c r="C74" s="2">
        <v>100</v>
      </c>
      <c r="D74" s="2">
        <v>100</v>
      </c>
      <c r="E74" s="2">
        <v>33</v>
      </c>
      <c r="F74" s="2">
        <v>100</v>
      </c>
      <c r="G74" s="2">
        <v>100</v>
      </c>
      <c r="H74" s="2">
        <v>100</v>
      </c>
      <c r="I74" s="2" t="s">
        <v>516</v>
      </c>
      <c r="J74" s="2" t="s">
        <v>517</v>
      </c>
      <c r="K74" s="2">
        <v>90.428571428571431</v>
      </c>
      <c r="L74" s="2">
        <v>7</v>
      </c>
      <c r="M74" s="2">
        <v>1</v>
      </c>
      <c r="N74" s="2">
        <v>90.428571428571431</v>
      </c>
      <c r="O74" s="2" t="s">
        <v>60</v>
      </c>
    </row>
    <row r="75" spans="1:15" x14ac:dyDescent="0.25">
      <c r="A75" s="2" t="s">
        <v>251</v>
      </c>
      <c r="B75" s="2">
        <v>100</v>
      </c>
      <c r="C75" s="2">
        <v>0</v>
      </c>
      <c r="D75" s="2">
        <v>100</v>
      </c>
      <c r="E75" s="2">
        <v>100</v>
      </c>
      <c r="F75" s="2">
        <v>33</v>
      </c>
      <c r="G75" s="2">
        <v>100</v>
      </c>
      <c r="H75" s="2">
        <v>100</v>
      </c>
      <c r="I75" s="2" t="s">
        <v>516</v>
      </c>
      <c r="J75" s="2" t="s">
        <v>517</v>
      </c>
      <c r="K75" s="2">
        <v>76.142857142857139</v>
      </c>
      <c r="L75" s="2">
        <v>6</v>
      </c>
      <c r="M75" s="2">
        <v>0.8571428571428571</v>
      </c>
      <c r="N75" s="2">
        <v>88.833333333333329</v>
      </c>
      <c r="O75" s="2" t="s">
        <v>54</v>
      </c>
    </row>
    <row r="76" spans="1:15" x14ac:dyDescent="0.25">
      <c r="A76" s="2" t="s">
        <v>253</v>
      </c>
      <c r="B76" s="2">
        <v>0</v>
      </c>
      <c r="C76" s="2">
        <v>0</v>
      </c>
      <c r="D76" s="2">
        <v>0</v>
      </c>
      <c r="E76" s="2">
        <v>0</v>
      </c>
      <c r="F76" s="2">
        <v>100</v>
      </c>
      <c r="G76" s="2">
        <v>0</v>
      </c>
      <c r="H76" s="2">
        <v>0</v>
      </c>
      <c r="I76" s="2" t="s">
        <v>518</v>
      </c>
      <c r="J76" s="2" t="s">
        <v>517</v>
      </c>
      <c r="K76" s="2">
        <v>14.28571428571429</v>
      </c>
      <c r="L76" s="2">
        <v>7</v>
      </c>
      <c r="M76" s="2">
        <v>1</v>
      </c>
      <c r="N76" s="2">
        <v>14.28571428571429</v>
      </c>
      <c r="O76" s="2" t="s">
        <v>60</v>
      </c>
    </row>
    <row r="77" spans="1:15" x14ac:dyDescent="0.25">
      <c r="A77" s="2" t="s">
        <v>255</v>
      </c>
      <c r="B77" s="2">
        <v>100</v>
      </c>
      <c r="C77" s="2">
        <v>100</v>
      </c>
      <c r="D77" s="2">
        <v>100</v>
      </c>
      <c r="E77" s="2">
        <v>33</v>
      </c>
      <c r="F77" s="2">
        <v>33</v>
      </c>
      <c r="G77" s="2">
        <v>100</v>
      </c>
      <c r="H77" s="2">
        <v>100</v>
      </c>
      <c r="I77" s="2" t="s">
        <v>516</v>
      </c>
      <c r="J77" s="2" t="s">
        <v>517</v>
      </c>
      <c r="K77" s="2">
        <v>80.857142857142861</v>
      </c>
      <c r="L77" s="2">
        <v>7</v>
      </c>
      <c r="M77" s="2">
        <v>1</v>
      </c>
      <c r="N77" s="2">
        <v>80.857142857142861</v>
      </c>
      <c r="O77" s="2" t="s">
        <v>60</v>
      </c>
    </row>
    <row r="78" spans="1:15" ht="30" x14ac:dyDescent="0.25">
      <c r="A78" s="2" t="s">
        <v>257</v>
      </c>
      <c r="B78" s="2">
        <v>0</v>
      </c>
      <c r="C78" s="2">
        <v>0</v>
      </c>
      <c r="D78" s="2">
        <v>0</v>
      </c>
      <c r="E78" s="2">
        <v>0</v>
      </c>
      <c r="F78" s="2">
        <v>0</v>
      </c>
      <c r="G78" s="2">
        <v>0</v>
      </c>
      <c r="H78" s="2">
        <v>0</v>
      </c>
      <c r="I78" s="2" t="s">
        <v>518</v>
      </c>
      <c r="J78" s="2" t="s">
        <v>517</v>
      </c>
      <c r="K78" s="2">
        <v>0</v>
      </c>
      <c r="L78" s="2">
        <v>6</v>
      </c>
      <c r="M78" s="2">
        <v>0.8571428571428571</v>
      </c>
      <c r="N78" s="2">
        <v>0</v>
      </c>
      <c r="O78" s="2" t="s">
        <v>88</v>
      </c>
    </row>
    <row r="79" spans="1:15" x14ac:dyDescent="0.25">
      <c r="A79" s="2" t="s">
        <v>259</v>
      </c>
      <c r="B79" s="2">
        <v>100</v>
      </c>
      <c r="C79" s="2">
        <v>100</v>
      </c>
      <c r="D79" s="2">
        <v>100</v>
      </c>
      <c r="E79" s="2">
        <v>33</v>
      </c>
      <c r="F79" s="2">
        <v>33</v>
      </c>
      <c r="G79" s="2">
        <v>100</v>
      </c>
      <c r="H79" s="2">
        <v>100</v>
      </c>
      <c r="I79" s="2" t="s">
        <v>516</v>
      </c>
      <c r="J79" s="2" t="s">
        <v>517</v>
      </c>
      <c r="K79" s="2">
        <v>80.857142857142861</v>
      </c>
      <c r="L79" s="2">
        <v>7</v>
      </c>
      <c r="M79" s="2">
        <v>1</v>
      </c>
      <c r="N79" s="2">
        <v>80.857142857142861</v>
      </c>
      <c r="O79" s="2" t="s">
        <v>60</v>
      </c>
    </row>
    <row r="80" spans="1:15" x14ac:dyDescent="0.25">
      <c r="A80" s="2" t="s">
        <v>262</v>
      </c>
      <c r="B80" s="2">
        <v>100</v>
      </c>
      <c r="C80" s="2">
        <v>100</v>
      </c>
      <c r="D80" s="2">
        <v>100</v>
      </c>
      <c r="E80" s="2">
        <v>33</v>
      </c>
      <c r="F80" s="2">
        <v>33</v>
      </c>
      <c r="G80" s="2">
        <v>100</v>
      </c>
      <c r="H80" s="2">
        <v>100</v>
      </c>
      <c r="I80" s="2" t="s">
        <v>516</v>
      </c>
      <c r="J80" s="2" t="s">
        <v>517</v>
      </c>
      <c r="K80" s="2">
        <v>80.857142857142861</v>
      </c>
      <c r="L80" s="2">
        <v>7</v>
      </c>
      <c r="M80" s="2">
        <v>1</v>
      </c>
      <c r="N80" s="2">
        <v>80.857142857142861</v>
      </c>
      <c r="O80" s="2" t="s">
        <v>60</v>
      </c>
    </row>
    <row r="81" spans="1:15" x14ac:dyDescent="0.25">
      <c r="A81" s="2" t="s">
        <v>264</v>
      </c>
      <c r="B81" s="2">
        <v>100</v>
      </c>
      <c r="C81" s="2">
        <v>100</v>
      </c>
      <c r="D81" s="2">
        <v>100</v>
      </c>
      <c r="E81" s="2">
        <v>100</v>
      </c>
      <c r="F81" s="2">
        <v>67</v>
      </c>
      <c r="G81" s="2">
        <v>100</v>
      </c>
      <c r="H81" s="2">
        <v>100</v>
      </c>
      <c r="I81" s="2" t="s">
        <v>516</v>
      </c>
      <c r="J81" s="2" t="s">
        <v>517</v>
      </c>
      <c r="K81" s="2">
        <v>95.285714285714292</v>
      </c>
      <c r="L81" s="2">
        <v>7</v>
      </c>
      <c r="M81" s="2">
        <v>1</v>
      </c>
      <c r="N81" s="2">
        <v>95.285714285714292</v>
      </c>
      <c r="O81" s="2" t="s">
        <v>60</v>
      </c>
    </row>
    <row r="82" spans="1:15" x14ac:dyDescent="0.25">
      <c r="A82" s="2" t="s">
        <v>266</v>
      </c>
      <c r="B82" s="2">
        <v>100</v>
      </c>
      <c r="C82" s="2">
        <v>100</v>
      </c>
      <c r="D82" s="2">
        <v>100</v>
      </c>
      <c r="E82" s="2">
        <v>100</v>
      </c>
      <c r="F82" s="2">
        <v>67</v>
      </c>
      <c r="G82" s="2">
        <v>100</v>
      </c>
      <c r="H82" s="2">
        <v>100</v>
      </c>
      <c r="I82" s="2" t="s">
        <v>516</v>
      </c>
      <c r="J82" s="2" t="s">
        <v>517</v>
      </c>
      <c r="K82" s="2">
        <v>95.285714285714292</v>
      </c>
      <c r="L82" s="2">
        <v>7</v>
      </c>
      <c r="M82" s="2">
        <v>1</v>
      </c>
      <c r="N82" s="2">
        <v>95.285714285714292</v>
      </c>
      <c r="O82" s="2" t="s">
        <v>60</v>
      </c>
    </row>
    <row r="83" spans="1:15" x14ac:dyDescent="0.25">
      <c r="A83" s="2" t="s">
        <v>267</v>
      </c>
      <c r="B83" s="2">
        <v>100</v>
      </c>
      <c r="C83" s="2">
        <v>100</v>
      </c>
      <c r="D83" s="2">
        <v>100</v>
      </c>
      <c r="E83" s="2">
        <v>100</v>
      </c>
      <c r="F83" s="2">
        <v>67</v>
      </c>
      <c r="G83" s="2">
        <v>100</v>
      </c>
      <c r="H83" s="2">
        <v>100</v>
      </c>
      <c r="I83" s="2" t="s">
        <v>516</v>
      </c>
      <c r="J83" s="2" t="s">
        <v>517</v>
      </c>
      <c r="K83" s="2">
        <v>95.285714285714292</v>
      </c>
      <c r="L83" s="2">
        <v>7</v>
      </c>
      <c r="M83" s="2">
        <v>1</v>
      </c>
      <c r="N83" s="2">
        <v>95.285714285714292</v>
      </c>
      <c r="O83" s="2" t="s">
        <v>60</v>
      </c>
    </row>
    <row r="84" spans="1:15" x14ac:dyDescent="0.25">
      <c r="A84" s="2" t="s">
        <v>268</v>
      </c>
      <c r="B84" s="2">
        <v>67</v>
      </c>
      <c r="C84" s="2">
        <v>33</v>
      </c>
      <c r="D84" s="2">
        <v>0</v>
      </c>
      <c r="E84" s="2">
        <v>100</v>
      </c>
      <c r="F84" s="2">
        <v>100</v>
      </c>
      <c r="G84" s="2">
        <v>100</v>
      </c>
      <c r="H84" s="2">
        <v>50</v>
      </c>
      <c r="I84" s="2" t="s">
        <v>518</v>
      </c>
      <c r="J84" s="2" t="s">
        <v>517</v>
      </c>
      <c r="K84" s="2">
        <v>64.285714285714292</v>
      </c>
      <c r="L84" s="2">
        <v>7</v>
      </c>
      <c r="M84" s="2">
        <v>1</v>
      </c>
      <c r="N84" s="2">
        <v>64.285714285714292</v>
      </c>
      <c r="O84" s="2" t="s">
        <v>60</v>
      </c>
    </row>
    <row r="85" spans="1:15" ht="60" x14ac:dyDescent="0.25">
      <c r="A85" s="2" t="s">
        <v>270</v>
      </c>
      <c r="B85" s="2">
        <v>100</v>
      </c>
      <c r="C85" s="2">
        <v>0</v>
      </c>
      <c r="D85" s="2">
        <v>0</v>
      </c>
      <c r="E85" s="2">
        <v>33</v>
      </c>
      <c r="F85" s="2">
        <v>33</v>
      </c>
      <c r="G85" s="2">
        <v>33</v>
      </c>
      <c r="H85" s="2">
        <v>0</v>
      </c>
      <c r="I85" s="2" t="s">
        <v>520</v>
      </c>
      <c r="J85" s="2" t="s">
        <v>521</v>
      </c>
      <c r="K85" s="2">
        <v>28.428571428571431</v>
      </c>
      <c r="L85" s="2">
        <v>6</v>
      </c>
      <c r="M85" s="2">
        <v>0.8571428571428571</v>
      </c>
      <c r="N85" s="2">
        <v>33.166666666666657</v>
      </c>
      <c r="O85" s="2" t="s">
        <v>188</v>
      </c>
    </row>
    <row r="86" spans="1:15" x14ac:dyDescent="0.25">
      <c r="A86" s="2" t="s">
        <v>272</v>
      </c>
      <c r="B86" s="2">
        <v>100</v>
      </c>
      <c r="C86" s="2">
        <v>100</v>
      </c>
      <c r="D86" s="2">
        <v>100</v>
      </c>
      <c r="E86" s="2">
        <v>100</v>
      </c>
      <c r="F86" s="2">
        <v>100</v>
      </c>
      <c r="G86" s="2">
        <v>100</v>
      </c>
      <c r="H86" s="2">
        <v>100</v>
      </c>
      <c r="I86" s="2" t="s">
        <v>516</v>
      </c>
      <c r="J86" s="2" t="s">
        <v>517</v>
      </c>
      <c r="K86" s="2">
        <v>100</v>
      </c>
      <c r="L86" s="2">
        <v>7</v>
      </c>
      <c r="M86" s="2">
        <v>1</v>
      </c>
      <c r="N86" s="2">
        <v>100</v>
      </c>
      <c r="O86" s="2" t="s">
        <v>60</v>
      </c>
    </row>
    <row r="87" spans="1:15" ht="45" x14ac:dyDescent="0.25">
      <c r="A87" s="2" t="s">
        <v>275</v>
      </c>
      <c r="B87" s="2">
        <v>33</v>
      </c>
      <c r="C87" s="2">
        <v>0</v>
      </c>
      <c r="D87" s="2">
        <v>100</v>
      </c>
      <c r="E87" s="2">
        <v>0</v>
      </c>
      <c r="F87" s="2">
        <v>33</v>
      </c>
      <c r="G87" s="2">
        <v>0</v>
      </c>
      <c r="H87" s="2">
        <v>0</v>
      </c>
      <c r="I87" s="2" t="s">
        <v>516</v>
      </c>
      <c r="J87" s="2" t="s">
        <v>517</v>
      </c>
      <c r="K87" s="2">
        <v>23.714285714285719</v>
      </c>
      <c r="L87" s="2">
        <v>4</v>
      </c>
      <c r="M87" s="2">
        <v>0.5714285714285714</v>
      </c>
      <c r="N87" s="2">
        <v>41.5</v>
      </c>
      <c r="O87" s="2" t="s">
        <v>277</v>
      </c>
    </row>
    <row r="88" spans="1:15" ht="30" x14ac:dyDescent="0.25">
      <c r="A88" s="2" t="s">
        <v>278</v>
      </c>
      <c r="B88" s="2">
        <v>100</v>
      </c>
      <c r="C88" s="2">
        <v>0</v>
      </c>
      <c r="D88" s="2">
        <v>100</v>
      </c>
      <c r="E88" s="2">
        <v>0</v>
      </c>
      <c r="F88" s="2">
        <v>100</v>
      </c>
      <c r="G88" s="2">
        <v>0</v>
      </c>
      <c r="H88" s="2">
        <v>100</v>
      </c>
      <c r="I88" s="2" t="s">
        <v>516</v>
      </c>
      <c r="J88" s="2" t="s">
        <v>517</v>
      </c>
      <c r="K88" s="2">
        <v>57.142857142857153</v>
      </c>
      <c r="L88" s="2">
        <v>5</v>
      </c>
      <c r="M88" s="2">
        <v>0.7142857142857143</v>
      </c>
      <c r="N88" s="2">
        <v>80</v>
      </c>
      <c r="O88" s="2" t="s">
        <v>75</v>
      </c>
    </row>
    <row r="89" spans="1:15" x14ac:dyDescent="0.25">
      <c r="A89" s="2" t="s">
        <v>281</v>
      </c>
      <c r="B89" s="2">
        <v>100</v>
      </c>
      <c r="C89" s="2">
        <v>100</v>
      </c>
      <c r="D89" s="2">
        <v>100</v>
      </c>
      <c r="E89" s="2">
        <v>100</v>
      </c>
      <c r="F89" s="2">
        <v>67</v>
      </c>
      <c r="G89" s="2">
        <v>100</v>
      </c>
      <c r="H89" s="2">
        <v>100</v>
      </c>
      <c r="I89" s="2" t="s">
        <v>516</v>
      </c>
      <c r="J89" s="2" t="s">
        <v>517</v>
      </c>
      <c r="K89" s="2">
        <v>95.285714285714292</v>
      </c>
      <c r="L89" s="2">
        <v>7</v>
      </c>
      <c r="M89" s="2">
        <v>1</v>
      </c>
      <c r="N89" s="2">
        <v>95.285714285714292</v>
      </c>
      <c r="O89" s="2" t="s">
        <v>60</v>
      </c>
    </row>
    <row r="90" spans="1:15" x14ac:dyDescent="0.25">
      <c r="A90" s="2" t="s">
        <v>282</v>
      </c>
      <c r="B90" s="2">
        <v>100</v>
      </c>
      <c r="C90" s="2">
        <v>0</v>
      </c>
      <c r="D90" s="2">
        <v>100</v>
      </c>
      <c r="E90" s="2">
        <v>67</v>
      </c>
      <c r="F90" s="2">
        <v>100</v>
      </c>
      <c r="G90" s="2">
        <v>100</v>
      </c>
      <c r="H90" s="2">
        <v>50</v>
      </c>
      <c r="I90" s="2" t="s">
        <v>516</v>
      </c>
      <c r="J90" s="2" t="s">
        <v>517</v>
      </c>
      <c r="K90" s="2">
        <v>73.857142857142861</v>
      </c>
      <c r="L90" s="2">
        <v>6</v>
      </c>
      <c r="M90" s="2">
        <v>0.8571428571428571</v>
      </c>
      <c r="N90" s="2">
        <v>86.166666666666671</v>
      </c>
      <c r="O90" s="2" t="s">
        <v>54</v>
      </c>
    </row>
    <row r="91" spans="1:15" x14ac:dyDescent="0.25">
      <c r="A91" s="2" t="s">
        <v>284</v>
      </c>
      <c r="B91" s="2">
        <v>33</v>
      </c>
      <c r="C91" s="2">
        <v>0</v>
      </c>
      <c r="D91" s="2">
        <v>0</v>
      </c>
      <c r="E91" s="2">
        <v>100</v>
      </c>
      <c r="F91" s="2">
        <v>67</v>
      </c>
      <c r="G91" s="2">
        <v>100</v>
      </c>
      <c r="H91" s="2">
        <v>0</v>
      </c>
      <c r="I91" s="2" t="s">
        <v>518</v>
      </c>
      <c r="J91" s="2" t="s">
        <v>517</v>
      </c>
      <c r="K91" s="2">
        <v>42.857142857142847</v>
      </c>
      <c r="L91" s="2">
        <v>6</v>
      </c>
      <c r="M91" s="2">
        <v>0.8571428571428571</v>
      </c>
      <c r="N91" s="2">
        <v>50</v>
      </c>
      <c r="O91" s="2" t="s">
        <v>54</v>
      </c>
    </row>
    <row r="92" spans="1:15" x14ac:dyDescent="0.25">
      <c r="A92" s="2" t="s">
        <v>286</v>
      </c>
      <c r="B92" s="2">
        <v>100</v>
      </c>
      <c r="C92" s="2">
        <v>100</v>
      </c>
      <c r="D92" s="2">
        <v>0</v>
      </c>
      <c r="E92" s="2">
        <v>33</v>
      </c>
      <c r="F92" s="2">
        <v>100</v>
      </c>
      <c r="G92" s="2">
        <v>100</v>
      </c>
      <c r="H92" s="2">
        <v>100</v>
      </c>
      <c r="I92" s="2" t="s">
        <v>520</v>
      </c>
      <c r="J92" s="2" t="s">
        <v>521</v>
      </c>
      <c r="K92" s="2">
        <v>76.142857142857139</v>
      </c>
      <c r="L92" s="2">
        <v>7</v>
      </c>
      <c r="M92" s="2">
        <v>1</v>
      </c>
      <c r="N92" s="2">
        <v>76.142857142857139</v>
      </c>
      <c r="O92" s="2" t="s">
        <v>116</v>
      </c>
    </row>
    <row r="93" spans="1:15" x14ac:dyDescent="0.25">
      <c r="A93" s="2" t="s">
        <v>289</v>
      </c>
      <c r="B93" s="2">
        <v>67</v>
      </c>
      <c r="C93" s="2">
        <v>100</v>
      </c>
      <c r="D93" s="2">
        <v>100</v>
      </c>
      <c r="E93" s="2">
        <v>0</v>
      </c>
      <c r="F93" s="2">
        <v>0</v>
      </c>
      <c r="G93" s="2">
        <v>67</v>
      </c>
      <c r="H93" s="2">
        <v>50</v>
      </c>
      <c r="I93" s="2" t="s">
        <v>522</v>
      </c>
      <c r="J93" s="2" t="s">
        <v>521</v>
      </c>
      <c r="K93" s="2">
        <v>54.857142857142847</v>
      </c>
      <c r="L93" s="2">
        <v>7</v>
      </c>
      <c r="M93" s="2">
        <v>1</v>
      </c>
      <c r="N93" s="2">
        <v>54.857142857142847</v>
      </c>
      <c r="O93" s="2" t="s">
        <v>116</v>
      </c>
    </row>
    <row r="94" spans="1:15" x14ac:dyDescent="0.25">
      <c r="A94" s="2" t="s">
        <v>293</v>
      </c>
      <c r="B94" s="2">
        <v>100</v>
      </c>
      <c r="C94" s="2">
        <v>0</v>
      </c>
      <c r="D94" s="2">
        <v>100</v>
      </c>
      <c r="E94" s="2">
        <v>100</v>
      </c>
      <c r="F94" s="2">
        <v>100</v>
      </c>
      <c r="G94" s="2">
        <v>100</v>
      </c>
      <c r="H94" s="2">
        <v>50</v>
      </c>
      <c r="I94" s="2" t="s">
        <v>516</v>
      </c>
      <c r="J94" s="2" t="s">
        <v>517</v>
      </c>
      <c r="K94" s="2">
        <v>78.571428571428569</v>
      </c>
      <c r="L94" s="2">
        <v>6</v>
      </c>
      <c r="M94" s="2">
        <v>0.8571428571428571</v>
      </c>
      <c r="N94" s="2">
        <v>91.666666666666671</v>
      </c>
      <c r="O94" s="2" t="s">
        <v>54</v>
      </c>
    </row>
    <row r="95" spans="1:15" x14ac:dyDescent="0.25">
      <c r="A95" s="2" t="s">
        <v>295</v>
      </c>
      <c r="B95" s="2">
        <v>33</v>
      </c>
      <c r="C95" s="2">
        <v>0</v>
      </c>
      <c r="D95" s="2">
        <v>0</v>
      </c>
      <c r="E95" s="2">
        <v>0</v>
      </c>
      <c r="F95" s="2">
        <v>33</v>
      </c>
      <c r="G95" s="2">
        <v>100</v>
      </c>
      <c r="H95" s="2">
        <v>0</v>
      </c>
      <c r="I95" s="2" t="s">
        <v>518</v>
      </c>
      <c r="J95" s="2" t="s">
        <v>517</v>
      </c>
      <c r="K95" s="2">
        <v>23.714285714285719</v>
      </c>
      <c r="L95" s="2">
        <v>7</v>
      </c>
      <c r="M95" s="2">
        <v>1</v>
      </c>
      <c r="N95" s="2">
        <v>23.714285714285719</v>
      </c>
      <c r="O95" s="2" t="s">
        <v>60</v>
      </c>
    </row>
    <row r="96" spans="1:15" ht="30" x14ac:dyDescent="0.25">
      <c r="A96" s="2" t="s">
        <v>298</v>
      </c>
      <c r="B96" s="2">
        <v>100</v>
      </c>
      <c r="C96" s="2">
        <v>0</v>
      </c>
      <c r="D96" s="2">
        <v>100</v>
      </c>
      <c r="E96" s="2">
        <v>67</v>
      </c>
      <c r="F96" s="2">
        <v>67</v>
      </c>
      <c r="G96" s="2">
        <v>0</v>
      </c>
      <c r="H96" s="2">
        <v>50</v>
      </c>
      <c r="I96" s="2" t="s">
        <v>516</v>
      </c>
      <c r="J96" s="2" t="s">
        <v>517</v>
      </c>
      <c r="K96" s="2">
        <v>54.857142857142847</v>
      </c>
      <c r="L96" s="2">
        <v>5</v>
      </c>
      <c r="M96" s="2">
        <v>0.7142857142857143</v>
      </c>
      <c r="N96" s="2">
        <v>76.8</v>
      </c>
      <c r="O96" s="2" t="s">
        <v>75</v>
      </c>
    </row>
    <row r="97" spans="1:15" ht="30" x14ac:dyDescent="0.25">
      <c r="A97" s="2" t="s">
        <v>301</v>
      </c>
      <c r="B97" s="2">
        <v>33</v>
      </c>
      <c r="C97" s="2">
        <v>0</v>
      </c>
      <c r="D97" s="2">
        <v>0</v>
      </c>
      <c r="E97" s="2">
        <v>0</v>
      </c>
      <c r="F97" s="2">
        <v>33</v>
      </c>
      <c r="G97" s="2">
        <v>100</v>
      </c>
      <c r="H97" s="2">
        <v>0</v>
      </c>
      <c r="I97" s="2" t="s">
        <v>518</v>
      </c>
      <c r="J97" s="2" t="s">
        <v>517</v>
      </c>
      <c r="K97" s="2">
        <v>23.714285714285719</v>
      </c>
      <c r="L97" s="2">
        <v>6</v>
      </c>
      <c r="M97" s="2">
        <v>0.8571428571428571</v>
      </c>
      <c r="N97" s="2">
        <v>27.666666666666671</v>
      </c>
      <c r="O97" s="2" t="s">
        <v>200</v>
      </c>
    </row>
    <row r="98" spans="1:15" ht="30" x14ac:dyDescent="0.25">
      <c r="A98" s="2" t="s">
        <v>304</v>
      </c>
      <c r="B98" s="2">
        <v>67</v>
      </c>
      <c r="C98" s="2">
        <v>100</v>
      </c>
      <c r="D98" s="2">
        <v>100</v>
      </c>
      <c r="E98" s="2">
        <v>0</v>
      </c>
      <c r="F98" s="2">
        <v>0</v>
      </c>
      <c r="G98" s="2">
        <v>100</v>
      </c>
      <c r="H98" s="2">
        <v>50</v>
      </c>
      <c r="I98" s="2" t="s">
        <v>516</v>
      </c>
      <c r="J98" s="2" t="s">
        <v>517</v>
      </c>
      <c r="K98" s="2">
        <v>59.571428571428569</v>
      </c>
      <c r="L98" s="2">
        <v>5</v>
      </c>
      <c r="M98" s="2">
        <v>0.7142857142857143</v>
      </c>
      <c r="N98" s="2">
        <v>83.4</v>
      </c>
      <c r="O98" s="2" t="s">
        <v>108</v>
      </c>
    </row>
    <row r="99" spans="1:15" x14ac:dyDescent="0.25">
      <c r="A99" s="2" t="s">
        <v>305</v>
      </c>
      <c r="B99" s="2">
        <v>100</v>
      </c>
      <c r="C99" s="2">
        <v>100</v>
      </c>
      <c r="D99" s="2">
        <v>100</v>
      </c>
      <c r="E99" s="2">
        <v>33</v>
      </c>
      <c r="F99" s="2">
        <v>33</v>
      </c>
      <c r="G99" s="2">
        <v>100</v>
      </c>
      <c r="H99" s="2">
        <v>100</v>
      </c>
      <c r="I99" s="2" t="s">
        <v>516</v>
      </c>
      <c r="J99" s="2" t="s">
        <v>517</v>
      </c>
      <c r="K99" s="2">
        <v>80.857142857142861</v>
      </c>
      <c r="L99" s="2">
        <v>7</v>
      </c>
      <c r="M99" s="2">
        <v>1</v>
      </c>
      <c r="N99" s="2">
        <v>80.857142857142861</v>
      </c>
      <c r="O99" s="2" t="s">
        <v>60</v>
      </c>
    </row>
    <row r="100" spans="1:15" x14ac:dyDescent="0.25">
      <c r="A100" s="2" t="s">
        <v>307</v>
      </c>
      <c r="B100" s="2">
        <v>67</v>
      </c>
      <c r="C100" s="2">
        <v>0</v>
      </c>
      <c r="D100" s="2">
        <v>0</v>
      </c>
      <c r="E100" s="2">
        <v>33</v>
      </c>
      <c r="F100" s="2">
        <v>33</v>
      </c>
      <c r="G100" s="2">
        <v>67</v>
      </c>
      <c r="H100" s="2">
        <v>50</v>
      </c>
      <c r="I100" s="2" t="s">
        <v>518</v>
      </c>
      <c r="J100" s="2" t="s">
        <v>517</v>
      </c>
      <c r="K100" s="2">
        <v>35.714285714285722</v>
      </c>
      <c r="L100" s="2">
        <v>6</v>
      </c>
      <c r="M100" s="2">
        <v>0.8571428571428571</v>
      </c>
      <c r="N100" s="2">
        <v>41.666666666666657</v>
      </c>
      <c r="O100" s="2" t="s">
        <v>54</v>
      </c>
    </row>
    <row r="101" spans="1:15" x14ac:dyDescent="0.25">
      <c r="A101" s="2" t="s">
        <v>310</v>
      </c>
      <c r="B101" s="2">
        <v>33</v>
      </c>
      <c r="C101" s="2">
        <v>0</v>
      </c>
      <c r="D101" s="2">
        <v>100</v>
      </c>
      <c r="E101" s="2">
        <v>67</v>
      </c>
      <c r="F101" s="2">
        <v>33</v>
      </c>
      <c r="G101" s="2">
        <v>100</v>
      </c>
      <c r="H101" s="2">
        <v>0</v>
      </c>
      <c r="I101" s="2" t="s">
        <v>522</v>
      </c>
      <c r="J101" s="2" t="s">
        <v>521</v>
      </c>
      <c r="K101" s="2">
        <v>47.571428571428569</v>
      </c>
      <c r="L101" s="2">
        <v>7</v>
      </c>
      <c r="M101" s="2">
        <v>1</v>
      </c>
      <c r="N101" s="2">
        <v>47.571428571428569</v>
      </c>
      <c r="O101" s="2" t="s">
        <v>116</v>
      </c>
    </row>
    <row r="102" spans="1:15" x14ac:dyDescent="0.25">
      <c r="A102" s="2" t="s">
        <v>313</v>
      </c>
      <c r="B102" s="2">
        <v>100</v>
      </c>
      <c r="C102" s="2">
        <v>33</v>
      </c>
      <c r="D102" s="2">
        <v>100</v>
      </c>
      <c r="E102" s="2">
        <v>33</v>
      </c>
      <c r="F102" s="2">
        <v>33</v>
      </c>
      <c r="G102" s="2">
        <v>100</v>
      </c>
      <c r="H102" s="2">
        <v>100</v>
      </c>
      <c r="I102" s="2" t="s">
        <v>516</v>
      </c>
      <c r="J102" s="2" t="s">
        <v>517</v>
      </c>
      <c r="K102" s="2">
        <v>71.285714285714292</v>
      </c>
      <c r="L102" s="2">
        <v>7</v>
      </c>
      <c r="M102" s="2">
        <v>1</v>
      </c>
      <c r="N102" s="2">
        <v>71.285714285714292</v>
      </c>
      <c r="O102" s="2" t="s">
        <v>60</v>
      </c>
    </row>
    <row r="103" spans="1:15" x14ac:dyDescent="0.25">
      <c r="A103" s="2" t="s">
        <v>315</v>
      </c>
      <c r="B103" s="2">
        <v>0</v>
      </c>
      <c r="C103" s="2">
        <v>0</v>
      </c>
      <c r="D103" s="2">
        <v>100</v>
      </c>
      <c r="E103" s="2">
        <v>0</v>
      </c>
      <c r="F103" s="2">
        <v>33</v>
      </c>
      <c r="G103" s="2">
        <v>100</v>
      </c>
      <c r="H103" s="2">
        <v>0</v>
      </c>
      <c r="I103" s="2" t="s">
        <v>516</v>
      </c>
      <c r="J103" s="2" t="s">
        <v>517</v>
      </c>
      <c r="K103" s="2">
        <v>33.285714285714278</v>
      </c>
      <c r="L103" s="2">
        <v>7</v>
      </c>
      <c r="M103" s="2">
        <v>1</v>
      </c>
      <c r="N103" s="2">
        <v>33.285714285714278</v>
      </c>
      <c r="O103" s="2" t="s">
        <v>60</v>
      </c>
    </row>
    <row r="104" spans="1:15" x14ac:dyDescent="0.25">
      <c r="A104" s="2" t="s">
        <v>318</v>
      </c>
      <c r="B104" s="2">
        <v>33</v>
      </c>
      <c r="C104" s="2">
        <v>0</v>
      </c>
      <c r="D104" s="2">
        <v>0</v>
      </c>
      <c r="E104" s="2">
        <v>67</v>
      </c>
      <c r="F104" s="2">
        <v>100</v>
      </c>
      <c r="G104" s="2">
        <v>100</v>
      </c>
      <c r="H104" s="2">
        <v>50</v>
      </c>
      <c r="I104" s="2" t="s">
        <v>518</v>
      </c>
      <c r="J104" s="2" t="s">
        <v>517</v>
      </c>
      <c r="K104" s="2">
        <v>50</v>
      </c>
      <c r="L104" s="2">
        <v>7</v>
      </c>
      <c r="M104" s="2">
        <v>1</v>
      </c>
      <c r="N104" s="2">
        <v>50</v>
      </c>
      <c r="O104" s="2" t="s">
        <v>60</v>
      </c>
    </row>
    <row r="105" spans="1:15" x14ac:dyDescent="0.25">
      <c r="A105" s="2" t="s">
        <v>321</v>
      </c>
      <c r="B105" s="2">
        <v>100</v>
      </c>
      <c r="C105" s="2">
        <v>100</v>
      </c>
      <c r="D105" s="2">
        <v>100</v>
      </c>
      <c r="E105" s="2">
        <v>67</v>
      </c>
      <c r="F105" s="2">
        <v>67</v>
      </c>
      <c r="G105" s="2">
        <v>100</v>
      </c>
      <c r="H105" s="2">
        <v>100</v>
      </c>
      <c r="I105" s="2" t="s">
        <v>522</v>
      </c>
      <c r="J105" s="2" t="s">
        <v>521</v>
      </c>
      <c r="K105" s="2">
        <v>90.571428571428569</v>
      </c>
      <c r="L105" s="2">
        <v>7</v>
      </c>
      <c r="M105" s="2">
        <v>1</v>
      </c>
      <c r="N105" s="2">
        <v>90.571428571428569</v>
      </c>
      <c r="O105" s="2" t="s">
        <v>116</v>
      </c>
    </row>
    <row r="106" spans="1:15" x14ac:dyDescent="0.25">
      <c r="A106" s="2" t="s">
        <v>324</v>
      </c>
      <c r="B106" s="2">
        <v>100</v>
      </c>
      <c r="C106" s="2">
        <v>100</v>
      </c>
      <c r="D106" s="2">
        <v>100</v>
      </c>
      <c r="E106" s="2">
        <v>33</v>
      </c>
      <c r="F106" s="2">
        <v>100</v>
      </c>
      <c r="G106" s="2">
        <v>33</v>
      </c>
      <c r="H106" s="2">
        <v>50</v>
      </c>
      <c r="I106" s="2" t="s">
        <v>516</v>
      </c>
      <c r="J106" s="2" t="s">
        <v>517</v>
      </c>
      <c r="K106" s="2">
        <v>73.714285714285708</v>
      </c>
      <c r="L106" s="2">
        <v>7</v>
      </c>
      <c r="M106" s="2">
        <v>1</v>
      </c>
      <c r="N106" s="2">
        <v>73.714285714285708</v>
      </c>
      <c r="O106" s="2" t="s">
        <v>60</v>
      </c>
    </row>
    <row r="107" spans="1:15" x14ac:dyDescent="0.25">
      <c r="A107" s="2" t="s">
        <v>326</v>
      </c>
      <c r="B107" s="2">
        <v>67</v>
      </c>
      <c r="C107" s="2">
        <v>0</v>
      </c>
      <c r="D107" s="2">
        <v>0</v>
      </c>
      <c r="E107" s="2">
        <v>67</v>
      </c>
      <c r="F107" s="2">
        <v>33</v>
      </c>
      <c r="G107" s="2">
        <v>33</v>
      </c>
      <c r="H107" s="2">
        <v>100</v>
      </c>
      <c r="I107" s="2" t="s">
        <v>518</v>
      </c>
      <c r="J107" s="2" t="s">
        <v>517</v>
      </c>
      <c r="K107" s="2">
        <v>42.857142857142847</v>
      </c>
      <c r="L107" s="2">
        <v>7</v>
      </c>
      <c r="M107" s="2">
        <v>1</v>
      </c>
      <c r="N107" s="2">
        <v>42.857142857142847</v>
      </c>
      <c r="O107" s="2" t="s">
        <v>60</v>
      </c>
    </row>
    <row r="108" spans="1:15" x14ac:dyDescent="0.25">
      <c r="A108" s="2" t="s">
        <v>329</v>
      </c>
      <c r="B108" s="2">
        <v>100</v>
      </c>
      <c r="C108" s="2">
        <v>0</v>
      </c>
      <c r="D108" s="2">
        <v>100</v>
      </c>
      <c r="E108" s="2">
        <v>33</v>
      </c>
      <c r="F108" s="2">
        <v>67</v>
      </c>
      <c r="G108" s="2">
        <v>100</v>
      </c>
      <c r="H108" s="2">
        <v>100</v>
      </c>
      <c r="I108" s="2" t="s">
        <v>516</v>
      </c>
      <c r="J108" s="2" t="s">
        <v>517</v>
      </c>
      <c r="K108" s="2">
        <v>71.428571428571431</v>
      </c>
      <c r="L108" s="2">
        <v>6</v>
      </c>
      <c r="M108" s="2">
        <v>0.8571428571428571</v>
      </c>
      <c r="N108" s="2">
        <v>83.333333333333329</v>
      </c>
      <c r="O108" s="2" t="s">
        <v>54</v>
      </c>
    </row>
    <row r="109" spans="1:15" ht="30" x14ac:dyDescent="0.25">
      <c r="A109" s="2" t="s">
        <v>330</v>
      </c>
      <c r="B109" s="2">
        <v>100</v>
      </c>
      <c r="C109" s="2">
        <v>100</v>
      </c>
      <c r="D109" s="2">
        <v>100</v>
      </c>
      <c r="E109" s="2">
        <v>100</v>
      </c>
      <c r="F109" s="2">
        <v>0</v>
      </c>
      <c r="G109" s="2">
        <v>0</v>
      </c>
      <c r="H109" s="2">
        <v>100</v>
      </c>
      <c r="I109" s="2" t="s">
        <v>516</v>
      </c>
      <c r="J109" s="2" t="s">
        <v>517</v>
      </c>
      <c r="K109" s="2">
        <v>71.428571428571431</v>
      </c>
      <c r="L109" s="2">
        <v>6</v>
      </c>
      <c r="M109" s="2">
        <v>0.8571428571428571</v>
      </c>
      <c r="N109" s="2">
        <v>83.333333333333329</v>
      </c>
      <c r="O109" s="2" t="s">
        <v>210</v>
      </c>
    </row>
    <row r="110" spans="1:15" x14ac:dyDescent="0.25">
      <c r="A110" s="2" t="s">
        <v>333</v>
      </c>
      <c r="B110" s="2">
        <v>100</v>
      </c>
      <c r="C110" s="2">
        <v>100</v>
      </c>
      <c r="D110" s="2">
        <v>100</v>
      </c>
      <c r="E110" s="2">
        <v>67</v>
      </c>
      <c r="F110" s="2">
        <v>33</v>
      </c>
      <c r="G110" s="2">
        <v>100</v>
      </c>
      <c r="H110" s="2">
        <v>100</v>
      </c>
      <c r="I110" s="2" t="s">
        <v>516</v>
      </c>
      <c r="J110" s="2" t="s">
        <v>517</v>
      </c>
      <c r="K110" s="2">
        <v>85.714285714285708</v>
      </c>
      <c r="L110" s="2">
        <v>7</v>
      </c>
      <c r="M110" s="2">
        <v>1</v>
      </c>
      <c r="N110" s="2">
        <v>85.714285714285708</v>
      </c>
      <c r="O110" s="2" t="s">
        <v>60</v>
      </c>
    </row>
    <row r="111" spans="1:15" x14ac:dyDescent="0.25">
      <c r="A111" s="2" t="s">
        <v>335</v>
      </c>
      <c r="B111" s="2">
        <v>100</v>
      </c>
      <c r="C111" s="2">
        <v>100</v>
      </c>
      <c r="D111" s="2">
        <v>100</v>
      </c>
      <c r="E111" s="2">
        <v>100</v>
      </c>
      <c r="F111" s="2">
        <v>100</v>
      </c>
      <c r="G111" s="2">
        <v>100</v>
      </c>
      <c r="H111" s="2">
        <v>100</v>
      </c>
      <c r="I111" s="2" t="s">
        <v>516</v>
      </c>
      <c r="J111" s="2" t="s">
        <v>517</v>
      </c>
      <c r="K111" s="2">
        <v>100</v>
      </c>
      <c r="L111" s="2">
        <v>7</v>
      </c>
      <c r="M111" s="2">
        <v>1</v>
      </c>
      <c r="N111" s="2">
        <v>100</v>
      </c>
      <c r="O111" s="2" t="s">
        <v>60</v>
      </c>
    </row>
    <row r="112" spans="1:15" ht="30" x14ac:dyDescent="0.25">
      <c r="A112" s="2" t="s">
        <v>337</v>
      </c>
      <c r="B112" s="2">
        <v>33</v>
      </c>
      <c r="C112" s="2">
        <v>0</v>
      </c>
      <c r="D112" s="2">
        <v>100</v>
      </c>
      <c r="E112" s="2">
        <v>0</v>
      </c>
      <c r="F112" s="2">
        <v>100</v>
      </c>
      <c r="G112" s="2">
        <v>100</v>
      </c>
      <c r="H112" s="2">
        <v>50</v>
      </c>
      <c r="I112" s="2" t="s">
        <v>516</v>
      </c>
      <c r="J112" s="2" t="s">
        <v>517</v>
      </c>
      <c r="K112" s="2">
        <v>54.714285714285722</v>
      </c>
      <c r="L112" s="2">
        <v>5</v>
      </c>
      <c r="M112" s="2">
        <v>0.7142857142857143</v>
      </c>
      <c r="N112" s="2">
        <v>76.599999999999994</v>
      </c>
      <c r="O112" s="2" t="s">
        <v>338</v>
      </c>
    </row>
    <row r="113" spans="1:15" x14ac:dyDescent="0.25">
      <c r="A113" s="2" t="s">
        <v>339</v>
      </c>
      <c r="B113" s="2">
        <v>100</v>
      </c>
      <c r="C113" s="2">
        <v>100</v>
      </c>
      <c r="D113" s="2">
        <v>100</v>
      </c>
      <c r="E113" s="2">
        <v>100</v>
      </c>
      <c r="F113" s="2">
        <v>100</v>
      </c>
      <c r="G113" s="2">
        <v>100</v>
      </c>
      <c r="H113" s="2">
        <v>50</v>
      </c>
      <c r="I113" s="2" t="s">
        <v>516</v>
      </c>
      <c r="J113" s="2" t="s">
        <v>517</v>
      </c>
      <c r="K113" s="2">
        <v>92.857142857142861</v>
      </c>
      <c r="L113" s="2">
        <v>7</v>
      </c>
      <c r="M113" s="2">
        <v>1</v>
      </c>
      <c r="N113" s="2">
        <v>92.857142857142861</v>
      </c>
      <c r="O113" s="2" t="s">
        <v>60</v>
      </c>
    </row>
  </sheetData>
  <autoFilter ref="A1:O113"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13"/>
  <sheetViews>
    <sheetView workbookViewId="0">
      <pane ySplit="1" topLeftCell="A2" activePane="bottomLeft" state="frozen"/>
      <selection pane="bottomLeft"/>
    </sheetView>
  </sheetViews>
  <sheetFormatPr defaultRowHeight="15" x14ac:dyDescent="0.25"/>
  <cols>
    <col min="1" max="1" width="19" customWidth="1"/>
    <col min="2" max="2" width="20" customWidth="1"/>
    <col min="3" max="4" width="18" customWidth="1"/>
    <col min="5" max="5" width="24" customWidth="1"/>
    <col min="6" max="6" width="31" customWidth="1"/>
    <col min="7" max="7" width="34" customWidth="1"/>
    <col min="8" max="8" width="31" customWidth="1"/>
    <col min="9" max="9" width="32" customWidth="1"/>
    <col min="10" max="10" width="25" customWidth="1"/>
    <col min="11" max="11" width="29" customWidth="1"/>
    <col min="12" max="12" width="22" customWidth="1"/>
    <col min="13" max="13" width="28" customWidth="1"/>
    <col min="14" max="14" width="18" customWidth="1"/>
    <col min="15" max="15" width="24" customWidth="1"/>
    <col min="16" max="16" width="20" customWidth="1"/>
    <col min="17" max="17" width="31" customWidth="1"/>
    <col min="18" max="18" width="28" customWidth="1"/>
    <col min="19" max="19" width="38" customWidth="1"/>
    <col min="20" max="20" width="33" customWidth="1"/>
    <col min="21" max="21" width="30" customWidth="1"/>
    <col min="22" max="22" width="34" customWidth="1"/>
    <col min="23" max="23" width="31" customWidth="1"/>
    <col min="24" max="24" width="35" customWidth="1"/>
    <col min="25" max="25" width="32" customWidth="1"/>
    <col min="26" max="26" width="24" customWidth="1"/>
    <col min="27" max="27" width="22" customWidth="1"/>
    <col min="28" max="28" width="21" customWidth="1"/>
    <col min="29" max="29" width="34" customWidth="1"/>
    <col min="30" max="30" width="31" customWidth="1"/>
  </cols>
  <sheetData>
    <row r="1" spans="1:30" ht="32.1" customHeight="1" x14ac:dyDescent="0.25">
      <c r="A1" s="1" t="s">
        <v>523</v>
      </c>
      <c r="B1" s="1" t="s">
        <v>524</v>
      </c>
      <c r="C1" s="1" t="s">
        <v>525</v>
      </c>
      <c r="D1" s="1" t="s">
        <v>526</v>
      </c>
      <c r="E1" s="1" t="s">
        <v>527</v>
      </c>
      <c r="F1" s="1" t="s">
        <v>528</v>
      </c>
      <c r="G1" s="1" t="s">
        <v>349</v>
      </c>
      <c r="H1" s="1" t="s">
        <v>529</v>
      </c>
      <c r="I1" s="1" t="s">
        <v>530</v>
      </c>
      <c r="J1" s="1" t="s">
        <v>531</v>
      </c>
      <c r="K1" s="1" t="s">
        <v>532</v>
      </c>
      <c r="L1" s="1" t="s">
        <v>533</v>
      </c>
      <c r="M1" s="1" t="s">
        <v>534</v>
      </c>
      <c r="N1" s="1" t="s">
        <v>535</v>
      </c>
      <c r="O1" s="1" t="s">
        <v>536</v>
      </c>
      <c r="P1" s="1" t="s">
        <v>355</v>
      </c>
      <c r="Q1" s="1" t="s">
        <v>363</v>
      </c>
      <c r="R1" s="1" t="s">
        <v>537</v>
      </c>
      <c r="S1" s="1" t="s">
        <v>538</v>
      </c>
      <c r="T1" s="1" t="s">
        <v>539</v>
      </c>
      <c r="U1" s="1" t="s">
        <v>540</v>
      </c>
      <c r="V1" s="1" t="s">
        <v>368</v>
      </c>
      <c r="W1" s="1" t="s">
        <v>541</v>
      </c>
      <c r="X1" s="1" t="s">
        <v>371</v>
      </c>
      <c r="Y1" s="1" t="s">
        <v>542</v>
      </c>
      <c r="Z1" s="1" t="s">
        <v>543</v>
      </c>
      <c r="AA1" s="1" t="s">
        <v>544</v>
      </c>
      <c r="AB1" s="1" t="s">
        <v>545</v>
      </c>
      <c r="AC1" s="1" t="s">
        <v>374</v>
      </c>
      <c r="AD1" s="1" t="s">
        <v>546</v>
      </c>
    </row>
    <row r="2" spans="1:30" ht="255" x14ac:dyDescent="0.25">
      <c r="A2" s="2" t="s">
        <v>46</v>
      </c>
      <c r="B2" s="2" t="s">
        <v>47</v>
      </c>
      <c r="C2" s="2" t="s">
        <v>547</v>
      </c>
      <c r="D2" s="2" t="s">
        <v>548</v>
      </c>
      <c r="E2" s="2" t="s">
        <v>48</v>
      </c>
      <c r="F2" s="2" t="s">
        <v>549</v>
      </c>
      <c r="G2" s="2" t="s">
        <v>49</v>
      </c>
      <c r="H2" s="2" t="s">
        <v>550</v>
      </c>
      <c r="I2" s="2" t="s">
        <v>49</v>
      </c>
      <c r="J2" s="2" t="s">
        <v>551</v>
      </c>
      <c r="K2" s="2"/>
      <c r="L2" s="2" t="s">
        <v>51</v>
      </c>
      <c r="M2" s="2"/>
      <c r="N2" s="2"/>
      <c r="O2" s="2"/>
      <c r="P2" s="2" t="s">
        <v>50</v>
      </c>
      <c r="Q2" s="2" t="s">
        <v>52</v>
      </c>
      <c r="R2" s="2"/>
      <c r="S2" s="2"/>
      <c r="T2" s="2" t="s">
        <v>53</v>
      </c>
      <c r="U2" s="2" t="s">
        <v>552</v>
      </c>
      <c r="V2" s="2" t="s">
        <v>52</v>
      </c>
      <c r="W2" s="2"/>
      <c r="X2" s="2" t="s">
        <v>53</v>
      </c>
      <c r="Y2" s="2" t="s">
        <v>553</v>
      </c>
      <c r="Z2" s="2"/>
      <c r="AA2" s="2"/>
      <c r="AB2" s="2"/>
      <c r="AC2" s="2" t="s">
        <v>8</v>
      </c>
      <c r="AD2" s="2"/>
    </row>
    <row r="3" spans="1:30" ht="409.5" x14ac:dyDescent="0.25">
      <c r="A3" s="2" t="s">
        <v>55</v>
      </c>
      <c r="B3" s="2" t="s">
        <v>55</v>
      </c>
      <c r="C3" s="2" t="s">
        <v>554</v>
      </c>
      <c r="D3" s="2" t="s">
        <v>548</v>
      </c>
      <c r="E3" s="2" t="s">
        <v>56</v>
      </c>
      <c r="F3" s="2" t="s">
        <v>555</v>
      </c>
      <c r="G3" s="2" t="s">
        <v>53</v>
      </c>
      <c r="H3" s="2" t="s">
        <v>556</v>
      </c>
      <c r="I3" s="2" t="s">
        <v>53</v>
      </c>
      <c r="J3" s="2" t="s">
        <v>557</v>
      </c>
      <c r="K3" s="2" t="s">
        <v>558</v>
      </c>
      <c r="L3" s="2" t="s">
        <v>57</v>
      </c>
      <c r="M3" s="2"/>
      <c r="N3" s="2"/>
      <c r="O3" s="2" t="s">
        <v>559</v>
      </c>
      <c r="P3" s="2" t="s">
        <v>53</v>
      </c>
      <c r="Q3" s="2" t="s">
        <v>52</v>
      </c>
      <c r="R3" s="2"/>
      <c r="S3" s="2"/>
      <c r="T3" s="2" t="s">
        <v>53</v>
      </c>
      <c r="U3" s="2" t="s">
        <v>560</v>
      </c>
      <c r="V3" s="2" t="s">
        <v>53</v>
      </c>
      <c r="W3" s="2" t="s">
        <v>561</v>
      </c>
      <c r="X3" s="2" t="s">
        <v>59</v>
      </c>
      <c r="Y3" s="2"/>
      <c r="Z3" s="2" t="s">
        <v>562</v>
      </c>
      <c r="AA3" s="2"/>
      <c r="AB3" s="2"/>
      <c r="AC3" s="2" t="s">
        <v>58</v>
      </c>
      <c r="AD3" s="2" t="s">
        <v>563</v>
      </c>
    </row>
    <row r="4" spans="1:30" ht="30" x14ac:dyDescent="0.25">
      <c r="A4" s="2" t="s">
        <v>61</v>
      </c>
      <c r="B4" s="2" t="s">
        <v>62</v>
      </c>
      <c r="C4" s="2" t="s">
        <v>564</v>
      </c>
      <c r="D4" s="2" t="s">
        <v>565</v>
      </c>
      <c r="E4" s="2" t="s">
        <v>63</v>
      </c>
      <c r="F4" s="2"/>
      <c r="G4" s="2" t="s">
        <v>53</v>
      </c>
      <c r="H4" s="2" t="s">
        <v>566</v>
      </c>
      <c r="I4" s="2" t="s">
        <v>59</v>
      </c>
      <c r="J4" s="2"/>
      <c r="K4" s="2"/>
      <c r="L4" s="2" t="s">
        <v>51</v>
      </c>
      <c r="M4" s="2"/>
      <c r="N4" s="2"/>
      <c r="O4" s="2" t="s">
        <v>567</v>
      </c>
      <c r="P4" s="2" t="s">
        <v>59</v>
      </c>
      <c r="Q4" s="2" t="s">
        <v>49</v>
      </c>
      <c r="R4" s="2"/>
      <c r="S4" s="2"/>
      <c r="T4" s="2" t="s">
        <v>49</v>
      </c>
      <c r="U4" s="2"/>
      <c r="V4" s="2" t="s">
        <v>49</v>
      </c>
      <c r="W4" s="2"/>
      <c r="X4" s="2" t="s">
        <v>53</v>
      </c>
      <c r="Y4" s="2" t="s">
        <v>568</v>
      </c>
      <c r="Z4" s="2" t="s">
        <v>569</v>
      </c>
      <c r="AA4" s="2"/>
      <c r="AB4" s="2"/>
      <c r="AC4" s="2" t="s">
        <v>64</v>
      </c>
      <c r="AD4" s="2"/>
    </row>
    <row r="5" spans="1:30" ht="75" x14ac:dyDescent="0.25">
      <c r="A5" s="2" t="s">
        <v>65</v>
      </c>
      <c r="B5" s="2" t="s">
        <v>66</v>
      </c>
      <c r="C5" s="2" t="s">
        <v>570</v>
      </c>
      <c r="D5" s="2" t="s">
        <v>548</v>
      </c>
      <c r="E5" s="2" t="s">
        <v>67</v>
      </c>
      <c r="F5" s="2" t="s">
        <v>571</v>
      </c>
      <c r="G5" s="2" t="s">
        <v>53</v>
      </c>
      <c r="H5" s="2" t="s">
        <v>572</v>
      </c>
      <c r="I5" s="2" t="s">
        <v>49</v>
      </c>
      <c r="J5" s="2"/>
      <c r="K5" s="2"/>
      <c r="L5" s="2" t="s">
        <v>51</v>
      </c>
      <c r="M5" s="2"/>
      <c r="N5" s="2"/>
      <c r="O5" s="2" t="s">
        <v>573</v>
      </c>
      <c r="P5" s="2" t="s">
        <v>53</v>
      </c>
      <c r="Q5" s="2" t="s">
        <v>53</v>
      </c>
      <c r="R5" s="2" t="s">
        <v>574</v>
      </c>
      <c r="S5" s="2" t="s">
        <v>575</v>
      </c>
      <c r="T5" s="2" t="s">
        <v>576</v>
      </c>
      <c r="U5" s="2"/>
      <c r="V5" s="2" t="s">
        <v>59</v>
      </c>
      <c r="W5" s="2"/>
      <c r="X5" s="2" t="s">
        <v>59</v>
      </c>
      <c r="Y5" s="2"/>
      <c r="Z5" s="2" t="s">
        <v>577</v>
      </c>
      <c r="AA5" s="2"/>
      <c r="AB5" s="2"/>
      <c r="AC5" s="2" t="s">
        <v>58</v>
      </c>
      <c r="AD5" s="2" t="s">
        <v>572</v>
      </c>
    </row>
    <row r="6" spans="1:30" ht="150" x14ac:dyDescent="0.25">
      <c r="A6" s="2" t="s">
        <v>68</v>
      </c>
      <c r="B6" s="2" t="s">
        <v>69</v>
      </c>
      <c r="C6" s="2" t="s">
        <v>578</v>
      </c>
      <c r="D6" s="2" t="s">
        <v>548</v>
      </c>
      <c r="E6" s="2" t="s">
        <v>70</v>
      </c>
      <c r="F6" s="2" t="s">
        <v>579</v>
      </c>
      <c r="G6" s="2" t="s">
        <v>53</v>
      </c>
      <c r="H6" s="2"/>
      <c r="I6" s="2" t="s">
        <v>49</v>
      </c>
      <c r="J6" s="2" t="s">
        <v>580</v>
      </c>
      <c r="K6" s="2"/>
      <c r="L6" s="2" t="s">
        <v>51</v>
      </c>
      <c r="M6" s="2"/>
      <c r="N6" s="2"/>
      <c r="O6" s="2"/>
      <c r="P6" s="2" t="s">
        <v>53</v>
      </c>
      <c r="Q6" s="2" t="s">
        <v>53</v>
      </c>
      <c r="R6" s="2" t="s">
        <v>581</v>
      </c>
      <c r="S6" s="2" t="s">
        <v>575</v>
      </c>
      <c r="T6" s="2" t="s">
        <v>49</v>
      </c>
      <c r="U6" s="2"/>
      <c r="V6" s="2" t="s">
        <v>53</v>
      </c>
      <c r="W6" s="2" t="s">
        <v>582</v>
      </c>
      <c r="X6" s="2" t="s">
        <v>52</v>
      </c>
      <c r="Y6" s="2"/>
      <c r="Z6" s="2" t="s">
        <v>583</v>
      </c>
      <c r="AA6" s="2"/>
      <c r="AB6" s="2"/>
      <c r="AC6" s="2" t="s">
        <v>58</v>
      </c>
      <c r="AD6" s="2" t="s">
        <v>584</v>
      </c>
    </row>
    <row r="7" spans="1:30" ht="270" x14ac:dyDescent="0.25">
      <c r="A7" s="2" t="s">
        <v>71</v>
      </c>
      <c r="B7" s="2" t="s">
        <v>72</v>
      </c>
      <c r="C7" s="2" t="s">
        <v>585</v>
      </c>
      <c r="D7" s="2" t="s">
        <v>548</v>
      </c>
      <c r="E7" s="2" t="s">
        <v>73</v>
      </c>
      <c r="F7" s="2" t="s">
        <v>586</v>
      </c>
      <c r="G7" s="2" t="s">
        <v>49</v>
      </c>
      <c r="H7" s="2"/>
      <c r="I7" s="2" t="s">
        <v>49</v>
      </c>
      <c r="J7" s="2" t="s">
        <v>587</v>
      </c>
      <c r="K7" s="2"/>
      <c r="L7" s="2" t="s">
        <v>51</v>
      </c>
      <c r="M7" s="2"/>
      <c r="N7" s="2"/>
      <c r="O7" s="2"/>
      <c r="P7" s="2" t="s">
        <v>50</v>
      </c>
      <c r="Q7" s="2" t="s">
        <v>49</v>
      </c>
      <c r="R7" s="2"/>
      <c r="S7" s="2"/>
      <c r="T7" s="2" t="s">
        <v>576</v>
      </c>
      <c r="U7" s="2"/>
      <c r="V7" s="2" t="s">
        <v>52</v>
      </c>
      <c r="W7" s="2"/>
      <c r="X7" s="2" t="s">
        <v>74</v>
      </c>
      <c r="Y7" s="2"/>
      <c r="Z7" s="2"/>
      <c r="AA7" s="2"/>
      <c r="AB7" s="2"/>
      <c r="AC7" s="2" t="s">
        <v>64</v>
      </c>
      <c r="AD7" s="2"/>
    </row>
    <row r="8" spans="1:30" ht="75" x14ac:dyDescent="0.25">
      <c r="A8" s="2" t="s">
        <v>76</v>
      </c>
      <c r="B8" s="2" t="s">
        <v>77</v>
      </c>
      <c r="C8" s="2" t="s">
        <v>588</v>
      </c>
      <c r="D8" s="2" t="s">
        <v>589</v>
      </c>
      <c r="E8" s="2" t="s">
        <v>78</v>
      </c>
      <c r="F8" s="2" t="s">
        <v>590</v>
      </c>
      <c r="G8" s="2" t="s">
        <v>52</v>
      </c>
      <c r="H8" s="2"/>
      <c r="I8" s="2" t="s">
        <v>52</v>
      </c>
      <c r="J8" s="2"/>
      <c r="K8" s="2"/>
      <c r="L8" s="2" t="s">
        <v>8</v>
      </c>
      <c r="M8" s="2"/>
      <c r="N8" s="2"/>
      <c r="O8" s="2" t="s">
        <v>591</v>
      </c>
      <c r="P8" s="2" t="s">
        <v>52</v>
      </c>
      <c r="Q8" s="2" t="s">
        <v>52</v>
      </c>
      <c r="R8" s="2"/>
      <c r="S8" s="2"/>
      <c r="T8" s="2" t="s">
        <v>53</v>
      </c>
      <c r="U8" s="2" t="s">
        <v>592</v>
      </c>
      <c r="V8" s="2" t="s">
        <v>52</v>
      </c>
      <c r="W8" s="2"/>
      <c r="X8" s="2" t="s">
        <v>53</v>
      </c>
      <c r="Y8" s="2" t="s">
        <v>593</v>
      </c>
      <c r="Z8" s="2"/>
      <c r="AA8" s="2"/>
      <c r="AB8" s="2"/>
      <c r="AC8" s="2" t="s">
        <v>8</v>
      </c>
      <c r="AD8" s="2"/>
    </row>
    <row r="9" spans="1:30" ht="180" x14ac:dyDescent="0.25">
      <c r="A9" s="2" t="s">
        <v>79</v>
      </c>
      <c r="B9" s="2" t="s">
        <v>79</v>
      </c>
      <c r="C9" s="2" t="s">
        <v>594</v>
      </c>
      <c r="D9" s="2" t="s">
        <v>548</v>
      </c>
      <c r="E9" s="2" t="s">
        <v>80</v>
      </c>
      <c r="F9" s="2" t="s">
        <v>595</v>
      </c>
      <c r="G9" s="2" t="s">
        <v>53</v>
      </c>
      <c r="H9" s="2" t="s">
        <v>596</v>
      </c>
      <c r="I9" s="2" t="s">
        <v>53</v>
      </c>
      <c r="J9" s="2"/>
      <c r="K9" s="2" t="s">
        <v>597</v>
      </c>
      <c r="L9" s="2" t="s">
        <v>51</v>
      </c>
      <c r="M9" s="2"/>
      <c r="N9" s="2"/>
      <c r="O9" s="2" t="s">
        <v>598</v>
      </c>
      <c r="P9" s="2" t="s">
        <v>53</v>
      </c>
      <c r="Q9" s="2" t="s">
        <v>53</v>
      </c>
      <c r="R9" s="2" t="s">
        <v>599</v>
      </c>
      <c r="S9" s="2" t="s">
        <v>575</v>
      </c>
      <c r="T9" s="2" t="s">
        <v>53</v>
      </c>
      <c r="U9" s="2" t="s">
        <v>600</v>
      </c>
      <c r="V9" s="2" t="s">
        <v>53</v>
      </c>
      <c r="W9" s="2" t="s">
        <v>601</v>
      </c>
      <c r="X9" s="2" t="s">
        <v>53</v>
      </c>
      <c r="Y9" s="2" t="s">
        <v>602</v>
      </c>
      <c r="Z9" s="2" t="s">
        <v>562</v>
      </c>
      <c r="AA9" s="2"/>
      <c r="AB9" s="2"/>
      <c r="AC9" s="2" t="s">
        <v>58</v>
      </c>
      <c r="AD9" s="2" t="s">
        <v>596</v>
      </c>
    </row>
    <row r="10" spans="1:30" ht="135" x14ac:dyDescent="0.25">
      <c r="A10" s="2" t="s">
        <v>81</v>
      </c>
      <c r="B10" s="2" t="s">
        <v>82</v>
      </c>
      <c r="C10" s="2" t="s">
        <v>603</v>
      </c>
      <c r="D10" s="2"/>
      <c r="E10" s="2" t="s">
        <v>67</v>
      </c>
      <c r="F10" s="2" t="s">
        <v>604</v>
      </c>
      <c r="G10" s="2" t="s">
        <v>53</v>
      </c>
      <c r="H10" s="2" t="s">
        <v>605</v>
      </c>
      <c r="I10" s="2" t="s">
        <v>59</v>
      </c>
      <c r="J10" s="2"/>
      <c r="K10" s="2"/>
      <c r="L10" s="2" t="s">
        <v>51</v>
      </c>
      <c r="M10" s="2"/>
      <c r="N10" s="2"/>
      <c r="O10" s="2" t="s">
        <v>606</v>
      </c>
      <c r="P10" s="2" t="s">
        <v>53</v>
      </c>
      <c r="Q10" s="2" t="s">
        <v>49</v>
      </c>
      <c r="R10" s="2"/>
      <c r="S10" s="2"/>
      <c r="T10" s="2" t="s">
        <v>53</v>
      </c>
      <c r="U10" s="2" t="s">
        <v>607</v>
      </c>
      <c r="V10" s="2" t="s">
        <v>53</v>
      </c>
      <c r="W10" s="2" t="s">
        <v>608</v>
      </c>
      <c r="X10" s="2" t="s">
        <v>53</v>
      </c>
      <c r="Y10" s="2" t="s">
        <v>609</v>
      </c>
      <c r="Z10" s="2" t="s">
        <v>577</v>
      </c>
      <c r="AA10" s="2"/>
      <c r="AB10" s="2"/>
      <c r="AC10" s="2" t="s">
        <v>58</v>
      </c>
      <c r="AD10" s="2" t="s">
        <v>610</v>
      </c>
    </row>
    <row r="11" spans="1:30" ht="409.5" x14ac:dyDescent="0.25">
      <c r="A11" s="2" t="s">
        <v>83</v>
      </c>
      <c r="B11" s="2" t="s">
        <v>84</v>
      </c>
      <c r="C11" s="2" t="s">
        <v>611</v>
      </c>
      <c r="D11" s="2" t="s">
        <v>548</v>
      </c>
      <c r="E11" s="2" t="s">
        <v>63</v>
      </c>
      <c r="F11" s="2" t="s">
        <v>612</v>
      </c>
      <c r="G11" s="2" t="s">
        <v>53</v>
      </c>
      <c r="H11" s="2" t="s">
        <v>613</v>
      </c>
      <c r="I11" s="2" t="s">
        <v>53</v>
      </c>
      <c r="J11" s="2" t="s">
        <v>614</v>
      </c>
      <c r="K11" s="2" t="s">
        <v>615</v>
      </c>
      <c r="L11" s="2" t="s">
        <v>57</v>
      </c>
      <c r="M11" s="2"/>
      <c r="N11" s="2"/>
      <c r="O11" s="2"/>
      <c r="P11" s="2" t="s">
        <v>53</v>
      </c>
      <c r="Q11" s="2" t="s">
        <v>53</v>
      </c>
      <c r="R11" s="2" t="s">
        <v>616</v>
      </c>
      <c r="S11" s="2" t="s">
        <v>617</v>
      </c>
      <c r="T11" s="2" t="s">
        <v>53</v>
      </c>
      <c r="U11" s="2" t="s">
        <v>618</v>
      </c>
      <c r="V11" s="2" t="s">
        <v>50</v>
      </c>
      <c r="W11" s="2"/>
      <c r="X11" s="2" t="s">
        <v>53</v>
      </c>
      <c r="Y11" s="2" t="s">
        <v>619</v>
      </c>
      <c r="Z11" s="2"/>
      <c r="AA11" s="2"/>
      <c r="AB11" s="2"/>
      <c r="AC11" s="2" t="s">
        <v>58</v>
      </c>
      <c r="AD11" s="2" t="s">
        <v>620</v>
      </c>
    </row>
    <row r="12" spans="1:30" ht="255" x14ac:dyDescent="0.25">
      <c r="A12" s="2" t="s">
        <v>86</v>
      </c>
      <c r="B12" s="2" t="s">
        <v>77</v>
      </c>
      <c r="C12" s="2" t="s">
        <v>621</v>
      </c>
      <c r="D12" s="2" t="s">
        <v>589</v>
      </c>
      <c r="E12" s="2" t="s">
        <v>87</v>
      </c>
      <c r="F12" s="2" t="s">
        <v>622</v>
      </c>
      <c r="G12" s="2" t="s">
        <v>52</v>
      </c>
      <c r="H12" s="2"/>
      <c r="I12" s="2" t="s">
        <v>52</v>
      </c>
      <c r="J12" s="2"/>
      <c r="K12" s="2"/>
      <c r="L12" s="2"/>
      <c r="M12" s="2"/>
      <c r="N12" s="2"/>
      <c r="O12" s="2" t="s">
        <v>623</v>
      </c>
      <c r="P12" s="2" t="s">
        <v>52</v>
      </c>
      <c r="Q12" s="2" t="s">
        <v>49</v>
      </c>
      <c r="R12" s="2"/>
      <c r="S12" s="2"/>
      <c r="T12" s="2" t="s">
        <v>53</v>
      </c>
      <c r="U12" s="2" t="s">
        <v>592</v>
      </c>
      <c r="V12" s="2" t="s">
        <v>52</v>
      </c>
      <c r="W12" s="2"/>
      <c r="X12" s="2" t="s">
        <v>53</v>
      </c>
      <c r="Y12" s="2" t="s">
        <v>593</v>
      </c>
      <c r="Z12" s="2"/>
      <c r="AA12" s="2"/>
      <c r="AB12" s="2"/>
      <c r="AC12" s="2"/>
      <c r="AD12" s="2"/>
    </row>
    <row r="13" spans="1:30" ht="90" x14ac:dyDescent="0.25">
      <c r="A13" s="2" t="s">
        <v>89</v>
      </c>
      <c r="B13" s="2" t="s">
        <v>90</v>
      </c>
      <c r="C13" s="2" t="s">
        <v>624</v>
      </c>
      <c r="D13" s="2" t="s">
        <v>548</v>
      </c>
      <c r="E13" s="2" t="s">
        <v>70</v>
      </c>
      <c r="F13" s="2" t="s">
        <v>625</v>
      </c>
      <c r="G13" s="2" t="s">
        <v>53</v>
      </c>
      <c r="H13" s="2" t="s">
        <v>626</v>
      </c>
      <c r="I13" s="2" t="s">
        <v>53</v>
      </c>
      <c r="J13" s="2" t="s">
        <v>627</v>
      </c>
      <c r="K13" s="2" t="s">
        <v>628</v>
      </c>
      <c r="L13" s="2" t="s">
        <v>51</v>
      </c>
      <c r="M13" s="2"/>
      <c r="N13" s="2" t="s">
        <v>114</v>
      </c>
      <c r="O13" s="2" t="s">
        <v>627</v>
      </c>
      <c r="P13" s="2" t="s">
        <v>53</v>
      </c>
      <c r="Q13" s="2" t="s">
        <v>49</v>
      </c>
      <c r="R13" s="2"/>
      <c r="S13" s="2"/>
      <c r="T13" s="2" t="s">
        <v>576</v>
      </c>
      <c r="U13" s="2"/>
      <c r="V13" s="2" t="s">
        <v>52</v>
      </c>
      <c r="W13" s="2"/>
      <c r="X13" s="2" t="s">
        <v>59</v>
      </c>
      <c r="Y13" s="2"/>
      <c r="Z13" s="2"/>
      <c r="AA13" s="2"/>
      <c r="AB13" s="2"/>
      <c r="AC13" s="2" t="s">
        <v>58</v>
      </c>
      <c r="AD13" s="2" t="s">
        <v>626</v>
      </c>
    </row>
    <row r="14" spans="1:30" ht="75" x14ac:dyDescent="0.25">
      <c r="A14" s="2" t="s">
        <v>91</v>
      </c>
      <c r="B14" s="2" t="s">
        <v>92</v>
      </c>
      <c r="C14" s="2" t="s">
        <v>629</v>
      </c>
      <c r="D14" s="2" t="s">
        <v>548</v>
      </c>
      <c r="E14" s="2" t="s">
        <v>93</v>
      </c>
      <c r="F14" s="2" t="s">
        <v>630</v>
      </c>
      <c r="G14" s="2" t="s">
        <v>53</v>
      </c>
      <c r="H14" s="2" t="s">
        <v>631</v>
      </c>
      <c r="I14" s="2" t="s">
        <v>53</v>
      </c>
      <c r="J14" s="2" t="s">
        <v>632</v>
      </c>
      <c r="K14" s="2" t="s">
        <v>633</v>
      </c>
      <c r="L14" s="2" t="s">
        <v>51</v>
      </c>
      <c r="M14" s="2"/>
      <c r="N14" s="2" t="s">
        <v>634</v>
      </c>
      <c r="O14" s="2"/>
      <c r="P14" s="2" t="s">
        <v>53</v>
      </c>
      <c r="Q14" s="2" t="s">
        <v>52</v>
      </c>
      <c r="R14" s="2"/>
      <c r="S14" s="2"/>
      <c r="T14" s="2" t="s">
        <v>576</v>
      </c>
      <c r="U14" s="2"/>
      <c r="V14" s="2" t="s">
        <v>52</v>
      </c>
      <c r="W14" s="2"/>
      <c r="X14" s="2" t="s">
        <v>53</v>
      </c>
      <c r="Y14" s="2" t="s">
        <v>635</v>
      </c>
      <c r="Z14" s="2"/>
      <c r="AA14" s="2"/>
      <c r="AB14" s="2"/>
      <c r="AC14" s="2" t="s">
        <v>58</v>
      </c>
      <c r="AD14" s="2" t="s">
        <v>636</v>
      </c>
    </row>
    <row r="15" spans="1:30" ht="300" x14ac:dyDescent="0.25">
      <c r="A15" s="2" t="s">
        <v>94</v>
      </c>
      <c r="B15" s="2" t="s">
        <v>95</v>
      </c>
      <c r="C15" s="2" t="s">
        <v>637</v>
      </c>
      <c r="D15" s="2" t="s">
        <v>548</v>
      </c>
      <c r="E15" s="2" t="s">
        <v>63</v>
      </c>
      <c r="F15" s="2"/>
      <c r="G15" s="2" t="s">
        <v>49</v>
      </c>
      <c r="H15" s="2" t="s">
        <v>638</v>
      </c>
      <c r="I15" s="2" t="s">
        <v>59</v>
      </c>
      <c r="J15" s="2" t="s">
        <v>639</v>
      </c>
      <c r="K15" s="2"/>
      <c r="L15" s="2" t="s">
        <v>51</v>
      </c>
      <c r="M15" s="2"/>
      <c r="N15" s="2"/>
      <c r="O15" s="2"/>
      <c r="P15" s="2" t="s">
        <v>50</v>
      </c>
      <c r="Q15" s="2" t="s">
        <v>52</v>
      </c>
      <c r="R15" s="2"/>
      <c r="S15" s="2"/>
      <c r="T15" s="2" t="s">
        <v>576</v>
      </c>
      <c r="U15" s="2"/>
      <c r="V15" s="2" t="s">
        <v>49</v>
      </c>
      <c r="W15" s="2"/>
      <c r="X15" s="2" t="s">
        <v>53</v>
      </c>
      <c r="Y15" s="2" t="s">
        <v>640</v>
      </c>
      <c r="Z15" s="2"/>
      <c r="AA15" s="2"/>
      <c r="AB15" s="2"/>
      <c r="AC15" s="2" t="s">
        <v>64</v>
      </c>
      <c r="AD15" s="2"/>
    </row>
    <row r="16" spans="1:30" ht="150" x14ac:dyDescent="0.25">
      <c r="A16" s="2" t="s">
        <v>96</v>
      </c>
      <c r="B16" s="2" t="s">
        <v>97</v>
      </c>
      <c r="C16" s="2" t="s">
        <v>641</v>
      </c>
      <c r="D16" s="2"/>
      <c r="E16" s="2" t="s">
        <v>98</v>
      </c>
      <c r="F16" s="2" t="s">
        <v>642</v>
      </c>
      <c r="G16" s="2" t="s">
        <v>53</v>
      </c>
      <c r="H16" s="2" t="s">
        <v>643</v>
      </c>
      <c r="I16" s="2" t="s">
        <v>49</v>
      </c>
      <c r="J16" s="2" t="s">
        <v>644</v>
      </c>
      <c r="K16" s="2"/>
      <c r="L16" s="2" t="s">
        <v>51</v>
      </c>
      <c r="M16" s="2"/>
      <c r="N16" s="2" t="s">
        <v>634</v>
      </c>
      <c r="O16" s="2"/>
      <c r="P16" s="2" t="s">
        <v>53</v>
      </c>
      <c r="Q16" s="2" t="s">
        <v>52</v>
      </c>
      <c r="R16" s="2"/>
      <c r="S16" s="2"/>
      <c r="T16" s="2" t="s">
        <v>576</v>
      </c>
      <c r="U16" s="2"/>
      <c r="V16" s="2" t="s">
        <v>53</v>
      </c>
      <c r="W16" s="2" t="s">
        <v>645</v>
      </c>
      <c r="X16" s="2" t="s">
        <v>53</v>
      </c>
      <c r="Y16" s="2" t="s">
        <v>646</v>
      </c>
      <c r="Z16" s="2"/>
      <c r="AA16" s="2"/>
      <c r="AB16" s="2"/>
      <c r="AC16" s="2" t="s">
        <v>58</v>
      </c>
      <c r="AD16" s="2" t="s">
        <v>647</v>
      </c>
    </row>
    <row r="17" spans="1:30" ht="165" x14ac:dyDescent="0.25">
      <c r="A17" s="2" t="s">
        <v>99</v>
      </c>
      <c r="B17" s="2" t="s">
        <v>99</v>
      </c>
      <c r="C17" s="2" t="s">
        <v>648</v>
      </c>
      <c r="D17" s="2" t="s">
        <v>548</v>
      </c>
      <c r="E17" s="2" t="s">
        <v>100</v>
      </c>
      <c r="F17" s="2" t="s">
        <v>649</v>
      </c>
      <c r="G17" s="2" t="s">
        <v>49</v>
      </c>
      <c r="H17" s="2"/>
      <c r="I17" s="2" t="s">
        <v>49</v>
      </c>
      <c r="J17" s="2" t="s">
        <v>650</v>
      </c>
      <c r="K17" s="2"/>
      <c r="L17" s="2" t="s">
        <v>8</v>
      </c>
      <c r="M17" s="2"/>
      <c r="N17" s="2"/>
      <c r="O17" s="2"/>
      <c r="P17" s="2" t="s">
        <v>49</v>
      </c>
      <c r="Q17" s="2" t="s">
        <v>49</v>
      </c>
      <c r="R17" s="2"/>
      <c r="S17" s="2"/>
      <c r="T17" s="2" t="s">
        <v>576</v>
      </c>
      <c r="U17" s="2"/>
      <c r="V17" s="2" t="s">
        <v>49</v>
      </c>
      <c r="W17" s="2"/>
      <c r="X17" s="2" t="s">
        <v>49</v>
      </c>
      <c r="Y17" s="2"/>
      <c r="Z17" s="2"/>
      <c r="AA17" s="2"/>
      <c r="AB17" s="2"/>
      <c r="AC17" s="2" t="s">
        <v>64</v>
      </c>
      <c r="AD17" s="2"/>
    </row>
    <row r="18" spans="1:30" ht="225" x14ac:dyDescent="0.25">
      <c r="A18" s="2" t="s">
        <v>101</v>
      </c>
      <c r="B18" s="2" t="s">
        <v>102</v>
      </c>
      <c r="C18" s="2" t="s">
        <v>651</v>
      </c>
      <c r="D18" s="2" t="s">
        <v>652</v>
      </c>
      <c r="E18" s="2" t="s">
        <v>103</v>
      </c>
      <c r="F18" s="2" t="s">
        <v>653</v>
      </c>
      <c r="G18" s="2" t="s">
        <v>50</v>
      </c>
      <c r="H18" s="2"/>
      <c r="I18" s="2" t="s">
        <v>49</v>
      </c>
      <c r="J18" s="2" t="s">
        <v>654</v>
      </c>
      <c r="K18" s="2" t="s">
        <v>655</v>
      </c>
      <c r="L18" s="2" t="s">
        <v>51</v>
      </c>
      <c r="M18" s="2"/>
      <c r="N18" s="2"/>
      <c r="O18" s="2"/>
      <c r="P18" s="2" t="s">
        <v>50</v>
      </c>
      <c r="Q18" s="2" t="s">
        <v>49</v>
      </c>
      <c r="R18" s="2"/>
      <c r="S18" s="2"/>
      <c r="T18" s="2" t="s">
        <v>53</v>
      </c>
      <c r="U18" s="2" t="s">
        <v>655</v>
      </c>
      <c r="V18" s="2" t="s">
        <v>52</v>
      </c>
      <c r="W18" s="2"/>
      <c r="X18" s="2" t="s">
        <v>53</v>
      </c>
      <c r="Y18" s="2" t="s">
        <v>655</v>
      </c>
      <c r="Z18" s="2"/>
      <c r="AA18" s="2"/>
      <c r="AB18" s="2"/>
      <c r="AC18" s="2" t="s">
        <v>64</v>
      </c>
      <c r="AD18" s="2"/>
    </row>
    <row r="19" spans="1:30" ht="60" x14ac:dyDescent="0.25">
      <c r="A19" s="2" t="s">
        <v>105</v>
      </c>
      <c r="B19" s="2" t="s">
        <v>106</v>
      </c>
      <c r="C19" s="2" t="s">
        <v>656</v>
      </c>
      <c r="D19" s="2" t="s">
        <v>548</v>
      </c>
      <c r="E19" s="2" t="s">
        <v>107</v>
      </c>
      <c r="F19" s="2" t="s">
        <v>657</v>
      </c>
      <c r="G19" s="2" t="s">
        <v>59</v>
      </c>
      <c r="H19" s="2"/>
      <c r="I19" s="2" t="s">
        <v>59</v>
      </c>
      <c r="J19" s="2" t="s">
        <v>658</v>
      </c>
      <c r="K19" s="2"/>
      <c r="L19" s="2" t="s">
        <v>8</v>
      </c>
      <c r="M19" s="2"/>
      <c r="N19" s="2"/>
      <c r="O19" s="2" t="s">
        <v>659</v>
      </c>
      <c r="P19" s="2" t="s">
        <v>59</v>
      </c>
      <c r="Q19" s="2" t="s">
        <v>50</v>
      </c>
      <c r="R19" s="2"/>
      <c r="S19" s="2"/>
      <c r="T19" s="2" t="s">
        <v>53</v>
      </c>
      <c r="U19" s="2" t="s">
        <v>660</v>
      </c>
      <c r="V19" s="2" t="s">
        <v>50</v>
      </c>
      <c r="W19" s="2"/>
      <c r="X19" s="2" t="s">
        <v>53</v>
      </c>
      <c r="Y19" s="2" t="s">
        <v>661</v>
      </c>
      <c r="Z19" s="2"/>
      <c r="AA19" s="2"/>
      <c r="AB19" s="2"/>
      <c r="AC19" s="2" t="s">
        <v>8</v>
      </c>
      <c r="AD19" s="2"/>
    </row>
    <row r="20" spans="1:30" ht="409.5" x14ac:dyDescent="0.25">
      <c r="A20" s="2" t="s">
        <v>109</v>
      </c>
      <c r="B20" s="2" t="s">
        <v>109</v>
      </c>
      <c r="C20" s="2" t="s">
        <v>662</v>
      </c>
      <c r="D20" s="2" t="s">
        <v>548</v>
      </c>
      <c r="E20" s="2" t="s">
        <v>56</v>
      </c>
      <c r="F20" s="2" t="s">
        <v>663</v>
      </c>
      <c r="G20" s="2" t="s">
        <v>53</v>
      </c>
      <c r="H20" s="2" t="s">
        <v>664</v>
      </c>
      <c r="I20" s="2" t="s">
        <v>52</v>
      </c>
      <c r="J20" s="2"/>
      <c r="K20" s="2"/>
      <c r="L20" s="2" t="s">
        <v>51</v>
      </c>
      <c r="M20" s="2"/>
      <c r="N20" s="2"/>
      <c r="O20" s="2" t="s">
        <v>665</v>
      </c>
      <c r="P20" s="2" t="s">
        <v>53</v>
      </c>
      <c r="Q20" s="2" t="s">
        <v>49</v>
      </c>
      <c r="R20" s="2"/>
      <c r="S20" s="2"/>
      <c r="T20" s="2" t="s">
        <v>53</v>
      </c>
      <c r="U20" s="2" t="s">
        <v>666</v>
      </c>
      <c r="V20" s="2" t="s">
        <v>53</v>
      </c>
      <c r="W20" s="2" t="s">
        <v>667</v>
      </c>
      <c r="X20" s="2" t="s">
        <v>53</v>
      </c>
      <c r="Y20" s="2" t="s">
        <v>668</v>
      </c>
      <c r="Z20" s="2"/>
      <c r="AA20" s="2"/>
      <c r="AB20" s="2"/>
      <c r="AC20" s="2" t="s">
        <v>58</v>
      </c>
      <c r="AD20" s="2" t="s">
        <v>669</v>
      </c>
    </row>
    <row r="21" spans="1:30" ht="120" x14ac:dyDescent="0.25">
      <c r="A21" s="2" t="s">
        <v>110</v>
      </c>
      <c r="B21" s="2" t="s">
        <v>111</v>
      </c>
      <c r="C21" s="2" t="s">
        <v>670</v>
      </c>
      <c r="D21" s="2"/>
      <c r="E21" s="2" t="s">
        <v>112</v>
      </c>
      <c r="F21" s="2" t="s">
        <v>671</v>
      </c>
      <c r="G21" s="2" t="s">
        <v>53</v>
      </c>
      <c r="H21" s="2" t="s">
        <v>672</v>
      </c>
      <c r="I21" s="2" t="s">
        <v>52</v>
      </c>
      <c r="J21" s="2" t="s">
        <v>673</v>
      </c>
      <c r="K21" s="2"/>
      <c r="L21" s="2" t="s">
        <v>51</v>
      </c>
      <c r="M21" s="2"/>
      <c r="N21" s="2" t="s">
        <v>23</v>
      </c>
      <c r="O21" s="2"/>
      <c r="P21" s="2" t="s">
        <v>49</v>
      </c>
      <c r="Q21" s="2" t="s">
        <v>52</v>
      </c>
      <c r="R21" s="2"/>
      <c r="S21" s="2"/>
      <c r="T21" s="2" t="s">
        <v>576</v>
      </c>
      <c r="U21" s="2"/>
      <c r="V21" s="2" t="s">
        <v>53</v>
      </c>
      <c r="W21" s="2" t="s">
        <v>674</v>
      </c>
      <c r="X21" s="2" t="s">
        <v>59</v>
      </c>
      <c r="Y21" s="2"/>
      <c r="Z21" s="2"/>
      <c r="AA21" s="2"/>
      <c r="AB21" s="2"/>
      <c r="AC21" s="2" t="s">
        <v>64</v>
      </c>
      <c r="AD21" s="2"/>
    </row>
    <row r="22" spans="1:30" ht="120" x14ac:dyDescent="0.25">
      <c r="A22" s="2" t="s">
        <v>113</v>
      </c>
      <c r="B22" s="2" t="s">
        <v>111</v>
      </c>
      <c r="C22" s="2" t="s">
        <v>675</v>
      </c>
      <c r="D22" s="2"/>
      <c r="E22" s="2" t="s">
        <v>73</v>
      </c>
      <c r="F22" s="2" t="s">
        <v>676</v>
      </c>
      <c r="G22" s="2" t="s">
        <v>53</v>
      </c>
      <c r="H22" s="2" t="s">
        <v>677</v>
      </c>
      <c r="I22" s="2" t="s">
        <v>52</v>
      </c>
      <c r="J22" s="2" t="s">
        <v>673</v>
      </c>
      <c r="K22" s="2"/>
      <c r="L22" s="2" t="s">
        <v>114</v>
      </c>
      <c r="M22" s="2" t="s">
        <v>115</v>
      </c>
      <c r="N22" s="2"/>
      <c r="O22" s="2"/>
      <c r="P22" s="2" t="s">
        <v>59</v>
      </c>
      <c r="Q22" s="2" t="s">
        <v>52</v>
      </c>
      <c r="R22" s="2"/>
      <c r="S22" s="2"/>
      <c r="T22" s="2" t="s">
        <v>576</v>
      </c>
      <c r="U22" s="2"/>
      <c r="V22" s="2" t="s">
        <v>53</v>
      </c>
      <c r="W22" s="2" t="s">
        <v>674</v>
      </c>
      <c r="X22" s="2" t="s">
        <v>59</v>
      </c>
      <c r="Y22" s="2"/>
      <c r="Z22" s="2"/>
      <c r="AA22" s="2"/>
      <c r="AB22" s="2"/>
      <c r="AC22" s="2" t="s">
        <v>64</v>
      </c>
      <c r="AD22" s="2"/>
    </row>
    <row r="23" spans="1:30" ht="90" x14ac:dyDescent="0.25">
      <c r="A23" s="2" t="s">
        <v>117</v>
      </c>
      <c r="B23" s="2" t="s">
        <v>118</v>
      </c>
      <c r="C23" s="2" t="s">
        <v>678</v>
      </c>
      <c r="D23" s="2" t="s">
        <v>548</v>
      </c>
      <c r="E23" s="2" t="s">
        <v>119</v>
      </c>
      <c r="F23" s="2" t="s">
        <v>679</v>
      </c>
      <c r="G23" s="2" t="s">
        <v>59</v>
      </c>
      <c r="H23" s="2"/>
      <c r="I23" s="2" t="s">
        <v>59</v>
      </c>
      <c r="J23" s="2"/>
      <c r="K23" s="2"/>
      <c r="L23" s="2" t="s">
        <v>8</v>
      </c>
      <c r="M23" s="2"/>
      <c r="N23" s="2"/>
      <c r="O23" s="2" t="s">
        <v>680</v>
      </c>
      <c r="P23" s="2" t="s">
        <v>59</v>
      </c>
      <c r="Q23" s="2" t="s">
        <v>49</v>
      </c>
      <c r="R23" s="2"/>
      <c r="S23" s="2"/>
      <c r="T23" s="2" t="s">
        <v>576</v>
      </c>
      <c r="U23" s="2"/>
      <c r="V23" s="2" t="s">
        <v>59</v>
      </c>
      <c r="W23" s="2"/>
      <c r="X23" s="2" t="s">
        <v>59</v>
      </c>
      <c r="Y23" s="2"/>
      <c r="Z23" s="2" t="s">
        <v>562</v>
      </c>
      <c r="AA23" s="2"/>
      <c r="AB23" s="2"/>
      <c r="AC23" s="2" t="s">
        <v>64</v>
      </c>
      <c r="AD23" s="2"/>
    </row>
    <row r="24" spans="1:30" ht="195" x14ac:dyDescent="0.25">
      <c r="A24" s="2" t="s">
        <v>120</v>
      </c>
      <c r="B24" s="2" t="s">
        <v>121</v>
      </c>
      <c r="C24" s="2" t="s">
        <v>681</v>
      </c>
      <c r="D24" s="2" t="s">
        <v>682</v>
      </c>
      <c r="E24" s="2" t="s">
        <v>122</v>
      </c>
      <c r="F24" s="2" t="s">
        <v>683</v>
      </c>
      <c r="G24" s="2" t="s">
        <v>53</v>
      </c>
      <c r="H24" s="2" t="s">
        <v>684</v>
      </c>
      <c r="I24" s="2" t="s">
        <v>49</v>
      </c>
      <c r="J24" s="2" t="s">
        <v>685</v>
      </c>
      <c r="K24" s="2"/>
      <c r="L24" s="2" t="s">
        <v>57</v>
      </c>
      <c r="M24" s="2"/>
      <c r="N24" s="2"/>
      <c r="O24" s="2"/>
      <c r="P24" s="2" t="s">
        <v>53</v>
      </c>
      <c r="Q24" s="2" t="s">
        <v>53</v>
      </c>
      <c r="R24" s="2" t="s">
        <v>686</v>
      </c>
      <c r="S24" s="2" t="s">
        <v>617</v>
      </c>
      <c r="T24" s="2" t="s">
        <v>53</v>
      </c>
      <c r="U24" s="2" t="s">
        <v>687</v>
      </c>
      <c r="V24" s="2" t="s">
        <v>52</v>
      </c>
      <c r="W24" s="2"/>
      <c r="X24" s="2" t="s">
        <v>53</v>
      </c>
      <c r="Y24" s="2" t="s">
        <v>688</v>
      </c>
      <c r="Z24" s="2"/>
      <c r="AA24" s="2"/>
      <c r="AB24" s="2"/>
      <c r="AC24" s="2" t="s">
        <v>58</v>
      </c>
      <c r="AD24" s="2" t="s">
        <v>684</v>
      </c>
    </row>
    <row r="25" spans="1:30" ht="330" x14ac:dyDescent="0.25">
      <c r="A25" s="2" t="s">
        <v>123</v>
      </c>
      <c r="B25" s="2" t="s">
        <v>124</v>
      </c>
      <c r="C25" s="2" t="s">
        <v>689</v>
      </c>
      <c r="D25" s="2" t="s">
        <v>682</v>
      </c>
      <c r="E25" s="2" t="s">
        <v>73</v>
      </c>
      <c r="F25" s="2" t="s">
        <v>690</v>
      </c>
      <c r="G25" s="2" t="s">
        <v>53</v>
      </c>
      <c r="H25" s="2" t="s">
        <v>691</v>
      </c>
      <c r="I25" s="2" t="s">
        <v>53</v>
      </c>
      <c r="J25" s="2" t="s">
        <v>692</v>
      </c>
      <c r="K25" s="2" t="s">
        <v>693</v>
      </c>
      <c r="L25" s="2" t="s">
        <v>57</v>
      </c>
      <c r="M25" s="2"/>
      <c r="N25" s="2"/>
      <c r="O25" s="2"/>
      <c r="P25" s="2" t="s">
        <v>53</v>
      </c>
      <c r="Q25" s="2" t="s">
        <v>53</v>
      </c>
      <c r="R25" s="2" t="s">
        <v>694</v>
      </c>
      <c r="S25" s="2" t="s">
        <v>695</v>
      </c>
      <c r="T25" s="2" t="s">
        <v>53</v>
      </c>
      <c r="U25" s="2" t="s">
        <v>696</v>
      </c>
      <c r="V25" s="2" t="s">
        <v>49</v>
      </c>
      <c r="W25" s="2"/>
      <c r="X25" s="2" t="s">
        <v>53</v>
      </c>
      <c r="Y25" s="2" t="s">
        <v>697</v>
      </c>
      <c r="Z25" s="2" t="s">
        <v>698</v>
      </c>
      <c r="AA25" s="2"/>
      <c r="AB25" s="2"/>
      <c r="AC25" s="2" t="s">
        <v>58</v>
      </c>
      <c r="AD25" s="2" t="s">
        <v>699</v>
      </c>
    </row>
    <row r="26" spans="1:30" ht="105" x14ac:dyDescent="0.25">
      <c r="A26" s="2" t="s">
        <v>125</v>
      </c>
      <c r="B26" s="2" t="s">
        <v>126</v>
      </c>
      <c r="C26" s="2" t="s">
        <v>700</v>
      </c>
      <c r="D26" s="2" t="s">
        <v>548</v>
      </c>
      <c r="E26" s="2" t="s">
        <v>73</v>
      </c>
      <c r="F26" s="2" t="s">
        <v>701</v>
      </c>
      <c r="G26" s="2" t="s">
        <v>53</v>
      </c>
      <c r="H26" s="2" t="s">
        <v>702</v>
      </c>
      <c r="I26" s="2" t="s">
        <v>53</v>
      </c>
      <c r="J26" s="2" t="s">
        <v>703</v>
      </c>
      <c r="K26" s="2" t="s">
        <v>704</v>
      </c>
      <c r="L26" s="2" t="s">
        <v>51</v>
      </c>
      <c r="M26" s="2"/>
      <c r="N26" s="2"/>
      <c r="O26" s="2"/>
      <c r="P26" s="2" t="s">
        <v>50</v>
      </c>
      <c r="Q26" s="2" t="s">
        <v>52</v>
      </c>
      <c r="R26" s="2"/>
      <c r="S26" s="2"/>
      <c r="T26" s="2" t="s">
        <v>576</v>
      </c>
      <c r="U26" s="2"/>
      <c r="V26" s="2" t="s">
        <v>49</v>
      </c>
      <c r="W26" s="2"/>
      <c r="X26" s="2" t="s">
        <v>53</v>
      </c>
      <c r="Y26" s="2" t="s">
        <v>705</v>
      </c>
      <c r="Z26" s="2"/>
      <c r="AA26" s="2"/>
      <c r="AB26" s="2"/>
      <c r="AC26" s="2" t="s">
        <v>8</v>
      </c>
      <c r="AD26" s="2"/>
    </row>
    <row r="27" spans="1:30" ht="240" x14ac:dyDescent="0.25">
      <c r="A27" s="2" t="s">
        <v>127</v>
      </c>
      <c r="B27" s="2" t="s">
        <v>128</v>
      </c>
      <c r="C27" s="2" t="s">
        <v>706</v>
      </c>
      <c r="D27" s="2" t="s">
        <v>548</v>
      </c>
      <c r="E27" s="2" t="s">
        <v>129</v>
      </c>
      <c r="F27" s="2" t="s">
        <v>707</v>
      </c>
      <c r="G27" s="2" t="s">
        <v>53</v>
      </c>
      <c r="H27" s="2" t="s">
        <v>708</v>
      </c>
      <c r="I27" s="2" t="s">
        <v>53</v>
      </c>
      <c r="J27" s="2" t="s">
        <v>709</v>
      </c>
      <c r="K27" s="2" t="s">
        <v>708</v>
      </c>
      <c r="L27" s="2" t="s">
        <v>57</v>
      </c>
      <c r="M27" s="2"/>
      <c r="N27" s="2"/>
      <c r="O27" s="2"/>
      <c r="P27" s="2" t="s">
        <v>53</v>
      </c>
      <c r="Q27" s="2" t="s">
        <v>49</v>
      </c>
      <c r="R27" s="2"/>
      <c r="S27" s="2"/>
      <c r="T27" s="2" t="s">
        <v>53</v>
      </c>
      <c r="U27" s="2" t="s">
        <v>710</v>
      </c>
      <c r="V27" s="2" t="s">
        <v>53</v>
      </c>
      <c r="W27" s="2" t="s">
        <v>711</v>
      </c>
      <c r="X27" s="2" t="s">
        <v>53</v>
      </c>
      <c r="Y27" s="2" t="s">
        <v>712</v>
      </c>
      <c r="Z27" s="2" t="s">
        <v>698</v>
      </c>
      <c r="AA27" s="2"/>
      <c r="AB27" s="2"/>
      <c r="AC27" s="2" t="s">
        <v>58</v>
      </c>
      <c r="AD27" s="2" t="s">
        <v>713</v>
      </c>
    </row>
    <row r="28" spans="1:30" ht="60" x14ac:dyDescent="0.25">
      <c r="A28" s="2" t="s">
        <v>130</v>
      </c>
      <c r="B28" s="2" t="s">
        <v>131</v>
      </c>
      <c r="C28" s="2" t="s">
        <v>714</v>
      </c>
      <c r="D28" s="2" t="s">
        <v>715</v>
      </c>
      <c r="E28" s="2" t="s">
        <v>132</v>
      </c>
      <c r="F28" s="2" t="s">
        <v>716</v>
      </c>
      <c r="G28" s="2" t="s">
        <v>49</v>
      </c>
      <c r="H28" s="2"/>
      <c r="I28" s="2" t="s">
        <v>52</v>
      </c>
      <c r="J28" s="2"/>
      <c r="K28" s="2"/>
      <c r="L28" s="2"/>
      <c r="M28" s="2"/>
      <c r="N28" s="2"/>
      <c r="O28" s="2"/>
      <c r="P28" s="2" t="s">
        <v>59</v>
      </c>
      <c r="Q28" s="2" t="s">
        <v>52</v>
      </c>
      <c r="R28" s="2"/>
      <c r="S28" s="2"/>
      <c r="T28" s="2" t="s">
        <v>53</v>
      </c>
      <c r="U28" s="2" t="s">
        <v>717</v>
      </c>
      <c r="V28" s="2" t="s">
        <v>52</v>
      </c>
      <c r="W28" s="2"/>
      <c r="X28" s="2" t="s">
        <v>53</v>
      </c>
      <c r="Y28" s="2" t="s">
        <v>718</v>
      </c>
      <c r="Z28" s="2"/>
      <c r="AA28" s="2"/>
      <c r="AB28" s="2"/>
      <c r="AC28" s="2"/>
      <c r="AD28" s="2"/>
    </row>
    <row r="29" spans="1:30" ht="409.5" x14ac:dyDescent="0.25">
      <c r="A29" s="2" t="s">
        <v>133</v>
      </c>
      <c r="B29" s="2" t="s">
        <v>55</v>
      </c>
      <c r="C29" s="2" t="s">
        <v>719</v>
      </c>
      <c r="D29" s="2" t="s">
        <v>548</v>
      </c>
      <c r="E29" s="2" t="s">
        <v>98</v>
      </c>
      <c r="F29" s="2" t="s">
        <v>720</v>
      </c>
      <c r="G29" s="2" t="s">
        <v>53</v>
      </c>
      <c r="H29" s="2" t="s">
        <v>556</v>
      </c>
      <c r="I29" s="2" t="s">
        <v>52</v>
      </c>
      <c r="J29" s="2" t="s">
        <v>721</v>
      </c>
      <c r="K29" s="2"/>
      <c r="L29" s="2" t="s">
        <v>51</v>
      </c>
      <c r="M29" s="2"/>
      <c r="N29" s="2"/>
      <c r="O29" s="2" t="s">
        <v>722</v>
      </c>
      <c r="P29" s="2" t="s">
        <v>53</v>
      </c>
      <c r="Q29" s="2" t="s">
        <v>49</v>
      </c>
      <c r="R29" s="2"/>
      <c r="S29" s="2"/>
      <c r="T29" s="2" t="s">
        <v>576</v>
      </c>
      <c r="U29" s="2"/>
      <c r="V29" s="2" t="s">
        <v>53</v>
      </c>
      <c r="W29" s="2" t="s">
        <v>561</v>
      </c>
      <c r="X29" s="2" t="s">
        <v>59</v>
      </c>
      <c r="Y29" s="2"/>
      <c r="Z29" s="2"/>
      <c r="AA29" s="2"/>
      <c r="AB29" s="2"/>
      <c r="AC29" s="2" t="s">
        <v>58</v>
      </c>
      <c r="AD29" s="2" t="s">
        <v>563</v>
      </c>
    </row>
    <row r="30" spans="1:30" ht="195" x14ac:dyDescent="0.25">
      <c r="A30" s="2" t="s">
        <v>134</v>
      </c>
      <c r="B30" s="2" t="s">
        <v>135</v>
      </c>
      <c r="C30" s="2" t="s">
        <v>723</v>
      </c>
      <c r="D30" s="2" t="s">
        <v>724</v>
      </c>
      <c r="E30" s="2" t="s">
        <v>136</v>
      </c>
      <c r="F30" s="2" t="s">
        <v>725</v>
      </c>
      <c r="G30" s="2" t="s">
        <v>53</v>
      </c>
      <c r="H30" s="2" t="s">
        <v>726</v>
      </c>
      <c r="I30" s="2" t="s">
        <v>53</v>
      </c>
      <c r="J30" s="2" t="s">
        <v>727</v>
      </c>
      <c r="K30" s="2" t="s">
        <v>726</v>
      </c>
      <c r="L30" s="2" t="s">
        <v>51</v>
      </c>
      <c r="M30" s="2"/>
      <c r="N30" s="2"/>
      <c r="O30" s="2"/>
      <c r="P30" s="2" t="s">
        <v>50</v>
      </c>
      <c r="Q30" s="2" t="s">
        <v>50</v>
      </c>
      <c r="R30" s="2"/>
      <c r="S30" s="2"/>
      <c r="T30" s="2" t="s">
        <v>576</v>
      </c>
      <c r="U30" s="2"/>
      <c r="V30" s="2" t="s">
        <v>50</v>
      </c>
      <c r="W30" s="2"/>
      <c r="X30" s="2" t="s">
        <v>53</v>
      </c>
      <c r="Y30" s="2" t="s">
        <v>728</v>
      </c>
      <c r="Z30" s="2"/>
      <c r="AA30" s="2"/>
      <c r="AB30" s="2"/>
      <c r="AC30" s="2" t="s">
        <v>64</v>
      </c>
      <c r="AD30" s="2"/>
    </row>
    <row r="31" spans="1:30" ht="120" x14ac:dyDescent="0.25">
      <c r="A31" s="2" t="s">
        <v>138</v>
      </c>
      <c r="B31" s="2" t="s">
        <v>139</v>
      </c>
      <c r="C31" s="2" t="s">
        <v>729</v>
      </c>
      <c r="D31" s="2"/>
      <c r="E31" s="2" t="s">
        <v>140</v>
      </c>
      <c r="F31" s="2" t="s">
        <v>730</v>
      </c>
      <c r="G31" s="2" t="s">
        <v>53</v>
      </c>
      <c r="H31" s="2" t="s">
        <v>731</v>
      </c>
      <c r="I31" s="2" t="s">
        <v>59</v>
      </c>
      <c r="J31" s="2" t="s">
        <v>732</v>
      </c>
      <c r="K31" s="2"/>
      <c r="L31" s="2" t="s">
        <v>8</v>
      </c>
      <c r="M31" s="2"/>
      <c r="N31" s="2"/>
      <c r="O31" s="2"/>
      <c r="P31" s="2" t="s">
        <v>59</v>
      </c>
      <c r="Q31" s="2" t="s">
        <v>52</v>
      </c>
      <c r="R31" s="2"/>
      <c r="S31" s="2"/>
      <c r="T31" s="2" t="s">
        <v>576</v>
      </c>
      <c r="U31" s="2"/>
      <c r="V31" s="2" t="s">
        <v>59</v>
      </c>
      <c r="W31" s="2"/>
      <c r="X31" s="2" t="s">
        <v>53</v>
      </c>
      <c r="Y31" s="2" t="s">
        <v>733</v>
      </c>
      <c r="Z31" s="2" t="s">
        <v>698</v>
      </c>
      <c r="AA31" s="2"/>
      <c r="AB31" s="2"/>
      <c r="AC31" s="2" t="s">
        <v>64</v>
      </c>
      <c r="AD31" s="2"/>
    </row>
    <row r="32" spans="1:30" ht="90" x14ac:dyDescent="0.25">
      <c r="A32" s="2" t="s">
        <v>141</v>
      </c>
      <c r="B32" s="2" t="s">
        <v>141</v>
      </c>
      <c r="C32" s="2" t="s">
        <v>734</v>
      </c>
      <c r="D32" s="2" t="s">
        <v>724</v>
      </c>
      <c r="E32" s="2" t="s">
        <v>142</v>
      </c>
      <c r="F32" s="2" t="s">
        <v>735</v>
      </c>
      <c r="G32" s="2" t="s">
        <v>53</v>
      </c>
      <c r="H32" s="2" t="s">
        <v>736</v>
      </c>
      <c r="I32" s="2" t="s">
        <v>53</v>
      </c>
      <c r="J32" s="2" t="s">
        <v>737</v>
      </c>
      <c r="K32" s="2" t="s">
        <v>736</v>
      </c>
      <c r="L32" s="2" t="s">
        <v>51</v>
      </c>
      <c r="M32" s="2"/>
      <c r="N32" s="2"/>
      <c r="O32" s="2"/>
      <c r="P32" s="2" t="s">
        <v>53</v>
      </c>
      <c r="Q32" s="2" t="s">
        <v>49</v>
      </c>
      <c r="R32" s="2"/>
      <c r="S32" s="2"/>
      <c r="T32" s="2" t="s">
        <v>53</v>
      </c>
      <c r="U32" s="2" t="s">
        <v>738</v>
      </c>
      <c r="V32" s="2" t="s">
        <v>53</v>
      </c>
      <c r="W32" s="2" t="s">
        <v>739</v>
      </c>
      <c r="X32" s="2" t="s">
        <v>53</v>
      </c>
      <c r="Y32" s="2" t="s">
        <v>740</v>
      </c>
      <c r="Z32" s="2"/>
      <c r="AA32" s="2"/>
      <c r="AB32" s="2"/>
      <c r="AC32" s="2" t="s">
        <v>58</v>
      </c>
      <c r="AD32" s="2" t="s">
        <v>741</v>
      </c>
    </row>
    <row r="33" spans="1:30" ht="60" x14ac:dyDescent="0.25">
      <c r="A33" s="2" t="s">
        <v>143</v>
      </c>
      <c r="B33" s="2" t="s">
        <v>144</v>
      </c>
      <c r="C33" s="2" t="s">
        <v>742</v>
      </c>
      <c r="D33" s="2" t="s">
        <v>743</v>
      </c>
      <c r="E33" s="2" t="s">
        <v>67</v>
      </c>
      <c r="F33" s="2" t="s">
        <v>744</v>
      </c>
      <c r="G33" s="2" t="s">
        <v>53</v>
      </c>
      <c r="H33" s="2" t="s">
        <v>745</v>
      </c>
      <c r="I33" s="2" t="s">
        <v>59</v>
      </c>
      <c r="J33" s="2" t="s">
        <v>746</v>
      </c>
      <c r="K33" s="2"/>
      <c r="L33" s="2" t="s">
        <v>51</v>
      </c>
      <c r="M33" s="2"/>
      <c r="N33" s="2"/>
      <c r="O33" s="2"/>
      <c r="P33" s="2" t="s">
        <v>59</v>
      </c>
      <c r="Q33" s="2" t="s">
        <v>49</v>
      </c>
      <c r="R33" s="2"/>
      <c r="S33" s="2"/>
      <c r="T33" s="2" t="s">
        <v>576</v>
      </c>
      <c r="U33" s="2"/>
      <c r="V33" s="2" t="s">
        <v>53</v>
      </c>
      <c r="W33" s="2" t="s">
        <v>747</v>
      </c>
      <c r="X33" s="2" t="s">
        <v>59</v>
      </c>
      <c r="Y33" s="2"/>
      <c r="Z33" s="2" t="s">
        <v>577</v>
      </c>
      <c r="AA33" s="2"/>
      <c r="AB33" s="2"/>
      <c r="AC33" s="2" t="s">
        <v>64</v>
      </c>
      <c r="AD33" s="2"/>
    </row>
    <row r="34" spans="1:30" ht="360" x14ac:dyDescent="0.25">
      <c r="A34" s="2" t="s">
        <v>145</v>
      </c>
      <c r="B34" s="2" t="s">
        <v>146</v>
      </c>
      <c r="C34" s="2" t="s">
        <v>748</v>
      </c>
      <c r="D34" s="2" t="s">
        <v>548</v>
      </c>
      <c r="E34" s="2" t="s">
        <v>147</v>
      </c>
      <c r="F34" s="2" t="s">
        <v>749</v>
      </c>
      <c r="G34" s="2" t="s">
        <v>53</v>
      </c>
      <c r="H34" s="2" t="s">
        <v>750</v>
      </c>
      <c r="I34" s="2" t="s">
        <v>50</v>
      </c>
      <c r="J34" s="2" t="s">
        <v>751</v>
      </c>
      <c r="K34" s="2"/>
      <c r="L34" s="2" t="s">
        <v>8</v>
      </c>
      <c r="M34" s="2"/>
      <c r="N34" s="2"/>
      <c r="O34" s="2"/>
      <c r="P34" s="2" t="s">
        <v>50</v>
      </c>
      <c r="Q34" s="2" t="s">
        <v>49</v>
      </c>
      <c r="R34" s="2"/>
      <c r="S34" s="2"/>
      <c r="T34" s="2" t="s">
        <v>576</v>
      </c>
      <c r="U34" s="2"/>
      <c r="V34" s="2" t="s">
        <v>53</v>
      </c>
      <c r="W34" s="2" t="s">
        <v>752</v>
      </c>
      <c r="X34" s="2" t="s">
        <v>53</v>
      </c>
      <c r="Y34" s="2" t="s">
        <v>753</v>
      </c>
      <c r="Z34" s="2"/>
      <c r="AA34" s="2"/>
      <c r="AB34" s="2"/>
      <c r="AC34" s="2" t="s">
        <v>64</v>
      </c>
      <c r="AD34" s="2"/>
    </row>
    <row r="35" spans="1:30" ht="60" x14ac:dyDescent="0.25">
      <c r="A35" s="2" t="s">
        <v>148</v>
      </c>
      <c r="B35" s="2" t="s">
        <v>149</v>
      </c>
      <c r="C35" s="2" t="s">
        <v>754</v>
      </c>
      <c r="D35" s="2" t="s">
        <v>755</v>
      </c>
      <c r="E35" s="2" t="s">
        <v>150</v>
      </c>
      <c r="F35" s="2" t="s">
        <v>754</v>
      </c>
      <c r="G35" s="2" t="s">
        <v>53</v>
      </c>
      <c r="H35" s="2" t="s">
        <v>756</v>
      </c>
      <c r="I35" s="2" t="s">
        <v>59</v>
      </c>
      <c r="J35" s="2"/>
      <c r="K35" s="2"/>
      <c r="L35" s="2" t="s">
        <v>51</v>
      </c>
      <c r="M35" s="2"/>
      <c r="N35" s="2"/>
      <c r="O35" s="2" t="s">
        <v>757</v>
      </c>
      <c r="P35" s="2" t="s">
        <v>59</v>
      </c>
      <c r="Q35" s="2" t="s">
        <v>52</v>
      </c>
      <c r="R35" s="2"/>
      <c r="S35" s="2"/>
      <c r="T35" s="2" t="s">
        <v>53</v>
      </c>
      <c r="U35" s="2" t="s">
        <v>758</v>
      </c>
      <c r="V35" s="2" t="s">
        <v>59</v>
      </c>
      <c r="W35" s="2"/>
      <c r="X35" s="2" t="s">
        <v>52</v>
      </c>
      <c r="Y35" s="2"/>
      <c r="Z35" s="2" t="s">
        <v>577</v>
      </c>
      <c r="AA35" s="2"/>
      <c r="AB35" s="2"/>
      <c r="AC35" s="2" t="s">
        <v>8</v>
      </c>
      <c r="AD35" s="2"/>
    </row>
    <row r="36" spans="1:30" ht="75" x14ac:dyDescent="0.25">
      <c r="A36" s="2" t="s">
        <v>151</v>
      </c>
      <c r="B36" s="2" t="s">
        <v>149</v>
      </c>
      <c r="C36" s="2" t="s">
        <v>759</v>
      </c>
      <c r="D36" s="2" t="s">
        <v>755</v>
      </c>
      <c r="E36" s="2" t="s">
        <v>152</v>
      </c>
      <c r="F36" s="2" t="s">
        <v>759</v>
      </c>
      <c r="G36" s="2" t="s">
        <v>53</v>
      </c>
      <c r="H36" s="2" t="s">
        <v>756</v>
      </c>
      <c r="I36" s="2" t="s">
        <v>59</v>
      </c>
      <c r="J36" s="2"/>
      <c r="K36" s="2"/>
      <c r="L36" s="2" t="s">
        <v>51</v>
      </c>
      <c r="M36" s="2"/>
      <c r="N36" s="2"/>
      <c r="O36" s="2" t="s">
        <v>757</v>
      </c>
      <c r="P36" s="2" t="s">
        <v>59</v>
      </c>
      <c r="Q36" s="2" t="s">
        <v>52</v>
      </c>
      <c r="R36" s="2"/>
      <c r="S36" s="2"/>
      <c r="T36" s="2" t="s">
        <v>53</v>
      </c>
      <c r="U36" s="2" t="s">
        <v>758</v>
      </c>
      <c r="V36" s="2" t="s">
        <v>59</v>
      </c>
      <c r="W36" s="2"/>
      <c r="X36" s="2" t="s">
        <v>52</v>
      </c>
      <c r="Y36" s="2"/>
      <c r="Z36" s="2" t="s">
        <v>577</v>
      </c>
      <c r="AA36" s="2"/>
      <c r="AB36" s="2"/>
      <c r="AC36" s="2" t="s">
        <v>8</v>
      </c>
      <c r="AD36" s="2"/>
    </row>
    <row r="37" spans="1:30" ht="30" x14ac:dyDescent="0.25">
      <c r="A37" s="2" t="s">
        <v>153</v>
      </c>
      <c r="B37" s="2" t="s">
        <v>154</v>
      </c>
      <c r="C37" s="2" t="s">
        <v>760</v>
      </c>
      <c r="D37" s="2" t="s">
        <v>548</v>
      </c>
      <c r="E37" s="2" t="s">
        <v>67</v>
      </c>
      <c r="F37" s="2" t="s">
        <v>761</v>
      </c>
      <c r="G37" s="2" t="s">
        <v>59</v>
      </c>
      <c r="H37" s="2"/>
      <c r="I37" s="2" t="s">
        <v>59</v>
      </c>
      <c r="J37" s="2" t="s">
        <v>762</v>
      </c>
      <c r="K37" s="2"/>
      <c r="L37" s="2" t="s">
        <v>8</v>
      </c>
      <c r="M37" s="2"/>
      <c r="N37" s="2"/>
      <c r="O37" s="2"/>
      <c r="P37" s="2" t="s">
        <v>59</v>
      </c>
      <c r="Q37" s="2" t="s">
        <v>53</v>
      </c>
      <c r="R37" s="2"/>
      <c r="S37" s="2" t="s">
        <v>575</v>
      </c>
      <c r="T37" s="2" t="s">
        <v>576</v>
      </c>
      <c r="U37" s="2"/>
      <c r="V37" s="2" t="s">
        <v>59</v>
      </c>
      <c r="W37" s="2"/>
      <c r="X37" s="2" t="s">
        <v>53</v>
      </c>
      <c r="Y37" s="2" t="s">
        <v>763</v>
      </c>
      <c r="Z37" s="2"/>
      <c r="AA37" s="2"/>
      <c r="AB37" s="2"/>
      <c r="AC37" s="2" t="s">
        <v>8</v>
      </c>
      <c r="AD37" s="2"/>
    </row>
    <row r="38" spans="1:30" ht="240" x14ac:dyDescent="0.25">
      <c r="A38" s="2" t="s">
        <v>155</v>
      </c>
      <c r="B38" s="2" t="s">
        <v>156</v>
      </c>
      <c r="C38" s="2" t="s">
        <v>764</v>
      </c>
      <c r="D38" s="2" t="s">
        <v>765</v>
      </c>
      <c r="E38" s="2" t="s">
        <v>157</v>
      </c>
      <c r="F38" s="2" t="s">
        <v>766</v>
      </c>
      <c r="G38" s="2" t="s">
        <v>53</v>
      </c>
      <c r="H38" s="2" t="s">
        <v>767</v>
      </c>
      <c r="I38" s="2" t="s">
        <v>53</v>
      </c>
      <c r="J38" s="2" t="s">
        <v>768</v>
      </c>
      <c r="K38" s="2" t="s">
        <v>767</v>
      </c>
      <c r="L38" s="2" t="s">
        <v>158</v>
      </c>
      <c r="M38" s="2" t="s">
        <v>159</v>
      </c>
      <c r="N38" s="2"/>
      <c r="O38" s="2"/>
      <c r="P38" s="2" t="s">
        <v>53</v>
      </c>
      <c r="Q38" s="2" t="s">
        <v>53</v>
      </c>
      <c r="R38" s="2"/>
      <c r="S38" s="2" t="s">
        <v>617</v>
      </c>
      <c r="T38" s="2" t="s">
        <v>53</v>
      </c>
      <c r="U38" s="2" t="s">
        <v>769</v>
      </c>
      <c r="V38" s="2" t="s">
        <v>53</v>
      </c>
      <c r="W38" s="2" t="s">
        <v>770</v>
      </c>
      <c r="X38" s="2" t="s">
        <v>53</v>
      </c>
      <c r="Y38" s="2" t="s">
        <v>771</v>
      </c>
      <c r="Z38" s="2" t="s">
        <v>772</v>
      </c>
      <c r="AA38" s="2"/>
      <c r="AB38" s="2"/>
      <c r="AC38" s="2" t="s">
        <v>58</v>
      </c>
      <c r="AD38" s="2" t="s">
        <v>767</v>
      </c>
    </row>
    <row r="39" spans="1:30" ht="90" x14ac:dyDescent="0.25">
      <c r="A39" s="2" t="s">
        <v>160</v>
      </c>
      <c r="B39" s="2" t="s">
        <v>160</v>
      </c>
      <c r="C39" s="2" t="s">
        <v>773</v>
      </c>
      <c r="D39" s="2"/>
      <c r="E39" s="2" t="s">
        <v>161</v>
      </c>
      <c r="F39" s="2" t="s">
        <v>774</v>
      </c>
      <c r="G39" s="2" t="s">
        <v>50</v>
      </c>
      <c r="H39" s="2"/>
      <c r="I39" s="2" t="s">
        <v>50</v>
      </c>
      <c r="J39" s="2" t="s">
        <v>775</v>
      </c>
      <c r="K39" s="2"/>
      <c r="L39" s="2"/>
      <c r="M39" s="2"/>
      <c r="N39" s="2"/>
      <c r="O39" s="2"/>
      <c r="P39" s="2" t="s">
        <v>50</v>
      </c>
      <c r="Q39" s="2" t="s">
        <v>53</v>
      </c>
      <c r="R39" s="2" t="s">
        <v>776</v>
      </c>
      <c r="S39" s="2"/>
      <c r="T39" s="2" t="s">
        <v>576</v>
      </c>
      <c r="U39" s="2"/>
      <c r="V39" s="2" t="s">
        <v>50</v>
      </c>
      <c r="W39" s="2"/>
      <c r="X39" s="2" t="s">
        <v>74</v>
      </c>
      <c r="Y39" s="2"/>
      <c r="Z39" s="2"/>
      <c r="AA39" s="2"/>
      <c r="AB39" s="2"/>
      <c r="AC39" s="2" t="s">
        <v>8</v>
      </c>
      <c r="AD39" s="2"/>
    </row>
    <row r="40" spans="1:30" ht="285" x14ac:dyDescent="0.25">
      <c r="A40" s="2" t="s">
        <v>163</v>
      </c>
      <c r="B40" s="2" t="s">
        <v>163</v>
      </c>
      <c r="C40" s="2" t="s">
        <v>777</v>
      </c>
      <c r="D40" s="2" t="s">
        <v>548</v>
      </c>
      <c r="E40" s="2" t="s">
        <v>63</v>
      </c>
      <c r="F40" s="2" t="s">
        <v>778</v>
      </c>
      <c r="G40" s="2" t="s">
        <v>53</v>
      </c>
      <c r="H40" s="2" t="s">
        <v>779</v>
      </c>
      <c r="I40" s="2" t="s">
        <v>53</v>
      </c>
      <c r="J40" s="2" t="s">
        <v>780</v>
      </c>
      <c r="K40" s="2" t="s">
        <v>781</v>
      </c>
      <c r="L40" s="2" t="s">
        <v>114</v>
      </c>
      <c r="M40" s="2"/>
      <c r="N40" s="2"/>
      <c r="O40" s="2"/>
      <c r="P40" s="2" t="s">
        <v>53</v>
      </c>
      <c r="Q40" s="2" t="s">
        <v>53</v>
      </c>
      <c r="R40" s="2"/>
      <c r="S40" s="2" t="s">
        <v>617</v>
      </c>
      <c r="T40" s="2" t="s">
        <v>53</v>
      </c>
      <c r="U40" s="2" t="s">
        <v>782</v>
      </c>
      <c r="V40" s="2" t="s">
        <v>49</v>
      </c>
      <c r="W40" s="2"/>
      <c r="X40" s="2" t="s">
        <v>53</v>
      </c>
      <c r="Y40" s="2" t="s">
        <v>783</v>
      </c>
      <c r="Z40" s="2"/>
      <c r="AA40" s="2"/>
      <c r="AB40" s="2"/>
      <c r="AC40" s="2" t="s">
        <v>58</v>
      </c>
      <c r="AD40" s="2" t="s">
        <v>784</v>
      </c>
    </row>
    <row r="41" spans="1:30" ht="240" x14ac:dyDescent="0.25">
      <c r="A41" s="2" t="s">
        <v>164</v>
      </c>
      <c r="B41" s="2" t="s">
        <v>165</v>
      </c>
      <c r="C41" s="2" t="s">
        <v>785</v>
      </c>
      <c r="D41" s="2" t="s">
        <v>548</v>
      </c>
      <c r="E41" s="2" t="s">
        <v>147</v>
      </c>
      <c r="F41" s="2" t="s">
        <v>786</v>
      </c>
      <c r="G41" s="2" t="s">
        <v>53</v>
      </c>
      <c r="H41" s="2" t="s">
        <v>787</v>
      </c>
      <c r="I41" s="2" t="s">
        <v>53</v>
      </c>
      <c r="J41" s="2" t="s">
        <v>788</v>
      </c>
      <c r="K41" s="2" t="s">
        <v>789</v>
      </c>
      <c r="L41" s="2" t="s">
        <v>51</v>
      </c>
      <c r="M41" s="2"/>
      <c r="N41" s="2"/>
      <c r="O41" s="2"/>
      <c r="P41" s="2" t="s">
        <v>53</v>
      </c>
      <c r="Q41" s="2" t="s">
        <v>53</v>
      </c>
      <c r="R41" s="2" t="s">
        <v>790</v>
      </c>
      <c r="S41" s="2" t="s">
        <v>575</v>
      </c>
      <c r="T41" s="2" t="s">
        <v>53</v>
      </c>
      <c r="U41" s="2" t="s">
        <v>791</v>
      </c>
      <c r="V41" s="2" t="s">
        <v>53</v>
      </c>
      <c r="W41" s="2" t="s">
        <v>792</v>
      </c>
      <c r="X41" s="2" t="s">
        <v>53</v>
      </c>
      <c r="Y41" s="2" t="s">
        <v>793</v>
      </c>
      <c r="Z41" s="2" t="s">
        <v>562</v>
      </c>
      <c r="AA41" s="2"/>
      <c r="AB41" s="2"/>
      <c r="AC41" s="2" t="s">
        <v>58</v>
      </c>
      <c r="AD41" s="2" t="s">
        <v>794</v>
      </c>
    </row>
    <row r="42" spans="1:30" ht="60" x14ac:dyDescent="0.25">
      <c r="A42" s="2" t="s">
        <v>166</v>
      </c>
      <c r="B42" s="2" t="s">
        <v>165</v>
      </c>
      <c r="C42" s="2" t="s">
        <v>795</v>
      </c>
      <c r="D42" s="2" t="s">
        <v>548</v>
      </c>
      <c r="E42" s="2" t="s">
        <v>167</v>
      </c>
      <c r="F42" s="2" t="s">
        <v>796</v>
      </c>
      <c r="G42" s="2" t="s">
        <v>50</v>
      </c>
      <c r="H42" s="2"/>
      <c r="I42" s="2" t="s">
        <v>59</v>
      </c>
      <c r="J42" s="2"/>
      <c r="K42" s="2"/>
      <c r="L42" s="2" t="s">
        <v>8</v>
      </c>
      <c r="M42" s="2"/>
      <c r="N42" s="2"/>
      <c r="O42" s="2" t="s">
        <v>797</v>
      </c>
      <c r="P42" s="2" t="s">
        <v>59</v>
      </c>
      <c r="Q42" s="2" t="s">
        <v>50</v>
      </c>
      <c r="R42" s="2"/>
      <c r="S42" s="2"/>
      <c r="T42" s="2" t="s">
        <v>59</v>
      </c>
      <c r="U42" s="2"/>
      <c r="V42" s="2" t="s">
        <v>50</v>
      </c>
      <c r="W42" s="2"/>
      <c r="X42" s="2" t="s">
        <v>50</v>
      </c>
      <c r="Y42" s="2"/>
      <c r="Z42" s="2"/>
      <c r="AA42" s="2"/>
      <c r="AB42" s="2"/>
      <c r="AC42" s="2"/>
      <c r="AD42" s="2"/>
    </row>
    <row r="43" spans="1:30" ht="409.5" x14ac:dyDescent="0.25">
      <c r="A43" s="2" t="s">
        <v>169</v>
      </c>
      <c r="B43" s="2" t="s">
        <v>170</v>
      </c>
      <c r="C43" s="2" t="s">
        <v>798</v>
      </c>
      <c r="D43" s="2" t="s">
        <v>799</v>
      </c>
      <c r="E43" s="2" t="s">
        <v>171</v>
      </c>
      <c r="F43" s="2" t="s">
        <v>800</v>
      </c>
      <c r="G43" s="2" t="s">
        <v>53</v>
      </c>
      <c r="H43" s="2" t="s">
        <v>801</v>
      </c>
      <c r="I43" s="2" t="s">
        <v>52</v>
      </c>
      <c r="J43" s="2"/>
      <c r="K43" s="2"/>
      <c r="L43" s="2" t="s">
        <v>57</v>
      </c>
      <c r="M43" s="2"/>
      <c r="N43" s="2"/>
      <c r="O43" s="2" t="s">
        <v>802</v>
      </c>
      <c r="P43" s="2" t="s">
        <v>53</v>
      </c>
      <c r="Q43" s="2" t="s">
        <v>49</v>
      </c>
      <c r="R43" s="2"/>
      <c r="S43" s="2"/>
      <c r="T43" s="2" t="s">
        <v>576</v>
      </c>
      <c r="U43" s="2"/>
      <c r="V43" s="2" t="s">
        <v>52</v>
      </c>
      <c r="W43" s="2"/>
      <c r="X43" s="2" t="s">
        <v>53</v>
      </c>
      <c r="Y43" s="2" t="s">
        <v>803</v>
      </c>
      <c r="Z43" s="2" t="s">
        <v>577</v>
      </c>
      <c r="AA43" s="2"/>
      <c r="AB43" s="2"/>
      <c r="AC43" s="2" t="s">
        <v>64</v>
      </c>
      <c r="AD43" s="2" t="s">
        <v>804</v>
      </c>
    </row>
    <row r="44" spans="1:30" ht="30" x14ac:dyDescent="0.25">
      <c r="A44" s="2" t="s">
        <v>172</v>
      </c>
      <c r="B44" s="2" t="s">
        <v>173</v>
      </c>
      <c r="C44" s="2" t="s">
        <v>805</v>
      </c>
      <c r="D44" s="2" t="s">
        <v>682</v>
      </c>
      <c r="E44" s="2" t="s">
        <v>147</v>
      </c>
      <c r="F44" s="2" t="s">
        <v>806</v>
      </c>
      <c r="G44" s="2" t="s">
        <v>49</v>
      </c>
      <c r="H44" s="2"/>
      <c r="I44" s="2" t="s">
        <v>49</v>
      </c>
      <c r="J44" s="2"/>
      <c r="K44" s="2"/>
      <c r="L44" s="2"/>
      <c r="M44" s="2"/>
      <c r="N44" s="2"/>
      <c r="O44" s="2" t="s">
        <v>50</v>
      </c>
      <c r="P44" s="2" t="s">
        <v>50</v>
      </c>
      <c r="Q44" s="2" t="s">
        <v>49</v>
      </c>
      <c r="R44" s="2"/>
      <c r="S44" s="2"/>
      <c r="T44" s="2" t="s">
        <v>576</v>
      </c>
      <c r="U44" s="2"/>
      <c r="V44" s="2" t="s">
        <v>50</v>
      </c>
      <c r="W44" s="2"/>
      <c r="X44" s="2" t="s">
        <v>50</v>
      </c>
      <c r="Y44" s="2"/>
      <c r="Z44" s="2"/>
      <c r="AA44" s="2"/>
      <c r="AB44" s="2"/>
      <c r="AC44" s="2"/>
      <c r="AD44" s="2"/>
    </row>
    <row r="45" spans="1:30" ht="405" x14ac:dyDescent="0.25">
      <c r="A45" s="2" t="s">
        <v>175</v>
      </c>
      <c r="B45" s="2" t="s">
        <v>175</v>
      </c>
      <c r="C45" s="2" t="s">
        <v>807</v>
      </c>
      <c r="D45" s="2" t="s">
        <v>589</v>
      </c>
      <c r="E45" s="2" t="s">
        <v>176</v>
      </c>
      <c r="F45" s="2" t="s">
        <v>808</v>
      </c>
      <c r="G45" s="2" t="s">
        <v>53</v>
      </c>
      <c r="H45" s="2" t="s">
        <v>809</v>
      </c>
      <c r="I45" s="2" t="s">
        <v>53</v>
      </c>
      <c r="J45" s="2" t="s">
        <v>810</v>
      </c>
      <c r="K45" s="2" t="s">
        <v>811</v>
      </c>
      <c r="L45" s="2" t="s">
        <v>57</v>
      </c>
      <c r="M45" s="2"/>
      <c r="N45" s="2"/>
      <c r="O45" s="2"/>
      <c r="P45" s="2" t="s">
        <v>53</v>
      </c>
      <c r="Q45" s="2" t="s">
        <v>53</v>
      </c>
      <c r="R45" s="2" t="s">
        <v>812</v>
      </c>
      <c r="S45" s="2" t="s">
        <v>617</v>
      </c>
      <c r="T45" s="2" t="s">
        <v>576</v>
      </c>
      <c r="U45" s="2"/>
      <c r="V45" s="2" t="s">
        <v>53</v>
      </c>
      <c r="W45" s="2" t="s">
        <v>813</v>
      </c>
      <c r="X45" s="2" t="s">
        <v>53</v>
      </c>
      <c r="Y45" s="2" t="s">
        <v>814</v>
      </c>
      <c r="Z45" s="2"/>
      <c r="AA45" s="2"/>
      <c r="AB45" s="2"/>
      <c r="AC45" s="2" t="s">
        <v>58</v>
      </c>
      <c r="AD45" s="2" t="s">
        <v>809</v>
      </c>
    </row>
    <row r="46" spans="1:30" ht="315" x14ac:dyDescent="0.25">
      <c r="A46" s="2" t="s">
        <v>177</v>
      </c>
      <c r="B46" s="2" t="s">
        <v>178</v>
      </c>
      <c r="C46" s="2" t="s">
        <v>815</v>
      </c>
      <c r="D46" s="2" t="s">
        <v>682</v>
      </c>
      <c r="E46" s="2" t="s">
        <v>179</v>
      </c>
      <c r="F46" s="2" t="s">
        <v>816</v>
      </c>
      <c r="G46" s="2" t="s">
        <v>53</v>
      </c>
      <c r="H46" s="2" t="s">
        <v>817</v>
      </c>
      <c r="I46" s="2" t="s">
        <v>53</v>
      </c>
      <c r="J46" s="2" t="s">
        <v>818</v>
      </c>
      <c r="K46" s="2" t="s">
        <v>817</v>
      </c>
      <c r="L46" s="2" t="s">
        <v>51</v>
      </c>
      <c r="M46" s="2"/>
      <c r="N46" s="2"/>
      <c r="O46" s="2"/>
      <c r="P46" s="2" t="s">
        <v>53</v>
      </c>
      <c r="Q46" s="2" t="s">
        <v>53</v>
      </c>
      <c r="R46" s="2" t="s">
        <v>819</v>
      </c>
      <c r="S46" s="2" t="s">
        <v>617</v>
      </c>
      <c r="T46" s="2" t="s">
        <v>576</v>
      </c>
      <c r="U46" s="2"/>
      <c r="V46" s="2" t="s">
        <v>53</v>
      </c>
      <c r="W46" s="2" t="s">
        <v>820</v>
      </c>
      <c r="X46" s="2" t="s">
        <v>53</v>
      </c>
      <c r="Y46" s="2" t="s">
        <v>821</v>
      </c>
      <c r="Z46" s="2"/>
      <c r="AA46" s="2"/>
      <c r="AB46" s="2"/>
      <c r="AC46" s="2" t="s">
        <v>58</v>
      </c>
      <c r="AD46" s="2" t="s">
        <v>817</v>
      </c>
    </row>
    <row r="47" spans="1:30" ht="60" x14ac:dyDescent="0.25">
      <c r="A47" s="2" t="s">
        <v>180</v>
      </c>
      <c r="B47" s="2" t="s">
        <v>181</v>
      </c>
      <c r="C47" s="2" t="s">
        <v>822</v>
      </c>
      <c r="D47" s="2" t="s">
        <v>743</v>
      </c>
      <c r="E47" s="2" t="s">
        <v>67</v>
      </c>
      <c r="F47" s="2"/>
      <c r="G47" s="2" t="s">
        <v>49</v>
      </c>
      <c r="H47" s="2"/>
      <c r="I47" s="2" t="s">
        <v>59</v>
      </c>
      <c r="J47" s="2" t="s">
        <v>823</v>
      </c>
      <c r="K47" s="2"/>
      <c r="L47" s="2" t="s">
        <v>8</v>
      </c>
      <c r="M47" s="2"/>
      <c r="N47" s="2" t="s">
        <v>23</v>
      </c>
      <c r="O47" s="2"/>
      <c r="P47" s="2" t="s">
        <v>59</v>
      </c>
      <c r="Q47" s="2" t="s">
        <v>49</v>
      </c>
      <c r="R47" s="2"/>
      <c r="S47" s="2"/>
      <c r="T47" s="2" t="s">
        <v>53</v>
      </c>
      <c r="U47" s="2" t="s">
        <v>824</v>
      </c>
      <c r="V47" s="2" t="s">
        <v>52</v>
      </c>
      <c r="W47" s="2"/>
      <c r="X47" s="2" t="s">
        <v>53</v>
      </c>
      <c r="Y47" s="2" t="s">
        <v>825</v>
      </c>
      <c r="Z47" s="2" t="s">
        <v>577</v>
      </c>
      <c r="AA47" s="2"/>
      <c r="AB47" s="2"/>
      <c r="AC47" s="2" t="s">
        <v>64</v>
      </c>
      <c r="AD47" s="2"/>
    </row>
    <row r="48" spans="1:30" ht="300" x14ac:dyDescent="0.25">
      <c r="A48" s="2" t="s">
        <v>182</v>
      </c>
      <c r="B48" s="2" t="s">
        <v>165</v>
      </c>
      <c r="C48" s="2" t="s">
        <v>826</v>
      </c>
      <c r="D48" s="2" t="s">
        <v>548</v>
      </c>
      <c r="E48" s="2" t="s">
        <v>147</v>
      </c>
      <c r="F48" s="2" t="s">
        <v>827</v>
      </c>
      <c r="G48" s="2" t="s">
        <v>53</v>
      </c>
      <c r="H48" s="2" t="s">
        <v>828</v>
      </c>
      <c r="I48" s="2" t="s">
        <v>53</v>
      </c>
      <c r="J48" s="2" t="s">
        <v>829</v>
      </c>
      <c r="K48" s="2" t="s">
        <v>830</v>
      </c>
      <c r="L48" s="2" t="s">
        <v>51</v>
      </c>
      <c r="M48" s="2"/>
      <c r="N48" s="2" t="s">
        <v>114</v>
      </c>
      <c r="O48" s="2" t="s">
        <v>831</v>
      </c>
      <c r="P48" s="2" t="s">
        <v>53</v>
      </c>
      <c r="Q48" s="2" t="s">
        <v>52</v>
      </c>
      <c r="R48" s="2"/>
      <c r="S48" s="2" t="s">
        <v>695</v>
      </c>
      <c r="T48" s="2" t="s">
        <v>53</v>
      </c>
      <c r="U48" s="2" t="s">
        <v>832</v>
      </c>
      <c r="V48" s="2" t="s">
        <v>53</v>
      </c>
      <c r="W48" s="2" t="s">
        <v>792</v>
      </c>
      <c r="X48" s="2" t="s">
        <v>53</v>
      </c>
      <c r="Y48" s="2" t="s">
        <v>833</v>
      </c>
      <c r="Z48" s="2" t="s">
        <v>562</v>
      </c>
      <c r="AA48" s="2"/>
      <c r="AB48" s="2"/>
      <c r="AC48" s="2" t="s">
        <v>58</v>
      </c>
      <c r="AD48" s="2" t="s">
        <v>828</v>
      </c>
    </row>
    <row r="49" spans="1:30" ht="135" x14ac:dyDescent="0.25">
      <c r="A49" s="2" t="s">
        <v>183</v>
      </c>
      <c r="B49" s="2" t="s">
        <v>184</v>
      </c>
      <c r="C49" s="2" t="s">
        <v>834</v>
      </c>
      <c r="D49" s="2" t="s">
        <v>682</v>
      </c>
      <c r="E49" s="2" t="s">
        <v>98</v>
      </c>
      <c r="F49" s="2" t="s">
        <v>835</v>
      </c>
      <c r="G49" s="2" t="s">
        <v>53</v>
      </c>
      <c r="H49" s="2" t="s">
        <v>836</v>
      </c>
      <c r="I49" s="2" t="s">
        <v>52</v>
      </c>
      <c r="J49" s="2" t="s">
        <v>837</v>
      </c>
      <c r="K49" s="2"/>
      <c r="L49" s="2" t="s">
        <v>51</v>
      </c>
      <c r="M49" s="2"/>
      <c r="N49" s="2" t="s">
        <v>23</v>
      </c>
      <c r="O49" s="2"/>
      <c r="P49" s="2" t="s">
        <v>50</v>
      </c>
      <c r="Q49" s="2" t="s">
        <v>52</v>
      </c>
      <c r="R49" s="2"/>
      <c r="S49" s="2"/>
      <c r="T49" s="2" t="s">
        <v>576</v>
      </c>
      <c r="U49" s="2"/>
      <c r="V49" s="2" t="s">
        <v>49</v>
      </c>
      <c r="W49" s="2"/>
      <c r="X49" s="2" t="s">
        <v>53</v>
      </c>
      <c r="Y49" s="2" t="s">
        <v>838</v>
      </c>
      <c r="Z49" s="2"/>
      <c r="AA49" s="2"/>
      <c r="AB49" s="2"/>
      <c r="AC49" s="2" t="s">
        <v>58</v>
      </c>
      <c r="AD49" s="2"/>
    </row>
    <row r="50" spans="1:30" ht="409.5" x14ac:dyDescent="0.25">
      <c r="A50" s="2" t="s">
        <v>185</v>
      </c>
      <c r="B50" s="2" t="s">
        <v>186</v>
      </c>
      <c r="C50" s="2" t="s">
        <v>839</v>
      </c>
      <c r="D50" s="2" t="s">
        <v>548</v>
      </c>
      <c r="E50" s="2" t="s">
        <v>187</v>
      </c>
      <c r="F50" s="2" t="s">
        <v>840</v>
      </c>
      <c r="G50" s="2" t="s">
        <v>53</v>
      </c>
      <c r="H50" s="2" t="s">
        <v>841</v>
      </c>
      <c r="I50" s="2" t="s">
        <v>49</v>
      </c>
      <c r="J50" s="2" t="s">
        <v>842</v>
      </c>
      <c r="K50" s="2"/>
      <c r="L50" s="2" t="s">
        <v>114</v>
      </c>
      <c r="M50" s="2"/>
      <c r="N50" s="2"/>
      <c r="O50" s="2"/>
      <c r="P50" s="2" t="s">
        <v>50</v>
      </c>
      <c r="Q50" s="2" t="s">
        <v>53</v>
      </c>
      <c r="R50" s="2" t="s">
        <v>843</v>
      </c>
      <c r="S50" s="2"/>
      <c r="T50" s="2" t="s">
        <v>53</v>
      </c>
      <c r="U50" s="2" t="s">
        <v>844</v>
      </c>
      <c r="V50" s="2" t="s">
        <v>53</v>
      </c>
      <c r="W50" s="2" t="s">
        <v>845</v>
      </c>
      <c r="X50" s="2" t="s">
        <v>53</v>
      </c>
      <c r="Y50" s="2" t="s">
        <v>846</v>
      </c>
      <c r="Z50" s="2"/>
      <c r="AA50" s="2"/>
      <c r="AB50" s="2"/>
      <c r="AC50" s="2" t="s">
        <v>64</v>
      </c>
      <c r="AD50" s="2"/>
    </row>
    <row r="51" spans="1:30" ht="60" x14ac:dyDescent="0.25">
      <c r="A51" s="2" t="s">
        <v>189</v>
      </c>
      <c r="B51" s="2" t="s">
        <v>190</v>
      </c>
      <c r="C51" s="2" t="s">
        <v>847</v>
      </c>
      <c r="D51" s="2"/>
      <c r="E51" s="2" t="s">
        <v>191</v>
      </c>
      <c r="F51" s="2" t="s">
        <v>848</v>
      </c>
      <c r="G51" s="2" t="s">
        <v>53</v>
      </c>
      <c r="H51" s="2" t="s">
        <v>849</v>
      </c>
      <c r="I51" s="2" t="s">
        <v>53</v>
      </c>
      <c r="J51" s="2"/>
      <c r="K51" s="2" t="s">
        <v>850</v>
      </c>
      <c r="L51" s="2" t="s">
        <v>57</v>
      </c>
      <c r="M51" s="2"/>
      <c r="N51" s="2"/>
      <c r="O51" s="2" t="s">
        <v>851</v>
      </c>
      <c r="P51" s="2" t="s">
        <v>53</v>
      </c>
      <c r="Q51" s="2" t="s">
        <v>49</v>
      </c>
      <c r="R51" s="2"/>
      <c r="S51" s="2"/>
      <c r="T51" s="2" t="s">
        <v>576</v>
      </c>
      <c r="U51" s="2"/>
      <c r="V51" s="2" t="s">
        <v>53</v>
      </c>
      <c r="W51" s="2" t="s">
        <v>852</v>
      </c>
      <c r="X51" s="2" t="s">
        <v>53</v>
      </c>
      <c r="Y51" s="2" t="s">
        <v>853</v>
      </c>
      <c r="Z51" s="2"/>
      <c r="AA51" s="2"/>
      <c r="AB51" s="2"/>
      <c r="AC51" s="2" t="s">
        <v>58</v>
      </c>
      <c r="AD51" s="2" t="s">
        <v>849</v>
      </c>
    </row>
    <row r="52" spans="1:30" ht="75" x14ac:dyDescent="0.25">
      <c r="A52" s="2" t="s">
        <v>192</v>
      </c>
      <c r="B52" s="2" t="s">
        <v>193</v>
      </c>
      <c r="C52" s="2" t="s">
        <v>854</v>
      </c>
      <c r="D52" s="2"/>
      <c r="E52" s="2" t="s">
        <v>194</v>
      </c>
      <c r="F52" s="2" t="s">
        <v>855</v>
      </c>
      <c r="G52" s="2" t="s">
        <v>53</v>
      </c>
      <c r="H52" s="2" t="s">
        <v>856</v>
      </c>
      <c r="I52" s="2" t="s">
        <v>53</v>
      </c>
      <c r="J52" s="2" t="s">
        <v>857</v>
      </c>
      <c r="K52" s="2" t="s">
        <v>858</v>
      </c>
      <c r="L52" s="2" t="s">
        <v>51</v>
      </c>
      <c r="M52" s="2"/>
      <c r="N52" s="2" t="s">
        <v>23</v>
      </c>
      <c r="O52" s="2"/>
      <c r="P52" s="2" t="s">
        <v>53</v>
      </c>
      <c r="Q52" s="2" t="s">
        <v>59</v>
      </c>
      <c r="R52" s="2"/>
      <c r="S52" s="2"/>
      <c r="T52" s="2" t="s">
        <v>576</v>
      </c>
      <c r="U52" s="2"/>
      <c r="V52" s="2" t="s">
        <v>59</v>
      </c>
      <c r="W52" s="2"/>
      <c r="X52" s="2" t="s">
        <v>59</v>
      </c>
      <c r="Y52" s="2"/>
      <c r="Z52" s="2" t="s">
        <v>859</v>
      </c>
      <c r="AA52" s="2"/>
      <c r="AB52" s="2"/>
      <c r="AC52" s="2" t="s">
        <v>58</v>
      </c>
      <c r="AD52" s="2" t="s">
        <v>860</v>
      </c>
    </row>
    <row r="53" spans="1:30" ht="210" x14ac:dyDescent="0.25">
      <c r="A53" s="2" t="s">
        <v>195</v>
      </c>
      <c r="B53" s="2" t="s">
        <v>196</v>
      </c>
      <c r="C53" s="2" t="s">
        <v>861</v>
      </c>
      <c r="D53" s="2" t="s">
        <v>548</v>
      </c>
      <c r="E53" s="2" t="s">
        <v>147</v>
      </c>
      <c r="F53" s="2" t="s">
        <v>862</v>
      </c>
      <c r="G53" s="2" t="s">
        <v>53</v>
      </c>
      <c r="H53" s="2" t="s">
        <v>626</v>
      </c>
      <c r="I53" s="2" t="s">
        <v>53</v>
      </c>
      <c r="J53" s="2" t="s">
        <v>863</v>
      </c>
      <c r="K53" s="2" t="s">
        <v>628</v>
      </c>
      <c r="L53" s="2" t="s">
        <v>51</v>
      </c>
      <c r="M53" s="2"/>
      <c r="N53" s="2"/>
      <c r="O53" s="2"/>
      <c r="P53" s="2" t="s">
        <v>53</v>
      </c>
      <c r="Q53" s="2" t="s">
        <v>53</v>
      </c>
      <c r="R53" s="2" t="s">
        <v>864</v>
      </c>
      <c r="S53" s="2" t="s">
        <v>575</v>
      </c>
      <c r="T53" s="2" t="s">
        <v>576</v>
      </c>
      <c r="U53" s="2"/>
      <c r="V53" s="2" t="s">
        <v>52</v>
      </c>
      <c r="W53" s="2"/>
      <c r="X53" s="2" t="s">
        <v>53</v>
      </c>
      <c r="Y53" s="2" t="s">
        <v>865</v>
      </c>
      <c r="Z53" s="2" t="s">
        <v>866</v>
      </c>
      <c r="AA53" s="2"/>
      <c r="AB53" s="2"/>
      <c r="AC53" s="2" t="s">
        <v>58</v>
      </c>
      <c r="AD53" s="2" t="s">
        <v>626</v>
      </c>
    </row>
    <row r="54" spans="1:30" ht="120" x14ac:dyDescent="0.25">
      <c r="A54" s="2" t="s">
        <v>197</v>
      </c>
      <c r="B54" s="2" t="s">
        <v>196</v>
      </c>
      <c r="C54" s="2" t="s">
        <v>867</v>
      </c>
      <c r="D54" s="2" t="s">
        <v>548</v>
      </c>
      <c r="E54" s="2" t="s">
        <v>147</v>
      </c>
      <c r="F54" s="2" t="s">
        <v>868</v>
      </c>
      <c r="G54" s="2" t="s">
        <v>53</v>
      </c>
      <c r="H54" s="2" t="s">
        <v>626</v>
      </c>
      <c r="I54" s="2" t="s">
        <v>53</v>
      </c>
      <c r="J54" s="2" t="s">
        <v>869</v>
      </c>
      <c r="K54" s="2" t="s">
        <v>628</v>
      </c>
      <c r="L54" s="2" t="s">
        <v>51</v>
      </c>
      <c r="M54" s="2"/>
      <c r="N54" s="2" t="s">
        <v>23</v>
      </c>
      <c r="O54" s="2"/>
      <c r="P54" s="2" t="s">
        <v>53</v>
      </c>
      <c r="Q54" s="2" t="s">
        <v>49</v>
      </c>
      <c r="R54" s="2"/>
      <c r="S54" s="2"/>
      <c r="T54" s="2" t="s">
        <v>576</v>
      </c>
      <c r="U54" s="2"/>
      <c r="V54" s="2" t="s">
        <v>49</v>
      </c>
      <c r="W54" s="2"/>
      <c r="X54" s="2" t="s">
        <v>49</v>
      </c>
      <c r="Y54" s="2"/>
      <c r="Z54" s="2" t="s">
        <v>562</v>
      </c>
      <c r="AA54" s="2"/>
      <c r="AB54" s="2"/>
      <c r="AC54" s="2" t="s">
        <v>58</v>
      </c>
      <c r="AD54" s="2" t="s">
        <v>626</v>
      </c>
    </row>
    <row r="55" spans="1:30" ht="135" x14ac:dyDescent="0.25">
      <c r="A55" s="2" t="s">
        <v>198</v>
      </c>
      <c r="B55" s="2" t="s">
        <v>199</v>
      </c>
      <c r="C55" s="2" t="s">
        <v>870</v>
      </c>
      <c r="D55" s="2" t="s">
        <v>548</v>
      </c>
      <c r="E55" s="2" t="s">
        <v>73</v>
      </c>
      <c r="F55" s="2" t="s">
        <v>871</v>
      </c>
      <c r="G55" s="2" t="s">
        <v>53</v>
      </c>
      <c r="H55" s="2" t="s">
        <v>872</v>
      </c>
      <c r="I55" s="2" t="s">
        <v>53</v>
      </c>
      <c r="J55" s="2" t="s">
        <v>873</v>
      </c>
      <c r="K55" s="2" t="s">
        <v>874</v>
      </c>
      <c r="L55" s="2" t="s">
        <v>51</v>
      </c>
      <c r="M55" s="2"/>
      <c r="N55" s="2"/>
      <c r="O55" s="2"/>
      <c r="P55" s="2" t="s">
        <v>53</v>
      </c>
      <c r="Q55" s="2" t="s">
        <v>74</v>
      </c>
      <c r="R55" s="2"/>
      <c r="S55" s="2"/>
      <c r="T55" s="2" t="s">
        <v>53</v>
      </c>
      <c r="U55" s="2" t="s">
        <v>875</v>
      </c>
      <c r="V55" s="2" t="s">
        <v>53</v>
      </c>
      <c r="W55" s="2" t="s">
        <v>876</v>
      </c>
      <c r="X55" s="2" t="s">
        <v>53</v>
      </c>
      <c r="Y55" s="2" t="s">
        <v>877</v>
      </c>
      <c r="Z55" s="2"/>
      <c r="AA55" s="2"/>
      <c r="AB55" s="2"/>
      <c r="AC55" s="2" t="s">
        <v>58</v>
      </c>
      <c r="AD55" s="2" t="s">
        <v>878</v>
      </c>
    </row>
    <row r="56" spans="1:30" ht="195" x14ac:dyDescent="0.25">
      <c r="A56" s="2" t="s">
        <v>201</v>
      </c>
      <c r="B56" s="2" t="s">
        <v>202</v>
      </c>
      <c r="C56" s="2" t="s">
        <v>879</v>
      </c>
      <c r="D56" s="2" t="s">
        <v>880</v>
      </c>
      <c r="E56" s="2" t="s">
        <v>203</v>
      </c>
      <c r="F56" s="2" t="s">
        <v>881</v>
      </c>
      <c r="G56" s="2" t="s">
        <v>50</v>
      </c>
      <c r="H56" s="2"/>
      <c r="I56" s="2" t="s">
        <v>50</v>
      </c>
      <c r="J56" s="2" t="s">
        <v>882</v>
      </c>
      <c r="K56" s="2"/>
      <c r="L56" s="2" t="s">
        <v>8</v>
      </c>
      <c r="M56" s="2"/>
      <c r="N56" s="2"/>
      <c r="O56" s="2"/>
      <c r="P56" s="2" t="s">
        <v>50</v>
      </c>
      <c r="Q56" s="2" t="s">
        <v>50</v>
      </c>
      <c r="R56" s="2"/>
      <c r="S56" s="2"/>
      <c r="T56" s="2" t="s">
        <v>576</v>
      </c>
      <c r="U56" s="2"/>
      <c r="V56" s="2" t="s">
        <v>50</v>
      </c>
      <c r="W56" s="2"/>
      <c r="X56" s="2" t="s">
        <v>50</v>
      </c>
      <c r="Y56" s="2"/>
      <c r="Z56" s="2"/>
      <c r="AA56" s="2"/>
      <c r="AB56" s="2"/>
      <c r="AC56" s="2" t="s">
        <v>8</v>
      </c>
      <c r="AD56" s="2"/>
    </row>
    <row r="57" spans="1:30" ht="225" x14ac:dyDescent="0.25">
      <c r="A57" s="2" t="s">
        <v>205</v>
      </c>
      <c r="B57" s="2" t="s">
        <v>206</v>
      </c>
      <c r="C57" s="2" t="s">
        <v>883</v>
      </c>
      <c r="D57" s="2" t="s">
        <v>724</v>
      </c>
      <c r="E57" s="2" t="s">
        <v>207</v>
      </c>
      <c r="F57" s="2" t="s">
        <v>884</v>
      </c>
      <c r="G57" s="2" t="s">
        <v>53</v>
      </c>
      <c r="H57" s="2" t="s">
        <v>885</v>
      </c>
      <c r="I57" s="2" t="s">
        <v>49</v>
      </c>
      <c r="J57" s="2"/>
      <c r="K57" s="2"/>
      <c r="L57" s="2" t="s">
        <v>51</v>
      </c>
      <c r="M57" s="2"/>
      <c r="N57" s="2"/>
      <c r="O57" s="2" t="s">
        <v>886</v>
      </c>
      <c r="P57" s="2" t="s">
        <v>53</v>
      </c>
      <c r="Q57" s="2" t="s">
        <v>49</v>
      </c>
      <c r="R57" s="2"/>
      <c r="S57" s="2"/>
      <c r="T57" s="2" t="s">
        <v>53</v>
      </c>
      <c r="U57" s="2" t="s">
        <v>738</v>
      </c>
      <c r="V57" s="2" t="s">
        <v>52</v>
      </c>
      <c r="W57" s="2"/>
      <c r="X57" s="2" t="s">
        <v>52</v>
      </c>
      <c r="Y57" s="2"/>
      <c r="Z57" s="2"/>
      <c r="AA57" s="2"/>
      <c r="AB57" s="2"/>
      <c r="AC57" s="2"/>
      <c r="AD57" s="2" t="s">
        <v>885</v>
      </c>
    </row>
    <row r="58" spans="1:30" ht="165" x14ac:dyDescent="0.25">
      <c r="A58" s="2" t="s">
        <v>208</v>
      </c>
      <c r="B58" s="2" t="s">
        <v>209</v>
      </c>
      <c r="C58" s="2" t="s">
        <v>887</v>
      </c>
      <c r="D58" s="2"/>
      <c r="E58" s="2" t="s">
        <v>147</v>
      </c>
      <c r="F58" s="2" t="s">
        <v>888</v>
      </c>
      <c r="G58" s="2" t="s">
        <v>53</v>
      </c>
      <c r="H58" s="2" t="s">
        <v>889</v>
      </c>
      <c r="I58" s="2" t="s">
        <v>49</v>
      </c>
      <c r="J58" s="2" t="s">
        <v>890</v>
      </c>
      <c r="K58" s="2"/>
      <c r="L58" s="2" t="s">
        <v>51</v>
      </c>
      <c r="M58" s="2"/>
      <c r="N58" s="2"/>
      <c r="O58" s="2"/>
      <c r="P58" s="2" t="s">
        <v>53</v>
      </c>
      <c r="Q58" s="2" t="s">
        <v>49</v>
      </c>
      <c r="R58" s="2"/>
      <c r="S58" s="2"/>
      <c r="T58" s="2" t="s">
        <v>576</v>
      </c>
      <c r="U58" s="2"/>
      <c r="V58" s="2" t="s">
        <v>53</v>
      </c>
      <c r="W58" s="2" t="s">
        <v>889</v>
      </c>
      <c r="X58" s="2" t="s">
        <v>74</v>
      </c>
      <c r="Y58" s="2"/>
      <c r="Z58" s="2"/>
      <c r="AA58" s="2"/>
      <c r="AB58" s="2"/>
      <c r="AC58" s="2" t="s">
        <v>58</v>
      </c>
      <c r="AD58" s="2" t="s">
        <v>889</v>
      </c>
    </row>
    <row r="59" spans="1:30" ht="270" x14ac:dyDescent="0.25">
      <c r="A59" s="2" t="s">
        <v>211</v>
      </c>
      <c r="B59" s="2" t="s">
        <v>212</v>
      </c>
      <c r="C59" s="2" t="s">
        <v>891</v>
      </c>
      <c r="D59" s="2" t="s">
        <v>548</v>
      </c>
      <c r="E59" s="2" t="s">
        <v>213</v>
      </c>
      <c r="F59" s="2" t="s">
        <v>892</v>
      </c>
      <c r="G59" s="2" t="s">
        <v>53</v>
      </c>
      <c r="H59" s="2" t="s">
        <v>893</v>
      </c>
      <c r="I59" s="2" t="s">
        <v>59</v>
      </c>
      <c r="J59" s="2" t="s">
        <v>894</v>
      </c>
      <c r="K59" s="2"/>
      <c r="L59" s="2" t="s">
        <v>51</v>
      </c>
      <c r="M59" s="2" t="s">
        <v>214</v>
      </c>
      <c r="N59" s="2" t="s">
        <v>114</v>
      </c>
      <c r="O59" s="2" t="s">
        <v>895</v>
      </c>
      <c r="P59" s="2" t="s">
        <v>53</v>
      </c>
      <c r="Q59" s="2" t="s">
        <v>59</v>
      </c>
      <c r="R59" s="2"/>
      <c r="S59" s="2"/>
      <c r="T59" s="2" t="s">
        <v>53</v>
      </c>
      <c r="U59" s="2" t="s">
        <v>896</v>
      </c>
      <c r="V59" s="2" t="s">
        <v>59</v>
      </c>
      <c r="W59" s="2"/>
      <c r="X59" s="2" t="s">
        <v>59</v>
      </c>
      <c r="Y59" s="2"/>
      <c r="Z59" s="2" t="s">
        <v>577</v>
      </c>
      <c r="AA59" s="2"/>
      <c r="AB59" s="2"/>
      <c r="AC59" s="2" t="s">
        <v>64</v>
      </c>
      <c r="AD59" s="2" t="s">
        <v>893</v>
      </c>
    </row>
    <row r="60" spans="1:30" ht="345" x14ac:dyDescent="0.25">
      <c r="A60" s="2" t="s">
        <v>215</v>
      </c>
      <c r="B60" s="2" t="s">
        <v>216</v>
      </c>
      <c r="C60" s="2" t="s">
        <v>897</v>
      </c>
      <c r="D60" s="2" t="s">
        <v>589</v>
      </c>
      <c r="E60" s="2" t="s">
        <v>217</v>
      </c>
      <c r="F60" s="2" t="s">
        <v>898</v>
      </c>
      <c r="G60" s="2" t="s">
        <v>53</v>
      </c>
      <c r="H60" s="2" t="s">
        <v>899</v>
      </c>
      <c r="I60" s="2" t="s">
        <v>53</v>
      </c>
      <c r="J60" s="2" t="s">
        <v>900</v>
      </c>
      <c r="K60" s="2" t="s">
        <v>901</v>
      </c>
      <c r="L60" s="2" t="s">
        <v>51</v>
      </c>
      <c r="M60" s="2"/>
      <c r="N60" s="2"/>
      <c r="O60" s="2"/>
      <c r="P60" s="2" t="s">
        <v>53</v>
      </c>
      <c r="Q60" s="2" t="s">
        <v>53</v>
      </c>
      <c r="R60" s="2" t="s">
        <v>902</v>
      </c>
      <c r="S60" s="2" t="s">
        <v>575</v>
      </c>
      <c r="T60" s="2" t="s">
        <v>576</v>
      </c>
      <c r="U60" s="2"/>
      <c r="V60" s="2" t="s">
        <v>53</v>
      </c>
      <c r="W60" s="2" t="s">
        <v>903</v>
      </c>
      <c r="X60" s="2" t="s">
        <v>50</v>
      </c>
      <c r="Y60" s="2"/>
      <c r="Z60" s="2"/>
      <c r="AA60" s="2"/>
      <c r="AB60" s="2"/>
      <c r="AC60" s="2" t="s">
        <v>8</v>
      </c>
      <c r="AD60" s="2"/>
    </row>
    <row r="61" spans="1:30" ht="300" x14ac:dyDescent="0.25">
      <c r="A61" s="2" t="s">
        <v>218</v>
      </c>
      <c r="B61" s="2" t="s">
        <v>219</v>
      </c>
      <c r="C61" s="2" t="s">
        <v>904</v>
      </c>
      <c r="D61" s="2" t="s">
        <v>682</v>
      </c>
      <c r="E61" s="2" t="s">
        <v>187</v>
      </c>
      <c r="F61" s="2" t="s">
        <v>905</v>
      </c>
      <c r="G61" s="2" t="s">
        <v>49</v>
      </c>
      <c r="H61" s="2"/>
      <c r="I61" s="2" t="s">
        <v>49</v>
      </c>
      <c r="J61" s="2" t="s">
        <v>906</v>
      </c>
      <c r="K61" s="2"/>
      <c r="L61" s="2" t="s">
        <v>51</v>
      </c>
      <c r="M61" s="2"/>
      <c r="N61" s="2"/>
      <c r="O61" s="2"/>
      <c r="P61" s="2" t="s">
        <v>50</v>
      </c>
      <c r="Q61" s="2" t="s">
        <v>53</v>
      </c>
      <c r="R61" s="2"/>
      <c r="S61" s="2" t="s">
        <v>617</v>
      </c>
      <c r="T61" s="2" t="s">
        <v>53</v>
      </c>
      <c r="U61" s="2" t="s">
        <v>907</v>
      </c>
      <c r="V61" s="2" t="s">
        <v>53</v>
      </c>
      <c r="W61" s="2" t="s">
        <v>908</v>
      </c>
      <c r="X61" s="2" t="s">
        <v>53</v>
      </c>
      <c r="Y61" s="2" t="s">
        <v>909</v>
      </c>
      <c r="Z61" s="2"/>
      <c r="AA61" s="2"/>
      <c r="AB61" s="2"/>
      <c r="AC61" s="2" t="s">
        <v>64</v>
      </c>
      <c r="AD61" s="2"/>
    </row>
    <row r="62" spans="1:30" ht="330" x14ac:dyDescent="0.25">
      <c r="A62" s="2" t="s">
        <v>220</v>
      </c>
      <c r="B62" s="2" t="s">
        <v>184</v>
      </c>
      <c r="C62" s="2" t="s">
        <v>910</v>
      </c>
      <c r="D62" s="2" t="s">
        <v>682</v>
      </c>
      <c r="E62" s="2" t="s">
        <v>221</v>
      </c>
      <c r="F62" s="2" t="s">
        <v>911</v>
      </c>
      <c r="G62" s="2" t="s">
        <v>53</v>
      </c>
      <c r="H62" s="2" t="s">
        <v>912</v>
      </c>
      <c r="I62" s="2" t="s">
        <v>59</v>
      </c>
      <c r="J62" s="2" t="s">
        <v>913</v>
      </c>
      <c r="K62" s="2"/>
      <c r="L62" s="2" t="s">
        <v>51</v>
      </c>
      <c r="M62" s="2"/>
      <c r="N62" s="2"/>
      <c r="O62" s="2" t="s">
        <v>914</v>
      </c>
      <c r="P62" s="2" t="s">
        <v>59</v>
      </c>
      <c r="Q62" s="2" t="s">
        <v>49</v>
      </c>
      <c r="R62" s="2"/>
      <c r="S62" s="2"/>
      <c r="T62" s="2" t="s">
        <v>576</v>
      </c>
      <c r="U62" s="2"/>
      <c r="V62" s="2" t="s">
        <v>49</v>
      </c>
      <c r="W62" s="2"/>
      <c r="X62" s="2" t="s">
        <v>53</v>
      </c>
      <c r="Y62" s="2" t="s">
        <v>838</v>
      </c>
      <c r="Z62" s="2"/>
      <c r="AA62" s="2"/>
      <c r="AB62" s="2"/>
      <c r="AC62" s="2" t="s">
        <v>64</v>
      </c>
      <c r="AD62" s="2"/>
    </row>
    <row r="63" spans="1:30" ht="180" x14ac:dyDescent="0.25">
      <c r="A63" s="2" t="s">
        <v>222</v>
      </c>
      <c r="B63" s="2" t="s">
        <v>222</v>
      </c>
      <c r="C63" s="2" t="s">
        <v>915</v>
      </c>
      <c r="D63" s="2" t="s">
        <v>916</v>
      </c>
      <c r="E63" s="2" t="s">
        <v>122</v>
      </c>
      <c r="F63" s="2" t="s">
        <v>917</v>
      </c>
      <c r="G63" s="2" t="s">
        <v>53</v>
      </c>
      <c r="H63" s="2" t="s">
        <v>918</v>
      </c>
      <c r="I63" s="2" t="s">
        <v>53</v>
      </c>
      <c r="J63" s="2" t="s">
        <v>919</v>
      </c>
      <c r="K63" s="2" t="s">
        <v>920</v>
      </c>
      <c r="L63" s="2" t="s">
        <v>57</v>
      </c>
      <c r="M63" s="2"/>
      <c r="N63" s="2"/>
      <c r="O63" s="2"/>
      <c r="P63" s="2" t="s">
        <v>50</v>
      </c>
      <c r="Q63" s="2" t="s">
        <v>52</v>
      </c>
      <c r="R63" s="2"/>
      <c r="S63" s="2"/>
      <c r="T63" s="2" t="s">
        <v>576</v>
      </c>
      <c r="U63" s="2"/>
      <c r="V63" s="2" t="s">
        <v>52</v>
      </c>
      <c r="W63" s="2"/>
      <c r="X63" s="2" t="s">
        <v>49</v>
      </c>
      <c r="Y63" s="2"/>
      <c r="Z63" s="2"/>
      <c r="AA63" s="2"/>
      <c r="AB63" s="2"/>
      <c r="AC63" s="2" t="s">
        <v>58</v>
      </c>
      <c r="AD63" s="2"/>
    </row>
    <row r="64" spans="1:30" ht="315" x14ac:dyDescent="0.25">
      <c r="A64" s="2" t="s">
        <v>223</v>
      </c>
      <c r="B64" s="2" t="s">
        <v>224</v>
      </c>
      <c r="C64" s="2" t="s">
        <v>921</v>
      </c>
      <c r="D64" s="2" t="s">
        <v>548</v>
      </c>
      <c r="E64" s="2" t="s">
        <v>187</v>
      </c>
      <c r="F64" s="2" t="s">
        <v>922</v>
      </c>
      <c r="G64" s="2" t="s">
        <v>50</v>
      </c>
      <c r="H64" s="2"/>
      <c r="I64" s="2" t="s">
        <v>50</v>
      </c>
      <c r="J64" s="2" t="s">
        <v>923</v>
      </c>
      <c r="K64" s="2"/>
      <c r="L64" s="2" t="s">
        <v>51</v>
      </c>
      <c r="M64" s="2"/>
      <c r="N64" s="2"/>
      <c r="O64" s="2"/>
      <c r="P64" s="2" t="s">
        <v>50</v>
      </c>
      <c r="Q64" s="2" t="s">
        <v>53</v>
      </c>
      <c r="R64" s="2"/>
      <c r="S64" s="2" t="s">
        <v>575</v>
      </c>
      <c r="T64" s="2" t="s">
        <v>53</v>
      </c>
      <c r="U64" s="2" t="s">
        <v>924</v>
      </c>
      <c r="V64" s="2" t="s">
        <v>49</v>
      </c>
      <c r="W64" s="2"/>
      <c r="X64" s="2" t="s">
        <v>50</v>
      </c>
      <c r="Y64" s="2"/>
      <c r="Z64" s="2"/>
      <c r="AA64" s="2"/>
      <c r="AB64" s="2"/>
      <c r="AC64" s="2" t="s">
        <v>8</v>
      </c>
      <c r="AD64" s="2"/>
    </row>
    <row r="65" spans="1:30" ht="210" x14ac:dyDescent="0.25">
      <c r="A65" s="2" t="s">
        <v>226</v>
      </c>
      <c r="B65" s="2" t="s">
        <v>95</v>
      </c>
      <c r="C65" s="2" t="s">
        <v>925</v>
      </c>
      <c r="D65" s="2" t="s">
        <v>548</v>
      </c>
      <c r="E65" s="2" t="s">
        <v>63</v>
      </c>
      <c r="F65" s="2"/>
      <c r="G65" s="2" t="s">
        <v>49</v>
      </c>
      <c r="H65" s="2"/>
      <c r="I65" s="2" t="s">
        <v>59</v>
      </c>
      <c r="J65" s="2" t="s">
        <v>926</v>
      </c>
      <c r="K65" s="2"/>
      <c r="L65" s="2" t="s">
        <v>51</v>
      </c>
      <c r="M65" s="2"/>
      <c r="N65" s="2"/>
      <c r="O65" s="2"/>
      <c r="P65" s="2" t="s">
        <v>50</v>
      </c>
      <c r="Q65" s="2" t="s">
        <v>52</v>
      </c>
      <c r="R65" s="2"/>
      <c r="S65" s="2"/>
      <c r="T65" s="2" t="s">
        <v>576</v>
      </c>
      <c r="U65" s="2"/>
      <c r="V65" s="2" t="s">
        <v>49</v>
      </c>
      <c r="W65" s="2"/>
      <c r="X65" s="2" t="s">
        <v>53</v>
      </c>
      <c r="Y65" s="2" t="s">
        <v>927</v>
      </c>
      <c r="Z65" s="2" t="s">
        <v>928</v>
      </c>
      <c r="AA65" s="2"/>
      <c r="AB65" s="2"/>
      <c r="AC65" s="2" t="s">
        <v>64</v>
      </c>
      <c r="AD65" s="2"/>
    </row>
    <row r="66" spans="1:30" ht="105" x14ac:dyDescent="0.25">
      <c r="A66" s="2" t="s">
        <v>227</v>
      </c>
      <c r="B66" s="2" t="s">
        <v>228</v>
      </c>
      <c r="C66" s="2" t="s">
        <v>929</v>
      </c>
      <c r="D66" s="2" t="s">
        <v>548</v>
      </c>
      <c r="E66" s="2" t="s">
        <v>73</v>
      </c>
      <c r="F66" s="2" t="s">
        <v>930</v>
      </c>
      <c r="G66" s="2" t="s">
        <v>53</v>
      </c>
      <c r="H66" s="2" t="s">
        <v>931</v>
      </c>
      <c r="I66" s="2" t="s">
        <v>53</v>
      </c>
      <c r="J66" s="2" t="s">
        <v>932</v>
      </c>
      <c r="K66" s="2" t="s">
        <v>933</v>
      </c>
      <c r="L66" s="2" t="s">
        <v>51</v>
      </c>
      <c r="M66" s="2"/>
      <c r="N66" s="2"/>
      <c r="O66" s="2" t="s">
        <v>934</v>
      </c>
      <c r="P66" s="2" t="s">
        <v>53</v>
      </c>
      <c r="Q66" s="2" t="s">
        <v>59</v>
      </c>
      <c r="R66" s="2"/>
      <c r="S66" s="2"/>
      <c r="T66" s="2" t="s">
        <v>576</v>
      </c>
      <c r="U66" s="2"/>
      <c r="V66" s="2" t="s">
        <v>59</v>
      </c>
      <c r="W66" s="2"/>
      <c r="X66" s="2" t="s">
        <v>59</v>
      </c>
      <c r="Y66" s="2"/>
      <c r="Z66" s="2"/>
      <c r="AA66" s="2"/>
      <c r="AB66" s="2"/>
      <c r="AC66" s="2" t="s">
        <v>64</v>
      </c>
      <c r="AD66" s="2" t="s">
        <v>935</v>
      </c>
    </row>
    <row r="67" spans="1:30" ht="60" x14ac:dyDescent="0.25">
      <c r="A67" s="2" t="s">
        <v>229</v>
      </c>
      <c r="B67" s="2" t="s">
        <v>230</v>
      </c>
      <c r="C67" s="2" t="s">
        <v>936</v>
      </c>
      <c r="D67" s="2"/>
      <c r="E67" s="2" t="s">
        <v>231</v>
      </c>
      <c r="F67" s="2" t="s">
        <v>937</v>
      </c>
      <c r="G67" s="2" t="s">
        <v>52</v>
      </c>
      <c r="H67" s="2"/>
      <c r="I67" s="2" t="s">
        <v>53</v>
      </c>
      <c r="J67" s="2" t="s">
        <v>938</v>
      </c>
      <c r="K67" s="2" t="s">
        <v>939</v>
      </c>
      <c r="L67" s="2" t="s">
        <v>8</v>
      </c>
      <c r="M67" s="2"/>
      <c r="N67" s="2"/>
      <c r="O67" s="2"/>
      <c r="P67" s="2" t="s">
        <v>50</v>
      </c>
      <c r="Q67" s="2" t="s">
        <v>53</v>
      </c>
      <c r="R67" s="2" t="s">
        <v>940</v>
      </c>
      <c r="S67" s="2" t="s">
        <v>575</v>
      </c>
      <c r="T67" s="2" t="s">
        <v>53</v>
      </c>
      <c r="U67" s="2"/>
      <c r="V67" s="2" t="s">
        <v>53</v>
      </c>
      <c r="W67" s="2" t="s">
        <v>941</v>
      </c>
      <c r="X67" s="2" t="s">
        <v>50</v>
      </c>
      <c r="Y67" s="2"/>
      <c r="Z67" s="2"/>
      <c r="AA67" s="2"/>
      <c r="AB67" s="2"/>
      <c r="AC67" s="2" t="s">
        <v>64</v>
      </c>
      <c r="AD67" s="2"/>
    </row>
    <row r="68" spans="1:30" ht="270" x14ac:dyDescent="0.25">
      <c r="A68" s="2" t="s">
        <v>232</v>
      </c>
      <c r="B68" s="2" t="s">
        <v>233</v>
      </c>
      <c r="C68" s="2" t="s">
        <v>942</v>
      </c>
      <c r="D68" s="2" t="s">
        <v>548</v>
      </c>
      <c r="E68" s="2" t="s">
        <v>234</v>
      </c>
      <c r="F68" s="2" t="s">
        <v>943</v>
      </c>
      <c r="G68" s="2" t="s">
        <v>49</v>
      </c>
      <c r="H68" s="2"/>
      <c r="I68" s="2" t="s">
        <v>49</v>
      </c>
      <c r="J68" s="2" t="s">
        <v>944</v>
      </c>
      <c r="K68" s="2"/>
      <c r="L68" s="2" t="s">
        <v>51</v>
      </c>
      <c r="M68" s="2"/>
      <c r="N68" s="2"/>
      <c r="O68" s="2"/>
      <c r="P68" s="2" t="s">
        <v>50</v>
      </c>
      <c r="Q68" s="2" t="s">
        <v>49</v>
      </c>
      <c r="R68" s="2"/>
      <c r="S68" s="2"/>
      <c r="T68" s="2" t="s">
        <v>53</v>
      </c>
      <c r="U68" s="2" t="s">
        <v>945</v>
      </c>
      <c r="V68" s="2" t="s">
        <v>53</v>
      </c>
      <c r="W68" s="2" t="s">
        <v>946</v>
      </c>
      <c r="X68" s="2" t="s">
        <v>53</v>
      </c>
      <c r="Y68" s="2" t="s">
        <v>947</v>
      </c>
      <c r="Z68" s="2"/>
      <c r="AA68" s="2"/>
      <c r="AB68" s="2"/>
      <c r="AC68" s="2" t="s">
        <v>64</v>
      </c>
      <c r="AD68" s="2"/>
    </row>
    <row r="69" spans="1:30" ht="75" x14ac:dyDescent="0.25">
      <c r="A69" s="2" t="s">
        <v>235</v>
      </c>
      <c r="B69" s="2" t="s">
        <v>236</v>
      </c>
      <c r="C69" s="2" t="s">
        <v>948</v>
      </c>
      <c r="D69" s="2" t="s">
        <v>724</v>
      </c>
      <c r="E69" s="2" t="s">
        <v>237</v>
      </c>
      <c r="F69" s="2" t="s">
        <v>949</v>
      </c>
      <c r="G69" s="2" t="s">
        <v>59</v>
      </c>
      <c r="H69" s="2"/>
      <c r="I69" s="2" t="s">
        <v>59</v>
      </c>
      <c r="J69" s="2"/>
      <c r="K69" s="2"/>
      <c r="L69" s="2" t="s">
        <v>8</v>
      </c>
      <c r="M69" s="2"/>
      <c r="N69" s="2"/>
      <c r="O69" s="2" t="s">
        <v>950</v>
      </c>
      <c r="P69" s="2" t="s">
        <v>59</v>
      </c>
      <c r="Q69" s="2" t="s">
        <v>53</v>
      </c>
      <c r="R69" s="2" t="s">
        <v>951</v>
      </c>
      <c r="S69" s="2" t="s">
        <v>617</v>
      </c>
      <c r="T69" s="2" t="s">
        <v>576</v>
      </c>
      <c r="U69" s="2"/>
      <c r="V69" s="2" t="s">
        <v>50</v>
      </c>
      <c r="W69" s="2"/>
      <c r="X69" s="2" t="s">
        <v>53</v>
      </c>
      <c r="Y69" s="2" t="s">
        <v>952</v>
      </c>
      <c r="Z69" s="2"/>
      <c r="AA69" s="2"/>
      <c r="AB69" s="2"/>
      <c r="AC69" s="2" t="s">
        <v>64</v>
      </c>
      <c r="AD69" s="2"/>
    </row>
    <row r="70" spans="1:30" ht="120" x14ac:dyDescent="0.25">
      <c r="A70" s="2" t="s">
        <v>238</v>
      </c>
      <c r="B70" s="2" t="s">
        <v>239</v>
      </c>
      <c r="C70" s="2" t="s">
        <v>953</v>
      </c>
      <c r="D70" s="2"/>
      <c r="E70" s="2" t="s">
        <v>240</v>
      </c>
      <c r="F70" s="2" t="s">
        <v>954</v>
      </c>
      <c r="G70" s="2" t="s">
        <v>53</v>
      </c>
      <c r="H70" s="2" t="s">
        <v>955</v>
      </c>
      <c r="I70" s="2" t="s">
        <v>53</v>
      </c>
      <c r="J70" s="2"/>
      <c r="K70" s="2" t="s">
        <v>956</v>
      </c>
      <c r="L70" s="2" t="s">
        <v>51</v>
      </c>
      <c r="M70" s="2"/>
      <c r="N70" s="2"/>
      <c r="O70" s="2" t="s">
        <v>957</v>
      </c>
      <c r="P70" s="2" t="s">
        <v>53</v>
      </c>
      <c r="Q70" s="2" t="s">
        <v>49</v>
      </c>
      <c r="R70" s="2"/>
      <c r="S70" s="2"/>
      <c r="T70" s="2" t="s">
        <v>576</v>
      </c>
      <c r="U70" s="2"/>
      <c r="V70" s="2" t="s">
        <v>49</v>
      </c>
      <c r="W70" s="2"/>
      <c r="X70" s="2" t="s">
        <v>59</v>
      </c>
      <c r="Y70" s="2"/>
      <c r="Z70" s="2"/>
      <c r="AA70" s="2"/>
      <c r="AB70" s="2"/>
      <c r="AC70" s="2" t="s">
        <v>58</v>
      </c>
      <c r="AD70" s="2" t="s">
        <v>958</v>
      </c>
    </row>
    <row r="71" spans="1:30" ht="180" x14ac:dyDescent="0.25">
      <c r="A71" s="2" t="s">
        <v>241</v>
      </c>
      <c r="B71" s="2" t="s">
        <v>242</v>
      </c>
      <c r="C71" s="2" t="s">
        <v>959</v>
      </c>
      <c r="D71" s="2" t="s">
        <v>548</v>
      </c>
      <c r="E71" s="2" t="s">
        <v>243</v>
      </c>
      <c r="F71" s="2" t="s">
        <v>960</v>
      </c>
      <c r="G71" s="2" t="s">
        <v>53</v>
      </c>
      <c r="H71" s="2" t="s">
        <v>961</v>
      </c>
      <c r="I71" s="2" t="s">
        <v>53</v>
      </c>
      <c r="J71" s="2"/>
      <c r="K71" s="2" t="s">
        <v>962</v>
      </c>
      <c r="L71" s="2" t="s">
        <v>51</v>
      </c>
      <c r="M71" s="2"/>
      <c r="N71" s="2"/>
      <c r="O71" s="2" t="s">
        <v>963</v>
      </c>
      <c r="P71" s="2" t="s">
        <v>53</v>
      </c>
      <c r="Q71" s="2" t="s">
        <v>53</v>
      </c>
      <c r="R71" s="2" t="s">
        <v>964</v>
      </c>
      <c r="S71" s="2"/>
      <c r="T71" s="2" t="s">
        <v>49</v>
      </c>
      <c r="U71" s="2"/>
      <c r="V71" s="2" t="s">
        <v>52</v>
      </c>
      <c r="W71" s="2"/>
      <c r="X71" s="2" t="s">
        <v>53</v>
      </c>
      <c r="Y71" s="2" t="s">
        <v>965</v>
      </c>
      <c r="Z71" s="2" t="s">
        <v>698</v>
      </c>
      <c r="AA71" s="2"/>
      <c r="AB71" s="2"/>
      <c r="AC71" s="2" t="s">
        <v>58</v>
      </c>
      <c r="AD71" s="2" t="s">
        <v>966</v>
      </c>
    </row>
    <row r="72" spans="1:30" ht="300" x14ac:dyDescent="0.25">
      <c r="A72" s="2" t="s">
        <v>244</v>
      </c>
      <c r="B72" s="2" t="s">
        <v>245</v>
      </c>
      <c r="C72" s="2" t="s">
        <v>967</v>
      </c>
      <c r="D72" s="2" t="s">
        <v>968</v>
      </c>
      <c r="E72" s="2" t="s">
        <v>246</v>
      </c>
      <c r="F72" s="2" t="s">
        <v>969</v>
      </c>
      <c r="G72" s="2" t="s">
        <v>53</v>
      </c>
      <c r="H72" s="2" t="s">
        <v>970</v>
      </c>
      <c r="I72" s="2" t="s">
        <v>53</v>
      </c>
      <c r="J72" s="2" t="s">
        <v>971</v>
      </c>
      <c r="K72" s="2" t="s">
        <v>970</v>
      </c>
      <c r="L72" s="2"/>
      <c r="M72" s="2"/>
      <c r="N72" s="2"/>
      <c r="O72" s="2"/>
      <c r="P72" s="2" t="s">
        <v>53</v>
      </c>
      <c r="Q72" s="2" t="s">
        <v>50</v>
      </c>
      <c r="R72" s="2"/>
      <c r="S72" s="2"/>
      <c r="T72" s="2" t="s">
        <v>53</v>
      </c>
      <c r="U72" s="2" t="s">
        <v>972</v>
      </c>
      <c r="V72" s="2" t="s">
        <v>53</v>
      </c>
      <c r="W72" s="2" t="s">
        <v>970</v>
      </c>
      <c r="X72" s="2" t="s">
        <v>53</v>
      </c>
      <c r="Y72" s="2" t="s">
        <v>973</v>
      </c>
      <c r="Z72" s="2"/>
      <c r="AA72" s="2"/>
      <c r="AB72" s="2"/>
      <c r="AC72" s="2" t="s">
        <v>58</v>
      </c>
      <c r="AD72" s="2" t="s">
        <v>970</v>
      </c>
    </row>
    <row r="73" spans="1:30" ht="210" x14ac:dyDescent="0.25">
      <c r="A73" s="2" t="s">
        <v>247</v>
      </c>
      <c r="B73" s="2" t="s">
        <v>248</v>
      </c>
      <c r="C73" s="2" t="s">
        <v>974</v>
      </c>
      <c r="D73" s="2" t="s">
        <v>548</v>
      </c>
      <c r="E73" s="2" t="s">
        <v>249</v>
      </c>
      <c r="F73" s="2" t="s">
        <v>975</v>
      </c>
      <c r="G73" s="2" t="s">
        <v>53</v>
      </c>
      <c r="H73" s="2" t="s">
        <v>976</v>
      </c>
      <c r="I73" s="2" t="s">
        <v>49</v>
      </c>
      <c r="J73" s="2" t="s">
        <v>977</v>
      </c>
      <c r="K73" s="2"/>
      <c r="L73" s="2" t="s">
        <v>51</v>
      </c>
      <c r="M73" s="2"/>
      <c r="N73" s="2"/>
      <c r="O73" s="2"/>
      <c r="P73" s="2" t="s">
        <v>53</v>
      </c>
      <c r="Q73" s="2" t="s">
        <v>53</v>
      </c>
      <c r="R73" s="2"/>
      <c r="S73" s="2" t="s">
        <v>575</v>
      </c>
      <c r="T73" s="2" t="s">
        <v>53</v>
      </c>
      <c r="U73" s="2" t="s">
        <v>978</v>
      </c>
      <c r="V73" s="2" t="s">
        <v>49</v>
      </c>
      <c r="W73" s="2" t="s">
        <v>979</v>
      </c>
      <c r="X73" s="2" t="s">
        <v>53</v>
      </c>
      <c r="Y73" s="2" t="s">
        <v>980</v>
      </c>
      <c r="Z73" s="2"/>
      <c r="AA73" s="2"/>
      <c r="AB73" s="2"/>
      <c r="AC73" s="2" t="s">
        <v>64</v>
      </c>
      <c r="AD73" s="2" t="s">
        <v>976</v>
      </c>
    </row>
    <row r="74" spans="1:30" ht="135" x14ac:dyDescent="0.25">
      <c r="A74" s="2" t="s">
        <v>250</v>
      </c>
      <c r="B74" s="2" t="s">
        <v>82</v>
      </c>
      <c r="C74" s="2" t="s">
        <v>981</v>
      </c>
      <c r="D74" s="2"/>
      <c r="E74" s="2" t="s">
        <v>140</v>
      </c>
      <c r="F74" s="2" t="s">
        <v>982</v>
      </c>
      <c r="G74" s="2" t="s">
        <v>53</v>
      </c>
      <c r="H74" s="2" t="s">
        <v>610</v>
      </c>
      <c r="I74" s="2" t="s">
        <v>50</v>
      </c>
      <c r="J74" s="2"/>
      <c r="K74" s="2"/>
      <c r="L74" s="2" t="s">
        <v>51</v>
      </c>
      <c r="M74" s="2"/>
      <c r="N74" s="2"/>
      <c r="O74" s="2" t="s">
        <v>983</v>
      </c>
      <c r="P74" s="2" t="s">
        <v>53</v>
      </c>
      <c r="Q74" s="2" t="s">
        <v>52</v>
      </c>
      <c r="R74" s="2"/>
      <c r="S74" s="2"/>
      <c r="T74" s="2" t="s">
        <v>576</v>
      </c>
      <c r="U74" s="2"/>
      <c r="V74" s="2" t="s">
        <v>53</v>
      </c>
      <c r="W74" s="2" t="s">
        <v>608</v>
      </c>
      <c r="X74" s="2" t="s">
        <v>53</v>
      </c>
      <c r="Y74" s="2" t="s">
        <v>609</v>
      </c>
      <c r="Z74" s="2" t="s">
        <v>698</v>
      </c>
      <c r="AA74" s="2"/>
      <c r="AB74" s="2"/>
      <c r="AC74" s="2" t="s">
        <v>58</v>
      </c>
      <c r="AD74" s="2" t="s">
        <v>610</v>
      </c>
    </row>
    <row r="75" spans="1:30" ht="120" x14ac:dyDescent="0.25">
      <c r="A75" s="2" t="s">
        <v>251</v>
      </c>
      <c r="B75" s="2" t="s">
        <v>252</v>
      </c>
      <c r="C75" s="2" t="s">
        <v>984</v>
      </c>
      <c r="D75" s="2" t="s">
        <v>548</v>
      </c>
      <c r="E75" s="2" t="s">
        <v>129</v>
      </c>
      <c r="F75" s="2" t="s">
        <v>985</v>
      </c>
      <c r="G75" s="2" t="s">
        <v>53</v>
      </c>
      <c r="H75" s="2" t="s">
        <v>986</v>
      </c>
      <c r="I75" s="2" t="s">
        <v>59</v>
      </c>
      <c r="J75" s="2" t="s">
        <v>987</v>
      </c>
      <c r="K75" s="2"/>
      <c r="L75" s="2" t="s">
        <v>51</v>
      </c>
      <c r="M75" s="2"/>
      <c r="N75" s="2"/>
      <c r="O75" s="2"/>
      <c r="P75" s="2" t="s">
        <v>50</v>
      </c>
      <c r="Q75" s="2" t="s">
        <v>53</v>
      </c>
      <c r="R75" s="2" t="s">
        <v>988</v>
      </c>
      <c r="S75" s="2" t="s">
        <v>617</v>
      </c>
      <c r="T75" s="2" t="s">
        <v>53</v>
      </c>
      <c r="U75" s="2" t="s">
        <v>989</v>
      </c>
      <c r="V75" s="2" t="s">
        <v>52</v>
      </c>
      <c r="W75" s="2"/>
      <c r="X75" s="2" t="s">
        <v>53</v>
      </c>
      <c r="Y75" s="2" t="s">
        <v>990</v>
      </c>
      <c r="Z75" s="2"/>
      <c r="AA75" s="2"/>
      <c r="AB75" s="2"/>
      <c r="AC75" s="2" t="s">
        <v>58</v>
      </c>
      <c r="AD75" s="2"/>
    </row>
    <row r="76" spans="1:30" ht="45" x14ac:dyDescent="0.25">
      <c r="A76" s="2" t="s">
        <v>253</v>
      </c>
      <c r="B76" s="2" t="s">
        <v>254</v>
      </c>
      <c r="C76" s="2" t="s">
        <v>991</v>
      </c>
      <c r="D76" s="2" t="s">
        <v>724</v>
      </c>
      <c r="E76" s="2" t="s">
        <v>129</v>
      </c>
      <c r="F76" s="2" t="s">
        <v>992</v>
      </c>
      <c r="G76" s="2" t="s">
        <v>59</v>
      </c>
      <c r="H76" s="2"/>
      <c r="I76" s="2" t="s">
        <v>59</v>
      </c>
      <c r="J76" s="2"/>
      <c r="K76" s="2"/>
      <c r="L76" s="2" t="s">
        <v>8</v>
      </c>
      <c r="M76" s="2"/>
      <c r="N76" s="2"/>
      <c r="O76" s="2" t="s">
        <v>993</v>
      </c>
      <c r="P76" s="2" t="s">
        <v>59</v>
      </c>
      <c r="Q76" s="2" t="s">
        <v>59</v>
      </c>
      <c r="R76" s="2"/>
      <c r="S76" s="2"/>
      <c r="T76" s="2" t="s">
        <v>576</v>
      </c>
      <c r="U76" s="2"/>
      <c r="V76" s="2" t="s">
        <v>53</v>
      </c>
      <c r="W76" s="2" t="s">
        <v>994</v>
      </c>
      <c r="X76" s="2" t="s">
        <v>59</v>
      </c>
      <c r="Y76" s="2"/>
      <c r="Z76" s="2"/>
      <c r="AA76" s="2"/>
      <c r="AB76" s="2"/>
      <c r="AC76" s="2" t="s">
        <v>8</v>
      </c>
      <c r="AD76" s="2"/>
    </row>
    <row r="77" spans="1:30" ht="409.5" x14ac:dyDescent="0.25">
      <c r="A77" s="2" t="s">
        <v>255</v>
      </c>
      <c r="B77" s="2" t="s">
        <v>256</v>
      </c>
      <c r="C77" s="2" t="s">
        <v>995</v>
      </c>
      <c r="D77" s="2" t="s">
        <v>715</v>
      </c>
      <c r="E77" s="2" t="s">
        <v>129</v>
      </c>
      <c r="F77" s="2" t="s">
        <v>996</v>
      </c>
      <c r="G77" s="2" t="s">
        <v>53</v>
      </c>
      <c r="H77" s="2" t="s">
        <v>997</v>
      </c>
      <c r="I77" s="2" t="s">
        <v>49</v>
      </c>
      <c r="J77" s="2" t="s">
        <v>998</v>
      </c>
      <c r="K77" s="2"/>
      <c r="L77" s="2" t="s">
        <v>51</v>
      </c>
      <c r="M77" s="2"/>
      <c r="N77" s="2"/>
      <c r="O77" s="2"/>
      <c r="P77" s="2" t="s">
        <v>53</v>
      </c>
      <c r="Q77" s="2" t="s">
        <v>52</v>
      </c>
      <c r="R77" s="2"/>
      <c r="S77" s="2"/>
      <c r="T77" s="2" t="s">
        <v>576</v>
      </c>
      <c r="U77" s="2"/>
      <c r="V77" s="2" t="s">
        <v>52</v>
      </c>
      <c r="W77" s="2"/>
      <c r="X77" s="2" t="s">
        <v>53</v>
      </c>
      <c r="Y77" s="2" t="s">
        <v>999</v>
      </c>
      <c r="Z77" s="2" t="s">
        <v>1000</v>
      </c>
      <c r="AA77" s="2"/>
      <c r="AB77" s="2"/>
      <c r="AC77" s="2" t="s">
        <v>58</v>
      </c>
      <c r="AD77" s="2" t="s">
        <v>1001</v>
      </c>
    </row>
    <row r="78" spans="1:30" ht="60" x14ac:dyDescent="0.25">
      <c r="A78" s="2" t="s">
        <v>257</v>
      </c>
      <c r="B78" s="2" t="s">
        <v>257</v>
      </c>
      <c r="C78" s="2" t="s">
        <v>1002</v>
      </c>
      <c r="D78" s="2" t="s">
        <v>724</v>
      </c>
      <c r="E78" s="2" t="s">
        <v>258</v>
      </c>
      <c r="F78" s="2" t="s">
        <v>1003</v>
      </c>
      <c r="G78" s="2" t="s">
        <v>59</v>
      </c>
      <c r="H78" s="2"/>
      <c r="I78" s="2" t="s">
        <v>59</v>
      </c>
      <c r="J78" s="2"/>
      <c r="K78" s="2"/>
      <c r="L78" s="2" t="s">
        <v>8</v>
      </c>
      <c r="M78" s="2"/>
      <c r="N78" s="2"/>
      <c r="O78" s="2" t="s">
        <v>1004</v>
      </c>
      <c r="P78" s="2" t="s">
        <v>59</v>
      </c>
      <c r="Q78" s="2" t="s">
        <v>59</v>
      </c>
      <c r="R78" s="2"/>
      <c r="S78" s="2"/>
      <c r="T78" s="2" t="s">
        <v>576</v>
      </c>
      <c r="U78" s="2"/>
      <c r="V78" s="2" t="s">
        <v>59</v>
      </c>
      <c r="W78" s="2"/>
      <c r="X78" s="2" t="s">
        <v>59</v>
      </c>
      <c r="Y78" s="2"/>
      <c r="Z78" s="2" t="s">
        <v>577</v>
      </c>
      <c r="AA78" s="2"/>
      <c r="AB78" s="2"/>
      <c r="AC78" s="2"/>
      <c r="AD78" s="2"/>
    </row>
    <row r="79" spans="1:30" ht="90" x14ac:dyDescent="0.25">
      <c r="A79" s="2" t="s">
        <v>259</v>
      </c>
      <c r="B79" s="2" t="s">
        <v>260</v>
      </c>
      <c r="C79" s="2" t="s">
        <v>1005</v>
      </c>
      <c r="D79" s="2" t="s">
        <v>682</v>
      </c>
      <c r="E79" s="2" t="s">
        <v>261</v>
      </c>
      <c r="F79" s="2" t="s">
        <v>1006</v>
      </c>
      <c r="G79" s="2" t="s">
        <v>53</v>
      </c>
      <c r="H79" s="2" t="s">
        <v>1007</v>
      </c>
      <c r="I79" s="2" t="s">
        <v>53</v>
      </c>
      <c r="J79" s="2" t="s">
        <v>1008</v>
      </c>
      <c r="K79" s="2" t="s">
        <v>1009</v>
      </c>
      <c r="L79" s="2" t="s">
        <v>51</v>
      </c>
      <c r="M79" s="2"/>
      <c r="N79" s="2" t="s">
        <v>23</v>
      </c>
      <c r="O79" s="2"/>
      <c r="P79" s="2" t="s">
        <v>53</v>
      </c>
      <c r="Q79" s="2" t="s">
        <v>52</v>
      </c>
      <c r="R79" s="2"/>
      <c r="S79" s="2"/>
      <c r="T79" s="2" t="s">
        <v>576</v>
      </c>
      <c r="U79" s="2"/>
      <c r="V79" s="2" t="s">
        <v>52</v>
      </c>
      <c r="W79" s="2"/>
      <c r="X79" s="2" t="s">
        <v>53</v>
      </c>
      <c r="Y79" s="2" t="s">
        <v>1010</v>
      </c>
      <c r="Z79" s="2"/>
      <c r="AA79" s="2"/>
      <c r="AB79" s="2"/>
      <c r="AC79" s="2" t="s">
        <v>58</v>
      </c>
      <c r="AD79" s="2" t="s">
        <v>1007</v>
      </c>
    </row>
    <row r="80" spans="1:30" ht="75" x14ac:dyDescent="0.25">
      <c r="A80" s="2" t="s">
        <v>262</v>
      </c>
      <c r="B80" s="2" t="s">
        <v>263</v>
      </c>
      <c r="C80" s="2" t="s">
        <v>1011</v>
      </c>
      <c r="D80" s="2" t="s">
        <v>799</v>
      </c>
      <c r="E80" s="2" t="s">
        <v>122</v>
      </c>
      <c r="F80" s="2" t="s">
        <v>1012</v>
      </c>
      <c r="G80" s="2" t="s">
        <v>53</v>
      </c>
      <c r="H80" s="2" t="s">
        <v>1013</v>
      </c>
      <c r="I80" s="2" t="s">
        <v>49</v>
      </c>
      <c r="J80" s="2"/>
      <c r="K80" s="2"/>
      <c r="L80" s="2" t="s">
        <v>57</v>
      </c>
      <c r="M80" s="2"/>
      <c r="N80" s="2"/>
      <c r="O80" s="2"/>
      <c r="P80" s="2" t="s">
        <v>53</v>
      </c>
      <c r="Q80" s="2" t="s">
        <v>52</v>
      </c>
      <c r="R80" s="2" t="s">
        <v>1014</v>
      </c>
      <c r="S80" s="2"/>
      <c r="T80" s="2" t="s">
        <v>576</v>
      </c>
      <c r="U80" s="2"/>
      <c r="V80" s="2" t="s">
        <v>52</v>
      </c>
      <c r="W80" s="2"/>
      <c r="X80" s="2" t="s">
        <v>53</v>
      </c>
      <c r="Y80" s="2" t="s">
        <v>1015</v>
      </c>
      <c r="Z80" s="2"/>
      <c r="AA80" s="2"/>
      <c r="AB80" s="2"/>
      <c r="AC80" s="2" t="s">
        <v>58</v>
      </c>
      <c r="AD80" s="2" t="s">
        <v>1013</v>
      </c>
    </row>
    <row r="81" spans="1:30" ht="409.5" x14ac:dyDescent="0.25">
      <c r="A81" s="2" t="s">
        <v>264</v>
      </c>
      <c r="B81" s="2" t="s">
        <v>265</v>
      </c>
      <c r="C81" s="2" t="s">
        <v>1016</v>
      </c>
      <c r="D81" s="2" t="s">
        <v>589</v>
      </c>
      <c r="E81" s="2" t="s">
        <v>187</v>
      </c>
      <c r="F81" s="2" t="s">
        <v>1017</v>
      </c>
      <c r="G81" s="2" t="s">
        <v>53</v>
      </c>
      <c r="H81" s="2" t="s">
        <v>1018</v>
      </c>
      <c r="I81" s="2" t="s">
        <v>53</v>
      </c>
      <c r="J81" s="2" t="s">
        <v>1019</v>
      </c>
      <c r="K81" s="2" t="s">
        <v>1020</v>
      </c>
      <c r="L81" s="2" t="s">
        <v>57</v>
      </c>
      <c r="M81" s="2"/>
      <c r="N81" s="2"/>
      <c r="O81" s="2"/>
      <c r="P81" s="2" t="s">
        <v>53</v>
      </c>
      <c r="Q81" s="2" t="s">
        <v>53</v>
      </c>
      <c r="R81" s="2" t="s">
        <v>1021</v>
      </c>
      <c r="S81" s="2" t="s">
        <v>575</v>
      </c>
      <c r="T81" s="2" t="s">
        <v>53</v>
      </c>
      <c r="U81" s="2" t="s">
        <v>1022</v>
      </c>
      <c r="V81" s="2" t="s">
        <v>49</v>
      </c>
      <c r="W81" s="2" t="s">
        <v>1023</v>
      </c>
      <c r="X81" s="2" t="s">
        <v>53</v>
      </c>
      <c r="Y81" s="2" t="s">
        <v>1024</v>
      </c>
      <c r="Z81" s="2"/>
      <c r="AA81" s="2"/>
      <c r="AB81" s="2"/>
      <c r="AC81" s="2" t="s">
        <v>58</v>
      </c>
      <c r="AD81" s="2" t="s">
        <v>1025</v>
      </c>
    </row>
    <row r="82" spans="1:30" ht="409.5" x14ac:dyDescent="0.25">
      <c r="A82" s="2" t="s">
        <v>266</v>
      </c>
      <c r="B82" s="2" t="s">
        <v>265</v>
      </c>
      <c r="C82" s="2" t="s">
        <v>1026</v>
      </c>
      <c r="D82" s="2" t="s">
        <v>589</v>
      </c>
      <c r="E82" s="2" t="s">
        <v>187</v>
      </c>
      <c r="F82" s="2" t="s">
        <v>1027</v>
      </c>
      <c r="G82" s="2" t="s">
        <v>53</v>
      </c>
      <c r="H82" s="2" t="s">
        <v>1018</v>
      </c>
      <c r="I82" s="2" t="s">
        <v>53</v>
      </c>
      <c r="J82" s="2" t="s">
        <v>1019</v>
      </c>
      <c r="K82" s="2" t="s">
        <v>1020</v>
      </c>
      <c r="L82" s="2" t="s">
        <v>57</v>
      </c>
      <c r="M82" s="2"/>
      <c r="N82" s="2"/>
      <c r="O82" s="2"/>
      <c r="P82" s="2" t="s">
        <v>53</v>
      </c>
      <c r="Q82" s="2" t="s">
        <v>53</v>
      </c>
      <c r="R82" s="2" t="s">
        <v>1021</v>
      </c>
      <c r="S82" s="2" t="s">
        <v>575</v>
      </c>
      <c r="T82" s="2" t="s">
        <v>53</v>
      </c>
      <c r="U82" s="2" t="s">
        <v>1028</v>
      </c>
      <c r="V82" s="2" t="s">
        <v>49</v>
      </c>
      <c r="W82" s="2" t="s">
        <v>1023</v>
      </c>
      <c r="X82" s="2" t="s">
        <v>53</v>
      </c>
      <c r="Y82" s="2" t="s">
        <v>1024</v>
      </c>
      <c r="Z82" s="2"/>
      <c r="AA82" s="2"/>
      <c r="AB82" s="2"/>
      <c r="AC82" s="2" t="s">
        <v>58</v>
      </c>
      <c r="AD82" s="2" t="s">
        <v>1025</v>
      </c>
    </row>
    <row r="83" spans="1:30" ht="409.5" x14ac:dyDescent="0.25">
      <c r="A83" s="2" t="s">
        <v>267</v>
      </c>
      <c r="B83" s="2" t="s">
        <v>265</v>
      </c>
      <c r="C83" s="2" t="s">
        <v>1029</v>
      </c>
      <c r="D83" s="2" t="s">
        <v>589</v>
      </c>
      <c r="E83" s="2" t="s">
        <v>187</v>
      </c>
      <c r="F83" s="2" t="s">
        <v>1030</v>
      </c>
      <c r="G83" s="2" t="s">
        <v>53</v>
      </c>
      <c r="H83" s="2" t="s">
        <v>1018</v>
      </c>
      <c r="I83" s="2" t="s">
        <v>53</v>
      </c>
      <c r="J83" s="2" t="s">
        <v>1019</v>
      </c>
      <c r="K83" s="2" t="s">
        <v>1031</v>
      </c>
      <c r="L83" s="2" t="s">
        <v>57</v>
      </c>
      <c r="M83" s="2"/>
      <c r="N83" s="2"/>
      <c r="O83" s="2"/>
      <c r="P83" s="2" t="s">
        <v>53</v>
      </c>
      <c r="Q83" s="2" t="s">
        <v>53</v>
      </c>
      <c r="R83" s="2" t="s">
        <v>1021</v>
      </c>
      <c r="S83" s="2" t="s">
        <v>575</v>
      </c>
      <c r="T83" s="2" t="s">
        <v>53</v>
      </c>
      <c r="U83" s="2" t="s">
        <v>1032</v>
      </c>
      <c r="V83" s="2" t="s">
        <v>49</v>
      </c>
      <c r="W83" s="2" t="s">
        <v>1023</v>
      </c>
      <c r="X83" s="2" t="s">
        <v>53</v>
      </c>
      <c r="Y83" s="2" t="s">
        <v>1024</v>
      </c>
      <c r="Z83" s="2"/>
      <c r="AA83" s="2"/>
      <c r="AB83" s="2"/>
      <c r="AC83" s="2" t="s">
        <v>58</v>
      </c>
      <c r="AD83" s="2" t="s">
        <v>1031</v>
      </c>
    </row>
    <row r="84" spans="1:30" ht="45" x14ac:dyDescent="0.25">
      <c r="A84" s="2" t="s">
        <v>268</v>
      </c>
      <c r="B84" s="2" t="s">
        <v>269</v>
      </c>
      <c r="C84" s="2" t="s">
        <v>1033</v>
      </c>
      <c r="D84" s="2" t="s">
        <v>548</v>
      </c>
      <c r="E84" s="2" t="s">
        <v>122</v>
      </c>
      <c r="F84" s="2" t="s">
        <v>1034</v>
      </c>
      <c r="G84" s="2" t="s">
        <v>49</v>
      </c>
      <c r="H84" s="2" t="s">
        <v>1035</v>
      </c>
      <c r="I84" s="2" t="s">
        <v>53</v>
      </c>
      <c r="J84" s="2"/>
      <c r="K84" s="2" t="s">
        <v>1036</v>
      </c>
      <c r="L84" s="2" t="s">
        <v>8</v>
      </c>
      <c r="M84" s="2"/>
      <c r="N84" s="2"/>
      <c r="O84" s="2" t="s">
        <v>1037</v>
      </c>
      <c r="P84" s="2" t="s">
        <v>52</v>
      </c>
      <c r="Q84" s="2" t="s">
        <v>53</v>
      </c>
      <c r="R84" s="2" t="s">
        <v>1038</v>
      </c>
      <c r="S84" s="2"/>
      <c r="T84" s="2" t="s">
        <v>576</v>
      </c>
      <c r="U84" s="2"/>
      <c r="V84" s="2" t="s">
        <v>53</v>
      </c>
      <c r="W84" s="2" t="s">
        <v>1039</v>
      </c>
      <c r="X84" s="2" t="s">
        <v>53</v>
      </c>
      <c r="Y84" s="2" t="s">
        <v>1040</v>
      </c>
      <c r="Z84" s="2"/>
      <c r="AA84" s="2"/>
      <c r="AB84" s="2"/>
      <c r="AC84" s="2" t="s">
        <v>64</v>
      </c>
      <c r="AD84" s="2" t="s">
        <v>1041</v>
      </c>
    </row>
    <row r="85" spans="1:30" ht="300" x14ac:dyDescent="0.25">
      <c r="A85" s="2" t="s">
        <v>270</v>
      </c>
      <c r="B85" s="2" t="s">
        <v>271</v>
      </c>
      <c r="C85" s="2" t="s">
        <v>1042</v>
      </c>
      <c r="D85" s="2" t="s">
        <v>652</v>
      </c>
      <c r="E85" s="2" t="s">
        <v>63</v>
      </c>
      <c r="F85" s="2" t="s">
        <v>1043</v>
      </c>
      <c r="G85" s="2" t="s">
        <v>53</v>
      </c>
      <c r="H85" s="2" t="s">
        <v>1044</v>
      </c>
      <c r="I85" s="2" t="s">
        <v>53</v>
      </c>
      <c r="J85" s="2" t="s">
        <v>1045</v>
      </c>
      <c r="K85" s="2"/>
      <c r="L85" s="2" t="s">
        <v>114</v>
      </c>
      <c r="M85" s="2"/>
      <c r="N85" s="2"/>
      <c r="O85" s="2"/>
      <c r="P85" s="2" t="s">
        <v>50</v>
      </c>
      <c r="Q85" s="2" t="s">
        <v>52</v>
      </c>
      <c r="R85" s="2"/>
      <c r="S85" s="2"/>
      <c r="T85" s="2" t="s">
        <v>576</v>
      </c>
      <c r="U85" s="2"/>
      <c r="V85" s="2" t="s">
        <v>52</v>
      </c>
      <c r="W85" s="2"/>
      <c r="X85" s="2" t="s">
        <v>52</v>
      </c>
      <c r="Y85" s="2"/>
      <c r="Z85" s="2"/>
      <c r="AA85" s="2"/>
      <c r="AB85" s="2"/>
      <c r="AC85" s="2" t="s">
        <v>8</v>
      </c>
      <c r="AD85" s="2"/>
    </row>
    <row r="86" spans="1:30" ht="120" x14ac:dyDescent="0.25">
      <c r="A86" s="2" t="s">
        <v>272</v>
      </c>
      <c r="B86" s="2" t="s">
        <v>273</v>
      </c>
      <c r="C86" s="2" t="s">
        <v>1046</v>
      </c>
      <c r="D86" s="2" t="s">
        <v>548</v>
      </c>
      <c r="E86" s="2" t="s">
        <v>274</v>
      </c>
      <c r="F86" s="2" t="s">
        <v>1047</v>
      </c>
      <c r="G86" s="2" t="s">
        <v>53</v>
      </c>
      <c r="H86" s="2" t="s">
        <v>1048</v>
      </c>
      <c r="I86" s="2" t="s">
        <v>49</v>
      </c>
      <c r="J86" s="2" t="s">
        <v>1049</v>
      </c>
      <c r="K86" s="2"/>
      <c r="L86" s="2" t="s">
        <v>51</v>
      </c>
      <c r="M86" s="2"/>
      <c r="N86" s="2"/>
      <c r="O86" s="2"/>
      <c r="P86" s="2" t="s">
        <v>53</v>
      </c>
      <c r="Q86" s="2" t="s">
        <v>53</v>
      </c>
      <c r="R86" s="2" t="s">
        <v>1050</v>
      </c>
      <c r="S86" s="2" t="s">
        <v>575</v>
      </c>
      <c r="T86" s="2" t="s">
        <v>53</v>
      </c>
      <c r="U86" s="2" t="s">
        <v>1051</v>
      </c>
      <c r="V86" s="2" t="s">
        <v>53</v>
      </c>
      <c r="W86" s="2" t="s">
        <v>1052</v>
      </c>
      <c r="X86" s="2" t="s">
        <v>53</v>
      </c>
      <c r="Y86" s="2" t="s">
        <v>1053</v>
      </c>
      <c r="Z86" s="2"/>
      <c r="AA86" s="2"/>
      <c r="AB86" s="2"/>
      <c r="AC86" s="2" t="s">
        <v>58</v>
      </c>
      <c r="AD86" s="2" t="s">
        <v>1054</v>
      </c>
    </row>
    <row r="87" spans="1:30" ht="300" x14ac:dyDescent="0.25">
      <c r="A87" s="2" t="s">
        <v>275</v>
      </c>
      <c r="B87" s="2" t="s">
        <v>276</v>
      </c>
      <c r="C87" s="2" t="s">
        <v>1055</v>
      </c>
      <c r="D87" s="2"/>
      <c r="E87" s="2" t="s">
        <v>73</v>
      </c>
      <c r="F87" s="2" t="s">
        <v>1056</v>
      </c>
      <c r="G87" s="2" t="s">
        <v>52</v>
      </c>
      <c r="H87" s="2"/>
      <c r="I87" s="2" t="s">
        <v>52</v>
      </c>
      <c r="J87" s="2" t="s">
        <v>1057</v>
      </c>
      <c r="K87" s="2"/>
      <c r="L87" s="2" t="s">
        <v>51</v>
      </c>
      <c r="M87" s="2"/>
      <c r="N87" s="2"/>
      <c r="O87" s="2"/>
      <c r="P87" s="2" t="s">
        <v>50</v>
      </c>
      <c r="Q87" s="2" t="s">
        <v>50</v>
      </c>
      <c r="R87" s="2"/>
      <c r="S87" s="2"/>
      <c r="T87" s="2" t="s">
        <v>576</v>
      </c>
      <c r="U87" s="2"/>
      <c r="V87" s="2" t="s">
        <v>52</v>
      </c>
      <c r="W87" s="2"/>
      <c r="X87" s="2" t="s">
        <v>74</v>
      </c>
      <c r="Y87" s="2"/>
      <c r="Z87" s="2"/>
      <c r="AA87" s="2"/>
      <c r="AB87" s="2"/>
      <c r="AC87" s="2" t="s">
        <v>8</v>
      </c>
      <c r="AD87" s="2"/>
    </row>
    <row r="88" spans="1:30" ht="390" x14ac:dyDescent="0.25">
      <c r="A88" s="2" t="s">
        <v>278</v>
      </c>
      <c r="B88" s="2" t="s">
        <v>279</v>
      </c>
      <c r="C88" s="2" t="s">
        <v>1058</v>
      </c>
      <c r="D88" s="2" t="s">
        <v>799</v>
      </c>
      <c r="E88" s="2" t="s">
        <v>280</v>
      </c>
      <c r="F88" s="2" t="s">
        <v>1059</v>
      </c>
      <c r="G88" s="2" t="s">
        <v>53</v>
      </c>
      <c r="H88" s="2" t="s">
        <v>1060</v>
      </c>
      <c r="I88" s="2" t="s">
        <v>53</v>
      </c>
      <c r="J88" s="2" t="s">
        <v>1061</v>
      </c>
      <c r="K88" s="2"/>
      <c r="L88" s="2" t="s">
        <v>51</v>
      </c>
      <c r="M88" s="2"/>
      <c r="N88" s="2"/>
      <c r="O88" s="2"/>
      <c r="P88" s="2" t="s">
        <v>50</v>
      </c>
      <c r="Q88" s="2" t="s">
        <v>59</v>
      </c>
      <c r="R88" s="2"/>
      <c r="S88" s="2"/>
      <c r="T88" s="2" t="s">
        <v>53</v>
      </c>
      <c r="U88" s="2" t="s">
        <v>1062</v>
      </c>
      <c r="V88" s="2" t="s">
        <v>53</v>
      </c>
      <c r="W88" s="2" t="s">
        <v>1058</v>
      </c>
      <c r="X88" s="2" t="s">
        <v>74</v>
      </c>
      <c r="Y88" s="2"/>
      <c r="Z88" s="2"/>
      <c r="AA88" s="2"/>
      <c r="AB88" s="2"/>
      <c r="AC88" s="2" t="s">
        <v>58</v>
      </c>
      <c r="AD88" s="2"/>
    </row>
    <row r="89" spans="1:30" ht="60" x14ac:dyDescent="0.25">
      <c r="A89" s="2" t="s">
        <v>281</v>
      </c>
      <c r="B89" s="2" t="s">
        <v>265</v>
      </c>
      <c r="C89" s="2" t="s">
        <v>1063</v>
      </c>
      <c r="D89" s="2" t="s">
        <v>589</v>
      </c>
      <c r="E89" s="2" t="s">
        <v>56</v>
      </c>
      <c r="F89" s="2" t="s">
        <v>1064</v>
      </c>
      <c r="G89" s="2" t="s">
        <v>53</v>
      </c>
      <c r="H89" s="2" t="s">
        <v>1018</v>
      </c>
      <c r="I89" s="2" t="s">
        <v>53</v>
      </c>
      <c r="J89" s="2"/>
      <c r="K89" s="2" t="s">
        <v>1020</v>
      </c>
      <c r="L89" s="2" t="s">
        <v>57</v>
      </c>
      <c r="M89" s="2"/>
      <c r="N89" s="2"/>
      <c r="O89" s="2" t="s">
        <v>1065</v>
      </c>
      <c r="P89" s="2" t="s">
        <v>53</v>
      </c>
      <c r="Q89" s="2" t="s">
        <v>53</v>
      </c>
      <c r="R89" s="2" t="s">
        <v>1021</v>
      </c>
      <c r="S89" s="2" t="s">
        <v>617</v>
      </c>
      <c r="T89" s="2" t="s">
        <v>576</v>
      </c>
      <c r="U89" s="2"/>
      <c r="V89" s="2" t="s">
        <v>49</v>
      </c>
      <c r="W89" s="2"/>
      <c r="X89" s="2" t="s">
        <v>53</v>
      </c>
      <c r="Y89" s="2" t="s">
        <v>1024</v>
      </c>
      <c r="Z89" s="2" t="s">
        <v>698</v>
      </c>
      <c r="AA89" s="2"/>
      <c r="AB89" s="2"/>
      <c r="AC89" s="2" t="s">
        <v>58</v>
      </c>
      <c r="AD89" s="2" t="s">
        <v>1025</v>
      </c>
    </row>
    <row r="90" spans="1:30" ht="210" x14ac:dyDescent="0.25">
      <c r="A90" s="2" t="s">
        <v>282</v>
      </c>
      <c r="B90" s="2" t="s">
        <v>47</v>
      </c>
      <c r="C90" s="2" t="s">
        <v>1066</v>
      </c>
      <c r="D90" s="2" t="s">
        <v>548</v>
      </c>
      <c r="E90" s="2" t="s">
        <v>283</v>
      </c>
      <c r="F90" s="2" t="s">
        <v>1067</v>
      </c>
      <c r="G90" s="2" t="s">
        <v>53</v>
      </c>
      <c r="H90" s="2" t="s">
        <v>1068</v>
      </c>
      <c r="I90" s="2" t="s">
        <v>52</v>
      </c>
      <c r="J90" s="2" t="s">
        <v>1069</v>
      </c>
      <c r="K90" s="2"/>
      <c r="L90" s="2" t="s">
        <v>51</v>
      </c>
      <c r="M90" s="2"/>
      <c r="N90" s="2"/>
      <c r="O90" s="2"/>
      <c r="P90" s="2" t="s">
        <v>50</v>
      </c>
      <c r="Q90" s="2" t="s">
        <v>49</v>
      </c>
      <c r="R90" s="2" t="s">
        <v>1070</v>
      </c>
      <c r="S90" s="2"/>
      <c r="T90" s="2" t="s">
        <v>53</v>
      </c>
      <c r="U90" s="2" t="s">
        <v>1071</v>
      </c>
      <c r="V90" s="2" t="s">
        <v>53</v>
      </c>
      <c r="W90" s="2" t="s">
        <v>1070</v>
      </c>
      <c r="X90" s="2" t="s">
        <v>53</v>
      </c>
      <c r="Y90" s="2" t="s">
        <v>1072</v>
      </c>
      <c r="Z90" s="2" t="s">
        <v>1073</v>
      </c>
      <c r="AA90" s="2"/>
      <c r="AB90" s="2"/>
      <c r="AC90" s="2" t="s">
        <v>64</v>
      </c>
      <c r="AD90" s="2"/>
    </row>
    <row r="91" spans="1:30" ht="60" x14ac:dyDescent="0.25">
      <c r="A91" s="2" t="s">
        <v>284</v>
      </c>
      <c r="B91" s="2" t="s">
        <v>285</v>
      </c>
      <c r="C91" s="2" t="s">
        <v>1074</v>
      </c>
      <c r="D91" s="2" t="s">
        <v>589</v>
      </c>
      <c r="E91" s="2" t="s">
        <v>187</v>
      </c>
      <c r="F91" s="2" t="s">
        <v>1075</v>
      </c>
      <c r="G91" s="2" t="s">
        <v>52</v>
      </c>
      <c r="H91" s="2"/>
      <c r="I91" s="2" t="s">
        <v>52</v>
      </c>
      <c r="J91" s="2" t="s">
        <v>1076</v>
      </c>
      <c r="K91" s="2"/>
      <c r="L91" s="2" t="s">
        <v>8</v>
      </c>
      <c r="M91" s="2"/>
      <c r="N91" s="2"/>
      <c r="O91" s="2"/>
      <c r="P91" s="2" t="s">
        <v>50</v>
      </c>
      <c r="Q91" s="2" t="s">
        <v>53</v>
      </c>
      <c r="R91" s="2" t="s">
        <v>1077</v>
      </c>
      <c r="S91" s="2" t="s">
        <v>575</v>
      </c>
      <c r="T91" s="2" t="s">
        <v>53</v>
      </c>
      <c r="U91" s="2" t="s">
        <v>1078</v>
      </c>
      <c r="V91" s="2" t="s">
        <v>49</v>
      </c>
      <c r="W91" s="2"/>
      <c r="X91" s="2" t="s">
        <v>53</v>
      </c>
      <c r="Y91" s="2" t="s">
        <v>1079</v>
      </c>
      <c r="Z91" s="2"/>
      <c r="AA91" s="2"/>
      <c r="AB91" s="2"/>
      <c r="AC91" s="2" t="s">
        <v>8</v>
      </c>
      <c r="AD91" s="2"/>
    </row>
    <row r="92" spans="1:30" ht="150" x14ac:dyDescent="0.25">
      <c r="A92" s="2" t="s">
        <v>286</v>
      </c>
      <c r="B92" s="2" t="s">
        <v>287</v>
      </c>
      <c r="C92" s="2" t="s">
        <v>1080</v>
      </c>
      <c r="D92" s="2" t="s">
        <v>589</v>
      </c>
      <c r="E92" s="2" t="s">
        <v>288</v>
      </c>
      <c r="F92" s="2" t="s">
        <v>1081</v>
      </c>
      <c r="G92" s="2" t="s">
        <v>53</v>
      </c>
      <c r="H92" s="2" t="s">
        <v>1082</v>
      </c>
      <c r="I92" s="2" t="s">
        <v>49</v>
      </c>
      <c r="J92" s="2" t="s">
        <v>1083</v>
      </c>
      <c r="K92" s="2"/>
      <c r="L92" s="2" t="s">
        <v>114</v>
      </c>
      <c r="M92" s="2"/>
      <c r="N92" s="2"/>
      <c r="O92" s="2"/>
      <c r="P92" s="2" t="s">
        <v>53</v>
      </c>
      <c r="Q92" s="2" t="s">
        <v>52</v>
      </c>
      <c r="R92" s="2"/>
      <c r="S92" s="2"/>
      <c r="T92" s="2" t="s">
        <v>52</v>
      </c>
      <c r="U92" s="2"/>
      <c r="V92" s="2" t="s">
        <v>53</v>
      </c>
      <c r="W92" s="2" t="s">
        <v>1084</v>
      </c>
      <c r="X92" s="2" t="s">
        <v>53</v>
      </c>
      <c r="Y92" s="2" t="s">
        <v>1085</v>
      </c>
      <c r="Z92" s="2"/>
      <c r="AA92" s="2"/>
      <c r="AB92" s="2"/>
      <c r="AC92" s="2" t="s">
        <v>58</v>
      </c>
      <c r="AD92" s="2" t="s">
        <v>1086</v>
      </c>
    </row>
    <row r="93" spans="1:30" ht="409.5" x14ac:dyDescent="0.25">
      <c r="A93" s="2" t="s">
        <v>289</v>
      </c>
      <c r="B93" s="2" t="s">
        <v>290</v>
      </c>
      <c r="C93" s="2" t="s">
        <v>1087</v>
      </c>
      <c r="D93" s="2" t="s">
        <v>548</v>
      </c>
      <c r="E93" s="2" t="s">
        <v>291</v>
      </c>
      <c r="F93" s="2" t="s">
        <v>1088</v>
      </c>
      <c r="G93" s="2" t="s">
        <v>49</v>
      </c>
      <c r="H93" s="2"/>
      <c r="I93" s="2" t="s">
        <v>59</v>
      </c>
      <c r="J93" s="2"/>
      <c r="K93" s="2"/>
      <c r="L93" s="2" t="s">
        <v>114</v>
      </c>
      <c r="M93" s="2" t="s">
        <v>292</v>
      </c>
      <c r="N93" s="2"/>
      <c r="O93" s="2" t="s">
        <v>1089</v>
      </c>
      <c r="P93" s="2" t="s">
        <v>53</v>
      </c>
      <c r="Q93" s="2" t="s">
        <v>59</v>
      </c>
      <c r="R93" s="2"/>
      <c r="S93" s="2"/>
      <c r="T93" s="2" t="s">
        <v>576</v>
      </c>
      <c r="U93" s="2"/>
      <c r="V93" s="2" t="s">
        <v>59</v>
      </c>
      <c r="W93" s="2"/>
      <c r="X93" s="2" t="s">
        <v>49</v>
      </c>
      <c r="Y93" s="2"/>
      <c r="Z93" s="2" t="s">
        <v>859</v>
      </c>
      <c r="AA93" s="2"/>
      <c r="AB93" s="2"/>
      <c r="AC93" s="2" t="s">
        <v>64</v>
      </c>
      <c r="AD93" s="2" t="s">
        <v>1090</v>
      </c>
    </row>
    <row r="94" spans="1:30" ht="180" x14ac:dyDescent="0.25">
      <c r="A94" s="2" t="s">
        <v>293</v>
      </c>
      <c r="B94" s="2" t="s">
        <v>294</v>
      </c>
      <c r="C94" s="2" t="s">
        <v>1091</v>
      </c>
      <c r="D94" s="2" t="s">
        <v>548</v>
      </c>
      <c r="E94" s="2" t="s">
        <v>187</v>
      </c>
      <c r="F94" s="2" t="s">
        <v>1092</v>
      </c>
      <c r="G94" s="2" t="s">
        <v>53</v>
      </c>
      <c r="H94" s="2" t="s">
        <v>1093</v>
      </c>
      <c r="I94" s="2" t="s">
        <v>50</v>
      </c>
      <c r="J94" s="2" t="s">
        <v>1094</v>
      </c>
      <c r="K94" s="2"/>
      <c r="L94" s="2" t="s">
        <v>51</v>
      </c>
      <c r="M94" s="2"/>
      <c r="N94" s="2"/>
      <c r="O94" s="2"/>
      <c r="P94" s="2" t="s">
        <v>50</v>
      </c>
      <c r="Q94" s="2" t="s">
        <v>53</v>
      </c>
      <c r="R94" s="2" t="s">
        <v>1095</v>
      </c>
      <c r="S94" s="2" t="s">
        <v>575</v>
      </c>
      <c r="T94" s="2" t="s">
        <v>53</v>
      </c>
      <c r="U94" s="2" t="s">
        <v>1096</v>
      </c>
      <c r="V94" s="2" t="s">
        <v>53</v>
      </c>
      <c r="W94" s="2" t="s">
        <v>1097</v>
      </c>
      <c r="X94" s="2" t="s">
        <v>53</v>
      </c>
      <c r="Y94" s="2" t="s">
        <v>1098</v>
      </c>
      <c r="Z94" s="2"/>
      <c r="AA94" s="2"/>
      <c r="AB94" s="2"/>
      <c r="AC94" s="2" t="s">
        <v>64</v>
      </c>
      <c r="AD94" s="2"/>
    </row>
    <row r="95" spans="1:30" ht="45" x14ac:dyDescent="0.25">
      <c r="A95" s="2" t="s">
        <v>295</v>
      </c>
      <c r="B95" s="2" t="s">
        <v>296</v>
      </c>
      <c r="C95" s="2" t="s">
        <v>1099</v>
      </c>
      <c r="D95" s="2" t="s">
        <v>715</v>
      </c>
      <c r="E95" s="2" t="s">
        <v>297</v>
      </c>
      <c r="F95" s="2" t="s">
        <v>1100</v>
      </c>
      <c r="G95" s="2" t="s">
        <v>52</v>
      </c>
      <c r="H95" s="2"/>
      <c r="I95" s="2" t="s">
        <v>59</v>
      </c>
      <c r="J95" s="2" t="s">
        <v>1101</v>
      </c>
      <c r="K95" s="2"/>
      <c r="L95" s="2" t="s">
        <v>8</v>
      </c>
      <c r="M95" s="2"/>
      <c r="N95" s="2" t="s">
        <v>23</v>
      </c>
      <c r="O95" s="2"/>
      <c r="P95" s="2" t="s">
        <v>59</v>
      </c>
      <c r="Q95" s="2" t="s">
        <v>59</v>
      </c>
      <c r="R95" s="2"/>
      <c r="S95" s="2"/>
      <c r="T95" s="2" t="s">
        <v>576</v>
      </c>
      <c r="U95" s="2"/>
      <c r="V95" s="2" t="s">
        <v>52</v>
      </c>
      <c r="W95" s="2"/>
      <c r="X95" s="2" t="s">
        <v>53</v>
      </c>
      <c r="Y95" s="2" t="s">
        <v>1102</v>
      </c>
      <c r="Z95" s="2"/>
      <c r="AA95" s="2"/>
      <c r="AB95" s="2"/>
      <c r="AC95" s="2" t="s">
        <v>8</v>
      </c>
      <c r="AD95" s="2"/>
    </row>
    <row r="96" spans="1:30" ht="105" x14ac:dyDescent="0.25">
      <c r="A96" s="2" t="s">
        <v>298</v>
      </c>
      <c r="B96" s="2" t="s">
        <v>299</v>
      </c>
      <c r="C96" s="2" t="s">
        <v>1103</v>
      </c>
      <c r="D96" s="2" t="s">
        <v>548</v>
      </c>
      <c r="E96" s="2" t="s">
        <v>300</v>
      </c>
      <c r="F96" s="2" t="s">
        <v>1104</v>
      </c>
      <c r="G96" s="2" t="s">
        <v>53</v>
      </c>
      <c r="H96" s="2" t="s">
        <v>1105</v>
      </c>
      <c r="I96" s="2" t="s">
        <v>53</v>
      </c>
      <c r="J96" s="2"/>
      <c r="K96" s="2" t="s">
        <v>1106</v>
      </c>
      <c r="L96" s="2" t="s">
        <v>51</v>
      </c>
      <c r="M96" s="2"/>
      <c r="N96" s="2"/>
      <c r="O96" s="2" t="s">
        <v>1107</v>
      </c>
      <c r="P96" s="2" t="s">
        <v>50</v>
      </c>
      <c r="Q96" s="2" t="s">
        <v>49</v>
      </c>
      <c r="R96" s="2"/>
      <c r="S96" s="2"/>
      <c r="T96" s="2" t="s">
        <v>49</v>
      </c>
      <c r="U96" s="2"/>
      <c r="V96" s="2" t="s">
        <v>49</v>
      </c>
      <c r="W96" s="2"/>
      <c r="X96" s="2" t="s">
        <v>50</v>
      </c>
      <c r="Y96" s="2"/>
      <c r="Z96" s="2"/>
      <c r="AA96" s="2"/>
      <c r="AB96" s="2"/>
      <c r="AC96" s="2" t="s">
        <v>64</v>
      </c>
      <c r="AD96" s="2" t="s">
        <v>1108</v>
      </c>
    </row>
    <row r="97" spans="1:30" ht="150" x14ac:dyDescent="0.25">
      <c r="A97" s="2" t="s">
        <v>301</v>
      </c>
      <c r="B97" s="2" t="s">
        <v>302</v>
      </c>
      <c r="C97" s="2" t="s">
        <v>1109</v>
      </c>
      <c r="D97" s="2" t="s">
        <v>755</v>
      </c>
      <c r="E97" s="2" t="s">
        <v>303</v>
      </c>
      <c r="F97" s="2" t="s">
        <v>1110</v>
      </c>
      <c r="G97" s="2" t="s">
        <v>52</v>
      </c>
      <c r="H97" s="2"/>
      <c r="I97" s="2" t="s">
        <v>49</v>
      </c>
      <c r="J97" s="2" t="s">
        <v>1111</v>
      </c>
      <c r="K97" s="2"/>
      <c r="L97" s="2" t="s">
        <v>8</v>
      </c>
      <c r="M97" s="2"/>
      <c r="N97" s="2"/>
      <c r="O97" s="2" t="s">
        <v>1112</v>
      </c>
      <c r="P97" s="2" t="s">
        <v>59</v>
      </c>
      <c r="Q97" s="2" t="s">
        <v>50</v>
      </c>
      <c r="R97" s="2"/>
      <c r="S97" s="2"/>
      <c r="T97" s="2" t="s">
        <v>576</v>
      </c>
      <c r="U97" s="2"/>
      <c r="V97" s="2" t="s">
        <v>52</v>
      </c>
      <c r="W97" s="2"/>
      <c r="X97" s="2" t="s">
        <v>53</v>
      </c>
      <c r="Y97" s="2" t="s">
        <v>1113</v>
      </c>
      <c r="Z97" s="2" t="s">
        <v>577</v>
      </c>
      <c r="AA97" s="2"/>
      <c r="AB97" s="2"/>
      <c r="AC97" s="2" t="s">
        <v>8</v>
      </c>
      <c r="AD97" s="2"/>
    </row>
    <row r="98" spans="1:30" ht="150" x14ac:dyDescent="0.25">
      <c r="A98" s="2" t="s">
        <v>304</v>
      </c>
      <c r="B98" s="2" t="s">
        <v>304</v>
      </c>
      <c r="C98" s="2" t="s">
        <v>1114</v>
      </c>
      <c r="D98" s="2"/>
      <c r="E98" s="2" t="s">
        <v>136</v>
      </c>
      <c r="F98" s="2" t="s">
        <v>1115</v>
      </c>
      <c r="G98" s="2" t="s">
        <v>49</v>
      </c>
      <c r="H98" s="2" t="s">
        <v>1116</v>
      </c>
      <c r="I98" s="2" t="s">
        <v>53</v>
      </c>
      <c r="J98" s="2" t="s">
        <v>1117</v>
      </c>
      <c r="K98" s="2" t="s">
        <v>1118</v>
      </c>
      <c r="L98" s="2" t="s">
        <v>51</v>
      </c>
      <c r="M98" s="2"/>
      <c r="N98" s="2"/>
      <c r="O98" s="2" t="s">
        <v>1119</v>
      </c>
      <c r="P98" s="2" t="s">
        <v>53</v>
      </c>
      <c r="Q98" s="2" t="s">
        <v>50</v>
      </c>
      <c r="R98" s="2"/>
      <c r="S98" s="2"/>
      <c r="T98" s="2" t="s">
        <v>576</v>
      </c>
      <c r="U98" s="2"/>
      <c r="V98" s="2" t="s">
        <v>50</v>
      </c>
      <c r="W98" s="2"/>
      <c r="X98" s="2" t="s">
        <v>53</v>
      </c>
      <c r="Y98" s="2" t="s">
        <v>1120</v>
      </c>
      <c r="Z98" s="2"/>
      <c r="AA98" s="2"/>
      <c r="AB98" s="2"/>
      <c r="AC98" s="2" t="s">
        <v>64</v>
      </c>
      <c r="AD98" s="2" t="s">
        <v>1121</v>
      </c>
    </row>
    <row r="99" spans="1:30" ht="409.5" x14ac:dyDescent="0.25">
      <c r="A99" s="2" t="s">
        <v>305</v>
      </c>
      <c r="B99" s="2" t="s">
        <v>306</v>
      </c>
      <c r="C99" s="2" t="s">
        <v>1122</v>
      </c>
      <c r="D99" s="2"/>
      <c r="E99" s="2" t="s">
        <v>207</v>
      </c>
      <c r="F99" s="2" t="s">
        <v>1123</v>
      </c>
      <c r="G99" s="2" t="s">
        <v>53</v>
      </c>
      <c r="H99" s="2" t="s">
        <v>1124</v>
      </c>
      <c r="I99" s="2" t="s">
        <v>53</v>
      </c>
      <c r="J99" s="2" t="s">
        <v>1125</v>
      </c>
      <c r="K99" s="2" t="s">
        <v>1124</v>
      </c>
      <c r="L99" s="2" t="s">
        <v>51</v>
      </c>
      <c r="M99" s="2"/>
      <c r="N99" s="2"/>
      <c r="O99" s="2"/>
      <c r="P99" s="2" t="s">
        <v>53</v>
      </c>
      <c r="Q99" s="2" t="s">
        <v>52</v>
      </c>
      <c r="R99" s="2"/>
      <c r="S99" s="2"/>
      <c r="T99" s="2" t="s">
        <v>576</v>
      </c>
      <c r="U99" s="2" t="s">
        <v>1126</v>
      </c>
      <c r="V99" s="2" t="s">
        <v>52</v>
      </c>
      <c r="W99" s="2"/>
      <c r="X99" s="2" t="s">
        <v>53</v>
      </c>
      <c r="Y99" s="2" t="s">
        <v>1127</v>
      </c>
      <c r="Z99" s="2" t="s">
        <v>698</v>
      </c>
      <c r="AA99" s="2"/>
      <c r="AB99" s="2"/>
      <c r="AC99" s="2" t="s">
        <v>58</v>
      </c>
      <c r="AD99" s="2" t="s">
        <v>1128</v>
      </c>
    </row>
    <row r="100" spans="1:30" ht="45" x14ac:dyDescent="0.25">
      <c r="A100" s="2" t="s">
        <v>307</v>
      </c>
      <c r="B100" s="2" t="s">
        <v>308</v>
      </c>
      <c r="C100" s="2" t="s">
        <v>1129</v>
      </c>
      <c r="D100" s="2" t="s">
        <v>724</v>
      </c>
      <c r="E100" s="2" t="s">
        <v>309</v>
      </c>
      <c r="F100" s="2" t="s">
        <v>1130</v>
      </c>
      <c r="G100" s="2" t="s">
        <v>49</v>
      </c>
      <c r="H100" s="2"/>
      <c r="I100" s="2" t="s">
        <v>49</v>
      </c>
      <c r="J100" s="2" t="s">
        <v>1131</v>
      </c>
      <c r="K100" s="2"/>
      <c r="L100" s="2" t="s">
        <v>8</v>
      </c>
      <c r="M100" s="2"/>
      <c r="N100" s="2"/>
      <c r="O100" s="2"/>
      <c r="P100" s="2" t="s">
        <v>50</v>
      </c>
      <c r="Q100" s="2" t="s">
        <v>52</v>
      </c>
      <c r="R100" s="2"/>
      <c r="S100" s="2"/>
      <c r="T100" s="2" t="s">
        <v>53</v>
      </c>
      <c r="U100" s="2" t="s">
        <v>1132</v>
      </c>
      <c r="V100" s="2" t="s">
        <v>52</v>
      </c>
      <c r="W100" s="2"/>
      <c r="X100" s="2" t="s">
        <v>49</v>
      </c>
      <c r="Y100" s="2"/>
      <c r="Z100" s="2"/>
      <c r="AA100" s="2"/>
      <c r="AB100" s="2"/>
      <c r="AC100" s="2" t="s">
        <v>64</v>
      </c>
      <c r="AD100" s="2"/>
    </row>
    <row r="101" spans="1:30" ht="75" x14ac:dyDescent="0.25">
      <c r="A101" s="2" t="s">
        <v>310</v>
      </c>
      <c r="B101" s="2" t="s">
        <v>311</v>
      </c>
      <c r="C101" s="2" t="s">
        <v>1133</v>
      </c>
      <c r="D101" s="2" t="s">
        <v>682</v>
      </c>
      <c r="E101" s="2" t="s">
        <v>217</v>
      </c>
      <c r="F101" s="2" t="s">
        <v>1134</v>
      </c>
      <c r="G101" s="2" t="s">
        <v>52</v>
      </c>
      <c r="H101" s="2"/>
      <c r="I101" s="2" t="s">
        <v>52</v>
      </c>
      <c r="J101" s="2" t="s">
        <v>1135</v>
      </c>
      <c r="K101" s="2"/>
      <c r="L101" s="2" t="s">
        <v>114</v>
      </c>
      <c r="M101" s="2" t="s">
        <v>312</v>
      </c>
      <c r="N101" s="2"/>
      <c r="O101" s="2" t="s">
        <v>1136</v>
      </c>
      <c r="P101" s="2" t="s">
        <v>59</v>
      </c>
      <c r="Q101" s="2" t="s">
        <v>49</v>
      </c>
      <c r="R101" s="2"/>
      <c r="S101" s="2"/>
      <c r="T101" s="2" t="s">
        <v>53</v>
      </c>
      <c r="U101" s="2" t="s">
        <v>1137</v>
      </c>
      <c r="V101" s="2" t="s">
        <v>52</v>
      </c>
      <c r="W101" s="2"/>
      <c r="X101" s="2" t="s">
        <v>53</v>
      </c>
      <c r="Y101" s="2" t="s">
        <v>1138</v>
      </c>
      <c r="Z101" s="2"/>
      <c r="AA101" s="2"/>
      <c r="AB101" s="2"/>
      <c r="AC101" s="2" t="s">
        <v>8</v>
      </c>
      <c r="AD101" s="2"/>
    </row>
    <row r="102" spans="1:30" ht="300" x14ac:dyDescent="0.25">
      <c r="A102" s="2" t="s">
        <v>313</v>
      </c>
      <c r="B102" s="2" t="s">
        <v>314</v>
      </c>
      <c r="C102" s="2" t="s">
        <v>1139</v>
      </c>
      <c r="D102" s="2" t="s">
        <v>682</v>
      </c>
      <c r="E102" s="2" t="s">
        <v>283</v>
      </c>
      <c r="F102" s="2" t="s">
        <v>1140</v>
      </c>
      <c r="G102" s="2" t="s">
        <v>53</v>
      </c>
      <c r="H102" s="2" t="s">
        <v>1141</v>
      </c>
      <c r="I102" s="2" t="s">
        <v>59</v>
      </c>
      <c r="J102" s="2"/>
      <c r="K102" s="2"/>
      <c r="L102" s="2" t="s">
        <v>57</v>
      </c>
      <c r="M102" s="2"/>
      <c r="N102" s="2"/>
      <c r="O102" s="2" t="s">
        <v>1142</v>
      </c>
      <c r="P102" s="2" t="s">
        <v>52</v>
      </c>
      <c r="Q102" s="2" t="s">
        <v>52</v>
      </c>
      <c r="R102" s="2"/>
      <c r="S102" s="2"/>
      <c r="T102" s="2" t="s">
        <v>576</v>
      </c>
      <c r="U102" s="2"/>
      <c r="V102" s="2" t="s">
        <v>52</v>
      </c>
      <c r="W102" s="2"/>
      <c r="X102" s="2" t="s">
        <v>53</v>
      </c>
      <c r="Y102" s="2" t="s">
        <v>1143</v>
      </c>
      <c r="Z102" s="2" t="s">
        <v>698</v>
      </c>
      <c r="AA102" s="2"/>
      <c r="AB102" s="2"/>
      <c r="AC102" s="2" t="s">
        <v>58</v>
      </c>
      <c r="AD102" s="2"/>
    </row>
    <row r="103" spans="1:30" ht="409.5" x14ac:dyDescent="0.25">
      <c r="A103" s="2" t="s">
        <v>315</v>
      </c>
      <c r="B103" s="2" t="s">
        <v>316</v>
      </c>
      <c r="C103" s="2" t="s">
        <v>1144</v>
      </c>
      <c r="D103" s="2" t="s">
        <v>548</v>
      </c>
      <c r="E103" s="2" t="s">
        <v>317</v>
      </c>
      <c r="F103" s="2" t="s">
        <v>1145</v>
      </c>
      <c r="G103" s="2" t="s">
        <v>59</v>
      </c>
      <c r="H103" s="2"/>
      <c r="I103" s="2" t="s">
        <v>50</v>
      </c>
      <c r="J103" s="2"/>
      <c r="K103" s="2"/>
      <c r="L103" s="2" t="s">
        <v>51</v>
      </c>
      <c r="M103" s="2"/>
      <c r="N103" s="2"/>
      <c r="O103" s="2" t="s">
        <v>1146</v>
      </c>
      <c r="P103" s="2" t="s">
        <v>59</v>
      </c>
      <c r="Q103" s="2" t="s">
        <v>59</v>
      </c>
      <c r="R103" s="2"/>
      <c r="S103" s="2"/>
      <c r="T103" s="2" t="s">
        <v>53</v>
      </c>
      <c r="U103" s="2" t="s">
        <v>1147</v>
      </c>
      <c r="V103" s="2" t="s">
        <v>52</v>
      </c>
      <c r="W103" s="2"/>
      <c r="X103" s="2" t="s">
        <v>53</v>
      </c>
      <c r="Y103" s="2" t="s">
        <v>1148</v>
      </c>
      <c r="Z103" s="2" t="s">
        <v>577</v>
      </c>
      <c r="AA103" s="2"/>
      <c r="AB103" s="2"/>
      <c r="AC103" s="2" t="s">
        <v>8</v>
      </c>
      <c r="AD103" s="2"/>
    </row>
    <row r="104" spans="1:30" ht="45" x14ac:dyDescent="0.25">
      <c r="A104" s="2" t="s">
        <v>318</v>
      </c>
      <c r="B104" s="2" t="s">
        <v>319</v>
      </c>
      <c r="C104" s="2" t="s">
        <v>1149</v>
      </c>
      <c r="D104" s="2" t="s">
        <v>548</v>
      </c>
      <c r="E104" s="2" t="s">
        <v>320</v>
      </c>
      <c r="F104" s="2" t="s">
        <v>1150</v>
      </c>
      <c r="G104" s="2" t="s">
        <v>52</v>
      </c>
      <c r="H104" s="2"/>
      <c r="I104" s="2" t="s">
        <v>52</v>
      </c>
      <c r="J104" s="2"/>
      <c r="K104" s="2"/>
      <c r="L104" s="2" t="s">
        <v>8</v>
      </c>
      <c r="M104" s="2"/>
      <c r="N104" s="2"/>
      <c r="O104" s="2" t="s">
        <v>1151</v>
      </c>
      <c r="P104" s="2" t="s">
        <v>59</v>
      </c>
      <c r="Q104" s="2" t="s">
        <v>49</v>
      </c>
      <c r="R104" s="2"/>
      <c r="S104" s="2"/>
      <c r="T104" s="2" t="s">
        <v>576</v>
      </c>
      <c r="U104" s="2"/>
      <c r="V104" s="2" t="s">
        <v>53</v>
      </c>
      <c r="W104" s="2" t="s">
        <v>1152</v>
      </c>
      <c r="X104" s="2" t="s">
        <v>53</v>
      </c>
      <c r="Y104" s="2" t="s">
        <v>1153</v>
      </c>
      <c r="Z104" s="2"/>
      <c r="AA104" s="2"/>
      <c r="AB104" s="2"/>
      <c r="AC104" s="2" t="s">
        <v>64</v>
      </c>
      <c r="AD104" s="2"/>
    </row>
    <row r="105" spans="1:30" ht="409.5" x14ac:dyDescent="0.25">
      <c r="A105" s="2" t="s">
        <v>321</v>
      </c>
      <c r="B105" s="2" t="s">
        <v>321</v>
      </c>
      <c r="C105" s="2" t="s">
        <v>1154</v>
      </c>
      <c r="D105" s="2" t="s">
        <v>682</v>
      </c>
      <c r="E105" s="2" t="s">
        <v>322</v>
      </c>
      <c r="F105" s="2" t="s">
        <v>1155</v>
      </c>
      <c r="G105" s="2" t="s">
        <v>53</v>
      </c>
      <c r="H105" s="2" t="s">
        <v>1156</v>
      </c>
      <c r="I105" s="2" t="s">
        <v>52</v>
      </c>
      <c r="J105" s="2" t="s">
        <v>1157</v>
      </c>
      <c r="K105" s="2"/>
      <c r="L105" s="2" t="s">
        <v>114</v>
      </c>
      <c r="M105" s="2" t="s">
        <v>323</v>
      </c>
      <c r="N105" s="2"/>
      <c r="O105" s="2" t="s">
        <v>1158</v>
      </c>
      <c r="P105" s="2" t="s">
        <v>53</v>
      </c>
      <c r="Q105" s="2" t="s">
        <v>49</v>
      </c>
      <c r="R105" s="2"/>
      <c r="S105" s="2"/>
      <c r="T105" s="2" t="s">
        <v>53</v>
      </c>
      <c r="U105" s="2" t="s">
        <v>1159</v>
      </c>
      <c r="V105" s="2" t="s">
        <v>49</v>
      </c>
      <c r="W105" s="2"/>
      <c r="X105" s="2" t="s">
        <v>53</v>
      </c>
      <c r="Y105" s="2" t="s">
        <v>1160</v>
      </c>
      <c r="Z105" s="2"/>
      <c r="AA105" s="2"/>
      <c r="AB105" s="2"/>
      <c r="AC105" s="2" t="s">
        <v>58</v>
      </c>
      <c r="AD105" s="2" t="s">
        <v>1161</v>
      </c>
    </row>
    <row r="106" spans="1:30" ht="90" x14ac:dyDescent="0.25">
      <c r="A106" s="2" t="s">
        <v>324</v>
      </c>
      <c r="B106" s="2" t="s">
        <v>248</v>
      </c>
      <c r="C106" s="2" t="s">
        <v>1162</v>
      </c>
      <c r="D106" s="2" t="s">
        <v>548</v>
      </c>
      <c r="E106" s="2" t="s">
        <v>325</v>
      </c>
      <c r="F106" s="2" t="s">
        <v>1163</v>
      </c>
      <c r="G106" s="2" t="s">
        <v>53</v>
      </c>
      <c r="H106" s="2" t="s">
        <v>1164</v>
      </c>
      <c r="I106" s="2" t="s">
        <v>49</v>
      </c>
      <c r="J106" s="2" t="s">
        <v>1165</v>
      </c>
      <c r="K106" s="2"/>
      <c r="L106" s="2" t="s">
        <v>51</v>
      </c>
      <c r="M106" s="2"/>
      <c r="N106" s="2" t="s">
        <v>23</v>
      </c>
      <c r="O106" s="2"/>
      <c r="P106" s="2" t="s">
        <v>53</v>
      </c>
      <c r="Q106" s="2" t="s">
        <v>52</v>
      </c>
      <c r="R106" s="2"/>
      <c r="S106" s="2"/>
      <c r="T106" s="2" t="s">
        <v>576</v>
      </c>
      <c r="U106" s="2"/>
      <c r="V106" s="2" t="s">
        <v>53</v>
      </c>
      <c r="W106" s="2" t="s">
        <v>1166</v>
      </c>
      <c r="X106" s="2" t="s">
        <v>52</v>
      </c>
      <c r="Y106" s="2"/>
      <c r="Z106" s="2"/>
      <c r="AA106" s="2"/>
      <c r="AB106" s="2"/>
      <c r="AC106" s="2" t="s">
        <v>64</v>
      </c>
      <c r="AD106" s="2" t="s">
        <v>1167</v>
      </c>
    </row>
    <row r="107" spans="1:30" ht="45" x14ac:dyDescent="0.25">
      <c r="A107" s="2" t="s">
        <v>326</v>
      </c>
      <c r="B107" s="2" t="s">
        <v>327</v>
      </c>
      <c r="C107" s="2" t="s">
        <v>1168</v>
      </c>
      <c r="D107" s="2" t="s">
        <v>682</v>
      </c>
      <c r="E107" s="2" t="s">
        <v>328</v>
      </c>
      <c r="F107" s="2" t="s">
        <v>1169</v>
      </c>
      <c r="G107" s="2" t="s">
        <v>49</v>
      </c>
      <c r="H107" s="2"/>
      <c r="I107" s="2" t="s">
        <v>59</v>
      </c>
      <c r="J107" s="2"/>
      <c r="K107" s="2"/>
      <c r="L107" s="2" t="s">
        <v>8</v>
      </c>
      <c r="M107" s="2"/>
      <c r="N107" s="2"/>
      <c r="O107" s="2"/>
      <c r="P107" s="2" t="s">
        <v>59</v>
      </c>
      <c r="Q107" s="2" t="s">
        <v>49</v>
      </c>
      <c r="R107" s="2"/>
      <c r="S107" s="2"/>
      <c r="T107" s="2" t="s">
        <v>576</v>
      </c>
      <c r="U107" s="2"/>
      <c r="V107" s="2" t="s">
        <v>52</v>
      </c>
      <c r="W107" s="2"/>
      <c r="X107" s="2" t="s">
        <v>52</v>
      </c>
      <c r="Y107" s="2"/>
      <c r="Z107" s="2"/>
      <c r="AA107" s="2"/>
      <c r="AB107" s="2"/>
      <c r="AC107" s="2" t="s">
        <v>58</v>
      </c>
      <c r="AD107" s="2"/>
    </row>
    <row r="108" spans="1:30" ht="135" x14ac:dyDescent="0.25">
      <c r="A108" s="2" t="s">
        <v>329</v>
      </c>
      <c r="B108" s="2" t="s">
        <v>184</v>
      </c>
      <c r="C108" s="2" t="s">
        <v>1170</v>
      </c>
      <c r="D108" s="2" t="s">
        <v>682</v>
      </c>
      <c r="E108" s="2" t="s">
        <v>98</v>
      </c>
      <c r="F108" s="2" t="s">
        <v>1171</v>
      </c>
      <c r="G108" s="2" t="s">
        <v>53</v>
      </c>
      <c r="H108" s="2" t="s">
        <v>836</v>
      </c>
      <c r="I108" s="2" t="s">
        <v>59</v>
      </c>
      <c r="J108" s="2" t="s">
        <v>1172</v>
      </c>
      <c r="K108" s="2"/>
      <c r="L108" s="2" t="s">
        <v>51</v>
      </c>
      <c r="M108" s="2"/>
      <c r="N108" s="2" t="s">
        <v>23</v>
      </c>
      <c r="O108" s="2"/>
      <c r="P108" s="2" t="s">
        <v>50</v>
      </c>
      <c r="Q108" s="2" t="s">
        <v>52</v>
      </c>
      <c r="R108" s="2"/>
      <c r="S108" s="2"/>
      <c r="T108" s="2" t="s">
        <v>576</v>
      </c>
      <c r="U108" s="2"/>
      <c r="V108" s="2" t="s">
        <v>49</v>
      </c>
      <c r="W108" s="2"/>
      <c r="X108" s="2" t="s">
        <v>53</v>
      </c>
      <c r="Y108" s="2" t="s">
        <v>838</v>
      </c>
      <c r="Z108" s="2"/>
      <c r="AA108" s="2"/>
      <c r="AB108" s="2"/>
      <c r="AC108" s="2" t="s">
        <v>58</v>
      </c>
      <c r="AD108" s="2"/>
    </row>
    <row r="109" spans="1:30" ht="105" x14ac:dyDescent="0.25">
      <c r="A109" s="2" t="s">
        <v>330</v>
      </c>
      <c r="B109" s="2" t="s">
        <v>331</v>
      </c>
      <c r="C109" s="2" t="s">
        <v>1173</v>
      </c>
      <c r="D109" s="2" t="s">
        <v>548</v>
      </c>
      <c r="E109" s="2" t="s">
        <v>332</v>
      </c>
      <c r="F109" s="2" t="s">
        <v>1174</v>
      </c>
      <c r="G109" s="2" t="s">
        <v>53</v>
      </c>
      <c r="H109" s="2" t="s">
        <v>1175</v>
      </c>
      <c r="I109" s="2" t="s">
        <v>53</v>
      </c>
      <c r="J109" s="2" t="s">
        <v>1176</v>
      </c>
      <c r="K109" s="2" t="s">
        <v>1177</v>
      </c>
      <c r="L109" s="2" t="s">
        <v>51</v>
      </c>
      <c r="M109" s="2"/>
      <c r="N109" s="2"/>
      <c r="O109" s="2"/>
      <c r="P109" s="2" t="s">
        <v>53</v>
      </c>
      <c r="Q109" s="2" t="s">
        <v>53</v>
      </c>
      <c r="R109" s="2" t="s">
        <v>1178</v>
      </c>
      <c r="S109" s="2" t="s">
        <v>575</v>
      </c>
      <c r="T109" s="2" t="s">
        <v>53</v>
      </c>
      <c r="U109" s="2" t="s">
        <v>1179</v>
      </c>
      <c r="V109" s="2" t="s">
        <v>59</v>
      </c>
      <c r="W109" s="2"/>
      <c r="X109" s="2" t="s">
        <v>50</v>
      </c>
      <c r="Y109" s="2"/>
      <c r="Z109" s="2"/>
      <c r="AA109" s="2"/>
      <c r="AB109" s="2"/>
      <c r="AC109" s="2" t="s">
        <v>58</v>
      </c>
      <c r="AD109" s="2" t="s">
        <v>1177</v>
      </c>
    </row>
    <row r="110" spans="1:30" ht="300" x14ac:dyDescent="0.25">
      <c r="A110" s="2" t="s">
        <v>333</v>
      </c>
      <c r="B110" s="2" t="s">
        <v>165</v>
      </c>
      <c r="C110" s="2" t="s">
        <v>1180</v>
      </c>
      <c r="D110" s="2" t="s">
        <v>548</v>
      </c>
      <c r="E110" s="2" t="s">
        <v>334</v>
      </c>
      <c r="F110" s="2" t="s">
        <v>1181</v>
      </c>
      <c r="G110" s="2" t="s">
        <v>53</v>
      </c>
      <c r="H110" s="2" t="s">
        <v>1182</v>
      </c>
      <c r="I110" s="2" t="s">
        <v>53</v>
      </c>
      <c r="J110" s="2" t="s">
        <v>1183</v>
      </c>
      <c r="K110" s="2" t="s">
        <v>1184</v>
      </c>
      <c r="L110" s="2" t="s">
        <v>51</v>
      </c>
      <c r="M110" s="2"/>
      <c r="N110" s="2"/>
      <c r="O110" s="2" t="s">
        <v>1185</v>
      </c>
      <c r="P110" s="2" t="s">
        <v>53</v>
      </c>
      <c r="Q110" s="2" t="s">
        <v>49</v>
      </c>
      <c r="R110" s="2"/>
      <c r="S110" s="2"/>
      <c r="T110" s="2" t="s">
        <v>576</v>
      </c>
      <c r="U110" s="2"/>
      <c r="V110" s="2" t="s">
        <v>52</v>
      </c>
      <c r="W110" s="2"/>
      <c r="X110" s="2" t="s">
        <v>53</v>
      </c>
      <c r="Y110" s="2" t="s">
        <v>1186</v>
      </c>
      <c r="Z110" s="2" t="s">
        <v>562</v>
      </c>
      <c r="AA110" s="2"/>
      <c r="AB110" s="2"/>
      <c r="AC110" s="2" t="s">
        <v>58</v>
      </c>
      <c r="AD110" s="2" t="s">
        <v>1187</v>
      </c>
    </row>
    <row r="111" spans="1:30" ht="330" x14ac:dyDescent="0.25">
      <c r="A111" s="2" t="s">
        <v>335</v>
      </c>
      <c r="B111" s="2" t="s">
        <v>336</v>
      </c>
      <c r="C111" s="2" t="s">
        <v>1188</v>
      </c>
      <c r="D111" s="2" t="s">
        <v>548</v>
      </c>
      <c r="E111" s="2" t="s">
        <v>122</v>
      </c>
      <c r="F111" s="2" t="s">
        <v>1189</v>
      </c>
      <c r="G111" s="2" t="s">
        <v>53</v>
      </c>
      <c r="H111" s="2" t="s">
        <v>1190</v>
      </c>
      <c r="I111" s="2" t="s">
        <v>53</v>
      </c>
      <c r="J111" s="2" t="s">
        <v>1191</v>
      </c>
      <c r="K111" s="2" t="s">
        <v>1192</v>
      </c>
      <c r="L111" s="2" t="s">
        <v>51</v>
      </c>
      <c r="M111" s="2"/>
      <c r="N111" s="2"/>
      <c r="O111" s="2"/>
      <c r="P111" s="2" t="s">
        <v>53</v>
      </c>
      <c r="Q111" s="2" t="s">
        <v>53</v>
      </c>
      <c r="R111" s="2" t="s">
        <v>1193</v>
      </c>
      <c r="S111" s="2" t="s">
        <v>575</v>
      </c>
      <c r="T111" s="2" t="s">
        <v>576</v>
      </c>
      <c r="U111" s="2"/>
      <c r="V111" s="2" t="s">
        <v>53</v>
      </c>
      <c r="W111" s="2" t="s">
        <v>1194</v>
      </c>
      <c r="X111" s="2" t="s">
        <v>53</v>
      </c>
      <c r="Y111" s="2" t="s">
        <v>1195</v>
      </c>
      <c r="Z111" s="2" t="s">
        <v>562</v>
      </c>
      <c r="AA111" s="2"/>
      <c r="AB111" s="2"/>
      <c r="AC111" s="2" t="s">
        <v>58</v>
      </c>
      <c r="AD111" s="2" t="s">
        <v>1190</v>
      </c>
    </row>
    <row r="112" spans="1:30" ht="165" x14ac:dyDescent="0.25">
      <c r="A112" s="2" t="s">
        <v>337</v>
      </c>
      <c r="B112" s="2" t="s">
        <v>209</v>
      </c>
      <c r="C112" s="2" t="s">
        <v>1196</v>
      </c>
      <c r="D112" s="2" t="s">
        <v>755</v>
      </c>
      <c r="E112" s="2" t="s">
        <v>63</v>
      </c>
      <c r="F112" s="2" t="s">
        <v>1197</v>
      </c>
      <c r="G112" s="2" t="s">
        <v>52</v>
      </c>
      <c r="H112" s="2"/>
      <c r="I112" s="2" t="s">
        <v>52</v>
      </c>
      <c r="J112" s="2" t="s">
        <v>1198</v>
      </c>
      <c r="K112" s="2"/>
      <c r="L112" s="2" t="s">
        <v>51</v>
      </c>
      <c r="M112" s="2"/>
      <c r="N112" s="2"/>
      <c r="O112" s="2"/>
      <c r="P112" s="2" t="s">
        <v>50</v>
      </c>
      <c r="Q112" s="2" t="s">
        <v>50</v>
      </c>
      <c r="R112" s="2"/>
      <c r="S112" s="2"/>
      <c r="T112" s="2" t="s">
        <v>576</v>
      </c>
      <c r="U112" s="2" t="s">
        <v>1199</v>
      </c>
      <c r="V112" s="2" t="s">
        <v>53</v>
      </c>
      <c r="W112" s="2" t="s">
        <v>1200</v>
      </c>
      <c r="X112" s="2" t="s">
        <v>53</v>
      </c>
      <c r="Y112" s="2" t="s">
        <v>1201</v>
      </c>
      <c r="Z112" s="2"/>
      <c r="AA112" s="2"/>
      <c r="AB112" s="2"/>
      <c r="AC112" s="2" t="s">
        <v>64</v>
      </c>
      <c r="AD112" s="2"/>
    </row>
    <row r="113" spans="1:30" ht="90" x14ac:dyDescent="0.25">
      <c r="A113" s="2" t="s">
        <v>339</v>
      </c>
      <c r="B113" s="2" t="s">
        <v>248</v>
      </c>
      <c r="C113" s="2" t="s">
        <v>1202</v>
      </c>
      <c r="D113" s="2" t="s">
        <v>548</v>
      </c>
      <c r="E113" s="2" t="s">
        <v>297</v>
      </c>
      <c r="F113" s="2" t="s">
        <v>1203</v>
      </c>
      <c r="G113" s="2" t="s">
        <v>53</v>
      </c>
      <c r="H113" s="2" t="s">
        <v>1164</v>
      </c>
      <c r="I113" s="2" t="s">
        <v>49</v>
      </c>
      <c r="J113" s="2" t="s">
        <v>1204</v>
      </c>
      <c r="K113" s="2"/>
      <c r="L113" s="2" t="s">
        <v>51</v>
      </c>
      <c r="M113" s="2"/>
      <c r="N113" s="2" t="s">
        <v>23</v>
      </c>
      <c r="O113" s="2"/>
      <c r="P113" s="2" t="s">
        <v>53</v>
      </c>
      <c r="Q113" s="2" t="s">
        <v>53</v>
      </c>
      <c r="R113" s="2" t="s">
        <v>1205</v>
      </c>
      <c r="S113" s="2" t="s">
        <v>575</v>
      </c>
      <c r="T113" s="2" t="s">
        <v>53</v>
      </c>
      <c r="U113" s="2" t="s">
        <v>1206</v>
      </c>
      <c r="V113" s="2" t="s">
        <v>53</v>
      </c>
      <c r="W113" s="2" t="s">
        <v>1166</v>
      </c>
      <c r="X113" s="2" t="s">
        <v>53</v>
      </c>
      <c r="Y113" s="2" t="s">
        <v>1207</v>
      </c>
      <c r="Z113" s="2"/>
      <c r="AA113" s="2"/>
      <c r="AB113" s="2"/>
      <c r="AC113" s="2" t="s">
        <v>64</v>
      </c>
      <c r="AD113" s="2" t="s">
        <v>1167</v>
      </c>
    </row>
  </sheetData>
  <autoFilter ref="A1:AD113"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3"/>
  <sheetViews>
    <sheetView workbookViewId="0">
      <pane ySplit="1" topLeftCell="A2" activePane="bottomLeft" state="frozen"/>
      <selection pane="bottomLeft"/>
    </sheetView>
  </sheetViews>
  <sheetFormatPr defaultRowHeight="15" x14ac:dyDescent="0.25"/>
  <cols>
    <col min="1" max="1" width="42" customWidth="1"/>
    <col min="2" max="2" width="34" customWidth="1"/>
    <col min="3" max="3" width="78" customWidth="1"/>
    <col min="4" max="4" width="82" customWidth="1"/>
  </cols>
  <sheetData>
    <row r="1" spans="1:4" ht="32.1" customHeight="1" x14ac:dyDescent="0.25">
      <c r="A1" s="1" t="s">
        <v>1208</v>
      </c>
      <c r="B1" s="1" t="s">
        <v>1209</v>
      </c>
      <c r="C1" s="1" t="s">
        <v>1210</v>
      </c>
      <c r="D1" s="1" t="s">
        <v>1211</v>
      </c>
    </row>
    <row r="2" spans="1:4" x14ac:dyDescent="0.25">
      <c r="A2" s="2" t="s">
        <v>349</v>
      </c>
      <c r="B2" s="2" t="s">
        <v>1212</v>
      </c>
      <c r="C2" s="2" t="s">
        <v>1213</v>
      </c>
      <c r="D2" s="2" t="s">
        <v>1214</v>
      </c>
    </row>
    <row r="3" spans="1:4" x14ac:dyDescent="0.25">
      <c r="A3" s="2" t="s">
        <v>529</v>
      </c>
      <c r="B3" s="2" t="s">
        <v>1215</v>
      </c>
      <c r="C3" s="2" t="s">
        <v>1216</v>
      </c>
      <c r="D3" s="2" t="s">
        <v>1217</v>
      </c>
    </row>
    <row r="4" spans="1:4" x14ac:dyDescent="0.25">
      <c r="A4" s="2" t="s">
        <v>530</v>
      </c>
      <c r="B4" s="2" t="s">
        <v>1218</v>
      </c>
      <c r="C4" s="2" t="s">
        <v>1219</v>
      </c>
      <c r="D4" s="2" t="s">
        <v>1220</v>
      </c>
    </row>
    <row r="5" spans="1:4" x14ac:dyDescent="0.25">
      <c r="A5" s="2" t="s">
        <v>531</v>
      </c>
      <c r="B5" s="2" t="s">
        <v>1221</v>
      </c>
      <c r="C5" s="2" t="s">
        <v>1222</v>
      </c>
      <c r="D5" s="2" t="s">
        <v>1223</v>
      </c>
    </row>
    <row r="6" spans="1:4" x14ac:dyDescent="0.25">
      <c r="A6" s="2" t="s">
        <v>532</v>
      </c>
      <c r="B6" s="2" t="s">
        <v>1224</v>
      </c>
      <c r="C6" s="2" t="s">
        <v>1225</v>
      </c>
      <c r="D6" s="2" t="s">
        <v>1217</v>
      </c>
    </row>
    <row r="7" spans="1:4" x14ac:dyDescent="0.25">
      <c r="A7" s="2" t="s">
        <v>533</v>
      </c>
      <c r="B7" s="2" t="s">
        <v>1226</v>
      </c>
      <c r="C7" s="2" t="s">
        <v>1227</v>
      </c>
      <c r="D7" s="2" t="s">
        <v>1228</v>
      </c>
    </row>
    <row r="8" spans="1:4" x14ac:dyDescent="0.25">
      <c r="A8" s="2" t="s">
        <v>534</v>
      </c>
      <c r="B8" s="2" t="s">
        <v>1229</v>
      </c>
      <c r="C8" s="2" t="s">
        <v>1230</v>
      </c>
      <c r="D8" s="2" t="s">
        <v>1231</v>
      </c>
    </row>
    <row r="9" spans="1:4" x14ac:dyDescent="0.25">
      <c r="A9" s="2" t="s">
        <v>535</v>
      </c>
      <c r="B9" s="2" t="s">
        <v>1232</v>
      </c>
      <c r="C9" s="2" t="s">
        <v>1233</v>
      </c>
      <c r="D9" s="2" t="s">
        <v>1234</v>
      </c>
    </row>
    <row r="10" spans="1:4" x14ac:dyDescent="0.25">
      <c r="A10" s="2" t="s">
        <v>536</v>
      </c>
      <c r="B10" s="2" t="s">
        <v>1235</v>
      </c>
      <c r="C10" s="2" t="s">
        <v>1236</v>
      </c>
      <c r="D10" s="2" t="s">
        <v>1231</v>
      </c>
    </row>
    <row r="11" spans="1:4" x14ac:dyDescent="0.25">
      <c r="A11" s="2" t="s">
        <v>355</v>
      </c>
      <c r="B11" s="2" t="s">
        <v>1237</v>
      </c>
      <c r="C11" s="2" t="s">
        <v>1238</v>
      </c>
      <c r="D11" s="2" t="s">
        <v>1239</v>
      </c>
    </row>
    <row r="12" spans="1:4" x14ac:dyDescent="0.25">
      <c r="A12" s="2" t="s">
        <v>363</v>
      </c>
      <c r="B12" s="2" t="s">
        <v>1240</v>
      </c>
      <c r="C12" s="2" t="s">
        <v>1241</v>
      </c>
      <c r="D12" s="2" t="s">
        <v>1242</v>
      </c>
    </row>
    <row r="13" spans="1:4" x14ac:dyDescent="0.25">
      <c r="A13" s="2" t="s">
        <v>537</v>
      </c>
      <c r="B13" s="2" t="s">
        <v>1243</v>
      </c>
      <c r="C13" s="2" t="s">
        <v>1244</v>
      </c>
      <c r="D13" s="2" t="s">
        <v>1217</v>
      </c>
    </row>
    <row r="14" spans="1:4" x14ac:dyDescent="0.25">
      <c r="A14" s="2" t="s">
        <v>538</v>
      </c>
      <c r="B14" s="2" t="s">
        <v>1245</v>
      </c>
      <c r="C14" s="2" t="s">
        <v>1246</v>
      </c>
      <c r="D14" s="2" t="s">
        <v>1247</v>
      </c>
    </row>
    <row r="15" spans="1:4" x14ac:dyDescent="0.25">
      <c r="A15" s="2" t="s">
        <v>539</v>
      </c>
      <c r="B15" s="2" t="s">
        <v>1248</v>
      </c>
      <c r="C15" s="2" t="s">
        <v>1249</v>
      </c>
      <c r="D15" s="2" t="s">
        <v>1250</v>
      </c>
    </row>
    <row r="16" spans="1:4" x14ac:dyDescent="0.25">
      <c r="A16" s="2" t="s">
        <v>540</v>
      </c>
      <c r="B16" s="2" t="s">
        <v>1251</v>
      </c>
      <c r="C16" s="2" t="s">
        <v>1252</v>
      </c>
      <c r="D16" s="2" t="s">
        <v>1217</v>
      </c>
    </row>
    <row r="17" spans="1:4" x14ac:dyDescent="0.25">
      <c r="A17" s="2" t="s">
        <v>368</v>
      </c>
      <c r="B17" s="2" t="s">
        <v>1253</v>
      </c>
      <c r="C17" s="2" t="s">
        <v>1254</v>
      </c>
      <c r="D17" s="2" t="s">
        <v>1255</v>
      </c>
    </row>
    <row r="18" spans="1:4" x14ac:dyDescent="0.25">
      <c r="A18" s="2" t="s">
        <v>541</v>
      </c>
      <c r="B18" s="2" t="s">
        <v>1256</v>
      </c>
      <c r="C18" s="2" t="s">
        <v>1257</v>
      </c>
      <c r="D18" s="2" t="s">
        <v>1217</v>
      </c>
    </row>
    <row r="19" spans="1:4" x14ac:dyDescent="0.25">
      <c r="A19" s="2" t="s">
        <v>371</v>
      </c>
      <c r="B19" s="2" t="s">
        <v>1258</v>
      </c>
      <c r="C19" s="2" t="s">
        <v>1259</v>
      </c>
      <c r="D19" s="2" t="s">
        <v>1260</v>
      </c>
    </row>
    <row r="20" spans="1:4" x14ac:dyDescent="0.25">
      <c r="A20" s="2" t="s">
        <v>542</v>
      </c>
      <c r="B20" s="2" t="s">
        <v>1261</v>
      </c>
      <c r="C20" s="2" t="s">
        <v>1262</v>
      </c>
      <c r="D20" s="2" t="s">
        <v>1217</v>
      </c>
    </row>
    <row r="21" spans="1:4" x14ac:dyDescent="0.25">
      <c r="A21" s="2" t="s">
        <v>543</v>
      </c>
      <c r="B21" s="2" t="s">
        <v>1263</v>
      </c>
      <c r="C21" s="2" t="s">
        <v>1264</v>
      </c>
      <c r="D21" s="2" t="s">
        <v>1265</v>
      </c>
    </row>
    <row r="22" spans="1:4" x14ac:dyDescent="0.25">
      <c r="A22" s="2" t="s">
        <v>374</v>
      </c>
      <c r="B22" s="2" t="s">
        <v>1266</v>
      </c>
      <c r="C22" s="2" t="s">
        <v>1267</v>
      </c>
      <c r="D22" s="2" t="s">
        <v>1268</v>
      </c>
    </row>
    <row r="23" spans="1:4" x14ac:dyDescent="0.25">
      <c r="A23" s="2" t="s">
        <v>546</v>
      </c>
      <c r="B23" s="2" t="s">
        <v>1269</v>
      </c>
      <c r="C23" s="2" t="s">
        <v>1270</v>
      </c>
      <c r="D23" s="2" t="s">
        <v>1217</v>
      </c>
    </row>
  </sheetData>
  <autoFilter ref="A1:D23"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Scoring</vt:lpstr>
      <vt:lpstr>Metric Rules</vt:lpstr>
      <vt:lpstr>Methodology</vt:lpstr>
      <vt:lpstr>Parameters</vt:lpstr>
      <vt:lpstr>Diagnostics</vt:lpstr>
      <vt:lpstr>Sensitivity</vt:lpstr>
      <vt:lpstr>Coverage</vt:lpstr>
      <vt:lpstr>Verification</vt:lpstr>
      <vt:lpstr>Review Queue</vt:lpstr>
      <vt:lpstr>Calc</vt:lpstr>
      <vt:lpstr>Data</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Sanya Gupta</cp:lastModifiedBy>
  <dcterms:created xsi:type="dcterms:W3CDTF">2026-10-15T10:49:18Z</dcterms:created>
  <dcterms:modified xsi:type="dcterms:W3CDTF">2026-10-15T11:02:34Z</dcterms:modified>
</cp:coreProperties>
</file>