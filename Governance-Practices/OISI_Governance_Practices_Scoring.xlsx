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itdc\Downloads\"/>
    </mc:Choice>
  </mc:AlternateContent>
  <xr:revisionPtr revIDLastSave="0" documentId="13_ncr:1_{4C9D647E-8BBE-41EE-8D0C-B523F2B2B0C3}" xr6:coauthVersionLast="47" xr6:coauthVersionMax="47" xr10:uidLastSave="{00000000-0000-0000-0000-000000000000}"/>
  <bookViews>
    <workbookView xWindow="-120" yWindow="-120" windowWidth="29040" windowHeight="15720" tabRatio="500" activeTab="5" xr2:uid="{00000000-000D-0000-FFFF-FFFF00000000}"/>
  </bookViews>
  <sheets>
    <sheet name="Method" sheetId="1" r:id="rId1"/>
    <sheet name="Parameters" sheetId="2" r:id="rId2"/>
    <sheet name="Scores" sheetId="3" r:id="rId3"/>
    <sheet name="Diagnostics" sheetId="4" r:id="rId4"/>
    <sheet name="Sensitivity" sheetId="5" r:id="rId5"/>
    <sheet name="Data" sheetId="6" r:id="rId6"/>
  </sheets>
  <definedNames>
    <definedName name="_xlnm._FilterDatabase" localSheetId="2" hidden="1">Scores!$A$1:$AM$113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5" i="4" l="1"/>
  <c r="B35" i="4"/>
  <c r="D35" i="4" s="1"/>
  <c r="C34" i="4"/>
  <c r="B34" i="4"/>
  <c r="D34" i="4" s="1"/>
  <c r="C33" i="4"/>
  <c r="B33" i="4"/>
  <c r="C32" i="4"/>
  <c r="B32" i="4"/>
  <c r="D32" i="4" s="1"/>
  <c r="C31" i="4"/>
  <c r="B31" i="4"/>
  <c r="D31" i="4" s="1"/>
  <c r="C30" i="4"/>
  <c r="B30" i="4"/>
  <c r="D30" i="4" s="1"/>
  <c r="C29" i="4"/>
  <c r="B29" i="4"/>
  <c r="B17" i="4"/>
  <c r="AM49" i="3"/>
  <c r="AE49" i="3"/>
  <c r="AD49" i="3"/>
  <c r="AC49" i="3"/>
  <c r="AB49" i="3"/>
  <c r="AA49" i="3"/>
  <c r="Z49" i="3"/>
  <c r="Y49" i="3"/>
  <c r="X49" i="3"/>
  <c r="W49" i="3"/>
  <c r="V49" i="3"/>
  <c r="AM75" i="3"/>
  <c r="AE75" i="3"/>
  <c r="AD75" i="3"/>
  <c r="AC75" i="3"/>
  <c r="AB75" i="3"/>
  <c r="AA75" i="3"/>
  <c r="Z75" i="3"/>
  <c r="Y75" i="3"/>
  <c r="X75" i="3"/>
  <c r="W75" i="3"/>
  <c r="V75" i="3"/>
  <c r="AM5" i="3"/>
  <c r="AE5" i="3"/>
  <c r="AD5" i="3"/>
  <c r="AC5" i="3"/>
  <c r="AB5" i="3"/>
  <c r="AA5" i="3"/>
  <c r="Z5" i="3"/>
  <c r="Y5" i="3"/>
  <c r="X5" i="3"/>
  <c r="W5" i="3"/>
  <c r="V5" i="3"/>
  <c r="AM16" i="3"/>
  <c r="AE16" i="3"/>
  <c r="AD16" i="3"/>
  <c r="AC16" i="3"/>
  <c r="AB16" i="3"/>
  <c r="AA16" i="3"/>
  <c r="Z16" i="3"/>
  <c r="Y16" i="3"/>
  <c r="X16" i="3"/>
  <c r="W16" i="3"/>
  <c r="V16" i="3"/>
  <c r="AM39" i="3"/>
  <c r="AE39" i="3"/>
  <c r="AD39" i="3"/>
  <c r="AC39" i="3"/>
  <c r="AB39" i="3"/>
  <c r="AA39" i="3"/>
  <c r="Z39" i="3"/>
  <c r="Y39" i="3"/>
  <c r="X39" i="3"/>
  <c r="W39" i="3"/>
  <c r="V39" i="3"/>
  <c r="AM60" i="3"/>
  <c r="AE60" i="3"/>
  <c r="AD60" i="3"/>
  <c r="AC60" i="3"/>
  <c r="AB60" i="3"/>
  <c r="AA60" i="3"/>
  <c r="Z60" i="3"/>
  <c r="Y60" i="3"/>
  <c r="X60" i="3"/>
  <c r="W60" i="3"/>
  <c r="V60" i="3"/>
  <c r="AM86" i="3"/>
  <c r="AE86" i="3"/>
  <c r="AD86" i="3"/>
  <c r="AC86" i="3"/>
  <c r="AB86" i="3"/>
  <c r="AA86" i="3"/>
  <c r="Z86" i="3"/>
  <c r="Y86" i="3"/>
  <c r="X86" i="3"/>
  <c r="W86" i="3"/>
  <c r="V86" i="3"/>
  <c r="AM64" i="3"/>
  <c r="AE64" i="3"/>
  <c r="AD64" i="3"/>
  <c r="AC64" i="3"/>
  <c r="AB64" i="3"/>
  <c r="AA64" i="3"/>
  <c r="Z64" i="3"/>
  <c r="Y64" i="3"/>
  <c r="X64" i="3"/>
  <c r="W64" i="3"/>
  <c r="V64" i="3"/>
  <c r="AM44" i="3"/>
  <c r="AE44" i="3"/>
  <c r="AD44" i="3"/>
  <c r="AC44" i="3"/>
  <c r="AB44" i="3"/>
  <c r="AA44" i="3"/>
  <c r="Z44" i="3"/>
  <c r="Y44" i="3"/>
  <c r="X44" i="3"/>
  <c r="W44" i="3"/>
  <c r="V44" i="3"/>
  <c r="AM91" i="3"/>
  <c r="AE91" i="3"/>
  <c r="AD91" i="3"/>
  <c r="AC91" i="3"/>
  <c r="AB91" i="3"/>
  <c r="AA91" i="3"/>
  <c r="Z91" i="3"/>
  <c r="Y91" i="3"/>
  <c r="X91" i="3"/>
  <c r="W91" i="3"/>
  <c r="V91" i="3"/>
  <c r="AM100" i="3"/>
  <c r="AE100" i="3"/>
  <c r="AD100" i="3"/>
  <c r="AC100" i="3"/>
  <c r="AB100" i="3"/>
  <c r="AA100" i="3"/>
  <c r="Z100" i="3"/>
  <c r="Y100" i="3"/>
  <c r="X100" i="3"/>
  <c r="W100" i="3"/>
  <c r="V100" i="3"/>
  <c r="AM57" i="3"/>
  <c r="AE57" i="3"/>
  <c r="AD57" i="3"/>
  <c r="AC57" i="3"/>
  <c r="AB57" i="3"/>
  <c r="AA57" i="3"/>
  <c r="Z57" i="3"/>
  <c r="Y57" i="3"/>
  <c r="X57" i="3"/>
  <c r="W57" i="3"/>
  <c r="V57" i="3"/>
  <c r="AM97" i="3"/>
  <c r="AE97" i="3"/>
  <c r="AD97" i="3"/>
  <c r="AC97" i="3"/>
  <c r="AB97" i="3"/>
  <c r="AA97" i="3"/>
  <c r="Z97" i="3"/>
  <c r="Y97" i="3"/>
  <c r="X97" i="3"/>
  <c r="W97" i="3"/>
  <c r="V97" i="3"/>
  <c r="AM87" i="3"/>
  <c r="AE87" i="3"/>
  <c r="AD87" i="3"/>
  <c r="AC87" i="3"/>
  <c r="AB87" i="3"/>
  <c r="AA87" i="3"/>
  <c r="Z87" i="3"/>
  <c r="Y87" i="3"/>
  <c r="X87" i="3"/>
  <c r="W87" i="3"/>
  <c r="V87" i="3"/>
  <c r="AM25" i="3"/>
  <c r="AE25" i="3"/>
  <c r="AD25" i="3"/>
  <c r="AC25" i="3"/>
  <c r="AB25" i="3"/>
  <c r="AA25" i="3"/>
  <c r="Z25" i="3"/>
  <c r="Y25" i="3"/>
  <c r="X25" i="3"/>
  <c r="W25" i="3"/>
  <c r="V25" i="3"/>
  <c r="AM59" i="3"/>
  <c r="AE59" i="3"/>
  <c r="AD59" i="3"/>
  <c r="AC59" i="3"/>
  <c r="AB59" i="3"/>
  <c r="AA59" i="3"/>
  <c r="Z59" i="3"/>
  <c r="Y59" i="3"/>
  <c r="X59" i="3"/>
  <c r="W59" i="3"/>
  <c r="V59" i="3"/>
  <c r="AM92" i="3"/>
  <c r="AE92" i="3"/>
  <c r="AD92" i="3"/>
  <c r="AC92" i="3"/>
  <c r="AB92" i="3"/>
  <c r="AA92" i="3"/>
  <c r="Z92" i="3"/>
  <c r="Y92" i="3"/>
  <c r="X92" i="3"/>
  <c r="W92" i="3"/>
  <c r="V92" i="3"/>
  <c r="AM62" i="3"/>
  <c r="AE62" i="3"/>
  <c r="AD62" i="3"/>
  <c r="AC62" i="3"/>
  <c r="AB62" i="3"/>
  <c r="AA62" i="3"/>
  <c r="Z62" i="3"/>
  <c r="Y62" i="3"/>
  <c r="X62" i="3"/>
  <c r="W62" i="3"/>
  <c r="V62" i="3"/>
  <c r="AM107" i="3"/>
  <c r="AE107" i="3"/>
  <c r="AD107" i="3"/>
  <c r="AC107" i="3"/>
  <c r="AB107" i="3"/>
  <c r="AA107" i="3"/>
  <c r="Z107" i="3"/>
  <c r="Y107" i="3"/>
  <c r="X107" i="3"/>
  <c r="W107" i="3"/>
  <c r="V107" i="3"/>
  <c r="AM43" i="3"/>
  <c r="AE43" i="3"/>
  <c r="AD43" i="3"/>
  <c r="AC43" i="3"/>
  <c r="AB43" i="3"/>
  <c r="AA43" i="3"/>
  <c r="Z43" i="3"/>
  <c r="Y43" i="3"/>
  <c r="X43" i="3"/>
  <c r="W43" i="3"/>
  <c r="V43" i="3"/>
  <c r="AM79" i="3"/>
  <c r="AE79" i="3"/>
  <c r="AD79" i="3"/>
  <c r="AC79" i="3"/>
  <c r="AB79" i="3"/>
  <c r="AA79" i="3"/>
  <c r="Z79" i="3"/>
  <c r="Y79" i="3"/>
  <c r="X79" i="3"/>
  <c r="W79" i="3"/>
  <c r="V79" i="3"/>
  <c r="AM46" i="3"/>
  <c r="AE46" i="3"/>
  <c r="AD46" i="3"/>
  <c r="AC46" i="3"/>
  <c r="AB46" i="3"/>
  <c r="AA46" i="3"/>
  <c r="Z46" i="3"/>
  <c r="Y46" i="3"/>
  <c r="X46" i="3"/>
  <c r="W46" i="3"/>
  <c r="V46" i="3"/>
  <c r="AM98" i="3"/>
  <c r="AE98" i="3"/>
  <c r="AD98" i="3"/>
  <c r="AC98" i="3"/>
  <c r="AB98" i="3"/>
  <c r="AA98" i="3"/>
  <c r="Z98" i="3"/>
  <c r="Y98" i="3"/>
  <c r="X98" i="3"/>
  <c r="W98" i="3"/>
  <c r="V98" i="3"/>
  <c r="AM54" i="3"/>
  <c r="AE54" i="3"/>
  <c r="AD54" i="3"/>
  <c r="AC54" i="3"/>
  <c r="AB54" i="3"/>
  <c r="AA54" i="3"/>
  <c r="Z54" i="3"/>
  <c r="Y54" i="3"/>
  <c r="X54" i="3"/>
  <c r="W54" i="3"/>
  <c r="V54" i="3"/>
  <c r="AM8" i="3"/>
  <c r="AE8" i="3"/>
  <c r="AD8" i="3"/>
  <c r="AC8" i="3"/>
  <c r="AB8" i="3"/>
  <c r="AA8" i="3"/>
  <c r="Z8" i="3"/>
  <c r="Y8" i="3"/>
  <c r="X8" i="3"/>
  <c r="W8" i="3"/>
  <c r="V8" i="3"/>
  <c r="AM38" i="3"/>
  <c r="AE38" i="3"/>
  <c r="AD38" i="3"/>
  <c r="AC38" i="3"/>
  <c r="AB38" i="3"/>
  <c r="AA38" i="3"/>
  <c r="Z38" i="3"/>
  <c r="Y38" i="3"/>
  <c r="X38" i="3"/>
  <c r="W38" i="3"/>
  <c r="V38" i="3"/>
  <c r="AM99" i="3"/>
  <c r="AE99" i="3"/>
  <c r="AD99" i="3"/>
  <c r="AC99" i="3"/>
  <c r="AB99" i="3"/>
  <c r="AA99" i="3"/>
  <c r="Z99" i="3"/>
  <c r="Y99" i="3"/>
  <c r="X99" i="3"/>
  <c r="W99" i="3"/>
  <c r="V99" i="3"/>
  <c r="AM27" i="3"/>
  <c r="AE27" i="3"/>
  <c r="AD27" i="3"/>
  <c r="AC27" i="3"/>
  <c r="AB27" i="3"/>
  <c r="AA27" i="3"/>
  <c r="Z27" i="3"/>
  <c r="Y27" i="3"/>
  <c r="X27" i="3"/>
  <c r="W27" i="3"/>
  <c r="V27" i="3"/>
  <c r="AM82" i="3"/>
  <c r="AE82" i="3"/>
  <c r="AD82" i="3"/>
  <c r="AC82" i="3"/>
  <c r="AB82" i="3"/>
  <c r="AA82" i="3"/>
  <c r="Z82" i="3"/>
  <c r="Y82" i="3"/>
  <c r="X82" i="3"/>
  <c r="W82" i="3"/>
  <c r="V82" i="3"/>
  <c r="AM67" i="3"/>
  <c r="AE67" i="3"/>
  <c r="AD67" i="3"/>
  <c r="AC67" i="3"/>
  <c r="AB67" i="3"/>
  <c r="AA67" i="3"/>
  <c r="Z67" i="3"/>
  <c r="Y67" i="3"/>
  <c r="X67" i="3"/>
  <c r="W67" i="3"/>
  <c r="V67" i="3"/>
  <c r="AM24" i="3"/>
  <c r="AE24" i="3"/>
  <c r="AD24" i="3"/>
  <c r="AC24" i="3"/>
  <c r="AB24" i="3"/>
  <c r="AA24" i="3"/>
  <c r="Z24" i="3"/>
  <c r="Y24" i="3"/>
  <c r="X24" i="3"/>
  <c r="W24" i="3"/>
  <c r="V24" i="3"/>
  <c r="AM23" i="3"/>
  <c r="AE23" i="3"/>
  <c r="AD23" i="3"/>
  <c r="AC23" i="3"/>
  <c r="AB23" i="3"/>
  <c r="AA23" i="3"/>
  <c r="Z23" i="3"/>
  <c r="Y23" i="3"/>
  <c r="X23" i="3"/>
  <c r="W23" i="3"/>
  <c r="V23" i="3"/>
  <c r="AM22" i="3"/>
  <c r="AE22" i="3"/>
  <c r="AD22" i="3"/>
  <c r="AC22" i="3"/>
  <c r="AB22" i="3"/>
  <c r="AA22" i="3"/>
  <c r="Z22" i="3"/>
  <c r="Y22" i="3"/>
  <c r="X22" i="3"/>
  <c r="W22" i="3"/>
  <c r="V22" i="3"/>
  <c r="AM45" i="3"/>
  <c r="AE45" i="3"/>
  <c r="AD45" i="3"/>
  <c r="AC45" i="3"/>
  <c r="AB45" i="3"/>
  <c r="AA45" i="3"/>
  <c r="Z45" i="3"/>
  <c r="Y45" i="3"/>
  <c r="X45" i="3"/>
  <c r="W45" i="3"/>
  <c r="V45" i="3"/>
  <c r="AM35" i="3"/>
  <c r="AE35" i="3"/>
  <c r="AD35" i="3"/>
  <c r="AC35" i="3"/>
  <c r="AB35" i="3"/>
  <c r="AA35" i="3"/>
  <c r="Z35" i="3"/>
  <c r="Y35" i="3"/>
  <c r="X35" i="3"/>
  <c r="W35" i="3"/>
  <c r="V35" i="3"/>
  <c r="AM109" i="3"/>
  <c r="AE109" i="3"/>
  <c r="AD109" i="3"/>
  <c r="AC109" i="3"/>
  <c r="AB109" i="3"/>
  <c r="AA109" i="3"/>
  <c r="Z109" i="3"/>
  <c r="Y109" i="3"/>
  <c r="X109" i="3"/>
  <c r="W109" i="3"/>
  <c r="V109" i="3"/>
  <c r="AM29" i="3"/>
  <c r="AE29" i="3"/>
  <c r="AD29" i="3"/>
  <c r="AC29" i="3"/>
  <c r="AB29" i="3"/>
  <c r="AA29" i="3"/>
  <c r="Z29" i="3"/>
  <c r="Y29" i="3"/>
  <c r="X29" i="3"/>
  <c r="W29" i="3"/>
  <c r="V29" i="3"/>
  <c r="AM108" i="3"/>
  <c r="AE108" i="3"/>
  <c r="AD108" i="3"/>
  <c r="AC108" i="3"/>
  <c r="AB108" i="3"/>
  <c r="AA108" i="3"/>
  <c r="Z108" i="3"/>
  <c r="Y108" i="3"/>
  <c r="X108" i="3"/>
  <c r="W108" i="3"/>
  <c r="V108" i="3"/>
  <c r="AM56" i="3"/>
  <c r="AE56" i="3"/>
  <c r="AD56" i="3"/>
  <c r="AC56" i="3"/>
  <c r="AB56" i="3"/>
  <c r="AA56" i="3"/>
  <c r="Z56" i="3"/>
  <c r="Y56" i="3"/>
  <c r="X56" i="3"/>
  <c r="W56" i="3"/>
  <c r="V56" i="3"/>
  <c r="AM11" i="3"/>
  <c r="AE11" i="3"/>
  <c r="AD11" i="3"/>
  <c r="AC11" i="3"/>
  <c r="AB11" i="3"/>
  <c r="AA11" i="3"/>
  <c r="Z11" i="3"/>
  <c r="Y11" i="3"/>
  <c r="X11" i="3"/>
  <c r="W11" i="3"/>
  <c r="V11" i="3"/>
  <c r="AM55" i="3"/>
  <c r="AE55" i="3"/>
  <c r="AD55" i="3"/>
  <c r="AC55" i="3"/>
  <c r="AB55" i="3"/>
  <c r="AA55" i="3"/>
  <c r="Z55" i="3"/>
  <c r="Y55" i="3"/>
  <c r="X55" i="3"/>
  <c r="W55" i="3"/>
  <c r="V55" i="3"/>
  <c r="AM36" i="3"/>
  <c r="AE36" i="3"/>
  <c r="AD36" i="3"/>
  <c r="AC36" i="3"/>
  <c r="AB36" i="3"/>
  <c r="AA36" i="3"/>
  <c r="Z36" i="3"/>
  <c r="Y36" i="3"/>
  <c r="X36" i="3"/>
  <c r="W36" i="3"/>
  <c r="V36" i="3"/>
  <c r="AM15" i="3"/>
  <c r="AE15" i="3"/>
  <c r="AD15" i="3"/>
  <c r="AC15" i="3"/>
  <c r="AB15" i="3"/>
  <c r="AA15" i="3"/>
  <c r="Z15" i="3"/>
  <c r="Y15" i="3"/>
  <c r="X15" i="3"/>
  <c r="W15" i="3"/>
  <c r="V15" i="3"/>
  <c r="AM41" i="3"/>
  <c r="AE41" i="3"/>
  <c r="AD41" i="3"/>
  <c r="AC41" i="3"/>
  <c r="AB41" i="3"/>
  <c r="AA41" i="3"/>
  <c r="Z41" i="3"/>
  <c r="Y41" i="3"/>
  <c r="X41" i="3"/>
  <c r="W41" i="3"/>
  <c r="V41" i="3"/>
  <c r="AM94" i="3"/>
  <c r="AE94" i="3"/>
  <c r="AD94" i="3"/>
  <c r="AC94" i="3"/>
  <c r="AB94" i="3"/>
  <c r="AA94" i="3"/>
  <c r="Z94" i="3"/>
  <c r="Y94" i="3"/>
  <c r="X94" i="3"/>
  <c r="W94" i="3"/>
  <c r="V94" i="3"/>
  <c r="AM63" i="3"/>
  <c r="AE63" i="3"/>
  <c r="AD63" i="3"/>
  <c r="AC63" i="3"/>
  <c r="AB63" i="3"/>
  <c r="AA63" i="3"/>
  <c r="Z63" i="3"/>
  <c r="Y63" i="3"/>
  <c r="X63" i="3"/>
  <c r="W63" i="3"/>
  <c r="V63" i="3"/>
  <c r="AM74" i="3"/>
  <c r="AE74" i="3"/>
  <c r="AD74" i="3"/>
  <c r="AC74" i="3"/>
  <c r="AB74" i="3"/>
  <c r="AA74" i="3"/>
  <c r="Z74" i="3"/>
  <c r="Y74" i="3"/>
  <c r="X74" i="3"/>
  <c r="W74" i="3"/>
  <c r="V74" i="3"/>
  <c r="AM73" i="3"/>
  <c r="AE73" i="3"/>
  <c r="AD73" i="3"/>
  <c r="AC73" i="3"/>
  <c r="AB73" i="3"/>
  <c r="AA73" i="3"/>
  <c r="Z73" i="3"/>
  <c r="Y73" i="3"/>
  <c r="X73" i="3"/>
  <c r="W73" i="3"/>
  <c r="V73" i="3"/>
  <c r="AM71" i="3"/>
  <c r="AE71" i="3"/>
  <c r="AD71" i="3"/>
  <c r="AC71" i="3"/>
  <c r="AB71" i="3"/>
  <c r="AA71" i="3"/>
  <c r="Z71" i="3"/>
  <c r="Y71" i="3"/>
  <c r="X71" i="3"/>
  <c r="W71" i="3"/>
  <c r="V71" i="3"/>
  <c r="AM113" i="3"/>
  <c r="AE113" i="3"/>
  <c r="AD113" i="3"/>
  <c r="AC113" i="3"/>
  <c r="AB113" i="3"/>
  <c r="AA113" i="3"/>
  <c r="Z113" i="3"/>
  <c r="Y113" i="3"/>
  <c r="X113" i="3"/>
  <c r="W113" i="3"/>
  <c r="V113" i="3"/>
  <c r="AM42" i="3"/>
  <c r="AE42" i="3"/>
  <c r="AD42" i="3"/>
  <c r="AC42" i="3"/>
  <c r="AB42" i="3"/>
  <c r="AA42" i="3"/>
  <c r="Z42" i="3"/>
  <c r="Y42" i="3"/>
  <c r="X42" i="3"/>
  <c r="W42" i="3"/>
  <c r="V42" i="3"/>
  <c r="AM78" i="3"/>
  <c r="AE78" i="3"/>
  <c r="AD78" i="3"/>
  <c r="AC78" i="3"/>
  <c r="AB78" i="3"/>
  <c r="AA78" i="3"/>
  <c r="Z78" i="3"/>
  <c r="Y78" i="3"/>
  <c r="X78" i="3"/>
  <c r="W78" i="3"/>
  <c r="V78" i="3"/>
  <c r="AM61" i="3"/>
  <c r="AE61" i="3"/>
  <c r="AD61" i="3"/>
  <c r="AC61" i="3"/>
  <c r="AB61" i="3"/>
  <c r="AA61" i="3"/>
  <c r="Z61" i="3"/>
  <c r="Y61" i="3"/>
  <c r="X61" i="3"/>
  <c r="W61" i="3"/>
  <c r="V61" i="3"/>
  <c r="AM65" i="3"/>
  <c r="AE65" i="3"/>
  <c r="AD65" i="3"/>
  <c r="AC65" i="3"/>
  <c r="AB65" i="3"/>
  <c r="AA65" i="3"/>
  <c r="Z65" i="3"/>
  <c r="Y65" i="3"/>
  <c r="X65" i="3"/>
  <c r="W65" i="3"/>
  <c r="V65" i="3"/>
  <c r="AM81" i="3"/>
  <c r="AE81" i="3"/>
  <c r="AD81" i="3"/>
  <c r="AC81" i="3"/>
  <c r="AB81" i="3"/>
  <c r="AA81" i="3"/>
  <c r="Z81" i="3"/>
  <c r="Y81" i="3"/>
  <c r="X81" i="3"/>
  <c r="W81" i="3"/>
  <c r="V81" i="3"/>
  <c r="AM31" i="3"/>
  <c r="AE31" i="3"/>
  <c r="AD31" i="3"/>
  <c r="AC31" i="3"/>
  <c r="AB31" i="3"/>
  <c r="AA31" i="3"/>
  <c r="Z31" i="3"/>
  <c r="Y31" i="3"/>
  <c r="X31" i="3"/>
  <c r="W31" i="3"/>
  <c r="V31" i="3"/>
  <c r="AM85" i="3"/>
  <c r="AE85" i="3"/>
  <c r="AD85" i="3"/>
  <c r="AC85" i="3"/>
  <c r="AB85" i="3"/>
  <c r="AA85" i="3"/>
  <c r="Z85" i="3"/>
  <c r="Y85" i="3"/>
  <c r="X85" i="3"/>
  <c r="W85" i="3"/>
  <c r="V85" i="3"/>
  <c r="AM112" i="3"/>
  <c r="AE112" i="3"/>
  <c r="AD112" i="3"/>
  <c r="AC112" i="3"/>
  <c r="AB112" i="3"/>
  <c r="AA112" i="3"/>
  <c r="Z112" i="3"/>
  <c r="Y112" i="3"/>
  <c r="X112" i="3"/>
  <c r="W112" i="3"/>
  <c r="V112" i="3"/>
  <c r="AM18" i="3"/>
  <c r="AE18" i="3"/>
  <c r="AD18" i="3"/>
  <c r="AC18" i="3"/>
  <c r="AB18" i="3"/>
  <c r="AA18" i="3"/>
  <c r="Z18" i="3"/>
  <c r="Y18" i="3"/>
  <c r="X18" i="3"/>
  <c r="W18" i="3"/>
  <c r="V18" i="3"/>
  <c r="AM12" i="3"/>
  <c r="AE12" i="3"/>
  <c r="AD12" i="3"/>
  <c r="AC12" i="3"/>
  <c r="AB12" i="3"/>
  <c r="AA12" i="3"/>
  <c r="Z12" i="3"/>
  <c r="Y12" i="3"/>
  <c r="X12" i="3"/>
  <c r="W12" i="3"/>
  <c r="V12" i="3"/>
  <c r="AM10" i="3"/>
  <c r="AE10" i="3"/>
  <c r="AD10" i="3"/>
  <c r="AC10" i="3"/>
  <c r="AB10" i="3"/>
  <c r="AA10" i="3"/>
  <c r="Z10" i="3"/>
  <c r="Y10" i="3"/>
  <c r="X10" i="3"/>
  <c r="W10" i="3"/>
  <c r="V10" i="3"/>
  <c r="AM48" i="3"/>
  <c r="AE48" i="3"/>
  <c r="AD48" i="3"/>
  <c r="AC48" i="3"/>
  <c r="AB48" i="3"/>
  <c r="AA48" i="3"/>
  <c r="Z48" i="3"/>
  <c r="Y48" i="3"/>
  <c r="X48" i="3"/>
  <c r="W48" i="3"/>
  <c r="V48" i="3"/>
  <c r="AM21" i="3"/>
  <c r="AE21" i="3"/>
  <c r="AD21" i="3"/>
  <c r="AC21" i="3"/>
  <c r="AB21" i="3"/>
  <c r="AA21" i="3"/>
  <c r="Z21" i="3"/>
  <c r="Y21" i="3"/>
  <c r="X21" i="3"/>
  <c r="W21" i="3"/>
  <c r="V21" i="3"/>
  <c r="AM53" i="3"/>
  <c r="AE53" i="3"/>
  <c r="AD53" i="3"/>
  <c r="AC53" i="3"/>
  <c r="AB53" i="3"/>
  <c r="AA53" i="3"/>
  <c r="Z53" i="3"/>
  <c r="Y53" i="3"/>
  <c r="X53" i="3"/>
  <c r="W53" i="3"/>
  <c r="V53" i="3"/>
  <c r="AM50" i="3"/>
  <c r="AE50" i="3"/>
  <c r="AD50" i="3"/>
  <c r="AC50" i="3"/>
  <c r="AB50" i="3"/>
  <c r="AA50" i="3"/>
  <c r="Z50" i="3"/>
  <c r="Y50" i="3"/>
  <c r="X50" i="3"/>
  <c r="W50" i="3"/>
  <c r="V50" i="3"/>
  <c r="AM9" i="3"/>
  <c r="AE9" i="3"/>
  <c r="AD9" i="3"/>
  <c r="AC9" i="3"/>
  <c r="AB9" i="3"/>
  <c r="AA9" i="3"/>
  <c r="Z9" i="3"/>
  <c r="Y9" i="3"/>
  <c r="X9" i="3"/>
  <c r="W9" i="3"/>
  <c r="V9" i="3"/>
  <c r="AM89" i="3"/>
  <c r="AE89" i="3"/>
  <c r="AD89" i="3"/>
  <c r="AC89" i="3"/>
  <c r="AB89" i="3"/>
  <c r="AA89" i="3"/>
  <c r="Z89" i="3"/>
  <c r="Y89" i="3"/>
  <c r="X89" i="3"/>
  <c r="W89" i="3"/>
  <c r="V89" i="3"/>
  <c r="AM14" i="3"/>
  <c r="AE14" i="3"/>
  <c r="AD14" i="3"/>
  <c r="AC14" i="3"/>
  <c r="AB14" i="3"/>
  <c r="AA14" i="3"/>
  <c r="Z14" i="3"/>
  <c r="Y14" i="3"/>
  <c r="X14" i="3"/>
  <c r="W14" i="3"/>
  <c r="V14" i="3"/>
  <c r="AM13" i="3"/>
  <c r="AE13" i="3"/>
  <c r="AD13" i="3"/>
  <c r="AC13" i="3"/>
  <c r="AB13" i="3"/>
  <c r="AA13" i="3"/>
  <c r="Z13" i="3"/>
  <c r="Y13" i="3"/>
  <c r="X13" i="3"/>
  <c r="W13" i="3"/>
  <c r="V13" i="3"/>
  <c r="AM93" i="3"/>
  <c r="AE93" i="3"/>
  <c r="AD93" i="3"/>
  <c r="AC93" i="3"/>
  <c r="AB93" i="3"/>
  <c r="AA93" i="3"/>
  <c r="Z93" i="3"/>
  <c r="Y93" i="3"/>
  <c r="X93" i="3"/>
  <c r="W93" i="3"/>
  <c r="V93" i="3"/>
  <c r="AM58" i="3"/>
  <c r="AE58" i="3"/>
  <c r="AD58" i="3"/>
  <c r="AC58" i="3"/>
  <c r="AB58" i="3"/>
  <c r="AA58" i="3"/>
  <c r="Z58" i="3"/>
  <c r="Y58" i="3"/>
  <c r="X58" i="3"/>
  <c r="W58" i="3"/>
  <c r="V58" i="3"/>
  <c r="AM111" i="3"/>
  <c r="AE111" i="3"/>
  <c r="AD111" i="3"/>
  <c r="AC111" i="3"/>
  <c r="AB111" i="3"/>
  <c r="AA111" i="3"/>
  <c r="Z111" i="3"/>
  <c r="Y111" i="3"/>
  <c r="X111" i="3"/>
  <c r="W111" i="3"/>
  <c r="V111" i="3"/>
  <c r="AM4" i="3"/>
  <c r="AE4" i="3"/>
  <c r="AD4" i="3"/>
  <c r="AC4" i="3"/>
  <c r="AB4" i="3"/>
  <c r="AA4" i="3"/>
  <c r="Z4" i="3"/>
  <c r="Y4" i="3"/>
  <c r="X4" i="3"/>
  <c r="W4" i="3"/>
  <c r="V4" i="3"/>
  <c r="AM20" i="3"/>
  <c r="AE20" i="3"/>
  <c r="AD20" i="3"/>
  <c r="AC20" i="3"/>
  <c r="AB20" i="3"/>
  <c r="AA20" i="3"/>
  <c r="Z20" i="3"/>
  <c r="Y20" i="3"/>
  <c r="X20" i="3"/>
  <c r="W20" i="3"/>
  <c r="V20" i="3"/>
  <c r="AM110" i="3"/>
  <c r="AE110" i="3"/>
  <c r="AD110" i="3"/>
  <c r="AC110" i="3"/>
  <c r="AB110" i="3"/>
  <c r="AA110" i="3"/>
  <c r="Z110" i="3"/>
  <c r="Y110" i="3"/>
  <c r="X110" i="3"/>
  <c r="W110" i="3"/>
  <c r="V110" i="3"/>
  <c r="AM3" i="3"/>
  <c r="AE3" i="3"/>
  <c r="AD3" i="3"/>
  <c r="AC3" i="3"/>
  <c r="AB3" i="3"/>
  <c r="AA3" i="3"/>
  <c r="Z3" i="3"/>
  <c r="Y3" i="3"/>
  <c r="X3" i="3"/>
  <c r="W3" i="3"/>
  <c r="V3" i="3"/>
  <c r="AM106" i="3"/>
  <c r="AE106" i="3"/>
  <c r="AD106" i="3"/>
  <c r="AC106" i="3"/>
  <c r="AB106" i="3"/>
  <c r="AA106" i="3"/>
  <c r="Z106" i="3"/>
  <c r="Y106" i="3"/>
  <c r="X106" i="3"/>
  <c r="W106" i="3"/>
  <c r="V106" i="3"/>
  <c r="AM96" i="3"/>
  <c r="AE96" i="3"/>
  <c r="AD96" i="3"/>
  <c r="AC96" i="3"/>
  <c r="AB96" i="3"/>
  <c r="AA96" i="3"/>
  <c r="Z96" i="3"/>
  <c r="Y96" i="3"/>
  <c r="X96" i="3"/>
  <c r="W96" i="3"/>
  <c r="V96" i="3"/>
  <c r="AM95" i="3"/>
  <c r="AE95" i="3"/>
  <c r="AD95" i="3"/>
  <c r="AC95" i="3"/>
  <c r="AB95" i="3"/>
  <c r="AA95" i="3"/>
  <c r="Z95" i="3"/>
  <c r="Y95" i="3"/>
  <c r="X95" i="3"/>
  <c r="W95" i="3"/>
  <c r="V95" i="3"/>
  <c r="AM68" i="3"/>
  <c r="AE68" i="3"/>
  <c r="AD68" i="3"/>
  <c r="AC68" i="3"/>
  <c r="AB68" i="3"/>
  <c r="AA68" i="3"/>
  <c r="Z68" i="3"/>
  <c r="Y68" i="3"/>
  <c r="X68" i="3"/>
  <c r="W68" i="3"/>
  <c r="V68" i="3"/>
  <c r="AM76" i="3"/>
  <c r="AE76" i="3"/>
  <c r="AD76" i="3"/>
  <c r="AC76" i="3"/>
  <c r="AB76" i="3"/>
  <c r="AA76" i="3"/>
  <c r="Z76" i="3"/>
  <c r="Y76" i="3"/>
  <c r="X76" i="3"/>
  <c r="W76" i="3"/>
  <c r="V76" i="3"/>
  <c r="AM19" i="3"/>
  <c r="AE19" i="3"/>
  <c r="AD19" i="3"/>
  <c r="AC19" i="3"/>
  <c r="AB19" i="3"/>
  <c r="AA19" i="3"/>
  <c r="Z19" i="3"/>
  <c r="Y19" i="3"/>
  <c r="X19" i="3"/>
  <c r="W19" i="3"/>
  <c r="V19" i="3"/>
  <c r="AM90" i="3"/>
  <c r="AE90" i="3"/>
  <c r="AD90" i="3"/>
  <c r="AC90" i="3"/>
  <c r="AB90" i="3"/>
  <c r="AA90" i="3"/>
  <c r="Z90" i="3"/>
  <c r="Y90" i="3"/>
  <c r="X90" i="3"/>
  <c r="W90" i="3"/>
  <c r="V90" i="3"/>
  <c r="AM51" i="3"/>
  <c r="AE51" i="3"/>
  <c r="AD51" i="3"/>
  <c r="AC51" i="3"/>
  <c r="AB51" i="3"/>
  <c r="AA51" i="3"/>
  <c r="Z51" i="3"/>
  <c r="Y51" i="3"/>
  <c r="X51" i="3"/>
  <c r="W51" i="3"/>
  <c r="V51" i="3"/>
  <c r="AM52" i="3"/>
  <c r="AE52" i="3"/>
  <c r="AD52" i="3"/>
  <c r="AC52" i="3"/>
  <c r="AB52" i="3"/>
  <c r="AA52" i="3"/>
  <c r="Z52" i="3"/>
  <c r="Y52" i="3"/>
  <c r="X52" i="3"/>
  <c r="W52" i="3"/>
  <c r="V52" i="3"/>
  <c r="AM103" i="3"/>
  <c r="AE103" i="3"/>
  <c r="AD103" i="3"/>
  <c r="AC103" i="3"/>
  <c r="AB103" i="3"/>
  <c r="AA103" i="3"/>
  <c r="Z103" i="3"/>
  <c r="Y103" i="3"/>
  <c r="X103" i="3"/>
  <c r="W103" i="3"/>
  <c r="V103" i="3"/>
  <c r="AM7" i="3"/>
  <c r="AE7" i="3"/>
  <c r="AD7" i="3"/>
  <c r="AC7" i="3"/>
  <c r="AB7" i="3"/>
  <c r="AA7" i="3"/>
  <c r="Z7" i="3"/>
  <c r="Y7" i="3"/>
  <c r="X7" i="3"/>
  <c r="W7" i="3"/>
  <c r="V7" i="3"/>
  <c r="AM69" i="3"/>
  <c r="AE69" i="3"/>
  <c r="AD69" i="3"/>
  <c r="AC69" i="3"/>
  <c r="AB69" i="3"/>
  <c r="AA69" i="3"/>
  <c r="Z69" i="3"/>
  <c r="Y69" i="3"/>
  <c r="X69" i="3"/>
  <c r="W69" i="3"/>
  <c r="V69" i="3"/>
  <c r="AM6" i="3"/>
  <c r="AE6" i="3"/>
  <c r="AD6" i="3"/>
  <c r="AC6" i="3"/>
  <c r="AB6" i="3"/>
  <c r="AA6" i="3"/>
  <c r="Z6" i="3"/>
  <c r="Y6" i="3"/>
  <c r="X6" i="3"/>
  <c r="W6" i="3"/>
  <c r="V6" i="3"/>
  <c r="AM33" i="3"/>
  <c r="AE33" i="3"/>
  <c r="AD33" i="3"/>
  <c r="AC33" i="3"/>
  <c r="AB33" i="3"/>
  <c r="AA33" i="3"/>
  <c r="Z33" i="3"/>
  <c r="Y33" i="3"/>
  <c r="X33" i="3"/>
  <c r="W33" i="3"/>
  <c r="V33" i="3"/>
  <c r="AM102" i="3"/>
  <c r="AE102" i="3"/>
  <c r="AD102" i="3"/>
  <c r="AC102" i="3"/>
  <c r="AB102" i="3"/>
  <c r="AA102" i="3"/>
  <c r="Z102" i="3"/>
  <c r="Y102" i="3"/>
  <c r="X102" i="3"/>
  <c r="W102" i="3"/>
  <c r="V102" i="3"/>
  <c r="AM84" i="3"/>
  <c r="AE84" i="3"/>
  <c r="AD84" i="3"/>
  <c r="AC84" i="3"/>
  <c r="AB84" i="3"/>
  <c r="AA84" i="3"/>
  <c r="Z84" i="3"/>
  <c r="Y84" i="3"/>
  <c r="X84" i="3"/>
  <c r="W84" i="3"/>
  <c r="V84" i="3"/>
  <c r="AM77" i="3"/>
  <c r="AE77" i="3"/>
  <c r="AD77" i="3"/>
  <c r="AC77" i="3"/>
  <c r="AB77" i="3"/>
  <c r="AA77" i="3"/>
  <c r="Z77" i="3"/>
  <c r="Y77" i="3"/>
  <c r="X77" i="3"/>
  <c r="W77" i="3"/>
  <c r="V77" i="3"/>
  <c r="AM37" i="3"/>
  <c r="AE37" i="3"/>
  <c r="AD37" i="3"/>
  <c r="AC37" i="3"/>
  <c r="AB37" i="3"/>
  <c r="AA37" i="3"/>
  <c r="Z37" i="3"/>
  <c r="Y37" i="3"/>
  <c r="X37" i="3"/>
  <c r="W37" i="3"/>
  <c r="V37" i="3"/>
  <c r="AM105" i="3"/>
  <c r="AE105" i="3"/>
  <c r="AD105" i="3"/>
  <c r="AC105" i="3"/>
  <c r="AB105" i="3"/>
  <c r="AA105" i="3"/>
  <c r="Z105" i="3"/>
  <c r="Y105" i="3"/>
  <c r="X105" i="3"/>
  <c r="W105" i="3"/>
  <c r="V105" i="3"/>
  <c r="AM66" i="3"/>
  <c r="AE66" i="3"/>
  <c r="AD66" i="3"/>
  <c r="AC66" i="3"/>
  <c r="AB66" i="3"/>
  <c r="AA66" i="3"/>
  <c r="Z66" i="3"/>
  <c r="Y66" i="3"/>
  <c r="X66" i="3"/>
  <c r="W66" i="3"/>
  <c r="V66" i="3"/>
  <c r="AM80" i="3"/>
  <c r="AE80" i="3"/>
  <c r="AD80" i="3"/>
  <c r="AC80" i="3"/>
  <c r="AB80" i="3"/>
  <c r="AA80" i="3"/>
  <c r="Z80" i="3"/>
  <c r="Y80" i="3"/>
  <c r="X80" i="3"/>
  <c r="W80" i="3"/>
  <c r="V80" i="3"/>
  <c r="AM32" i="3"/>
  <c r="AE32" i="3"/>
  <c r="AD32" i="3"/>
  <c r="AC32" i="3"/>
  <c r="AB32" i="3"/>
  <c r="AA32" i="3"/>
  <c r="Z32" i="3"/>
  <c r="Y32" i="3"/>
  <c r="X32" i="3"/>
  <c r="W32" i="3"/>
  <c r="V32" i="3"/>
  <c r="AM83" i="3"/>
  <c r="AE83" i="3"/>
  <c r="AD83" i="3"/>
  <c r="AC83" i="3"/>
  <c r="AB83" i="3"/>
  <c r="AA83" i="3"/>
  <c r="Z83" i="3"/>
  <c r="Y83" i="3"/>
  <c r="X83" i="3"/>
  <c r="W83" i="3"/>
  <c r="V83" i="3"/>
  <c r="AM34" i="3"/>
  <c r="AE34" i="3"/>
  <c r="AD34" i="3"/>
  <c r="AC34" i="3"/>
  <c r="AB34" i="3"/>
  <c r="AA34" i="3"/>
  <c r="Z34" i="3"/>
  <c r="Y34" i="3"/>
  <c r="X34" i="3"/>
  <c r="W34" i="3"/>
  <c r="V34" i="3"/>
  <c r="AM47" i="3"/>
  <c r="AE47" i="3"/>
  <c r="AD47" i="3"/>
  <c r="AC47" i="3"/>
  <c r="AB47" i="3"/>
  <c r="AA47" i="3"/>
  <c r="Z47" i="3"/>
  <c r="Y47" i="3"/>
  <c r="X47" i="3"/>
  <c r="W47" i="3"/>
  <c r="V47" i="3"/>
  <c r="AM101" i="3"/>
  <c r="AE101" i="3"/>
  <c r="AD101" i="3"/>
  <c r="AC101" i="3"/>
  <c r="AB101" i="3"/>
  <c r="AA101" i="3"/>
  <c r="Z101" i="3"/>
  <c r="Y101" i="3"/>
  <c r="X101" i="3"/>
  <c r="W101" i="3"/>
  <c r="V101" i="3"/>
  <c r="AM17" i="3"/>
  <c r="AE17" i="3"/>
  <c r="AD17" i="3"/>
  <c r="AC17" i="3"/>
  <c r="AB17" i="3"/>
  <c r="AA17" i="3"/>
  <c r="Z17" i="3"/>
  <c r="Y17" i="3"/>
  <c r="X17" i="3"/>
  <c r="W17" i="3"/>
  <c r="V17" i="3"/>
  <c r="AM30" i="3"/>
  <c r="AE30" i="3"/>
  <c r="AD30" i="3"/>
  <c r="AC30" i="3"/>
  <c r="AB30" i="3"/>
  <c r="AA30" i="3"/>
  <c r="Z30" i="3"/>
  <c r="Y30" i="3"/>
  <c r="X30" i="3"/>
  <c r="W30" i="3"/>
  <c r="V30" i="3"/>
  <c r="AM2" i="3"/>
  <c r="AE2" i="3"/>
  <c r="AD2" i="3"/>
  <c r="AC2" i="3"/>
  <c r="AB2" i="3"/>
  <c r="AA2" i="3"/>
  <c r="Z2" i="3"/>
  <c r="Y2" i="3"/>
  <c r="X2" i="3"/>
  <c r="W2" i="3"/>
  <c r="V2" i="3"/>
  <c r="AM104" i="3"/>
  <c r="AE104" i="3"/>
  <c r="AD104" i="3"/>
  <c r="AC104" i="3"/>
  <c r="AB104" i="3"/>
  <c r="AA104" i="3"/>
  <c r="Z104" i="3"/>
  <c r="Y104" i="3"/>
  <c r="X104" i="3"/>
  <c r="W104" i="3"/>
  <c r="V104" i="3"/>
  <c r="AM72" i="3"/>
  <c r="AE72" i="3"/>
  <c r="AD72" i="3"/>
  <c r="AC72" i="3"/>
  <c r="AB72" i="3"/>
  <c r="AA72" i="3"/>
  <c r="Z72" i="3"/>
  <c r="Y72" i="3"/>
  <c r="X72" i="3"/>
  <c r="W72" i="3"/>
  <c r="V72" i="3"/>
  <c r="AM26" i="3"/>
  <c r="AE26" i="3"/>
  <c r="AD26" i="3"/>
  <c r="AC26" i="3"/>
  <c r="AB26" i="3"/>
  <c r="AA26" i="3"/>
  <c r="Z26" i="3"/>
  <c r="Y26" i="3"/>
  <c r="X26" i="3"/>
  <c r="W26" i="3"/>
  <c r="V26" i="3"/>
  <c r="AM40" i="3"/>
  <c r="AE40" i="3"/>
  <c r="AD40" i="3"/>
  <c r="AC40" i="3"/>
  <c r="AB40" i="3"/>
  <c r="AA40" i="3"/>
  <c r="Z40" i="3"/>
  <c r="Y40" i="3"/>
  <c r="X40" i="3"/>
  <c r="W40" i="3"/>
  <c r="V40" i="3"/>
  <c r="AM70" i="3"/>
  <c r="AE70" i="3"/>
  <c r="AD70" i="3"/>
  <c r="AC70" i="3"/>
  <c r="AB70" i="3"/>
  <c r="AA70" i="3"/>
  <c r="Z70" i="3"/>
  <c r="Y70" i="3"/>
  <c r="X70" i="3"/>
  <c r="W70" i="3"/>
  <c r="V70" i="3"/>
  <c r="AM28" i="3"/>
  <c r="AE28" i="3"/>
  <c r="AD28" i="3"/>
  <c r="AC28" i="3"/>
  <c r="AB28" i="3"/>
  <c r="AA28" i="3"/>
  <c r="Z28" i="3"/>
  <c r="Y28" i="3"/>
  <c r="X28" i="3"/>
  <c r="W28" i="3"/>
  <c r="V28" i="3"/>
  <c r="AM88" i="3"/>
  <c r="AE88" i="3"/>
  <c r="AD88" i="3"/>
  <c r="AC88" i="3"/>
  <c r="AB88" i="3"/>
  <c r="AA88" i="3"/>
  <c r="Z88" i="3"/>
  <c r="Y88" i="3"/>
  <c r="X88" i="3"/>
  <c r="W88" i="3"/>
  <c r="V88" i="3"/>
  <c r="F21" i="2"/>
  <c r="I15" i="2"/>
  <c r="I14" i="2"/>
  <c r="I13" i="2"/>
  <c r="I12" i="2"/>
  <c r="I11" i="2"/>
  <c r="I10" i="2"/>
  <c r="I9" i="2"/>
  <c r="I8" i="2"/>
  <c r="I7" i="2"/>
  <c r="I6" i="2"/>
  <c r="I5" i="2"/>
  <c r="D33" i="4" l="1"/>
  <c r="D29" i="4"/>
  <c r="B13" i="4"/>
  <c r="D13" i="4"/>
  <c r="E13" i="4"/>
  <c r="D12" i="4"/>
  <c r="E12" i="4"/>
  <c r="B12" i="4"/>
  <c r="B11" i="4"/>
  <c r="E11" i="4"/>
  <c r="D11" i="4"/>
  <c r="D10" i="4"/>
  <c r="B10" i="4"/>
  <c r="E10" i="4"/>
  <c r="B9" i="4"/>
  <c r="D9" i="4"/>
  <c r="E9" i="4"/>
  <c r="E8" i="4"/>
  <c r="D8" i="4"/>
  <c r="B8" i="4"/>
  <c r="D7" i="4"/>
  <c r="B7" i="4"/>
  <c r="E7" i="4"/>
  <c r="E6" i="4"/>
  <c r="B6" i="4"/>
  <c r="D6" i="4"/>
  <c r="D5" i="4"/>
  <c r="B5" i="4"/>
  <c r="E5" i="4"/>
  <c r="D4" i="4"/>
  <c r="B4" i="4"/>
  <c r="E4" i="4"/>
  <c r="AH39" i="3"/>
  <c r="AH15" i="3"/>
  <c r="AH62" i="3"/>
  <c r="AH70" i="3"/>
  <c r="AH64" i="3"/>
  <c r="AH68" i="3"/>
  <c r="AH107" i="3"/>
  <c r="AH87" i="3"/>
  <c r="AH92" i="3"/>
  <c r="AH41" i="3"/>
  <c r="AH18" i="3"/>
  <c r="AH43" i="3"/>
  <c r="AH110" i="3"/>
  <c r="AH3" i="3"/>
  <c r="AH79" i="3"/>
  <c r="AH96" i="3"/>
  <c r="AH94" i="3"/>
  <c r="AH103" i="3"/>
  <c r="AH6" i="3"/>
  <c r="AH46" i="3"/>
  <c r="AH80" i="3"/>
  <c r="AH109" i="3"/>
  <c r="AH7" i="3"/>
  <c r="AH63" i="3"/>
  <c r="AH98" i="3"/>
  <c r="AH34" i="3"/>
  <c r="AH17" i="3"/>
  <c r="AH67" i="3"/>
  <c r="AH75" i="3"/>
  <c r="AH54" i="3"/>
  <c r="AH88" i="3"/>
  <c r="AH14" i="3"/>
  <c r="AH74" i="3"/>
  <c r="AH51" i="3"/>
  <c r="AH8" i="3"/>
  <c r="AH52" i="3"/>
  <c r="AH77" i="3"/>
  <c r="AH69" i="3"/>
  <c r="AH66" i="3"/>
  <c r="AH38" i="3"/>
  <c r="AH37" i="3"/>
  <c r="AH73" i="3"/>
  <c r="AH44" i="3"/>
  <c r="AH57" i="3"/>
  <c r="AH99" i="3"/>
  <c r="AH29" i="3"/>
  <c r="AH50" i="3"/>
  <c r="AH32" i="3"/>
  <c r="AH71" i="3"/>
  <c r="AH27" i="3"/>
  <c r="AH9" i="3"/>
  <c r="AH95" i="3"/>
  <c r="AH33" i="3"/>
  <c r="AH83" i="3"/>
  <c r="AH82" i="3"/>
  <c r="AH2" i="3"/>
  <c r="AH60" i="3"/>
  <c r="AH113" i="3"/>
  <c r="AH26" i="3"/>
  <c r="AH40" i="3"/>
  <c r="AH85" i="3"/>
  <c r="AH24" i="3"/>
  <c r="AH42" i="3"/>
  <c r="AH78" i="3"/>
  <c r="AH97" i="3"/>
  <c r="AH72" i="3"/>
  <c r="AH108" i="3"/>
  <c r="AH61" i="3"/>
  <c r="AH56" i="3"/>
  <c r="AH53" i="3"/>
  <c r="AH25" i="3"/>
  <c r="AH48" i="3"/>
  <c r="AH65" i="3"/>
  <c r="AH93" i="3"/>
  <c r="AH4" i="3"/>
  <c r="AH20" i="3"/>
  <c r="AH106" i="3"/>
  <c r="AH81" i="3"/>
  <c r="AH90" i="3"/>
  <c r="AH102" i="3"/>
  <c r="AH84" i="3"/>
  <c r="AH89" i="3"/>
  <c r="AH105" i="3"/>
  <c r="AH31" i="3"/>
  <c r="AH101" i="3"/>
  <c r="AH30" i="3"/>
  <c r="AH35" i="3"/>
  <c r="AH28" i="3"/>
  <c r="AH12" i="3"/>
  <c r="AH10" i="3"/>
  <c r="AH11" i="3"/>
  <c r="AH21" i="3"/>
  <c r="AH55" i="3"/>
  <c r="AH86" i="3"/>
  <c r="AH36" i="3"/>
  <c r="AH13" i="3"/>
  <c r="AH111" i="3"/>
  <c r="AH104" i="3"/>
  <c r="AH5" i="3"/>
  <c r="AH16" i="3"/>
  <c r="AH91" i="3"/>
  <c r="AH100" i="3"/>
  <c r="AH59" i="3"/>
  <c r="AH23" i="3"/>
  <c r="AH22" i="3"/>
  <c r="AH45" i="3"/>
  <c r="AH112" i="3"/>
  <c r="AH58" i="3"/>
  <c r="AH76" i="3"/>
  <c r="AH19" i="3"/>
  <c r="AH47" i="3"/>
  <c r="AH49" i="3"/>
  <c r="AG28" i="3"/>
  <c r="AG62" i="3"/>
  <c r="AG15" i="3"/>
  <c r="AG4" i="3"/>
  <c r="AG107" i="3"/>
  <c r="AG20" i="3"/>
  <c r="AG41" i="3"/>
  <c r="AG43" i="3"/>
  <c r="AG79" i="3"/>
  <c r="AG94" i="3"/>
  <c r="AG52" i="3"/>
  <c r="AG46" i="3"/>
  <c r="AG98" i="3"/>
  <c r="AG63" i="3"/>
  <c r="AG54" i="3"/>
  <c r="AG84" i="3"/>
  <c r="AG74" i="3"/>
  <c r="AG8" i="3"/>
  <c r="AG29" i="3"/>
  <c r="AG38" i="3"/>
  <c r="AG73" i="3"/>
  <c r="AG56" i="3"/>
  <c r="AG99" i="3"/>
  <c r="AG16" i="3"/>
  <c r="AG27" i="3"/>
  <c r="AG71" i="3"/>
  <c r="AG83" i="3"/>
  <c r="AG34" i="3"/>
  <c r="AG82" i="3"/>
  <c r="AG113" i="3"/>
  <c r="AG49" i="3"/>
  <c r="AG31" i="3"/>
  <c r="AG70" i="3"/>
  <c r="AG48" i="3"/>
  <c r="AG78" i="3"/>
  <c r="AG91" i="3"/>
  <c r="AG44" i="3"/>
  <c r="AG57" i="3"/>
  <c r="AG86" i="3"/>
  <c r="AG42" i="3"/>
  <c r="AG24" i="3"/>
  <c r="AG18" i="3"/>
  <c r="AG101" i="3"/>
  <c r="AG90" i="3"/>
  <c r="AG75" i="3"/>
  <c r="AG5" i="3"/>
  <c r="AG81" i="3"/>
  <c r="AG19" i="3"/>
  <c r="AG23" i="3"/>
  <c r="AG100" i="3"/>
  <c r="AG92" i="3"/>
  <c r="AG97" i="3"/>
  <c r="AG59" i="3"/>
  <c r="AG65" i="3"/>
  <c r="AG22" i="3"/>
  <c r="AG45" i="3"/>
  <c r="AG112" i="3"/>
  <c r="AG9" i="3"/>
  <c r="AG89" i="3"/>
  <c r="AG58" i="3"/>
  <c r="AG10" i="3"/>
  <c r="AG3" i="3"/>
  <c r="AG12" i="3"/>
  <c r="AG95" i="3"/>
  <c r="AG76" i="3"/>
  <c r="AG61" i="3"/>
  <c r="AG69" i="3"/>
  <c r="AG14" i="3"/>
  <c r="AG102" i="3"/>
  <c r="AG36" i="3"/>
  <c r="AG32" i="3"/>
  <c r="AG39" i="3"/>
  <c r="AG47" i="3"/>
  <c r="AG13" i="3"/>
  <c r="AG30" i="3"/>
  <c r="AG104" i="3"/>
  <c r="AG72" i="3"/>
  <c r="AG40" i="3"/>
  <c r="AG64" i="3"/>
  <c r="AG60" i="3"/>
  <c r="AG93" i="3"/>
  <c r="AG111" i="3"/>
  <c r="AG103" i="3"/>
  <c r="AG37" i="3"/>
  <c r="AG55" i="3"/>
  <c r="AG77" i="3"/>
  <c r="AG26" i="3"/>
  <c r="AG105" i="3"/>
  <c r="AG2" i="3"/>
  <c r="AG67" i="3"/>
  <c r="AG88" i="3"/>
  <c r="AG35" i="3"/>
  <c r="AG87" i="3"/>
  <c r="AG25" i="3"/>
  <c r="AG109" i="3"/>
  <c r="AG11" i="3"/>
  <c r="AG108" i="3"/>
  <c r="AG21" i="3"/>
  <c r="AG53" i="3"/>
  <c r="AG85" i="3"/>
  <c r="AG110" i="3"/>
  <c r="AG96" i="3"/>
  <c r="AG106" i="3"/>
  <c r="AG68" i="3"/>
  <c r="AG51" i="3"/>
  <c r="AG7" i="3"/>
  <c r="AG17" i="3"/>
  <c r="AG6" i="3"/>
  <c r="AG33" i="3"/>
  <c r="AG66" i="3"/>
  <c r="AG80" i="3"/>
  <c r="AG50" i="3"/>
  <c r="AI58" i="3"/>
  <c r="AF111" i="3"/>
  <c r="AI20" i="3"/>
  <c r="AJ20" i="3" s="1"/>
  <c r="AF96" i="3"/>
  <c r="AF95" i="3"/>
  <c r="AF69" i="3"/>
  <c r="AI102" i="3"/>
  <c r="AJ102" i="3" s="1"/>
  <c r="AF105" i="3"/>
  <c r="AI47" i="3"/>
  <c r="AJ47" i="3" s="1"/>
  <c r="AI17" i="3"/>
  <c r="AF2" i="3"/>
  <c r="AI104" i="3"/>
  <c r="AJ104" i="3" s="1"/>
  <c r="AF104" i="3"/>
  <c r="AI40" i="3"/>
  <c r="AJ40" i="3" s="1"/>
  <c r="AF40" i="3"/>
  <c r="AI70" i="3"/>
  <c r="AF10" i="3"/>
  <c r="AI90" i="3"/>
  <c r="AJ90" i="3" s="1"/>
  <c r="AK90" i="3" s="1"/>
  <c r="AF90" i="3"/>
  <c r="AF88" i="3"/>
  <c r="AI49" i="3"/>
  <c r="AI16" i="3"/>
  <c r="AJ16" i="3" s="1"/>
  <c r="AI86" i="3"/>
  <c r="AJ86" i="3" s="1"/>
  <c r="AI87" i="3"/>
  <c r="AI22" i="3"/>
  <c r="AF53" i="3"/>
  <c r="AI9" i="3"/>
  <c r="AJ9" i="3" s="1"/>
  <c r="AI45" i="3"/>
  <c r="AJ45" i="3" s="1"/>
  <c r="AI62" i="3"/>
  <c r="AJ62" i="3" s="1"/>
  <c r="AK62" i="3" s="1"/>
  <c r="AF62" i="3"/>
  <c r="AI106" i="3"/>
  <c r="AI68" i="3"/>
  <c r="AJ68" i="3" s="1"/>
  <c r="AI19" i="3"/>
  <c r="AJ19" i="3" s="1"/>
  <c r="AF51" i="3"/>
  <c r="AF7" i="3"/>
  <c r="AI77" i="3"/>
  <c r="AF77" i="3"/>
  <c r="AI37" i="3"/>
  <c r="AI107" i="3"/>
  <c r="AJ107" i="3" s="1"/>
  <c r="AF32" i="3"/>
  <c r="AF47" i="3"/>
  <c r="AF30" i="3"/>
  <c r="AI2" i="3"/>
  <c r="AJ2" i="3" s="1"/>
  <c r="AK2" i="3" s="1"/>
  <c r="AF107" i="3"/>
  <c r="AI72" i="3"/>
  <c r="AF28" i="3"/>
  <c r="AI43" i="3"/>
  <c r="AJ43" i="3" s="1"/>
  <c r="AK43" i="3" s="1"/>
  <c r="AF43" i="3"/>
  <c r="AI79" i="3"/>
  <c r="AJ79" i="3" s="1"/>
  <c r="AK79" i="3" s="1"/>
  <c r="AF79" i="3"/>
  <c r="AI46" i="3"/>
  <c r="AJ46" i="3" s="1"/>
  <c r="AF46" i="3"/>
  <c r="AI98" i="3"/>
  <c r="AJ98" i="3" s="1"/>
  <c r="AK98" i="3" s="1"/>
  <c r="AF98" i="3"/>
  <c r="AI54" i="3"/>
  <c r="AJ54" i="3" s="1"/>
  <c r="AK54" i="3" s="1"/>
  <c r="AF54" i="3"/>
  <c r="AI8" i="3"/>
  <c r="AJ8" i="3" s="1"/>
  <c r="AK8" i="3" s="1"/>
  <c r="AF8" i="3"/>
  <c r="AI75" i="3"/>
  <c r="AF75" i="3"/>
  <c r="AI38" i="3"/>
  <c r="AJ38" i="3" s="1"/>
  <c r="AF16" i="3"/>
  <c r="AF38" i="3"/>
  <c r="AI64" i="3"/>
  <c r="AI99" i="3"/>
  <c r="AJ99" i="3" s="1"/>
  <c r="AI44" i="3"/>
  <c r="AF44" i="3"/>
  <c r="AF99" i="3"/>
  <c r="AF91" i="3"/>
  <c r="AF100" i="3"/>
  <c r="AF25" i="3"/>
  <c r="AI59" i="3"/>
  <c r="AJ59" i="3" s="1"/>
  <c r="AK59" i="3" s="1"/>
  <c r="AI27" i="3"/>
  <c r="AJ27" i="3" s="1"/>
  <c r="AK27" i="3" s="1"/>
  <c r="AF59" i="3"/>
  <c r="AF27" i="3"/>
  <c r="AF23" i="3"/>
  <c r="AI82" i="3"/>
  <c r="AJ82" i="3" s="1"/>
  <c r="AI35" i="3"/>
  <c r="AJ35" i="3" s="1"/>
  <c r="AF82" i="3"/>
  <c r="AI85" i="3"/>
  <c r="AJ85" i="3" s="1"/>
  <c r="AF85" i="3"/>
  <c r="AI12" i="3"/>
  <c r="AF12" i="3"/>
  <c r="AF48" i="3"/>
  <c r="AI21" i="3"/>
  <c r="AJ21" i="3" s="1"/>
  <c r="AI67" i="3"/>
  <c r="AJ67" i="3" s="1"/>
  <c r="AI89" i="3"/>
  <c r="AJ89" i="3" s="1"/>
  <c r="AF89" i="3"/>
  <c r="AI93" i="3"/>
  <c r="AJ58" i="3"/>
  <c r="AF67" i="3"/>
  <c r="AF58" i="3"/>
  <c r="AK58" i="3" s="1"/>
  <c r="AJ106" i="3"/>
  <c r="AI95" i="3"/>
  <c r="AJ95" i="3" s="1"/>
  <c r="AI24" i="3"/>
  <c r="AJ24" i="3" s="1"/>
  <c r="AK24" i="3" s="1"/>
  <c r="AF24" i="3"/>
  <c r="AI51" i="3"/>
  <c r="AJ51" i="3" s="1"/>
  <c r="AF6" i="3"/>
  <c r="AJ22" i="3"/>
  <c r="AF102" i="3"/>
  <c r="AI105" i="3"/>
  <c r="AF22" i="3"/>
  <c r="AK22" i="3" s="1"/>
  <c r="AF45" i="3"/>
  <c r="AI32" i="3"/>
  <c r="AJ32" i="3" s="1"/>
  <c r="AK32" i="3" s="1"/>
  <c r="AF83" i="3"/>
  <c r="AI34" i="3"/>
  <c r="AJ34" i="3" s="1"/>
  <c r="AF35" i="3"/>
  <c r="AJ72" i="3"/>
  <c r="AF72" i="3"/>
  <c r="AK72" i="3" s="1"/>
  <c r="AF109" i="3"/>
  <c r="AI28" i="3"/>
  <c r="AJ28" i="3" s="1"/>
  <c r="AI29" i="3"/>
  <c r="AJ29" i="3" s="1"/>
  <c r="AF29" i="3"/>
  <c r="AF108" i="3"/>
  <c r="AI56" i="3"/>
  <c r="AJ56" i="3" s="1"/>
  <c r="AJ12" i="3"/>
  <c r="AF21" i="3"/>
  <c r="AJ93" i="3"/>
  <c r="AJ49" i="3"/>
  <c r="AF49" i="3"/>
  <c r="AK49" i="3" s="1"/>
  <c r="AJ75" i="3"/>
  <c r="AF110" i="3"/>
  <c r="AI5" i="3"/>
  <c r="AJ5" i="3" s="1"/>
  <c r="AI96" i="3"/>
  <c r="AJ96" i="3" s="1"/>
  <c r="AF5" i="3"/>
  <c r="AI39" i="3"/>
  <c r="AJ39" i="3" s="1"/>
  <c r="AF68" i="3"/>
  <c r="AF39" i="3"/>
  <c r="AI60" i="3"/>
  <c r="AJ60" i="3" s="1"/>
  <c r="AF76" i="3"/>
  <c r="AF60" i="3"/>
  <c r="AF86" i="3"/>
  <c r="AF52" i="3"/>
  <c r="AF64" i="3"/>
  <c r="AI69" i="3"/>
  <c r="AJ69" i="3" s="1"/>
  <c r="AI57" i="3"/>
  <c r="AJ57" i="3" s="1"/>
  <c r="AK57" i="3" s="1"/>
  <c r="AJ77" i="3"/>
  <c r="AJ105" i="3"/>
  <c r="AF97" i="3"/>
  <c r="AJ87" i="3"/>
  <c r="AF80" i="3"/>
  <c r="AF87" i="3"/>
  <c r="AK87" i="3" s="1"/>
  <c r="AF34" i="3"/>
  <c r="AF101" i="3"/>
  <c r="AI26" i="3"/>
  <c r="AI108" i="3"/>
  <c r="AJ108" i="3" s="1"/>
  <c r="AI10" i="3"/>
  <c r="AJ10" i="3" s="1"/>
  <c r="AI11" i="3"/>
  <c r="AJ11" i="3" s="1"/>
  <c r="AI14" i="3"/>
  <c r="AF93" i="3"/>
  <c r="AF11" i="3"/>
  <c r="AI111" i="3"/>
  <c r="AI4" i="3"/>
  <c r="AJ4" i="3" s="1"/>
  <c r="AF4" i="3"/>
  <c r="AI55" i="3"/>
  <c r="AJ55" i="3" s="1"/>
  <c r="AF55" i="3"/>
  <c r="AI36" i="3"/>
  <c r="AJ36" i="3" s="1"/>
  <c r="AI52" i="3"/>
  <c r="AF36" i="3"/>
  <c r="AI7" i="3"/>
  <c r="AJ7" i="3" s="1"/>
  <c r="AI15" i="3"/>
  <c r="AJ15" i="3" s="1"/>
  <c r="AF33" i="3"/>
  <c r="AF15" i="3"/>
  <c r="AI84" i="3"/>
  <c r="AJ84" i="3" s="1"/>
  <c r="AI66" i="3"/>
  <c r="AJ66" i="3" s="1"/>
  <c r="AF66" i="3"/>
  <c r="AI80" i="3"/>
  <c r="AJ80" i="3" s="1"/>
  <c r="AI41" i="3"/>
  <c r="AJ41" i="3" s="1"/>
  <c r="AI83" i="3"/>
  <c r="AJ83" i="3" s="1"/>
  <c r="AF41" i="3"/>
  <c r="AI101" i="3"/>
  <c r="AI94" i="3"/>
  <c r="AJ94" i="3" s="1"/>
  <c r="AF94" i="3"/>
  <c r="AI63" i="3"/>
  <c r="AJ63" i="3" s="1"/>
  <c r="AJ26" i="3"/>
  <c r="AF26" i="3"/>
  <c r="AF63" i="3"/>
  <c r="AF70" i="3"/>
  <c r="AI53" i="3"/>
  <c r="AJ53" i="3" s="1"/>
  <c r="AI50" i="3"/>
  <c r="AJ50" i="3" s="1"/>
  <c r="AI74" i="3"/>
  <c r="AJ74" i="3" s="1"/>
  <c r="AF74" i="3"/>
  <c r="AI13" i="3"/>
  <c r="AJ13" i="3" s="1"/>
  <c r="AJ111" i="3"/>
  <c r="AI3" i="3"/>
  <c r="AJ3" i="3" s="1"/>
  <c r="AF3" i="3"/>
  <c r="AF106" i="3"/>
  <c r="AJ14" i="3"/>
  <c r="AF19" i="3"/>
  <c r="AI73" i="3"/>
  <c r="AJ73" i="3" s="1"/>
  <c r="AJ52" i="3"/>
  <c r="AF73" i="3"/>
  <c r="AI103" i="3"/>
  <c r="AJ103" i="3" s="1"/>
  <c r="AF103" i="3"/>
  <c r="AI6" i="3"/>
  <c r="AJ6" i="3" s="1"/>
  <c r="AI33" i="3"/>
  <c r="AJ33" i="3" s="1"/>
  <c r="AF84" i="3"/>
  <c r="AI71" i="3"/>
  <c r="AJ71" i="3" s="1"/>
  <c r="AJ37" i="3"/>
  <c r="AF71" i="3"/>
  <c r="AJ101" i="3"/>
  <c r="AJ17" i="3"/>
  <c r="AF17" i="3"/>
  <c r="AK17" i="3" s="1"/>
  <c r="AI30" i="3"/>
  <c r="AJ30" i="3" s="1"/>
  <c r="AI113" i="3"/>
  <c r="AJ113" i="3" s="1"/>
  <c r="AJ70" i="3"/>
  <c r="AF113" i="3"/>
  <c r="AJ64" i="3"/>
  <c r="AJ44" i="3"/>
  <c r="AI91" i="3"/>
  <c r="AJ91" i="3" s="1"/>
  <c r="AI100" i="3"/>
  <c r="AJ100" i="3" s="1"/>
  <c r="AI42" i="3"/>
  <c r="AJ42" i="3" s="1"/>
  <c r="AF57" i="3"/>
  <c r="AI97" i="3"/>
  <c r="AJ97" i="3" s="1"/>
  <c r="AF42" i="3"/>
  <c r="AI25" i="3"/>
  <c r="AJ25" i="3" s="1"/>
  <c r="AK25" i="3" s="1"/>
  <c r="AI92" i="3"/>
  <c r="AJ92" i="3" s="1"/>
  <c r="AF92" i="3"/>
  <c r="AI23" i="3"/>
  <c r="AJ23" i="3" s="1"/>
  <c r="AK23" i="3" s="1"/>
  <c r="AI109" i="3"/>
  <c r="AJ109" i="3" s="1"/>
  <c r="AI78" i="3"/>
  <c r="AJ78" i="3" s="1"/>
  <c r="AF78" i="3"/>
  <c r="AF56" i="3"/>
  <c r="AI112" i="3"/>
  <c r="AJ112" i="3" s="1"/>
  <c r="AF112" i="3"/>
  <c r="AI18" i="3"/>
  <c r="AJ18" i="3" s="1"/>
  <c r="AF18" i="3"/>
  <c r="AI61" i="3"/>
  <c r="AJ61" i="3" s="1"/>
  <c r="AF61" i="3"/>
  <c r="AF50" i="3"/>
  <c r="AF14" i="3"/>
  <c r="AF13" i="3"/>
  <c r="AF20" i="3"/>
  <c r="AI110" i="3"/>
  <c r="AJ110" i="3" s="1"/>
  <c r="AI65" i="3"/>
  <c r="AJ65" i="3" s="1"/>
  <c r="AF65" i="3"/>
  <c r="AI81" i="3"/>
  <c r="AJ81" i="3" s="1"/>
  <c r="AI76" i="3"/>
  <c r="AJ76" i="3" s="1"/>
  <c r="AF81" i="3"/>
  <c r="AI31" i="3"/>
  <c r="AJ31" i="3" s="1"/>
  <c r="AF37" i="3"/>
  <c r="AF31" i="3"/>
  <c r="AI48" i="3"/>
  <c r="AJ48" i="3" s="1"/>
  <c r="AF9" i="3"/>
  <c r="AI88" i="3"/>
  <c r="AJ88" i="3" s="1"/>
  <c r="AK38" i="3" l="1"/>
  <c r="AK78" i="3"/>
  <c r="AK47" i="3"/>
  <c r="AK11" i="3"/>
  <c r="AK93" i="3"/>
  <c r="AK4" i="3"/>
  <c r="AK55" i="3"/>
  <c r="AK36" i="3"/>
  <c r="AK7" i="3"/>
  <c r="AK15" i="3"/>
  <c r="AK84" i="3"/>
  <c r="AK66" i="3"/>
  <c r="AK80" i="3"/>
  <c r="AK41" i="3"/>
  <c r="AK83" i="3"/>
  <c r="AK26" i="3"/>
  <c r="AK74" i="3"/>
  <c r="AK13" i="3"/>
  <c r="AK3" i="3"/>
  <c r="AK106" i="3"/>
  <c r="AK19" i="3"/>
  <c r="AK103" i="3"/>
  <c r="AK113" i="3"/>
  <c r="AL113" i="3" s="1"/>
  <c r="AK92" i="3"/>
  <c r="AK18" i="3"/>
  <c r="AK61" i="3"/>
  <c r="AK50" i="3"/>
  <c r="AK14" i="3"/>
  <c r="AK20" i="3"/>
  <c r="AK65" i="3"/>
  <c r="AK81" i="3"/>
  <c r="AK76" i="3"/>
  <c r="AK31" i="3"/>
  <c r="AK37" i="3"/>
  <c r="AK9" i="3"/>
  <c r="AK86" i="3"/>
  <c r="AK16" i="3"/>
  <c r="AK60" i="3"/>
  <c r="AK21" i="3"/>
  <c r="AK56" i="3"/>
  <c r="AK67" i="3"/>
  <c r="C13" i="4"/>
  <c r="F13" i="4"/>
  <c r="G13" i="4"/>
  <c r="C12" i="4"/>
  <c r="G12" i="4"/>
  <c r="F12" i="4"/>
  <c r="C11" i="4"/>
  <c r="F11" i="4"/>
  <c r="G11" i="4"/>
  <c r="F10" i="4"/>
  <c r="G10" i="4"/>
  <c r="C10" i="4"/>
  <c r="C9" i="4"/>
  <c r="F9" i="4"/>
  <c r="G9" i="4"/>
  <c r="G8" i="4"/>
  <c r="C8" i="4"/>
  <c r="F8" i="4"/>
  <c r="F7" i="4"/>
  <c r="G7" i="4"/>
  <c r="C7" i="4"/>
  <c r="C6" i="4"/>
  <c r="F6" i="4"/>
  <c r="G6" i="4"/>
  <c r="C5" i="4"/>
  <c r="F5" i="4"/>
  <c r="G5" i="4"/>
  <c r="G4" i="4"/>
  <c r="F4" i="4"/>
  <c r="C4" i="4"/>
  <c r="B21" i="4"/>
  <c r="B20" i="4"/>
  <c r="AK111" i="3"/>
  <c r="AL111" i="3" s="1"/>
  <c r="AK96" i="3"/>
  <c r="AK95" i="3"/>
  <c r="AK69" i="3"/>
  <c r="AK105" i="3"/>
  <c r="AK104" i="3"/>
  <c r="AK40" i="3"/>
  <c r="AK10" i="3"/>
  <c r="AK88" i="3"/>
  <c r="AK53" i="3"/>
  <c r="AK107" i="3"/>
  <c r="AK75" i="3"/>
  <c r="AK99" i="3"/>
  <c r="AK85" i="3"/>
  <c r="AK48" i="3"/>
  <c r="AK6" i="3"/>
  <c r="AK108" i="3"/>
  <c r="AK110" i="3"/>
  <c r="AL110" i="3" s="1"/>
  <c r="AK39" i="3"/>
  <c r="AK52" i="3"/>
  <c r="AK101" i="3"/>
  <c r="AK33" i="3"/>
  <c r="AK94" i="3"/>
  <c r="AK42" i="3"/>
  <c r="AK30" i="3"/>
  <c r="AK46" i="3"/>
  <c r="AK100" i="3"/>
  <c r="AK82" i="3"/>
  <c r="AK89" i="3"/>
  <c r="AK35" i="3"/>
  <c r="AK68" i="3"/>
  <c r="AK34" i="3"/>
  <c r="AK73" i="3"/>
  <c r="AK71" i="3"/>
  <c r="AK28" i="3"/>
  <c r="AK91" i="3"/>
  <c r="AK45" i="3"/>
  <c r="AK5" i="3"/>
  <c r="AK97" i="3"/>
  <c r="AK112" i="3"/>
  <c r="AL112" i="3" s="1"/>
  <c r="AK51" i="3"/>
  <c r="AK12" i="3"/>
  <c r="AK102" i="3"/>
  <c r="AK109" i="3"/>
  <c r="AK63" i="3"/>
  <c r="AK77" i="3"/>
  <c r="AK44" i="3"/>
  <c r="AK29" i="3"/>
  <c r="AL29" i="3" s="1"/>
  <c r="AK64" i="3"/>
  <c r="AL64" i="3" s="1"/>
  <c r="AK70" i="3"/>
  <c r="AL70" i="3" s="1"/>
  <c r="B23" i="4" l="1"/>
  <c r="AL88" i="3"/>
  <c r="B22" i="4"/>
  <c r="B18" i="4"/>
  <c r="B19" i="4" s="1"/>
  <c r="B24" i="4"/>
  <c r="AL76" i="3"/>
  <c r="AL23" i="3"/>
  <c r="AL3" i="3"/>
  <c r="AL66" i="3"/>
  <c r="AL55" i="3"/>
  <c r="AL57" i="3"/>
  <c r="AL32" i="3"/>
  <c r="AL21" i="3"/>
  <c r="AL8" i="3"/>
  <c r="AL98" i="3"/>
  <c r="AL2" i="3"/>
  <c r="AL62" i="3"/>
  <c r="AL86" i="3"/>
  <c r="AL16" i="3"/>
  <c r="AL90" i="3"/>
  <c r="AL47" i="3"/>
  <c r="AL18" i="3"/>
  <c r="AL83" i="3"/>
  <c r="AL7" i="3"/>
  <c r="AL31" i="3"/>
  <c r="AL61" i="3"/>
  <c r="AL92" i="3"/>
  <c r="AL13" i="3"/>
  <c r="AL41" i="3"/>
  <c r="AL84" i="3"/>
  <c r="AL4" i="3"/>
  <c r="AL60" i="3"/>
  <c r="AL24" i="3"/>
  <c r="AL27" i="3"/>
  <c r="AL79" i="3"/>
  <c r="AL65" i="3"/>
  <c r="AL25" i="3"/>
  <c r="AL74" i="3"/>
  <c r="AL80" i="3"/>
  <c r="AL15" i="3"/>
  <c r="AL11" i="3"/>
  <c r="AL56" i="3"/>
  <c r="AL67" i="3"/>
  <c r="AL59" i="3"/>
  <c r="AL54" i="3"/>
  <c r="AL43" i="3"/>
  <c r="AL78" i="3"/>
  <c r="AL103" i="3"/>
  <c r="AL36" i="3"/>
  <c r="AL38" i="3"/>
  <c r="AL81" i="3"/>
  <c r="AL87" i="3"/>
  <c r="AL49" i="3"/>
  <c r="AL58" i="3"/>
  <c r="AL37" i="3"/>
  <c r="AL14" i="3"/>
  <c r="AL17" i="3"/>
  <c r="AL106" i="3"/>
  <c r="AL93" i="3"/>
  <c r="AL20" i="3"/>
  <c r="AL26" i="3"/>
  <c r="AL72" i="3"/>
  <c r="AL9" i="3"/>
  <c r="AL50" i="3"/>
  <c r="AL19" i="3"/>
  <c r="AL22" i="3"/>
  <c r="AL104" i="3"/>
  <c r="AL82" i="3"/>
  <c r="AL28" i="3"/>
  <c r="AL97" i="3"/>
  <c r="AL102" i="3"/>
  <c r="AL44" i="3"/>
  <c r="AL69" i="3"/>
  <c r="AL39" i="3"/>
  <c r="AL94" i="3"/>
  <c r="AL46" i="3"/>
  <c r="AL35" i="3"/>
  <c r="AL73" i="3"/>
  <c r="AL45" i="3"/>
  <c r="AL51" i="3"/>
  <c r="AL77" i="3"/>
  <c r="AL95" i="3"/>
  <c r="AL10" i="3"/>
  <c r="AL53" i="3"/>
  <c r="AL75" i="3"/>
  <c r="AL85" i="3"/>
  <c r="AL6" i="3"/>
  <c r="AL42" i="3"/>
  <c r="AL100" i="3"/>
  <c r="AL68" i="3"/>
  <c r="AL71" i="3"/>
  <c r="AL5" i="3"/>
  <c r="AL12" i="3"/>
  <c r="AL63" i="3"/>
  <c r="AL96" i="3"/>
  <c r="AL105" i="3"/>
  <c r="AL40" i="3"/>
  <c r="AL107" i="3"/>
  <c r="AL99" i="3"/>
  <c r="AL48" i="3"/>
  <c r="AL108" i="3"/>
  <c r="AL52" i="3"/>
  <c r="AL101" i="3"/>
  <c r="AL33" i="3"/>
  <c r="AL30" i="3"/>
  <c r="AL89" i="3"/>
  <c r="AL34" i="3"/>
  <c r="AL91" i="3"/>
  <c r="AL109" i="3"/>
</calcChain>
</file>

<file path=xl/sharedStrings.xml><?xml version="1.0" encoding="utf-8"?>
<sst xmlns="http://schemas.openxmlformats.org/spreadsheetml/2006/main" count="4194" uniqueCount="1167">
  <si>
    <t>OISI Component 2 - Governance Practices: scoring workbook</t>
  </si>
  <si>
    <t>Source: OISI_112_Governance_Practices_Verification.xlsm (112 services from Infra Finder v3) + 02_Governance_Practices_OISI.docx (specification).</t>
  </si>
  <si>
    <t>HOW A SCORE IS BUILT</t>
  </si>
  <si>
    <t>1. Each status variable -&gt; 0-1 via the ladder on Parameters (Implemented 1, In progress 0.67, Considering 0.33, Not planning 0). Unknown / Not applicable = NA (missing, not zero).</t>
  </si>
  <si>
    <t>2. Presence variables (050 board structure, 046 values frameworks) -&gt; 1 if any value is listed, else the blank rule on Parameters (default 0).</t>
  </si>
  <si>
    <t>3. Sub-component score = weighted mean of its metrics that are observed (weights renormalised over non-missing metrics).</t>
  </si>
  <si>
    <t>4. Component score = 100 x weighted mean of sub-components that are observed (Formal 40%, Participatory 25%, Transparency 35%).</t>
  </si>
  <si>
    <t>5. A score is published only if completeness (observed weight / total weight in the data) &gt;= 70% AND Formal and Transparency both have a value.</t>
  </si>
  <si>
    <t>6. Evidence confidence (0-100%) = share of a repo's "Implemented" claims that carry an evidence URL. It is a reliability flag, NOT part of the score.</t>
  </si>
  <si>
    <t>THREE ISSUES YOU SHOULD DECIDE BEFORE PUBLISHING</t>
  </si>
  <si>
    <t>A. 048_community_governance_status now comes from OISI_112_Community_Engagement_Verification.xlsx (rows matched by order and service name, 112/112). Values: Formal 52, Ad hoc 35, blank 25. The spec's explicit None never appears, so blank is treated as absent (0) by default - the strongest assumption in the model; switch on Parameters!B21.</t>
  </si>
  <si>
    <t>B. 100_board_level is only 13% complete (15/112), so it is reported descriptively and its 5 points go to 048 (Participatory = 048 alone), as your spec allows.</t>
  </si>
  <si>
    <t>C. Blank handling for 050, 046 and 048 deviates from the "blank = NA" rule (reason on Parameters); effect is on the Sensitivity sheet.</t>
  </si>
  <si>
    <t>KNOWN LIMITATIONS</t>
  </si>
  <si>
    <t>- verification_status / verification_notes are empty: values are self-reported Infra Finder entries, not independently verified.</t>
  </si>
  <si>
    <t>- 046 counts FAIR Principles (13 repos, 11 FAIR-only) as a values framework, but FAIR concerns data practice, not organisational governance. Decide whether to keep; effect on ranking is small (rho 0.99).</t>
  </si>
  <si>
    <t>- 033 transparent pricing is 95% at ceiling (59 repos have "No direct costs"); it adds little discrimination.</t>
  </si>
  <si>
    <t>- The scale is ordinal and self-reported; treat score differences of a few points as ties.</t>
  </si>
  <si>
    <t>OISI Component 2 - Governance Practices: scoring parameters</t>
  </si>
  <si>
    <t>Blue = editable input. Every score in the "Scores" sheet recalculates from these cells.</t>
  </si>
  <si>
    <t>Status label</t>
  </si>
  <si>
    <t>Score (0-1)</t>
  </si>
  <si>
    <t>Used by</t>
  </si>
  <si>
    <t>Variable</t>
  </si>
  <si>
    <t>Sub-component</t>
  </si>
  <si>
    <t>Weight (pts of 100)</t>
  </si>
  <si>
    <t>Column in data? (1/0)</t>
  </si>
  <si>
    <t>Effective weight</t>
  </si>
  <si>
    <t>Justification / status</t>
  </si>
  <si>
    <t>Implemented/available</t>
  </si>
  <si>
    <t>status metrics</t>
  </si>
  <si>
    <t>024_governance_structure_status</t>
  </si>
  <si>
    <t>Formal</t>
  </si>
  <si>
    <t>Core: documented governance structure. 100% coverage.</t>
  </si>
  <si>
    <t>No direct costs</t>
  </si>
  <si>
    <t>033 only (per working rule)</t>
  </si>
  <si>
    <t>026_governance_records_status</t>
  </si>
  <si>
    <t>Core: public decision records = accountability evidence. 100% coverage.</t>
  </si>
  <si>
    <t>In progress</t>
  </si>
  <si>
    <t>108_bylaws_status</t>
  </si>
  <si>
    <t>Core: formal rules. 26% Unknown -&gt; NA, renormalised.</t>
  </si>
  <si>
    <t>Considering</t>
  </si>
  <si>
    <t>050_board_structure</t>
  </si>
  <si>
    <t>Presence of any board/steering body. Type kept descriptive (no ranking of types).</t>
  </si>
  <si>
    <t>Not planning</t>
  </si>
  <si>
    <t>048_community_governance_status</t>
  </si>
  <si>
    <t>Participatory</t>
  </si>
  <si>
    <t>From OISI_112_Community_Engagement_Verification.xlsx (matched by row and service name). Formal 1 / Ad hoc 0.5 / blank = setting B21.</t>
  </si>
  <si>
    <t>Unknown</t>
  </si>
  <si>
    <t>NA</t>
  </si>
  <si>
    <t>treated as missing</t>
  </si>
  <si>
    <t>100_board_level</t>
  </si>
  <si>
    <t>Descriptive only: 15/112 complete (13%). Its 5 pts go to 048 per working rule.</t>
  </si>
  <si>
    <t>Not applicable</t>
  </si>
  <si>
    <t>029_web_accessibility_status</t>
  </si>
  <si>
    <t>Transparency</t>
  </si>
  <si>
    <t>Core. 031 applicability retained as context.</t>
  </si>
  <si>
    <t>048 (not in current file)</t>
  </si>
  <si>
    <t>033_transparent_pricing_status</t>
  </si>
  <si>
    <t>Core, but 95% at ceiling: low discrimination (see Diagnostics).</t>
  </si>
  <si>
    <t>Ad hoc</t>
  </si>
  <si>
    <t>035_commitment_to_equity_status</t>
  </si>
  <si>
    <t>Core.</t>
  </si>
  <si>
    <t>None</t>
  </si>
  <si>
    <t>044_commitment_to_privacy_status</t>
  </si>
  <si>
    <t>046_values_frameworks</t>
  </si>
  <si>
    <t>Presence of &gt;=1 named framework. Blank treated as absent (see setting below).</t>
  </si>
  <si>
    <t>Settings</t>
  </si>
  <si>
    <t>Weight</t>
  </si>
  <si>
    <t>Blank 050_board_structure scored as (0 or NA)</t>
  </si>
  <si>
    <t>Blank 046_values_frameworks scored as (0 or NA)</t>
  </si>
  <si>
    <t>Minimum completeness to publish a score</t>
  </si>
  <si>
    <t>Blank 048_community_governance_status scored as (0 or NA)</t>
  </si>
  <si>
    <t>Check: sum</t>
  </si>
  <si>
    <t>Why blank = 0 for 050, 046 and 048 (deviation from the working "blank = NA" rule): these fields have no explicit absent option. For 050 and 046 every observed value would be 1 (zero variance). For 048 the file has only Formal (52) and Ad hoc (35) plus 25 blanks; the spec's None category never appears, so blank is the only way absence is recorded. Evidence: 76% of blank-048 repos have a governance structure that is not Implemented (vs 21% of the rest), only 1 of 25 gives a 048 URL (vs 55 of 87), and 54% of blank-050 repos report Not planning bylaws vs 9%. Switch B18/B19/B21 to NA to see the effect (Sensitivity sheet).</t>
  </si>
  <si>
    <t>Service</t>
  </si>
  <si>
    <t>Provider</t>
  </si>
  <si>
    <t>Solution category</t>
  </si>
  <si>
    <t>024 Governance structure</t>
  </si>
  <si>
    <t>026 Governance records</t>
  </si>
  <si>
    <t>108 Bylaws</t>
  </si>
  <si>
    <t>050 Board structure</t>
  </si>
  <si>
    <t>100 Board level (descriptive)</t>
  </si>
  <si>
    <t>048 Community governance</t>
  </si>
  <si>
    <t>029 Web accessibility</t>
  </si>
  <si>
    <t>033 Transparent pricing</t>
  </si>
  <si>
    <t>035 Equity commitment</t>
  </si>
  <si>
    <t>044 Privacy commitment</t>
  </si>
  <si>
    <t>046 Values frameworks</t>
  </si>
  <si>
    <t>025 URL</t>
  </si>
  <si>
    <t>028 URL</t>
  </si>
  <si>
    <t>030 URL</t>
  </si>
  <si>
    <t>034 URL</t>
  </si>
  <si>
    <t>036 URL</t>
  </si>
  <si>
    <t>045 URL</t>
  </si>
  <si>
    <t>049 URL</t>
  </si>
  <si>
    <t>s024</t>
  </si>
  <si>
    <t>s026</t>
  </si>
  <si>
    <t>s108</t>
  </si>
  <si>
    <t>s050</t>
  </si>
  <si>
    <t>s048</t>
  </si>
  <si>
    <t>s029</t>
  </si>
  <si>
    <t>s033</t>
  </si>
  <si>
    <t>s035</t>
  </si>
  <si>
    <t>s044</t>
  </si>
  <si>
    <t>s046</t>
  </si>
  <si>
    <t>Formal (0-1)</t>
  </si>
  <si>
    <t>Participatory (0-1)</t>
  </si>
  <si>
    <t>Transparency (0-1)</t>
  </si>
  <si>
    <t>Weight observed</t>
  </si>
  <si>
    <t>Completeness</t>
  </si>
  <si>
    <t>Governance score (0-100)</t>
  </si>
  <si>
    <t>Rank</t>
  </si>
  <si>
    <t>Evidence confidence</t>
  </si>
  <si>
    <t>2i2c</t>
  </si>
  <si>
    <t>Code for Science and Society</t>
  </si>
  <si>
    <t>Authoring tool</t>
  </si>
  <si>
    <t>Advisory board or steering committee</t>
  </si>
  <si>
    <t>https://compass.2i2c.org/organization/structure/</t>
  </si>
  <si>
    <t>https://docs.google.com/document/d/1FNiDyKNDoe_TgU2WxuNZ5CayYD56tlNJpImQsAIGOmg/edit</t>
  </si>
  <si>
    <t>https://docs.2i2c.org/user/topics/policy/privacy/</t>
  </si>
  <si>
    <t>Academic Preservation Trust (APTrust)</t>
  </si>
  <si>
    <t>Digital preservation service</t>
  </si>
  <si>
    <t>Multi-board governance</t>
  </si>
  <si>
    <t>It Takes a Village Open Source Software Sustainability toolkit</t>
  </si>
  <si>
    <t>https://aptrust.org/governance/</t>
  </si>
  <si>
    <t>https://aptrust.org/resources/member-meetings/</t>
  </si>
  <si>
    <t>https://aptrust.org/about/services-and-fees/</t>
  </si>
  <si>
    <t>https://aptrust.org/resources/policies/#vision-mission-and-shared-values</t>
  </si>
  <si>
    <t>https://aptrust.org/resources/policies/#governance-manual</t>
  </si>
  <si>
    <t>AfricArXiv</t>
  </si>
  <si>
    <t>UbuntuNet Alliance</t>
  </si>
  <si>
    <t>Repository service</t>
  </si>
  <si>
    <t>Helsinki Initiative on Multilingualism</t>
  </si>
  <si>
    <t>https://africarxiv.org/governance</t>
  </si>
  <si>
    <t>https://africarxiv.ubuntunet.net/info/privacy</t>
  </si>
  <si>
    <t>Arches Heritage Data Management Platform</t>
  </si>
  <si>
    <t>Getty Conservation Institute (GCI)</t>
  </si>
  <si>
    <t>Data management planning tool or service</t>
  </si>
  <si>
    <t>FAIR Guiding Principles for Scientific Data Management and Stewardship</t>
  </si>
  <si>
    <t>https://www.archesproject.org/archesgovernance/</t>
  </si>
  <si>
    <t>https://www.archesproject.org/accessibility/</t>
  </si>
  <si>
    <t>Archipelago Commons</t>
  </si>
  <si>
    <t>Metropolitan New York Library Council</t>
  </si>
  <si>
    <t>Digital library, collection or exhibit platform | Repository software</t>
  </si>
  <si>
    <t>Contributor Covenant Code of Conduct for Open Source and Other Digital Commons Communities | FAIR Guiding Principles for Scientific Data Management and Stewardship</t>
  </si>
  <si>
    <t>https://docs.google.com/document/d/1IXLYykwTbYS34VqzU-4AOD47EKQC95WyKrmZOKZkz6s/edit?usp=sharing</t>
  </si>
  <si>
    <t>https://docs.archipelago.nyc/1.5.0/CODE_OF_CONDUCT/</t>
  </si>
  <si>
    <t>https://metro.org/wp-content/uploads/2025/05/METROBylaws20242.pdf</t>
  </si>
  <si>
    <t>Archival Resource Key</t>
  </si>
  <si>
    <t>ARK Alliance</t>
  </si>
  <si>
    <t>Standard, specification or protocol</t>
  </si>
  <si>
    <t>Archivematica</t>
  </si>
  <si>
    <t>Artefactual</t>
  </si>
  <si>
    <t>Digital preservation system</t>
  </si>
  <si>
    <t>https://www.artefactual.com/pricing</t>
  </si>
  <si>
    <t>https://www.artefactual.com/data-collection-and-privacy-notice</t>
  </si>
  <si>
    <t>ArchivesSpace</t>
  </si>
  <si>
    <t>Archive information management system | Discovery system</t>
  </si>
  <si>
    <t>https://archivesspace.org/governance-board-and-councils</t>
  </si>
  <si>
    <t>https://archivesspace.atlassian.net/wiki/spaces/AC/overview</t>
  </si>
  <si>
    <t>https://archivesspace.org/application/accessibility-vpat</t>
  </si>
  <si>
    <t>https://archivesspace.org/membership/member-benefits</t>
  </si>
  <si>
    <t>https://archivesspace.org/about/anti-racism-inclusion-initiatives</t>
  </si>
  <si>
    <t>https://archivesspace.org/about/lyrasis-privacy-policy</t>
  </si>
  <si>
    <t>ARGOS</t>
  </si>
  <si>
    <t>OpenAIRE</t>
  </si>
  <si>
    <t>https://www.openaire.eu/governance</t>
  </si>
  <si>
    <t>https://catalogue.openaire.eu/service/openaire.argos/subscriptions</t>
  </si>
  <si>
    <t>https://www.openaire.eu/openaire-gep</t>
  </si>
  <si>
    <t>https://www.openaire.eu/privacy-policy</t>
  </si>
  <si>
    <t>https://www.openaire.eu/organisation-2</t>
  </si>
  <si>
    <t>arXiv</t>
  </si>
  <si>
    <t>Cornell University</t>
  </si>
  <si>
    <t>https://info.arxiv.org/about/governance.html</t>
  </si>
  <si>
    <t>https://info.arxiv.org/about/reports/index.html</t>
  </si>
  <si>
    <t>https://info.arxiv.org/help/web_accessibility.html</t>
  </si>
  <si>
    <t>https://info.arxiv.org/about/funding.html</t>
  </si>
  <si>
    <t>https://info.arxiv.org/help/policies/privacy_policy.html</t>
  </si>
  <si>
    <t>https://info.arxiv.org/about/arXiv_bylaws.html</t>
  </si>
  <si>
    <t>AtoM</t>
  </si>
  <si>
    <t>Archive information management system</t>
  </si>
  <si>
    <t>Avalon Media System</t>
  </si>
  <si>
    <t>Indiana University Libraries</t>
  </si>
  <si>
    <t>Other</t>
  </si>
  <si>
    <t>https://samvera.atlassian.net/wiki/spaces/samvera/pages/1387986974/Samvera+Bylaws</t>
  </si>
  <si>
    <t>https://samvera.atlassian.net/wiki/spaces/samvera/pages/426512038/Notes+from+Samvera+Board+meetings+and+calls</t>
  </si>
  <si>
    <t>Biodiversity Heritage Library</t>
  </si>
  <si>
    <t>BHL Consortium</t>
  </si>
  <si>
    <t>Digital library, collection or exhibit platform | Open scholarly dataset | Repository service</t>
  </si>
  <si>
    <t>Both</t>
  </si>
  <si>
    <t>https://about.biodiversitylibrary.org/about/bhl-consortium/</t>
  </si>
  <si>
    <t>https://about.biodiversitylibrary.org/about/strategic-plan/</t>
  </si>
  <si>
    <t>https://www.si.edu/privacy</t>
  </si>
  <si>
    <t>https://about.biodiversitylibrary.org/about/bylaws/</t>
  </si>
  <si>
    <t>bioRxiv</t>
  </si>
  <si>
    <t>Cold Spring Harbor Laboratory</t>
  </si>
  <si>
    <t>https://www.biorxiv.org/content/about-biorxiv</t>
  </si>
  <si>
    <t>http://cshlp.org/misc/preprints_privacy_policy/</t>
  </si>
  <si>
    <t>BitCurator Environment</t>
  </si>
  <si>
    <t>BitCurator Consortium</t>
  </si>
  <si>
    <t>Digital preservation tool</t>
  </si>
  <si>
    <t>https://bitcuratorconsortium.org/about/executive-council/</t>
  </si>
  <si>
    <t>https://bitcuratorconsortium.org/inclusivity-statement/</t>
  </si>
  <si>
    <t>https://bitcuratorconsortium.org/privacy-policy/</t>
  </si>
  <si>
    <t>https://bitcuratorconsortium.org/bitcurator-consortium-charter/</t>
  </si>
  <si>
    <t>Blacklight</t>
  </si>
  <si>
    <t>Discovery system | Integrated Library System (ILS) or Library Services Platform (LSP)</t>
  </si>
  <si>
    <t>BrCRIS</t>
  </si>
  <si>
    <t>IBICT</t>
  </si>
  <si>
    <t>Discovery system | Research profiling system</t>
  </si>
  <si>
    <t>https://brcris.ibict.br/about</t>
  </si>
  <si>
    <t>Browsertrix</t>
  </si>
  <si>
    <t>Webrecorder</t>
  </si>
  <si>
    <t>Digital library, collection or exhibit platform | Web archiving system</t>
  </si>
  <si>
    <t>https://webrecorder.net/browsertrix/pricing/</t>
  </si>
  <si>
    <t>https://webrecorder.net/legal/webrecorder-privacy-policy/</t>
  </si>
  <si>
    <t>CLOCKSS</t>
  </si>
  <si>
    <t>https://clockss.org/digital-archive-community/board-of-directors/</t>
  </si>
  <si>
    <t>https://clockss.org/join-clockss/</t>
  </si>
  <si>
    <t>https://clockss.org/biblio-equity-in-action-advancing-collection-development-for-diversity-equity-and-inclusion/</t>
  </si>
  <si>
    <t>https://clockss.org/clockss-privacy-policy/</t>
  </si>
  <si>
    <t>https://clockss.org/wp-content/uploads/2024/03/DIGITAL-DISTRIBUTED-COMMUNITY-ARCHIVE-ByLaws.pdf</t>
  </si>
  <si>
    <t>COAR International Repository Directory (IRD)</t>
  </si>
  <si>
    <t>COAR</t>
  </si>
  <si>
    <t>Index or directory</t>
  </si>
  <si>
    <t>https://coar-repositories.org/about-coar/</t>
  </si>
  <si>
    <t>http://www.coar-repositories.org/</t>
  </si>
  <si>
    <t>COAR Notify</t>
  </si>
  <si>
    <t>https://coar-notify.net/about/editorial/</t>
  </si>
  <si>
    <t>CollectiveAccess</t>
  </si>
  <si>
    <t>Whirl-i-Gig</t>
  </si>
  <si>
    <t>Archive information management system | Digital asset management system | Digital library, collection or exhibit platform</t>
  </si>
  <si>
    <t>CORE</t>
  </si>
  <si>
    <t>The Open University</t>
  </si>
  <si>
    <t>Discovery system</t>
  </si>
  <si>
    <t>https://core.ac.uk/governance</t>
  </si>
  <si>
    <t>https://core.ac.uk/accessibility</t>
  </si>
  <si>
    <t>https://core.ac.uk/membership</t>
  </si>
  <si>
    <t>https://core.ac.uk/privacy</t>
  </si>
  <si>
    <t>COUNTER Code of Practice</t>
  </si>
  <si>
    <t>COUNTER Metrics</t>
  </si>
  <si>
    <t>Principles for Open Scholarly Infrastructure (POSI)</t>
  </si>
  <si>
    <t>https://www.countermetrics.org/about/people/</t>
  </si>
  <si>
    <t>https://www.countermetrics.org/category/agm-minutes/</t>
  </si>
  <si>
    <t>https://www.countermetrics.org/accessibility/</t>
  </si>
  <si>
    <t>https://www.countermetrics.org/members/</t>
  </si>
  <si>
    <t>https://www.countermetrics.org/privacy-data-protection/</t>
  </si>
  <si>
    <t>https://find-and-update.company-information.service.gov.uk/company/04865179/filing-history</t>
  </si>
  <si>
    <t>Creative Commons Licenses</t>
  </si>
  <si>
    <t>Creative Commons</t>
  </si>
  <si>
    <t>https://creativecommons.org/mission/team/</t>
  </si>
  <si>
    <t>https://drive.google.com/file/d/10rQDv5Hzuss38oi1ovGuoxHagmFzqn_f/view</t>
  </si>
  <si>
    <t>https://creativecommons.org/privacy/</t>
  </si>
  <si>
    <t>Crossref Metadata Retrieval</t>
  </si>
  <si>
    <t>Crossref</t>
  </si>
  <si>
    <t>Open scholarly dataset</t>
  </si>
  <si>
    <t>https://www.crossref.org/board-and-governance/</t>
  </si>
  <si>
    <t>https://www.crossref.org/fees/</t>
  </si>
  <si>
    <t>https://www.crossref.org/gem/</t>
  </si>
  <si>
    <t>https://www.crossref.org/operations-and-sustainability/privacy/</t>
  </si>
  <si>
    <t>https://www.crossref.org/board-and-governance/bylaws/</t>
  </si>
  <si>
    <t>D4Science Infrastructure</t>
  </si>
  <si>
    <t>National Research Council of Italy</t>
  </si>
  <si>
    <t>Computing framework | Informal scholarly communications | Repository service</t>
  </si>
  <si>
    <t>https://www.d4science.org/faq</t>
  </si>
  <si>
    <t>https://www.iubenda.com/privacy-policy/441050</t>
  </si>
  <si>
    <t>DART (Digital Archivist's Resource Tool)</t>
  </si>
  <si>
    <t>Database Information System</t>
  </si>
  <si>
    <t>University Library of Regensburg</t>
  </si>
  <si>
    <t>Discovery system | Index or directory</t>
  </si>
  <si>
    <t>https://www.ur-library.de/en/ezb-dbis-advisory-board/</t>
  </si>
  <si>
    <t>https://www.uni-regensburg.de/en/data-protection</t>
  </si>
  <si>
    <t>Data Citation Corpus</t>
  </si>
  <si>
    <t>Make Data Count</t>
  </si>
  <si>
    <t>Discovery system | Open scholarly dataset</t>
  </si>
  <si>
    <t>https://makedatacount.org/learn-about-us/#section-4</t>
  </si>
  <si>
    <t>https://makedatacount.org/privacy-policy/</t>
  </si>
  <si>
    <t>DataCite</t>
  </si>
  <si>
    <t>Discovery system | Persistent identifier service</t>
  </si>
  <si>
    <t>https://datacite.org/governance/</t>
  </si>
  <si>
    <t>https://datacite.org/fee-model/</t>
  </si>
  <si>
    <t>https://datacite.org/commitment-to-equity-and-inclusion/</t>
  </si>
  <si>
    <t>https://datacite.org/privacy-policy/</t>
  </si>
  <si>
    <t>https://datacite.org/wp-content/uploads/2023/06/Statutes_26April2022.pdf</t>
  </si>
  <si>
    <t>Data Stewardship Wizard</t>
  </si>
  <si>
    <t>DSW Team</t>
  </si>
  <si>
    <t>https://ds-wizard.org/about</t>
  </si>
  <si>
    <t>https://discord.com/channels/693010138302513174/1102900416783597620</t>
  </si>
  <si>
    <t>Dataverse</t>
  </si>
  <si>
    <t>Harvard University Institute for Quantitative Social Science (IQSS)</t>
  </si>
  <si>
    <t>Repository software</t>
  </si>
  <si>
    <t>https://github.com/gdcc</t>
  </si>
  <si>
    <t>https://edib.harvard.edu/</t>
  </si>
  <si>
    <t>https://support.dataverse.harvard.edu/harvard-dataverse-privacy-policy</t>
  </si>
  <si>
    <t>DLCM Backend</t>
  </si>
  <si>
    <t>DLCM Technology</t>
  </si>
  <si>
    <t>Archive information management system | Digital preservation system</t>
  </si>
  <si>
    <t>https://olos.swiss/about-us</t>
  </si>
  <si>
    <t>https://olos.swiss/pricing</t>
  </si>
  <si>
    <t>DLCM Portal</t>
  </si>
  <si>
    <t>Archive information management system | Digital preservation system | Software preservation service</t>
  </si>
  <si>
    <t>DMP Tool</t>
  </si>
  <si>
    <t>California Digital Library</t>
  </si>
  <si>
    <t>https://dmptool.org/terms</t>
  </si>
  <si>
    <t>DOAJ (Directory of Open Access Journals)</t>
  </si>
  <si>
    <t>DOAJ Foundation</t>
  </si>
  <si>
    <t>Discovery system | Index or directory | Open scholarly dataset</t>
  </si>
  <si>
    <t>Advisory board or steering committee | Other</t>
  </si>
  <si>
    <t>FOREST Framework for Values-Driven Scholarly Communication | Helsinki Initiative on Multilingualism | Joint Statement of Principles of the Coalition for Diversity and Inclusion in Scholarly Communication (C4DISC) | Principles for Open Scholarly Infrastructure (POSI) | San Francisco Declaration on Research Assessment (DORA)</t>
  </si>
  <si>
    <t>https://doaj.org/about/advisory-board-council/</t>
  </si>
  <si>
    <t>https://doaj.org/support/</t>
  </si>
  <si>
    <t>https://doaj.org/about/#diversity-equity-and-inclusion</t>
  </si>
  <si>
    <t>https://doaj.org/privacy/</t>
  </si>
  <si>
    <t>dokieli</t>
  </si>
  <si>
    <t>Annotations system | Authoring tool | Informal scholarly communications</t>
  </si>
  <si>
    <t>https://dokie.li/docs#accessibility-statement</t>
  </si>
  <si>
    <t>Dryad</t>
  </si>
  <si>
    <t>https://datadryad.org/stash/about#our-board</t>
  </si>
  <si>
    <t>https://blog.datadryad.org/category/governance/</t>
  </si>
  <si>
    <t>https://datadryad.org/stash/join_us#fees</t>
  </si>
  <si>
    <t>https://datadryad.org/stash/terms#privacy</t>
  </si>
  <si>
    <t>https://datadryad.org/docs/DryadBylaws.pdf</t>
  </si>
  <si>
    <t>DSpace</t>
  </si>
  <si>
    <t>Lyrasis</t>
  </si>
  <si>
    <t>https://dspace.org/governance/</t>
  </si>
  <si>
    <t>https://wiki.lyrasis.org/display/DSPACE/Leadership+Group</t>
  </si>
  <si>
    <t>https://dspace.org/accessibility/</t>
  </si>
  <si>
    <t>https://dspace.org/membership/</t>
  </si>
  <si>
    <t>https://lyrasis.org/job-bank/</t>
  </si>
  <si>
    <t>https://demo.dspace.org/info/privacy</t>
  </si>
  <si>
    <t>https://dspace.org/governance</t>
  </si>
  <si>
    <t>DuraCloud</t>
  </si>
  <si>
    <t>Digital preservation service | Digital preservation system | Digital preservation tool</t>
  </si>
  <si>
    <t>Episciences</t>
  </si>
  <si>
    <t>Center for Direct Scientific Communication (CCSD)</t>
  </si>
  <si>
    <t>Peer review system | Publishing system | Submissions system</t>
  </si>
  <si>
    <t>https://www.ccsd.cnrs.fr/en/governance/</t>
  </si>
  <si>
    <t>https://www.episciences.org/privacy-and-personal-data/</t>
  </si>
  <si>
    <t>https://www.episciences.org/governance/</t>
  </si>
  <si>
    <t>EPrints</t>
  </si>
  <si>
    <t>EPrints Services</t>
  </si>
  <si>
    <t>Érudit</t>
  </si>
  <si>
    <t>Discovery system | Publishing system | Repository software</t>
  </si>
  <si>
    <t>https://apropos.erudit.org/direction-et-conseils/?lang=en</t>
  </si>
  <si>
    <t>https://apropos.erudit.org/rapports-annuels/?lang=en</t>
  </si>
  <si>
    <t>https://apropos.erudit.org/accessibility-statement/?lang=en</t>
  </si>
  <si>
    <t>https://apropos.erudit.org/equity-diversity-inclusion/?lang=en</t>
  </si>
  <si>
    <t>https://www.iubenda.com/privacy-policy/79766356</t>
  </si>
  <si>
    <t>Europe PMC</t>
  </si>
  <si>
    <t>EMBL European Bioinformatics Institute (EMBL-EBI)</t>
  </si>
  <si>
    <t>Digital preservation system | Discovery system | Repository service</t>
  </si>
  <si>
    <t>https://europepmc.org/Governance</t>
  </si>
  <si>
    <t>https://europepmc.org/Accessibility</t>
  </si>
  <si>
    <t>https://www.ebi.ac.uk/about/equality-in-science</t>
  </si>
  <si>
    <t>https://europepmc.org/PrivacyNotice</t>
  </si>
  <si>
    <t>FAIR Wizard</t>
  </si>
  <si>
    <t>Codevence Solution s.r.o.</t>
  </si>
  <si>
    <t>https://fair-wizard.com/plans</t>
  </si>
  <si>
    <t>https://fair-wizard.com/static/documents/privacy-policy.pdf</t>
  </si>
  <si>
    <t>Fedora</t>
  </si>
  <si>
    <t>https://wiki.lyrasis.org/display/FF/Project+Governance</t>
  </si>
  <si>
    <t>https://wiki.lyrasis.org/display/FF/Meetings</t>
  </si>
  <si>
    <t>https://fedorarepository.org/membership</t>
  </si>
  <si>
    <t>https://fedorarepository.org/privacy-policy/</t>
  </si>
  <si>
    <t>fido</t>
  </si>
  <si>
    <t>Open Preservation Foundation</t>
  </si>
  <si>
    <t>https://openpreservation.org/about-old/board-of-directors/</t>
  </si>
  <si>
    <t>https://openpreservation.org/privacy-policy/</t>
  </si>
  <si>
    <t>Fulcrum</t>
  </si>
  <si>
    <t>Michigan Publishing</t>
  </si>
  <si>
    <t>Publishing system</t>
  </si>
  <si>
    <t>https://www.fulcrum.org/about/</t>
  </si>
  <si>
    <t>https://www.fulcrum.org/accessibility/</t>
  </si>
  <si>
    <t>https://www.fulcrum.org/partner-with-us/</t>
  </si>
  <si>
    <t>https://www.lib.umich.edu/about-us/about-library/diversity-equity-inclusion-and-accessibility</t>
  </si>
  <si>
    <t>https://www.fulcrum.org/privacy/</t>
  </si>
  <si>
    <t>Galaxy</t>
  </si>
  <si>
    <t>The Galaxy community</t>
  </si>
  <si>
    <t>Computing framework | Discovery system</t>
  </si>
  <si>
    <t>https://galaxyproject.org/community/governance/</t>
  </si>
  <si>
    <t>https://galaxyproject.org/community/wg/</t>
  </si>
  <si>
    <t>https://galaxyproject.org/community/coc/</t>
  </si>
  <si>
    <t>https://usegalaxy-eu.github.io/gdpr/</t>
  </si>
  <si>
    <t>GeoServer</t>
  </si>
  <si>
    <t>Open Source Geospatial Foundation</t>
  </si>
  <si>
    <t>Geospatial data tool or platform</t>
  </si>
  <si>
    <t>Contributor Covenant Code of Conduct for Open Source and Other Digital Commons Communities</t>
  </si>
  <si>
    <t>https://docs.geoserver.org/latest/en/developer/policies/psc.html</t>
  </si>
  <si>
    <t>https://github.com/geoserver/geoserver/wiki/Proposals</t>
  </si>
  <si>
    <t>https://docs.geoserver.org/latest/en/developer/policies/index.html</t>
  </si>
  <si>
    <t>Hyku</t>
  </si>
  <si>
    <t>Samvera</t>
  </si>
  <si>
    <t>COAR Next Generation Repositories Principles | It Takes a Village Open Source Software Sustainability toolkit</t>
  </si>
  <si>
    <t>https://repo.samvera.org/concern/generic_works/19cc96b4-6e98-4dba-b908-91e3439cad44</t>
  </si>
  <si>
    <t>https://repo.samvera.org/concern/generic_works/66c8c363-ac35-4e65-bb3d-2631b7c80ff6?locale=en</t>
  </si>
  <si>
    <t>Hyrax</t>
  </si>
  <si>
    <t>IIIF</t>
  </si>
  <si>
    <t>IIIF Consortium</t>
  </si>
  <si>
    <t>https://iiif.io/community/consortium/consortium_committees/</t>
  </si>
  <si>
    <t>https://iiif.io/community/consortium/mou/</t>
  </si>
  <si>
    <t>https://iiif.io/community/consortium/join/</t>
  </si>
  <si>
    <t>https://iiif.io/community/consortium/next_steps/</t>
  </si>
  <si>
    <t>https://iiif.io/privacy/</t>
  </si>
  <si>
    <t>https://iiif.io/community/coordinating-committee/</t>
  </si>
  <si>
    <t>ImpactU</t>
  </si>
  <si>
    <t>Universidad de Antioquia and other Colombian universities</t>
  </si>
  <si>
    <t>Open scholarly dataset | Research profiling system</t>
  </si>
  <si>
    <t>International Generic Sample Number (IGSN)</t>
  </si>
  <si>
    <t>International Generic Sample Number Organization e.V.</t>
  </si>
  <si>
    <t>Persistent identifier service</t>
  </si>
  <si>
    <t>https://ev.igsn.org/membership/igsn-statutes-en</t>
  </si>
  <si>
    <t>InvenioRDM</t>
  </si>
  <si>
    <t>CERN</t>
  </si>
  <si>
    <t>https://inveniosoftware.org/governance/</t>
  </si>
  <si>
    <t>iRODS</t>
  </si>
  <si>
    <t>Renaissance Computing Institute (RENCI)</t>
  </si>
  <si>
    <t>Data management planning tool or service | Digital preservation system | Discovery system</t>
  </si>
  <si>
    <t>https://irods.org/uploads/2014/09/bylaws_v113015.pdf</t>
  </si>
  <si>
    <t>https://irods.org/uploads/members_benefit_sheet.pdf</t>
  </si>
  <si>
    <t>Islandora</t>
  </si>
  <si>
    <t>Islandora Foundation</t>
  </si>
  <si>
    <t>Authoring tool | Digital asset management system</t>
  </si>
  <si>
    <t>https://www.islandora.ca/governance</t>
  </si>
  <si>
    <t>https://github.com/Islandora/islandora-community/wiki/Board-of-Directors-%28BOD%29</t>
  </si>
  <si>
    <t>https://islandora.github.io/documentation/user-documentation/accessibility/</t>
  </si>
  <si>
    <t>https://www.islandora.ca/about</t>
  </si>
  <si>
    <t>Janeway</t>
  </si>
  <si>
    <t>Open Library of Humanities</t>
  </si>
  <si>
    <t>https://janeway.systems/hosting</t>
  </si>
  <si>
    <t>https://www.bbk.ac.uk/about-us/equality/statement</t>
  </si>
  <si>
    <t>https://www.openlibhums.org/site/privacy/</t>
  </si>
  <si>
    <t>JHOVE</t>
  </si>
  <si>
    <t>Computing library | Digital preservation tool</t>
  </si>
  <si>
    <t>https://openpreservation.org/about/board-of-directors/</t>
  </si>
  <si>
    <t>LA Referencia</t>
  </si>
  <si>
    <t>https://www.lareferencia.info/en/institutional/partners-and-representatives</t>
  </si>
  <si>
    <t>https://www.lareferencia.info/es/recursos/documentos/actas-consejo-directivo</t>
  </si>
  <si>
    <t>Manifold</t>
  </si>
  <si>
    <t>Manifold Digital Services</t>
  </si>
  <si>
    <t>https://manifoldapp.org/services</t>
  </si>
  <si>
    <t>medRxiv</t>
  </si>
  <si>
    <t>COAR Next Generation Repositories Principles | San Francisco Declaration on Research Assessment (DORA)</t>
  </si>
  <si>
    <t>http://www.cshlp.org/misc/preprints_privacy_policy/</t>
  </si>
  <si>
    <t>Metadata Encoding and Transmission Standard (METS)</t>
  </si>
  <si>
    <t>METS Editorial Board</t>
  </si>
  <si>
    <t>https://www.loc.gov/standards/mets/mets-board.html</t>
  </si>
  <si>
    <t>https://github.com/mets/METS-board/wiki/01-Meeting-Agendas-and-Notes</t>
  </si>
  <si>
    <t>https://www.loc.gov/standards/mets/mets-boardprocedures.html</t>
  </si>
  <si>
    <t>Mirador</t>
  </si>
  <si>
    <t>Project Mirador</t>
  </si>
  <si>
    <t>Annotations system | Media viewer/player</t>
  </si>
  <si>
    <t>https://docs.google.com/document/d/1wWozmLxUsN7QRWzekiIMjjuShhDIsJw0P0lIaiARSa8/edit</t>
  </si>
  <si>
    <t>https://github.com/ProjectMirador/mirador/wiki/M3-Accessibility-Guidelines-for-Contributors</t>
  </si>
  <si>
    <t>https://github.com/cul/mirador/blob/master/CODE_OF_CONDUCT.md#inclusivity</t>
  </si>
  <si>
    <t>Mukurtu CMS</t>
  </si>
  <si>
    <t>Center for Digital Scholarship and Curation</t>
  </si>
  <si>
    <t>Archive information management system | Digital asset management system</t>
  </si>
  <si>
    <t>https://mukurtu.org/get-mukurtu/</t>
  </si>
  <si>
    <t>https://mukurtu.org/about/</t>
  </si>
  <si>
    <t>https://mukurtu.org/privacy/</t>
  </si>
  <si>
    <t>MyCoRe</t>
  </si>
  <si>
    <t>MyCoRe Community</t>
  </si>
  <si>
    <t>Digital asset management system | Digital library, collection or exhibit platform | Repository software</t>
  </si>
  <si>
    <t>https://www.mycore.de/en/site/accessibility/</t>
  </si>
  <si>
    <t>https://www.mycore.de/en/site/privacy/</t>
  </si>
  <si>
    <t>NumPy</t>
  </si>
  <si>
    <t>NumPy Community</t>
  </si>
  <si>
    <t>Computing library | Standard, specification or protocol</t>
  </si>
  <si>
    <t>https://numpy.org/devdocs/dev/governance/governance.html#steering-council</t>
  </si>
  <si>
    <t>https://github.com/numpy/archive</t>
  </si>
  <si>
    <t>https://numpy.org/devdocs/dev/governance/index.html</t>
  </si>
  <si>
    <t>OA.Report</t>
  </si>
  <si>
    <t>OA.Works</t>
  </si>
  <si>
    <t>Open access or subscription management tool | Research profiling system</t>
  </si>
  <si>
    <t>https://oa.works/about/governance/</t>
  </si>
  <si>
    <t>https://drive.google.com/drive/folders/1BRmxtsdw5_IIcyRCFoLPSNLs070vbl3T?usp=sharing</t>
  </si>
  <si>
    <t>https://about.oa.report/help/accessibility-statement</t>
  </si>
  <si>
    <t>https://oa.works/policies/privacy/</t>
  </si>
  <si>
    <t>https://oa.works/about/governance/articles-of-governance/</t>
  </si>
  <si>
    <t>OA Switchboard</t>
  </si>
  <si>
    <t>Stichting OA Switchboard</t>
  </si>
  <si>
    <t>Open access or subscription management tool</t>
  </si>
  <si>
    <t>https://www.oaswitchboard.org/governance</t>
  </si>
  <si>
    <t>https://www.oaswitchboard.org/faq</t>
  </si>
  <si>
    <t>https://www.oaswitchboard.org/privacy-statement</t>
  </si>
  <si>
    <t>Omeka</t>
  </si>
  <si>
    <t>Digital Scholar</t>
  </si>
  <si>
    <t>Digital library, collection or exhibit platform</t>
  </si>
  <si>
    <t>https://digitalscholar.org/assets/downloads/Corporation%20for%20Digital%20Scholarship%20%E2%80%93%20Articles%20of%20Incorporation.pdf</t>
  </si>
  <si>
    <t>https://www.omeka.net/signup</t>
  </si>
  <si>
    <t>https://digitalscholar.org/assets/downloads/Corporation%20for%20Digital%20Scholarship%20%E2%80%93%20Governance%20Policies.pdf</t>
  </si>
  <si>
    <t>https://forum.omeka.org/privacy</t>
  </si>
  <si>
    <t>OpenAIRE Graph</t>
  </si>
  <si>
    <t>OpenAlex</t>
  </si>
  <si>
    <t>OurResearch</t>
  </si>
  <si>
    <t>https://ourresearch.org/transparency</t>
  </si>
  <si>
    <t>https://ourresearch.org/accessibility</t>
  </si>
  <si>
    <t>https://openalex.org/pricing</t>
  </si>
  <si>
    <t>https://openalex.org/OpenAlex_privacy_policy.pdf</t>
  </si>
  <si>
    <t>OpenAPC</t>
  </si>
  <si>
    <t>Bielefeld University</t>
  </si>
  <si>
    <t>https://github.com/OpenAPC/openapc-de/blob/master/CONDUCT.md</t>
  </si>
  <si>
    <t>OpenCitations</t>
  </si>
  <si>
    <t>Research Centre for Open Scholarly Metadata, University of Bologna</t>
  </si>
  <si>
    <t>FAIR Guiding Principles for Scientific Data Management and Stewardship | Principles for Open Scholarly Infrastructure (POSI)</t>
  </si>
  <si>
    <t>https://opencitations.net/governance/</t>
  </si>
  <si>
    <t>https://opencitations.net/privacy-policy/</t>
  </si>
  <si>
    <t>https://opencitations.net/wp-content/uploads/pdf/oc_bodies.pdf</t>
  </si>
  <si>
    <t>openCost</t>
  </si>
  <si>
    <t>Open scholarly dataset | Standard, specification or protocol</t>
  </si>
  <si>
    <t>Open Data Editor</t>
  </si>
  <si>
    <t>Open Knowledge Foundation</t>
  </si>
  <si>
    <t>Data collection or management tool</t>
  </si>
  <si>
    <t>https://okfn.org/en/who-we-are/governance/</t>
  </si>
  <si>
    <t>https://okfn.org/en/who-we-are/board/#minutes</t>
  </si>
  <si>
    <t>https://okfn.org/en/privacy-policy/</t>
  </si>
  <si>
    <t>OpenEdition</t>
  </si>
  <si>
    <t>OpenEdition Center, Aix-Marseille University, the EHESS and Avignon University</t>
  </si>
  <si>
    <t>https://www.openedition.org/19221</t>
  </si>
  <si>
    <t>https://www.openedition.org/21402</t>
  </si>
  <si>
    <t>https://www.openedition.org/19362</t>
  </si>
  <si>
    <t>Open Journal Systems (OJS)</t>
  </si>
  <si>
    <t>Public Knowledge Project (PKP)</t>
  </si>
  <si>
    <t>https://pkp.sfu.ca/about/governance/</t>
  </si>
  <si>
    <t>https://pkp.sfu.ca/interest-groups/</t>
  </si>
  <si>
    <t>https://pkp.sfu.ca/general-accessibility-statement/</t>
  </si>
  <si>
    <t>https://pkp.sfu.ca/hosting-services/hosting/journals/</t>
  </si>
  <si>
    <t>https://pkp.sfu.ca/code/</t>
  </si>
  <si>
    <t>https://pkp.sfu.ca/privacy-policy/</t>
  </si>
  <si>
    <t>http://www.sfu.ca/policies/gazette/board.html</t>
  </si>
  <si>
    <t>Open Monograph Press (OMP)</t>
  </si>
  <si>
    <t>https://pkp.sfu.ca/hosting-services/hosting/monographs/</t>
  </si>
  <si>
    <t>Open Preprint Systems (OPS)</t>
  </si>
  <si>
    <t>https://pkp.sfu.ca/about/governance/advisory/</t>
  </si>
  <si>
    <t>https://pkp.sfu.ca/hosting-services/hosting/preprints/</t>
  </si>
  <si>
    <t>Openverse</t>
  </si>
  <si>
    <t>WordPress Foundation</t>
  </si>
  <si>
    <t>https://docs.openverse.org/meta/index.html</t>
  </si>
  <si>
    <t>https://make.wordpress.org/openverse/</t>
  </si>
  <si>
    <t>https://wordpress.org/about/accessibility/</t>
  </si>
  <si>
    <t>https://make.wordpress.org/handbook/diversity-equity-and-inclusion-in-wordpress/</t>
  </si>
  <si>
    <t>https://openverse.org/privacy</t>
  </si>
  <si>
    <t>https://docs.openverse.org/meta/decision_making/index.html</t>
  </si>
  <si>
    <t>O Portal Brasileiro de Publicações e Dados Científicos em Acesso Aberto (The Brazilian Open Access Publications and Scientific Data Portal) (Oasisbr)</t>
  </si>
  <si>
    <t>Instituto Brasileiro de Informação em Ciência e Tecnologia (Brazilian Institute of Information in Science and Technology) (Ibict)</t>
  </si>
  <si>
    <t>https://oasisbr.ibict.br/vufind/about/home</t>
  </si>
  <si>
    <t>OSF (Open Science Framework)</t>
  </si>
  <si>
    <t>Center for Open Science, Inc.</t>
  </si>
  <si>
    <t>Repository service | Repository software</t>
  </si>
  <si>
    <t>https://www.cos.io/about/board</t>
  </si>
  <si>
    <t>https://help.osf.io/hc/en-us/articles/360019737894-FAQs#what-accessibility-standards-does-osf-adhere-to</t>
  </si>
  <si>
    <t>https://www.cos.io/products/osf-preprints</t>
  </si>
  <si>
    <t>https://www.cos.io/about/diversity-equity-and-inclusion-at-cos</t>
  </si>
  <si>
    <t>https://github.com/CenterForOpenScience/cos.io/blob/master/PRIVACY_POLICY.md</t>
  </si>
  <si>
    <t>https://osf.io/pjnse</t>
  </si>
  <si>
    <t>Oxford Common File Layout</t>
  </si>
  <si>
    <t>Oxford Common File Layout (OCFL)</t>
  </si>
  <si>
    <t>Peer Community In</t>
  </si>
  <si>
    <t>PCI, Peer Community In</t>
  </si>
  <si>
    <t>Peer review system</t>
  </si>
  <si>
    <t>https://peercommunityin.org/pci-structure-history/</t>
  </si>
  <si>
    <t>https://peercommunityin.org/pci-finances/</t>
  </si>
  <si>
    <t>https://peercommunityin.org/</t>
  </si>
  <si>
    <t>PKP Preservation Network</t>
  </si>
  <si>
    <t>PREreview</t>
  </si>
  <si>
    <t>Discovery system | Peer review system</t>
  </si>
  <si>
    <t>COAR Next Generation Repositories Principles | Joint Statement of Principles of the Coalition for Diversity and Inclusion in Scholarly Communication (C4DISC) | San Francisco Declaration on Research Assessment (DORA)</t>
  </si>
  <si>
    <t>https://prereview.org/people</t>
  </si>
  <si>
    <t>https://prereview.org/edia-statement</t>
  </si>
  <si>
    <t>https://prereview.org/trainings</t>
  </si>
  <si>
    <t>https://prereview.org/privacy-policy</t>
  </si>
  <si>
    <t>Pressbooks</t>
  </si>
  <si>
    <t>Book Oven, Inc.</t>
  </si>
  <si>
    <t>https://pressbooks.com/accessibility/</t>
  </si>
  <si>
    <t>https://pressbooks.com/plans-pricing/</t>
  </si>
  <si>
    <t>https://pressbooks.com/privacy-policy/</t>
  </si>
  <si>
    <t>Public Access Submission System</t>
  </si>
  <si>
    <t>Eclipse Foundation</t>
  </si>
  <si>
    <t>Submissions system</t>
  </si>
  <si>
    <t>https://www.eclipse.org/org/documents/</t>
  </si>
  <si>
    <t>https://www.eclipse.org/org/documents/Community_Code_of_Conduct.php</t>
  </si>
  <si>
    <t>https://www.eclipse.org/org/documents/eclipse-foundation-hosted-services-privacy-and-acceptable-usage-policy.pdf</t>
  </si>
  <si>
    <t>https://www.eclipse.org/org/workinggroups/about.php</t>
  </si>
  <si>
    <t>Public Utility Data Liberation (PUDL)</t>
  </si>
  <si>
    <t>Catalyst Cooperative</t>
  </si>
  <si>
    <t>Open scholarly dataset | Web archiving system</t>
  </si>
  <si>
    <t>https://catalystcoop-handbook.readthedocs.io/en/latest/bylaws.html</t>
  </si>
  <si>
    <t>PubPub</t>
  </si>
  <si>
    <t>Knowledge Futures</t>
  </si>
  <si>
    <t>https://www.knowledgefutures.org/about</t>
  </si>
  <si>
    <t>https://notes.knowledgefutures.org/pub/dwubshpn/release/1</t>
  </si>
  <si>
    <t>https://www.pubpub.org/pricing</t>
  </si>
  <si>
    <t>https://notes.knowledgefutures.org/pub/cqih29xa/release/24#conduct</t>
  </si>
  <si>
    <t>https://www.pubpub.org/legal/privacy</t>
  </si>
  <si>
    <t>Pundit</t>
  </si>
  <si>
    <t>Net7 Srl</t>
  </si>
  <si>
    <t>Annotations system</t>
  </si>
  <si>
    <t>https://www.iubenda.com/privacy-policy/69930136</t>
  </si>
  <si>
    <t>pyOpenSci</t>
  </si>
  <si>
    <t>Community Initiatives</t>
  </si>
  <si>
    <t>Research software community</t>
  </si>
  <si>
    <t>https://www.pyopensci.org/handbook/governance/structure.html</t>
  </si>
  <si>
    <t>https://www.pyopensci.org/handbook/reference/index.html</t>
  </si>
  <si>
    <t>https://www.pyopensci.org/handbook/governance/index.html</t>
  </si>
  <si>
    <t>Renku</t>
  </si>
  <si>
    <t>Swiss Data Science Center</t>
  </si>
  <si>
    <t>Data management planning tool or service | Discovery system | Research software community</t>
  </si>
  <si>
    <t>https://renkulab.io/help/privacy</t>
  </si>
  <si>
    <t>RePEc</t>
  </si>
  <si>
    <t>https://governance.repec.org</t>
  </si>
  <si>
    <t>https://governance.repec.org/resolutions.html</t>
  </si>
  <si>
    <t>https://ideas.repec.org/privacy.html</t>
  </si>
  <si>
    <t>https://governance.repec.org/rules.html</t>
  </si>
  <si>
    <t>Research Organization Registry (ROR)</t>
  </si>
  <si>
    <t>California Digital Library, Crossref, DataCite</t>
  </si>
  <si>
    <t>https://ror.org/about/#governance-model</t>
  </si>
  <si>
    <t>https://ror.org/about/#business-model</t>
  </si>
  <si>
    <t>https://ror.org/privacy/</t>
  </si>
  <si>
    <t>https://ror.org/community/#steering-group</t>
  </si>
  <si>
    <t>Rogue Scholar</t>
  </si>
  <si>
    <t>The Rogue Scholar</t>
  </si>
  <si>
    <t>Digital preservation system | Discovery system</t>
  </si>
  <si>
    <t>https://rogue-scholar.org/#pricing</t>
  </si>
  <si>
    <t>RSpace</t>
  </si>
  <si>
    <t>Research Innovations Ltd (trading as Research Space)</t>
  </si>
  <si>
    <t>https://www.researchspace.com/pricing</t>
  </si>
  <si>
    <t>https://www.researchspace.com/privacy-policy</t>
  </si>
  <si>
    <t>Sciety</t>
  </si>
  <si>
    <t>eLife</t>
  </si>
  <si>
    <t>https://elifesciences.org/about/people/directors</t>
  </si>
  <si>
    <t>https://sciety.org/legal</t>
  </si>
  <si>
    <t>Synapse</t>
  </si>
  <si>
    <t>Sage Bionetworks</t>
  </si>
  <si>
    <t>Annotations system | Repository service</t>
  </si>
  <si>
    <t>https://help.synapse.org/docs/Synapse-Pricing.2965078125.html</t>
  </si>
  <si>
    <t>https://www.synapse.org/TrustCenter:PrivacyPolicy</t>
  </si>
  <si>
    <t>TagTeam</t>
  </si>
  <si>
    <t>Harvard University</t>
  </si>
  <si>
    <t>Annotations system | Discovery system</t>
  </si>
  <si>
    <t>https://cyber.harvard.edu/hoap/Why_tag_for_OATP</t>
  </si>
  <si>
    <t>https://cyber.harvard.edu/hoap/TagTeam_terms_of_service#Privacy_Policy</t>
  </si>
  <si>
    <t>Thoth Open Metadata</t>
  </si>
  <si>
    <t>Digital preservation service | Format conversion tool or service | Open scholarly dataset</t>
  </si>
  <si>
    <t>https://thoth.pub/about/about-us#our-governance</t>
  </si>
  <si>
    <t>https://thoth.pub/pricing</t>
  </si>
  <si>
    <t>https://thoth.pub/policies/privacy</t>
  </si>
  <si>
    <t>https://find-and-update.company-information.service.gov.uk/company/14549556/filing-history</t>
  </si>
  <si>
    <t>Tropy</t>
  </si>
  <si>
    <t>Digital asset management system</t>
  </si>
  <si>
    <t>https://digitalscholar.org/governance/leadership/</t>
  </si>
  <si>
    <t>https://digitalscholar.org/governance/anti-discrimination-policy/</t>
  </si>
  <si>
    <t>https://digitalscholar.org/assets/downloads/Corporation%20for%20Digital%20Scholarship%20%E2%80%93%20Bylaws.pdf</t>
  </si>
  <si>
    <t>veraPDF</t>
  </si>
  <si>
    <t>veraPDF Consortium</t>
  </si>
  <si>
    <t>Digital preservation tool | Standard, specification or protocol</t>
  </si>
  <si>
    <t>ViPER</t>
  </si>
  <si>
    <t>Vireo ETD</t>
  </si>
  <si>
    <t>Texas Digital Library</t>
  </si>
  <si>
    <t>Publishing system | Repository software | Submissions system</t>
  </si>
  <si>
    <t>https://www.tdl.org/about-tdl/governance/</t>
  </si>
  <si>
    <t>https://texasdigitallibrary.atlassian.net/wiki/x/9YBuOw</t>
  </si>
  <si>
    <t>https://texasdigitallibrary.atlassian.net/wiki/spaces/VUG/pages/2701131781/Accessibility</t>
  </si>
  <si>
    <t>https://www.tdl.org/community/members/membership/fees/</t>
  </si>
  <si>
    <t>VIVO</t>
  </si>
  <si>
    <t>Discovery system | Research profiling system | Standard, specification or protocol</t>
  </si>
  <si>
    <t>https://vivoweb.org/governance/</t>
  </si>
  <si>
    <t>https://wiki.lyrasis.org/display/VIVO/VIVO+Project+Governance</t>
  </si>
  <si>
    <t>https://vivoweb.org/privacy-policy/</t>
  </si>
  <si>
    <t>https://wiki.lyrasis.org/display/VIVO/VIVO+Project+Charter+v+1.1</t>
  </si>
  <si>
    <t>VuFind®</t>
  </si>
  <si>
    <t>Open Library Foundation</t>
  </si>
  <si>
    <t>https://github.com/vufind-org/vufind/blob/dev/GOVERNANCE.md</t>
  </si>
  <si>
    <t>https://vufind.org/wiki/community:pmc_meetings</t>
  </si>
  <si>
    <t>https://vufind.org/wiki/accessibility</t>
  </si>
  <si>
    <t>https://github.com/vufind-org/vufind/blob/dev/CODE_OF_CONDUCT.md</t>
  </si>
  <si>
    <t>https://vufind.org/wiki/configuration:user_privacy</t>
  </si>
  <si>
    <t>Zenodo</t>
  </si>
  <si>
    <t>https://help.zenodo.org/faq/#cpolicies-1</t>
  </si>
  <si>
    <t>https://diversity-and-inclusion.web.cern.ch/</t>
  </si>
  <si>
    <t>https://about.zenodo.org/privacy-policy/</t>
  </si>
  <si>
    <t>Zotero</t>
  </si>
  <si>
    <t>https://www.zotero.org/accessibility</t>
  </si>
  <si>
    <t>https://www.zotero.org/storage</t>
  </si>
  <si>
    <t>https://www.zotero.org/support/privacy</t>
  </si>
  <si>
    <t>Metric diagnostics (live formulas on Scores sheet)</t>
  </si>
  <si>
    <t>Metric</t>
  </si>
  <si>
    <t>Scored values (n)</t>
  </si>
  <si>
    <t>Coverage</t>
  </si>
  <si>
    <t>Mean</t>
  </si>
  <si>
    <t>Std dev</t>
  </si>
  <si>
    <t>% at 1.0 (ceiling)</t>
  </si>
  <si>
    <t>% at 0 (floor)</t>
  </si>
  <si>
    <t>Reading</t>
  </si>
  <si>
    <t>Good spread; keep.</t>
  </si>
  <si>
    <t>Best discriminator (high variance); keep.</t>
  </si>
  <si>
    <t>26% Unknown -&gt; NA; keep with renormalisation.</t>
  </si>
  <si>
    <t>Presence code; spread only because blank=0.</t>
  </si>
  <si>
    <t>Good spread; 25 blanks coded 0 (no explicit None in data) - see Parameters.</t>
  </si>
  <si>
    <t>95% at ceiling: minimal discrimination. Keep for construct validity or reduce weight.</t>
  </si>
  <si>
    <t>Skewed high, still discriminates.</t>
  </si>
  <si>
    <t>Presence code; spread only because blank=0. FAIR = data-practice, not governance values (see Sensitivity).</t>
  </si>
  <si>
    <t>Component-level quality</t>
  </si>
  <si>
    <t>Repos in dataset</t>
  </si>
  <si>
    <t>Repos with a published score (completeness &gt;= threshold)</t>
  </si>
  <si>
    <t>Share of dataset scored</t>
  </si>
  <si>
    <t>Mean completeness</t>
  </si>
  <si>
    <t>Min completeness</t>
  </si>
  <si>
    <t>Mean score</t>
  </si>
  <si>
    <t>Median score</t>
  </si>
  <si>
    <t>Std dev of score</t>
  </si>
  <si>
    <t>Evidence support: repos reporting "Implemented/available" that also give an evidence URL</t>
  </si>
  <si>
    <t>Implemented (n)</t>
  </si>
  <si>
    <t>With URL (n)</t>
  </si>
  <si>
    <t>Share with URL</t>
  </si>
  <si>
    <t>048 Community governance (Formal)</t>
  </si>
  <si>
    <t>Note: 108 Bylaws has no URL field, so it cannot be evidence-checked from this file. verification_status and verification_notes are empty for all 112 rows: scores are self-reported, not yet verified.</t>
  </si>
  <si>
    <t>Spearman correlations between scored metrics (static, computed offline from baseline scoring)</t>
  </si>
  <si>
    <t>024</t>
  </si>
  <si>
    <t>026</t>
  </si>
  <si>
    <t>108</t>
  </si>
  <si>
    <t>050</t>
  </si>
  <si>
    <t>048</t>
  </si>
  <si>
    <t>029</t>
  </si>
  <si>
    <t>033</t>
  </si>
  <si>
    <t>035</t>
  </si>
  <si>
    <t>044</t>
  </si>
  <si>
    <t>046</t>
  </si>
  <si>
    <t>Reading: 024 &amp; 108 correlate at about 0.7 and 024 &amp; 026 about 0.45 - the Formal block is partly redundant, which supports keeping Formal at 40% in total but NOT adding more metrics to it. Transparency metrics are largely independent of each other (distinct constructs).</t>
  </si>
  <si>
    <t>Robustness: does the ranking survive different design choices?</t>
  </si>
  <si>
    <t>Static values computed offline (Python replication of the Scores sheet, verified identical to the sheet baseline). Spearman rho = rank agreement with the baseline across all 112 repos.</t>
  </si>
  <si>
    <t>Variant</t>
  </si>
  <si>
    <t>Spearman rho vs baseline</t>
  </si>
  <si>
    <t>Mean abs score change (pts)</t>
  </si>
  <si>
    <t>Max abs change (pts)</t>
  </si>
  <si>
    <t>Repos moving &gt;= 10 ranks</t>
  </si>
  <si>
    <t>Interpretation</t>
  </si>
  <si>
    <t>Baseline (this workbook)</t>
  </si>
  <si>
    <t>Reference</t>
  </si>
  <si>
    <t>Equal metric weights (all 1)</t>
  </si>
  <si>
    <t>Weights are not driving results</t>
  </si>
  <si>
    <t>Equal sub-component weights (1/3 each)</t>
  </si>
  <si>
    <t>Sub-component split is not driving results</t>
  </si>
  <si>
    <t>Exclude Participatory (Formal 40 : Transparency 35)</t>
  </si>
  <si>
    <t>Effect of adding 048</t>
  </si>
  <si>
    <t>Drop 033 transparent pricing</t>
  </si>
  <si>
    <t>Ceiling metric changes little</t>
  </si>
  <si>
    <t>Values frameworks: FAIR not counted</t>
  </si>
  <si>
    <t>FAIR-only repos (11 of 36) drop to 0 on 046</t>
  </si>
  <si>
    <t>Unknown / Not applicable scored 0 instead of NA</t>
  </si>
  <si>
    <t>Missing-data rule matters moderately</t>
  </si>
  <si>
    <t>Blank 048 = NA (working rule)</t>
  </si>
  <si>
    <t>Blank community governance as missing</t>
  </si>
  <si>
    <t>Blank 050, 046 and 048 all = NA (working rule)</t>
  </si>
  <si>
    <t>Full working-rule coding</t>
  </si>
  <si>
    <t>Binary status (Implemented = 1, all else 0)</t>
  </si>
  <si>
    <t>Ladder (0.67/0.33) carries real information</t>
  </si>
  <si>
    <t>Monte Carlo: every metric and sub-component weight randomly scaled by 0.5x-1.5x (2,000 draws, seed 42)</t>
  </si>
  <si>
    <t>Median Spearman rho vs baseline</t>
  </si>
  <si>
    <t>5th percentile rho</t>
  </si>
  <si>
    <t>Minimum rho</t>
  </si>
  <si>
    <t>Reading: rankings are insensitive to the exact weights (median rho 0.990, 5th percentile 0.977 under +/-50% random perturbation of every weight), so the 12/12/8/8/20/7 judgement weights do not need statistical estimation. Rankings are more sensitive to coding and structure decisions: full working-rule blank handling (rho 0.85), binary status coding (0.91) and whether Participatory is included at all (0.94). Those are the decisions to justify in the paper.</t>
  </si>
  <si>
    <t>IDENTIFICATION</t>
  </si>
  <si>
    <t>GOVERNANCE PRACTICES</t>
  </si>
  <si>
    <t>VERIFY</t>
  </si>
  <si>
    <t>001_service_name</t>
  </si>
  <si>
    <t>008_provider_name</t>
  </si>
  <si>
    <t>010_website</t>
  </si>
  <si>
    <t>013_location</t>
  </si>
  <si>
    <t>014_solution_category</t>
  </si>
  <si>
    <t>019_open_code_repository_url</t>
  </si>
  <si>
    <t>025_governance_structure_url</t>
  </si>
  <si>
    <t>027_governance_summary</t>
  </si>
  <si>
    <t>028_governance_records_url</t>
  </si>
  <si>
    <t>950_board_structure_other</t>
  </si>
  <si>
    <t>900_board_level_other</t>
  </si>
  <si>
    <t>030_web_accessibility_url</t>
  </si>
  <si>
    <t>031_web_accessibility_applicability</t>
  </si>
  <si>
    <t>034_transparent_pricing_url</t>
  </si>
  <si>
    <t>036_commitment_to_equity_url</t>
  </si>
  <si>
    <t>045_commitment_to_privacy_url</t>
  </si>
  <si>
    <t>verification_status</t>
  </si>
  <si>
    <t>verification_notes</t>
  </si>
  <si>
    <t>Service Name</t>
  </si>
  <si>
    <t>Provider Name</t>
  </si>
  <si>
    <t>Website</t>
  </si>
  <si>
    <t>Location</t>
  </si>
  <si>
    <t>Solution Category</t>
  </si>
  <si>
    <t>Open Code Repository Url</t>
  </si>
  <si>
    <t>Governance Structure Status</t>
  </si>
  <si>
    <t>Governance Structure Url</t>
  </si>
  <si>
    <t>Governance Records Status</t>
  </si>
  <si>
    <t>Governance Summary</t>
  </si>
  <si>
    <t>Governance Records Url</t>
  </si>
  <si>
    <t>Board Structure</t>
  </si>
  <si>
    <t>Board Structure Other</t>
  </si>
  <si>
    <t>Board Level</t>
  </si>
  <si>
    <t>Board Level Other</t>
  </si>
  <si>
    <t>Bylaws Status</t>
  </si>
  <si>
    <t>Web Accessibility Status</t>
  </si>
  <si>
    <t>Web Accessibility Url</t>
  </si>
  <si>
    <t>Web Accessibility Applicability</t>
  </si>
  <si>
    <t>Transparent Pricing Status</t>
  </si>
  <si>
    <t>Transparent Pricing Url</t>
  </si>
  <si>
    <t>Commitment To Equity Status</t>
  </si>
  <si>
    <t>Commitment To Equity Url</t>
  </si>
  <si>
    <t>Commitment To Privacy Status</t>
  </si>
  <si>
    <t>Commitment To Privacy Url</t>
  </si>
  <si>
    <t>Values Frameworks</t>
  </si>
  <si>
    <t>Verification Status</t>
  </si>
  <si>
    <t>Verification Notes</t>
  </si>
  <si>
    <t>https://2i2c.org/</t>
  </si>
  <si>
    <t>US</t>
  </si>
  <si>
    <t>https://github.com/2i2c-org/infrastructure</t>
  </si>
  <si>
    <t>&lt;p&gt;2i2c is governed by a &lt;a href="https://compass.2i2c.org/organization/structure/" target="_blank"&gt;Steering Council&lt;/a&gt;, and is a fiscally sponsored project of &lt;a href="https://www.codeforsociety.org/" target="_blank"&gt;Code for Science &amp;amp; Society&lt;/a&gt;, a US-based 501(c)3. Additional governance development is in progress. &lt;/p&gt;</t>
  </si>
  <si>
    <t>https://aptrust.org</t>
  </si>
  <si>
    <t>https://github.com/APTrust/registry</t>
  </si>
  <si>
    <t>The Governing Board is the primary governing body for APTrust; however, member institutions contribute actively to governance through input gathered by the Board. The Board defines and recommends strategic direction to meet operational and strategic goals, and it provides advice and oversight for the budget and finances. The Board meets in person or by phone as needed and holds an annual meeting with all institutional members. The APTrust Advisory Committee comprises two representatives from each of the APTrust Sustaining Member institutions. They are appointed annually by their respective deans, and two members of the committee are selected to serve as co-chairs and liaisons to the APTrust Governing Board, where they are voting members. Advisory Committee members bring expertise in their respective fields, as well as in policy matters and priorities, to APTrust. The group keeps the broader community informed about and connected to the developing digital preservation infrastructure.</t>
  </si>
  <si>
    <t xml:space="preserve">The Governing Board is the primary governing body for APTrust; however, member institutions contribute actively to governance through input gathered by the Board. The Board defines and recommends strategic direction to help meet operational and strategic goals and provides advice and oversight for the budget and finances. The Board meets quarterly in person or by phone as needed and holds an annual meeting of the Board with all institutional members. APTrust is legally constituted as part of the University of Virginia. Activities and operating guidelines of APTrust are subject to the rules and policies of the University of Virginia, as are any contracts between individual member institutions and the University of Virginia.
</t>
  </si>
  <si>
    <t>https://africarxiv.org/</t>
  </si>
  <si>
    <t>MW</t>
  </si>
  <si>
    <t>n/a</t>
  </si>
  <si>
    <t>https://archesproject.org</t>
  </si>
  <si>
    <t>https://github.com/archesproject</t>
  </si>
  <si>
    <t>Works to decide on the strategic and operational requirements and priorities of the Arches Project.</t>
  </si>
  <si>
    <t>Our tool or project</t>
  </si>
  <si>
    <t>https://docs.archipelago.nyc/</t>
  </si>
  <si>
    <t>https://github.com/esmero/</t>
  </si>
  <si>
    <t>Archipelago is governed by an Advisory Board, and is a project of the &lt;a href="https://metro.org"&gt;Metropolitan New York Library Council&lt;/a&gt;, which is governed by a &lt;a href="https://metro.org/team/"&gt;Board of Trustees&lt;/a&gt;.</t>
  </si>
  <si>
    <t>https://arks.org/</t>
  </si>
  <si>
    <t>https://github.com/arks-org</t>
  </si>
  <si>
    <t>&lt;p&gt;&lt;a href="https://arks.org/community/" target="_blank"&gt;ARK Alliance&lt;/a&gt; is a global community group that works to promote and support the ARK community. Participation is open to all ARK users. Oversight and activities are conducted by committees, including the Advisory Group, Outreach Group, Technical Group, and the Name Assigning Authority Number (NAAN) Group.&lt;/p&gt;</t>
  </si>
  <si>
    <t>https://www.archivematica.org/</t>
  </si>
  <si>
    <t>CA</t>
  </si>
  <si>
    <t>https://github.com/artefactual/archivematica</t>
  </si>
  <si>
    <t>We have a board of directors for the company Artefactual not the Archiveamtica software.</t>
  </si>
  <si>
    <t>https://archivesspace.org/</t>
  </si>
  <si>
    <t>https://github.com/archivesspace/archivesspace</t>
  </si>
  <si>
    <t>high level decision-making and strategic discussions, ensuring the financial health of the organization and approval of the annual budget, overseeing and representing the ArchivesSpace community at large in the relationship with Lyrasis, the organizational home</t>
  </si>
  <si>
    <t>https://argos.openaire.eu/</t>
  </si>
  <si>
    <t>https://github.com/OpenCDMP/OpenCDMP</t>
  </si>
  <si>
    <t>The Board is essential in shaping OpenAIRE and thereby the ARGOS roadmap and development. They are regularly consulted and their input and decisions are highly valued and respected.</t>
  </si>
  <si>
    <t>https://arxiv.org/</t>
  </si>
  <si>
    <t>https://github.com/arXiv</t>
  </si>
  <si>
    <t>&lt;p&gt;arXiv is &lt;a href="https://info.arxiv.org/about/governance.html" target="_blank"&gt;governed&lt;/a&gt; by the Leadership team with guidance from the arXiv &lt;a href="https://info.arxiv.org/about/people/science_advisory_council.html" target="_blank"&gt;Science Advisory Council&lt;/a&gt;, &lt;a href="https://info.arxiv.org/about/people/institutions_advisory_council.html" target="_blank"&gt;Institutions Advisory Council&lt;/a&gt;, and &lt;a href="https://info.arxiv.org/about/people/editorial_advisory_council.html" target="_blank"&gt;Editorial Advisory Council&lt;/a&gt;. arXiv is housed at &lt;a href="https://www.cornell.edu/" target="_blank"&gt;Cornell University&lt;/a&gt;.&lt;/p&gt;</t>
  </si>
  <si>
    <t>Our website</t>
  </si>
  <si>
    <t>https://www.accesstomemory.org/en/</t>
  </si>
  <si>
    <t>https://github.com/artefactual/atom</t>
  </si>
  <si>
    <t xml:space="preserve">Artefactual the company has a board of directors. AtoM does not have a board but there is the AtoM Foundation, a federally incorporated, community driven, soliciting non-profit body. The Foundation was established in 2018 to oversee and support the development, sustainability and adoption of Access to Memory (AtoM). https://accesstomemoryfoundation.org/ </t>
  </si>
  <si>
    <t>https://avalon.samvera.org/</t>
  </si>
  <si>
    <t>https://github.com/avalonmediasystem/avalon</t>
  </si>
  <si>
    <t>Avalon is a project of Samvera, a distinct series entity hosted by OASIS Open. Samvera is governed by a Board of Directors.</t>
  </si>
  <si>
    <t>https://www.biodiversitylibrary.org/</t>
  </si>
  <si>
    <t>https://github.com/gbhl/bhl-us</t>
  </si>
  <si>
    <t>BHL is led by a global consortium of libraries and hosted by the Smithsonian Libraries and Archives.</t>
  </si>
  <si>
    <t>https://www.biorxiv.org/</t>
  </si>
  <si>
    <t>&lt;p&gt;bioRxiv is governed by an &lt;a href="https://www.biorxiv.org/content/about-biorxiv" target="_blank"&gt;Advisory Board and Affiliates&lt;/a&gt;, and is housed at &lt;a href="https://www.cshl.edu/" target="_blank"&gt;Cold Spring Harbor Laboratory&lt;/a&gt;, which is governed by a &lt;a href="https://www.cshl.edu/about-us/board-of-trustees/" target="_blank"&gt;Board of Trustees&lt;/a&gt;. Additional governance development is in progress. &lt;/p&gt;</t>
  </si>
  <si>
    <t>https://bitcuratorconsortium.org/</t>
  </si>
  <si>
    <t>https://github.com/bitcurator/bitcurator-salt</t>
  </si>
  <si>
    <t>BitCurator is a project of the BitCurator Consortium (BCC) is an independent, community-led membership association hosted by the Open Library Foundation, a 501(c)(3) Public Charity organization in the United States.</t>
  </si>
  <si>
    <t>https://projectblacklight.org/</t>
  </si>
  <si>
    <t>https://github.com/projectblacklight</t>
  </si>
  <si>
    <t>Blacklight is a collaborative, open source project produced by developers from many diverse organizations. The project does not have a formal governance structure. Development is largely motivated by the needs of each developer’s organization.</t>
  </si>
  <si>
    <t>https://brcris.ibict.br/</t>
  </si>
  <si>
    <t>BR</t>
  </si>
  <si>
    <t>https://github.com/projetos-codic-ibict</t>
  </si>
  <si>
    <t>&lt;p&gt;BrCRIS is a project led by the &lt;a href="https://www.gov.br/ibict/pt-br" target="_blank"&gt;Instituto Brasileiro de Informação em Ciência e Tecnologia&lt;/a&gt; (IBICT), a national information body and research unit of the &lt;a href="https://www.gov.br/mcti/pt-br" target="_blank"&gt;Ministério da Ciência, Tecnologia e Inovação (MCTI)&lt;/a&gt;. &lt;/p&gt;</t>
  </si>
  <si>
    <t>https://webrecorder.net/browsertrix/</t>
  </si>
  <si>
    <t>https://github.com/webrecorder/browsertrix</t>
  </si>
  <si>
    <t>Browsertrix's development is overseen by Webrecorder Software LLC.</t>
  </si>
  <si>
    <t>To oversee Webrecorder</t>
  </si>
  <si>
    <t>https://clockss.org</t>
  </si>
  <si>
    <t>https://github.com/lockss</t>
  </si>
  <si>
    <t xml:space="preserve">*Select and remove Officers and Agents and set their Terms of Reference
*Agree CLOCKSS strategy
*Ensure that there are funds to deliver the strategy; set and track the budget 
*Agree how to invest CLOCKSS money, or to incur debt
*Check that the strategy is being delivered, and request corrective action where necessary 
*Decide the level of risk that is right for CLOCKSS, require staff to identify risk and propose mitigating activities, agree and monitor this activity 
*Prepare the annual accounts and report, with support from staff 
*Act in the interests of CLOCKSS, not another individual or organization
</t>
  </si>
  <si>
    <t>https://ird.coar-repositories.org/</t>
  </si>
  <si>
    <t>https://github.com/antleaf/IRD</t>
  </si>
  <si>
    <t>The Stichting COAR is a not-for-profit foundation that was created on April 3, 2023 in accordance with the Netherlands Civil Code (Art. 2:285 et seq.). It is governed by a board of directors.</t>
  </si>
  <si>
    <t>https://coar-notify.net/</t>
  </si>
  <si>
    <t>https://github.com/coar-notify/coar-notify.net</t>
  </si>
  <si>
    <t>Editorial Board</t>
  </si>
  <si>
    <t>https://www.collectiveaccess.org/</t>
  </si>
  <si>
    <t>https://github.com/collectiveaccess</t>
  </si>
  <si>
    <t>No board.</t>
  </si>
  <si>
    <t>https://core.ac.uk/</t>
  </si>
  <si>
    <t>GB</t>
  </si>
  <si>
    <t>https://github.com/oacore</t>
  </si>
  <si>
    <t>&lt;p&gt;CORE is a &lt;a href="https://core.ac.uk/governance" target="_blank"&gt;community governed service&lt;/a&gt;, governed by an Advisory Board, Board of Supporters, The Open University Stakeholder Group, Research networks representatives, and CORE Leadership and management team. &lt;/p&gt;</t>
  </si>
  <si>
    <t>https://www.countermetrics.org/</t>
  </si>
  <si>
    <t>https://cop5.countermetrics.org/en/5.1/index.html</t>
  </si>
  <si>
    <t>COUNTER is a non-profit organization supported by a global community of library, publisher and vendor members, who contribute to the development of the Code of Practice through working groups and outreach. We are governed by a Board of Directors responsible for ensuring we deliver on our mission, while our Executive Committee oversees operational activities including technical development of the Code of Practice. 
You can find out more at https://www.countermetrics.org/about/</t>
  </si>
  <si>
    <t>Our tool or project | Our website</t>
  </si>
  <si>
    <t>https://creativecommons.org/</t>
  </si>
  <si>
    <t>https://github.com/creativecommons</t>
  </si>
  <si>
    <t>&lt;p&gt;Creative Commons is &lt;a href="https://creativecommons.org/mission/team/" target="_blank"&gt;governed by&lt;/a&gt; a Board and Advisory Council. &lt;/p&gt;</t>
  </si>
  <si>
    <t>http://www.crossref.org/services/metadata-retrieval</t>
  </si>
  <si>
    <t>https://gitlab.com/crossref</t>
  </si>
  <si>
    <t>&lt;p&gt;Crossref is governed by a &lt;a href="https://www.crossref.org/board-and-governance/" target="_blank"&gt;Board of Directors&lt;/a&gt;, elected by its members. Their board consists of a representative balance of 16 institutions, publishers, or funders, and they are responsible for the fiduciary and strategic oversight of the organisation. &lt;/p&gt;</t>
  </si>
  <si>
    <t>https://www.d4science.org/</t>
  </si>
  <si>
    <t>IT</t>
  </si>
  <si>
    <t>https://code-repo.d4science.org/</t>
  </si>
  <si>
    <t>https://aptrust.github.io/dart-docs/</t>
  </si>
  <si>
    <t>https://github.com/aptrust/dart/</t>
  </si>
  <si>
    <t>The Governing Board is the primary governing body for APTrust. The Board defines and recommends strategic direction to meet operational and strategic goals, and it provides advice and oversight for the budget and finances. The Board meets in person or by phone as needed and holds an annual meeting with all institutional members. The APTrust Advisory Committee comprises two representatives from each of the APTrust Sustaining Member institutions. They are appointed annually by their respective deans, and two members of the committee are selected to serve as co-chairs and liaisons to the APTrust Governing Board, where they are voting members. Advisory Committee members bring expertise in their respective fields, as well as in policy matters and priorities, to APTrust. The group keeps the broader community informed about and connected to the developing digital preservation infrastructure.</t>
  </si>
  <si>
    <t xml:space="preserve">The Governing Board is the primary governing body for APTrust; however, member institutions contribute actively to governance through input gathered by the Board. The Board defines and recommends strategic direction to help meet operational and strategic goals and provides advice and oversight for the budget and finances. </t>
  </si>
  <si>
    <t>https://dbis.ur.de/?lang=en</t>
  </si>
  <si>
    <t>DE</t>
  </si>
  <si>
    <t>https://github.com/ub-regensburg/dbis</t>
  </si>
  <si>
    <t>The EZB-DBIS Advisory Board represents the wishes and requirements of the participating institutions. The advisory board members advise the Regensburg University Library on strategic issues, provide suggestions for optimization, and offer broad input for the further development of both the EZB and DBIS services.</t>
  </si>
  <si>
    <t>https://makedatacount.org/find-a-tool/#section-1</t>
  </si>
  <si>
    <t>https://github.com/Make-Data-Count-Community/corpus-data-file</t>
  </si>
  <si>
    <t>Make Data Count is managed by the Make Data Count Director, a Sustainability Committee, and an Advisory Group. DataCite serves as a the fiscal home of Make Data Count.</t>
  </si>
  <si>
    <t>https://datacite.org/</t>
  </si>
  <si>
    <t>https://github.com/datacite</t>
  </si>
  <si>
    <t>&lt;p&gt;DataCite is &lt;a href="https://datacite.org/governance/" target="_blank"&gt;governed by&lt;/a&gt; its members and Executive Board.&lt;/p&gt;</t>
  </si>
  <si>
    <t>https://ds-wizard.org/</t>
  </si>
  <si>
    <t>CZ</t>
  </si>
  <si>
    <t>https://github.com/ds-wizard</t>
  </si>
  <si>
    <t>Data Stewardship Wizard is hosted by the Czech Technical University in Prague / ELIXIR-CZ.</t>
  </si>
  <si>
    <t>https://dataverse.org/</t>
  </si>
  <si>
    <t>https://github.com/IQSS/dataverse</t>
  </si>
  <si>
    <t>&lt;p&gt;Dataverse is developed at &lt;a href="https://www.iq.harvard.edu/about" target="_blank"&gt;Harvard's Institute for Quantitative Social Science (IQSS)&lt;/a&gt;, along with many collaborators and contributors worldwide. Harvard has &lt;a href="https://www.harvard.edu/about/leadership-and-governance/" target="_blank"&gt;two governing boards&lt;/a&gt;, the Board of Overseers and the Harvard Corporation. There is also a &lt;a href="https://github.com/gdcc" target="_blank"&gt;Global Dataverse Community Consortium&lt;/a&gt;.&lt;/p&gt;</t>
  </si>
  <si>
    <t>https://gitlab.unige.ch/dlcm/community/dlcm-backend</t>
  </si>
  <si>
    <t>CH</t>
  </si>
  <si>
    <t>Advisory board of OLOS association</t>
  </si>
  <si>
    <t>https://gitlab.unige.ch/dlcm/ui/dlcm-portal</t>
  </si>
  <si>
    <t>https://dmptool.org/</t>
  </si>
  <si>
    <t>https://github.com/cdluc3/dmptool/wiki</t>
  </si>
  <si>
    <t>[Please fill in]</t>
  </si>
  <si>
    <t>https://doaj.org/</t>
  </si>
  <si>
    <t>DK</t>
  </si>
  <si>
    <t>https://github.com/DOAJ</t>
  </si>
  <si>
    <t>&lt;p&gt;DOAJ is an independent organisation run and managed by the DOAJ Foundation, a non-profit community-governed foundation based in Denmark . DOAJ has a &lt;a href="https://doaj.org/about/advisory-board-council/" target="_blank"&gt;Board of Directors and an Advisory Board&lt;/a&gt;, the members of which carry out their duties voluntarily. &lt;/p&gt;</t>
  </si>
  <si>
    <t>Foundation Board &amp; Advisory Board</t>
  </si>
  <si>
    <t>https://dokie.li/</t>
  </si>
  <si>
    <t>https://github.com/linkeddata/dokieli</t>
  </si>
  <si>
    <t>&lt;p&gt;dokieli is a decentralised article authoring, annotation, and social notifcation tool. No governance is known of at this time. &lt;/p&gt;</t>
  </si>
  <si>
    <t>https://datadryad.org/</t>
  </si>
  <si>
    <t>https://github.com/CDL-Dryad/dryad-app</t>
  </si>
  <si>
    <t>&lt;p&gt;Dryad is a not-for-profit membership organization, recognized as a 501(c)3 by the U.S. Internal Revenue Service. Dryad members nominate and elect the &lt;a href="https://datadryad.org/stash/about#our-board" target="_blank"&gt;Board of Directors&lt;/a&gt;, twelve individuals from the stakeholder community who provide strategic planning, fiscal oversight, and oversee the position of the Executive Director.&lt;/p&gt;</t>
  </si>
  <si>
    <t>https://dspace.org/</t>
  </si>
  <si>
    <t>https://github.com/DSpace/DSpace</t>
  </si>
  <si>
    <t>&lt;p&gt;&lt;a href="https://wiki.lyrasis.org/display/DSPACE/Project+Governance" target="_blank"&gt;DSpace governance&lt;/a&gt; is based on a representative, community-based membership model incrementally rewarding members who have made the greatest commitments to the project. It consists of a Leadership Group, Steering Group, and Working Groups.&lt;/p&gt;</t>
  </si>
  <si>
    <t>https://lyrasis.org/duracloud/</t>
  </si>
  <si>
    <t>https://github.com/duracloud/duracloud</t>
  </si>
  <si>
    <t>N/A</t>
  </si>
  <si>
    <t>https://www.episciences.org/</t>
  </si>
  <si>
    <t>FR</t>
  </si>
  <si>
    <t>https://github.com/CCSDForge/episciences</t>
  </si>
  <si>
    <t>&lt;strong&gt;The Steering Committee&lt;/strong&gt;
- Defines the global strategy of the CCSD and arbitrates the priority axes according to the proposals of the orientation committee;
- Approves the budget and overall resources of the CCSD;
ensures the coherence of the pricing policy related to the HAL portals;
- Validates the annual activity report and the financial statement of the CCSD;
- Proposes and deliberate on the admission of a new supervising body;
- Appoints the director of the CCSD;
- Appoints the members of the international scientific council.
&lt;strong&gt;Orientation Committee&lt;/strong&gt;
- Proposes scientific and technical orientations to the Steering committee;
- Centralizes and prioritizes the needs of all users.</t>
  </si>
  <si>
    <t>https://www.eprints.org/</t>
  </si>
  <si>
    <t>https://github.com/eprints/eprints3.4</t>
  </si>
  <si>
    <t>https://www.erudit.org/</t>
  </si>
  <si>
    <t>https://github.com/erudit/eruditorg</t>
  </si>
  <si>
    <t>&lt;p&gt;Érudit is a consortium comprised of three Canadian universities: &lt;a href="https://www.umontreal.ca/en/" target="_blank"&gt;Université de Montréal&lt;/a&gt;, &lt;a href="https://www.ulaval.ca/en" target="_blank"&gt;Université Laval&lt;/a&gt;, and &lt;a href="https://uqam.ca/" target="_blank"&gt;Université du Québec à Montréal&lt;/a&gt;. It is governed by representatives from the research, university library, and scholarly publishing sectors. Its &lt;a href="https://apropos.erudit.org/direction-et-conseils/?lang=en" target="_blank"&gt;governed by &lt;/a&gt;a governing board and scientific director. &lt;/p&gt;</t>
  </si>
  <si>
    <t>https://europepmc.org/</t>
  </si>
  <si>
    <t>https://github.com/EuropePMC</t>
  </si>
  <si>
    <t>&lt;p&gt;Europe PMC is developed by the &lt;a href="https://www.ebi.ac.uk/" target="_blank"&gt;EMBL-EBI&lt;/a&gt; (European Bioinformatics Institute), an outstation of the EMBL. Europe PMC is &lt;a href="https://europepmc.org/Governance" target="_blank"&gt;governed by&lt;/a&gt; an international, independent Scientific Advisory Board that advises the PI of the Europe PMC grant and the Directors of the EMBL-EBI. The Europe PMC Funders are represented by the Funder Committee.&lt;/p&gt;</t>
  </si>
  <si>
    <t>https://fair-wizard.com/</t>
  </si>
  <si>
    <t>FAIR Wizard is a product of Codevence Solutions s.r.o., a company based in the Czech Republic.</t>
  </si>
  <si>
    <t>https://fedorarepository.org/</t>
  </si>
  <si>
    <t>https://github.com/fcrepo/fcrepo</t>
  </si>
  <si>
    <t>Fedora is community-owned, community-supported and community-governed. The Fedora Governance Group is responsible for the strategic leadership of the Fedora Program, its community, and associated technology. This group is responsible for leading the overall Vision &amp; Strategy. Governance details can be found here: &lt;a href="https://fedorarepository.org/governance/" target="_blank"&gt;https://fedorarepository.org/governance/&lt;/a&gt;</t>
  </si>
  <si>
    <t xml:space="preserve">Board is that of the Fedora Community </t>
  </si>
  <si>
    <t>https://openpreservation.org/tools/fido</t>
  </si>
  <si>
    <t>https://github.com/openpreserve/fido</t>
  </si>
  <si>
    <t>Fido is a project of the Open Preservation Foundation a company, limited by guarantee, registered in England and Wales and Stichting Open Preservation, registered as a foundation with the Kamer van Koophandel.</t>
  </si>
  <si>
    <t>https://www.fulcrum.org/</t>
  </si>
  <si>
    <t>https://github.com/mlibrary/heliotrope</t>
  </si>
  <si>
    <t>&lt;p&gt;&lt;a href="https://www.fulcrum.org/about/" target="_blank"&gt;Fulcrum&lt;/a&gt; has been developed by a group of campus-based publishers working closely with disciplinary faculty and information science specialists, with &lt;a href="https://www.fulcrum.org/partner-with-us/" target="_blank"&gt;publishing services&lt;/a&gt; provided in collaboration with &lt;a href="https://services.publishing.umich.edu/" target="_blank"&gt;Michigan Publishing&lt;/a&gt;, an arm of the &lt;a href="https://www.lib.umich.edu/" target="_blank"&gt;University of Michigan Library&lt;/a&gt;, governed by the &lt;a href="https://regents.umich.edu/" target="_blank"&gt;Regents of the University of Michigan&lt;/a&gt;. &lt;/p&gt;</t>
  </si>
  <si>
    <t>https://galaxyproject.org/</t>
  </si>
  <si>
    <t>https://github.com/galaxyproject/</t>
  </si>
  <si>
    <t>Collecting feedback from the community and steering the roadmap process.</t>
  </si>
  <si>
    <t>https://geoserver.org</t>
  </si>
  <si>
    <t>https://github.com/geoserver/geoserver</t>
  </si>
  <si>
    <t>GeoServer is a volunteer community hosted by the Open Source Geospatial Foundation (OSGeo).</t>
  </si>
  <si>
    <t>https://hyku.samvera.org/</t>
  </si>
  <si>
    <t>https://github.com/samvera/hyku</t>
  </si>
  <si>
    <t>&lt;p&gt;Hyku is a project of Samvera, a distinct series entity hosted by &lt;a href="https://www.oasis-open.org/" target="_blank"&gt;OASIS Open&lt;/a&gt;. Samvera is &lt;a href="https://samvera.atlassian.net/wiki/spaces/samvera/pages/1387986974/Samvera+Bylaws" target="_blank"&gt;governed by&lt;/a&gt; a Board of Directors. &lt;/p&gt;</t>
  </si>
  <si>
    <t>https://hyrax.samvera.org/</t>
  </si>
  <si>
    <t>https://github.com/samvera/hyrax</t>
  </si>
  <si>
    <t>Hyrax is a project of the Samvera Community. Samvera operates as a distinct series entity hosted by the OASIS Open Development Foundation, LLC, under the Charter and Series Agreement.</t>
  </si>
  <si>
    <t>https://iiif.io/</t>
  </si>
  <si>
    <t>https://github.com/IIIF</t>
  </si>
  <si>
    <t>&lt;p&gt;IIIF is &lt;a href="https://iiif.io/community/consortium/consortium_committees" target="_blank"&gt;governed by&lt;/a&gt; an Executive Committee and an Operating Committee. &lt;/p&gt;</t>
  </si>
  <si>
    <t>https://impactu.colav.co/</t>
  </si>
  <si>
    <t>CO</t>
  </si>
  <si>
    <t>https://github.com/colav/impactu</t>
  </si>
  <si>
    <t>The initiative is coordinated by the Collaborative Laboratory of Computational Social Sciences and Digital Humanities (CoLaV) at the University of Antioquia in collaboration with the University of Valle, the Externado University of Colombia, and the Autonomous Latin American University.</t>
  </si>
  <si>
    <t>https://ev.igsn.org</t>
  </si>
  <si>
    <t>https://github.com/IGSN</t>
  </si>
  <si>
    <t>The Executive Board is responsible for all affairs of the Association to the extent not entrusted to any other constituent body of the Association by its statutes. Its responsibilities include preparing and convening the General Assembly, appointing working groups, implementing resolutions of the General Assembly, accounting, etc.</t>
  </si>
  <si>
    <t>https://inveniosoftware.org/products/rdm/</t>
  </si>
  <si>
    <t>https://github.com/inveniosoftware</t>
  </si>
  <si>
    <t>&lt;p&gt;Invenio is a community-driven effort, &lt;a href="https://inveniosoftware.org/governance/" target="_blank"&gt;governed by&lt;/a&gt; &lt;a href="https://home.cern/" target="_blank"&gt;CERN&lt;/a&gt; for the benefit of the community.&lt;/p&gt;</t>
  </si>
  <si>
    <t>https://irods.org/</t>
  </si>
  <si>
    <t>https://github.com/irods</t>
  </si>
  <si>
    <t>Governance is determined by Consortium Membership.</t>
  </si>
  <si>
    <t>In addition to the Executive Committee (which makes decisions on budgets and by laws), there is an Advisory Board that is advisory/strategic: https://irods.org/advisory-board/</t>
  </si>
  <si>
    <t>Executive Board members are expected to aid the Consortium through the following actions:
 - Aiding in fundraising, public relations, and acquisition of new Consortium Members;
 - Making amendments and alterations to the Consortium Bylaws;
 - Providing oversight and approval of Consortium activities, staffing, budgets, and deliverables as detailed in the Bylaws.</t>
  </si>
  <si>
    <t>https://www.islandora.ca/</t>
  </si>
  <si>
    <t>https://github.com/islandora</t>
  </si>
  <si>
    <t>&lt;p&gt;The Islandora Foundation maintains a &lt;a href="https://github.com/Islandora/islandora-community/wiki/Board-of-Directors-%28BOD%29" target="_blank"&gt;Board&lt;/a&gt; and &lt;a href="https://islandora.webflow.io/by-laws" target="_blank"&gt;By-laws&lt;/a&gt; from which the Islandora Community grows. The Board is elected biannually from the &lt;a href="https://github.com/Islandora/islandora-community/wiki/Leadership-Group-%28LG%29" target="_blank"&gt;Islandora Leadership Group&lt;/a&gt;. &lt;/p&gt;</t>
  </si>
  <si>
    <t>https://janeway.systems/</t>
  </si>
  <si>
    <t>https://github.com/birkbeckctp/</t>
  </si>
  <si>
    <t>&lt;p&gt;Janeway is a not for profit making organization, &lt;a href="https://janeway.systems/" target="_blank"&gt;developed&lt;/a&gt; at the Centre for Technology and Publishing, Birkbeck, University of London, and the Open Library of Humanities, UK. For more on Birkbeck's governance, &lt;a href="https://www.bbk.ac.uk/about-us/governance" target="_blank"&gt;click here&lt;/a&gt;. Additional governance development is in progress.&lt;/p&gt;</t>
  </si>
  <si>
    <t>https://jhove.openpreservation.org/</t>
  </si>
  <si>
    <t>https://github.com/openpreserve/jhove</t>
  </si>
  <si>
    <t>The OPF operates as an independent, not-for-profit membership organization.</t>
  </si>
  <si>
    <t>To oversee the overall strategic direction and sustainability of the Foundation. The Board are drawn from our membership and are expected to approve significant business decisions, ensure compliance with laws and regulations, monitoring financial performance, and appointing and evaluating senior management. While they primarily focusing on long-term vision and not day-to-day operations, their purview is important to our strategic direction.</t>
  </si>
  <si>
    <t>https://www.lareferencia.info</t>
  </si>
  <si>
    <t>UY</t>
  </si>
  <si>
    <t>https://github.com/lareferencia</t>
  </si>
  <si>
    <t>&lt;p&gt;La Referencia is &lt;a href="https://www.lareferencia.info/en/institutional/partners-and-representatives" target="_blank"&gt;governed by&lt;/a&gt; a Board of Directors, network of Political Authorities from node countries, and a Technical Committee. &lt;/p&gt;</t>
  </si>
  <si>
    <t>https://manifoldapp.org/</t>
  </si>
  <si>
    <t>https://github.com/ManifoldScholar/manifold</t>
  </si>
  <si>
    <t>&lt;p&gt;Manifold is a collaboration between the &lt;a href="https://www.gc.cuny.edu/" target="_blank"&gt;CUNY Graduate Center&lt;/a&gt;, the &lt;a href="https://www.upress.umn.edu/" target="_blank"&gt;University of Minnesota Press&lt;/a&gt;, and &lt;a href="https://castironcoding.com/" target="_blank"&gt;Cast Iron Coding&lt;/a&gt;. Additional governance information was not provided, and will be updated as made available. &lt;/p&gt;</t>
  </si>
  <si>
    <t>https://www.medrxiv.org/</t>
  </si>
  <si>
    <t>&lt;p&gt;medRxiv is housed at &lt;a href="https://www.cshl.edu/" target="_blank"&gt;Cold Spring Harbor Laboratory&lt;/a&gt;, which is governed by a &lt;a href="https://www.cshl.edu/about-us/board-of-trustees/" target="_blank"&gt;Board of Trustees&lt;/a&gt;. Additional governance development is in progress.&lt;/p&gt;</t>
  </si>
  <si>
    <t>https://www.loc.gov/standards/mets/</t>
  </si>
  <si>
    <t>https://github.com/mets</t>
  </si>
  <si>
    <t>The METS schema is maintained by the METS Editorial Board, an international group of volunteers who represent important communities of interest for METS.</t>
  </si>
  <si>
    <t>The METS Editorial Board is responsible for maintenance of the METS schema and its documentation and for engaging with the METS user community.</t>
  </si>
  <si>
    <t>https://projectmirador.org/</t>
  </si>
  <si>
    <t>https://github.com/projectmirador/mirador</t>
  </si>
  <si>
    <t>&lt;p&gt;The provider is considering additional governance development. &lt;/p&gt;</t>
  </si>
  <si>
    <t>https://mukurtu.org/</t>
  </si>
  <si>
    <t>https://github.com/MukurtuCMS/mukurtucms</t>
  </si>
  <si>
    <t>&lt;p&gt;Mukurtu CMS is managed by the &lt;a href="https://cdsc.libraries.wsu.edu/" target="_blank"&gt;Center for Digital Scholarship and Curation&lt;/a&gt; at Washington State University, which is governed by a &lt;a href="https://policies.wsu.edu/prf/index/manuals/board-of-regents-policy-manual/" target="_blank"&gt;Board of Regents&lt;/a&gt;. Additional governance development is in progress.&lt;/p&gt;</t>
  </si>
  <si>
    <t>https://www.mycore.de</t>
  </si>
  <si>
    <t>https://github.com/MyCoRe-Org/mycore</t>
  </si>
  <si>
    <t>n.a.</t>
  </si>
  <si>
    <t>https://numpy.org/</t>
  </si>
  <si>
    <t>https://github.com/numpy/numpy</t>
  </si>
  <si>
    <t>The governing board makes decisions mainly on administrative issues, such as how funds should be spent, who serves on the steering council, and whom to grant commit rights.</t>
  </si>
  <si>
    <t>https://oa.report/</t>
  </si>
  <si>
    <t>https://github.com/oaworks/oa-report</t>
  </si>
  <si>
    <t>Our Articles of Governance states "The Advisory Committee has the power to dictate all activities and affairs of OA.Works through a vote." This provides the committee the broadest possible powers to note only advise, but to bind OA.Work's to act in the communities interests.</t>
  </si>
  <si>
    <t>https://www.oaswitchboard.org/</t>
  </si>
  <si>
    <t>NL</t>
  </si>
  <si>
    <t>https://bitbucket.org/oaswitchboard/api/src/master/</t>
  </si>
  <si>
    <t>&lt;p&gt;OA Switchboard is governed by a &lt;a href="https://www.oaswitchboard.org/governance" target="_blank"&gt;Board of Directors&lt;/a&gt;, and supported additionally by a &lt;a href="https://www.oaswitchboard.org/governance" target="_blank"&gt;Client Advisory Board&lt;/a&gt;, &lt;a href="https://www.oaswitchboard.org/governance" target="_blank"&gt;Advisory Group&lt;/a&gt;, and &lt;a href="https://www.oaswitchboard.org/governance" target="_blank"&gt;Working Groups&lt;/a&gt;. &lt;/p&gt;</t>
  </si>
  <si>
    <t>https://omeka.org/</t>
  </si>
  <si>
    <t>https://github.com/omeka</t>
  </si>
  <si>
    <t>Omeka is a project of &lt;a href="https://digitalscholar.org/" target="_blank"&gt;Digital Scholar&lt;/a&gt;, a US-based non-stock corporation that operates following the guidelines laid out by the IRS for 501c3 organizations. See the articles of incorporation, bylaws, and governance documents on the Digital Scholar website.</t>
  </si>
  <si>
    <t>https://graph.openaire.eu/</t>
  </si>
  <si>
    <t>https://code-repo.d4science.org/D-Net/dnet-hadoop</t>
  </si>
  <si>
    <t xml:space="preserve">The Board is essential in shaping OpenAIRE and thereby the OpenAIRE Graph's roadmap and development. They are regularly consulted and their input and decisions are highly valued and respected. </t>
  </si>
  <si>
    <t>https://openalex.org/</t>
  </si>
  <si>
    <t>https://github.com/ourresearch</t>
  </si>
  <si>
    <t>&lt;p&gt;OpenAlex is an initiative of OurResearch, which is &lt;a href="https://ourresearch.org/team" target="_blank"&gt;governed by&lt;/a&gt; a Board of Directors.&lt;/p&gt;</t>
  </si>
  <si>
    <t>https://openapc.net/</t>
  </si>
  <si>
    <t>https://github.com/OpenAPC/openapc-de</t>
  </si>
  <si>
    <t>No governing board - not applicable</t>
  </si>
  <si>
    <t>https://opencitations.net/</t>
  </si>
  <si>
    <t>https://github.com/opencitations</t>
  </si>
  <si>
    <t>For administrative convenience, OpenCitations is managed by the &lt;a href="https://openscholarlymetadata.org/" target="_blank"&gt;Research Centre for Open Scholarly Metadata&lt;/a&gt; at the &lt;a href="https://www.unibo.it/" target="_blank"&gt;University of Bologna&lt;/a&gt;. OpenCitations' governance comprises the following bodies: the Directors; the Council, comprising one delegate appointed by each OpenCitations Member; the &lt;a href="https://opencitations.net/about" target="_blank"&gt;International Advisory Board&lt;/a&gt; elected by the Council, to guide the future developments of OpenCitations strategically; the Management Team.</t>
  </si>
  <si>
    <t>https://www.opencost.de</t>
  </si>
  <si>
    <t>https://github.com/opencost-de/opencost/tree/main/doc</t>
  </si>
  <si>
    <t>No board structure</t>
  </si>
  <si>
    <t>https://okfn.org/en/projects/open-data-editor/</t>
  </si>
  <si>
    <t>https://github.com/okfn/opendataeditor</t>
  </si>
  <si>
    <t>Open Data Editor is a project of the Open Knowledge Foundation (OKFN), a not-for-profit organization incorporated in England &amp; Wales.</t>
  </si>
  <si>
    <t>https://www.openedition.org/</t>
  </si>
  <si>
    <t>https://github.com/OpenEdition</t>
  </si>
  <si>
    <t>https://pkp.sfu.ca</t>
  </si>
  <si>
    <t>https://github.com/pkp</t>
  </si>
  <si>
    <t>&lt;p&gt;Open Preprint Systems is an initiative of the &lt;a href="https://pkp.sfu.ca/about/governance/" target="_blank"&gt;Public Knowledge Project&lt;/a&gt; (PKP), a member of the Core Facility Program at &lt;a href="https://www.sfu.ca/" target="_blank"&gt;Simon Fraser University&lt;/a&gt; since 2022 which operates under the auspices of the Office of the Vice President, Research and International (VPRI) of Simon Fraser University. PKP is additionally guided by an &lt;a href="https://pkp.sfu.ca/about/governance/advisory/" target="_blank"&gt;Advisory Committee&lt;/a&gt;, &lt;a href="https://pkp.sfu.ca/about/governance/sfu-advisory/" target="_blank"&gt;SFU Community Advisory Committee&lt;/a&gt;, &lt;a href="https://pkp.sfu.ca/about/governance/technical/" target="_blank"&gt;Technical Committee&lt;/a&gt;, Members Committee, and a &lt;a href="https://pkp.sfu.ca/about/governance/conduct/" target="_blank"&gt;Code of Conduct Committee&lt;/a&gt;.&lt;/p&gt;</t>
  </si>
  <si>
    <t>https://pkp.sfu.ca/</t>
  </si>
  <si>
    <t>https://github.com/pkp/</t>
  </si>
  <si>
    <t>https://pkp.sfu.ca/software/ops/</t>
  </si>
  <si>
    <t>https://github.com/pkp/https://github.com/pkp/ops</t>
  </si>
  <si>
    <t>https://openverse.org</t>
  </si>
  <si>
    <t>https://github.com/WordPress/openverse</t>
  </si>
  <si>
    <t>Openverse has no board.</t>
  </si>
  <si>
    <t>https://oasisbr.ibict.br/</t>
  </si>
  <si>
    <t>https://github.com/projetos-codic-ibict/oasisbr-vufind</t>
  </si>
  <si>
    <t>&lt;p&gt;The Brazilian Portal of Publications and Scientific Data in Open Access (Oasisbr) is an initiative of the Instituto Brasileiro de Informação em Ciência e Tecnologia (IBICT), a national information body and research unit of the Ministério da Ciência, Tecnologia e Inovação (MCTI). Oasisbr is supported and governed by the nonprofit collaborative repository group &lt;a href="http://rbrd.ibict.br/" target="_blank"&gt;Rede Brasileira de Repositórios Digitais (RBRD)&lt;/a&gt;. &lt;/p&gt;</t>
  </si>
  <si>
    <t>https://osf.io</t>
  </si>
  <si>
    <t>https://github.com/CenterForOpenScience/osf.io</t>
  </si>
  <si>
    <t>&lt;p&gt;OSF is a project of Center for Open Science, which is &lt;a href="https://www.cos.io/about/board" target="_blank"&gt;governed by&lt;/a&gt; a Board of Directors.&lt;/p&gt;</t>
  </si>
  <si>
    <t>https://ocfl.io/</t>
  </si>
  <si>
    <t>https://github.com/OCFL/spec</t>
  </si>
  <si>
    <t>&lt;p&gt;The OCFL specification is governed by its Editorial Board. The group meets every other week to discuss issues related to the specification and how we can collaborate with the community. We host community meetings to hear about how the community uses the specification; information provided by the community impacts the Editors' decisions about the specification.&lt;/p&gt;
&lt;p&gt;There is no formal governance for the community.&lt;/p&gt;</t>
  </si>
  <si>
    <t>https://github.com/pci-dev</t>
  </si>
  <si>
    <t>The &lt;a href="https://peercommunityin.org/pci-structure-history/"&gt;Peer Community In initiative&lt;/a&gt;: Members of the PCI association is made up of (i) The representatives of the managing boards of all the thematic PCIs, (ii) The three founders of PCI (Denis Bourguet, Benoit Facon and Thomas Guillemaud) and (iii) The support officer of PCI (currently Barbara Class). The roles of the PCI association are to define the strategy of PCI, to create/abolish thematic PCIs and to fund and organise the functioning of the various thematic PCIs and Peer Community Journal.</t>
  </si>
  <si>
    <t>https://pkp.sfu.ca/pkp-pn/</t>
  </si>
  <si>
    <t>https://github.com/pkp/pln</t>
  </si>
  <si>
    <t>See Open Journal Systems for governance and financial information.</t>
  </si>
  <si>
    <t>https://prereview.org</t>
  </si>
  <si>
    <t>https://github.com/PREreview/prereview.org</t>
  </si>
  <si>
    <t>&lt;p&gt;PREreview is governed by an &lt;a href="https://content.prereview.org/people/" target="_blank"&gt;Advisory Committee&lt;/a&gt;, and is a fiscally sponsored project of &lt;a href="https://www.codeforsociety.org/" target="_blank"&gt;Code for Science &amp;amp; Society&lt;/a&gt;, a US-based 501(c)3&lt;/p&gt;</t>
  </si>
  <si>
    <t>https://pressbooks.com/</t>
  </si>
  <si>
    <t>https://github.com/pressbooks</t>
  </si>
  <si>
    <t>&lt;p&gt;The provider is considering additional governance development.&lt;/p&gt;</t>
  </si>
  <si>
    <t>https://eclipse-pass.org/</t>
  </si>
  <si>
    <t>https://github.com/eclipse-pass</t>
  </si>
  <si>
    <t>&lt;p&gt;The Public Access Submission System (PASS) is a project of the Eclipse Foundation, which is governed by a &lt;a href="https://www.eclipse.org/org/foundation/directors.php" target="_blank"&gt;Board of Directors&lt;/a&gt;.&lt;/p&gt;</t>
  </si>
  <si>
    <t>https://github.com/catalyst-cooperative/pudl</t>
  </si>
  <si>
    <t>https://github.com/catalyst-cooperative/pudl/</t>
  </si>
  <si>
    <t>Board of directors</t>
  </si>
  <si>
    <t>As a democractic worker-owned co-operative, we operate with one vote per member. Currently, all members of Catalyst Cooperative serve on the board. The board has absolute control over the organization, a fiduciary responsibility to the co-operative, and is primarily responsible for ongoing financial planning and decision-making, approving policy changes, and hiring. According to the Catalyst Cooperative bylaws, the board is mandated to serve the following purposes:
"The Cooperative shall strive to perform data and policy analysis in support of creating a more just, livable, and sustainable world for all humanity with focus areas including climate and energy policies, electric utility regulation and finances, and land-use, transportation, and housing policies.
The Cooperative shall strive to provide members with fulfilling work that is equitably compensated, while also allowing them the flexibility to pursue other paths in life. The Cooperative may produce free or low-cost and thus more widely available data products, applications, and policy analyses to help educate the public, inform public policymaking, and level the playing field between profit-maximizing and non-commercial interests.
The Cooperative may also have as one or more of its purposes any purpose or purposes permitted for cooperatives under Colorado law. The Cooperative shall be operated on a cooperative basis for the mutual benefit of its members."
See our &lt;a href="https://catalystcoop-handbook.readthedocs.io/en/latest/bylaws.html#catalyst-cooperative-bylaws" target="_blank"&gt;bylaws&lt;/a&gt; for more information.</t>
  </si>
  <si>
    <t>https://www.pubpub.org/</t>
  </si>
  <si>
    <t>https://github.com/pubpub</t>
  </si>
  <si>
    <t>&lt;p&gt;PubPub is an initiative of &lt;a href="https://www.knowledgefutures.org/" target="_blank"&gt;Knowledge Futures&lt;/a&gt;, which is &lt;a href="https://www.knowledgefutures.org/about" target="_blank"&gt;governed by&lt;/a&gt; a Board of Directors.&lt;/p&gt;</t>
  </si>
  <si>
    <t>https://thepund.it</t>
  </si>
  <si>
    <t>https://github.com/net7/pundit-client</t>
  </si>
  <si>
    <t>Pundit is developed by Net7, an IT company based in Pisa, Italy.</t>
  </si>
  <si>
    <t>https://www.pyopensci.org/</t>
  </si>
  <si>
    <t>https://github.com/pyOpenSci</t>
  </si>
  <si>
    <t xml:space="preserve">The board provides broad oversight to the organization. They provide input on strategic decisions made and oversight on budget and spending. </t>
  </si>
  <si>
    <t>https://renkulab.io</t>
  </si>
  <si>
    <t>https://github.com/SwissDataScienceCenter/renku</t>
  </si>
  <si>
    <t>Renku software development is led by the Swiss Data Science Center engineering team and external contributors. The project roadmap is determined by the SDSC and other stakeholders within the Swiss academic system.</t>
  </si>
  <si>
    <t xml:space="preserve">We do not have a board in a formal sense; the leadership of the Swiss Data Science Center and the academic advisors serve as an advisory body for the activities of the Renku project and its technological and business development. </t>
  </si>
  <si>
    <t>http://repec.org</t>
  </si>
  <si>
    <t>https://github.com/repec-org</t>
  </si>
  <si>
    <t>Since 2010‒10‒01, RePEc has been an independent project of the Open Library Society. RePEc is run by a board of directors, according to the &lt;a href="https://governance.repec.org/rules.html"&gt;RePEc governance rules&lt;/a&gt;.</t>
  </si>
  <si>
    <t>Limited. We depend entirely on volunteers, and they decide what they want to work on. We cannot force anyone...</t>
  </si>
  <si>
    <t>https://ror.org</t>
  </si>
  <si>
    <t>https://github.com/ror-community</t>
  </si>
  <si>
    <t>&lt;p&gt;ROR is operated as a collaborative initiative by &lt;a href="https://cdlib.org/" target="_blank"&gt;California Digital Library&lt;/a&gt;, &lt;a href="https://crossref.org/" target="_blank"&gt;Crossref&lt;/a&gt;, and &lt;a href="https://datacite.org/" target="_blank"&gt;DataCite&lt;/a&gt;. The three ROR governing organizations collectively assume and share responsibility for ROR governance, operations, resourcing, and decision-making. These responsibilities are defined in a &lt;a href="https://ror.org/documents/ROR-Memorandum-of-Agreement-2022.pdf" target="_blank"&gt;Memorandum of Agreement (MOA)&lt;/a&gt;.&lt;/p&gt;</t>
  </si>
  <si>
    <t>https://rogue-scholar.org/</t>
  </si>
  <si>
    <t>https://github.com/front-matter/rogue-scholar</t>
  </si>
  <si>
    <t>&lt;p&gt;No governance is known of at this time. &lt;/p&gt;</t>
  </si>
  <si>
    <t>https://www.researchspace.com/</t>
  </si>
  <si>
    <t>https://github.com/rspace-os</t>
  </si>
  <si>
    <t>...</t>
  </si>
  <si>
    <t>Board of directors of UK limited company</t>
  </si>
  <si>
    <t>The board addresses routine reporting requirements and reviews strategic and financial matters.</t>
  </si>
  <si>
    <t>https://sciety.org</t>
  </si>
  <si>
    <t>https://github.com/sciety/sciety</t>
  </si>
  <si>
    <t xml:space="preserve">The purview of the board is as follows:
Fixing number of directors  
Approval of budget  
Selection and approval of EiC and other board directors  
Entering into agreements that bind the company into the liability of others  
Mergers, sales assignments or transfer of assets  
Creation of a subsidiary  
Approval of compensation for directors  
Change of the corporation status  </t>
  </si>
  <si>
    <t>https://www.synapse.org/</t>
  </si>
  <si>
    <t>https://github.com/Sage-Bionetworks</t>
  </si>
  <si>
    <t xml:space="preserve">Strategic Guidance: The Sage Board guides our long-term direction, ensuring alignment with its mission. This includes setting priorities, approving strategic plans, and identifying major goals to drive scientific impact.
Financial Oversight: Our Board oversees Sage’s finances, ensuring responsible stewardship of resources. This includes reviewing budgets, ensuring transparency in financial reporting, approving major expenditures, and sometimes assisting in fundraising efforts.
Outreach and Advocacy: Sage Board members act as ambassadors for the organization, helping to promote its mission to external audiences, advocate for scientific issues and patient impact, and build partnerships with other institutions.
Leadership and Organizational Health: Our Board oversees the hiring and performance of our President and CEO. They also review high-level staff appointments.
Monitoring and Evaluation: The Board tracks Sage’s organizational progress toward its goals, evaluating the impact of programs and initiatives to ensure alignment with our nonprofit mission. 
</t>
  </si>
  <si>
    <t>https://cyber.harvard.edu/hoap/TagTeam</t>
  </si>
  <si>
    <t>https://github.com/berkmancenter/tagteam</t>
  </si>
  <si>
    <t xml:space="preserve">n/a </t>
  </si>
  <si>
    <t>https://thoth.pub/</t>
  </si>
  <si>
    <t>https://github.com/thoth-pub/thoth</t>
  </si>
  <si>
    <t>Thoth Open Metadata has been set up as a UK Community Interest Company (CIC) limited by guarantee, to ensure that the community’s interest are being met, no private gain (such as paying out dividends to its membership) is sought, and any surplus or assets are used principally for the benefit of the community. Thoth has been formed as a “large membership” CIC, which means that the members have ultimate control over the activities of the CIC. It also requires there to be more members than Directors and allows for the membership to grow as the company grows. These members collectively decide when and how the overall membership will grow. Another key feature of a Community Interest Company is the Asset Lock, which guarantees transfer of resources to a predefined set of organisations in the case of the CIC facing insolvency. The Membership approves the appointments of Thoth’s Board of Directors, which is responsible for proper management of the company’s business.</t>
  </si>
  <si>
    <t>Board of Directors</t>
  </si>
  <si>
    <t>The Board of Directors is responsible for the overall management of the non-profit CIC.</t>
  </si>
  <si>
    <t>https://tropy.org/</t>
  </si>
  <si>
    <t>https://github.com/tropy/tropy</t>
  </si>
  <si>
    <t>Tropy is a hosted project of Digital Scholar, a non-stock corporation in the United States that follows 501(c)3 guidelines in its operations.</t>
  </si>
  <si>
    <t>https://verapdf.org</t>
  </si>
  <si>
    <t>https://github.com/verapdf</t>
  </si>
  <si>
    <t>https://openpreservation.org/tools/viper</t>
  </si>
  <si>
    <t>https://github.com/openpreserve/ViPER</t>
  </si>
  <si>
    <t>ViPER is a project of the Open Preservation Foundation a company, limited by guarantee, registered in England and Wales and Stichting Open Preservation, registered as a foundation with the Kamer van Koophandel.</t>
  </si>
  <si>
    <t>https://texasdigitallibrary.atlassian.net/wiki/spaces/VUG/pages/87490642/About</t>
  </si>
  <si>
    <t>https://github.com/TexasDigitalLibrary/Vireo</t>
  </si>
  <si>
    <t>Video is a project of the Texas Digital Library (TDL), a consortium of Texas higher education institutions. UT Austin serves as the fiscal agent for TDL.</t>
  </si>
  <si>
    <t>https://vivoweb.org/</t>
  </si>
  <si>
    <t>https://github.com/vivo-project</t>
  </si>
  <si>
    <t>VIVO's Leadership Group sets development priorities and creates strategies for realizing those priorities. The Leadership Group consists of members and elected community representatives. VIVO Committers work with the community to maintain and advance the VIVO codebase by writing code as well as managing code contributions from the community. The VIVO Committers meet regularly to plan new features and enhancements.</t>
  </si>
  <si>
    <t>The Leadership Group establishes priorities and is responsible for making strategic decisions in these areas. 
- Annual budget allocation
- Substantial changes in allocations during the year
- Strategic product roadmap
- Strategic community direction</t>
  </si>
  <si>
    <t>https://vufind.org/</t>
  </si>
  <si>
    <t>https://github.com/vufind-org</t>
  </si>
  <si>
    <t>&lt;p&gt;VuFind is developed and maintained by the &lt;a href="https://openlibraryfoundation.org/" target="_blank"&gt;Open Library Foundation&lt;/a&gt;, and is governed by a &lt;a href="https://vufind.org/wiki/community:roles_and_responsibilities#project_management_committee" target="_blank"&gt;Project Management Committee&lt;/a&gt; with additional roles outlined &lt;a href="https://github.com/vufind-org/vufind/blob/dev/GOVERNANCE.md" target="_blank"&gt;here&lt;/a&gt;.&lt;/p&gt;</t>
  </si>
  <si>
    <t>https://zenodo.org/</t>
  </si>
  <si>
    <t>https://github.com/zenodo/zenodo-rdm</t>
  </si>
  <si>
    <t>&lt;p&gt;Zenodo is a community-driven effort, governed by &lt;a href="https://home.cern/" target="_blank"&gt;CERN&lt;/a&gt; for the benefit of the community. The provider is considering additional governance development.&lt;/p&gt;</t>
  </si>
  <si>
    <t>https://www.zotero.org/</t>
  </si>
  <si>
    <t>https://github.com/zotero</t>
  </si>
  <si>
    <t>Zotero is a hosted project of Digital Scholar, a non-stock corporation in the United States that follows 501(c)3 guidelines in its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</si>
</sst>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charset val="1"/>
    </font>
    <font>
      <b/>
      <sz val="12"/>
      <name val="Arial"/>
      <charset val="1"/>
    </font>
    <font>
      <sz val="10"/>
      <name val="Arial"/>
      <charset val="1"/>
    </font>
    <font>
      <b/>
      <sz val="10"/>
      <name val="Arial"/>
      <charset val="1"/>
    </font>
    <font>
      <b/>
      <sz val="10"/>
      <color rgb="FFFFFFFF"/>
      <name val="Arial"/>
      <charset val="1"/>
    </font>
    <font>
      <sz val="10"/>
      <color rgb="FF0000FF"/>
      <name val="Arial"/>
      <charset val="1"/>
    </font>
    <font>
      <b/>
      <sz val="11"/>
      <color rgb="FFFFFFFF"/>
      <name val="Carlito"/>
    </font>
    <font>
      <b/>
      <sz val="11"/>
      <color rgb="FF000000"/>
      <name val="Carlito"/>
    </font>
    <font>
      <sz val="11"/>
      <color theme="1"/>
      <name val="Carlito"/>
    </font>
  </fonts>
  <fills count="7">
    <fill>
      <patternFill patternType="none"/>
    </fill>
    <fill>
      <patternFill patternType="gray125"/>
    </fill>
    <fill>
      <patternFill patternType="solid">
        <fgColor rgb="FFD9E1F2"/>
        <bgColor rgb="FFCCFFFF"/>
      </patternFill>
    </fill>
    <fill>
      <patternFill patternType="solid">
        <fgColor rgb="FF1F3864"/>
        <bgColor rgb="FF333333"/>
      </patternFill>
    </fill>
    <fill>
      <patternFill patternType="solid">
        <fgColor rgb="FF374151"/>
        <bgColor rgb="FF374151"/>
      </patternFill>
    </fill>
    <fill>
      <patternFill patternType="solid">
        <fgColor rgb="FF1565C0"/>
        <bgColor rgb="FF1565C0"/>
      </patternFill>
    </fill>
    <fill>
      <patternFill patternType="solid">
        <fgColor rgb="FFF2C94C"/>
        <bgColor rgb="FFF2C94C"/>
      </patternFill>
    </fill>
  </fills>
  <borders count="1">
    <border>
      <left/>
      <right/>
      <top/>
      <bottom/>
      <diagonal/>
    </border>
  </borders>
  <cellStyleXfs count="1">
    <xf numFmtId="0" fontId="0" fillId="0" borderId="0"/>
  </cellStyleXfs>
  <cellXfs count="27">
    <xf numFmtId="0" fontId="0" fillId="0" borderId="0" xfId="0"/>
    <xf numFmtId="0" fontId="2"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1" fillId="0" borderId="0" xfId="0" applyFont="1"/>
    <xf numFmtId="0" fontId="2" fillId="0" borderId="0" xfId="0" applyFont="1"/>
    <xf numFmtId="0" fontId="4" fillId="3" borderId="0" xfId="0" applyFont="1" applyFill="1" applyAlignment="1">
      <alignment vertical="center" wrapText="1"/>
    </xf>
    <xf numFmtId="0" fontId="5" fillId="0" borderId="0" xfId="0" applyFont="1"/>
    <xf numFmtId="9" fontId="5" fillId="0" borderId="0" xfId="0" applyNumberFormat="1" applyFont="1"/>
    <xf numFmtId="9" fontId="2" fillId="0" borderId="0" xfId="0" applyNumberFormat="1" applyFont="1"/>
    <xf numFmtId="0" fontId="4" fillId="3" borderId="0" xfId="0" applyFont="1" applyFill="1" applyAlignment="1">
      <alignment horizontal="center" vertical="center" wrapText="1"/>
    </xf>
    <xf numFmtId="2" fontId="2" fillId="0" borderId="0" xfId="0" applyNumberFormat="1" applyFont="1" applyAlignment="1">
      <alignment horizontal="center"/>
    </xf>
    <xf numFmtId="1" fontId="2" fillId="0" borderId="0" xfId="0" applyNumberFormat="1" applyFont="1" applyAlignment="1">
      <alignment horizontal="center"/>
    </xf>
    <xf numFmtId="9" fontId="2" fillId="0" borderId="0" xfId="0" applyNumberFormat="1" applyFont="1" applyAlignment="1">
      <alignment horizontal="center"/>
    </xf>
    <xf numFmtId="164" fontId="3" fillId="0" borderId="0" xfId="0" applyNumberFormat="1" applyFont="1" applyAlignment="1">
      <alignment horizontal="center"/>
    </xf>
    <xf numFmtId="0" fontId="2" fillId="0" borderId="0" xfId="0" applyFont="1" applyAlignment="1">
      <alignment horizontal="center"/>
    </xf>
    <xf numFmtId="2" fontId="2" fillId="0" borderId="0" xfId="0" applyNumberFormat="1" applyFont="1"/>
    <xf numFmtId="0" fontId="3" fillId="0" borderId="0" xfId="0" applyFont="1"/>
    <xf numFmtId="1" fontId="2" fillId="0" borderId="0" xfId="0" applyNumberFormat="1" applyFont="1"/>
    <xf numFmtId="164" fontId="2" fillId="0" borderId="0" xfId="0" applyNumberFormat="1" applyFont="1"/>
    <xf numFmtId="0" fontId="4" fillId="3" borderId="0" xfId="0" applyFont="1" applyFill="1"/>
    <xf numFmtId="165" fontId="2" fillId="0" borderId="0" xfId="0" applyNumberFormat="1" applyFont="1"/>
    <xf numFmtId="0" fontId="6" fillId="4" borderId="0" xfId="0" applyFont="1" applyFill="1" applyAlignment="1">
      <alignment wrapText="1"/>
    </xf>
    <xf numFmtId="0" fontId="6" fillId="5" borderId="0" xfId="0" applyFont="1" applyFill="1" applyAlignment="1">
      <alignment wrapText="1"/>
    </xf>
    <xf numFmtId="0" fontId="7" fillId="6" borderId="0" xfId="0" applyFont="1" applyFill="1" applyAlignment="1">
      <alignment wrapText="1"/>
    </xf>
    <xf numFmtId="0" fontId="8"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zoomScaleNormal="100" workbookViewId="0">
      <selection activeCell="A14" sqref="A14"/>
    </sheetView>
  </sheetViews>
  <sheetFormatPr defaultColWidth="8.7109375" defaultRowHeight="15" x14ac:dyDescent="0.25"/>
  <cols>
    <col min="1" max="1" width="150" customWidth="1"/>
  </cols>
  <sheetData>
    <row r="1" spans="1:1" ht="15.75" x14ac:dyDescent="0.25">
      <c r="A1" s="2" t="s">
        <v>0</v>
      </c>
    </row>
    <row r="2" spans="1:1" x14ac:dyDescent="0.25">
      <c r="A2" s="3" t="s">
        <v>1</v>
      </c>
    </row>
    <row r="3" spans="1:1" x14ac:dyDescent="0.25">
      <c r="A3" s="3"/>
    </row>
    <row r="4" spans="1:1" x14ac:dyDescent="0.25">
      <c r="A4" s="4" t="s">
        <v>2</v>
      </c>
    </row>
    <row r="5" spans="1:1" ht="27.75" customHeight="1" x14ac:dyDescent="0.25">
      <c r="A5" s="3" t="s">
        <v>3</v>
      </c>
    </row>
    <row r="6" spans="1:1" x14ac:dyDescent="0.25">
      <c r="A6" s="3" t="s">
        <v>4</v>
      </c>
    </row>
    <row r="7" spans="1:1" x14ac:dyDescent="0.25">
      <c r="A7" s="3" t="s">
        <v>5</v>
      </c>
    </row>
    <row r="8" spans="1:1" x14ac:dyDescent="0.25">
      <c r="A8" s="3" t="s">
        <v>6</v>
      </c>
    </row>
    <row r="9" spans="1:1" x14ac:dyDescent="0.25">
      <c r="A9" s="3" t="s">
        <v>7</v>
      </c>
    </row>
    <row r="10" spans="1:1" x14ac:dyDescent="0.25">
      <c r="A10" s="3" t="s">
        <v>8</v>
      </c>
    </row>
    <row r="11" spans="1:1" x14ac:dyDescent="0.25">
      <c r="A11" s="3"/>
    </row>
    <row r="12" spans="1:1" x14ac:dyDescent="0.25">
      <c r="A12" s="4" t="s">
        <v>9</v>
      </c>
    </row>
    <row r="13" spans="1:1" ht="27.75" customHeight="1" x14ac:dyDescent="0.25">
      <c r="A13" s="3" t="s">
        <v>10</v>
      </c>
    </row>
    <row r="14" spans="1:1" ht="27.75" customHeight="1" x14ac:dyDescent="0.25">
      <c r="A14" s="3" t="s">
        <v>11</v>
      </c>
    </row>
    <row r="15" spans="1:1" x14ac:dyDescent="0.25">
      <c r="A15" s="3" t="s">
        <v>12</v>
      </c>
    </row>
    <row r="16" spans="1:1" x14ac:dyDescent="0.25">
      <c r="A16" s="3"/>
    </row>
    <row r="17" spans="1:1" x14ac:dyDescent="0.25">
      <c r="A17" s="4" t="s">
        <v>13</v>
      </c>
    </row>
    <row r="18" spans="1:1" x14ac:dyDescent="0.25">
      <c r="A18" s="3" t="s">
        <v>14</v>
      </c>
    </row>
    <row r="19" spans="1:1" ht="27.75" customHeight="1" x14ac:dyDescent="0.25">
      <c r="A19" s="3" t="s">
        <v>15</v>
      </c>
    </row>
    <row r="20" spans="1:1" x14ac:dyDescent="0.25">
      <c r="A20" s="3" t="s">
        <v>16</v>
      </c>
    </row>
    <row r="21" spans="1:1" x14ac:dyDescent="0.25">
      <c r="A21" s="3"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zoomScaleNormal="100" workbookViewId="0"/>
  </sheetViews>
  <sheetFormatPr defaultColWidth="8.7109375" defaultRowHeight="15" x14ac:dyDescent="0.25"/>
  <cols>
    <col min="1" max="1" width="44" customWidth="1"/>
    <col min="2" max="2" width="14" customWidth="1"/>
    <col min="3" max="3" width="28" customWidth="1"/>
    <col min="4" max="4" width="3" customWidth="1"/>
    <col min="5" max="5" width="34" customWidth="1"/>
    <col min="6" max="6" width="16" customWidth="1"/>
    <col min="7" max="8" width="18" customWidth="1"/>
    <col min="9" max="9" width="16" customWidth="1"/>
    <col min="10" max="10" width="70" customWidth="1"/>
  </cols>
  <sheetData>
    <row r="1" spans="1:10" ht="15.75" x14ac:dyDescent="0.25">
      <c r="A1" s="5" t="s">
        <v>18</v>
      </c>
    </row>
    <row r="2" spans="1:10" x14ac:dyDescent="0.25">
      <c r="A2" s="6" t="s">
        <v>19</v>
      </c>
    </row>
    <row r="4" spans="1:10" ht="25.5" x14ac:dyDescent="0.25">
      <c r="A4" s="7" t="s">
        <v>20</v>
      </c>
      <c r="B4" s="7" t="s">
        <v>21</v>
      </c>
      <c r="C4" s="7" t="s">
        <v>22</v>
      </c>
      <c r="E4" s="7" t="s">
        <v>23</v>
      </c>
      <c r="F4" s="7" t="s">
        <v>24</v>
      </c>
      <c r="G4" s="7" t="s">
        <v>25</v>
      </c>
      <c r="H4" s="7" t="s">
        <v>26</v>
      </c>
      <c r="I4" s="7" t="s">
        <v>27</v>
      </c>
      <c r="J4" s="7" t="s">
        <v>28</v>
      </c>
    </row>
    <row r="5" spans="1:10" x14ac:dyDescent="0.25">
      <c r="A5" s="6" t="s">
        <v>29</v>
      </c>
      <c r="B5" s="8">
        <v>1</v>
      </c>
      <c r="C5" s="6" t="s">
        <v>30</v>
      </c>
      <c r="D5" s="6"/>
      <c r="E5" s="6" t="s">
        <v>31</v>
      </c>
      <c r="F5" s="6" t="s">
        <v>32</v>
      </c>
      <c r="G5" s="8">
        <v>12</v>
      </c>
      <c r="H5" s="8">
        <v>1</v>
      </c>
      <c r="I5" s="6">
        <f t="shared" ref="I5:I15" si="0">G5*H5</f>
        <v>12</v>
      </c>
      <c r="J5" s="3" t="s">
        <v>33</v>
      </c>
    </row>
    <row r="6" spans="1:10" x14ac:dyDescent="0.25">
      <c r="A6" s="6" t="s">
        <v>34</v>
      </c>
      <c r="B6" s="8">
        <v>1</v>
      </c>
      <c r="C6" s="6" t="s">
        <v>35</v>
      </c>
      <c r="D6" s="6"/>
      <c r="E6" s="6" t="s">
        <v>36</v>
      </c>
      <c r="F6" s="6" t="s">
        <v>32</v>
      </c>
      <c r="G6" s="8">
        <v>12</v>
      </c>
      <c r="H6" s="8">
        <v>1</v>
      </c>
      <c r="I6" s="6">
        <f t="shared" si="0"/>
        <v>12</v>
      </c>
      <c r="J6" s="3" t="s">
        <v>37</v>
      </c>
    </row>
    <row r="7" spans="1:10" x14ac:dyDescent="0.25">
      <c r="A7" s="6" t="s">
        <v>38</v>
      </c>
      <c r="B7" s="8">
        <v>0.67</v>
      </c>
      <c r="C7" s="6" t="s">
        <v>30</v>
      </c>
      <c r="D7" s="6"/>
      <c r="E7" s="6" t="s">
        <v>39</v>
      </c>
      <c r="F7" s="6" t="s">
        <v>32</v>
      </c>
      <c r="G7" s="8">
        <v>8</v>
      </c>
      <c r="H7" s="8">
        <v>1</v>
      </c>
      <c r="I7" s="6">
        <f t="shared" si="0"/>
        <v>8</v>
      </c>
      <c r="J7" s="3" t="s">
        <v>40</v>
      </c>
    </row>
    <row r="8" spans="1:10" x14ac:dyDescent="0.25">
      <c r="A8" s="6" t="s">
        <v>41</v>
      </c>
      <c r="B8" s="8">
        <v>0.33</v>
      </c>
      <c r="C8" s="6" t="s">
        <v>30</v>
      </c>
      <c r="D8" s="6"/>
      <c r="E8" s="6" t="s">
        <v>42</v>
      </c>
      <c r="F8" s="6" t="s">
        <v>32</v>
      </c>
      <c r="G8" s="8">
        <v>8</v>
      </c>
      <c r="H8" s="8">
        <v>1</v>
      </c>
      <c r="I8" s="6">
        <f t="shared" si="0"/>
        <v>8</v>
      </c>
      <c r="J8" s="3" t="s">
        <v>43</v>
      </c>
    </row>
    <row r="9" spans="1:10" ht="25.5" x14ac:dyDescent="0.25">
      <c r="A9" s="6" t="s">
        <v>44</v>
      </c>
      <c r="B9" s="8">
        <v>0</v>
      </c>
      <c r="C9" s="6" t="s">
        <v>30</v>
      </c>
      <c r="D9" s="6"/>
      <c r="E9" s="6" t="s">
        <v>45</v>
      </c>
      <c r="F9" s="6" t="s">
        <v>46</v>
      </c>
      <c r="G9" s="8">
        <v>20</v>
      </c>
      <c r="H9" s="8">
        <v>1</v>
      </c>
      <c r="I9" s="6">
        <f t="shared" si="0"/>
        <v>20</v>
      </c>
      <c r="J9" s="3" t="s">
        <v>47</v>
      </c>
    </row>
    <row r="10" spans="1:10" x14ac:dyDescent="0.25">
      <c r="A10" s="6" t="s">
        <v>48</v>
      </c>
      <c r="B10" s="8" t="s">
        <v>49</v>
      </c>
      <c r="C10" s="6" t="s">
        <v>50</v>
      </c>
      <c r="D10" s="6"/>
      <c r="E10" s="6" t="s">
        <v>51</v>
      </c>
      <c r="F10" s="6" t="s">
        <v>46</v>
      </c>
      <c r="G10" s="8">
        <v>5</v>
      </c>
      <c r="H10" s="8">
        <v>0</v>
      </c>
      <c r="I10" s="6">
        <f t="shared" si="0"/>
        <v>0</v>
      </c>
      <c r="J10" s="3" t="s">
        <v>52</v>
      </c>
    </row>
    <row r="11" spans="1:10" x14ac:dyDescent="0.25">
      <c r="A11" s="6" t="s">
        <v>53</v>
      </c>
      <c r="B11" s="8" t="s">
        <v>49</v>
      </c>
      <c r="C11" s="6" t="s">
        <v>50</v>
      </c>
      <c r="D11" s="6"/>
      <c r="E11" s="6" t="s">
        <v>54</v>
      </c>
      <c r="F11" s="6" t="s">
        <v>55</v>
      </c>
      <c r="G11" s="8">
        <v>7</v>
      </c>
      <c r="H11" s="8">
        <v>1</v>
      </c>
      <c r="I11" s="6">
        <f t="shared" si="0"/>
        <v>7</v>
      </c>
      <c r="J11" s="3" t="s">
        <v>56</v>
      </c>
    </row>
    <row r="12" spans="1:10" x14ac:dyDescent="0.25">
      <c r="A12" s="6" t="s">
        <v>32</v>
      </c>
      <c r="B12" s="8">
        <v>1</v>
      </c>
      <c r="C12" s="6" t="s">
        <v>57</v>
      </c>
      <c r="D12" s="6"/>
      <c r="E12" s="6" t="s">
        <v>58</v>
      </c>
      <c r="F12" s="6" t="s">
        <v>55</v>
      </c>
      <c r="G12" s="8">
        <v>7</v>
      </c>
      <c r="H12" s="8">
        <v>1</v>
      </c>
      <c r="I12" s="6">
        <f t="shared" si="0"/>
        <v>7</v>
      </c>
      <c r="J12" s="3" t="s">
        <v>59</v>
      </c>
    </row>
    <row r="13" spans="1:10" x14ac:dyDescent="0.25">
      <c r="A13" s="6" t="s">
        <v>60</v>
      </c>
      <c r="B13" s="8">
        <v>0.5</v>
      </c>
      <c r="C13" s="6" t="s">
        <v>57</v>
      </c>
      <c r="D13" s="6"/>
      <c r="E13" s="6" t="s">
        <v>61</v>
      </c>
      <c r="F13" s="6" t="s">
        <v>55</v>
      </c>
      <c r="G13" s="8">
        <v>7</v>
      </c>
      <c r="H13" s="8">
        <v>1</v>
      </c>
      <c r="I13" s="6">
        <f t="shared" si="0"/>
        <v>7</v>
      </c>
      <c r="J13" s="3" t="s">
        <v>62</v>
      </c>
    </row>
    <row r="14" spans="1:10" x14ac:dyDescent="0.25">
      <c r="A14" s="6" t="s">
        <v>63</v>
      </c>
      <c r="B14" s="8">
        <v>0</v>
      </c>
      <c r="C14" s="6" t="s">
        <v>57</v>
      </c>
      <c r="D14" s="6"/>
      <c r="E14" s="6" t="s">
        <v>64</v>
      </c>
      <c r="F14" s="6" t="s">
        <v>55</v>
      </c>
      <c r="G14" s="8">
        <v>7</v>
      </c>
      <c r="H14" s="8">
        <v>1</v>
      </c>
      <c r="I14" s="6">
        <f t="shared" si="0"/>
        <v>7</v>
      </c>
      <c r="J14" s="3" t="s">
        <v>62</v>
      </c>
    </row>
    <row r="15" spans="1:10" x14ac:dyDescent="0.25">
      <c r="A15" s="6"/>
      <c r="B15" s="6"/>
      <c r="C15" s="6"/>
      <c r="D15" s="6"/>
      <c r="E15" s="6" t="s">
        <v>65</v>
      </c>
      <c r="F15" s="6" t="s">
        <v>55</v>
      </c>
      <c r="G15" s="8">
        <v>7</v>
      </c>
      <c r="H15" s="8">
        <v>1</v>
      </c>
      <c r="I15" s="6">
        <f t="shared" si="0"/>
        <v>7</v>
      </c>
      <c r="J15" s="3" t="s">
        <v>66</v>
      </c>
    </row>
    <row r="16" spans="1:10" x14ac:dyDescent="0.25">
      <c r="A16" s="6"/>
      <c r="B16" s="6"/>
      <c r="C16" s="6"/>
      <c r="D16" s="6"/>
      <c r="E16" s="6"/>
      <c r="F16" s="6"/>
      <c r="G16" s="6"/>
      <c r="H16" s="6"/>
      <c r="I16" s="6"/>
      <c r="J16" s="6"/>
    </row>
    <row r="17" spans="1:10" x14ac:dyDescent="0.25">
      <c r="A17" s="7" t="s">
        <v>67</v>
      </c>
      <c r="B17" s="6"/>
      <c r="C17" s="6"/>
      <c r="D17" s="6"/>
      <c r="E17" s="7" t="s">
        <v>24</v>
      </c>
      <c r="F17" s="7" t="s">
        <v>68</v>
      </c>
      <c r="G17" s="6"/>
      <c r="H17" s="6"/>
      <c r="I17" s="6"/>
      <c r="J17" s="6"/>
    </row>
    <row r="18" spans="1:10" x14ac:dyDescent="0.25">
      <c r="A18" s="6" t="s">
        <v>69</v>
      </c>
      <c r="B18" s="8">
        <v>0</v>
      </c>
      <c r="C18" s="6"/>
      <c r="D18" s="6"/>
      <c r="E18" s="6" t="s">
        <v>32</v>
      </c>
      <c r="F18" s="9">
        <v>0.4</v>
      </c>
      <c r="G18" s="6"/>
      <c r="H18" s="6"/>
      <c r="I18" s="6"/>
      <c r="J18" s="6"/>
    </row>
    <row r="19" spans="1:10" x14ac:dyDescent="0.25">
      <c r="A19" s="6" t="s">
        <v>70</v>
      </c>
      <c r="B19" s="8">
        <v>0</v>
      </c>
      <c r="C19" s="6"/>
      <c r="D19" s="6"/>
      <c r="E19" s="6" t="s">
        <v>46</v>
      </c>
      <c r="F19" s="9">
        <v>0.25</v>
      </c>
      <c r="G19" s="6"/>
      <c r="H19" s="6"/>
      <c r="I19" s="6"/>
      <c r="J19" s="6"/>
    </row>
    <row r="20" spans="1:10" x14ac:dyDescent="0.25">
      <c r="A20" s="6" t="s">
        <v>71</v>
      </c>
      <c r="B20" s="9">
        <v>0.7</v>
      </c>
      <c r="C20" s="6"/>
      <c r="D20" s="6"/>
      <c r="E20" s="6" t="s">
        <v>55</v>
      </c>
      <c r="F20" s="9">
        <v>0.35</v>
      </c>
      <c r="G20" s="6"/>
      <c r="H20" s="6"/>
      <c r="I20" s="6"/>
      <c r="J20" s="6"/>
    </row>
    <row r="21" spans="1:10" x14ac:dyDescent="0.25">
      <c r="A21" s="6" t="s">
        <v>72</v>
      </c>
      <c r="B21" s="8">
        <v>0</v>
      </c>
      <c r="C21" s="6"/>
      <c r="D21" s="6"/>
      <c r="E21" s="6" t="s">
        <v>73</v>
      </c>
      <c r="F21" s="10">
        <f>SUM(F18:F20)</f>
        <v>1</v>
      </c>
      <c r="G21" s="6"/>
      <c r="H21" s="6"/>
      <c r="I21" s="6"/>
      <c r="J21" s="6"/>
    </row>
    <row r="22" spans="1:10" ht="15" customHeight="1" x14ac:dyDescent="0.25">
      <c r="A22" s="1" t="s">
        <v>74</v>
      </c>
      <c r="B22" s="1"/>
      <c r="C22" s="1"/>
      <c r="D22" s="1"/>
      <c r="E22" s="1"/>
      <c r="F22" s="1"/>
      <c r="G22" s="1"/>
      <c r="H22" s="1"/>
      <c r="I22" s="1"/>
      <c r="J22" s="1"/>
    </row>
    <row r="23" spans="1:10" x14ac:dyDescent="0.25">
      <c r="A23" s="1"/>
      <c r="B23" s="1"/>
      <c r="C23" s="1"/>
      <c r="D23" s="1"/>
      <c r="E23" s="1"/>
      <c r="F23" s="1"/>
      <c r="G23" s="1"/>
      <c r="H23" s="1"/>
      <c r="I23" s="1"/>
      <c r="J23" s="1"/>
    </row>
    <row r="24" spans="1:10" x14ac:dyDescent="0.25">
      <c r="A24" s="1"/>
      <c r="B24" s="1"/>
      <c r="C24" s="1"/>
      <c r="D24" s="1"/>
      <c r="E24" s="1"/>
      <c r="F24" s="1"/>
      <c r="G24" s="1"/>
      <c r="H24" s="1"/>
      <c r="I24" s="1"/>
      <c r="J24" s="1"/>
    </row>
    <row r="25" spans="1:10" x14ac:dyDescent="0.25">
      <c r="A25" s="1"/>
      <c r="B25" s="1"/>
      <c r="C25" s="1"/>
      <c r="D25" s="1"/>
      <c r="E25" s="1"/>
      <c r="F25" s="1"/>
      <c r="G25" s="1"/>
      <c r="H25" s="1"/>
      <c r="I25" s="1"/>
      <c r="J25" s="1"/>
    </row>
    <row r="26" spans="1:10" x14ac:dyDescent="0.25">
      <c r="A26" s="1"/>
      <c r="B26" s="1"/>
      <c r="C26" s="1"/>
      <c r="D26" s="1"/>
      <c r="E26" s="1"/>
      <c r="F26" s="1"/>
      <c r="G26" s="1"/>
      <c r="H26" s="1"/>
      <c r="I26" s="1"/>
      <c r="J26" s="1"/>
    </row>
  </sheetData>
  <mergeCells count="1">
    <mergeCell ref="A22:J2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13"/>
  <sheetViews>
    <sheetView zoomScaleNormal="100" workbookViewId="0">
      <pane xSplit="1" ySplit="1" topLeftCell="Y50" activePane="bottomRight" state="frozen"/>
      <selection pane="topRight" activeCell="B1" sqref="B1"/>
      <selection pane="bottomLeft" activeCell="A2" sqref="A2"/>
      <selection pane="bottomRight"/>
    </sheetView>
  </sheetViews>
  <sheetFormatPr defaultColWidth="8.7109375" defaultRowHeight="15" x14ac:dyDescent="0.25"/>
  <cols>
    <col min="1" max="1" width="34" customWidth="1"/>
    <col min="2" max="3" width="30" customWidth="1"/>
    <col min="4" max="6" width="16" customWidth="1"/>
    <col min="7" max="7" width="28" customWidth="1"/>
    <col min="8" max="13" width="16" customWidth="1"/>
    <col min="14" max="14" width="40" customWidth="1"/>
    <col min="15" max="39" width="16" customWidth="1"/>
  </cols>
  <sheetData>
    <row r="1" spans="1:39" ht="48" customHeight="1" x14ac:dyDescent="0.25">
      <c r="A1" s="11" t="s">
        <v>75</v>
      </c>
      <c r="B1" s="11" t="s">
        <v>76</v>
      </c>
      <c r="C1" s="11" t="s">
        <v>77</v>
      </c>
      <c r="D1" s="11" t="s">
        <v>78</v>
      </c>
      <c r="E1" s="11" t="s">
        <v>79</v>
      </c>
      <c r="F1" s="11" t="s">
        <v>80</v>
      </c>
      <c r="G1" s="11" t="s">
        <v>81</v>
      </c>
      <c r="H1" s="11" t="s">
        <v>82</v>
      </c>
      <c r="I1" s="11" t="s">
        <v>83</v>
      </c>
      <c r="J1" s="11" t="s">
        <v>84</v>
      </c>
      <c r="K1" s="11" t="s">
        <v>85</v>
      </c>
      <c r="L1" s="11" t="s">
        <v>86</v>
      </c>
      <c r="M1" s="11" t="s">
        <v>87</v>
      </c>
      <c r="N1" s="11" t="s">
        <v>88</v>
      </c>
      <c r="O1" s="11" t="s">
        <v>89</v>
      </c>
      <c r="P1" s="11" t="s">
        <v>90</v>
      </c>
      <c r="Q1" s="11" t="s">
        <v>91</v>
      </c>
      <c r="R1" s="11" t="s">
        <v>92</v>
      </c>
      <c r="S1" s="11" t="s">
        <v>93</v>
      </c>
      <c r="T1" s="11" t="s">
        <v>94</v>
      </c>
      <c r="U1" s="11" t="s">
        <v>95</v>
      </c>
      <c r="V1" s="11" t="s">
        <v>96</v>
      </c>
      <c r="W1" s="11" t="s">
        <v>97</v>
      </c>
      <c r="X1" s="11" t="s">
        <v>98</v>
      </c>
      <c r="Y1" s="11" t="s">
        <v>99</v>
      </c>
      <c r="Z1" s="11" t="s">
        <v>100</v>
      </c>
      <c r="AA1" s="11" t="s">
        <v>101</v>
      </c>
      <c r="AB1" s="11" t="s">
        <v>102</v>
      </c>
      <c r="AC1" s="11" t="s">
        <v>103</v>
      </c>
      <c r="AD1" s="11" t="s">
        <v>104</v>
      </c>
      <c r="AE1" s="11" t="s">
        <v>105</v>
      </c>
      <c r="AF1" s="11" t="s">
        <v>106</v>
      </c>
      <c r="AG1" s="11" t="s">
        <v>107</v>
      </c>
      <c r="AH1" s="11" t="s">
        <v>108</v>
      </c>
      <c r="AI1" s="11" t="s">
        <v>109</v>
      </c>
      <c r="AJ1" s="11" t="s">
        <v>110</v>
      </c>
      <c r="AK1" s="11" t="s">
        <v>111</v>
      </c>
      <c r="AL1" s="11" t="s">
        <v>112</v>
      </c>
      <c r="AM1" s="11" t="s">
        <v>113</v>
      </c>
    </row>
    <row r="2" spans="1:39" x14ac:dyDescent="0.25">
      <c r="A2" s="6" t="s">
        <v>157</v>
      </c>
      <c r="B2" s="6" t="s">
        <v>157</v>
      </c>
      <c r="C2" s="6" t="s">
        <v>158</v>
      </c>
      <c r="D2" s="6" t="s">
        <v>29</v>
      </c>
      <c r="E2" s="6" t="s">
        <v>29</v>
      </c>
      <c r="F2" s="6" t="s">
        <v>29</v>
      </c>
      <c r="G2" s="6" t="s">
        <v>117</v>
      </c>
      <c r="H2" s="6"/>
      <c r="I2" s="6" t="s">
        <v>32</v>
      </c>
      <c r="J2" s="6" t="s">
        <v>29</v>
      </c>
      <c r="K2" s="6" t="s">
        <v>29</v>
      </c>
      <c r="L2" s="6" t="s">
        <v>29</v>
      </c>
      <c r="M2" s="6" t="s">
        <v>29</v>
      </c>
      <c r="N2" s="6" t="s">
        <v>124</v>
      </c>
      <c r="O2" s="6" t="s">
        <v>159</v>
      </c>
      <c r="P2" s="6" t="s">
        <v>160</v>
      </c>
      <c r="Q2" s="6" t="s">
        <v>161</v>
      </c>
      <c r="R2" s="6" t="s">
        <v>162</v>
      </c>
      <c r="S2" s="6" t="s">
        <v>163</v>
      </c>
      <c r="T2" s="6" t="s">
        <v>164</v>
      </c>
      <c r="U2" s="6" t="s">
        <v>159</v>
      </c>
      <c r="V2" s="12">
        <f>IFERROR(IF(ISNUMBER(INDEX(Parameters!$B$5:$B$14,MATCH(D2,Parameters!$A$5:$A$14,0))),INDEX(Parameters!$B$5:$B$14,MATCH(D2,Parameters!$A$5:$A$14,0)),""),"")</f>
        <v>1</v>
      </c>
      <c r="W2" s="12">
        <f>IFERROR(IF(ISNUMBER(INDEX(Parameters!$B$5:$B$14,MATCH(E2,Parameters!$A$5:$A$14,0))),INDEX(Parameters!$B$5:$B$14,MATCH(E2,Parameters!$A$5:$A$14,0)),""),"")</f>
        <v>1</v>
      </c>
      <c r="X2" s="12">
        <f>IFERROR(IF(ISNUMBER(INDEX(Parameters!$B$5:$B$14,MATCH(F2,Parameters!$A$5:$A$14,0))),INDEX(Parameters!$B$5:$B$14,MATCH(F2,Parameters!$A$5:$A$14,0)),""),"")</f>
        <v>1</v>
      </c>
      <c r="Y2" s="12">
        <f>IF(G2&lt;&gt;"",1,IF(ISNUMBER(Parameters!$B$18),Parameters!$B$18,""))</f>
        <v>1</v>
      </c>
      <c r="Z2" s="12">
        <f>IF(I2&lt;&gt;"",IFERROR(IF(ISNUMBER(INDEX(Parameters!$B$5:$B$14,MATCH(I2,Parameters!$A$5:$A$14,0))),INDEX(Parameters!$B$5:$B$14,MATCH(I2,Parameters!$A$5:$A$14,0)),""),""),IF(ISNUMBER(Parameters!$B$21),Parameters!$B$21,""))</f>
        <v>1</v>
      </c>
      <c r="AA2" s="12">
        <f>IFERROR(IF(ISNUMBER(INDEX(Parameters!$B$5:$B$14,MATCH(J2,Parameters!$A$5:$A$14,0))),INDEX(Parameters!$B$5:$B$14,MATCH(J2,Parameters!$A$5:$A$14,0)),""),"")</f>
        <v>1</v>
      </c>
      <c r="AB2" s="12">
        <f>IFERROR(IF(ISNUMBER(INDEX(Parameters!$B$5:$B$14,MATCH(K2,Parameters!$A$5:$A$14,0))),INDEX(Parameters!$B$5:$B$14,MATCH(K2,Parameters!$A$5:$A$14,0)),""),"")</f>
        <v>1</v>
      </c>
      <c r="AC2" s="12">
        <f>IFERROR(IF(ISNUMBER(INDEX(Parameters!$B$5:$B$14,MATCH(L2,Parameters!$A$5:$A$14,0))),INDEX(Parameters!$B$5:$B$14,MATCH(L2,Parameters!$A$5:$A$14,0)),""),"")</f>
        <v>1</v>
      </c>
      <c r="AD2" s="12">
        <f>IFERROR(IF(ISNUMBER(INDEX(Parameters!$B$5:$B$14,MATCH(M2,Parameters!$A$5:$A$14,0))),INDEX(Parameters!$B$5:$B$14,MATCH(M2,Parameters!$A$5:$A$14,0)),""),"")</f>
        <v>1</v>
      </c>
      <c r="AE2" s="12">
        <f>IF(N2&lt;&gt;"",1,IF(ISNUMBER(Parameters!$B$19),Parameters!$B$19,""))</f>
        <v>1</v>
      </c>
      <c r="AF2" s="12">
        <f>IF((Parameters!$I$5*ISNUMBER(V2)+Parameters!$I$6*ISNUMBER(W2)+Parameters!$I$7*ISNUMBER(X2)+Parameters!$I$8*ISNUMBER(Y2))=0,"",(Parameters!$I$5*N(V2)+Parameters!$I$6*N(W2)+Parameters!$I$7*N(X2)+Parameters!$I$8*N(Y2))/(Parameters!$I$5*ISNUMBER(V2)+Parameters!$I$6*ISNUMBER(W2)+Parameters!$I$7*ISNUMBER(X2)+Parameters!$I$8*ISNUMBER(Y2)))</f>
        <v>1</v>
      </c>
      <c r="AG2" s="12">
        <f>IF((Parameters!$I$9*ISNUMBER(Z2))=0,"",(Parameters!$I$9*N(Z2))/(Parameters!$I$9*ISNUMBER(Z2)))</f>
        <v>1</v>
      </c>
      <c r="AH2" s="12">
        <f>IF((Parameters!$I$11*ISNUMBER(AA2)+Parameters!$I$12*ISNUMBER(AB2)+Parameters!$I$13*ISNUMBER(AC2)+Parameters!$I$14*ISNUMBER(AD2)+Parameters!$I$15*ISNUMBER(AE2))=0,"",(Parameters!$I$11*N(AA2)+Parameters!$I$12*N(AB2)+Parameters!$I$13*N(AC2)+Parameters!$I$14*N(AD2)+Parameters!$I$15*N(AE2))/(Parameters!$I$11*ISNUMBER(AA2)+Parameters!$I$12*ISNUMBER(AB2)+Parameters!$I$13*ISNUMBER(AC2)+Parameters!$I$14*ISNUMBER(AD2)+Parameters!$I$15*ISNUMBER(AE2)))</f>
        <v>1</v>
      </c>
      <c r="AI2" s="13">
        <f>Parameters!$I$5*ISNUMBER(V2)+Parameters!$I$6*ISNUMBER(W2)+Parameters!$I$7*ISNUMBER(X2)+Parameters!$I$8*ISNUMBER(Y2)+Parameters!$I$9*ISNUMBER(Z2)+Parameters!$I$11*ISNUMBER(AA2)+Parameters!$I$12*ISNUMBER(AB2)+Parameters!$I$13*ISNUMBER(AC2)+Parameters!$I$14*ISNUMBER(AD2)+Parameters!$I$15*ISNUMBER(AE2)</f>
        <v>95</v>
      </c>
      <c r="AJ2" s="14">
        <f>IF((Parameters!$I$5+Parameters!$I$6+Parameters!$I$7+Parameters!$I$8+Parameters!$I$9+Parameters!$I$11+Parameters!$I$12+Parameters!$I$13+Parameters!$I$14+Parameters!$I$15)=0,"",AI2/(Parameters!$I$5+Parameters!$I$6+Parameters!$I$7+Parameters!$I$8+Parameters!$I$9+Parameters!$I$11+Parameters!$I$12+Parameters!$I$13+Parameters!$I$14+Parameters!$I$15))</f>
        <v>1</v>
      </c>
      <c r="AK2" s="15">
        <f>IF(AND(ISNUMBER(AF2),ISNUMBER(AH2),OR(NOT((Parameters!$I$9)&gt;0),ISNUMBER(AG2)),AJ2&gt;=Parameters!$B$20),100*(Parameters!$F$18*N(AF2)+Parameters!$F$19*N(AG2)+Parameters!$F$20*N(AH2))/(Parameters!$F$18*ISNUMBER(AF2)+Parameters!$F$19*ISNUMBER(AG2)+Parameters!$F$20*ISNUMBER(AH2)),"")</f>
        <v>100</v>
      </c>
      <c r="AL2" s="16">
        <f>IF(ISNUMBER(AK2),RANK(AK2,$AK$2:$AK$113),"")</f>
        <v>1</v>
      </c>
      <c r="AM2" s="14">
        <f>IF(((D2="Implemented/available")+(E2="Implemented/available")+(J2="Implemented/available")+(K2="Implemented/available")+(L2="Implemented/available")+(M2="Implemented/available"))=0,"",(AND(D2="Implemented/available",O2&lt;&gt;"")+AND(E2="Implemented/available",P2&lt;&gt;"")+AND(J2="Implemented/available",Q2&lt;&gt;"")+AND(K2="Implemented/available",R2&lt;&gt;"")+AND(L2="Implemented/available",S2&lt;&gt;"")+AND(M2="Implemented/available",T2&lt;&gt;""))/((D2="Implemented/available")+(E2="Implemented/available")+(J2="Implemented/available")+(K2="Implemented/available")+(L2="Implemented/available")+(M2="Implemented/available")))</f>
        <v>1</v>
      </c>
    </row>
    <row r="3" spans="1:39" x14ac:dyDescent="0.25">
      <c r="A3" s="6" t="s">
        <v>305</v>
      </c>
      <c r="B3" s="6" t="s">
        <v>306</v>
      </c>
      <c r="C3" s="6" t="s">
        <v>307</v>
      </c>
      <c r="D3" s="6" t="s">
        <v>29</v>
      </c>
      <c r="E3" s="6" t="s">
        <v>29</v>
      </c>
      <c r="F3" s="6" t="s">
        <v>29</v>
      </c>
      <c r="G3" s="6" t="s">
        <v>308</v>
      </c>
      <c r="H3" s="6"/>
      <c r="I3" s="6" t="s">
        <v>32</v>
      </c>
      <c r="J3" s="6" t="s">
        <v>29</v>
      </c>
      <c r="K3" s="6" t="s">
        <v>29</v>
      </c>
      <c r="L3" s="6" t="s">
        <v>29</v>
      </c>
      <c r="M3" s="6" t="s">
        <v>29</v>
      </c>
      <c r="N3" s="6" t="s">
        <v>309</v>
      </c>
      <c r="O3" s="6" t="s">
        <v>310</v>
      </c>
      <c r="P3" s="6" t="s">
        <v>310</v>
      </c>
      <c r="Q3" s="6"/>
      <c r="R3" s="6" t="s">
        <v>311</v>
      </c>
      <c r="S3" s="6" t="s">
        <v>312</v>
      </c>
      <c r="T3" s="6" t="s">
        <v>313</v>
      </c>
      <c r="U3" s="6" t="s">
        <v>310</v>
      </c>
      <c r="V3" s="12">
        <f>IFERROR(IF(ISNUMBER(INDEX(Parameters!$B$5:$B$14,MATCH(D3,Parameters!$A$5:$A$14,0))),INDEX(Parameters!$B$5:$B$14,MATCH(D3,Parameters!$A$5:$A$14,0)),""),"")</f>
        <v>1</v>
      </c>
      <c r="W3" s="12">
        <f>IFERROR(IF(ISNUMBER(INDEX(Parameters!$B$5:$B$14,MATCH(E3,Parameters!$A$5:$A$14,0))),INDEX(Parameters!$B$5:$B$14,MATCH(E3,Parameters!$A$5:$A$14,0)),""),"")</f>
        <v>1</v>
      </c>
      <c r="X3" s="12">
        <f>IFERROR(IF(ISNUMBER(INDEX(Parameters!$B$5:$B$14,MATCH(F3,Parameters!$A$5:$A$14,0))),INDEX(Parameters!$B$5:$B$14,MATCH(F3,Parameters!$A$5:$A$14,0)),""),"")</f>
        <v>1</v>
      </c>
      <c r="Y3" s="12">
        <f>IF(G3&lt;&gt;"",1,IF(ISNUMBER(Parameters!$B$18),Parameters!$B$18,""))</f>
        <v>1</v>
      </c>
      <c r="Z3" s="12">
        <f>IF(I3&lt;&gt;"",IFERROR(IF(ISNUMBER(INDEX(Parameters!$B$5:$B$14,MATCH(I3,Parameters!$A$5:$A$14,0))),INDEX(Parameters!$B$5:$B$14,MATCH(I3,Parameters!$A$5:$A$14,0)),""),""),IF(ISNUMBER(Parameters!$B$21),Parameters!$B$21,""))</f>
        <v>1</v>
      </c>
      <c r="AA3" s="12">
        <f>IFERROR(IF(ISNUMBER(INDEX(Parameters!$B$5:$B$14,MATCH(J3,Parameters!$A$5:$A$14,0))),INDEX(Parameters!$B$5:$B$14,MATCH(J3,Parameters!$A$5:$A$14,0)),""),"")</f>
        <v>1</v>
      </c>
      <c r="AB3" s="12">
        <f>IFERROR(IF(ISNUMBER(INDEX(Parameters!$B$5:$B$14,MATCH(K3,Parameters!$A$5:$A$14,0))),INDEX(Parameters!$B$5:$B$14,MATCH(K3,Parameters!$A$5:$A$14,0)),""),"")</f>
        <v>1</v>
      </c>
      <c r="AC3" s="12">
        <f>IFERROR(IF(ISNUMBER(INDEX(Parameters!$B$5:$B$14,MATCH(L3,Parameters!$A$5:$A$14,0))),INDEX(Parameters!$B$5:$B$14,MATCH(L3,Parameters!$A$5:$A$14,0)),""),"")</f>
        <v>1</v>
      </c>
      <c r="AD3" s="12">
        <f>IFERROR(IF(ISNUMBER(INDEX(Parameters!$B$5:$B$14,MATCH(M3,Parameters!$A$5:$A$14,0))),INDEX(Parameters!$B$5:$B$14,MATCH(M3,Parameters!$A$5:$A$14,0)),""),"")</f>
        <v>1</v>
      </c>
      <c r="AE3" s="12">
        <f>IF(N3&lt;&gt;"",1,IF(ISNUMBER(Parameters!$B$19),Parameters!$B$19,""))</f>
        <v>1</v>
      </c>
      <c r="AF3" s="12">
        <f>IF((Parameters!$I$5*ISNUMBER(V3)+Parameters!$I$6*ISNUMBER(W3)+Parameters!$I$7*ISNUMBER(X3)+Parameters!$I$8*ISNUMBER(Y3))=0,"",(Parameters!$I$5*N(V3)+Parameters!$I$6*N(W3)+Parameters!$I$7*N(X3)+Parameters!$I$8*N(Y3))/(Parameters!$I$5*ISNUMBER(V3)+Parameters!$I$6*ISNUMBER(W3)+Parameters!$I$7*ISNUMBER(X3)+Parameters!$I$8*ISNUMBER(Y3)))</f>
        <v>1</v>
      </c>
      <c r="AG3" s="12">
        <f>IF((Parameters!$I$9*ISNUMBER(Z3))=0,"",(Parameters!$I$9*N(Z3))/(Parameters!$I$9*ISNUMBER(Z3)))</f>
        <v>1</v>
      </c>
      <c r="AH3" s="12">
        <f>IF((Parameters!$I$11*ISNUMBER(AA3)+Parameters!$I$12*ISNUMBER(AB3)+Parameters!$I$13*ISNUMBER(AC3)+Parameters!$I$14*ISNUMBER(AD3)+Parameters!$I$15*ISNUMBER(AE3))=0,"",(Parameters!$I$11*N(AA3)+Parameters!$I$12*N(AB3)+Parameters!$I$13*N(AC3)+Parameters!$I$14*N(AD3)+Parameters!$I$15*N(AE3))/(Parameters!$I$11*ISNUMBER(AA3)+Parameters!$I$12*ISNUMBER(AB3)+Parameters!$I$13*ISNUMBER(AC3)+Parameters!$I$14*ISNUMBER(AD3)+Parameters!$I$15*ISNUMBER(AE3)))</f>
        <v>1</v>
      </c>
      <c r="AI3" s="13">
        <f>Parameters!$I$5*ISNUMBER(V3)+Parameters!$I$6*ISNUMBER(W3)+Parameters!$I$7*ISNUMBER(X3)+Parameters!$I$8*ISNUMBER(Y3)+Parameters!$I$9*ISNUMBER(Z3)+Parameters!$I$11*ISNUMBER(AA3)+Parameters!$I$12*ISNUMBER(AB3)+Parameters!$I$13*ISNUMBER(AC3)+Parameters!$I$14*ISNUMBER(AD3)+Parameters!$I$15*ISNUMBER(AE3)</f>
        <v>95</v>
      </c>
      <c r="AJ3" s="14">
        <f>IF((Parameters!$I$5+Parameters!$I$6+Parameters!$I$7+Parameters!$I$8+Parameters!$I$9+Parameters!$I$11+Parameters!$I$12+Parameters!$I$13+Parameters!$I$14+Parameters!$I$15)=0,"",AI3/(Parameters!$I$5+Parameters!$I$6+Parameters!$I$7+Parameters!$I$8+Parameters!$I$9+Parameters!$I$11+Parameters!$I$12+Parameters!$I$13+Parameters!$I$14+Parameters!$I$15))</f>
        <v>1</v>
      </c>
      <c r="AK3" s="15">
        <f>IF(AND(ISNUMBER(AF3),ISNUMBER(AH3),OR(NOT((Parameters!$I$9)&gt;0),ISNUMBER(AG3)),AJ3&gt;=Parameters!$B$20),100*(Parameters!$F$18*N(AF3)+Parameters!$F$19*N(AG3)+Parameters!$F$20*N(AH3))/(Parameters!$F$18*ISNUMBER(AF3)+Parameters!$F$19*ISNUMBER(AG3)+Parameters!$F$20*ISNUMBER(AH3)),"")</f>
        <v>100</v>
      </c>
      <c r="AL3" s="16">
        <f>IF(ISNUMBER(AK3),RANK(AK3,$AK$2:$AK$113),"")</f>
        <v>1</v>
      </c>
      <c r="AM3" s="14">
        <f>IF(((D3="Implemented/available")+(E3="Implemented/available")+(J3="Implemented/available")+(K3="Implemented/available")+(L3="Implemented/available")+(M3="Implemented/available"))=0,"",(AND(D3="Implemented/available",O3&lt;&gt;"")+AND(E3="Implemented/available",P3&lt;&gt;"")+AND(J3="Implemented/available",Q3&lt;&gt;"")+AND(K3="Implemented/available",R3&lt;&gt;"")+AND(L3="Implemented/available",S3&lt;&gt;"")+AND(M3="Implemented/available",T3&lt;&gt;""))/((D3="Implemented/available")+(E3="Implemented/available")+(J3="Implemented/available")+(K3="Implemented/available")+(L3="Implemented/available")+(M3="Implemented/available")))</f>
        <v>0.83333333333333337</v>
      </c>
    </row>
    <row r="4" spans="1:39" x14ac:dyDescent="0.25">
      <c r="A4" s="6" t="s">
        <v>323</v>
      </c>
      <c r="B4" s="6" t="s">
        <v>324</v>
      </c>
      <c r="C4" s="6" t="s">
        <v>291</v>
      </c>
      <c r="D4" s="6" t="s">
        <v>29</v>
      </c>
      <c r="E4" s="6" t="s">
        <v>29</v>
      </c>
      <c r="F4" s="6" t="s">
        <v>29</v>
      </c>
      <c r="G4" s="6" t="s">
        <v>117</v>
      </c>
      <c r="H4" s="6"/>
      <c r="I4" s="6" t="s">
        <v>32</v>
      </c>
      <c r="J4" s="6" t="s">
        <v>29</v>
      </c>
      <c r="K4" s="6" t="s">
        <v>29</v>
      </c>
      <c r="L4" s="6" t="s">
        <v>29</v>
      </c>
      <c r="M4" s="6" t="s">
        <v>29</v>
      </c>
      <c r="N4" s="6" t="s">
        <v>124</v>
      </c>
      <c r="O4" s="6" t="s">
        <v>325</v>
      </c>
      <c r="P4" s="6" t="s">
        <v>326</v>
      </c>
      <c r="Q4" s="6" t="s">
        <v>327</v>
      </c>
      <c r="R4" s="6" t="s">
        <v>328</v>
      </c>
      <c r="S4" s="6" t="s">
        <v>329</v>
      </c>
      <c r="T4" s="6" t="s">
        <v>330</v>
      </c>
      <c r="U4" s="6" t="s">
        <v>331</v>
      </c>
      <c r="V4" s="12">
        <f>IFERROR(IF(ISNUMBER(INDEX(Parameters!$B$5:$B$14,MATCH(D4,Parameters!$A$5:$A$14,0))),INDEX(Parameters!$B$5:$B$14,MATCH(D4,Parameters!$A$5:$A$14,0)),""),"")</f>
        <v>1</v>
      </c>
      <c r="W4" s="12">
        <f>IFERROR(IF(ISNUMBER(INDEX(Parameters!$B$5:$B$14,MATCH(E4,Parameters!$A$5:$A$14,0))),INDEX(Parameters!$B$5:$B$14,MATCH(E4,Parameters!$A$5:$A$14,0)),""),"")</f>
        <v>1</v>
      </c>
      <c r="X4" s="12">
        <f>IFERROR(IF(ISNUMBER(INDEX(Parameters!$B$5:$B$14,MATCH(F4,Parameters!$A$5:$A$14,0))),INDEX(Parameters!$B$5:$B$14,MATCH(F4,Parameters!$A$5:$A$14,0)),""),"")</f>
        <v>1</v>
      </c>
      <c r="Y4" s="12">
        <f>IF(G4&lt;&gt;"",1,IF(ISNUMBER(Parameters!$B$18),Parameters!$B$18,""))</f>
        <v>1</v>
      </c>
      <c r="Z4" s="12">
        <f>IF(I4&lt;&gt;"",IFERROR(IF(ISNUMBER(INDEX(Parameters!$B$5:$B$14,MATCH(I4,Parameters!$A$5:$A$14,0))),INDEX(Parameters!$B$5:$B$14,MATCH(I4,Parameters!$A$5:$A$14,0)),""),""),IF(ISNUMBER(Parameters!$B$21),Parameters!$B$21,""))</f>
        <v>1</v>
      </c>
      <c r="AA4" s="12">
        <f>IFERROR(IF(ISNUMBER(INDEX(Parameters!$B$5:$B$14,MATCH(J4,Parameters!$A$5:$A$14,0))),INDEX(Parameters!$B$5:$B$14,MATCH(J4,Parameters!$A$5:$A$14,0)),""),"")</f>
        <v>1</v>
      </c>
      <c r="AB4" s="12">
        <f>IFERROR(IF(ISNUMBER(INDEX(Parameters!$B$5:$B$14,MATCH(K4,Parameters!$A$5:$A$14,0))),INDEX(Parameters!$B$5:$B$14,MATCH(K4,Parameters!$A$5:$A$14,0)),""),"")</f>
        <v>1</v>
      </c>
      <c r="AC4" s="12">
        <f>IFERROR(IF(ISNUMBER(INDEX(Parameters!$B$5:$B$14,MATCH(L4,Parameters!$A$5:$A$14,0))),INDEX(Parameters!$B$5:$B$14,MATCH(L4,Parameters!$A$5:$A$14,0)),""),"")</f>
        <v>1</v>
      </c>
      <c r="AD4" s="12">
        <f>IFERROR(IF(ISNUMBER(INDEX(Parameters!$B$5:$B$14,MATCH(M4,Parameters!$A$5:$A$14,0))),INDEX(Parameters!$B$5:$B$14,MATCH(M4,Parameters!$A$5:$A$14,0)),""),"")</f>
        <v>1</v>
      </c>
      <c r="AE4" s="12">
        <f>IF(N4&lt;&gt;"",1,IF(ISNUMBER(Parameters!$B$19),Parameters!$B$19,""))</f>
        <v>1</v>
      </c>
      <c r="AF4" s="12">
        <f>IF((Parameters!$I$5*ISNUMBER(V4)+Parameters!$I$6*ISNUMBER(W4)+Parameters!$I$7*ISNUMBER(X4)+Parameters!$I$8*ISNUMBER(Y4))=0,"",(Parameters!$I$5*N(V4)+Parameters!$I$6*N(W4)+Parameters!$I$7*N(X4)+Parameters!$I$8*N(Y4))/(Parameters!$I$5*ISNUMBER(V4)+Parameters!$I$6*ISNUMBER(W4)+Parameters!$I$7*ISNUMBER(X4)+Parameters!$I$8*ISNUMBER(Y4)))</f>
        <v>1</v>
      </c>
      <c r="AG4" s="12">
        <f>IF((Parameters!$I$9*ISNUMBER(Z4))=0,"",(Parameters!$I$9*N(Z4))/(Parameters!$I$9*ISNUMBER(Z4)))</f>
        <v>1</v>
      </c>
      <c r="AH4" s="12">
        <f>IF((Parameters!$I$11*ISNUMBER(AA4)+Parameters!$I$12*ISNUMBER(AB4)+Parameters!$I$13*ISNUMBER(AC4)+Parameters!$I$14*ISNUMBER(AD4)+Parameters!$I$15*ISNUMBER(AE4))=0,"",(Parameters!$I$11*N(AA4)+Parameters!$I$12*N(AB4)+Parameters!$I$13*N(AC4)+Parameters!$I$14*N(AD4)+Parameters!$I$15*N(AE4))/(Parameters!$I$11*ISNUMBER(AA4)+Parameters!$I$12*ISNUMBER(AB4)+Parameters!$I$13*ISNUMBER(AC4)+Parameters!$I$14*ISNUMBER(AD4)+Parameters!$I$15*ISNUMBER(AE4)))</f>
        <v>1</v>
      </c>
      <c r="AI4" s="13">
        <f>Parameters!$I$5*ISNUMBER(V4)+Parameters!$I$6*ISNUMBER(W4)+Parameters!$I$7*ISNUMBER(X4)+Parameters!$I$8*ISNUMBER(Y4)+Parameters!$I$9*ISNUMBER(Z4)+Parameters!$I$11*ISNUMBER(AA4)+Parameters!$I$12*ISNUMBER(AB4)+Parameters!$I$13*ISNUMBER(AC4)+Parameters!$I$14*ISNUMBER(AD4)+Parameters!$I$15*ISNUMBER(AE4)</f>
        <v>95</v>
      </c>
      <c r="AJ4" s="14">
        <f>IF((Parameters!$I$5+Parameters!$I$6+Parameters!$I$7+Parameters!$I$8+Parameters!$I$9+Parameters!$I$11+Parameters!$I$12+Parameters!$I$13+Parameters!$I$14+Parameters!$I$15)=0,"",AI4/(Parameters!$I$5+Parameters!$I$6+Parameters!$I$7+Parameters!$I$8+Parameters!$I$9+Parameters!$I$11+Parameters!$I$12+Parameters!$I$13+Parameters!$I$14+Parameters!$I$15))</f>
        <v>1</v>
      </c>
      <c r="AK4" s="15">
        <f>IF(AND(ISNUMBER(AF4),ISNUMBER(AH4),OR(NOT((Parameters!$I$9)&gt;0),ISNUMBER(AG4)),AJ4&gt;=Parameters!$B$20),100*(Parameters!$F$18*N(AF4)+Parameters!$F$19*N(AG4)+Parameters!$F$20*N(AH4))/(Parameters!$F$18*ISNUMBER(AF4)+Parameters!$F$19*ISNUMBER(AG4)+Parameters!$F$20*ISNUMBER(AH4)),"")</f>
        <v>100</v>
      </c>
      <c r="AL4" s="16">
        <f>IF(ISNUMBER(AK4),RANK(AK4,$AK$2:$AK$113),"")</f>
        <v>1</v>
      </c>
      <c r="AM4" s="14">
        <f>IF(((D4="Implemented/available")+(E4="Implemented/available")+(J4="Implemented/available")+(K4="Implemented/available")+(L4="Implemented/available")+(M4="Implemented/available"))=0,"",(AND(D4="Implemented/available",O4&lt;&gt;"")+AND(E4="Implemented/available",P4&lt;&gt;"")+AND(J4="Implemented/available",Q4&lt;&gt;"")+AND(K4="Implemented/available",R4&lt;&gt;"")+AND(L4="Implemented/available",S4&lt;&gt;"")+AND(M4="Implemented/available",T4&lt;&gt;""))/((D4="Implemented/available")+(E4="Implemented/available")+(J4="Implemented/available")+(K4="Implemented/available")+(L4="Implemented/available")+(M4="Implemented/available")))</f>
        <v>1</v>
      </c>
    </row>
    <row r="5" spans="1:39" x14ac:dyDescent="0.25">
      <c r="A5" s="6" t="s">
        <v>670</v>
      </c>
      <c r="B5" s="6" t="s">
        <v>671</v>
      </c>
      <c r="C5" s="6" t="s">
        <v>235</v>
      </c>
      <c r="D5" s="6" t="s">
        <v>29</v>
      </c>
      <c r="E5" s="6" t="s">
        <v>29</v>
      </c>
      <c r="F5" s="6" t="s">
        <v>29</v>
      </c>
      <c r="G5" s="6" t="s">
        <v>117</v>
      </c>
      <c r="H5" s="6"/>
      <c r="I5" s="6" t="s">
        <v>32</v>
      </c>
      <c r="J5" s="6" t="s">
        <v>29</v>
      </c>
      <c r="K5" s="6" t="s">
        <v>34</v>
      </c>
      <c r="L5" s="6" t="s">
        <v>29</v>
      </c>
      <c r="M5" s="6" t="s">
        <v>29</v>
      </c>
      <c r="N5" s="6" t="s">
        <v>124</v>
      </c>
      <c r="O5" s="6" t="s">
        <v>672</v>
      </c>
      <c r="P5" s="6" t="s">
        <v>673</v>
      </c>
      <c r="Q5" s="6" t="s">
        <v>674</v>
      </c>
      <c r="R5" s="6"/>
      <c r="S5" s="6" t="s">
        <v>675</v>
      </c>
      <c r="T5" s="6" t="s">
        <v>676</v>
      </c>
      <c r="U5" s="6" t="s">
        <v>672</v>
      </c>
      <c r="V5" s="12">
        <f>IFERROR(IF(ISNUMBER(INDEX(Parameters!$B$5:$B$14,MATCH(D5,Parameters!$A$5:$A$14,0))),INDEX(Parameters!$B$5:$B$14,MATCH(D5,Parameters!$A$5:$A$14,0)),""),"")</f>
        <v>1</v>
      </c>
      <c r="W5" s="12">
        <f>IFERROR(IF(ISNUMBER(INDEX(Parameters!$B$5:$B$14,MATCH(E5,Parameters!$A$5:$A$14,0))),INDEX(Parameters!$B$5:$B$14,MATCH(E5,Parameters!$A$5:$A$14,0)),""),"")</f>
        <v>1</v>
      </c>
      <c r="X5" s="12">
        <f>IFERROR(IF(ISNUMBER(INDEX(Parameters!$B$5:$B$14,MATCH(F5,Parameters!$A$5:$A$14,0))),INDEX(Parameters!$B$5:$B$14,MATCH(F5,Parameters!$A$5:$A$14,0)),""),"")</f>
        <v>1</v>
      </c>
      <c r="Y5" s="12">
        <f>IF(G5&lt;&gt;"",1,IF(ISNUMBER(Parameters!$B$18),Parameters!$B$18,""))</f>
        <v>1</v>
      </c>
      <c r="Z5" s="12">
        <f>IF(I5&lt;&gt;"",IFERROR(IF(ISNUMBER(INDEX(Parameters!$B$5:$B$14,MATCH(I5,Parameters!$A$5:$A$14,0))),INDEX(Parameters!$B$5:$B$14,MATCH(I5,Parameters!$A$5:$A$14,0)),""),""),IF(ISNUMBER(Parameters!$B$21),Parameters!$B$21,""))</f>
        <v>1</v>
      </c>
      <c r="AA5" s="12">
        <f>IFERROR(IF(ISNUMBER(INDEX(Parameters!$B$5:$B$14,MATCH(J5,Parameters!$A$5:$A$14,0))),INDEX(Parameters!$B$5:$B$14,MATCH(J5,Parameters!$A$5:$A$14,0)),""),"")</f>
        <v>1</v>
      </c>
      <c r="AB5" s="12">
        <f>IFERROR(IF(ISNUMBER(INDEX(Parameters!$B$5:$B$14,MATCH(K5,Parameters!$A$5:$A$14,0))),INDEX(Parameters!$B$5:$B$14,MATCH(K5,Parameters!$A$5:$A$14,0)),""),"")</f>
        <v>1</v>
      </c>
      <c r="AC5" s="12">
        <f>IFERROR(IF(ISNUMBER(INDEX(Parameters!$B$5:$B$14,MATCH(L5,Parameters!$A$5:$A$14,0))),INDEX(Parameters!$B$5:$B$14,MATCH(L5,Parameters!$A$5:$A$14,0)),""),"")</f>
        <v>1</v>
      </c>
      <c r="AD5" s="12">
        <f>IFERROR(IF(ISNUMBER(INDEX(Parameters!$B$5:$B$14,MATCH(M5,Parameters!$A$5:$A$14,0))),INDEX(Parameters!$B$5:$B$14,MATCH(M5,Parameters!$A$5:$A$14,0)),""),"")</f>
        <v>1</v>
      </c>
      <c r="AE5" s="12">
        <f>IF(N5&lt;&gt;"",1,IF(ISNUMBER(Parameters!$B$19),Parameters!$B$19,""))</f>
        <v>1</v>
      </c>
      <c r="AF5" s="12">
        <f>IF((Parameters!$I$5*ISNUMBER(V5)+Parameters!$I$6*ISNUMBER(W5)+Parameters!$I$7*ISNUMBER(X5)+Parameters!$I$8*ISNUMBER(Y5))=0,"",(Parameters!$I$5*N(V5)+Parameters!$I$6*N(W5)+Parameters!$I$7*N(X5)+Parameters!$I$8*N(Y5))/(Parameters!$I$5*ISNUMBER(V5)+Parameters!$I$6*ISNUMBER(W5)+Parameters!$I$7*ISNUMBER(X5)+Parameters!$I$8*ISNUMBER(Y5)))</f>
        <v>1</v>
      </c>
      <c r="AG5" s="12">
        <f>IF((Parameters!$I$9*ISNUMBER(Z5))=0,"",(Parameters!$I$9*N(Z5))/(Parameters!$I$9*ISNUMBER(Z5)))</f>
        <v>1</v>
      </c>
      <c r="AH5" s="12">
        <f>IF((Parameters!$I$11*ISNUMBER(AA5)+Parameters!$I$12*ISNUMBER(AB5)+Parameters!$I$13*ISNUMBER(AC5)+Parameters!$I$14*ISNUMBER(AD5)+Parameters!$I$15*ISNUMBER(AE5))=0,"",(Parameters!$I$11*N(AA5)+Parameters!$I$12*N(AB5)+Parameters!$I$13*N(AC5)+Parameters!$I$14*N(AD5)+Parameters!$I$15*N(AE5))/(Parameters!$I$11*ISNUMBER(AA5)+Parameters!$I$12*ISNUMBER(AB5)+Parameters!$I$13*ISNUMBER(AC5)+Parameters!$I$14*ISNUMBER(AD5)+Parameters!$I$15*ISNUMBER(AE5)))</f>
        <v>1</v>
      </c>
      <c r="AI5" s="13">
        <f>Parameters!$I$5*ISNUMBER(V5)+Parameters!$I$6*ISNUMBER(W5)+Parameters!$I$7*ISNUMBER(X5)+Parameters!$I$8*ISNUMBER(Y5)+Parameters!$I$9*ISNUMBER(Z5)+Parameters!$I$11*ISNUMBER(AA5)+Parameters!$I$12*ISNUMBER(AB5)+Parameters!$I$13*ISNUMBER(AC5)+Parameters!$I$14*ISNUMBER(AD5)+Parameters!$I$15*ISNUMBER(AE5)</f>
        <v>95</v>
      </c>
      <c r="AJ5" s="14">
        <f>IF((Parameters!$I$5+Parameters!$I$6+Parameters!$I$7+Parameters!$I$8+Parameters!$I$9+Parameters!$I$11+Parameters!$I$12+Parameters!$I$13+Parameters!$I$14+Parameters!$I$15)=0,"",AI5/(Parameters!$I$5+Parameters!$I$6+Parameters!$I$7+Parameters!$I$8+Parameters!$I$9+Parameters!$I$11+Parameters!$I$12+Parameters!$I$13+Parameters!$I$14+Parameters!$I$15))</f>
        <v>1</v>
      </c>
      <c r="AK5" s="15">
        <f>IF(AND(ISNUMBER(AF5),ISNUMBER(AH5),OR(NOT((Parameters!$I$9)&gt;0),ISNUMBER(AG5)),AJ5&gt;=Parameters!$B$20),100*(Parameters!$F$18*N(AF5)+Parameters!$F$19*N(AG5)+Parameters!$F$20*N(AH5))/(Parameters!$F$18*ISNUMBER(AF5)+Parameters!$F$19*ISNUMBER(AG5)+Parameters!$F$20*ISNUMBER(AH5)),"")</f>
        <v>100</v>
      </c>
      <c r="AL5" s="16">
        <f>IF(ISNUMBER(AK5),RANK(AK5,$AK$2:$AK$113),"")</f>
        <v>1</v>
      </c>
      <c r="AM5" s="14">
        <f>IF(((D5="Implemented/available")+(E5="Implemented/available")+(J5="Implemented/available")+(K5="Implemented/available")+(L5="Implemented/available")+(M5="Implemented/available"))=0,"",(AND(D5="Implemented/available",O5&lt;&gt;"")+AND(E5="Implemented/available",P5&lt;&gt;"")+AND(J5="Implemented/available",Q5&lt;&gt;"")+AND(K5="Implemented/available",R5&lt;&gt;"")+AND(L5="Implemented/available",S5&lt;&gt;"")+AND(M5="Implemented/available",T5&lt;&gt;""))/((D5="Implemented/available")+(E5="Implemented/available")+(J5="Implemented/available")+(K5="Implemented/available")+(L5="Implemented/available")+(M5="Implemented/available")))</f>
        <v>1</v>
      </c>
    </row>
    <row r="6" spans="1:39" x14ac:dyDescent="0.25">
      <c r="A6" s="6" t="s">
        <v>240</v>
      </c>
      <c r="B6" s="6" t="s">
        <v>241</v>
      </c>
      <c r="C6" s="6" t="s">
        <v>151</v>
      </c>
      <c r="D6" s="6" t="s">
        <v>29</v>
      </c>
      <c r="E6" s="6" t="s">
        <v>29</v>
      </c>
      <c r="F6" s="6" t="s">
        <v>29</v>
      </c>
      <c r="G6" s="6" t="s">
        <v>123</v>
      </c>
      <c r="H6" s="6"/>
      <c r="I6" s="6" t="s">
        <v>32</v>
      </c>
      <c r="J6" s="6" t="s">
        <v>29</v>
      </c>
      <c r="K6" s="6" t="s">
        <v>29</v>
      </c>
      <c r="L6" s="6" t="s">
        <v>38</v>
      </c>
      <c r="M6" s="6" t="s">
        <v>29</v>
      </c>
      <c r="N6" s="6" t="s">
        <v>242</v>
      </c>
      <c r="O6" s="6" t="s">
        <v>243</v>
      </c>
      <c r="P6" s="6" t="s">
        <v>244</v>
      </c>
      <c r="Q6" s="6" t="s">
        <v>245</v>
      </c>
      <c r="R6" s="6" t="s">
        <v>246</v>
      </c>
      <c r="S6" s="6"/>
      <c r="T6" s="6" t="s">
        <v>247</v>
      </c>
      <c r="U6" s="6" t="s">
        <v>248</v>
      </c>
      <c r="V6" s="12">
        <f>IFERROR(IF(ISNUMBER(INDEX(Parameters!$B$5:$B$14,MATCH(D6,Parameters!$A$5:$A$14,0))),INDEX(Parameters!$B$5:$B$14,MATCH(D6,Parameters!$A$5:$A$14,0)),""),"")</f>
        <v>1</v>
      </c>
      <c r="W6" s="12">
        <f>IFERROR(IF(ISNUMBER(INDEX(Parameters!$B$5:$B$14,MATCH(E6,Parameters!$A$5:$A$14,0))),INDEX(Parameters!$B$5:$B$14,MATCH(E6,Parameters!$A$5:$A$14,0)),""),"")</f>
        <v>1</v>
      </c>
      <c r="X6" s="12">
        <f>IFERROR(IF(ISNUMBER(INDEX(Parameters!$B$5:$B$14,MATCH(F6,Parameters!$A$5:$A$14,0))),INDEX(Parameters!$B$5:$B$14,MATCH(F6,Parameters!$A$5:$A$14,0)),""),"")</f>
        <v>1</v>
      </c>
      <c r="Y6" s="12">
        <f>IF(G6&lt;&gt;"",1,IF(ISNUMBER(Parameters!$B$18),Parameters!$B$18,""))</f>
        <v>1</v>
      </c>
      <c r="Z6" s="12">
        <f>IF(I6&lt;&gt;"",IFERROR(IF(ISNUMBER(INDEX(Parameters!$B$5:$B$14,MATCH(I6,Parameters!$A$5:$A$14,0))),INDEX(Parameters!$B$5:$B$14,MATCH(I6,Parameters!$A$5:$A$14,0)),""),""),IF(ISNUMBER(Parameters!$B$21),Parameters!$B$21,""))</f>
        <v>1</v>
      </c>
      <c r="AA6" s="12">
        <f>IFERROR(IF(ISNUMBER(INDEX(Parameters!$B$5:$B$14,MATCH(J6,Parameters!$A$5:$A$14,0))),INDEX(Parameters!$B$5:$B$14,MATCH(J6,Parameters!$A$5:$A$14,0)),""),"")</f>
        <v>1</v>
      </c>
      <c r="AB6" s="12">
        <f>IFERROR(IF(ISNUMBER(INDEX(Parameters!$B$5:$B$14,MATCH(K6,Parameters!$A$5:$A$14,0))),INDEX(Parameters!$B$5:$B$14,MATCH(K6,Parameters!$A$5:$A$14,0)),""),"")</f>
        <v>1</v>
      </c>
      <c r="AC6" s="12">
        <f>IFERROR(IF(ISNUMBER(INDEX(Parameters!$B$5:$B$14,MATCH(L6,Parameters!$A$5:$A$14,0))),INDEX(Parameters!$B$5:$B$14,MATCH(L6,Parameters!$A$5:$A$14,0)),""),"")</f>
        <v>0.67</v>
      </c>
      <c r="AD6" s="12">
        <f>IFERROR(IF(ISNUMBER(INDEX(Parameters!$B$5:$B$14,MATCH(M6,Parameters!$A$5:$A$14,0))),INDEX(Parameters!$B$5:$B$14,MATCH(M6,Parameters!$A$5:$A$14,0)),""),"")</f>
        <v>1</v>
      </c>
      <c r="AE6" s="12">
        <f>IF(N6&lt;&gt;"",1,IF(ISNUMBER(Parameters!$B$19),Parameters!$B$19,""))</f>
        <v>1</v>
      </c>
      <c r="AF6" s="12">
        <f>IF((Parameters!$I$5*ISNUMBER(V6)+Parameters!$I$6*ISNUMBER(W6)+Parameters!$I$7*ISNUMBER(X6)+Parameters!$I$8*ISNUMBER(Y6))=0,"",(Parameters!$I$5*N(V6)+Parameters!$I$6*N(W6)+Parameters!$I$7*N(X6)+Parameters!$I$8*N(Y6))/(Parameters!$I$5*ISNUMBER(V6)+Parameters!$I$6*ISNUMBER(W6)+Parameters!$I$7*ISNUMBER(X6)+Parameters!$I$8*ISNUMBER(Y6)))</f>
        <v>1</v>
      </c>
      <c r="AG6" s="12">
        <f>IF((Parameters!$I$9*ISNUMBER(Z6))=0,"",(Parameters!$I$9*N(Z6))/(Parameters!$I$9*ISNUMBER(Z6)))</f>
        <v>1</v>
      </c>
      <c r="AH6" s="12">
        <f>IF((Parameters!$I$11*ISNUMBER(AA6)+Parameters!$I$12*ISNUMBER(AB6)+Parameters!$I$13*ISNUMBER(AC6)+Parameters!$I$14*ISNUMBER(AD6)+Parameters!$I$15*ISNUMBER(AE6))=0,"",(Parameters!$I$11*N(AA6)+Parameters!$I$12*N(AB6)+Parameters!$I$13*N(AC6)+Parameters!$I$14*N(AD6)+Parameters!$I$15*N(AE6))/(Parameters!$I$11*ISNUMBER(AA6)+Parameters!$I$12*ISNUMBER(AB6)+Parameters!$I$13*ISNUMBER(AC6)+Parameters!$I$14*ISNUMBER(AD6)+Parameters!$I$15*ISNUMBER(AE6)))</f>
        <v>0.93399999999999994</v>
      </c>
      <c r="AI6" s="13">
        <f>Parameters!$I$5*ISNUMBER(V6)+Parameters!$I$6*ISNUMBER(W6)+Parameters!$I$7*ISNUMBER(X6)+Parameters!$I$8*ISNUMBER(Y6)+Parameters!$I$9*ISNUMBER(Z6)+Parameters!$I$11*ISNUMBER(AA6)+Parameters!$I$12*ISNUMBER(AB6)+Parameters!$I$13*ISNUMBER(AC6)+Parameters!$I$14*ISNUMBER(AD6)+Parameters!$I$15*ISNUMBER(AE6)</f>
        <v>95</v>
      </c>
      <c r="AJ6" s="14">
        <f>IF((Parameters!$I$5+Parameters!$I$6+Parameters!$I$7+Parameters!$I$8+Parameters!$I$9+Parameters!$I$11+Parameters!$I$12+Parameters!$I$13+Parameters!$I$14+Parameters!$I$15)=0,"",AI6/(Parameters!$I$5+Parameters!$I$6+Parameters!$I$7+Parameters!$I$8+Parameters!$I$9+Parameters!$I$11+Parameters!$I$12+Parameters!$I$13+Parameters!$I$14+Parameters!$I$15))</f>
        <v>1</v>
      </c>
      <c r="AK6" s="15">
        <f>IF(AND(ISNUMBER(AF6),ISNUMBER(AH6),OR(NOT((Parameters!$I$9)&gt;0),ISNUMBER(AG6)),AJ6&gt;=Parameters!$B$20),100*(Parameters!$F$18*N(AF6)+Parameters!$F$19*N(AG6)+Parameters!$F$20*N(AH6))/(Parameters!$F$18*ISNUMBER(AF6)+Parameters!$F$19*ISNUMBER(AG6)+Parameters!$F$20*ISNUMBER(AH6)),"")</f>
        <v>97.69</v>
      </c>
      <c r="AL6" s="16">
        <f>IF(ISNUMBER(AK6),RANK(AK6,$AK$2:$AK$113),"")</f>
        <v>5</v>
      </c>
      <c r="AM6" s="14">
        <f>IF(((D6="Implemented/available")+(E6="Implemented/available")+(J6="Implemented/available")+(K6="Implemented/available")+(L6="Implemented/available")+(M6="Implemented/available"))=0,"",(AND(D6="Implemented/available",O6&lt;&gt;"")+AND(E6="Implemented/available",P6&lt;&gt;"")+AND(J6="Implemented/available",Q6&lt;&gt;"")+AND(K6="Implemented/available",R6&lt;&gt;"")+AND(L6="Implemented/available",S6&lt;&gt;"")+AND(M6="Implemented/available",T6&lt;&gt;""))/((D6="Implemented/available")+(E6="Implemented/available")+(J6="Implemented/available")+(K6="Implemented/available")+(L6="Implemented/available")+(M6="Implemented/available")))</f>
        <v>1</v>
      </c>
    </row>
    <row r="7" spans="1:39" x14ac:dyDescent="0.25">
      <c r="A7" s="6" t="s">
        <v>254</v>
      </c>
      <c r="B7" s="6" t="s">
        <v>255</v>
      </c>
      <c r="C7" s="6" t="s">
        <v>256</v>
      </c>
      <c r="D7" s="6" t="s">
        <v>29</v>
      </c>
      <c r="E7" s="6" t="s">
        <v>29</v>
      </c>
      <c r="F7" s="6" t="s">
        <v>29</v>
      </c>
      <c r="G7" s="6" t="s">
        <v>123</v>
      </c>
      <c r="H7" s="6"/>
      <c r="I7" s="6" t="s">
        <v>32</v>
      </c>
      <c r="J7" s="6" t="s">
        <v>38</v>
      </c>
      <c r="K7" s="6" t="s">
        <v>29</v>
      </c>
      <c r="L7" s="6" t="s">
        <v>29</v>
      </c>
      <c r="M7" s="6" t="s">
        <v>29</v>
      </c>
      <c r="N7" s="6" t="s">
        <v>242</v>
      </c>
      <c r="O7" s="6" t="s">
        <v>257</v>
      </c>
      <c r="P7" s="6" t="s">
        <v>257</v>
      </c>
      <c r="Q7" s="6"/>
      <c r="R7" s="6" t="s">
        <v>258</v>
      </c>
      <c r="S7" s="6" t="s">
        <v>259</v>
      </c>
      <c r="T7" s="6" t="s">
        <v>260</v>
      </c>
      <c r="U7" s="6" t="s">
        <v>261</v>
      </c>
      <c r="V7" s="12">
        <f>IFERROR(IF(ISNUMBER(INDEX(Parameters!$B$5:$B$14,MATCH(D7,Parameters!$A$5:$A$14,0))),INDEX(Parameters!$B$5:$B$14,MATCH(D7,Parameters!$A$5:$A$14,0)),""),"")</f>
        <v>1</v>
      </c>
      <c r="W7" s="12">
        <f>IFERROR(IF(ISNUMBER(INDEX(Parameters!$B$5:$B$14,MATCH(E7,Parameters!$A$5:$A$14,0))),INDEX(Parameters!$B$5:$B$14,MATCH(E7,Parameters!$A$5:$A$14,0)),""),"")</f>
        <v>1</v>
      </c>
      <c r="X7" s="12">
        <f>IFERROR(IF(ISNUMBER(INDEX(Parameters!$B$5:$B$14,MATCH(F7,Parameters!$A$5:$A$14,0))),INDEX(Parameters!$B$5:$B$14,MATCH(F7,Parameters!$A$5:$A$14,0)),""),"")</f>
        <v>1</v>
      </c>
      <c r="Y7" s="12">
        <f>IF(G7&lt;&gt;"",1,IF(ISNUMBER(Parameters!$B$18),Parameters!$B$18,""))</f>
        <v>1</v>
      </c>
      <c r="Z7" s="12">
        <f>IF(I7&lt;&gt;"",IFERROR(IF(ISNUMBER(INDEX(Parameters!$B$5:$B$14,MATCH(I7,Parameters!$A$5:$A$14,0))),INDEX(Parameters!$B$5:$B$14,MATCH(I7,Parameters!$A$5:$A$14,0)),""),""),IF(ISNUMBER(Parameters!$B$21),Parameters!$B$21,""))</f>
        <v>1</v>
      </c>
      <c r="AA7" s="12">
        <f>IFERROR(IF(ISNUMBER(INDEX(Parameters!$B$5:$B$14,MATCH(J7,Parameters!$A$5:$A$14,0))),INDEX(Parameters!$B$5:$B$14,MATCH(J7,Parameters!$A$5:$A$14,0)),""),"")</f>
        <v>0.67</v>
      </c>
      <c r="AB7" s="12">
        <f>IFERROR(IF(ISNUMBER(INDEX(Parameters!$B$5:$B$14,MATCH(K7,Parameters!$A$5:$A$14,0))),INDEX(Parameters!$B$5:$B$14,MATCH(K7,Parameters!$A$5:$A$14,0)),""),"")</f>
        <v>1</v>
      </c>
      <c r="AC7" s="12">
        <f>IFERROR(IF(ISNUMBER(INDEX(Parameters!$B$5:$B$14,MATCH(L7,Parameters!$A$5:$A$14,0))),INDEX(Parameters!$B$5:$B$14,MATCH(L7,Parameters!$A$5:$A$14,0)),""),"")</f>
        <v>1</v>
      </c>
      <c r="AD7" s="12">
        <f>IFERROR(IF(ISNUMBER(INDEX(Parameters!$B$5:$B$14,MATCH(M7,Parameters!$A$5:$A$14,0))),INDEX(Parameters!$B$5:$B$14,MATCH(M7,Parameters!$A$5:$A$14,0)),""),"")</f>
        <v>1</v>
      </c>
      <c r="AE7" s="12">
        <f>IF(N7&lt;&gt;"",1,IF(ISNUMBER(Parameters!$B$19),Parameters!$B$19,""))</f>
        <v>1</v>
      </c>
      <c r="AF7" s="12">
        <f>IF((Parameters!$I$5*ISNUMBER(V7)+Parameters!$I$6*ISNUMBER(W7)+Parameters!$I$7*ISNUMBER(X7)+Parameters!$I$8*ISNUMBER(Y7))=0,"",(Parameters!$I$5*N(V7)+Parameters!$I$6*N(W7)+Parameters!$I$7*N(X7)+Parameters!$I$8*N(Y7))/(Parameters!$I$5*ISNUMBER(V7)+Parameters!$I$6*ISNUMBER(W7)+Parameters!$I$7*ISNUMBER(X7)+Parameters!$I$8*ISNUMBER(Y7)))</f>
        <v>1</v>
      </c>
      <c r="AG7" s="12">
        <f>IF((Parameters!$I$9*ISNUMBER(Z7))=0,"",(Parameters!$I$9*N(Z7))/(Parameters!$I$9*ISNUMBER(Z7)))</f>
        <v>1</v>
      </c>
      <c r="AH7" s="12">
        <f>IF((Parameters!$I$11*ISNUMBER(AA7)+Parameters!$I$12*ISNUMBER(AB7)+Parameters!$I$13*ISNUMBER(AC7)+Parameters!$I$14*ISNUMBER(AD7)+Parameters!$I$15*ISNUMBER(AE7))=0,"",(Parameters!$I$11*N(AA7)+Parameters!$I$12*N(AB7)+Parameters!$I$13*N(AC7)+Parameters!$I$14*N(AD7)+Parameters!$I$15*N(AE7))/(Parameters!$I$11*ISNUMBER(AA7)+Parameters!$I$12*ISNUMBER(AB7)+Parameters!$I$13*ISNUMBER(AC7)+Parameters!$I$14*ISNUMBER(AD7)+Parameters!$I$15*ISNUMBER(AE7)))</f>
        <v>0.93399999999999994</v>
      </c>
      <c r="AI7" s="13">
        <f>Parameters!$I$5*ISNUMBER(V7)+Parameters!$I$6*ISNUMBER(W7)+Parameters!$I$7*ISNUMBER(X7)+Parameters!$I$8*ISNUMBER(Y7)+Parameters!$I$9*ISNUMBER(Z7)+Parameters!$I$11*ISNUMBER(AA7)+Parameters!$I$12*ISNUMBER(AB7)+Parameters!$I$13*ISNUMBER(AC7)+Parameters!$I$14*ISNUMBER(AD7)+Parameters!$I$15*ISNUMBER(AE7)</f>
        <v>95</v>
      </c>
      <c r="AJ7" s="14">
        <f>IF((Parameters!$I$5+Parameters!$I$6+Parameters!$I$7+Parameters!$I$8+Parameters!$I$9+Parameters!$I$11+Parameters!$I$12+Parameters!$I$13+Parameters!$I$14+Parameters!$I$15)=0,"",AI7/(Parameters!$I$5+Parameters!$I$6+Parameters!$I$7+Parameters!$I$8+Parameters!$I$9+Parameters!$I$11+Parameters!$I$12+Parameters!$I$13+Parameters!$I$14+Parameters!$I$15))</f>
        <v>1</v>
      </c>
      <c r="AK7" s="15">
        <f>IF(AND(ISNUMBER(AF7),ISNUMBER(AH7),OR(NOT((Parameters!$I$9)&gt;0),ISNUMBER(AG7)),AJ7&gt;=Parameters!$B$20),100*(Parameters!$F$18*N(AF7)+Parameters!$F$19*N(AG7)+Parameters!$F$20*N(AH7))/(Parameters!$F$18*ISNUMBER(AF7)+Parameters!$F$19*ISNUMBER(AG7)+Parameters!$F$20*ISNUMBER(AH7)),"")</f>
        <v>97.69</v>
      </c>
      <c r="AL7" s="16">
        <f>IF(ISNUMBER(AK7),RANK(AK7,$AK$2:$AK$113),"")</f>
        <v>5</v>
      </c>
      <c r="AM7" s="14">
        <f>IF(((D7="Implemented/available")+(E7="Implemented/available")+(J7="Implemented/available")+(K7="Implemented/available")+(L7="Implemented/available")+(M7="Implemented/available"))=0,"",(AND(D7="Implemented/available",O7&lt;&gt;"")+AND(E7="Implemented/available",P7&lt;&gt;"")+AND(J7="Implemented/available",Q7&lt;&gt;"")+AND(K7="Implemented/available",R7&lt;&gt;"")+AND(L7="Implemented/available",S7&lt;&gt;"")+AND(M7="Implemented/available",T7&lt;&gt;""))/((D7="Implemented/available")+(E7="Implemented/available")+(J7="Implemented/available")+(K7="Implemented/available")+(L7="Implemented/available")+(M7="Implemented/available")))</f>
        <v>1</v>
      </c>
    </row>
    <row r="8" spans="1:39" x14ac:dyDescent="0.25">
      <c r="A8" s="6" t="s">
        <v>564</v>
      </c>
      <c r="B8" s="6" t="s">
        <v>523</v>
      </c>
      <c r="C8" s="6" t="s">
        <v>122</v>
      </c>
      <c r="D8" s="6" t="s">
        <v>29</v>
      </c>
      <c r="E8" s="6" t="s">
        <v>29</v>
      </c>
      <c r="F8" s="6" t="s">
        <v>29</v>
      </c>
      <c r="G8" s="6" t="s">
        <v>123</v>
      </c>
      <c r="H8" s="6"/>
      <c r="I8" s="6" t="s">
        <v>32</v>
      </c>
      <c r="J8" s="6" t="s">
        <v>29</v>
      </c>
      <c r="K8" s="6" t="s">
        <v>34</v>
      </c>
      <c r="L8" s="6" t="s">
        <v>38</v>
      </c>
      <c r="M8" s="6" t="s">
        <v>29</v>
      </c>
      <c r="N8" s="6" t="s">
        <v>242</v>
      </c>
      <c r="O8" s="6" t="s">
        <v>524</v>
      </c>
      <c r="P8" s="6" t="s">
        <v>525</v>
      </c>
      <c r="Q8" s="6" t="s">
        <v>526</v>
      </c>
      <c r="R8" s="6"/>
      <c r="S8" s="6"/>
      <c r="T8" s="6" t="s">
        <v>529</v>
      </c>
      <c r="U8" s="6" t="s">
        <v>530</v>
      </c>
      <c r="V8" s="12">
        <f>IFERROR(IF(ISNUMBER(INDEX(Parameters!$B$5:$B$14,MATCH(D8,Parameters!$A$5:$A$14,0))),INDEX(Parameters!$B$5:$B$14,MATCH(D8,Parameters!$A$5:$A$14,0)),""),"")</f>
        <v>1</v>
      </c>
      <c r="W8" s="12">
        <f>IFERROR(IF(ISNUMBER(INDEX(Parameters!$B$5:$B$14,MATCH(E8,Parameters!$A$5:$A$14,0))),INDEX(Parameters!$B$5:$B$14,MATCH(E8,Parameters!$A$5:$A$14,0)),""),"")</f>
        <v>1</v>
      </c>
      <c r="X8" s="12">
        <f>IFERROR(IF(ISNUMBER(INDEX(Parameters!$B$5:$B$14,MATCH(F8,Parameters!$A$5:$A$14,0))),INDEX(Parameters!$B$5:$B$14,MATCH(F8,Parameters!$A$5:$A$14,0)),""),"")</f>
        <v>1</v>
      </c>
      <c r="Y8" s="12">
        <f>IF(G8&lt;&gt;"",1,IF(ISNUMBER(Parameters!$B$18),Parameters!$B$18,""))</f>
        <v>1</v>
      </c>
      <c r="Z8" s="12">
        <f>IF(I8&lt;&gt;"",IFERROR(IF(ISNUMBER(INDEX(Parameters!$B$5:$B$14,MATCH(I8,Parameters!$A$5:$A$14,0))),INDEX(Parameters!$B$5:$B$14,MATCH(I8,Parameters!$A$5:$A$14,0)),""),""),IF(ISNUMBER(Parameters!$B$21),Parameters!$B$21,""))</f>
        <v>1</v>
      </c>
      <c r="AA8" s="12">
        <f>IFERROR(IF(ISNUMBER(INDEX(Parameters!$B$5:$B$14,MATCH(J8,Parameters!$A$5:$A$14,0))),INDEX(Parameters!$B$5:$B$14,MATCH(J8,Parameters!$A$5:$A$14,0)),""),"")</f>
        <v>1</v>
      </c>
      <c r="AB8" s="12">
        <f>IFERROR(IF(ISNUMBER(INDEX(Parameters!$B$5:$B$14,MATCH(K8,Parameters!$A$5:$A$14,0))),INDEX(Parameters!$B$5:$B$14,MATCH(K8,Parameters!$A$5:$A$14,0)),""),"")</f>
        <v>1</v>
      </c>
      <c r="AC8" s="12">
        <f>IFERROR(IF(ISNUMBER(INDEX(Parameters!$B$5:$B$14,MATCH(L8,Parameters!$A$5:$A$14,0))),INDEX(Parameters!$B$5:$B$14,MATCH(L8,Parameters!$A$5:$A$14,0)),""),"")</f>
        <v>0.67</v>
      </c>
      <c r="AD8" s="12">
        <f>IFERROR(IF(ISNUMBER(INDEX(Parameters!$B$5:$B$14,MATCH(M8,Parameters!$A$5:$A$14,0))),INDEX(Parameters!$B$5:$B$14,MATCH(M8,Parameters!$A$5:$A$14,0)),""),"")</f>
        <v>1</v>
      </c>
      <c r="AE8" s="12">
        <f>IF(N8&lt;&gt;"",1,IF(ISNUMBER(Parameters!$B$19),Parameters!$B$19,""))</f>
        <v>1</v>
      </c>
      <c r="AF8" s="12">
        <f>IF((Parameters!$I$5*ISNUMBER(V8)+Parameters!$I$6*ISNUMBER(W8)+Parameters!$I$7*ISNUMBER(X8)+Parameters!$I$8*ISNUMBER(Y8))=0,"",(Parameters!$I$5*N(V8)+Parameters!$I$6*N(W8)+Parameters!$I$7*N(X8)+Parameters!$I$8*N(Y8))/(Parameters!$I$5*ISNUMBER(V8)+Parameters!$I$6*ISNUMBER(W8)+Parameters!$I$7*ISNUMBER(X8)+Parameters!$I$8*ISNUMBER(Y8)))</f>
        <v>1</v>
      </c>
      <c r="AG8" s="12">
        <f>IF((Parameters!$I$9*ISNUMBER(Z8))=0,"",(Parameters!$I$9*N(Z8))/(Parameters!$I$9*ISNUMBER(Z8)))</f>
        <v>1</v>
      </c>
      <c r="AH8" s="12">
        <f>IF((Parameters!$I$11*ISNUMBER(AA8)+Parameters!$I$12*ISNUMBER(AB8)+Parameters!$I$13*ISNUMBER(AC8)+Parameters!$I$14*ISNUMBER(AD8)+Parameters!$I$15*ISNUMBER(AE8))=0,"",(Parameters!$I$11*N(AA8)+Parameters!$I$12*N(AB8)+Parameters!$I$13*N(AC8)+Parameters!$I$14*N(AD8)+Parameters!$I$15*N(AE8))/(Parameters!$I$11*ISNUMBER(AA8)+Parameters!$I$12*ISNUMBER(AB8)+Parameters!$I$13*ISNUMBER(AC8)+Parameters!$I$14*ISNUMBER(AD8)+Parameters!$I$15*ISNUMBER(AE8)))</f>
        <v>0.93399999999999994</v>
      </c>
      <c r="AI8" s="13">
        <f>Parameters!$I$5*ISNUMBER(V8)+Parameters!$I$6*ISNUMBER(W8)+Parameters!$I$7*ISNUMBER(X8)+Parameters!$I$8*ISNUMBER(Y8)+Parameters!$I$9*ISNUMBER(Z8)+Parameters!$I$11*ISNUMBER(AA8)+Parameters!$I$12*ISNUMBER(AB8)+Parameters!$I$13*ISNUMBER(AC8)+Parameters!$I$14*ISNUMBER(AD8)+Parameters!$I$15*ISNUMBER(AE8)</f>
        <v>95</v>
      </c>
      <c r="AJ8" s="14">
        <f>IF((Parameters!$I$5+Parameters!$I$6+Parameters!$I$7+Parameters!$I$8+Parameters!$I$9+Parameters!$I$11+Parameters!$I$12+Parameters!$I$13+Parameters!$I$14+Parameters!$I$15)=0,"",AI8/(Parameters!$I$5+Parameters!$I$6+Parameters!$I$7+Parameters!$I$8+Parameters!$I$9+Parameters!$I$11+Parameters!$I$12+Parameters!$I$13+Parameters!$I$14+Parameters!$I$15))</f>
        <v>1</v>
      </c>
      <c r="AK8" s="15">
        <f>IF(AND(ISNUMBER(AF8),ISNUMBER(AH8),OR(NOT((Parameters!$I$9)&gt;0),ISNUMBER(AG8)),AJ8&gt;=Parameters!$B$20),100*(Parameters!$F$18*N(AF8)+Parameters!$F$19*N(AG8)+Parameters!$F$20*N(AH8))/(Parameters!$F$18*ISNUMBER(AF8)+Parameters!$F$19*ISNUMBER(AG8)+Parameters!$F$20*ISNUMBER(AH8)),"")</f>
        <v>97.69</v>
      </c>
      <c r="AL8" s="16">
        <f>IF(ISNUMBER(AK8),RANK(AK8,$AK$2:$AK$113),"")</f>
        <v>5</v>
      </c>
      <c r="AM8" s="14">
        <f>IF(((D8="Implemented/available")+(E8="Implemented/available")+(J8="Implemented/available")+(K8="Implemented/available")+(L8="Implemented/available")+(M8="Implemented/available"))=0,"",(AND(D8="Implemented/available",O8&lt;&gt;"")+AND(E8="Implemented/available",P8&lt;&gt;"")+AND(J8="Implemented/available",Q8&lt;&gt;"")+AND(K8="Implemented/available",R8&lt;&gt;"")+AND(L8="Implemented/available",S8&lt;&gt;"")+AND(M8="Implemented/available",T8&lt;&gt;""))/((D8="Implemented/available")+(E8="Implemented/available")+(J8="Implemented/available")+(K8="Implemented/available")+(L8="Implemented/available")+(M8="Implemented/available")))</f>
        <v>1</v>
      </c>
    </row>
    <row r="9" spans="1:39" x14ac:dyDescent="0.25">
      <c r="A9" s="6" t="s">
        <v>360</v>
      </c>
      <c r="B9" s="6" t="s">
        <v>324</v>
      </c>
      <c r="C9" s="6" t="s">
        <v>291</v>
      </c>
      <c r="D9" s="6" t="s">
        <v>29</v>
      </c>
      <c r="E9" s="6" t="s">
        <v>29</v>
      </c>
      <c r="F9" s="6" t="s">
        <v>29</v>
      </c>
      <c r="G9" s="6" t="s">
        <v>117</v>
      </c>
      <c r="H9" s="6" t="s">
        <v>184</v>
      </c>
      <c r="I9" s="6" t="s">
        <v>32</v>
      </c>
      <c r="J9" s="6" t="s">
        <v>41</v>
      </c>
      <c r="K9" s="6" t="s">
        <v>29</v>
      </c>
      <c r="L9" s="6" t="s">
        <v>29</v>
      </c>
      <c r="M9" s="6" t="s">
        <v>29</v>
      </c>
      <c r="N9" s="6" t="s">
        <v>124</v>
      </c>
      <c r="O9" s="6" t="s">
        <v>361</v>
      </c>
      <c r="P9" s="6" t="s">
        <v>362</v>
      </c>
      <c r="Q9" s="6"/>
      <c r="R9" s="6" t="s">
        <v>363</v>
      </c>
      <c r="S9" s="6" t="s">
        <v>329</v>
      </c>
      <c r="T9" s="6" t="s">
        <v>364</v>
      </c>
      <c r="U9" s="6" t="s">
        <v>361</v>
      </c>
      <c r="V9" s="12">
        <f>IFERROR(IF(ISNUMBER(INDEX(Parameters!$B$5:$B$14,MATCH(D9,Parameters!$A$5:$A$14,0))),INDEX(Parameters!$B$5:$B$14,MATCH(D9,Parameters!$A$5:$A$14,0)),""),"")</f>
        <v>1</v>
      </c>
      <c r="W9" s="12">
        <f>IFERROR(IF(ISNUMBER(INDEX(Parameters!$B$5:$B$14,MATCH(E9,Parameters!$A$5:$A$14,0))),INDEX(Parameters!$B$5:$B$14,MATCH(E9,Parameters!$A$5:$A$14,0)),""),"")</f>
        <v>1</v>
      </c>
      <c r="X9" s="12">
        <f>IFERROR(IF(ISNUMBER(INDEX(Parameters!$B$5:$B$14,MATCH(F9,Parameters!$A$5:$A$14,0))),INDEX(Parameters!$B$5:$B$14,MATCH(F9,Parameters!$A$5:$A$14,0)),""),"")</f>
        <v>1</v>
      </c>
      <c r="Y9" s="12">
        <f>IF(G9&lt;&gt;"",1,IF(ISNUMBER(Parameters!$B$18),Parameters!$B$18,""))</f>
        <v>1</v>
      </c>
      <c r="Z9" s="12">
        <f>IF(I9&lt;&gt;"",IFERROR(IF(ISNUMBER(INDEX(Parameters!$B$5:$B$14,MATCH(I9,Parameters!$A$5:$A$14,0))),INDEX(Parameters!$B$5:$B$14,MATCH(I9,Parameters!$A$5:$A$14,0)),""),""),IF(ISNUMBER(Parameters!$B$21),Parameters!$B$21,""))</f>
        <v>1</v>
      </c>
      <c r="AA9" s="12">
        <f>IFERROR(IF(ISNUMBER(INDEX(Parameters!$B$5:$B$14,MATCH(J9,Parameters!$A$5:$A$14,0))),INDEX(Parameters!$B$5:$B$14,MATCH(J9,Parameters!$A$5:$A$14,0)),""),"")</f>
        <v>0.33</v>
      </c>
      <c r="AB9" s="12">
        <f>IFERROR(IF(ISNUMBER(INDEX(Parameters!$B$5:$B$14,MATCH(K9,Parameters!$A$5:$A$14,0))),INDEX(Parameters!$B$5:$B$14,MATCH(K9,Parameters!$A$5:$A$14,0)),""),"")</f>
        <v>1</v>
      </c>
      <c r="AC9" s="12">
        <f>IFERROR(IF(ISNUMBER(INDEX(Parameters!$B$5:$B$14,MATCH(L9,Parameters!$A$5:$A$14,0))),INDEX(Parameters!$B$5:$B$14,MATCH(L9,Parameters!$A$5:$A$14,0)),""),"")</f>
        <v>1</v>
      </c>
      <c r="AD9" s="12">
        <f>IFERROR(IF(ISNUMBER(INDEX(Parameters!$B$5:$B$14,MATCH(M9,Parameters!$A$5:$A$14,0))),INDEX(Parameters!$B$5:$B$14,MATCH(M9,Parameters!$A$5:$A$14,0)),""),"")</f>
        <v>1</v>
      </c>
      <c r="AE9" s="12">
        <f>IF(N9&lt;&gt;"",1,IF(ISNUMBER(Parameters!$B$19),Parameters!$B$19,""))</f>
        <v>1</v>
      </c>
      <c r="AF9" s="12">
        <f>IF((Parameters!$I$5*ISNUMBER(V9)+Parameters!$I$6*ISNUMBER(W9)+Parameters!$I$7*ISNUMBER(X9)+Parameters!$I$8*ISNUMBER(Y9))=0,"",(Parameters!$I$5*N(V9)+Parameters!$I$6*N(W9)+Parameters!$I$7*N(X9)+Parameters!$I$8*N(Y9))/(Parameters!$I$5*ISNUMBER(V9)+Parameters!$I$6*ISNUMBER(W9)+Parameters!$I$7*ISNUMBER(X9)+Parameters!$I$8*ISNUMBER(Y9)))</f>
        <v>1</v>
      </c>
      <c r="AG9" s="12">
        <f>IF((Parameters!$I$9*ISNUMBER(Z9))=0,"",(Parameters!$I$9*N(Z9))/(Parameters!$I$9*ISNUMBER(Z9)))</f>
        <v>1</v>
      </c>
      <c r="AH9" s="12">
        <f>IF((Parameters!$I$11*ISNUMBER(AA9)+Parameters!$I$12*ISNUMBER(AB9)+Parameters!$I$13*ISNUMBER(AC9)+Parameters!$I$14*ISNUMBER(AD9)+Parameters!$I$15*ISNUMBER(AE9))=0,"",(Parameters!$I$11*N(AA9)+Parameters!$I$12*N(AB9)+Parameters!$I$13*N(AC9)+Parameters!$I$14*N(AD9)+Parameters!$I$15*N(AE9))/(Parameters!$I$11*ISNUMBER(AA9)+Parameters!$I$12*ISNUMBER(AB9)+Parameters!$I$13*ISNUMBER(AC9)+Parameters!$I$14*ISNUMBER(AD9)+Parameters!$I$15*ISNUMBER(AE9)))</f>
        <v>0.8660000000000001</v>
      </c>
      <c r="AI9" s="13">
        <f>Parameters!$I$5*ISNUMBER(V9)+Parameters!$I$6*ISNUMBER(W9)+Parameters!$I$7*ISNUMBER(X9)+Parameters!$I$8*ISNUMBER(Y9)+Parameters!$I$9*ISNUMBER(Z9)+Parameters!$I$11*ISNUMBER(AA9)+Parameters!$I$12*ISNUMBER(AB9)+Parameters!$I$13*ISNUMBER(AC9)+Parameters!$I$14*ISNUMBER(AD9)+Parameters!$I$15*ISNUMBER(AE9)</f>
        <v>95</v>
      </c>
      <c r="AJ9" s="14">
        <f>IF((Parameters!$I$5+Parameters!$I$6+Parameters!$I$7+Parameters!$I$8+Parameters!$I$9+Parameters!$I$11+Parameters!$I$12+Parameters!$I$13+Parameters!$I$14+Parameters!$I$15)=0,"",AI9/(Parameters!$I$5+Parameters!$I$6+Parameters!$I$7+Parameters!$I$8+Parameters!$I$9+Parameters!$I$11+Parameters!$I$12+Parameters!$I$13+Parameters!$I$14+Parameters!$I$15))</f>
        <v>1</v>
      </c>
      <c r="AK9" s="15">
        <f>IF(AND(ISNUMBER(AF9),ISNUMBER(AH9),OR(NOT((Parameters!$I$9)&gt;0),ISNUMBER(AG9)),AJ9&gt;=Parameters!$B$20),100*(Parameters!$F$18*N(AF9)+Parameters!$F$19*N(AG9)+Parameters!$F$20*N(AH9))/(Parameters!$F$18*ISNUMBER(AF9)+Parameters!$F$19*ISNUMBER(AG9)+Parameters!$F$20*ISNUMBER(AH9)),"")</f>
        <v>95.31</v>
      </c>
      <c r="AL9" s="16">
        <f>IF(ISNUMBER(AK9),RANK(AK9,$AK$2:$AK$113),"")</f>
        <v>8</v>
      </c>
      <c r="AM9" s="14">
        <f>IF(((D9="Implemented/available")+(E9="Implemented/available")+(J9="Implemented/available")+(K9="Implemented/available")+(L9="Implemented/available")+(M9="Implemented/available"))=0,"",(AND(D9="Implemented/available",O9&lt;&gt;"")+AND(E9="Implemented/available",P9&lt;&gt;"")+AND(J9="Implemented/available",Q9&lt;&gt;"")+AND(K9="Implemented/available",R9&lt;&gt;"")+AND(L9="Implemented/available",S9&lt;&gt;"")+AND(M9="Implemented/available",T9&lt;&gt;""))/((D9="Implemented/available")+(E9="Implemented/available")+(J9="Implemented/available")+(K9="Implemented/available")+(L9="Implemented/available")+(M9="Implemented/available")))</f>
        <v>1</v>
      </c>
    </row>
    <row r="10" spans="1:39" x14ac:dyDescent="0.25">
      <c r="A10" s="6" t="s">
        <v>391</v>
      </c>
      <c r="B10" s="6" t="s">
        <v>392</v>
      </c>
      <c r="C10" s="6" t="s">
        <v>291</v>
      </c>
      <c r="D10" s="6" t="s">
        <v>29</v>
      </c>
      <c r="E10" s="6" t="s">
        <v>29</v>
      </c>
      <c r="F10" s="6" t="s">
        <v>29</v>
      </c>
      <c r="G10" s="6" t="s">
        <v>117</v>
      </c>
      <c r="H10" s="6"/>
      <c r="I10" s="6" t="s">
        <v>32</v>
      </c>
      <c r="J10" s="6" t="s">
        <v>29</v>
      </c>
      <c r="K10" s="6" t="s">
        <v>34</v>
      </c>
      <c r="L10" s="6" t="s">
        <v>41</v>
      </c>
      <c r="M10" s="6" t="s">
        <v>29</v>
      </c>
      <c r="N10" s="6" t="s">
        <v>393</v>
      </c>
      <c r="O10" s="6" t="s">
        <v>185</v>
      </c>
      <c r="P10" s="6" t="s">
        <v>186</v>
      </c>
      <c r="Q10" s="6" t="s">
        <v>394</v>
      </c>
      <c r="R10" s="6"/>
      <c r="S10" s="6"/>
      <c r="T10" s="6" t="s">
        <v>395</v>
      </c>
      <c r="U10" s="6" t="s">
        <v>185</v>
      </c>
      <c r="V10" s="12">
        <f>IFERROR(IF(ISNUMBER(INDEX(Parameters!$B$5:$B$14,MATCH(D10,Parameters!$A$5:$A$14,0))),INDEX(Parameters!$B$5:$B$14,MATCH(D10,Parameters!$A$5:$A$14,0)),""),"")</f>
        <v>1</v>
      </c>
      <c r="W10" s="12">
        <f>IFERROR(IF(ISNUMBER(INDEX(Parameters!$B$5:$B$14,MATCH(E10,Parameters!$A$5:$A$14,0))),INDEX(Parameters!$B$5:$B$14,MATCH(E10,Parameters!$A$5:$A$14,0)),""),"")</f>
        <v>1</v>
      </c>
      <c r="X10" s="12">
        <f>IFERROR(IF(ISNUMBER(INDEX(Parameters!$B$5:$B$14,MATCH(F10,Parameters!$A$5:$A$14,0))),INDEX(Parameters!$B$5:$B$14,MATCH(F10,Parameters!$A$5:$A$14,0)),""),"")</f>
        <v>1</v>
      </c>
      <c r="Y10" s="12">
        <f>IF(G10&lt;&gt;"",1,IF(ISNUMBER(Parameters!$B$18),Parameters!$B$18,""))</f>
        <v>1</v>
      </c>
      <c r="Z10" s="12">
        <f>IF(I10&lt;&gt;"",IFERROR(IF(ISNUMBER(INDEX(Parameters!$B$5:$B$14,MATCH(I10,Parameters!$A$5:$A$14,0))),INDEX(Parameters!$B$5:$B$14,MATCH(I10,Parameters!$A$5:$A$14,0)),""),""),IF(ISNUMBER(Parameters!$B$21),Parameters!$B$21,""))</f>
        <v>1</v>
      </c>
      <c r="AA10" s="12">
        <f>IFERROR(IF(ISNUMBER(INDEX(Parameters!$B$5:$B$14,MATCH(J10,Parameters!$A$5:$A$14,0))),INDEX(Parameters!$B$5:$B$14,MATCH(J10,Parameters!$A$5:$A$14,0)),""),"")</f>
        <v>1</v>
      </c>
      <c r="AB10" s="12">
        <f>IFERROR(IF(ISNUMBER(INDEX(Parameters!$B$5:$B$14,MATCH(K10,Parameters!$A$5:$A$14,0))),INDEX(Parameters!$B$5:$B$14,MATCH(K10,Parameters!$A$5:$A$14,0)),""),"")</f>
        <v>1</v>
      </c>
      <c r="AC10" s="12">
        <f>IFERROR(IF(ISNUMBER(INDEX(Parameters!$B$5:$B$14,MATCH(L10,Parameters!$A$5:$A$14,0))),INDEX(Parameters!$B$5:$B$14,MATCH(L10,Parameters!$A$5:$A$14,0)),""),"")</f>
        <v>0.33</v>
      </c>
      <c r="AD10" s="12">
        <f>IFERROR(IF(ISNUMBER(INDEX(Parameters!$B$5:$B$14,MATCH(M10,Parameters!$A$5:$A$14,0))),INDEX(Parameters!$B$5:$B$14,MATCH(M10,Parameters!$A$5:$A$14,0)),""),"")</f>
        <v>1</v>
      </c>
      <c r="AE10" s="12">
        <f>IF(N10&lt;&gt;"",1,IF(ISNUMBER(Parameters!$B$19),Parameters!$B$19,""))</f>
        <v>1</v>
      </c>
      <c r="AF10" s="12">
        <f>IF((Parameters!$I$5*ISNUMBER(V10)+Parameters!$I$6*ISNUMBER(W10)+Parameters!$I$7*ISNUMBER(X10)+Parameters!$I$8*ISNUMBER(Y10))=0,"",(Parameters!$I$5*N(V10)+Parameters!$I$6*N(W10)+Parameters!$I$7*N(X10)+Parameters!$I$8*N(Y10))/(Parameters!$I$5*ISNUMBER(V10)+Parameters!$I$6*ISNUMBER(W10)+Parameters!$I$7*ISNUMBER(X10)+Parameters!$I$8*ISNUMBER(Y10)))</f>
        <v>1</v>
      </c>
      <c r="AG10" s="12">
        <f>IF((Parameters!$I$9*ISNUMBER(Z10))=0,"",(Parameters!$I$9*N(Z10))/(Parameters!$I$9*ISNUMBER(Z10)))</f>
        <v>1</v>
      </c>
      <c r="AH10" s="12">
        <f>IF((Parameters!$I$11*ISNUMBER(AA10)+Parameters!$I$12*ISNUMBER(AB10)+Parameters!$I$13*ISNUMBER(AC10)+Parameters!$I$14*ISNUMBER(AD10)+Parameters!$I$15*ISNUMBER(AE10))=0,"",(Parameters!$I$11*N(AA10)+Parameters!$I$12*N(AB10)+Parameters!$I$13*N(AC10)+Parameters!$I$14*N(AD10)+Parameters!$I$15*N(AE10))/(Parameters!$I$11*ISNUMBER(AA10)+Parameters!$I$12*ISNUMBER(AB10)+Parameters!$I$13*ISNUMBER(AC10)+Parameters!$I$14*ISNUMBER(AD10)+Parameters!$I$15*ISNUMBER(AE10)))</f>
        <v>0.86599999999999999</v>
      </c>
      <c r="AI10" s="13">
        <f>Parameters!$I$5*ISNUMBER(V10)+Parameters!$I$6*ISNUMBER(W10)+Parameters!$I$7*ISNUMBER(X10)+Parameters!$I$8*ISNUMBER(Y10)+Parameters!$I$9*ISNUMBER(Z10)+Parameters!$I$11*ISNUMBER(AA10)+Parameters!$I$12*ISNUMBER(AB10)+Parameters!$I$13*ISNUMBER(AC10)+Parameters!$I$14*ISNUMBER(AD10)+Parameters!$I$15*ISNUMBER(AE10)</f>
        <v>95</v>
      </c>
      <c r="AJ10" s="14">
        <f>IF((Parameters!$I$5+Parameters!$I$6+Parameters!$I$7+Parameters!$I$8+Parameters!$I$9+Parameters!$I$11+Parameters!$I$12+Parameters!$I$13+Parameters!$I$14+Parameters!$I$15)=0,"",AI10/(Parameters!$I$5+Parameters!$I$6+Parameters!$I$7+Parameters!$I$8+Parameters!$I$9+Parameters!$I$11+Parameters!$I$12+Parameters!$I$13+Parameters!$I$14+Parameters!$I$15))</f>
        <v>1</v>
      </c>
      <c r="AK10" s="15">
        <f>IF(AND(ISNUMBER(AF10),ISNUMBER(AH10),OR(NOT((Parameters!$I$9)&gt;0),ISNUMBER(AG10)),AJ10&gt;=Parameters!$B$20),100*(Parameters!$F$18*N(AF10)+Parameters!$F$19*N(AG10)+Parameters!$F$20*N(AH10))/(Parameters!$F$18*ISNUMBER(AF10)+Parameters!$F$19*ISNUMBER(AG10)+Parameters!$F$20*ISNUMBER(AH10)),"")</f>
        <v>95.31</v>
      </c>
      <c r="AL10" s="16">
        <f>IF(ISNUMBER(AK10),RANK(AK10,$AK$2:$AK$113),"")</f>
        <v>8</v>
      </c>
      <c r="AM10" s="14">
        <f>IF(((D10="Implemented/available")+(E10="Implemented/available")+(J10="Implemented/available")+(K10="Implemented/available")+(L10="Implemented/available")+(M10="Implemented/available"))=0,"",(AND(D10="Implemented/available",O10&lt;&gt;"")+AND(E10="Implemented/available",P10&lt;&gt;"")+AND(J10="Implemented/available",Q10&lt;&gt;"")+AND(K10="Implemented/available",R10&lt;&gt;"")+AND(L10="Implemented/available",S10&lt;&gt;"")+AND(M10="Implemented/available",T10&lt;&gt;""))/((D10="Implemented/available")+(E10="Implemented/available")+(J10="Implemented/available")+(K10="Implemented/available")+(L10="Implemented/available")+(M10="Implemented/available")))</f>
        <v>1</v>
      </c>
    </row>
    <row r="11" spans="1:39" x14ac:dyDescent="0.25">
      <c r="A11" s="6" t="s">
        <v>493</v>
      </c>
      <c r="B11" s="6" t="s">
        <v>166</v>
      </c>
      <c r="C11" s="6" t="s">
        <v>275</v>
      </c>
      <c r="D11" s="6" t="s">
        <v>29</v>
      </c>
      <c r="E11" s="6" t="s">
        <v>48</v>
      </c>
      <c r="F11" s="6" t="s">
        <v>29</v>
      </c>
      <c r="G11" s="6" t="s">
        <v>117</v>
      </c>
      <c r="H11" s="6"/>
      <c r="I11" s="6" t="s">
        <v>32</v>
      </c>
      <c r="J11" s="6" t="s">
        <v>41</v>
      </c>
      <c r="K11" s="6" t="s">
        <v>34</v>
      </c>
      <c r="L11" s="6" t="s">
        <v>29</v>
      </c>
      <c r="M11" s="6" t="s">
        <v>29</v>
      </c>
      <c r="N11" s="6" t="s">
        <v>242</v>
      </c>
      <c r="O11" s="6" t="s">
        <v>171</v>
      </c>
      <c r="P11" s="6"/>
      <c r="Q11" s="6"/>
      <c r="R11" s="6"/>
      <c r="S11" s="6" t="s">
        <v>169</v>
      </c>
      <c r="T11" s="6" t="s">
        <v>170</v>
      </c>
      <c r="U11" s="6" t="s">
        <v>171</v>
      </c>
      <c r="V11" s="12">
        <f>IFERROR(IF(ISNUMBER(INDEX(Parameters!$B$5:$B$14,MATCH(D11,Parameters!$A$5:$A$14,0))),INDEX(Parameters!$B$5:$B$14,MATCH(D11,Parameters!$A$5:$A$14,0)),""),"")</f>
        <v>1</v>
      </c>
      <c r="W11" s="12" t="str">
        <f>IFERROR(IF(ISNUMBER(INDEX(Parameters!$B$5:$B$14,MATCH(E11,Parameters!$A$5:$A$14,0))),INDEX(Parameters!$B$5:$B$14,MATCH(E11,Parameters!$A$5:$A$14,0)),""),"")</f>
        <v/>
      </c>
      <c r="X11" s="12">
        <f>IFERROR(IF(ISNUMBER(INDEX(Parameters!$B$5:$B$14,MATCH(F11,Parameters!$A$5:$A$14,0))),INDEX(Parameters!$B$5:$B$14,MATCH(F11,Parameters!$A$5:$A$14,0)),""),"")</f>
        <v>1</v>
      </c>
      <c r="Y11" s="12">
        <f>IF(G11&lt;&gt;"",1,IF(ISNUMBER(Parameters!$B$18),Parameters!$B$18,""))</f>
        <v>1</v>
      </c>
      <c r="Z11" s="12">
        <f>IF(I11&lt;&gt;"",IFERROR(IF(ISNUMBER(INDEX(Parameters!$B$5:$B$14,MATCH(I11,Parameters!$A$5:$A$14,0))),INDEX(Parameters!$B$5:$B$14,MATCH(I11,Parameters!$A$5:$A$14,0)),""),""),IF(ISNUMBER(Parameters!$B$21),Parameters!$B$21,""))</f>
        <v>1</v>
      </c>
      <c r="AA11" s="12">
        <f>IFERROR(IF(ISNUMBER(INDEX(Parameters!$B$5:$B$14,MATCH(J11,Parameters!$A$5:$A$14,0))),INDEX(Parameters!$B$5:$B$14,MATCH(J11,Parameters!$A$5:$A$14,0)),""),"")</f>
        <v>0.33</v>
      </c>
      <c r="AB11" s="12">
        <f>IFERROR(IF(ISNUMBER(INDEX(Parameters!$B$5:$B$14,MATCH(K11,Parameters!$A$5:$A$14,0))),INDEX(Parameters!$B$5:$B$14,MATCH(K11,Parameters!$A$5:$A$14,0)),""),"")</f>
        <v>1</v>
      </c>
      <c r="AC11" s="12">
        <f>IFERROR(IF(ISNUMBER(INDEX(Parameters!$B$5:$B$14,MATCH(L11,Parameters!$A$5:$A$14,0))),INDEX(Parameters!$B$5:$B$14,MATCH(L11,Parameters!$A$5:$A$14,0)),""),"")</f>
        <v>1</v>
      </c>
      <c r="AD11" s="12">
        <f>IFERROR(IF(ISNUMBER(INDEX(Parameters!$B$5:$B$14,MATCH(M11,Parameters!$A$5:$A$14,0))),INDEX(Parameters!$B$5:$B$14,MATCH(M11,Parameters!$A$5:$A$14,0)),""),"")</f>
        <v>1</v>
      </c>
      <c r="AE11" s="12">
        <f>IF(N11&lt;&gt;"",1,IF(ISNUMBER(Parameters!$B$19),Parameters!$B$19,""))</f>
        <v>1</v>
      </c>
      <c r="AF11" s="12">
        <f>IF((Parameters!$I$5*ISNUMBER(V11)+Parameters!$I$6*ISNUMBER(W11)+Parameters!$I$7*ISNUMBER(X11)+Parameters!$I$8*ISNUMBER(Y11))=0,"",(Parameters!$I$5*N(V11)+Parameters!$I$6*N(W11)+Parameters!$I$7*N(X11)+Parameters!$I$8*N(Y11))/(Parameters!$I$5*ISNUMBER(V11)+Parameters!$I$6*ISNUMBER(W11)+Parameters!$I$7*ISNUMBER(X11)+Parameters!$I$8*ISNUMBER(Y11)))</f>
        <v>1</v>
      </c>
      <c r="AG11" s="12">
        <f>IF((Parameters!$I$9*ISNUMBER(Z11))=0,"",(Parameters!$I$9*N(Z11))/(Parameters!$I$9*ISNUMBER(Z11)))</f>
        <v>1</v>
      </c>
      <c r="AH11" s="12">
        <f>IF((Parameters!$I$11*ISNUMBER(AA11)+Parameters!$I$12*ISNUMBER(AB11)+Parameters!$I$13*ISNUMBER(AC11)+Parameters!$I$14*ISNUMBER(AD11)+Parameters!$I$15*ISNUMBER(AE11))=0,"",(Parameters!$I$11*N(AA11)+Parameters!$I$12*N(AB11)+Parameters!$I$13*N(AC11)+Parameters!$I$14*N(AD11)+Parameters!$I$15*N(AE11))/(Parameters!$I$11*ISNUMBER(AA11)+Parameters!$I$12*ISNUMBER(AB11)+Parameters!$I$13*ISNUMBER(AC11)+Parameters!$I$14*ISNUMBER(AD11)+Parameters!$I$15*ISNUMBER(AE11)))</f>
        <v>0.8660000000000001</v>
      </c>
      <c r="AI11" s="13">
        <f>Parameters!$I$5*ISNUMBER(V11)+Parameters!$I$6*ISNUMBER(W11)+Parameters!$I$7*ISNUMBER(X11)+Parameters!$I$8*ISNUMBER(Y11)+Parameters!$I$9*ISNUMBER(Z11)+Parameters!$I$11*ISNUMBER(AA11)+Parameters!$I$12*ISNUMBER(AB11)+Parameters!$I$13*ISNUMBER(AC11)+Parameters!$I$14*ISNUMBER(AD11)+Parameters!$I$15*ISNUMBER(AE11)</f>
        <v>83</v>
      </c>
      <c r="AJ11" s="14">
        <f>IF((Parameters!$I$5+Parameters!$I$6+Parameters!$I$7+Parameters!$I$8+Parameters!$I$9+Parameters!$I$11+Parameters!$I$12+Parameters!$I$13+Parameters!$I$14+Parameters!$I$15)=0,"",AI11/(Parameters!$I$5+Parameters!$I$6+Parameters!$I$7+Parameters!$I$8+Parameters!$I$9+Parameters!$I$11+Parameters!$I$12+Parameters!$I$13+Parameters!$I$14+Parameters!$I$15))</f>
        <v>0.87368421052631584</v>
      </c>
      <c r="AK11" s="15">
        <f>IF(AND(ISNUMBER(AF11),ISNUMBER(AH11),OR(NOT((Parameters!$I$9)&gt;0),ISNUMBER(AG11)),AJ11&gt;=Parameters!$B$20),100*(Parameters!$F$18*N(AF11)+Parameters!$F$19*N(AG11)+Parameters!$F$20*N(AH11))/(Parameters!$F$18*ISNUMBER(AF11)+Parameters!$F$19*ISNUMBER(AG11)+Parameters!$F$20*ISNUMBER(AH11)),"")</f>
        <v>95.31</v>
      </c>
      <c r="AL11" s="16">
        <f>IF(ISNUMBER(AK11),RANK(AK11,$AK$2:$AK$113),"")</f>
        <v>8</v>
      </c>
      <c r="AM11" s="14">
        <f>IF(((D11="Implemented/available")+(E11="Implemented/available")+(J11="Implemented/available")+(K11="Implemented/available")+(L11="Implemented/available")+(M11="Implemented/available"))=0,"",(AND(D11="Implemented/available",O11&lt;&gt;"")+AND(E11="Implemented/available",P11&lt;&gt;"")+AND(J11="Implemented/available",Q11&lt;&gt;"")+AND(K11="Implemented/available",R11&lt;&gt;"")+AND(L11="Implemented/available",S11&lt;&gt;"")+AND(M11="Implemented/available",T11&lt;&gt;""))/((D11="Implemented/available")+(E11="Implemented/available")+(J11="Implemented/available")+(K11="Implemented/available")+(L11="Implemented/available")+(M11="Implemented/available")))</f>
        <v>1</v>
      </c>
    </row>
    <row r="12" spans="1:39" x14ac:dyDescent="0.25">
      <c r="A12" s="6" t="s">
        <v>396</v>
      </c>
      <c r="B12" s="6" t="s">
        <v>392</v>
      </c>
      <c r="C12" s="6" t="s">
        <v>291</v>
      </c>
      <c r="D12" s="6" t="s">
        <v>29</v>
      </c>
      <c r="E12" s="6" t="s">
        <v>29</v>
      </c>
      <c r="F12" s="6" t="s">
        <v>29</v>
      </c>
      <c r="G12" s="6" t="s">
        <v>117</v>
      </c>
      <c r="H12" s="6" t="s">
        <v>76</v>
      </c>
      <c r="I12" s="6" t="s">
        <v>32</v>
      </c>
      <c r="J12" s="6" t="s">
        <v>38</v>
      </c>
      <c r="K12" s="6" t="s">
        <v>34</v>
      </c>
      <c r="L12" s="6" t="s">
        <v>38</v>
      </c>
      <c r="M12" s="6" t="s">
        <v>38</v>
      </c>
      <c r="N12" s="6" t="s">
        <v>124</v>
      </c>
      <c r="O12" s="6" t="s">
        <v>185</v>
      </c>
      <c r="P12" s="6" t="s">
        <v>186</v>
      </c>
      <c r="Q12" s="6"/>
      <c r="R12" s="6"/>
      <c r="S12" s="6"/>
      <c r="T12" s="6"/>
      <c r="U12" s="6" t="s">
        <v>185</v>
      </c>
      <c r="V12" s="12">
        <f>IFERROR(IF(ISNUMBER(INDEX(Parameters!$B$5:$B$14,MATCH(D12,Parameters!$A$5:$A$14,0))),INDEX(Parameters!$B$5:$B$14,MATCH(D12,Parameters!$A$5:$A$14,0)),""),"")</f>
        <v>1</v>
      </c>
      <c r="W12" s="12">
        <f>IFERROR(IF(ISNUMBER(INDEX(Parameters!$B$5:$B$14,MATCH(E12,Parameters!$A$5:$A$14,0))),INDEX(Parameters!$B$5:$B$14,MATCH(E12,Parameters!$A$5:$A$14,0)),""),"")</f>
        <v>1</v>
      </c>
      <c r="X12" s="12">
        <f>IFERROR(IF(ISNUMBER(INDEX(Parameters!$B$5:$B$14,MATCH(F12,Parameters!$A$5:$A$14,0))),INDEX(Parameters!$B$5:$B$14,MATCH(F12,Parameters!$A$5:$A$14,0)),""),"")</f>
        <v>1</v>
      </c>
      <c r="Y12" s="12">
        <f>IF(G12&lt;&gt;"",1,IF(ISNUMBER(Parameters!$B$18),Parameters!$B$18,""))</f>
        <v>1</v>
      </c>
      <c r="Z12" s="12">
        <f>IF(I12&lt;&gt;"",IFERROR(IF(ISNUMBER(INDEX(Parameters!$B$5:$B$14,MATCH(I12,Parameters!$A$5:$A$14,0))),INDEX(Parameters!$B$5:$B$14,MATCH(I12,Parameters!$A$5:$A$14,0)),""),""),IF(ISNUMBER(Parameters!$B$21),Parameters!$B$21,""))</f>
        <v>1</v>
      </c>
      <c r="AA12" s="12">
        <f>IFERROR(IF(ISNUMBER(INDEX(Parameters!$B$5:$B$14,MATCH(J12,Parameters!$A$5:$A$14,0))),INDEX(Parameters!$B$5:$B$14,MATCH(J12,Parameters!$A$5:$A$14,0)),""),"")</f>
        <v>0.67</v>
      </c>
      <c r="AB12" s="12">
        <f>IFERROR(IF(ISNUMBER(INDEX(Parameters!$B$5:$B$14,MATCH(K12,Parameters!$A$5:$A$14,0))),INDEX(Parameters!$B$5:$B$14,MATCH(K12,Parameters!$A$5:$A$14,0)),""),"")</f>
        <v>1</v>
      </c>
      <c r="AC12" s="12">
        <f>IFERROR(IF(ISNUMBER(INDEX(Parameters!$B$5:$B$14,MATCH(L12,Parameters!$A$5:$A$14,0))),INDEX(Parameters!$B$5:$B$14,MATCH(L12,Parameters!$A$5:$A$14,0)),""),"")</f>
        <v>0.67</v>
      </c>
      <c r="AD12" s="12">
        <f>IFERROR(IF(ISNUMBER(INDEX(Parameters!$B$5:$B$14,MATCH(M12,Parameters!$A$5:$A$14,0))),INDEX(Parameters!$B$5:$B$14,MATCH(M12,Parameters!$A$5:$A$14,0)),""),"")</f>
        <v>0.67</v>
      </c>
      <c r="AE12" s="12">
        <f>IF(N12&lt;&gt;"",1,IF(ISNUMBER(Parameters!$B$19),Parameters!$B$19,""))</f>
        <v>1</v>
      </c>
      <c r="AF12" s="12">
        <f>IF((Parameters!$I$5*ISNUMBER(V12)+Parameters!$I$6*ISNUMBER(W12)+Parameters!$I$7*ISNUMBER(X12)+Parameters!$I$8*ISNUMBER(Y12))=0,"",(Parameters!$I$5*N(V12)+Parameters!$I$6*N(W12)+Parameters!$I$7*N(X12)+Parameters!$I$8*N(Y12))/(Parameters!$I$5*ISNUMBER(V12)+Parameters!$I$6*ISNUMBER(W12)+Parameters!$I$7*ISNUMBER(X12)+Parameters!$I$8*ISNUMBER(Y12)))</f>
        <v>1</v>
      </c>
      <c r="AG12" s="12">
        <f>IF((Parameters!$I$9*ISNUMBER(Z12))=0,"",(Parameters!$I$9*N(Z12))/(Parameters!$I$9*ISNUMBER(Z12)))</f>
        <v>1</v>
      </c>
      <c r="AH12" s="12">
        <f>IF((Parameters!$I$11*ISNUMBER(AA12)+Parameters!$I$12*ISNUMBER(AB12)+Parameters!$I$13*ISNUMBER(AC12)+Parameters!$I$14*ISNUMBER(AD12)+Parameters!$I$15*ISNUMBER(AE12))=0,"",(Parameters!$I$11*N(AA12)+Parameters!$I$12*N(AB12)+Parameters!$I$13*N(AC12)+Parameters!$I$14*N(AD12)+Parameters!$I$15*N(AE12))/(Parameters!$I$11*ISNUMBER(AA12)+Parameters!$I$12*ISNUMBER(AB12)+Parameters!$I$13*ISNUMBER(AC12)+Parameters!$I$14*ISNUMBER(AD12)+Parameters!$I$15*ISNUMBER(AE12)))</f>
        <v>0.80200000000000016</v>
      </c>
      <c r="AI12" s="13">
        <f>Parameters!$I$5*ISNUMBER(V12)+Parameters!$I$6*ISNUMBER(W12)+Parameters!$I$7*ISNUMBER(X12)+Parameters!$I$8*ISNUMBER(Y12)+Parameters!$I$9*ISNUMBER(Z12)+Parameters!$I$11*ISNUMBER(AA12)+Parameters!$I$12*ISNUMBER(AB12)+Parameters!$I$13*ISNUMBER(AC12)+Parameters!$I$14*ISNUMBER(AD12)+Parameters!$I$15*ISNUMBER(AE12)</f>
        <v>95</v>
      </c>
      <c r="AJ12" s="14">
        <f>IF((Parameters!$I$5+Parameters!$I$6+Parameters!$I$7+Parameters!$I$8+Parameters!$I$9+Parameters!$I$11+Parameters!$I$12+Parameters!$I$13+Parameters!$I$14+Parameters!$I$15)=0,"",AI12/(Parameters!$I$5+Parameters!$I$6+Parameters!$I$7+Parameters!$I$8+Parameters!$I$9+Parameters!$I$11+Parameters!$I$12+Parameters!$I$13+Parameters!$I$14+Parameters!$I$15))</f>
        <v>1</v>
      </c>
      <c r="AK12" s="15">
        <f>IF(AND(ISNUMBER(AF12),ISNUMBER(AH12),OR(NOT((Parameters!$I$9)&gt;0),ISNUMBER(AG12)),AJ12&gt;=Parameters!$B$20),100*(Parameters!$F$18*N(AF12)+Parameters!$F$19*N(AG12)+Parameters!$F$20*N(AH12))/(Parameters!$F$18*ISNUMBER(AF12)+Parameters!$F$19*ISNUMBER(AG12)+Parameters!$F$20*ISNUMBER(AH12)),"")</f>
        <v>93.070000000000007</v>
      </c>
      <c r="AL12" s="16">
        <f>IF(ISNUMBER(AK12),RANK(AK12,$AK$2:$AK$113),"")</f>
        <v>11</v>
      </c>
      <c r="AM12" s="14">
        <f>IF(((D12="Implemented/available")+(E12="Implemented/available")+(J12="Implemented/available")+(K12="Implemented/available")+(L12="Implemented/available")+(M12="Implemented/available"))=0,"",(AND(D12="Implemented/available",O12&lt;&gt;"")+AND(E12="Implemented/available",P12&lt;&gt;"")+AND(J12="Implemented/available",Q12&lt;&gt;"")+AND(K12="Implemented/available",R12&lt;&gt;"")+AND(L12="Implemented/available",S12&lt;&gt;"")+AND(M12="Implemented/available",T12&lt;&gt;""))/((D12="Implemented/available")+(E12="Implemented/available")+(J12="Implemented/available")+(K12="Implemented/available")+(L12="Implemented/available")+(M12="Implemented/available")))</f>
        <v>1</v>
      </c>
    </row>
    <row r="13" spans="1:39" x14ac:dyDescent="0.25">
      <c r="A13" s="6" t="s">
        <v>342</v>
      </c>
      <c r="B13" s="6" t="s">
        <v>342</v>
      </c>
      <c r="C13" s="6" t="s">
        <v>343</v>
      </c>
      <c r="D13" s="6" t="s">
        <v>29</v>
      </c>
      <c r="E13" s="6" t="s">
        <v>29</v>
      </c>
      <c r="F13" s="6" t="s">
        <v>29</v>
      </c>
      <c r="G13" s="6" t="s">
        <v>123</v>
      </c>
      <c r="H13" s="6"/>
      <c r="I13" s="6" t="s">
        <v>32</v>
      </c>
      <c r="J13" s="6" t="s">
        <v>29</v>
      </c>
      <c r="K13" s="6" t="s">
        <v>34</v>
      </c>
      <c r="L13" s="6" t="s">
        <v>29</v>
      </c>
      <c r="M13" s="6" t="s">
        <v>29</v>
      </c>
      <c r="N13" s="6"/>
      <c r="O13" s="6" t="s">
        <v>344</v>
      </c>
      <c r="P13" s="6" t="s">
        <v>345</v>
      </c>
      <c r="Q13" s="6" t="s">
        <v>346</v>
      </c>
      <c r="R13" s="6"/>
      <c r="S13" s="6" t="s">
        <v>347</v>
      </c>
      <c r="T13" s="6" t="s">
        <v>348</v>
      </c>
      <c r="U13" s="6" t="s">
        <v>344</v>
      </c>
      <c r="V13" s="12">
        <f>IFERROR(IF(ISNUMBER(INDEX(Parameters!$B$5:$B$14,MATCH(D13,Parameters!$A$5:$A$14,0))),INDEX(Parameters!$B$5:$B$14,MATCH(D13,Parameters!$A$5:$A$14,0)),""),"")</f>
        <v>1</v>
      </c>
      <c r="W13" s="12">
        <f>IFERROR(IF(ISNUMBER(INDEX(Parameters!$B$5:$B$14,MATCH(E13,Parameters!$A$5:$A$14,0))),INDEX(Parameters!$B$5:$B$14,MATCH(E13,Parameters!$A$5:$A$14,0)),""),"")</f>
        <v>1</v>
      </c>
      <c r="X13" s="12">
        <f>IFERROR(IF(ISNUMBER(INDEX(Parameters!$B$5:$B$14,MATCH(F13,Parameters!$A$5:$A$14,0))),INDEX(Parameters!$B$5:$B$14,MATCH(F13,Parameters!$A$5:$A$14,0)),""),"")</f>
        <v>1</v>
      </c>
      <c r="Y13" s="12">
        <f>IF(G13&lt;&gt;"",1,IF(ISNUMBER(Parameters!$B$18),Parameters!$B$18,""))</f>
        <v>1</v>
      </c>
      <c r="Z13" s="12">
        <f>IF(I13&lt;&gt;"",IFERROR(IF(ISNUMBER(INDEX(Parameters!$B$5:$B$14,MATCH(I13,Parameters!$A$5:$A$14,0))),INDEX(Parameters!$B$5:$B$14,MATCH(I13,Parameters!$A$5:$A$14,0)),""),""),IF(ISNUMBER(Parameters!$B$21),Parameters!$B$21,""))</f>
        <v>1</v>
      </c>
      <c r="AA13" s="12">
        <f>IFERROR(IF(ISNUMBER(INDEX(Parameters!$B$5:$B$14,MATCH(J13,Parameters!$A$5:$A$14,0))),INDEX(Parameters!$B$5:$B$14,MATCH(J13,Parameters!$A$5:$A$14,0)),""),"")</f>
        <v>1</v>
      </c>
      <c r="AB13" s="12">
        <f>IFERROR(IF(ISNUMBER(INDEX(Parameters!$B$5:$B$14,MATCH(K13,Parameters!$A$5:$A$14,0))),INDEX(Parameters!$B$5:$B$14,MATCH(K13,Parameters!$A$5:$A$14,0)),""),"")</f>
        <v>1</v>
      </c>
      <c r="AC13" s="12">
        <f>IFERROR(IF(ISNUMBER(INDEX(Parameters!$B$5:$B$14,MATCH(L13,Parameters!$A$5:$A$14,0))),INDEX(Parameters!$B$5:$B$14,MATCH(L13,Parameters!$A$5:$A$14,0)),""),"")</f>
        <v>1</v>
      </c>
      <c r="AD13" s="12">
        <f>IFERROR(IF(ISNUMBER(INDEX(Parameters!$B$5:$B$14,MATCH(M13,Parameters!$A$5:$A$14,0))),INDEX(Parameters!$B$5:$B$14,MATCH(M13,Parameters!$A$5:$A$14,0)),""),"")</f>
        <v>1</v>
      </c>
      <c r="AE13" s="12">
        <f>IF(N13&lt;&gt;"",1,IF(ISNUMBER(Parameters!$B$19),Parameters!$B$19,""))</f>
        <v>0</v>
      </c>
      <c r="AF13" s="12">
        <f>IF((Parameters!$I$5*ISNUMBER(V13)+Parameters!$I$6*ISNUMBER(W13)+Parameters!$I$7*ISNUMBER(X13)+Parameters!$I$8*ISNUMBER(Y13))=0,"",(Parameters!$I$5*N(V13)+Parameters!$I$6*N(W13)+Parameters!$I$7*N(X13)+Parameters!$I$8*N(Y13))/(Parameters!$I$5*ISNUMBER(V13)+Parameters!$I$6*ISNUMBER(W13)+Parameters!$I$7*ISNUMBER(X13)+Parameters!$I$8*ISNUMBER(Y13)))</f>
        <v>1</v>
      </c>
      <c r="AG13" s="12">
        <f>IF((Parameters!$I$9*ISNUMBER(Z13))=0,"",(Parameters!$I$9*N(Z13))/(Parameters!$I$9*ISNUMBER(Z13)))</f>
        <v>1</v>
      </c>
      <c r="AH13" s="12">
        <f>IF((Parameters!$I$11*ISNUMBER(AA13)+Parameters!$I$12*ISNUMBER(AB13)+Parameters!$I$13*ISNUMBER(AC13)+Parameters!$I$14*ISNUMBER(AD13)+Parameters!$I$15*ISNUMBER(AE13))=0,"",(Parameters!$I$11*N(AA13)+Parameters!$I$12*N(AB13)+Parameters!$I$13*N(AC13)+Parameters!$I$14*N(AD13)+Parameters!$I$15*N(AE13))/(Parameters!$I$11*ISNUMBER(AA13)+Parameters!$I$12*ISNUMBER(AB13)+Parameters!$I$13*ISNUMBER(AC13)+Parameters!$I$14*ISNUMBER(AD13)+Parameters!$I$15*ISNUMBER(AE13)))</f>
        <v>0.8</v>
      </c>
      <c r="AI13" s="13">
        <f>Parameters!$I$5*ISNUMBER(V13)+Parameters!$I$6*ISNUMBER(W13)+Parameters!$I$7*ISNUMBER(X13)+Parameters!$I$8*ISNUMBER(Y13)+Parameters!$I$9*ISNUMBER(Z13)+Parameters!$I$11*ISNUMBER(AA13)+Parameters!$I$12*ISNUMBER(AB13)+Parameters!$I$13*ISNUMBER(AC13)+Parameters!$I$14*ISNUMBER(AD13)+Parameters!$I$15*ISNUMBER(AE13)</f>
        <v>95</v>
      </c>
      <c r="AJ13" s="14">
        <f>IF((Parameters!$I$5+Parameters!$I$6+Parameters!$I$7+Parameters!$I$8+Parameters!$I$9+Parameters!$I$11+Parameters!$I$12+Parameters!$I$13+Parameters!$I$14+Parameters!$I$15)=0,"",AI13/(Parameters!$I$5+Parameters!$I$6+Parameters!$I$7+Parameters!$I$8+Parameters!$I$9+Parameters!$I$11+Parameters!$I$12+Parameters!$I$13+Parameters!$I$14+Parameters!$I$15))</f>
        <v>1</v>
      </c>
      <c r="AK13" s="15">
        <f>IF(AND(ISNUMBER(AF13),ISNUMBER(AH13),OR(NOT((Parameters!$I$9)&gt;0),ISNUMBER(AG13)),AJ13&gt;=Parameters!$B$20),100*(Parameters!$F$18*N(AF13)+Parameters!$F$19*N(AG13)+Parameters!$F$20*N(AH13))/(Parameters!$F$18*ISNUMBER(AF13)+Parameters!$F$19*ISNUMBER(AG13)+Parameters!$F$20*ISNUMBER(AH13)),"")</f>
        <v>93</v>
      </c>
      <c r="AL13" s="16">
        <f>IF(ISNUMBER(AK13),RANK(AK13,$AK$2:$AK$113),"")</f>
        <v>12</v>
      </c>
      <c r="AM13" s="14">
        <f>IF(((D13="Implemented/available")+(E13="Implemented/available")+(J13="Implemented/available")+(K13="Implemented/available")+(L13="Implemented/available")+(M13="Implemented/available"))=0,"",(AND(D13="Implemented/available",O13&lt;&gt;"")+AND(E13="Implemented/available",P13&lt;&gt;"")+AND(J13="Implemented/available",Q13&lt;&gt;"")+AND(K13="Implemented/available",R13&lt;&gt;"")+AND(L13="Implemented/available",S13&lt;&gt;"")+AND(M13="Implemented/available",T13&lt;&gt;""))/((D13="Implemented/available")+(E13="Implemented/available")+(J13="Implemented/available")+(K13="Implemented/available")+(L13="Implemented/available")+(M13="Implemented/available")))</f>
        <v>1</v>
      </c>
    </row>
    <row r="14" spans="1:39" x14ac:dyDescent="0.25">
      <c r="A14" s="6" t="s">
        <v>349</v>
      </c>
      <c r="B14" s="6" t="s">
        <v>350</v>
      </c>
      <c r="C14" s="6" t="s">
        <v>351</v>
      </c>
      <c r="D14" s="6" t="s">
        <v>29</v>
      </c>
      <c r="E14" s="6" t="s">
        <v>29</v>
      </c>
      <c r="F14" s="6" t="s">
        <v>29</v>
      </c>
      <c r="G14" s="6" t="s">
        <v>117</v>
      </c>
      <c r="H14" s="6"/>
      <c r="I14" s="6" t="s">
        <v>32</v>
      </c>
      <c r="J14" s="6" t="s">
        <v>29</v>
      </c>
      <c r="K14" s="6" t="s">
        <v>34</v>
      </c>
      <c r="L14" s="6" t="s">
        <v>29</v>
      </c>
      <c r="M14" s="6" t="s">
        <v>29</v>
      </c>
      <c r="N14" s="6"/>
      <c r="O14" s="6" t="s">
        <v>352</v>
      </c>
      <c r="P14" s="6" t="s">
        <v>352</v>
      </c>
      <c r="Q14" s="6" t="s">
        <v>353</v>
      </c>
      <c r="R14" s="6"/>
      <c r="S14" s="6" t="s">
        <v>354</v>
      </c>
      <c r="T14" s="6" t="s">
        <v>355</v>
      </c>
      <c r="U14" s="6" t="s">
        <v>352</v>
      </c>
      <c r="V14" s="12">
        <f>IFERROR(IF(ISNUMBER(INDEX(Parameters!$B$5:$B$14,MATCH(D14,Parameters!$A$5:$A$14,0))),INDEX(Parameters!$B$5:$B$14,MATCH(D14,Parameters!$A$5:$A$14,0)),""),"")</f>
        <v>1</v>
      </c>
      <c r="W14" s="12">
        <f>IFERROR(IF(ISNUMBER(INDEX(Parameters!$B$5:$B$14,MATCH(E14,Parameters!$A$5:$A$14,0))),INDEX(Parameters!$B$5:$B$14,MATCH(E14,Parameters!$A$5:$A$14,0)),""),"")</f>
        <v>1</v>
      </c>
      <c r="X14" s="12">
        <f>IFERROR(IF(ISNUMBER(INDEX(Parameters!$B$5:$B$14,MATCH(F14,Parameters!$A$5:$A$14,0))),INDEX(Parameters!$B$5:$B$14,MATCH(F14,Parameters!$A$5:$A$14,0)),""),"")</f>
        <v>1</v>
      </c>
      <c r="Y14" s="12">
        <f>IF(G14&lt;&gt;"",1,IF(ISNUMBER(Parameters!$B$18),Parameters!$B$18,""))</f>
        <v>1</v>
      </c>
      <c r="Z14" s="12">
        <f>IF(I14&lt;&gt;"",IFERROR(IF(ISNUMBER(INDEX(Parameters!$B$5:$B$14,MATCH(I14,Parameters!$A$5:$A$14,0))),INDEX(Parameters!$B$5:$B$14,MATCH(I14,Parameters!$A$5:$A$14,0)),""),""),IF(ISNUMBER(Parameters!$B$21),Parameters!$B$21,""))</f>
        <v>1</v>
      </c>
      <c r="AA14" s="12">
        <f>IFERROR(IF(ISNUMBER(INDEX(Parameters!$B$5:$B$14,MATCH(J14,Parameters!$A$5:$A$14,0))),INDEX(Parameters!$B$5:$B$14,MATCH(J14,Parameters!$A$5:$A$14,0)),""),"")</f>
        <v>1</v>
      </c>
      <c r="AB14" s="12">
        <f>IFERROR(IF(ISNUMBER(INDEX(Parameters!$B$5:$B$14,MATCH(K14,Parameters!$A$5:$A$14,0))),INDEX(Parameters!$B$5:$B$14,MATCH(K14,Parameters!$A$5:$A$14,0)),""),"")</f>
        <v>1</v>
      </c>
      <c r="AC14" s="12">
        <f>IFERROR(IF(ISNUMBER(INDEX(Parameters!$B$5:$B$14,MATCH(L14,Parameters!$A$5:$A$14,0))),INDEX(Parameters!$B$5:$B$14,MATCH(L14,Parameters!$A$5:$A$14,0)),""),"")</f>
        <v>1</v>
      </c>
      <c r="AD14" s="12">
        <f>IFERROR(IF(ISNUMBER(INDEX(Parameters!$B$5:$B$14,MATCH(M14,Parameters!$A$5:$A$14,0))),INDEX(Parameters!$B$5:$B$14,MATCH(M14,Parameters!$A$5:$A$14,0)),""),"")</f>
        <v>1</v>
      </c>
      <c r="AE14" s="12">
        <f>IF(N14&lt;&gt;"",1,IF(ISNUMBER(Parameters!$B$19),Parameters!$B$19,""))</f>
        <v>0</v>
      </c>
      <c r="AF14" s="12">
        <f>IF((Parameters!$I$5*ISNUMBER(V14)+Parameters!$I$6*ISNUMBER(W14)+Parameters!$I$7*ISNUMBER(X14)+Parameters!$I$8*ISNUMBER(Y14))=0,"",(Parameters!$I$5*N(V14)+Parameters!$I$6*N(W14)+Parameters!$I$7*N(X14)+Parameters!$I$8*N(Y14))/(Parameters!$I$5*ISNUMBER(V14)+Parameters!$I$6*ISNUMBER(W14)+Parameters!$I$7*ISNUMBER(X14)+Parameters!$I$8*ISNUMBER(Y14)))</f>
        <v>1</v>
      </c>
      <c r="AG14" s="12">
        <f>IF((Parameters!$I$9*ISNUMBER(Z14))=0,"",(Parameters!$I$9*N(Z14))/(Parameters!$I$9*ISNUMBER(Z14)))</f>
        <v>1</v>
      </c>
      <c r="AH14" s="12">
        <f>IF((Parameters!$I$11*ISNUMBER(AA14)+Parameters!$I$12*ISNUMBER(AB14)+Parameters!$I$13*ISNUMBER(AC14)+Parameters!$I$14*ISNUMBER(AD14)+Parameters!$I$15*ISNUMBER(AE14))=0,"",(Parameters!$I$11*N(AA14)+Parameters!$I$12*N(AB14)+Parameters!$I$13*N(AC14)+Parameters!$I$14*N(AD14)+Parameters!$I$15*N(AE14))/(Parameters!$I$11*ISNUMBER(AA14)+Parameters!$I$12*ISNUMBER(AB14)+Parameters!$I$13*ISNUMBER(AC14)+Parameters!$I$14*ISNUMBER(AD14)+Parameters!$I$15*ISNUMBER(AE14)))</f>
        <v>0.8</v>
      </c>
      <c r="AI14" s="13">
        <f>Parameters!$I$5*ISNUMBER(V14)+Parameters!$I$6*ISNUMBER(W14)+Parameters!$I$7*ISNUMBER(X14)+Parameters!$I$8*ISNUMBER(Y14)+Parameters!$I$9*ISNUMBER(Z14)+Parameters!$I$11*ISNUMBER(AA14)+Parameters!$I$12*ISNUMBER(AB14)+Parameters!$I$13*ISNUMBER(AC14)+Parameters!$I$14*ISNUMBER(AD14)+Parameters!$I$15*ISNUMBER(AE14)</f>
        <v>95</v>
      </c>
      <c r="AJ14" s="14">
        <f>IF((Parameters!$I$5+Parameters!$I$6+Parameters!$I$7+Parameters!$I$8+Parameters!$I$9+Parameters!$I$11+Parameters!$I$12+Parameters!$I$13+Parameters!$I$14+Parameters!$I$15)=0,"",AI14/(Parameters!$I$5+Parameters!$I$6+Parameters!$I$7+Parameters!$I$8+Parameters!$I$9+Parameters!$I$11+Parameters!$I$12+Parameters!$I$13+Parameters!$I$14+Parameters!$I$15))</f>
        <v>1</v>
      </c>
      <c r="AK14" s="15">
        <f>IF(AND(ISNUMBER(AF14),ISNUMBER(AH14),OR(NOT((Parameters!$I$9)&gt;0),ISNUMBER(AG14)),AJ14&gt;=Parameters!$B$20),100*(Parameters!$F$18*N(AF14)+Parameters!$F$19*N(AG14)+Parameters!$F$20*N(AH14))/(Parameters!$F$18*ISNUMBER(AF14)+Parameters!$F$19*ISNUMBER(AG14)+Parameters!$F$20*ISNUMBER(AH14)),"")</f>
        <v>93</v>
      </c>
      <c r="AL14" s="16">
        <f>IF(ISNUMBER(AK14),RANK(AK14,$AK$2:$AK$113),"")</f>
        <v>12</v>
      </c>
      <c r="AM14" s="14">
        <f>IF(((D14="Implemented/available")+(E14="Implemented/available")+(J14="Implemented/available")+(K14="Implemented/available")+(L14="Implemented/available")+(M14="Implemented/available"))=0,"",(AND(D14="Implemented/available",O14&lt;&gt;"")+AND(E14="Implemented/available",P14&lt;&gt;"")+AND(J14="Implemented/available",Q14&lt;&gt;"")+AND(K14="Implemented/available",R14&lt;&gt;"")+AND(L14="Implemented/available",S14&lt;&gt;"")+AND(M14="Implemented/available",T14&lt;&gt;""))/((D14="Implemented/available")+(E14="Implemented/available")+(J14="Implemented/available")+(K14="Implemented/available")+(L14="Implemented/available")+(M14="Implemented/available")))</f>
        <v>1</v>
      </c>
    </row>
    <row r="15" spans="1:39" x14ac:dyDescent="0.25">
      <c r="A15" s="6" t="s">
        <v>472</v>
      </c>
      <c r="B15" s="6" t="s">
        <v>473</v>
      </c>
      <c r="C15" s="6" t="s">
        <v>474</v>
      </c>
      <c r="D15" s="6" t="s">
        <v>29</v>
      </c>
      <c r="E15" s="6" t="s">
        <v>29</v>
      </c>
      <c r="F15" s="6" t="s">
        <v>29</v>
      </c>
      <c r="G15" s="6" t="s">
        <v>117</v>
      </c>
      <c r="H15" s="6"/>
      <c r="I15" s="6" t="s">
        <v>32</v>
      </c>
      <c r="J15" s="6" t="s">
        <v>29</v>
      </c>
      <c r="K15" s="6" t="s">
        <v>38</v>
      </c>
      <c r="L15" s="6" t="s">
        <v>41</v>
      </c>
      <c r="M15" s="6" t="s">
        <v>29</v>
      </c>
      <c r="N15" s="6" t="s">
        <v>242</v>
      </c>
      <c r="O15" s="6" t="s">
        <v>475</v>
      </c>
      <c r="P15" s="6" t="s">
        <v>476</v>
      </c>
      <c r="Q15" s="6" t="s">
        <v>477</v>
      </c>
      <c r="R15" s="6"/>
      <c r="S15" s="6"/>
      <c r="T15" s="6" t="s">
        <v>478</v>
      </c>
      <c r="U15" s="6" t="s">
        <v>479</v>
      </c>
      <c r="V15" s="12">
        <f>IFERROR(IF(ISNUMBER(INDEX(Parameters!$B$5:$B$14,MATCH(D15,Parameters!$A$5:$A$14,0))),INDEX(Parameters!$B$5:$B$14,MATCH(D15,Parameters!$A$5:$A$14,0)),""),"")</f>
        <v>1</v>
      </c>
      <c r="W15" s="12">
        <f>IFERROR(IF(ISNUMBER(INDEX(Parameters!$B$5:$B$14,MATCH(E15,Parameters!$A$5:$A$14,0))),INDEX(Parameters!$B$5:$B$14,MATCH(E15,Parameters!$A$5:$A$14,0)),""),"")</f>
        <v>1</v>
      </c>
      <c r="X15" s="12">
        <f>IFERROR(IF(ISNUMBER(INDEX(Parameters!$B$5:$B$14,MATCH(F15,Parameters!$A$5:$A$14,0))),INDEX(Parameters!$B$5:$B$14,MATCH(F15,Parameters!$A$5:$A$14,0)),""),"")</f>
        <v>1</v>
      </c>
      <c r="Y15" s="12">
        <f>IF(G15&lt;&gt;"",1,IF(ISNUMBER(Parameters!$B$18),Parameters!$B$18,""))</f>
        <v>1</v>
      </c>
      <c r="Z15" s="12">
        <f>IF(I15&lt;&gt;"",IFERROR(IF(ISNUMBER(INDEX(Parameters!$B$5:$B$14,MATCH(I15,Parameters!$A$5:$A$14,0))),INDEX(Parameters!$B$5:$B$14,MATCH(I15,Parameters!$A$5:$A$14,0)),""),""),IF(ISNUMBER(Parameters!$B$21),Parameters!$B$21,""))</f>
        <v>1</v>
      </c>
      <c r="AA15" s="12">
        <f>IFERROR(IF(ISNUMBER(INDEX(Parameters!$B$5:$B$14,MATCH(J15,Parameters!$A$5:$A$14,0))),INDEX(Parameters!$B$5:$B$14,MATCH(J15,Parameters!$A$5:$A$14,0)),""),"")</f>
        <v>1</v>
      </c>
      <c r="AB15" s="12">
        <f>IFERROR(IF(ISNUMBER(INDEX(Parameters!$B$5:$B$14,MATCH(K15,Parameters!$A$5:$A$14,0))),INDEX(Parameters!$B$5:$B$14,MATCH(K15,Parameters!$A$5:$A$14,0)),""),"")</f>
        <v>0.67</v>
      </c>
      <c r="AC15" s="12">
        <f>IFERROR(IF(ISNUMBER(INDEX(Parameters!$B$5:$B$14,MATCH(L15,Parameters!$A$5:$A$14,0))),INDEX(Parameters!$B$5:$B$14,MATCH(L15,Parameters!$A$5:$A$14,0)),""),"")</f>
        <v>0.33</v>
      </c>
      <c r="AD15" s="12">
        <f>IFERROR(IF(ISNUMBER(INDEX(Parameters!$B$5:$B$14,MATCH(M15,Parameters!$A$5:$A$14,0))),INDEX(Parameters!$B$5:$B$14,MATCH(M15,Parameters!$A$5:$A$14,0)),""),"")</f>
        <v>1</v>
      </c>
      <c r="AE15" s="12">
        <f>IF(N15&lt;&gt;"",1,IF(ISNUMBER(Parameters!$B$19),Parameters!$B$19,""))</f>
        <v>1</v>
      </c>
      <c r="AF15" s="12">
        <f>IF((Parameters!$I$5*ISNUMBER(V15)+Parameters!$I$6*ISNUMBER(W15)+Parameters!$I$7*ISNUMBER(X15)+Parameters!$I$8*ISNUMBER(Y15))=0,"",(Parameters!$I$5*N(V15)+Parameters!$I$6*N(W15)+Parameters!$I$7*N(X15)+Parameters!$I$8*N(Y15))/(Parameters!$I$5*ISNUMBER(V15)+Parameters!$I$6*ISNUMBER(W15)+Parameters!$I$7*ISNUMBER(X15)+Parameters!$I$8*ISNUMBER(Y15)))</f>
        <v>1</v>
      </c>
      <c r="AG15" s="12">
        <f>IF((Parameters!$I$9*ISNUMBER(Z15))=0,"",(Parameters!$I$9*N(Z15))/(Parameters!$I$9*ISNUMBER(Z15)))</f>
        <v>1</v>
      </c>
      <c r="AH15" s="12">
        <f>IF((Parameters!$I$11*ISNUMBER(AA15)+Parameters!$I$12*ISNUMBER(AB15)+Parameters!$I$13*ISNUMBER(AC15)+Parameters!$I$14*ISNUMBER(AD15)+Parameters!$I$15*ISNUMBER(AE15))=0,"",(Parameters!$I$11*N(AA15)+Parameters!$I$12*N(AB15)+Parameters!$I$13*N(AC15)+Parameters!$I$14*N(AD15)+Parameters!$I$15*N(AE15))/(Parameters!$I$11*ISNUMBER(AA15)+Parameters!$I$12*ISNUMBER(AB15)+Parameters!$I$13*ISNUMBER(AC15)+Parameters!$I$14*ISNUMBER(AD15)+Parameters!$I$15*ISNUMBER(AE15)))</f>
        <v>0.8</v>
      </c>
      <c r="AI15" s="13">
        <f>Parameters!$I$5*ISNUMBER(V15)+Parameters!$I$6*ISNUMBER(W15)+Parameters!$I$7*ISNUMBER(X15)+Parameters!$I$8*ISNUMBER(Y15)+Parameters!$I$9*ISNUMBER(Z15)+Parameters!$I$11*ISNUMBER(AA15)+Parameters!$I$12*ISNUMBER(AB15)+Parameters!$I$13*ISNUMBER(AC15)+Parameters!$I$14*ISNUMBER(AD15)+Parameters!$I$15*ISNUMBER(AE15)</f>
        <v>95</v>
      </c>
      <c r="AJ15" s="14">
        <f>IF((Parameters!$I$5+Parameters!$I$6+Parameters!$I$7+Parameters!$I$8+Parameters!$I$9+Parameters!$I$11+Parameters!$I$12+Parameters!$I$13+Parameters!$I$14+Parameters!$I$15)=0,"",AI15/(Parameters!$I$5+Parameters!$I$6+Parameters!$I$7+Parameters!$I$8+Parameters!$I$9+Parameters!$I$11+Parameters!$I$12+Parameters!$I$13+Parameters!$I$14+Parameters!$I$15))</f>
        <v>1</v>
      </c>
      <c r="AK15" s="15">
        <f>IF(AND(ISNUMBER(AF15),ISNUMBER(AH15),OR(NOT((Parameters!$I$9)&gt;0),ISNUMBER(AG15)),AJ15&gt;=Parameters!$B$20),100*(Parameters!$F$18*N(AF15)+Parameters!$F$19*N(AG15)+Parameters!$F$20*N(AH15))/(Parameters!$F$18*ISNUMBER(AF15)+Parameters!$F$19*ISNUMBER(AG15)+Parameters!$F$20*ISNUMBER(AH15)),"")</f>
        <v>93</v>
      </c>
      <c r="AL15" s="16">
        <f>IF(ISNUMBER(AK15),RANK(AK15,$AK$2:$AK$113),"")</f>
        <v>12</v>
      </c>
      <c r="AM15" s="14">
        <f>IF(((D15="Implemented/available")+(E15="Implemented/available")+(J15="Implemented/available")+(K15="Implemented/available")+(L15="Implemented/available")+(M15="Implemented/available"))=0,"",(AND(D15="Implemented/available",O15&lt;&gt;"")+AND(E15="Implemented/available",P15&lt;&gt;"")+AND(J15="Implemented/available",Q15&lt;&gt;"")+AND(K15="Implemented/available",R15&lt;&gt;"")+AND(L15="Implemented/available",S15&lt;&gt;"")+AND(M15="Implemented/available",T15&lt;&gt;""))/((D15="Implemented/available")+(E15="Implemented/available")+(J15="Implemented/available")+(K15="Implemented/available")+(L15="Implemented/available")+(M15="Implemented/available")))</f>
        <v>1</v>
      </c>
    </row>
    <row r="16" spans="1:39" x14ac:dyDescent="0.25">
      <c r="A16" s="6" t="s">
        <v>664</v>
      </c>
      <c r="B16" s="6" t="s">
        <v>324</v>
      </c>
      <c r="C16" s="6" t="s">
        <v>665</v>
      </c>
      <c r="D16" s="6" t="s">
        <v>29</v>
      </c>
      <c r="E16" s="6" t="s">
        <v>29</v>
      </c>
      <c r="F16" s="6" t="s">
        <v>29</v>
      </c>
      <c r="G16" s="6" t="s">
        <v>117</v>
      </c>
      <c r="H16" s="6"/>
      <c r="I16" s="6" t="s">
        <v>32</v>
      </c>
      <c r="J16" s="6" t="s">
        <v>38</v>
      </c>
      <c r="K16" s="6" t="s">
        <v>34</v>
      </c>
      <c r="L16" s="6" t="s">
        <v>41</v>
      </c>
      <c r="M16" s="6" t="s">
        <v>29</v>
      </c>
      <c r="N16" s="6" t="s">
        <v>124</v>
      </c>
      <c r="O16" s="6" t="s">
        <v>666</v>
      </c>
      <c r="P16" s="6" t="s">
        <v>667</v>
      </c>
      <c r="Q16" s="6"/>
      <c r="R16" s="6"/>
      <c r="S16" s="6"/>
      <c r="T16" s="6" t="s">
        <v>668</v>
      </c>
      <c r="U16" s="6" t="s">
        <v>669</v>
      </c>
      <c r="V16" s="12">
        <f>IFERROR(IF(ISNUMBER(INDEX(Parameters!$B$5:$B$14,MATCH(D16,Parameters!$A$5:$A$14,0))),INDEX(Parameters!$B$5:$B$14,MATCH(D16,Parameters!$A$5:$A$14,0)),""),"")</f>
        <v>1</v>
      </c>
      <c r="W16" s="12">
        <f>IFERROR(IF(ISNUMBER(INDEX(Parameters!$B$5:$B$14,MATCH(E16,Parameters!$A$5:$A$14,0))),INDEX(Parameters!$B$5:$B$14,MATCH(E16,Parameters!$A$5:$A$14,0)),""),"")</f>
        <v>1</v>
      </c>
      <c r="X16" s="12">
        <f>IFERROR(IF(ISNUMBER(INDEX(Parameters!$B$5:$B$14,MATCH(F16,Parameters!$A$5:$A$14,0))),INDEX(Parameters!$B$5:$B$14,MATCH(F16,Parameters!$A$5:$A$14,0)),""),"")</f>
        <v>1</v>
      </c>
      <c r="Y16" s="12">
        <f>IF(G16&lt;&gt;"",1,IF(ISNUMBER(Parameters!$B$18),Parameters!$B$18,""))</f>
        <v>1</v>
      </c>
      <c r="Z16" s="12">
        <f>IF(I16&lt;&gt;"",IFERROR(IF(ISNUMBER(INDEX(Parameters!$B$5:$B$14,MATCH(I16,Parameters!$A$5:$A$14,0))),INDEX(Parameters!$B$5:$B$14,MATCH(I16,Parameters!$A$5:$A$14,0)),""),""),IF(ISNUMBER(Parameters!$B$21),Parameters!$B$21,""))</f>
        <v>1</v>
      </c>
      <c r="AA16" s="12">
        <f>IFERROR(IF(ISNUMBER(INDEX(Parameters!$B$5:$B$14,MATCH(J16,Parameters!$A$5:$A$14,0))),INDEX(Parameters!$B$5:$B$14,MATCH(J16,Parameters!$A$5:$A$14,0)),""),"")</f>
        <v>0.67</v>
      </c>
      <c r="AB16" s="12">
        <f>IFERROR(IF(ISNUMBER(INDEX(Parameters!$B$5:$B$14,MATCH(K16,Parameters!$A$5:$A$14,0))),INDEX(Parameters!$B$5:$B$14,MATCH(K16,Parameters!$A$5:$A$14,0)),""),"")</f>
        <v>1</v>
      </c>
      <c r="AC16" s="12">
        <f>IFERROR(IF(ISNUMBER(INDEX(Parameters!$B$5:$B$14,MATCH(L16,Parameters!$A$5:$A$14,0))),INDEX(Parameters!$B$5:$B$14,MATCH(L16,Parameters!$A$5:$A$14,0)),""),"")</f>
        <v>0.33</v>
      </c>
      <c r="AD16" s="12">
        <f>IFERROR(IF(ISNUMBER(INDEX(Parameters!$B$5:$B$14,MATCH(M16,Parameters!$A$5:$A$14,0))),INDEX(Parameters!$B$5:$B$14,MATCH(M16,Parameters!$A$5:$A$14,0)),""),"")</f>
        <v>1</v>
      </c>
      <c r="AE16" s="12">
        <f>IF(N16&lt;&gt;"",1,IF(ISNUMBER(Parameters!$B$19),Parameters!$B$19,""))</f>
        <v>1</v>
      </c>
      <c r="AF16" s="12">
        <f>IF((Parameters!$I$5*ISNUMBER(V16)+Parameters!$I$6*ISNUMBER(W16)+Parameters!$I$7*ISNUMBER(X16)+Parameters!$I$8*ISNUMBER(Y16))=0,"",(Parameters!$I$5*N(V16)+Parameters!$I$6*N(W16)+Parameters!$I$7*N(X16)+Parameters!$I$8*N(Y16))/(Parameters!$I$5*ISNUMBER(V16)+Parameters!$I$6*ISNUMBER(W16)+Parameters!$I$7*ISNUMBER(X16)+Parameters!$I$8*ISNUMBER(Y16)))</f>
        <v>1</v>
      </c>
      <c r="AG16" s="12">
        <f>IF((Parameters!$I$9*ISNUMBER(Z16))=0,"",(Parameters!$I$9*N(Z16))/(Parameters!$I$9*ISNUMBER(Z16)))</f>
        <v>1</v>
      </c>
      <c r="AH16" s="12">
        <f>IF((Parameters!$I$11*ISNUMBER(AA16)+Parameters!$I$12*ISNUMBER(AB16)+Parameters!$I$13*ISNUMBER(AC16)+Parameters!$I$14*ISNUMBER(AD16)+Parameters!$I$15*ISNUMBER(AE16))=0,"",(Parameters!$I$11*N(AA16)+Parameters!$I$12*N(AB16)+Parameters!$I$13*N(AC16)+Parameters!$I$14*N(AD16)+Parameters!$I$15*N(AE16))/(Parameters!$I$11*ISNUMBER(AA16)+Parameters!$I$12*ISNUMBER(AB16)+Parameters!$I$13*ISNUMBER(AC16)+Parameters!$I$14*ISNUMBER(AD16)+Parameters!$I$15*ISNUMBER(AE16)))</f>
        <v>0.8</v>
      </c>
      <c r="AI16" s="13">
        <f>Parameters!$I$5*ISNUMBER(V16)+Parameters!$I$6*ISNUMBER(W16)+Parameters!$I$7*ISNUMBER(X16)+Parameters!$I$8*ISNUMBER(Y16)+Parameters!$I$9*ISNUMBER(Z16)+Parameters!$I$11*ISNUMBER(AA16)+Parameters!$I$12*ISNUMBER(AB16)+Parameters!$I$13*ISNUMBER(AC16)+Parameters!$I$14*ISNUMBER(AD16)+Parameters!$I$15*ISNUMBER(AE16)</f>
        <v>95</v>
      </c>
      <c r="AJ16" s="14">
        <f>IF((Parameters!$I$5+Parameters!$I$6+Parameters!$I$7+Parameters!$I$8+Parameters!$I$9+Parameters!$I$11+Parameters!$I$12+Parameters!$I$13+Parameters!$I$14+Parameters!$I$15)=0,"",AI16/(Parameters!$I$5+Parameters!$I$6+Parameters!$I$7+Parameters!$I$8+Parameters!$I$9+Parameters!$I$11+Parameters!$I$12+Parameters!$I$13+Parameters!$I$14+Parameters!$I$15))</f>
        <v>1</v>
      </c>
      <c r="AK16" s="15">
        <f>IF(AND(ISNUMBER(AF16),ISNUMBER(AH16),OR(NOT((Parameters!$I$9)&gt;0),ISNUMBER(AG16)),AJ16&gt;=Parameters!$B$20),100*(Parameters!$F$18*N(AF16)+Parameters!$F$19*N(AG16)+Parameters!$F$20*N(AH16))/(Parameters!$F$18*ISNUMBER(AF16)+Parameters!$F$19*ISNUMBER(AG16)+Parameters!$F$20*ISNUMBER(AH16)),"")</f>
        <v>93</v>
      </c>
      <c r="AL16" s="16">
        <f>IF(ISNUMBER(AK16),RANK(AK16,$AK$2:$AK$113),"")</f>
        <v>12</v>
      </c>
      <c r="AM16" s="14">
        <f>IF(((D16="Implemented/available")+(E16="Implemented/available")+(J16="Implemented/available")+(K16="Implemented/available")+(L16="Implemented/available")+(M16="Implemented/available"))=0,"",(AND(D16="Implemented/available",O16&lt;&gt;"")+AND(E16="Implemented/available",P16&lt;&gt;"")+AND(J16="Implemented/available",Q16&lt;&gt;"")+AND(K16="Implemented/available",R16&lt;&gt;"")+AND(L16="Implemented/available",S16&lt;&gt;"")+AND(M16="Implemented/available",T16&lt;&gt;""))/((D16="Implemented/available")+(E16="Implemented/available")+(J16="Implemented/available")+(K16="Implemented/available")+(L16="Implemented/available")+(M16="Implemented/available")))</f>
        <v>1</v>
      </c>
    </row>
    <row r="17" spans="1:39" x14ac:dyDescent="0.25">
      <c r="A17" s="6" t="s">
        <v>172</v>
      </c>
      <c r="B17" s="6" t="s">
        <v>173</v>
      </c>
      <c r="C17" s="6" t="s">
        <v>132</v>
      </c>
      <c r="D17" s="6" t="s">
        <v>29</v>
      </c>
      <c r="E17" s="6" t="s">
        <v>29</v>
      </c>
      <c r="F17" s="6" t="s">
        <v>29</v>
      </c>
      <c r="G17" s="6" t="s">
        <v>123</v>
      </c>
      <c r="H17" s="6"/>
      <c r="I17" s="6" t="s">
        <v>32</v>
      </c>
      <c r="J17" s="6" t="s">
        <v>29</v>
      </c>
      <c r="K17" s="6" t="s">
        <v>29</v>
      </c>
      <c r="L17" s="6" t="s">
        <v>48</v>
      </c>
      <c r="M17" s="6" t="s">
        <v>29</v>
      </c>
      <c r="N17" s="6"/>
      <c r="O17" s="6" t="s">
        <v>174</v>
      </c>
      <c r="P17" s="6" t="s">
        <v>175</v>
      </c>
      <c r="Q17" s="6" t="s">
        <v>176</v>
      </c>
      <c r="R17" s="6" t="s">
        <v>177</v>
      </c>
      <c r="S17" s="6"/>
      <c r="T17" s="6" t="s">
        <v>178</v>
      </c>
      <c r="U17" s="6" t="s">
        <v>179</v>
      </c>
      <c r="V17" s="12">
        <f>IFERROR(IF(ISNUMBER(INDEX(Parameters!$B$5:$B$14,MATCH(D17,Parameters!$A$5:$A$14,0))),INDEX(Parameters!$B$5:$B$14,MATCH(D17,Parameters!$A$5:$A$14,0)),""),"")</f>
        <v>1</v>
      </c>
      <c r="W17" s="12">
        <f>IFERROR(IF(ISNUMBER(INDEX(Parameters!$B$5:$B$14,MATCH(E17,Parameters!$A$5:$A$14,0))),INDEX(Parameters!$B$5:$B$14,MATCH(E17,Parameters!$A$5:$A$14,0)),""),"")</f>
        <v>1</v>
      </c>
      <c r="X17" s="12">
        <f>IFERROR(IF(ISNUMBER(INDEX(Parameters!$B$5:$B$14,MATCH(F17,Parameters!$A$5:$A$14,0))),INDEX(Parameters!$B$5:$B$14,MATCH(F17,Parameters!$A$5:$A$14,0)),""),"")</f>
        <v>1</v>
      </c>
      <c r="Y17" s="12">
        <f>IF(G17&lt;&gt;"",1,IF(ISNUMBER(Parameters!$B$18),Parameters!$B$18,""))</f>
        <v>1</v>
      </c>
      <c r="Z17" s="12">
        <f>IF(I17&lt;&gt;"",IFERROR(IF(ISNUMBER(INDEX(Parameters!$B$5:$B$14,MATCH(I17,Parameters!$A$5:$A$14,0))),INDEX(Parameters!$B$5:$B$14,MATCH(I17,Parameters!$A$5:$A$14,0)),""),""),IF(ISNUMBER(Parameters!$B$21),Parameters!$B$21,""))</f>
        <v>1</v>
      </c>
      <c r="AA17" s="12">
        <f>IFERROR(IF(ISNUMBER(INDEX(Parameters!$B$5:$B$14,MATCH(J17,Parameters!$A$5:$A$14,0))),INDEX(Parameters!$B$5:$B$14,MATCH(J17,Parameters!$A$5:$A$14,0)),""),"")</f>
        <v>1</v>
      </c>
      <c r="AB17" s="12">
        <f>IFERROR(IF(ISNUMBER(INDEX(Parameters!$B$5:$B$14,MATCH(K17,Parameters!$A$5:$A$14,0))),INDEX(Parameters!$B$5:$B$14,MATCH(K17,Parameters!$A$5:$A$14,0)),""),"")</f>
        <v>1</v>
      </c>
      <c r="AC17" s="12" t="str">
        <f>IFERROR(IF(ISNUMBER(INDEX(Parameters!$B$5:$B$14,MATCH(L17,Parameters!$A$5:$A$14,0))),INDEX(Parameters!$B$5:$B$14,MATCH(L17,Parameters!$A$5:$A$14,0)),""),"")</f>
        <v/>
      </c>
      <c r="AD17" s="12">
        <f>IFERROR(IF(ISNUMBER(INDEX(Parameters!$B$5:$B$14,MATCH(M17,Parameters!$A$5:$A$14,0))),INDEX(Parameters!$B$5:$B$14,MATCH(M17,Parameters!$A$5:$A$14,0)),""),"")</f>
        <v>1</v>
      </c>
      <c r="AE17" s="12">
        <f>IF(N17&lt;&gt;"",1,IF(ISNUMBER(Parameters!$B$19),Parameters!$B$19,""))</f>
        <v>0</v>
      </c>
      <c r="AF17" s="12">
        <f>IF((Parameters!$I$5*ISNUMBER(V17)+Parameters!$I$6*ISNUMBER(W17)+Parameters!$I$7*ISNUMBER(X17)+Parameters!$I$8*ISNUMBER(Y17))=0,"",(Parameters!$I$5*N(V17)+Parameters!$I$6*N(W17)+Parameters!$I$7*N(X17)+Parameters!$I$8*N(Y17))/(Parameters!$I$5*ISNUMBER(V17)+Parameters!$I$6*ISNUMBER(W17)+Parameters!$I$7*ISNUMBER(X17)+Parameters!$I$8*ISNUMBER(Y17)))</f>
        <v>1</v>
      </c>
      <c r="AG17" s="12">
        <f>IF((Parameters!$I$9*ISNUMBER(Z17))=0,"",(Parameters!$I$9*N(Z17))/(Parameters!$I$9*ISNUMBER(Z17)))</f>
        <v>1</v>
      </c>
      <c r="AH17" s="12">
        <f>IF((Parameters!$I$11*ISNUMBER(AA17)+Parameters!$I$12*ISNUMBER(AB17)+Parameters!$I$13*ISNUMBER(AC17)+Parameters!$I$14*ISNUMBER(AD17)+Parameters!$I$15*ISNUMBER(AE17))=0,"",(Parameters!$I$11*N(AA17)+Parameters!$I$12*N(AB17)+Parameters!$I$13*N(AC17)+Parameters!$I$14*N(AD17)+Parameters!$I$15*N(AE17))/(Parameters!$I$11*ISNUMBER(AA17)+Parameters!$I$12*ISNUMBER(AB17)+Parameters!$I$13*ISNUMBER(AC17)+Parameters!$I$14*ISNUMBER(AD17)+Parameters!$I$15*ISNUMBER(AE17)))</f>
        <v>0.75</v>
      </c>
      <c r="AI17" s="13">
        <f>Parameters!$I$5*ISNUMBER(V17)+Parameters!$I$6*ISNUMBER(W17)+Parameters!$I$7*ISNUMBER(X17)+Parameters!$I$8*ISNUMBER(Y17)+Parameters!$I$9*ISNUMBER(Z17)+Parameters!$I$11*ISNUMBER(AA17)+Parameters!$I$12*ISNUMBER(AB17)+Parameters!$I$13*ISNUMBER(AC17)+Parameters!$I$14*ISNUMBER(AD17)+Parameters!$I$15*ISNUMBER(AE17)</f>
        <v>88</v>
      </c>
      <c r="AJ17" s="14">
        <f>IF((Parameters!$I$5+Parameters!$I$6+Parameters!$I$7+Parameters!$I$8+Parameters!$I$9+Parameters!$I$11+Parameters!$I$12+Parameters!$I$13+Parameters!$I$14+Parameters!$I$15)=0,"",AI17/(Parameters!$I$5+Parameters!$I$6+Parameters!$I$7+Parameters!$I$8+Parameters!$I$9+Parameters!$I$11+Parameters!$I$12+Parameters!$I$13+Parameters!$I$14+Parameters!$I$15))</f>
        <v>0.9263157894736842</v>
      </c>
      <c r="AK17" s="15">
        <f>IF(AND(ISNUMBER(AF17),ISNUMBER(AH17),OR(NOT((Parameters!$I$9)&gt;0),ISNUMBER(AG17)),AJ17&gt;=Parameters!$B$20),100*(Parameters!$F$18*N(AF17)+Parameters!$F$19*N(AG17)+Parameters!$F$20*N(AH17))/(Parameters!$F$18*ISNUMBER(AF17)+Parameters!$F$19*ISNUMBER(AG17)+Parameters!$F$20*ISNUMBER(AH17)),"")</f>
        <v>91.25</v>
      </c>
      <c r="AL17" s="16">
        <f>IF(ISNUMBER(AK17),RANK(AK17,$AK$2:$AK$113),"")</f>
        <v>16</v>
      </c>
      <c r="AM17" s="14">
        <f>IF(((D17="Implemented/available")+(E17="Implemented/available")+(J17="Implemented/available")+(K17="Implemented/available")+(L17="Implemented/available")+(M17="Implemented/available"))=0,"",(AND(D17="Implemented/available",O17&lt;&gt;"")+AND(E17="Implemented/available",P17&lt;&gt;"")+AND(J17="Implemented/available",Q17&lt;&gt;"")+AND(K17="Implemented/available",R17&lt;&gt;"")+AND(L17="Implemented/available",S17&lt;&gt;"")+AND(M17="Implemented/available",T17&lt;&gt;""))/((D17="Implemented/available")+(E17="Implemented/available")+(J17="Implemented/available")+(K17="Implemented/available")+(L17="Implemented/available")+(M17="Implemented/available")))</f>
        <v>1</v>
      </c>
    </row>
    <row r="18" spans="1:39" x14ac:dyDescent="0.25">
      <c r="A18" s="6" t="s">
        <v>397</v>
      </c>
      <c r="B18" s="6" t="s">
        <v>398</v>
      </c>
      <c r="C18" s="6" t="s">
        <v>151</v>
      </c>
      <c r="D18" s="6" t="s">
        <v>29</v>
      </c>
      <c r="E18" s="6" t="s">
        <v>29</v>
      </c>
      <c r="F18" s="6" t="s">
        <v>29</v>
      </c>
      <c r="G18" s="6" t="s">
        <v>117</v>
      </c>
      <c r="H18" s="6"/>
      <c r="I18" s="6" t="s">
        <v>32</v>
      </c>
      <c r="J18" s="6" t="s">
        <v>53</v>
      </c>
      <c r="K18" s="6" t="s">
        <v>29</v>
      </c>
      <c r="L18" s="6" t="s">
        <v>29</v>
      </c>
      <c r="M18" s="6" t="s">
        <v>29</v>
      </c>
      <c r="N18" s="6"/>
      <c r="O18" s="6" t="s">
        <v>399</v>
      </c>
      <c r="P18" s="6" t="s">
        <v>400</v>
      </c>
      <c r="Q18" s="6"/>
      <c r="R18" s="6" t="s">
        <v>401</v>
      </c>
      <c r="S18" s="6" t="s">
        <v>402</v>
      </c>
      <c r="T18" s="6" t="s">
        <v>403</v>
      </c>
      <c r="U18" s="6" t="s">
        <v>404</v>
      </c>
      <c r="V18" s="12">
        <f>IFERROR(IF(ISNUMBER(INDEX(Parameters!$B$5:$B$14,MATCH(D18,Parameters!$A$5:$A$14,0))),INDEX(Parameters!$B$5:$B$14,MATCH(D18,Parameters!$A$5:$A$14,0)),""),"")</f>
        <v>1</v>
      </c>
      <c r="W18" s="12">
        <f>IFERROR(IF(ISNUMBER(INDEX(Parameters!$B$5:$B$14,MATCH(E18,Parameters!$A$5:$A$14,0))),INDEX(Parameters!$B$5:$B$14,MATCH(E18,Parameters!$A$5:$A$14,0)),""),"")</f>
        <v>1</v>
      </c>
      <c r="X18" s="12">
        <f>IFERROR(IF(ISNUMBER(INDEX(Parameters!$B$5:$B$14,MATCH(F18,Parameters!$A$5:$A$14,0))),INDEX(Parameters!$B$5:$B$14,MATCH(F18,Parameters!$A$5:$A$14,0)),""),"")</f>
        <v>1</v>
      </c>
      <c r="Y18" s="12">
        <f>IF(G18&lt;&gt;"",1,IF(ISNUMBER(Parameters!$B$18),Parameters!$B$18,""))</f>
        <v>1</v>
      </c>
      <c r="Z18" s="12">
        <f>IF(I18&lt;&gt;"",IFERROR(IF(ISNUMBER(INDEX(Parameters!$B$5:$B$14,MATCH(I18,Parameters!$A$5:$A$14,0))),INDEX(Parameters!$B$5:$B$14,MATCH(I18,Parameters!$A$5:$A$14,0)),""),""),IF(ISNUMBER(Parameters!$B$21),Parameters!$B$21,""))</f>
        <v>1</v>
      </c>
      <c r="AA18" s="12" t="str">
        <f>IFERROR(IF(ISNUMBER(INDEX(Parameters!$B$5:$B$14,MATCH(J18,Parameters!$A$5:$A$14,0))),INDEX(Parameters!$B$5:$B$14,MATCH(J18,Parameters!$A$5:$A$14,0)),""),"")</f>
        <v/>
      </c>
      <c r="AB18" s="12">
        <f>IFERROR(IF(ISNUMBER(INDEX(Parameters!$B$5:$B$14,MATCH(K18,Parameters!$A$5:$A$14,0))),INDEX(Parameters!$B$5:$B$14,MATCH(K18,Parameters!$A$5:$A$14,0)),""),"")</f>
        <v>1</v>
      </c>
      <c r="AC18" s="12">
        <f>IFERROR(IF(ISNUMBER(INDEX(Parameters!$B$5:$B$14,MATCH(L18,Parameters!$A$5:$A$14,0))),INDEX(Parameters!$B$5:$B$14,MATCH(L18,Parameters!$A$5:$A$14,0)),""),"")</f>
        <v>1</v>
      </c>
      <c r="AD18" s="12">
        <f>IFERROR(IF(ISNUMBER(INDEX(Parameters!$B$5:$B$14,MATCH(M18,Parameters!$A$5:$A$14,0))),INDEX(Parameters!$B$5:$B$14,MATCH(M18,Parameters!$A$5:$A$14,0)),""),"")</f>
        <v>1</v>
      </c>
      <c r="AE18" s="12">
        <f>IF(N18&lt;&gt;"",1,IF(ISNUMBER(Parameters!$B$19),Parameters!$B$19,""))</f>
        <v>0</v>
      </c>
      <c r="AF18" s="12">
        <f>IF((Parameters!$I$5*ISNUMBER(V18)+Parameters!$I$6*ISNUMBER(W18)+Parameters!$I$7*ISNUMBER(X18)+Parameters!$I$8*ISNUMBER(Y18))=0,"",(Parameters!$I$5*N(V18)+Parameters!$I$6*N(W18)+Parameters!$I$7*N(X18)+Parameters!$I$8*N(Y18))/(Parameters!$I$5*ISNUMBER(V18)+Parameters!$I$6*ISNUMBER(W18)+Parameters!$I$7*ISNUMBER(X18)+Parameters!$I$8*ISNUMBER(Y18)))</f>
        <v>1</v>
      </c>
      <c r="AG18" s="12">
        <f>IF((Parameters!$I$9*ISNUMBER(Z18))=0,"",(Parameters!$I$9*N(Z18))/(Parameters!$I$9*ISNUMBER(Z18)))</f>
        <v>1</v>
      </c>
      <c r="AH18" s="12">
        <f>IF((Parameters!$I$11*ISNUMBER(AA18)+Parameters!$I$12*ISNUMBER(AB18)+Parameters!$I$13*ISNUMBER(AC18)+Parameters!$I$14*ISNUMBER(AD18)+Parameters!$I$15*ISNUMBER(AE18))=0,"",(Parameters!$I$11*N(AA18)+Parameters!$I$12*N(AB18)+Parameters!$I$13*N(AC18)+Parameters!$I$14*N(AD18)+Parameters!$I$15*N(AE18))/(Parameters!$I$11*ISNUMBER(AA18)+Parameters!$I$12*ISNUMBER(AB18)+Parameters!$I$13*ISNUMBER(AC18)+Parameters!$I$14*ISNUMBER(AD18)+Parameters!$I$15*ISNUMBER(AE18)))</f>
        <v>0.75</v>
      </c>
      <c r="AI18" s="13">
        <f>Parameters!$I$5*ISNUMBER(V18)+Parameters!$I$6*ISNUMBER(W18)+Parameters!$I$7*ISNUMBER(X18)+Parameters!$I$8*ISNUMBER(Y18)+Parameters!$I$9*ISNUMBER(Z18)+Parameters!$I$11*ISNUMBER(AA18)+Parameters!$I$12*ISNUMBER(AB18)+Parameters!$I$13*ISNUMBER(AC18)+Parameters!$I$14*ISNUMBER(AD18)+Parameters!$I$15*ISNUMBER(AE18)</f>
        <v>88</v>
      </c>
      <c r="AJ18" s="14">
        <f>IF((Parameters!$I$5+Parameters!$I$6+Parameters!$I$7+Parameters!$I$8+Parameters!$I$9+Parameters!$I$11+Parameters!$I$12+Parameters!$I$13+Parameters!$I$14+Parameters!$I$15)=0,"",AI18/(Parameters!$I$5+Parameters!$I$6+Parameters!$I$7+Parameters!$I$8+Parameters!$I$9+Parameters!$I$11+Parameters!$I$12+Parameters!$I$13+Parameters!$I$14+Parameters!$I$15))</f>
        <v>0.9263157894736842</v>
      </c>
      <c r="AK18" s="15">
        <f>IF(AND(ISNUMBER(AF18),ISNUMBER(AH18),OR(NOT((Parameters!$I$9)&gt;0),ISNUMBER(AG18)),AJ18&gt;=Parameters!$B$20),100*(Parameters!$F$18*N(AF18)+Parameters!$F$19*N(AG18)+Parameters!$F$20*N(AH18))/(Parameters!$F$18*ISNUMBER(AF18)+Parameters!$F$19*ISNUMBER(AG18)+Parameters!$F$20*ISNUMBER(AH18)),"")</f>
        <v>91.25</v>
      </c>
      <c r="AL18" s="16">
        <f>IF(ISNUMBER(AK18),RANK(AK18,$AK$2:$AK$113),"")</f>
        <v>16</v>
      </c>
      <c r="AM18" s="14">
        <f>IF(((D18="Implemented/available")+(E18="Implemented/available")+(J18="Implemented/available")+(K18="Implemented/available")+(L18="Implemented/available")+(M18="Implemented/available"))=0,"",(AND(D18="Implemented/available",O18&lt;&gt;"")+AND(E18="Implemented/available",P18&lt;&gt;"")+AND(J18="Implemented/available",Q18&lt;&gt;"")+AND(K18="Implemented/available",R18&lt;&gt;"")+AND(L18="Implemented/available",S18&lt;&gt;"")+AND(M18="Implemented/available",T18&lt;&gt;""))/((D18="Implemented/available")+(E18="Implemented/available")+(J18="Implemented/available")+(K18="Implemented/available")+(L18="Implemented/available")+(M18="Implemented/available")))</f>
        <v>1</v>
      </c>
    </row>
    <row r="19" spans="1:39" x14ac:dyDescent="0.25">
      <c r="A19" s="6" t="s">
        <v>278</v>
      </c>
      <c r="B19" s="6" t="s">
        <v>278</v>
      </c>
      <c r="C19" s="6" t="s">
        <v>279</v>
      </c>
      <c r="D19" s="6" t="s">
        <v>29</v>
      </c>
      <c r="E19" s="6" t="s">
        <v>29</v>
      </c>
      <c r="F19" s="6" t="s">
        <v>29</v>
      </c>
      <c r="G19" s="6" t="s">
        <v>117</v>
      </c>
      <c r="H19" s="6"/>
      <c r="I19" s="6" t="s">
        <v>32</v>
      </c>
      <c r="J19" s="6" t="s">
        <v>38</v>
      </c>
      <c r="K19" s="6" t="s">
        <v>29</v>
      </c>
      <c r="L19" s="6" t="s">
        <v>29</v>
      </c>
      <c r="M19" s="6" t="s">
        <v>29</v>
      </c>
      <c r="N19" s="6"/>
      <c r="O19" s="6" t="s">
        <v>280</v>
      </c>
      <c r="P19" s="6" t="s">
        <v>280</v>
      </c>
      <c r="Q19" s="6"/>
      <c r="R19" s="6" t="s">
        <v>281</v>
      </c>
      <c r="S19" s="6" t="s">
        <v>282</v>
      </c>
      <c r="T19" s="6" t="s">
        <v>283</v>
      </c>
      <c r="U19" s="6" t="s">
        <v>284</v>
      </c>
      <c r="V19" s="12">
        <f>IFERROR(IF(ISNUMBER(INDEX(Parameters!$B$5:$B$14,MATCH(D19,Parameters!$A$5:$A$14,0))),INDEX(Parameters!$B$5:$B$14,MATCH(D19,Parameters!$A$5:$A$14,0)),""),"")</f>
        <v>1</v>
      </c>
      <c r="W19" s="12">
        <f>IFERROR(IF(ISNUMBER(INDEX(Parameters!$B$5:$B$14,MATCH(E19,Parameters!$A$5:$A$14,0))),INDEX(Parameters!$B$5:$B$14,MATCH(E19,Parameters!$A$5:$A$14,0)),""),"")</f>
        <v>1</v>
      </c>
      <c r="X19" s="12">
        <f>IFERROR(IF(ISNUMBER(INDEX(Parameters!$B$5:$B$14,MATCH(F19,Parameters!$A$5:$A$14,0))),INDEX(Parameters!$B$5:$B$14,MATCH(F19,Parameters!$A$5:$A$14,0)),""),"")</f>
        <v>1</v>
      </c>
      <c r="Y19" s="12">
        <f>IF(G19&lt;&gt;"",1,IF(ISNUMBER(Parameters!$B$18),Parameters!$B$18,""))</f>
        <v>1</v>
      </c>
      <c r="Z19" s="12">
        <f>IF(I19&lt;&gt;"",IFERROR(IF(ISNUMBER(INDEX(Parameters!$B$5:$B$14,MATCH(I19,Parameters!$A$5:$A$14,0))),INDEX(Parameters!$B$5:$B$14,MATCH(I19,Parameters!$A$5:$A$14,0)),""),""),IF(ISNUMBER(Parameters!$B$21),Parameters!$B$21,""))</f>
        <v>1</v>
      </c>
      <c r="AA19" s="12">
        <f>IFERROR(IF(ISNUMBER(INDEX(Parameters!$B$5:$B$14,MATCH(J19,Parameters!$A$5:$A$14,0))),INDEX(Parameters!$B$5:$B$14,MATCH(J19,Parameters!$A$5:$A$14,0)),""),"")</f>
        <v>0.67</v>
      </c>
      <c r="AB19" s="12">
        <f>IFERROR(IF(ISNUMBER(INDEX(Parameters!$B$5:$B$14,MATCH(K19,Parameters!$A$5:$A$14,0))),INDEX(Parameters!$B$5:$B$14,MATCH(K19,Parameters!$A$5:$A$14,0)),""),"")</f>
        <v>1</v>
      </c>
      <c r="AC19" s="12">
        <f>IFERROR(IF(ISNUMBER(INDEX(Parameters!$B$5:$B$14,MATCH(L19,Parameters!$A$5:$A$14,0))),INDEX(Parameters!$B$5:$B$14,MATCH(L19,Parameters!$A$5:$A$14,0)),""),"")</f>
        <v>1</v>
      </c>
      <c r="AD19" s="12">
        <f>IFERROR(IF(ISNUMBER(INDEX(Parameters!$B$5:$B$14,MATCH(M19,Parameters!$A$5:$A$14,0))),INDEX(Parameters!$B$5:$B$14,MATCH(M19,Parameters!$A$5:$A$14,0)),""),"")</f>
        <v>1</v>
      </c>
      <c r="AE19" s="12">
        <f>IF(N19&lt;&gt;"",1,IF(ISNUMBER(Parameters!$B$19),Parameters!$B$19,""))</f>
        <v>0</v>
      </c>
      <c r="AF19" s="12">
        <f>IF((Parameters!$I$5*ISNUMBER(V19)+Parameters!$I$6*ISNUMBER(W19)+Parameters!$I$7*ISNUMBER(X19)+Parameters!$I$8*ISNUMBER(Y19))=0,"",(Parameters!$I$5*N(V19)+Parameters!$I$6*N(W19)+Parameters!$I$7*N(X19)+Parameters!$I$8*N(Y19))/(Parameters!$I$5*ISNUMBER(V19)+Parameters!$I$6*ISNUMBER(W19)+Parameters!$I$7*ISNUMBER(X19)+Parameters!$I$8*ISNUMBER(Y19)))</f>
        <v>1</v>
      </c>
      <c r="AG19" s="12">
        <f>IF((Parameters!$I$9*ISNUMBER(Z19))=0,"",(Parameters!$I$9*N(Z19))/(Parameters!$I$9*ISNUMBER(Z19)))</f>
        <v>1</v>
      </c>
      <c r="AH19" s="12">
        <f>IF((Parameters!$I$11*ISNUMBER(AA19)+Parameters!$I$12*ISNUMBER(AB19)+Parameters!$I$13*ISNUMBER(AC19)+Parameters!$I$14*ISNUMBER(AD19)+Parameters!$I$15*ISNUMBER(AE19))=0,"",(Parameters!$I$11*N(AA19)+Parameters!$I$12*N(AB19)+Parameters!$I$13*N(AC19)+Parameters!$I$14*N(AD19)+Parameters!$I$15*N(AE19))/(Parameters!$I$11*ISNUMBER(AA19)+Parameters!$I$12*ISNUMBER(AB19)+Parameters!$I$13*ISNUMBER(AC19)+Parameters!$I$14*ISNUMBER(AD19)+Parameters!$I$15*ISNUMBER(AE19)))</f>
        <v>0.73399999999999999</v>
      </c>
      <c r="AI19" s="13">
        <f>Parameters!$I$5*ISNUMBER(V19)+Parameters!$I$6*ISNUMBER(W19)+Parameters!$I$7*ISNUMBER(X19)+Parameters!$I$8*ISNUMBER(Y19)+Parameters!$I$9*ISNUMBER(Z19)+Parameters!$I$11*ISNUMBER(AA19)+Parameters!$I$12*ISNUMBER(AB19)+Parameters!$I$13*ISNUMBER(AC19)+Parameters!$I$14*ISNUMBER(AD19)+Parameters!$I$15*ISNUMBER(AE19)</f>
        <v>95</v>
      </c>
      <c r="AJ19" s="14">
        <f>IF((Parameters!$I$5+Parameters!$I$6+Parameters!$I$7+Parameters!$I$8+Parameters!$I$9+Parameters!$I$11+Parameters!$I$12+Parameters!$I$13+Parameters!$I$14+Parameters!$I$15)=0,"",AI19/(Parameters!$I$5+Parameters!$I$6+Parameters!$I$7+Parameters!$I$8+Parameters!$I$9+Parameters!$I$11+Parameters!$I$12+Parameters!$I$13+Parameters!$I$14+Parameters!$I$15))</f>
        <v>1</v>
      </c>
      <c r="AK19" s="15">
        <f>IF(AND(ISNUMBER(AF19),ISNUMBER(AH19),OR(NOT((Parameters!$I$9)&gt;0),ISNUMBER(AG19)),AJ19&gt;=Parameters!$B$20),100*(Parameters!$F$18*N(AF19)+Parameters!$F$19*N(AG19)+Parameters!$F$20*N(AH19))/(Parameters!$F$18*ISNUMBER(AF19)+Parameters!$F$19*ISNUMBER(AG19)+Parameters!$F$20*ISNUMBER(AH19)),"")</f>
        <v>90.69</v>
      </c>
      <c r="AL19" s="16">
        <f>IF(ISNUMBER(AK19),RANK(AK19,$AK$2:$AK$113),"")</f>
        <v>18</v>
      </c>
      <c r="AM19" s="14">
        <f>IF(((D19="Implemented/available")+(E19="Implemented/available")+(J19="Implemented/available")+(K19="Implemented/available")+(L19="Implemented/available")+(M19="Implemented/available"))=0,"",(AND(D19="Implemented/available",O19&lt;&gt;"")+AND(E19="Implemented/available",P19&lt;&gt;"")+AND(J19="Implemented/available",Q19&lt;&gt;"")+AND(K19="Implemented/available",R19&lt;&gt;"")+AND(L19="Implemented/available",S19&lt;&gt;"")+AND(M19="Implemented/available",T19&lt;&gt;""))/((D19="Implemented/available")+(E19="Implemented/available")+(J19="Implemented/available")+(K19="Implemented/available")+(L19="Implemented/available")+(M19="Implemented/available")))</f>
        <v>1</v>
      </c>
    </row>
    <row r="20" spans="1:39" x14ac:dyDescent="0.25">
      <c r="A20" s="6" t="s">
        <v>317</v>
      </c>
      <c r="B20" s="6" t="s">
        <v>317</v>
      </c>
      <c r="C20" s="6" t="s">
        <v>132</v>
      </c>
      <c r="D20" s="6" t="s">
        <v>29</v>
      </c>
      <c r="E20" s="6" t="s">
        <v>29</v>
      </c>
      <c r="F20" s="6" t="s">
        <v>29</v>
      </c>
      <c r="G20" s="6" t="s">
        <v>184</v>
      </c>
      <c r="H20" s="6"/>
      <c r="I20" s="6" t="s">
        <v>32</v>
      </c>
      <c r="J20" s="6" t="s">
        <v>29</v>
      </c>
      <c r="K20" s="6" t="s">
        <v>29</v>
      </c>
      <c r="L20" s="6" t="s">
        <v>38</v>
      </c>
      <c r="M20" s="6" t="s">
        <v>29</v>
      </c>
      <c r="N20" s="6"/>
      <c r="O20" s="6" t="s">
        <v>318</v>
      </c>
      <c r="P20" s="6" t="s">
        <v>319</v>
      </c>
      <c r="Q20" s="6"/>
      <c r="R20" s="6" t="s">
        <v>320</v>
      </c>
      <c r="S20" s="6"/>
      <c r="T20" s="6" t="s">
        <v>321</v>
      </c>
      <c r="U20" s="6" t="s">
        <v>322</v>
      </c>
      <c r="V20" s="12">
        <f>IFERROR(IF(ISNUMBER(INDEX(Parameters!$B$5:$B$14,MATCH(D20,Parameters!$A$5:$A$14,0))),INDEX(Parameters!$B$5:$B$14,MATCH(D20,Parameters!$A$5:$A$14,0)),""),"")</f>
        <v>1</v>
      </c>
      <c r="W20" s="12">
        <f>IFERROR(IF(ISNUMBER(INDEX(Parameters!$B$5:$B$14,MATCH(E20,Parameters!$A$5:$A$14,0))),INDEX(Parameters!$B$5:$B$14,MATCH(E20,Parameters!$A$5:$A$14,0)),""),"")</f>
        <v>1</v>
      </c>
      <c r="X20" s="12">
        <f>IFERROR(IF(ISNUMBER(INDEX(Parameters!$B$5:$B$14,MATCH(F20,Parameters!$A$5:$A$14,0))),INDEX(Parameters!$B$5:$B$14,MATCH(F20,Parameters!$A$5:$A$14,0)),""),"")</f>
        <v>1</v>
      </c>
      <c r="Y20" s="12">
        <f>IF(G20&lt;&gt;"",1,IF(ISNUMBER(Parameters!$B$18),Parameters!$B$18,""))</f>
        <v>1</v>
      </c>
      <c r="Z20" s="12">
        <f>IF(I20&lt;&gt;"",IFERROR(IF(ISNUMBER(INDEX(Parameters!$B$5:$B$14,MATCH(I20,Parameters!$A$5:$A$14,0))),INDEX(Parameters!$B$5:$B$14,MATCH(I20,Parameters!$A$5:$A$14,0)),""),""),IF(ISNUMBER(Parameters!$B$21),Parameters!$B$21,""))</f>
        <v>1</v>
      </c>
      <c r="AA20" s="12">
        <f>IFERROR(IF(ISNUMBER(INDEX(Parameters!$B$5:$B$14,MATCH(J20,Parameters!$A$5:$A$14,0))),INDEX(Parameters!$B$5:$B$14,MATCH(J20,Parameters!$A$5:$A$14,0)),""),"")</f>
        <v>1</v>
      </c>
      <c r="AB20" s="12">
        <f>IFERROR(IF(ISNUMBER(INDEX(Parameters!$B$5:$B$14,MATCH(K20,Parameters!$A$5:$A$14,0))),INDEX(Parameters!$B$5:$B$14,MATCH(K20,Parameters!$A$5:$A$14,0)),""),"")</f>
        <v>1</v>
      </c>
      <c r="AC20" s="12">
        <f>IFERROR(IF(ISNUMBER(INDEX(Parameters!$B$5:$B$14,MATCH(L20,Parameters!$A$5:$A$14,0))),INDEX(Parameters!$B$5:$B$14,MATCH(L20,Parameters!$A$5:$A$14,0)),""),"")</f>
        <v>0.67</v>
      </c>
      <c r="AD20" s="12">
        <f>IFERROR(IF(ISNUMBER(INDEX(Parameters!$B$5:$B$14,MATCH(M20,Parameters!$A$5:$A$14,0))),INDEX(Parameters!$B$5:$B$14,MATCH(M20,Parameters!$A$5:$A$14,0)),""),"")</f>
        <v>1</v>
      </c>
      <c r="AE20" s="12">
        <f>IF(N20&lt;&gt;"",1,IF(ISNUMBER(Parameters!$B$19),Parameters!$B$19,""))</f>
        <v>0</v>
      </c>
      <c r="AF20" s="12">
        <f>IF((Parameters!$I$5*ISNUMBER(V20)+Parameters!$I$6*ISNUMBER(W20)+Parameters!$I$7*ISNUMBER(X20)+Parameters!$I$8*ISNUMBER(Y20))=0,"",(Parameters!$I$5*N(V20)+Parameters!$I$6*N(W20)+Parameters!$I$7*N(X20)+Parameters!$I$8*N(Y20))/(Parameters!$I$5*ISNUMBER(V20)+Parameters!$I$6*ISNUMBER(W20)+Parameters!$I$7*ISNUMBER(X20)+Parameters!$I$8*ISNUMBER(Y20)))</f>
        <v>1</v>
      </c>
      <c r="AG20" s="12">
        <f>IF((Parameters!$I$9*ISNUMBER(Z20))=0,"",(Parameters!$I$9*N(Z20))/(Parameters!$I$9*ISNUMBER(Z20)))</f>
        <v>1</v>
      </c>
      <c r="AH20" s="12">
        <f>IF((Parameters!$I$11*ISNUMBER(AA20)+Parameters!$I$12*ISNUMBER(AB20)+Parameters!$I$13*ISNUMBER(AC20)+Parameters!$I$14*ISNUMBER(AD20)+Parameters!$I$15*ISNUMBER(AE20))=0,"",(Parameters!$I$11*N(AA20)+Parameters!$I$12*N(AB20)+Parameters!$I$13*N(AC20)+Parameters!$I$14*N(AD20)+Parameters!$I$15*N(AE20))/(Parameters!$I$11*ISNUMBER(AA20)+Parameters!$I$12*ISNUMBER(AB20)+Parameters!$I$13*ISNUMBER(AC20)+Parameters!$I$14*ISNUMBER(AD20)+Parameters!$I$15*ISNUMBER(AE20)))</f>
        <v>0.73399999999999999</v>
      </c>
      <c r="AI20" s="13">
        <f>Parameters!$I$5*ISNUMBER(V20)+Parameters!$I$6*ISNUMBER(W20)+Parameters!$I$7*ISNUMBER(X20)+Parameters!$I$8*ISNUMBER(Y20)+Parameters!$I$9*ISNUMBER(Z20)+Parameters!$I$11*ISNUMBER(AA20)+Parameters!$I$12*ISNUMBER(AB20)+Parameters!$I$13*ISNUMBER(AC20)+Parameters!$I$14*ISNUMBER(AD20)+Parameters!$I$15*ISNUMBER(AE20)</f>
        <v>95</v>
      </c>
      <c r="AJ20" s="14">
        <f>IF((Parameters!$I$5+Parameters!$I$6+Parameters!$I$7+Parameters!$I$8+Parameters!$I$9+Parameters!$I$11+Parameters!$I$12+Parameters!$I$13+Parameters!$I$14+Parameters!$I$15)=0,"",AI20/(Parameters!$I$5+Parameters!$I$6+Parameters!$I$7+Parameters!$I$8+Parameters!$I$9+Parameters!$I$11+Parameters!$I$12+Parameters!$I$13+Parameters!$I$14+Parameters!$I$15))</f>
        <v>1</v>
      </c>
      <c r="AK20" s="15">
        <f>IF(AND(ISNUMBER(AF20),ISNUMBER(AH20),OR(NOT((Parameters!$I$9)&gt;0),ISNUMBER(AG20)),AJ20&gt;=Parameters!$B$20),100*(Parameters!$F$18*N(AF20)+Parameters!$F$19*N(AG20)+Parameters!$F$20*N(AH20))/(Parameters!$F$18*ISNUMBER(AF20)+Parameters!$F$19*ISNUMBER(AG20)+Parameters!$F$20*ISNUMBER(AH20)),"")</f>
        <v>90.69</v>
      </c>
      <c r="AL20" s="16">
        <f>IF(ISNUMBER(AK20),RANK(AK20,$AK$2:$AK$113),"")</f>
        <v>18</v>
      </c>
      <c r="AM20" s="14">
        <f>IF(((D20="Implemented/available")+(E20="Implemented/available")+(J20="Implemented/available")+(K20="Implemented/available")+(L20="Implemented/available")+(M20="Implemented/available"))=0,"",(AND(D20="Implemented/available",O20&lt;&gt;"")+AND(E20="Implemented/available",P20&lt;&gt;"")+AND(J20="Implemented/available",Q20&lt;&gt;"")+AND(K20="Implemented/available",R20&lt;&gt;"")+AND(L20="Implemented/available",S20&lt;&gt;"")+AND(M20="Implemented/available",T20&lt;&gt;""))/((D20="Implemented/available")+(E20="Implemented/available")+(J20="Implemented/available")+(K20="Implemented/available")+(L20="Implemented/available")+(M20="Implemented/available")))</f>
        <v>0.8</v>
      </c>
    </row>
    <row r="21" spans="1:39" x14ac:dyDescent="0.25">
      <c r="A21" s="6" t="s">
        <v>377</v>
      </c>
      <c r="B21" s="6" t="s">
        <v>378</v>
      </c>
      <c r="C21" s="6" t="s">
        <v>379</v>
      </c>
      <c r="D21" s="6" t="s">
        <v>29</v>
      </c>
      <c r="E21" s="6" t="s">
        <v>29</v>
      </c>
      <c r="F21" s="6" t="s">
        <v>29</v>
      </c>
      <c r="G21" s="6" t="s">
        <v>123</v>
      </c>
      <c r="H21" s="6"/>
      <c r="I21" s="6" t="s">
        <v>32</v>
      </c>
      <c r="J21" s="6" t="s">
        <v>38</v>
      </c>
      <c r="K21" s="6" t="s">
        <v>34</v>
      </c>
      <c r="L21" s="6" t="s">
        <v>29</v>
      </c>
      <c r="M21" s="6" t="s">
        <v>29</v>
      </c>
      <c r="N21" s="6"/>
      <c r="O21" s="6" t="s">
        <v>380</v>
      </c>
      <c r="P21" s="6" t="s">
        <v>381</v>
      </c>
      <c r="Q21" s="6"/>
      <c r="R21" s="6"/>
      <c r="S21" s="6" t="s">
        <v>382</v>
      </c>
      <c r="T21" s="6" t="s">
        <v>383</v>
      </c>
      <c r="U21" s="6" t="s">
        <v>380</v>
      </c>
      <c r="V21" s="12">
        <f>IFERROR(IF(ISNUMBER(INDEX(Parameters!$B$5:$B$14,MATCH(D21,Parameters!$A$5:$A$14,0))),INDEX(Parameters!$B$5:$B$14,MATCH(D21,Parameters!$A$5:$A$14,0)),""),"")</f>
        <v>1</v>
      </c>
      <c r="W21" s="12">
        <f>IFERROR(IF(ISNUMBER(INDEX(Parameters!$B$5:$B$14,MATCH(E21,Parameters!$A$5:$A$14,0))),INDEX(Parameters!$B$5:$B$14,MATCH(E21,Parameters!$A$5:$A$14,0)),""),"")</f>
        <v>1</v>
      </c>
      <c r="X21" s="12">
        <f>IFERROR(IF(ISNUMBER(INDEX(Parameters!$B$5:$B$14,MATCH(F21,Parameters!$A$5:$A$14,0))),INDEX(Parameters!$B$5:$B$14,MATCH(F21,Parameters!$A$5:$A$14,0)),""),"")</f>
        <v>1</v>
      </c>
      <c r="Y21" s="12">
        <f>IF(G21&lt;&gt;"",1,IF(ISNUMBER(Parameters!$B$18),Parameters!$B$18,""))</f>
        <v>1</v>
      </c>
      <c r="Z21" s="12">
        <f>IF(I21&lt;&gt;"",IFERROR(IF(ISNUMBER(INDEX(Parameters!$B$5:$B$14,MATCH(I21,Parameters!$A$5:$A$14,0))),INDEX(Parameters!$B$5:$B$14,MATCH(I21,Parameters!$A$5:$A$14,0)),""),""),IF(ISNUMBER(Parameters!$B$21),Parameters!$B$21,""))</f>
        <v>1</v>
      </c>
      <c r="AA21" s="12">
        <f>IFERROR(IF(ISNUMBER(INDEX(Parameters!$B$5:$B$14,MATCH(J21,Parameters!$A$5:$A$14,0))),INDEX(Parameters!$B$5:$B$14,MATCH(J21,Parameters!$A$5:$A$14,0)),""),"")</f>
        <v>0.67</v>
      </c>
      <c r="AB21" s="12">
        <f>IFERROR(IF(ISNUMBER(INDEX(Parameters!$B$5:$B$14,MATCH(K21,Parameters!$A$5:$A$14,0))),INDEX(Parameters!$B$5:$B$14,MATCH(K21,Parameters!$A$5:$A$14,0)),""),"")</f>
        <v>1</v>
      </c>
      <c r="AC21" s="12">
        <f>IFERROR(IF(ISNUMBER(INDEX(Parameters!$B$5:$B$14,MATCH(L21,Parameters!$A$5:$A$14,0))),INDEX(Parameters!$B$5:$B$14,MATCH(L21,Parameters!$A$5:$A$14,0)),""),"")</f>
        <v>1</v>
      </c>
      <c r="AD21" s="12">
        <f>IFERROR(IF(ISNUMBER(INDEX(Parameters!$B$5:$B$14,MATCH(M21,Parameters!$A$5:$A$14,0))),INDEX(Parameters!$B$5:$B$14,MATCH(M21,Parameters!$A$5:$A$14,0)),""),"")</f>
        <v>1</v>
      </c>
      <c r="AE21" s="12">
        <f>IF(N21&lt;&gt;"",1,IF(ISNUMBER(Parameters!$B$19),Parameters!$B$19,""))</f>
        <v>0</v>
      </c>
      <c r="AF21" s="12">
        <f>IF((Parameters!$I$5*ISNUMBER(V21)+Parameters!$I$6*ISNUMBER(W21)+Parameters!$I$7*ISNUMBER(X21)+Parameters!$I$8*ISNUMBER(Y21))=0,"",(Parameters!$I$5*N(V21)+Parameters!$I$6*N(W21)+Parameters!$I$7*N(X21)+Parameters!$I$8*N(Y21))/(Parameters!$I$5*ISNUMBER(V21)+Parameters!$I$6*ISNUMBER(W21)+Parameters!$I$7*ISNUMBER(X21)+Parameters!$I$8*ISNUMBER(Y21)))</f>
        <v>1</v>
      </c>
      <c r="AG21" s="12">
        <f>IF((Parameters!$I$9*ISNUMBER(Z21))=0,"",(Parameters!$I$9*N(Z21))/(Parameters!$I$9*ISNUMBER(Z21)))</f>
        <v>1</v>
      </c>
      <c r="AH21" s="12">
        <f>IF((Parameters!$I$11*ISNUMBER(AA21)+Parameters!$I$12*ISNUMBER(AB21)+Parameters!$I$13*ISNUMBER(AC21)+Parameters!$I$14*ISNUMBER(AD21)+Parameters!$I$15*ISNUMBER(AE21))=0,"",(Parameters!$I$11*N(AA21)+Parameters!$I$12*N(AB21)+Parameters!$I$13*N(AC21)+Parameters!$I$14*N(AD21)+Parameters!$I$15*N(AE21))/(Parameters!$I$11*ISNUMBER(AA21)+Parameters!$I$12*ISNUMBER(AB21)+Parameters!$I$13*ISNUMBER(AC21)+Parameters!$I$14*ISNUMBER(AD21)+Parameters!$I$15*ISNUMBER(AE21)))</f>
        <v>0.73399999999999999</v>
      </c>
      <c r="AI21" s="13">
        <f>Parameters!$I$5*ISNUMBER(V21)+Parameters!$I$6*ISNUMBER(W21)+Parameters!$I$7*ISNUMBER(X21)+Parameters!$I$8*ISNUMBER(Y21)+Parameters!$I$9*ISNUMBER(Z21)+Parameters!$I$11*ISNUMBER(AA21)+Parameters!$I$12*ISNUMBER(AB21)+Parameters!$I$13*ISNUMBER(AC21)+Parameters!$I$14*ISNUMBER(AD21)+Parameters!$I$15*ISNUMBER(AE21)</f>
        <v>95</v>
      </c>
      <c r="AJ21" s="14">
        <f>IF((Parameters!$I$5+Parameters!$I$6+Parameters!$I$7+Parameters!$I$8+Parameters!$I$9+Parameters!$I$11+Parameters!$I$12+Parameters!$I$13+Parameters!$I$14+Parameters!$I$15)=0,"",AI21/(Parameters!$I$5+Parameters!$I$6+Parameters!$I$7+Parameters!$I$8+Parameters!$I$9+Parameters!$I$11+Parameters!$I$12+Parameters!$I$13+Parameters!$I$14+Parameters!$I$15))</f>
        <v>1</v>
      </c>
      <c r="AK21" s="15">
        <f>IF(AND(ISNUMBER(AF21),ISNUMBER(AH21),OR(NOT((Parameters!$I$9)&gt;0),ISNUMBER(AG21)),AJ21&gt;=Parameters!$B$20),100*(Parameters!$F$18*N(AF21)+Parameters!$F$19*N(AG21)+Parameters!$F$20*N(AH21))/(Parameters!$F$18*ISNUMBER(AF21)+Parameters!$F$19*ISNUMBER(AG21)+Parameters!$F$20*ISNUMBER(AH21)),"")</f>
        <v>90.69</v>
      </c>
      <c r="AL21" s="16">
        <f>IF(ISNUMBER(AK21),RANK(AK21,$AK$2:$AK$113),"")</f>
        <v>18</v>
      </c>
      <c r="AM21" s="14">
        <f>IF(((D21="Implemented/available")+(E21="Implemented/available")+(J21="Implemented/available")+(K21="Implemented/available")+(L21="Implemented/available")+(M21="Implemented/available"))=0,"",(AND(D21="Implemented/available",O21&lt;&gt;"")+AND(E21="Implemented/available",P21&lt;&gt;"")+AND(J21="Implemented/available",Q21&lt;&gt;"")+AND(K21="Implemented/available",R21&lt;&gt;"")+AND(L21="Implemented/available",S21&lt;&gt;"")+AND(M21="Implemented/available",T21&lt;&gt;""))/((D21="Implemented/available")+(E21="Implemented/available")+(J21="Implemented/available")+(K21="Implemented/available")+(L21="Implemented/available")+(M21="Implemented/available")))</f>
        <v>1</v>
      </c>
    </row>
    <row r="22" spans="1:39" x14ac:dyDescent="0.25">
      <c r="A22" s="6" t="s">
        <v>522</v>
      </c>
      <c r="B22" s="6" t="s">
        <v>523</v>
      </c>
      <c r="C22" s="6" t="s">
        <v>371</v>
      </c>
      <c r="D22" s="6" t="s">
        <v>29</v>
      </c>
      <c r="E22" s="6" t="s">
        <v>29</v>
      </c>
      <c r="F22" s="6" t="s">
        <v>29</v>
      </c>
      <c r="G22" s="6" t="s">
        <v>123</v>
      </c>
      <c r="H22" s="6"/>
      <c r="I22" s="6" t="s">
        <v>32</v>
      </c>
      <c r="J22" s="6" t="s">
        <v>29</v>
      </c>
      <c r="K22" s="6" t="s">
        <v>29</v>
      </c>
      <c r="L22" s="6" t="s">
        <v>38</v>
      </c>
      <c r="M22" s="6" t="s">
        <v>29</v>
      </c>
      <c r="N22" s="6"/>
      <c r="O22" s="6" t="s">
        <v>524</v>
      </c>
      <c r="P22" s="6" t="s">
        <v>525</v>
      </c>
      <c r="Q22" s="6" t="s">
        <v>526</v>
      </c>
      <c r="R22" s="6" t="s">
        <v>527</v>
      </c>
      <c r="S22" s="6" t="s">
        <v>528</v>
      </c>
      <c r="T22" s="6" t="s">
        <v>529</v>
      </c>
      <c r="U22" s="6" t="s">
        <v>530</v>
      </c>
      <c r="V22" s="12">
        <f>IFERROR(IF(ISNUMBER(INDEX(Parameters!$B$5:$B$14,MATCH(D22,Parameters!$A$5:$A$14,0))),INDEX(Parameters!$B$5:$B$14,MATCH(D22,Parameters!$A$5:$A$14,0)),""),"")</f>
        <v>1</v>
      </c>
      <c r="W22" s="12">
        <f>IFERROR(IF(ISNUMBER(INDEX(Parameters!$B$5:$B$14,MATCH(E22,Parameters!$A$5:$A$14,0))),INDEX(Parameters!$B$5:$B$14,MATCH(E22,Parameters!$A$5:$A$14,0)),""),"")</f>
        <v>1</v>
      </c>
      <c r="X22" s="12">
        <f>IFERROR(IF(ISNUMBER(INDEX(Parameters!$B$5:$B$14,MATCH(F22,Parameters!$A$5:$A$14,0))),INDEX(Parameters!$B$5:$B$14,MATCH(F22,Parameters!$A$5:$A$14,0)),""),"")</f>
        <v>1</v>
      </c>
      <c r="Y22" s="12">
        <f>IF(G22&lt;&gt;"",1,IF(ISNUMBER(Parameters!$B$18),Parameters!$B$18,""))</f>
        <v>1</v>
      </c>
      <c r="Z22" s="12">
        <f>IF(I22&lt;&gt;"",IFERROR(IF(ISNUMBER(INDEX(Parameters!$B$5:$B$14,MATCH(I22,Parameters!$A$5:$A$14,0))),INDEX(Parameters!$B$5:$B$14,MATCH(I22,Parameters!$A$5:$A$14,0)),""),""),IF(ISNUMBER(Parameters!$B$21),Parameters!$B$21,""))</f>
        <v>1</v>
      </c>
      <c r="AA22" s="12">
        <f>IFERROR(IF(ISNUMBER(INDEX(Parameters!$B$5:$B$14,MATCH(J22,Parameters!$A$5:$A$14,0))),INDEX(Parameters!$B$5:$B$14,MATCH(J22,Parameters!$A$5:$A$14,0)),""),"")</f>
        <v>1</v>
      </c>
      <c r="AB22" s="12">
        <f>IFERROR(IF(ISNUMBER(INDEX(Parameters!$B$5:$B$14,MATCH(K22,Parameters!$A$5:$A$14,0))),INDEX(Parameters!$B$5:$B$14,MATCH(K22,Parameters!$A$5:$A$14,0)),""),"")</f>
        <v>1</v>
      </c>
      <c r="AC22" s="12">
        <f>IFERROR(IF(ISNUMBER(INDEX(Parameters!$B$5:$B$14,MATCH(L22,Parameters!$A$5:$A$14,0))),INDEX(Parameters!$B$5:$B$14,MATCH(L22,Parameters!$A$5:$A$14,0)),""),"")</f>
        <v>0.67</v>
      </c>
      <c r="AD22" s="12">
        <f>IFERROR(IF(ISNUMBER(INDEX(Parameters!$B$5:$B$14,MATCH(M22,Parameters!$A$5:$A$14,0))),INDEX(Parameters!$B$5:$B$14,MATCH(M22,Parameters!$A$5:$A$14,0)),""),"")</f>
        <v>1</v>
      </c>
      <c r="AE22" s="12">
        <f>IF(N22&lt;&gt;"",1,IF(ISNUMBER(Parameters!$B$19),Parameters!$B$19,""))</f>
        <v>0</v>
      </c>
      <c r="AF22" s="12">
        <f>IF((Parameters!$I$5*ISNUMBER(V22)+Parameters!$I$6*ISNUMBER(W22)+Parameters!$I$7*ISNUMBER(X22)+Parameters!$I$8*ISNUMBER(Y22))=0,"",(Parameters!$I$5*N(V22)+Parameters!$I$6*N(W22)+Parameters!$I$7*N(X22)+Parameters!$I$8*N(Y22))/(Parameters!$I$5*ISNUMBER(V22)+Parameters!$I$6*ISNUMBER(W22)+Parameters!$I$7*ISNUMBER(X22)+Parameters!$I$8*ISNUMBER(Y22)))</f>
        <v>1</v>
      </c>
      <c r="AG22" s="12">
        <f>IF((Parameters!$I$9*ISNUMBER(Z22))=0,"",(Parameters!$I$9*N(Z22))/(Parameters!$I$9*ISNUMBER(Z22)))</f>
        <v>1</v>
      </c>
      <c r="AH22" s="12">
        <f>IF((Parameters!$I$11*ISNUMBER(AA22)+Parameters!$I$12*ISNUMBER(AB22)+Parameters!$I$13*ISNUMBER(AC22)+Parameters!$I$14*ISNUMBER(AD22)+Parameters!$I$15*ISNUMBER(AE22))=0,"",(Parameters!$I$11*N(AA22)+Parameters!$I$12*N(AB22)+Parameters!$I$13*N(AC22)+Parameters!$I$14*N(AD22)+Parameters!$I$15*N(AE22))/(Parameters!$I$11*ISNUMBER(AA22)+Parameters!$I$12*ISNUMBER(AB22)+Parameters!$I$13*ISNUMBER(AC22)+Parameters!$I$14*ISNUMBER(AD22)+Parameters!$I$15*ISNUMBER(AE22)))</f>
        <v>0.73399999999999999</v>
      </c>
      <c r="AI22" s="13">
        <f>Parameters!$I$5*ISNUMBER(V22)+Parameters!$I$6*ISNUMBER(W22)+Parameters!$I$7*ISNUMBER(X22)+Parameters!$I$8*ISNUMBER(Y22)+Parameters!$I$9*ISNUMBER(Z22)+Parameters!$I$11*ISNUMBER(AA22)+Parameters!$I$12*ISNUMBER(AB22)+Parameters!$I$13*ISNUMBER(AC22)+Parameters!$I$14*ISNUMBER(AD22)+Parameters!$I$15*ISNUMBER(AE22)</f>
        <v>95</v>
      </c>
      <c r="AJ22" s="14">
        <f>IF((Parameters!$I$5+Parameters!$I$6+Parameters!$I$7+Parameters!$I$8+Parameters!$I$9+Parameters!$I$11+Parameters!$I$12+Parameters!$I$13+Parameters!$I$14+Parameters!$I$15)=0,"",AI22/(Parameters!$I$5+Parameters!$I$6+Parameters!$I$7+Parameters!$I$8+Parameters!$I$9+Parameters!$I$11+Parameters!$I$12+Parameters!$I$13+Parameters!$I$14+Parameters!$I$15))</f>
        <v>1</v>
      </c>
      <c r="AK22" s="15">
        <f>IF(AND(ISNUMBER(AF22),ISNUMBER(AH22),OR(NOT((Parameters!$I$9)&gt;0),ISNUMBER(AG22)),AJ22&gt;=Parameters!$B$20),100*(Parameters!$F$18*N(AF22)+Parameters!$F$19*N(AG22)+Parameters!$F$20*N(AH22))/(Parameters!$F$18*ISNUMBER(AF22)+Parameters!$F$19*ISNUMBER(AG22)+Parameters!$F$20*ISNUMBER(AH22)),"")</f>
        <v>90.69</v>
      </c>
      <c r="AL22" s="16">
        <f>IF(ISNUMBER(AK22),RANK(AK22,$AK$2:$AK$113),"")</f>
        <v>18</v>
      </c>
      <c r="AM22" s="14">
        <f>IF(((D22="Implemented/available")+(E22="Implemented/available")+(J22="Implemented/available")+(K22="Implemented/available")+(L22="Implemented/available")+(M22="Implemented/available"))=0,"",(AND(D22="Implemented/available",O22&lt;&gt;"")+AND(E22="Implemented/available",P22&lt;&gt;"")+AND(J22="Implemented/available",Q22&lt;&gt;"")+AND(K22="Implemented/available",R22&lt;&gt;"")+AND(L22="Implemented/available",S22&lt;&gt;"")+AND(M22="Implemented/available",T22&lt;&gt;""))/((D22="Implemented/available")+(E22="Implemented/available")+(J22="Implemented/available")+(K22="Implemented/available")+(L22="Implemented/available")+(M22="Implemented/available")))</f>
        <v>1</v>
      </c>
    </row>
    <row r="23" spans="1:39" x14ac:dyDescent="0.25">
      <c r="A23" s="6" t="s">
        <v>531</v>
      </c>
      <c r="B23" s="6" t="s">
        <v>523</v>
      </c>
      <c r="C23" s="6" t="s">
        <v>371</v>
      </c>
      <c r="D23" s="6" t="s">
        <v>29</v>
      </c>
      <c r="E23" s="6" t="s">
        <v>29</v>
      </c>
      <c r="F23" s="6" t="s">
        <v>29</v>
      </c>
      <c r="G23" s="6" t="s">
        <v>123</v>
      </c>
      <c r="H23" s="6"/>
      <c r="I23" s="6" t="s">
        <v>32</v>
      </c>
      <c r="J23" s="6" t="s">
        <v>29</v>
      </c>
      <c r="K23" s="6" t="s">
        <v>29</v>
      </c>
      <c r="L23" s="6" t="s">
        <v>38</v>
      </c>
      <c r="M23" s="6" t="s">
        <v>29</v>
      </c>
      <c r="N23" s="6"/>
      <c r="O23" s="6" t="s">
        <v>524</v>
      </c>
      <c r="P23" s="6" t="s">
        <v>525</v>
      </c>
      <c r="Q23" s="6" t="s">
        <v>526</v>
      </c>
      <c r="R23" s="6" t="s">
        <v>532</v>
      </c>
      <c r="S23" s="6" t="s">
        <v>528</v>
      </c>
      <c r="T23" s="6" t="s">
        <v>529</v>
      </c>
      <c r="U23" s="6" t="s">
        <v>530</v>
      </c>
      <c r="V23" s="12">
        <f>IFERROR(IF(ISNUMBER(INDEX(Parameters!$B$5:$B$14,MATCH(D23,Parameters!$A$5:$A$14,0))),INDEX(Parameters!$B$5:$B$14,MATCH(D23,Parameters!$A$5:$A$14,0)),""),"")</f>
        <v>1</v>
      </c>
      <c r="W23" s="12">
        <f>IFERROR(IF(ISNUMBER(INDEX(Parameters!$B$5:$B$14,MATCH(E23,Parameters!$A$5:$A$14,0))),INDEX(Parameters!$B$5:$B$14,MATCH(E23,Parameters!$A$5:$A$14,0)),""),"")</f>
        <v>1</v>
      </c>
      <c r="X23" s="12">
        <f>IFERROR(IF(ISNUMBER(INDEX(Parameters!$B$5:$B$14,MATCH(F23,Parameters!$A$5:$A$14,0))),INDEX(Parameters!$B$5:$B$14,MATCH(F23,Parameters!$A$5:$A$14,0)),""),"")</f>
        <v>1</v>
      </c>
      <c r="Y23" s="12">
        <f>IF(G23&lt;&gt;"",1,IF(ISNUMBER(Parameters!$B$18),Parameters!$B$18,""))</f>
        <v>1</v>
      </c>
      <c r="Z23" s="12">
        <f>IF(I23&lt;&gt;"",IFERROR(IF(ISNUMBER(INDEX(Parameters!$B$5:$B$14,MATCH(I23,Parameters!$A$5:$A$14,0))),INDEX(Parameters!$B$5:$B$14,MATCH(I23,Parameters!$A$5:$A$14,0)),""),""),IF(ISNUMBER(Parameters!$B$21),Parameters!$B$21,""))</f>
        <v>1</v>
      </c>
      <c r="AA23" s="12">
        <f>IFERROR(IF(ISNUMBER(INDEX(Parameters!$B$5:$B$14,MATCH(J23,Parameters!$A$5:$A$14,0))),INDEX(Parameters!$B$5:$B$14,MATCH(J23,Parameters!$A$5:$A$14,0)),""),"")</f>
        <v>1</v>
      </c>
      <c r="AB23" s="12">
        <f>IFERROR(IF(ISNUMBER(INDEX(Parameters!$B$5:$B$14,MATCH(K23,Parameters!$A$5:$A$14,0))),INDEX(Parameters!$B$5:$B$14,MATCH(K23,Parameters!$A$5:$A$14,0)),""),"")</f>
        <v>1</v>
      </c>
      <c r="AC23" s="12">
        <f>IFERROR(IF(ISNUMBER(INDEX(Parameters!$B$5:$B$14,MATCH(L23,Parameters!$A$5:$A$14,0))),INDEX(Parameters!$B$5:$B$14,MATCH(L23,Parameters!$A$5:$A$14,0)),""),"")</f>
        <v>0.67</v>
      </c>
      <c r="AD23" s="12">
        <f>IFERROR(IF(ISNUMBER(INDEX(Parameters!$B$5:$B$14,MATCH(M23,Parameters!$A$5:$A$14,0))),INDEX(Parameters!$B$5:$B$14,MATCH(M23,Parameters!$A$5:$A$14,0)),""),"")</f>
        <v>1</v>
      </c>
      <c r="AE23" s="12">
        <f>IF(N23&lt;&gt;"",1,IF(ISNUMBER(Parameters!$B$19),Parameters!$B$19,""))</f>
        <v>0</v>
      </c>
      <c r="AF23" s="12">
        <f>IF((Parameters!$I$5*ISNUMBER(V23)+Parameters!$I$6*ISNUMBER(W23)+Parameters!$I$7*ISNUMBER(X23)+Parameters!$I$8*ISNUMBER(Y23))=0,"",(Parameters!$I$5*N(V23)+Parameters!$I$6*N(W23)+Parameters!$I$7*N(X23)+Parameters!$I$8*N(Y23))/(Parameters!$I$5*ISNUMBER(V23)+Parameters!$I$6*ISNUMBER(W23)+Parameters!$I$7*ISNUMBER(X23)+Parameters!$I$8*ISNUMBER(Y23)))</f>
        <v>1</v>
      </c>
      <c r="AG23" s="12">
        <f>IF((Parameters!$I$9*ISNUMBER(Z23))=0,"",(Parameters!$I$9*N(Z23))/(Parameters!$I$9*ISNUMBER(Z23)))</f>
        <v>1</v>
      </c>
      <c r="AH23" s="12">
        <f>IF((Parameters!$I$11*ISNUMBER(AA23)+Parameters!$I$12*ISNUMBER(AB23)+Parameters!$I$13*ISNUMBER(AC23)+Parameters!$I$14*ISNUMBER(AD23)+Parameters!$I$15*ISNUMBER(AE23))=0,"",(Parameters!$I$11*N(AA23)+Parameters!$I$12*N(AB23)+Parameters!$I$13*N(AC23)+Parameters!$I$14*N(AD23)+Parameters!$I$15*N(AE23))/(Parameters!$I$11*ISNUMBER(AA23)+Parameters!$I$12*ISNUMBER(AB23)+Parameters!$I$13*ISNUMBER(AC23)+Parameters!$I$14*ISNUMBER(AD23)+Parameters!$I$15*ISNUMBER(AE23)))</f>
        <v>0.73399999999999999</v>
      </c>
      <c r="AI23" s="13">
        <f>Parameters!$I$5*ISNUMBER(V23)+Parameters!$I$6*ISNUMBER(W23)+Parameters!$I$7*ISNUMBER(X23)+Parameters!$I$8*ISNUMBER(Y23)+Parameters!$I$9*ISNUMBER(Z23)+Parameters!$I$11*ISNUMBER(AA23)+Parameters!$I$12*ISNUMBER(AB23)+Parameters!$I$13*ISNUMBER(AC23)+Parameters!$I$14*ISNUMBER(AD23)+Parameters!$I$15*ISNUMBER(AE23)</f>
        <v>95</v>
      </c>
      <c r="AJ23" s="14">
        <f>IF((Parameters!$I$5+Parameters!$I$6+Parameters!$I$7+Parameters!$I$8+Parameters!$I$9+Parameters!$I$11+Parameters!$I$12+Parameters!$I$13+Parameters!$I$14+Parameters!$I$15)=0,"",AI23/(Parameters!$I$5+Parameters!$I$6+Parameters!$I$7+Parameters!$I$8+Parameters!$I$9+Parameters!$I$11+Parameters!$I$12+Parameters!$I$13+Parameters!$I$14+Parameters!$I$15))</f>
        <v>1</v>
      </c>
      <c r="AK23" s="15">
        <f>IF(AND(ISNUMBER(AF23),ISNUMBER(AH23),OR(NOT((Parameters!$I$9)&gt;0),ISNUMBER(AG23)),AJ23&gt;=Parameters!$B$20),100*(Parameters!$F$18*N(AF23)+Parameters!$F$19*N(AG23)+Parameters!$F$20*N(AH23))/(Parameters!$F$18*ISNUMBER(AF23)+Parameters!$F$19*ISNUMBER(AG23)+Parameters!$F$20*ISNUMBER(AH23)),"")</f>
        <v>90.69</v>
      </c>
      <c r="AL23" s="16">
        <f>IF(ISNUMBER(AK23),RANK(AK23,$AK$2:$AK$113),"")</f>
        <v>18</v>
      </c>
      <c r="AM23" s="14">
        <f>IF(((D23="Implemented/available")+(E23="Implemented/available")+(J23="Implemented/available")+(K23="Implemented/available")+(L23="Implemented/available")+(M23="Implemented/available"))=0,"",(AND(D23="Implemented/available",O23&lt;&gt;"")+AND(E23="Implemented/available",P23&lt;&gt;"")+AND(J23="Implemented/available",Q23&lt;&gt;"")+AND(K23="Implemented/available",R23&lt;&gt;"")+AND(L23="Implemented/available",S23&lt;&gt;"")+AND(M23="Implemented/available",T23&lt;&gt;""))/((D23="Implemented/available")+(E23="Implemented/available")+(J23="Implemented/available")+(K23="Implemented/available")+(L23="Implemented/available")+(M23="Implemented/available")))</f>
        <v>1</v>
      </c>
    </row>
    <row r="24" spans="1:39" x14ac:dyDescent="0.25">
      <c r="A24" s="6" t="s">
        <v>533</v>
      </c>
      <c r="B24" s="6" t="s">
        <v>523</v>
      </c>
      <c r="C24" s="6" t="s">
        <v>371</v>
      </c>
      <c r="D24" s="6" t="s">
        <v>29</v>
      </c>
      <c r="E24" s="6" t="s">
        <v>29</v>
      </c>
      <c r="F24" s="6" t="s">
        <v>29</v>
      </c>
      <c r="G24" s="6" t="s">
        <v>123</v>
      </c>
      <c r="H24" s="6"/>
      <c r="I24" s="6" t="s">
        <v>32</v>
      </c>
      <c r="J24" s="6" t="s">
        <v>29</v>
      </c>
      <c r="K24" s="6" t="s">
        <v>29</v>
      </c>
      <c r="L24" s="6" t="s">
        <v>38</v>
      </c>
      <c r="M24" s="6" t="s">
        <v>29</v>
      </c>
      <c r="N24" s="6"/>
      <c r="O24" s="6" t="s">
        <v>524</v>
      </c>
      <c r="P24" s="6" t="s">
        <v>534</v>
      </c>
      <c r="Q24" s="6" t="s">
        <v>526</v>
      </c>
      <c r="R24" s="6" t="s">
        <v>535</v>
      </c>
      <c r="S24" s="6" t="s">
        <v>528</v>
      </c>
      <c r="T24" s="6" t="s">
        <v>529</v>
      </c>
      <c r="U24" s="6" t="s">
        <v>534</v>
      </c>
      <c r="V24" s="12">
        <f>IFERROR(IF(ISNUMBER(INDEX(Parameters!$B$5:$B$14,MATCH(D24,Parameters!$A$5:$A$14,0))),INDEX(Parameters!$B$5:$B$14,MATCH(D24,Parameters!$A$5:$A$14,0)),""),"")</f>
        <v>1</v>
      </c>
      <c r="W24" s="12">
        <f>IFERROR(IF(ISNUMBER(INDEX(Parameters!$B$5:$B$14,MATCH(E24,Parameters!$A$5:$A$14,0))),INDEX(Parameters!$B$5:$B$14,MATCH(E24,Parameters!$A$5:$A$14,0)),""),"")</f>
        <v>1</v>
      </c>
      <c r="X24" s="12">
        <f>IFERROR(IF(ISNUMBER(INDEX(Parameters!$B$5:$B$14,MATCH(F24,Parameters!$A$5:$A$14,0))),INDEX(Parameters!$B$5:$B$14,MATCH(F24,Parameters!$A$5:$A$14,0)),""),"")</f>
        <v>1</v>
      </c>
      <c r="Y24" s="12">
        <f>IF(G24&lt;&gt;"",1,IF(ISNUMBER(Parameters!$B$18),Parameters!$B$18,""))</f>
        <v>1</v>
      </c>
      <c r="Z24" s="12">
        <f>IF(I24&lt;&gt;"",IFERROR(IF(ISNUMBER(INDEX(Parameters!$B$5:$B$14,MATCH(I24,Parameters!$A$5:$A$14,0))),INDEX(Parameters!$B$5:$B$14,MATCH(I24,Parameters!$A$5:$A$14,0)),""),""),IF(ISNUMBER(Parameters!$B$21),Parameters!$B$21,""))</f>
        <v>1</v>
      </c>
      <c r="AA24" s="12">
        <f>IFERROR(IF(ISNUMBER(INDEX(Parameters!$B$5:$B$14,MATCH(J24,Parameters!$A$5:$A$14,0))),INDEX(Parameters!$B$5:$B$14,MATCH(J24,Parameters!$A$5:$A$14,0)),""),"")</f>
        <v>1</v>
      </c>
      <c r="AB24" s="12">
        <f>IFERROR(IF(ISNUMBER(INDEX(Parameters!$B$5:$B$14,MATCH(K24,Parameters!$A$5:$A$14,0))),INDEX(Parameters!$B$5:$B$14,MATCH(K24,Parameters!$A$5:$A$14,0)),""),"")</f>
        <v>1</v>
      </c>
      <c r="AC24" s="12">
        <f>IFERROR(IF(ISNUMBER(INDEX(Parameters!$B$5:$B$14,MATCH(L24,Parameters!$A$5:$A$14,0))),INDEX(Parameters!$B$5:$B$14,MATCH(L24,Parameters!$A$5:$A$14,0)),""),"")</f>
        <v>0.67</v>
      </c>
      <c r="AD24" s="12">
        <f>IFERROR(IF(ISNUMBER(INDEX(Parameters!$B$5:$B$14,MATCH(M24,Parameters!$A$5:$A$14,0))),INDEX(Parameters!$B$5:$B$14,MATCH(M24,Parameters!$A$5:$A$14,0)),""),"")</f>
        <v>1</v>
      </c>
      <c r="AE24" s="12">
        <f>IF(N24&lt;&gt;"",1,IF(ISNUMBER(Parameters!$B$19),Parameters!$B$19,""))</f>
        <v>0</v>
      </c>
      <c r="AF24" s="12">
        <f>IF((Parameters!$I$5*ISNUMBER(V24)+Parameters!$I$6*ISNUMBER(W24)+Parameters!$I$7*ISNUMBER(X24)+Parameters!$I$8*ISNUMBER(Y24))=0,"",(Parameters!$I$5*N(V24)+Parameters!$I$6*N(W24)+Parameters!$I$7*N(X24)+Parameters!$I$8*N(Y24))/(Parameters!$I$5*ISNUMBER(V24)+Parameters!$I$6*ISNUMBER(W24)+Parameters!$I$7*ISNUMBER(X24)+Parameters!$I$8*ISNUMBER(Y24)))</f>
        <v>1</v>
      </c>
      <c r="AG24" s="12">
        <f>IF((Parameters!$I$9*ISNUMBER(Z24))=0,"",(Parameters!$I$9*N(Z24))/(Parameters!$I$9*ISNUMBER(Z24)))</f>
        <v>1</v>
      </c>
      <c r="AH24" s="12">
        <f>IF((Parameters!$I$11*ISNUMBER(AA24)+Parameters!$I$12*ISNUMBER(AB24)+Parameters!$I$13*ISNUMBER(AC24)+Parameters!$I$14*ISNUMBER(AD24)+Parameters!$I$15*ISNUMBER(AE24))=0,"",(Parameters!$I$11*N(AA24)+Parameters!$I$12*N(AB24)+Parameters!$I$13*N(AC24)+Parameters!$I$14*N(AD24)+Parameters!$I$15*N(AE24))/(Parameters!$I$11*ISNUMBER(AA24)+Parameters!$I$12*ISNUMBER(AB24)+Parameters!$I$13*ISNUMBER(AC24)+Parameters!$I$14*ISNUMBER(AD24)+Parameters!$I$15*ISNUMBER(AE24)))</f>
        <v>0.73399999999999999</v>
      </c>
      <c r="AI24" s="13">
        <f>Parameters!$I$5*ISNUMBER(V24)+Parameters!$I$6*ISNUMBER(W24)+Parameters!$I$7*ISNUMBER(X24)+Parameters!$I$8*ISNUMBER(Y24)+Parameters!$I$9*ISNUMBER(Z24)+Parameters!$I$11*ISNUMBER(AA24)+Parameters!$I$12*ISNUMBER(AB24)+Parameters!$I$13*ISNUMBER(AC24)+Parameters!$I$14*ISNUMBER(AD24)+Parameters!$I$15*ISNUMBER(AE24)</f>
        <v>95</v>
      </c>
      <c r="AJ24" s="14">
        <f>IF((Parameters!$I$5+Parameters!$I$6+Parameters!$I$7+Parameters!$I$8+Parameters!$I$9+Parameters!$I$11+Parameters!$I$12+Parameters!$I$13+Parameters!$I$14+Parameters!$I$15)=0,"",AI24/(Parameters!$I$5+Parameters!$I$6+Parameters!$I$7+Parameters!$I$8+Parameters!$I$9+Parameters!$I$11+Parameters!$I$12+Parameters!$I$13+Parameters!$I$14+Parameters!$I$15))</f>
        <v>1</v>
      </c>
      <c r="AK24" s="15">
        <f>IF(AND(ISNUMBER(AF24),ISNUMBER(AH24),OR(NOT((Parameters!$I$9)&gt;0),ISNUMBER(AG24)),AJ24&gt;=Parameters!$B$20),100*(Parameters!$F$18*N(AF24)+Parameters!$F$19*N(AG24)+Parameters!$F$20*N(AH24))/(Parameters!$F$18*ISNUMBER(AF24)+Parameters!$F$19*ISNUMBER(AG24)+Parameters!$F$20*ISNUMBER(AH24)),"")</f>
        <v>90.69</v>
      </c>
      <c r="AL24" s="16">
        <f>IF(ISNUMBER(AK24),RANK(AK24,$AK$2:$AK$113),"")</f>
        <v>18</v>
      </c>
      <c r="AM24" s="14">
        <f>IF(((D24="Implemented/available")+(E24="Implemented/available")+(J24="Implemented/available")+(K24="Implemented/available")+(L24="Implemented/available")+(M24="Implemented/available"))=0,"",(AND(D24="Implemented/available",O24&lt;&gt;"")+AND(E24="Implemented/available",P24&lt;&gt;"")+AND(J24="Implemented/available",Q24&lt;&gt;"")+AND(K24="Implemented/available",R24&lt;&gt;"")+AND(L24="Implemented/available",S24&lt;&gt;"")+AND(M24="Implemented/available",T24&lt;&gt;""))/((D24="Implemented/available")+(E24="Implemented/available")+(J24="Implemented/available")+(K24="Implemented/available")+(L24="Implemented/available")+(M24="Implemented/available")))</f>
        <v>1</v>
      </c>
    </row>
    <row r="25" spans="1:39" x14ac:dyDescent="0.25">
      <c r="A25" s="6" t="s">
        <v>614</v>
      </c>
      <c r="B25" s="6" t="s">
        <v>615</v>
      </c>
      <c r="C25" s="6" t="s">
        <v>410</v>
      </c>
      <c r="D25" s="6" t="s">
        <v>29</v>
      </c>
      <c r="E25" s="6" t="s">
        <v>29</v>
      </c>
      <c r="F25" s="6" t="s">
        <v>29</v>
      </c>
      <c r="G25" s="6" t="s">
        <v>117</v>
      </c>
      <c r="H25" s="6"/>
      <c r="I25" s="6" t="s">
        <v>32</v>
      </c>
      <c r="J25" s="6" t="s">
        <v>41</v>
      </c>
      <c r="K25" s="6" t="s">
        <v>34</v>
      </c>
      <c r="L25" s="6" t="s">
        <v>41</v>
      </c>
      <c r="M25" s="6" t="s">
        <v>29</v>
      </c>
      <c r="N25" s="6" t="s">
        <v>242</v>
      </c>
      <c r="O25" s="6" t="s">
        <v>616</v>
      </c>
      <c r="P25" s="6" t="s">
        <v>616</v>
      </c>
      <c r="Q25" s="6"/>
      <c r="R25" s="6" t="s">
        <v>617</v>
      </c>
      <c r="S25" s="6"/>
      <c r="T25" s="6" t="s">
        <v>618</v>
      </c>
      <c r="U25" s="6" t="s">
        <v>619</v>
      </c>
      <c r="V25" s="12">
        <f>IFERROR(IF(ISNUMBER(INDEX(Parameters!$B$5:$B$14,MATCH(D25,Parameters!$A$5:$A$14,0))),INDEX(Parameters!$B$5:$B$14,MATCH(D25,Parameters!$A$5:$A$14,0)),""),"")</f>
        <v>1</v>
      </c>
      <c r="W25" s="12">
        <f>IFERROR(IF(ISNUMBER(INDEX(Parameters!$B$5:$B$14,MATCH(E25,Parameters!$A$5:$A$14,0))),INDEX(Parameters!$B$5:$B$14,MATCH(E25,Parameters!$A$5:$A$14,0)),""),"")</f>
        <v>1</v>
      </c>
      <c r="X25" s="12">
        <f>IFERROR(IF(ISNUMBER(INDEX(Parameters!$B$5:$B$14,MATCH(F25,Parameters!$A$5:$A$14,0))),INDEX(Parameters!$B$5:$B$14,MATCH(F25,Parameters!$A$5:$A$14,0)),""),"")</f>
        <v>1</v>
      </c>
      <c r="Y25" s="12">
        <f>IF(G25&lt;&gt;"",1,IF(ISNUMBER(Parameters!$B$18),Parameters!$B$18,""))</f>
        <v>1</v>
      </c>
      <c r="Z25" s="12">
        <f>IF(I25&lt;&gt;"",IFERROR(IF(ISNUMBER(INDEX(Parameters!$B$5:$B$14,MATCH(I25,Parameters!$A$5:$A$14,0))),INDEX(Parameters!$B$5:$B$14,MATCH(I25,Parameters!$A$5:$A$14,0)),""),""),IF(ISNUMBER(Parameters!$B$21),Parameters!$B$21,""))</f>
        <v>1</v>
      </c>
      <c r="AA25" s="12">
        <f>IFERROR(IF(ISNUMBER(INDEX(Parameters!$B$5:$B$14,MATCH(J25,Parameters!$A$5:$A$14,0))),INDEX(Parameters!$B$5:$B$14,MATCH(J25,Parameters!$A$5:$A$14,0)),""),"")</f>
        <v>0.33</v>
      </c>
      <c r="AB25" s="12">
        <f>IFERROR(IF(ISNUMBER(INDEX(Parameters!$B$5:$B$14,MATCH(K25,Parameters!$A$5:$A$14,0))),INDEX(Parameters!$B$5:$B$14,MATCH(K25,Parameters!$A$5:$A$14,0)),""),"")</f>
        <v>1</v>
      </c>
      <c r="AC25" s="12">
        <f>IFERROR(IF(ISNUMBER(INDEX(Parameters!$B$5:$B$14,MATCH(L25,Parameters!$A$5:$A$14,0))),INDEX(Parameters!$B$5:$B$14,MATCH(L25,Parameters!$A$5:$A$14,0)),""),"")</f>
        <v>0.33</v>
      </c>
      <c r="AD25" s="12">
        <f>IFERROR(IF(ISNUMBER(INDEX(Parameters!$B$5:$B$14,MATCH(M25,Parameters!$A$5:$A$14,0))),INDEX(Parameters!$B$5:$B$14,MATCH(M25,Parameters!$A$5:$A$14,0)),""),"")</f>
        <v>1</v>
      </c>
      <c r="AE25" s="12">
        <f>IF(N25&lt;&gt;"",1,IF(ISNUMBER(Parameters!$B$19),Parameters!$B$19,""))</f>
        <v>1</v>
      </c>
      <c r="AF25" s="12">
        <f>IF((Parameters!$I$5*ISNUMBER(V25)+Parameters!$I$6*ISNUMBER(W25)+Parameters!$I$7*ISNUMBER(X25)+Parameters!$I$8*ISNUMBER(Y25))=0,"",(Parameters!$I$5*N(V25)+Parameters!$I$6*N(W25)+Parameters!$I$7*N(X25)+Parameters!$I$8*N(Y25))/(Parameters!$I$5*ISNUMBER(V25)+Parameters!$I$6*ISNUMBER(W25)+Parameters!$I$7*ISNUMBER(X25)+Parameters!$I$8*ISNUMBER(Y25)))</f>
        <v>1</v>
      </c>
      <c r="AG25" s="12">
        <f>IF((Parameters!$I$9*ISNUMBER(Z25))=0,"",(Parameters!$I$9*N(Z25))/(Parameters!$I$9*ISNUMBER(Z25)))</f>
        <v>1</v>
      </c>
      <c r="AH25" s="12">
        <f>IF((Parameters!$I$11*ISNUMBER(AA25)+Parameters!$I$12*ISNUMBER(AB25)+Parameters!$I$13*ISNUMBER(AC25)+Parameters!$I$14*ISNUMBER(AD25)+Parameters!$I$15*ISNUMBER(AE25))=0,"",(Parameters!$I$11*N(AA25)+Parameters!$I$12*N(AB25)+Parameters!$I$13*N(AC25)+Parameters!$I$14*N(AD25)+Parameters!$I$15*N(AE25))/(Parameters!$I$11*ISNUMBER(AA25)+Parameters!$I$12*ISNUMBER(AB25)+Parameters!$I$13*ISNUMBER(AC25)+Parameters!$I$14*ISNUMBER(AD25)+Parameters!$I$15*ISNUMBER(AE25)))</f>
        <v>0.73199999999999998</v>
      </c>
      <c r="AI25" s="13">
        <f>Parameters!$I$5*ISNUMBER(V25)+Parameters!$I$6*ISNUMBER(W25)+Parameters!$I$7*ISNUMBER(X25)+Parameters!$I$8*ISNUMBER(Y25)+Parameters!$I$9*ISNUMBER(Z25)+Parameters!$I$11*ISNUMBER(AA25)+Parameters!$I$12*ISNUMBER(AB25)+Parameters!$I$13*ISNUMBER(AC25)+Parameters!$I$14*ISNUMBER(AD25)+Parameters!$I$15*ISNUMBER(AE25)</f>
        <v>95</v>
      </c>
      <c r="AJ25" s="14">
        <f>IF((Parameters!$I$5+Parameters!$I$6+Parameters!$I$7+Parameters!$I$8+Parameters!$I$9+Parameters!$I$11+Parameters!$I$12+Parameters!$I$13+Parameters!$I$14+Parameters!$I$15)=0,"",AI25/(Parameters!$I$5+Parameters!$I$6+Parameters!$I$7+Parameters!$I$8+Parameters!$I$9+Parameters!$I$11+Parameters!$I$12+Parameters!$I$13+Parameters!$I$14+Parameters!$I$15))</f>
        <v>1</v>
      </c>
      <c r="AK25" s="15">
        <f>IF(AND(ISNUMBER(AF25),ISNUMBER(AH25),OR(NOT((Parameters!$I$9)&gt;0),ISNUMBER(AG25)),AJ25&gt;=Parameters!$B$20),100*(Parameters!$F$18*N(AF25)+Parameters!$F$19*N(AG25)+Parameters!$F$20*N(AH25))/(Parameters!$F$18*ISNUMBER(AF25)+Parameters!$F$19*ISNUMBER(AG25)+Parameters!$F$20*ISNUMBER(AH25)),"")</f>
        <v>90.62</v>
      </c>
      <c r="AL25" s="16">
        <f>IF(ISNUMBER(AK25),RANK(AK25,$AK$2:$AK$113),"")</f>
        <v>24</v>
      </c>
      <c r="AM25" s="14">
        <f>IF(((D25="Implemented/available")+(E25="Implemented/available")+(J25="Implemented/available")+(K25="Implemented/available")+(L25="Implemented/available")+(M25="Implemented/available"))=0,"",(AND(D25="Implemented/available",O25&lt;&gt;"")+AND(E25="Implemented/available",P25&lt;&gt;"")+AND(J25="Implemented/available",Q25&lt;&gt;"")+AND(K25="Implemented/available",R25&lt;&gt;"")+AND(L25="Implemented/available",S25&lt;&gt;"")+AND(M25="Implemented/available",T25&lt;&gt;""))/((D25="Implemented/available")+(E25="Implemented/available")+(J25="Implemented/available")+(K25="Implemented/available")+(L25="Implemented/available")+(M25="Implemented/available")))</f>
        <v>1</v>
      </c>
    </row>
    <row r="26" spans="1:39" x14ac:dyDescent="0.25">
      <c r="A26" s="6" t="s">
        <v>142</v>
      </c>
      <c r="B26" s="6" t="s">
        <v>143</v>
      </c>
      <c r="C26" s="6" t="s">
        <v>144</v>
      </c>
      <c r="D26" s="6" t="s">
        <v>29</v>
      </c>
      <c r="E26" s="6" t="s">
        <v>38</v>
      </c>
      <c r="F26" s="6" t="s">
        <v>29</v>
      </c>
      <c r="G26" s="6" t="s">
        <v>117</v>
      </c>
      <c r="H26" s="6"/>
      <c r="I26" s="6" t="s">
        <v>32</v>
      </c>
      <c r="J26" s="6" t="s">
        <v>29</v>
      </c>
      <c r="K26" s="6" t="s">
        <v>38</v>
      </c>
      <c r="L26" s="6" t="s">
        <v>29</v>
      </c>
      <c r="M26" s="6" t="s">
        <v>41</v>
      </c>
      <c r="N26" s="6" t="s">
        <v>145</v>
      </c>
      <c r="O26" s="6"/>
      <c r="P26" s="6"/>
      <c r="Q26" s="6" t="s">
        <v>146</v>
      </c>
      <c r="R26" s="6"/>
      <c r="S26" s="6" t="s">
        <v>147</v>
      </c>
      <c r="T26" s="6"/>
      <c r="U26" s="6" t="s">
        <v>148</v>
      </c>
      <c r="V26" s="12">
        <f>IFERROR(IF(ISNUMBER(INDEX(Parameters!$B$5:$B$14,MATCH(D26,Parameters!$A$5:$A$14,0))),INDEX(Parameters!$B$5:$B$14,MATCH(D26,Parameters!$A$5:$A$14,0)),""),"")</f>
        <v>1</v>
      </c>
      <c r="W26" s="12">
        <f>IFERROR(IF(ISNUMBER(INDEX(Parameters!$B$5:$B$14,MATCH(E26,Parameters!$A$5:$A$14,0))),INDEX(Parameters!$B$5:$B$14,MATCH(E26,Parameters!$A$5:$A$14,0)),""),"")</f>
        <v>0.67</v>
      </c>
      <c r="X26" s="12">
        <f>IFERROR(IF(ISNUMBER(INDEX(Parameters!$B$5:$B$14,MATCH(F26,Parameters!$A$5:$A$14,0))),INDEX(Parameters!$B$5:$B$14,MATCH(F26,Parameters!$A$5:$A$14,0)),""),"")</f>
        <v>1</v>
      </c>
      <c r="Y26" s="12">
        <f>IF(G26&lt;&gt;"",1,IF(ISNUMBER(Parameters!$B$18),Parameters!$B$18,""))</f>
        <v>1</v>
      </c>
      <c r="Z26" s="12">
        <f>IF(I26&lt;&gt;"",IFERROR(IF(ISNUMBER(INDEX(Parameters!$B$5:$B$14,MATCH(I26,Parameters!$A$5:$A$14,0))),INDEX(Parameters!$B$5:$B$14,MATCH(I26,Parameters!$A$5:$A$14,0)),""),""),IF(ISNUMBER(Parameters!$B$21),Parameters!$B$21,""))</f>
        <v>1</v>
      </c>
      <c r="AA26" s="12">
        <f>IFERROR(IF(ISNUMBER(INDEX(Parameters!$B$5:$B$14,MATCH(J26,Parameters!$A$5:$A$14,0))),INDEX(Parameters!$B$5:$B$14,MATCH(J26,Parameters!$A$5:$A$14,0)),""),"")</f>
        <v>1</v>
      </c>
      <c r="AB26" s="12">
        <f>IFERROR(IF(ISNUMBER(INDEX(Parameters!$B$5:$B$14,MATCH(K26,Parameters!$A$5:$A$14,0))),INDEX(Parameters!$B$5:$B$14,MATCH(K26,Parameters!$A$5:$A$14,0)),""),"")</f>
        <v>0.67</v>
      </c>
      <c r="AC26" s="12">
        <f>IFERROR(IF(ISNUMBER(INDEX(Parameters!$B$5:$B$14,MATCH(L26,Parameters!$A$5:$A$14,0))),INDEX(Parameters!$B$5:$B$14,MATCH(L26,Parameters!$A$5:$A$14,0)),""),"")</f>
        <v>1</v>
      </c>
      <c r="AD26" s="12">
        <f>IFERROR(IF(ISNUMBER(INDEX(Parameters!$B$5:$B$14,MATCH(M26,Parameters!$A$5:$A$14,0))),INDEX(Parameters!$B$5:$B$14,MATCH(M26,Parameters!$A$5:$A$14,0)),""),"")</f>
        <v>0.33</v>
      </c>
      <c r="AE26" s="12">
        <f>IF(N26&lt;&gt;"",1,IF(ISNUMBER(Parameters!$B$19),Parameters!$B$19,""))</f>
        <v>1</v>
      </c>
      <c r="AF26" s="12">
        <f>IF((Parameters!$I$5*ISNUMBER(V26)+Parameters!$I$6*ISNUMBER(W26)+Parameters!$I$7*ISNUMBER(X26)+Parameters!$I$8*ISNUMBER(Y26))=0,"",(Parameters!$I$5*N(V26)+Parameters!$I$6*N(W26)+Parameters!$I$7*N(X26)+Parameters!$I$8*N(Y26))/(Parameters!$I$5*ISNUMBER(V26)+Parameters!$I$6*ISNUMBER(W26)+Parameters!$I$7*ISNUMBER(X26)+Parameters!$I$8*ISNUMBER(Y26)))</f>
        <v>0.90100000000000002</v>
      </c>
      <c r="AG26" s="12">
        <f>IF((Parameters!$I$9*ISNUMBER(Z26))=0,"",(Parameters!$I$9*N(Z26))/(Parameters!$I$9*ISNUMBER(Z26)))</f>
        <v>1</v>
      </c>
      <c r="AH26" s="12">
        <f>IF((Parameters!$I$11*ISNUMBER(AA26)+Parameters!$I$12*ISNUMBER(AB26)+Parameters!$I$13*ISNUMBER(AC26)+Parameters!$I$14*ISNUMBER(AD26)+Parameters!$I$15*ISNUMBER(AE26))=0,"",(Parameters!$I$11*N(AA26)+Parameters!$I$12*N(AB26)+Parameters!$I$13*N(AC26)+Parameters!$I$14*N(AD26)+Parameters!$I$15*N(AE26))/(Parameters!$I$11*ISNUMBER(AA26)+Parameters!$I$12*ISNUMBER(AB26)+Parameters!$I$13*ISNUMBER(AC26)+Parameters!$I$14*ISNUMBER(AD26)+Parameters!$I$15*ISNUMBER(AE26)))</f>
        <v>0.8</v>
      </c>
      <c r="AI26" s="13">
        <f>Parameters!$I$5*ISNUMBER(V26)+Parameters!$I$6*ISNUMBER(W26)+Parameters!$I$7*ISNUMBER(X26)+Parameters!$I$8*ISNUMBER(Y26)+Parameters!$I$9*ISNUMBER(Z26)+Parameters!$I$11*ISNUMBER(AA26)+Parameters!$I$12*ISNUMBER(AB26)+Parameters!$I$13*ISNUMBER(AC26)+Parameters!$I$14*ISNUMBER(AD26)+Parameters!$I$15*ISNUMBER(AE26)</f>
        <v>95</v>
      </c>
      <c r="AJ26" s="14">
        <f>IF((Parameters!$I$5+Parameters!$I$6+Parameters!$I$7+Parameters!$I$8+Parameters!$I$9+Parameters!$I$11+Parameters!$I$12+Parameters!$I$13+Parameters!$I$14+Parameters!$I$15)=0,"",AI26/(Parameters!$I$5+Parameters!$I$6+Parameters!$I$7+Parameters!$I$8+Parameters!$I$9+Parameters!$I$11+Parameters!$I$12+Parameters!$I$13+Parameters!$I$14+Parameters!$I$15))</f>
        <v>1</v>
      </c>
      <c r="AK26" s="15">
        <f>IF(AND(ISNUMBER(AF26),ISNUMBER(AH26),OR(NOT((Parameters!$I$9)&gt;0),ISNUMBER(AG26)),AJ26&gt;=Parameters!$B$20),100*(Parameters!$F$18*N(AF26)+Parameters!$F$19*N(AG26)+Parameters!$F$20*N(AH26))/(Parameters!$F$18*ISNUMBER(AF26)+Parameters!$F$19*ISNUMBER(AG26)+Parameters!$F$20*ISNUMBER(AH26)),"")</f>
        <v>89.04</v>
      </c>
      <c r="AL26" s="16">
        <f>IF(ISNUMBER(AK26),RANK(AK26,$AK$2:$AK$113),"")</f>
        <v>25</v>
      </c>
      <c r="AM26" s="14">
        <f>IF(((D26="Implemented/available")+(E26="Implemented/available")+(J26="Implemented/available")+(K26="Implemented/available")+(L26="Implemented/available")+(M26="Implemented/available"))=0,"",(AND(D26="Implemented/available",O26&lt;&gt;"")+AND(E26="Implemented/available",P26&lt;&gt;"")+AND(J26="Implemented/available",Q26&lt;&gt;"")+AND(K26="Implemented/available",R26&lt;&gt;"")+AND(L26="Implemented/available",S26&lt;&gt;"")+AND(M26="Implemented/available",T26&lt;&gt;""))/((D26="Implemented/available")+(E26="Implemented/available")+(J26="Implemented/available")+(K26="Implemented/available")+(L26="Implemented/available")+(M26="Implemented/available")))</f>
        <v>0.66666666666666663</v>
      </c>
    </row>
    <row r="27" spans="1:39" x14ac:dyDescent="0.25">
      <c r="A27" s="6" t="s">
        <v>547</v>
      </c>
      <c r="B27" s="6" t="s">
        <v>548</v>
      </c>
      <c r="C27" s="6" t="s">
        <v>549</v>
      </c>
      <c r="D27" s="6" t="s">
        <v>29</v>
      </c>
      <c r="E27" s="6" t="s">
        <v>38</v>
      </c>
      <c r="F27" s="6" t="s">
        <v>29</v>
      </c>
      <c r="G27" s="6" t="s">
        <v>117</v>
      </c>
      <c r="H27" s="6"/>
      <c r="I27" s="6" t="s">
        <v>32</v>
      </c>
      <c r="J27" s="6" t="s">
        <v>29</v>
      </c>
      <c r="K27" s="6" t="s">
        <v>29</v>
      </c>
      <c r="L27" s="6" t="s">
        <v>29</v>
      </c>
      <c r="M27" s="6" t="s">
        <v>29</v>
      </c>
      <c r="N27" s="6"/>
      <c r="O27" s="6" t="s">
        <v>550</v>
      </c>
      <c r="P27" s="6"/>
      <c r="Q27" s="6" t="s">
        <v>551</v>
      </c>
      <c r="R27" s="6" t="s">
        <v>552</v>
      </c>
      <c r="S27" s="6" t="s">
        <v>553</v>
      </c>
      <c r="T27" s="6" t="s">
        <v>554</v>
      </c>
      <c r="U27" s="6" t="s">
        <v>555</v>
      </c>
      <c r="V27" s="12">
        <f>IFERROR(IF(ISNUMBER(INDEX(Parameters!$B$5:$B$14,MATCH(D27,Parameters!$A$5:$A$14,0))),INDEX(Parameters!$B$5:$B$14,MATCH(D27,Parameters!$A$5:$A$14,0)),""),"")</f>
        <v>1</v>
      </c>
      <c r="W27" s="12">
        <f>IFERROR(IF(ISNUMBER(INDEX(Parameters!$B$5:$B$14,MATCH(E27,Parameters!$A$5:$A$14,0))),INDEX(Parameters!$B$5:$B$14,MATCH(E27,Parameters!$A$5:$A$14,0)),""),"")</f>
        <v>0.67</v>
      </c>
      <c r="X27" s="12">
        <f>IFERROR(IF(ISNUMBER(INDEX(Parameters!$B$5:$B$14,MATCH(F27,Parameters!$A$5:$A$14,0))),INDEX(Parameters!$B$5:$B$14,MATCH(F27,Parameters!$A$5:$A$14,0)),""),"")</f>
        <v>1</v>
      </c>
      <c r="Y27" s="12">
        <f>IF(G27&lt;&gt;"",1,IF(ISNUMBER(Parameters!$B$18),Parameters!$B$18,""))</f>
        <v>1</v>
      </c>
      <c r="Z27" s="12">
        <f>IF(I27&lt;&gt;"",IFERROR(IF(ISNUMBER(INDEX(Parameters!$B$5:$B$14,MATCH(I27,Parameters!$A$5:$A$14,0))),INDEX(Parameters!$B$5:$B$14,MATCH(I27,Parameters!$A$5:$A$14,0)),""),""),IF(ISNUMBER(Parameters!$B$21),Parameters!$B$21,""))</f>
        <v>1</v>
      </c>
      <c r="AA27" s="12">
        <f>IFERROR(IF(ISNUMBER(INDEX(Parameters!$B$5:$B$14,MATCH(J27,Parameters!$A$5:$A$14,0))),INDEX(Parameters!$B$5:$B$14,MATCH(J27,Parameters!$A$5:$A$14,0)),""),"")</f>
        <v>1</v>
      </c>
      <c r="AB27" s="12">
        <f>IFERROR(IF(ISNUMBER(INDEX(Parameters!$B$5:$B$14,MATCH(K27,Parameters!$A$5:$A$14,0))),INDEX(Parameters!$B$5:$B$14,MATCH(K27,Parameters!$A$5:$A$14,0)),""),"")</f>
        <v>1</v>
      </c>
      <c r="AC27" s="12">
        <f>IFERROR(IF(ISNUMBER(INDEX(Parameters!$B$5:$B$14,MATCH(L27,Parameters!$A$5:$A$14,0))),INDEX(Parameters!$B$5:$B$14,MATCH(L27,Parameters!$A$5:$A$14,0)),""),"")</f>
        <v>1</v>
      </c>
      <c r="AD27" s="12">
        <f>IFERROR(IF(ISNUMBER(INDEX(Parameters!$B$5:$B$14,MATCH(M27,Parameters!$A$5:$A$14,0))),INDEX(Parameters!$B$5:$B$14,MATCH(M27,Parameters!$A$5:$A$14,0)),""),"")</f>
        <v>1</v>
      </c>
      <c r="AE27" s="12">
        <f>IF(N27&lt;&gt;"",1,IF(ISNUMBER(Parameters!$B$19),Parameters!$B$19,""))</f>
        <v>0</v>
      </c>
      <c r="AF27" s="12">
        <f>IF((Parameters!$I$5*ISNUMBER(V27)+Parameters!$I$6*ISNUMBER(W27)+Parameters!$I$7*ISNUMBER(X27)+Parameters!$I$8*ISNUMBER(Y27))=0,"",(Parameters!$I$5*N(V27)+Parameters!$I$6*N(W27)+Parameters!$I$7*N(X27)+Parameters!$I$8*N(Y27))/(Parameters!$I$5*ISNUMBER(V27)+Parameters!$I$6*ISNUMBER(W27)+Parameters!$I$7*ISNUMBER(X27)+Parameters!$I$8*ISNUMBER(Y27)))</f>
        <v>0.90100000000000002</v>
      </c>
      <c r="AG27" s="12">
        <f>IF((Parameters!$I$9*ISNUMBER(Z27))=0,"",(Parameters!$I$9*N(Z27))/(Parameters!$I$9*ISNUMBER(Z27)))</f>
        <v>1</v>
      </c>
      <c r="AH27" s="12">
        <f>IF((Parameters!$I$11*ISNUMBER(AA27)+Parameters!$I$12*ISNUMBER(AB27)+Parameters!$I$13*ISNUMBER(AC27)+Parameters!$I$14*ISNUMBER(AD27)+Parameters!$I$15*ISNUMBER(AE27))=0,"",(Parameters!$I$11*N(AA27)+Parameters!$I$12*N(AB27)+Parameters!$I$13*N(AC27)+Parameters!$I$14*N(AD27)+Parameters!$I$15*N(AE27))/(Parameters!$I$11*ISNUMBER(AA27)+Parameters!$I$12*ISNUMBER(AB27)+Parameters!$I$13*ISNUMBER(AC27)+Parameters!$I$14*ISNUMBER(AD27)+Parameters!$I$15*ISNUMBER(AE27)))</f>
        <v>0.8</v>
      </c>
      <c r="AI27" s="13">
        <f>Parameters!$I$5*ISNUMBER(V27)+Parameters!$I$6*ISNUMBER(W27)+Parameters!$I$7*ISNUMBER(X27)+Parameters!$I$8*ISNUMBER(Y27)+Parameters!$I$9*ISNUMBER(Z27)+Parameters!$I$11*ISNUMBER(AA27)+Parameters!$I$12*ISNUMBER(AB27)+Parameters!$I$13*ISNUMBER(AC27)+Parameters!$I$14*ISNUMBER(AD27)+Parameters!$I$15*ISNUMBER(AE27)</f>
        <v>95</v>
      </c>
      <c r="AJ27" s="14">
        <f>IF((Parameters!$I$5+Parameters!$I$6+Parameters!$I$7+Parameters!$I$8+Parameters!$I$9+Parameters!$I$11+Parameters!$I$12+Parameters!$I$13+Parameters!$I$14+Parameters!$I$15)=0,"",AI27/(Parameters!$I$5+Parameters!$I$6+Parameters!$I$7+Parameters!$I$8+Parameters!$I$9+Parameters!$I$11+Parameters!$I$12+Parameters!$I$13+Parameters!$I$14+Parameters!$I$15))</f>
        <v>1</v>
      </c>
      <c r="AK27" s="15">
        <f>IF(AND(ISNUMBER(AF27),ISNUMBER(AH27),OR(NOT((Parameters!$I$9)&gt;0),ISNUMBER(AG27)),AJ27&gt;=Parameters!$B$20),100*(Parameters!$F$18*N(AF27)+Parameters!$F$19*N(AG27)+Parameters!$F$20*N(AH27))/(Parameters!$F$18*ISNUMBER(AF27)+Parameters!$F$19*ISNUMBER(AG27)+Parameters!$F$20*ISNUMBER(AH27)),"")</f>
        <v>89.04</v>
      </c>
      <c r="AL27" s="16">
        <f>IF(ISNUMBER(AK27),RANK(AK27,$AK$2:$AK$113),"")</f>
        <v>25</v>
      </c>
      <c r="AM27" s="14">
        <f>IF(((D27="Implemented/available")+(E27="Implemented/available")+(J27="Implemented/available")+(K27="Implemented/available")+(L27="Implemented/available")+(M27="Implemented/available"))=0,"",(AND(D27="Implemented/available",O27&lt;&gt;"")+AND(E27="Implemented/available",P27&lt;&gt;"")+AND(J27="Implemented/available",Q27&lt;&gt;"")+AND(K27="Implemented/available",R27&lt;&gt;"")+AND(L27="Implemented/available",S27&lt;&gt;"")+AND(M27="Implemented/available",T27&lt;&gt;""))/((D27="Implemented/available")+(E27="Implemented/available")+(J27="Implemented/available")+(K27="Implemented/available")+(L27="Implemented/available")+(M27="Implemented/available")))</f>
        <v>1</v>
      </c>
    </row>
    <row r="28" spans="1:39" x14ac:dyDescent="0.25">
      <c r="A28" s="6" t="s">
        <v>121</v>
      </c>
      <c r="B28" s="6" t="s">
        <v>121</v>
      </c>
      <c r="C28" s="6" t="s">
        <v>122</v>
      </c>
      <c r="D28" s="6" t="s">
        <v>29</v>
      </c>
      <c r="E28" s="6" t="s">
        <v>29</v>
      </c>
      <c r="F28" s="6" t="s">
        <v>29</v>
      </c>
      <c r="G28" s="6" t="s">
        <v>123</v>
      </c>
      <c r="H28" s="6"/>
      <c r="I28" s="6" t="s">
        <v>32</v>
      </c>
      <c r="J28" s="6" t="s">
        <v>41</v>
      </c>
      <c r="K28" s="6" t="s">
        <v>29</v>
      </c>
      <c r="L28" s="6" t="s">
        <v>29</v>
      </c>
      <c r="M28" s="6" t="s">
        <v>44</v>
      </c>
      <c r="N28" s="6" t="s">
        <v>124</v>
      </c>
      <c r="O28" s="6" t="s">
        <v>125</v>
      </c>
      <c r="P28" s="6" t="s">
        <v>126</v>
      </c>
      <c r="Q28" s="6"/>
      <c r="R28" s="6" t="s">
        <v>127</v>
      </c>
      <c r="S28" s="6" t="s">
        <v>128</v>
      </c>
      <c r="T28" s="6"/>
      <c r="U28" s="6" t="s">
        <v>129</v>
      </c>
      <c r="V28" s="12">
        <f>IFERROR(IF(ISNUMBER(INDEX(Parameters!$B$5:$B$14,MATCH(D28,Parameters!$A$5:$A$14,0))),INDEX(Parameters!$B$5:$B$14,MATCH(D28,Parameters!$A$5:$A$14,0)),""),"")</f>
        <v>1</v>
      </c>
      <c r="W28" s="12">
        <f>IFERROR(IF(ISNUMBER(INDEX(Parameters!$B$5:$B$14,MATCH(E28,Parameters!$A$5:$A$14,0))),INDEX(Parameters!$B$5:$B$14,MATCH(E28,Parameters!$A$5:$A$14,0)),""),"")</f>
        <v>1</v>
      </c>
      <c r="X28" s="12">
        <f>IFERROR(IF(ISNUMBER(INDEX(Parameters!$B$5:$B$14,MATCH(F28,Parameters!$A$5:$A$14,0))),INDEX(Parameters!$B$5:$B$14,MATCH(F28,Parameters!$A$5:$A$14,0)),""),"")</f>
        <v>1</v>
      </c>
      <c r="Y28" s="12">
        <f>IF(G28&lt;&gt;"",1,IF(ISNUMBER(Parameters!$B$18),Parameters!$B$18,""))</f>
        <v>1</v>
      </c>
      <c r="Z28" s="12">
        <f>IF(I28&lt;&gt;"",IFERROR(IF(ISNUMBER(INDEX(Parameters!$B$5:$B$14,MATCH(I28,Parameters!$A$5:$A$14,0))),INDEX(Parameters!$B$5:$B$14,MATCH(I28,Parameters!$A$5:$A$14,0)),""),""),IF(ISNUMBER(Parameters!$B$21),Parameters!$B$21,""))</f>
        <v>1</v>
      </c>
      <c r="AA28" s="12">
        <f>IFERROR(IF(ISNUMBER(INDEX(Parameters!$B$5:$B$14,MATCH(J28,Parameters!$A$5:$A$14,0))),INDEX(Parameters!$B$5:$B$14,MATCH(J28,Parameters!$A$5:$A$14,0)),""),"")</f>
        <v>0.33</v>
      </c>
      <c r="AB28" s="12">
        <f>IFERROR(IF(ISNUMBER(INDEX(Parameters!$B$5:$B$14,MATCH(K28,Parameters!$A$5:$A$14,0))),INDEX(Parameters!$B$5:$B$14,MATCH(K28,Parameters!$A$5:$A$14,0)),""),"")</f>
        <v>1</v>
      </c>
      <c r="AC28" s="12">
        <f>IFERROR(IF(ISNUMBER(INDEX(Parameters!$B$5:$B$14,MATCH(L28,Parameters!$A$5:$A$14,0))),INDEX(Parameters!$B$5:$B$14,MATCH(L28,Parameters!$A$5:$A$14,0)),""),"")</f>
        <v>1</v>
      </c>
      <c r="AD28" s="12">
        <f>IFERROR(IF(ISNUMBER(INDEX(Parameters!$B$5:$B$14,MATCH(M28,Parameters!$A$5:$A$14,0))),INDEX(Parameters!$B$5:$B$14,MATCH(M28,Parameters!$A$5:$A$14,0)),""),"")</f>
        <v>0</v>
      </c>
      <c r="AE28" s="12">
        <f>IF(N28&lt;&gt;"",1,IF(ISNUMBER(Parameters!$B$19),Parameters!$B$19,""))</f>
        <v>1</v>
      </c>
      <c r="AF28" s="12">
        <f>IF((Parameters!$I$5*ISNUMBER(V28)+Parameters!$I$6*ISNUMBER(W28)+Parameters!$I$7*ISNUMBER(X28)+Parameters!$I$8*ISNUMBER(Y28))=0,"",(Parameters!$I$5*N(V28)+Parameters!$I$6*N(W28)+Parameters!$I$7*N(X28)+Parameters!$I$8*N(Y28))/(Parameters!$I$5*ISNUMBER(V28)+Parameters!$I$6*ISNUMBER(W28)+Parameters!$I$7*ISNUMBER(X28)+Parameters!$I$8*ISNUMBER(Y28)))</f>
        <v>1</v>
      </c>
      <c r="AG28" s="12">
        <f>IF((Parameters!$I$9*ISNUMBER(Z28))=0,"",(Parameters!$I$9*N(Z28))/(Parameters!$I$9*ISNUMBER(Z28)))</f>
        <v>1</v>
      </c>
      <c r="AH28" s="12">
        <f>IF((Parameters!$I$11*ISNUMBER(AA28)+Parameters!$I$12*ISNUMBER(AB28)+Parameters!$I$13*ISNUMBER(AC28)+Parameters!$I$14*ISNUMBER(AD28)+Parameters!$I$15*ISNUMBER(AE28))=0,"",(Parameters!$I$11*N(AA28)+Parameters!$I$12*N(AB28)+Parameters!$I$13*N(AC28)+Parameters!$I$14*N(AD28)+Parameters!$I$15*N(AE28))/(Parameters!$I$11*ISNUMBER(AA28)+Parameters!$I$12*ISNUMBER(AB28)+Parameters!$I$13*ISNUMBER(AC28)+Parameters!$I$14*ISNUMBER(AD28)+Parameters!$I$15*ISNUMBER(AE28)))</f>
        <v>0.66600000000000004</v>
      </c>
      <c r="AI28" s="13">
        <f>Parameters!$I$5*ISNUMBER(V28)+Parameters!$I$6*ISNUMBER(W28)+Parameters!$I$7*ISNUMBER(X28)+Parameters!$I$8*ISNUMBER(Y28)+Parameters!$I$9*ISNUMBER(Z28)+Parameters!$I$11*ISNUMBER(AA28)+Parameters!$I$12*ISNUMBER(AB28)+Parameters!$I$13*ISNUMBER(AC28)+Parameters!$I$14*ISNUMBER(AD28)+Parameters!$I$15*ISNUMBER(AE28)</f>
        <v>95</v>
      </c>
      <c r="AJ28" s="14">
        <f>IF((Parameters!$I$5+Parameters!$I$6+Parameters!$I$7+Parameters!$I$8+Parameters!$I$9+Parameters!$I$11+Parameters!$I$12+Parameters!$I$13+Parameters!$I$14+Parameters!$I$15)=0,"",AI28/(Parameters!$I$5+Parameters!$I$6+Parameters!$I$7+Parameters!$I$8+Parameters!$I$9+Parameters!$I$11+Parameters!$I$12+Parameters!$I$13+Parameters!$I$14+Parameters!$I$15))</f>
        <v>1</v>
      </c>
      <c r="AK28" s="15">
        <f>IF(AND(ISNUMBER(AF28),ISNUMBER(AH28),OR(NOT((Parameters!$I$9)&gt;0),ISNUMBER(AG28)),AJ28&gt;=Parameters!$B$20),100*(Parameters!$F$18*N(AF28)+Parameters!$F$19*N(AG28)+Parameters!$F$20*N(AH28))/(Parameters!$F$18*ISNUMBER(AF28)+Parameters!$F$19*ISNUMBER(AG28)+Parameters!$F$20*ISNUMBER(AH28)),"")</f>
        <v>88.31</v>
      </c>
      <c r="AL28" s="16">
        <f>IF(ISNUMBER(AK28),RANK(AK28,$AK$2:$AK$113),"")</f>
        <v>27</v>
      </c>
      <c r="AM28" s="14">
        <f>IF(((D28="Implemented/available")+(E28="Implemented/available")+(J28="Implemented/available")+(K28="Implemented/available")+(L28="Implemented/available")+(M28="Implemented/available"))=0,"",(AND(D28="Implemented/available",O28&lt;&gt;"")+AND(E28="Implemented/available",P28&lt;&gt;"")+AND(J28="Implemented/available",Q28&lt;&gt;"")+AND(K28="Implemented/available",R28&lt;&gt;"")+AND(L28="Implemented/available",S28&lt;&gt;"")+AND(M28="Implemented/available",T28&lt;&gt;""))/((D28="Implemented/available")+(E28="Implemented/available")+(J28="Implemented/available")+(K28="Implemented/available")+(L28="Implemented/available")+(M28="Implemented/available")))</f>
        <v>1</v>
      </c>
    </row>
    <row r="29" spans="1:39" x14ac:dyDescent="0.25">
      <c r="A29" s="6" t="s">
        <v>503</v>
      </c>
      <c r="B29" s="6" t="s">
        <v>504</v>
      </c>
      <c r="C29" s="6" t="s">
        <v>256</v>
      </c>
      <c r="D29" s="6" t="s">
        <v>29</v>
      </c>
      <c r="E29" s="6" t="s">
        <v>38</v>
      </c>
      <c r="F29" s="6" t="s">
        <v>29</v>
      </c>
      <c r="G29" s="6" t="s">
        <v>117</v>
      </c>
      <c r="H29" s="6"/>
      <c r="I29" s="6" t="s">
        <v>32</v>
      </c>
      <c r="J29" s="6" t="s">
        <v>41</v>
      </c>
      <c r="K29" s="6" t="s">
        <v>34</v>
      </c>
      <c r="L29" s="6" t="s">
        <v>41</v>
      </c>
      <c r="M29" s="6" t="s">
        <v>29</v>
      </c>
      <c r="N29" s="6" t="s">
        <v>505</v>
      </c>
      <c r="O29" s="6" t="s">
        <v>506</v>
      </c>
      <c r="P29" s="6"/>
      <c r="Q29" s="6"/>
      <c r="R29" s="6"/>
      <c r="S29" s="6"/>
      <c r="T29" s="6" t="s">
        <v>507</v>
      </c>
      <c r="U29" s="6" t="s">
        <v>508</v>
      </c>
      <c r="V29" s="12">
        <f>IFERROR(IF(ISNUMBER(INDEX(Parameters!$B$5:$B$14,MATCH(D29,Parameters!$A$5:$A$14,0))),INDEX(Parameters!$B$5:$B$14,MATCH(D29,Parameters!$A$5:$A$14,0)),""),"")</f>
        <v>1</v>
      </c>
      <c r="W29" s="12">
        <f>IFERROR(IF(ISNUMBER(INDEX(Parameters!$B$5:$B$14,MATCH(E29,Parameters!$A$5:$A$14,0))),INDEX(Parameters!$B$5:$B$14,MATCH(E29,Parameters!$A$5:$A$14,0)),""),"")</f>
        <v>0.67</v>
      </c>
      <c r="X29" s="12">
        <f>IFERROR(IF(ISNUMBER(INDEX(Parameters!$B$5:$B$14,MATCH(F29,Parameters!$A$5:$A$14,0))),INDEX(Parameters!$B$5:$B$14,MATCH(F29,Parameters!$A$5:$A$14,0)),""),"")</f>
        <v>1</v>
      </c>
      <c r="Y29" s="12">
        <f>IF(G29&lt;&gt;"",1,IF(ISNUMBER(Parameters!$B$18),Parameters!$B$18,""))</f>
        <v>1</v>
      </c>
      <c r="Z29" s="12">
        <f>IF(I29&lt;&gt;"",IFERROR(IF(ISNUMBER(INDEX(Parameters!$B$5:$B$14,MATCH(I29,Parameters!$A$5:$A$14,0))),INDEX(Parameters!$B$5:$B$14,MATCH(I29,Parameters!$A$5:$A$14,0)),""),""),IF(ISNUMBER(Parameters!$B$21),Parameters!$B$21,""))</f>
        <v>1</v>
      </c>
      <c r="AA29" s="12">
        <f>IFERROR(IF(ISNUMBER(INDEX(Parameters!$B$5:$B$14,MATCH(J29,Parameters!$A$5:$A$14,0))),INDEX(Parameters!$B$5:$B$14,MATCH(J29,Parameters!$A$5:$A$14,0)),""),"")</f>
        <v>0.33</v>
      </c>
      <c r="AB29" s="12">
        <f>IFERROR(IF(ISNUMBER(INDEX(Parameters!$B$5:$B$14,MATCH(K29,Parameters!$A$5:$A$14,0))),INDEX(Parameters!$B$5:$B$14,MATCH(K29,Parameters!$A$5:$A$14,0)),""),"")</f>
        <v>1</v>
      </c>
      <c r="AC29" s="12">
        <f>IFERROR(IF(ISNUMBER(INDEX(Parameters!$B$5:$B$14,MATCH(L29,Parameters!$A$5:$A$14,0))),INDEX(Parameters!$B$5:$B$14,MATCH(L29,Parameters!$A$5:$A$14,0)),""),"")</f>
        <v>0.33</v>
      </c>
      <c r="AD29" s="12">
        <f>IFERROR(IF(ISNUMBER(INDEX(Parameters!$B$5:$B$14,MATCH(M29,Parameters!$A$5:$A$14,0))),INDEX(Parameters!$B$5:$B$14,MATCH(M29,Parameters!$A$5:$A$14,0)),""),"")</f>
        <v>1</v>
      </c>
      <c r="AE29" s="12">
        <f>IF(N29&lt;&gt;"",1,IF(ISNUMBER(Parameters!$B$19),Parameters!$B$19,""))</f>
        <v>1</v>
      </c>
      <c r="AF29" s="12">
        <f>IF((Parameters!$I$5*ISNUMBER(V29)+Parameters!$I$6*ISNUMBER(W29)+Parameters!$I$7*ISNUMBER(X29)+Parameters!$I$8*ISNUMBER(Y29))=0,"",(Parameters!$I$5*N(V29)+Parameters!$I$6*N(W29)+Parameters!$I$7*N(X29)+Parameters!$I$8*N(Y29))/(Parameters!$I$5*ISNUMBER(V29)+Parameters!$I$6*ISNUMBER(W29)+Parameters!$I$7*ISNUMBER(X29)+Parameters!$I$8*ISNUMBER(Y29)))</f>
        <v>0.90100000000000002</v>
      </c>
      <c r="AG29" s="12">
        <f>IF((Parameters!$I$9*ISNUMBER(Z29))=0,"",(Parameters!$I$9*N(Z29))/(Parameters!$I$9*ISNUMBER(Z29)))</f>
        <v>1</v>
      </c>
      <c r="AH29" s="12">
        <f>IF((Parameters!$I$11*ISNUMBER(AA29)+Parameters!$I$12*ISNUMBER(AB29)+Parameters!$I$13*ISNUMBER(AC29)+Parameters!$I$14*ISNUMBER(AD29)+Parameters!$I$15*ISNUMBER(AE29))=0,"",(Parameters!$I$11*N(AA29)+Parameters!$I$12*N(AB29)+Parameters!$I$13*N(AC29)+Parameters!$I$14*N(AD29)+Parameters!$I$15*N(AE29))/(Parameters!$I$11*ISNUMBER(AA29)+Parameters!$I$12*ISNUMBER(AB29)+Parameters!$I$13*ISNUMBER(AC29)+Parameters!$I$14*ISNUMBER(AD29)+Parameters!$I$15*ISNUMBER(AE29)))</f>
        <v>0.73199999999999998</v>
      </c>
      <c r="AI29" s="13">
        <f>Parameters!$I$5*ISNUMBER(V29)+Parameters!$I$6*ISNUMBER(W29)+Parameters!$I$7*ISNUMBER(X29)+Parameters!$I$8*ISNUMBER(Y29)+Parameters!$I$9*ISNUMBER(Z29)+Parameters!$I$11*ISNUMBER(AA29)+Parameters!$I$12*ISNUMBER(AB29)+Parameters!$I$13*ISNUMBER(AC29)+Parameters!$I$14*ISNUMBER(AD29)+Parameters!$I$15*ISNUMBER(AE29)</f>
        <v>95</v>
      </c>
      <c r="AJ29" s="14">
        <f>IF((Parameters!$I$5+Parameters!$I$6+Parameters!$I$7+Parameters!$I$8+Parameters!$I$9+Parameters!$I$11+Parameters!$I$12+Parameters!$I$13+Parameters!$I$14+Parameters!$I$15)=0,"",AI29/(Parameters!$I$5+Parameters!$I$6+Parameters!$I$7+Parameters!$I$8+Parameters!$I$9+Parameters!$I$11+Parameters!$I$12+Parameters!$I$13+Parameters!$I$14+Parameters!$I$15))</f>
        <v>1</v>
      </c>
      <c r="AK29" s="15">
        <f>IF(AND(ISNUMBER(AF29),ISNUMBER(AH29),OR(NOT((Parameters!$I$9)&gt;0),ISNUMBER(AG29)),AJ29&gt;=Parameters!$B$20),100*(Parameters!$F$18*N(AF29)+Parameters!$F$19*N(AG29)+Parameters!$F$20*N(AH29))/(Parameters!$F$18*ISNUMBER(AF29)+Parameters!$F$19*ISNUMBER(AG29)+Parameters!$F$20*ISNUMBER(AH29)),"")</f>
        <v>86.66</v>
      </c>
      <c r="AL29" s="16">
        <f>IF(ISNUMBER(AK29),RANK(AK29,$AK$2:$AK$113),"")</f>
        <v>28</v>
      </c>
      <c r="AM29" s="14">
        <f>IF(((D29="Implemented/available")+(E29="Implemented/available")+(J29="Implemented/available")+(K29="Implemented/available")+(L29="Implemented/available")+(M29="Implemented/available"))=0,"",(AND(D29="Implemented/available",O29&lt;&gt;"")+AND(E29="Implemented/available",P29&lt;&gt;"")+AND(J29="Implemented/available",Q29&lt;&gt;"")+AND(K29="Implemented/available",R29&lt;&gt;"")+AND(L29="Implemented/available",S29&lt;&gt;"")+AND(M29="Implemented/available",T29&lt;&gt;""))/((D29="Implemented/available")+(E29="Implemented/available")+(J29="Implemented/available")+(K29="Implemented/available")+(L29="Implemented/available")+(M29="Implemented/available")))</f>
        <v>1</v>
      </c>
    </row>
    <row r="30" spans="1:39" x14ac:dyDescent="0.25">
      <c r="A30" s="6" t="s">
        <v>165</v>
      </c>
      <c r="B30" s="6" t="s">
        <v>166</v>
      </c>
      <c r="C30" s="6" t="s">
        <v>138</v>
      </c>
      <c r="D30" s="6" t="s">
        <v>29</v>
      </c>
      <c r="E30" s="6" t="s">
        <v>44</v>
      </c>
      <c r="F30" s="6" t="s">
        <v>29</v>
      </c>
      <c r="G30" s="6" t="s">
        <v>117</v>
      </c>
      <c r="H30" s="6"/>
      <c r="I30" s="6" t="s">
        <v>32</v>
      </c>
      <c r="J30" s="6" t="s">
        <v>38</v>
      </c>
      <c r="K30" s="6" t="s">
        <v>29</v>
      </c>
      <c r="L30" s="6" t="s">
        <v>29</v>
      </c>
      <c r="M30" s="6" t="s">
        <v>29</v>
      </c>
      <c r="N30" s="6" t="s">
        <v>139</v>
      </c>
      <c r="O30" s="6" t="s">
        <v>167</v>
      </c>
      <c r="P30" s="6"/>
      <c r="Q30" s="6"/>
      <c r="R30" s="6" t="s">
        <v>168</v>
      </c>
      <c r="S30" s="6" t="s">
        <v>169</v>
      </c>
      <c r="T30" s="6" t="s">
        <v>170</v>
      </c>
      <c r="U30" s="6" t="s">
        <v>171</v>
      </c>
      <c r="V30" s="12">
        <f>IFERROR(IF(ISNUMBER(INDEX(Parameters!$B$5:$B$14,MATCH(D30,Parameters!$A$5:$A$14,0))),INDEX(Parameters!$B$5:$B$14,MATCH(D30,Parameters!$A$5:$A$14,0)),""),"")</f>
        <v>1</v>
      </c>
      <c r="W30" s="12">
        <f>IFERROR(IF(ISNUMBER(INDEX(Parameters!$B$5:$B$14,MATCH(E30,Parameters!$A$5:$A$14,0))),INDEX(Parameters!$B$5:$B$14,MATCH(E30,Parameters!$A$5:$A$14,0)),""),"")</f>
        <v>0</v>
      </c>
      <c r="X30" s="12">
        <f>IFERROR(IF(ISNUMBER(INDEX(Parameters!$B$5:$B$14,MATCH(F30,Parameters!$A$5:$A$14,0))),INDEX(Parameters!$B$5:$B$14,MATCH(F30,Parameters!$A$5:$A$14,0)),""),"")</f>
        <v>1</v>
      </c>
      <c r="Y30" s="12">
        <f>IF(G30&lt;&gt;"",1,IF(ISNUMBER(Parameters!$B$18),Parameters!$B$18,""))</f>
        <v>1</v>
      </c>
      <c r="Z30" s="12">
        <f>IF(I30&lt;&gt;"",IFERROR(IF(ISNUMBER(INDEX(Parameters!$B$5:$B$14,MATCH(I30,Parameters!$A$5:$A$14,0))),INDEX(Parameters!$B$5:$B$14,MATCH(I30,Parameters!$A$5:$A$14,0)),""),""),IF(ISNUMBER(Parameters!$B$21),Parameters!$B$21,""))</f>
        <v>1</v>
      </c>
      <c r="AA30" s="12">
        <f>IFERROR(IF(ISNUMBER(INDEX(Parameters!$B$5:$B$14,MATCH(J30,Parameters!$A$5:$A$14,0))),INDEX(Parameters!$B$5:$B$14,MATCH(J30,Parameters!$A$5:$A$14,0)),""),"")</f>
        <v>0.67</v>
      </c>
      <c r="AB30" s="12">
        <f>IFERROR(IF(ISNUMBER(INDEX(Parameters!$B$5:$B$14,MATCH(K30,Parameters!$A$5:$A$14,0))),INDEX(Parameters!$B$5:$B$14,MATCH(K30,Parameters!$A$5:$A$14,0)),""),"")</f>
        <v>1</v>
      </c>
      <c r="AC30" s="12">
        <f>IFERROR(IF(ISNUMBER(INDEX(Parameters!$B$5:$B$14,MATCH(L30,Parameters!$A$5:$A$14,0))),INDEX(Parameters!$B$5:$B$14,MATCH(L30,Parameters!$A$5:$A$14,0)),""),"")</f>
        <v>1</v>
      </c>
      <c r="AD30" s="12">
        <f>IFERROR(IF(ISNUMBER(INDEX(Parameters!$B$5:$B$14,MATCH(M30,Parameters!$A$5:$A$14,0))),INDEX(Parameters!$B$5:$B$14,MATCH(M30,Parameters!$A$5:$A$14,0)),""),"")</f>
        <v>1</v>
      </c>
      <c r="AE30" s="12">
        <f>IF(N30&lt;&gt;"",1,IF(ISNUMBER(Parameters!$B$19),Parameters!$B$19,""))</f>
        <v>1</v>
      </c>
      <c r="AF30" s="12">
        <f>IF((Parameters!$I$5*ISNUMBER(V30)+Parameters!$I$6*ISNUMBER(W30)+Parameters!$I$7*ISNUMBER(X30)+Parameters!$I$8*ISNUMBER(Y30))=0,"",(Parameters!$I$5*N(V30)+Parameters!$I$6*N(W30)+Parameters!$I$7*N(X30)+Parameters!$I$8*N(Y30))/(Parameters!$I$5*ISNUMBER(V30)+Parameters!$I$6*ISNUMBER(W30)+Parameters!$I$7*ISNUMBER(X30)+Parameters!$I$8*ISNUMBER(Y30)))</f>
        <v>0.7</v>
      </c>
      <c r="AG30" s="12">
        <f>IF((Parameters!$I$9*ISNUMBER(Z30))=0,"",(Parameters!$I$9*N(Z30))/(Parameters!$I$9*ISNUMBER(Z30)))</f>
        <v>1</v>
      </c>
      <c r="AH30" s="12">
        <f>IF((Parameters!$I$11*ISNUMBER(AA30)+Parameters!$I$12*ISNUMBER(AB30)+Parameters!$I$13*ISNUMBER(AC30)+Parameters!$I$14*ISNUMBER(AD30)+Parameters!$I$15*ISNUMBER(AE30))=0,"",(Parameters!$I$11*N(AA30)+Parameters!$I$12*N(AB30)+Parameters!$I$13*N(AC30)+Parameters!$I$14*N(AD30)+Parameters!$I$15*N(AE30))/(Parameters!$I$11*ISNUMBER(AA30)+Parameters!$I$12*ISNUMBER(AB30)+Parameters!$I$13*ISNUMBER(AC30)+Parameters!$I$14*ISNUMBER(AD30)+Parameters!$I$15*ISNUMBER(AE30)))</f>
        <v>0.93399999999999994</v>
      </c>
      <c r="AI30" s="13">
        <f>Parameters!$I$5*ISNUMBER(V30)+Parameters!$I$6*ISNUMBER(W30)+Parameters!$I$7*ISNUMBER(X30)+Parameters!$I$8*ISNUMBER(Y30)+Parameters!$I$9*ISNUMBER(Z30)+Parameters!$I$11*ISNUMBER(AA30)+Parameters!$I$12*ISNUMBER(AB30)+Parameters!$I$13*ISNUMBER(AC30)+Parameters!$I$14*ISNUMBER(AD30)+Parameters!$I$15*ISNUMBER(AE30)</f>
        <v>95</v>
      </c>
      <c r="AJ30" s="14">
        <f>IF((Parameters!$I$5+Parameters!$I$6+Parameters!$I$7+Parameters!$I$8+Parameters!$I$9+Parameters!$I$11+Parameters!$I$12+Parameters!$I$13+Parameters!$I$14+Parameters!$I$15)=0,"",AI30/(Parameters!$I$5+Parameters!$I$6+Parameters!$I$7+Parameters!$I$8+Parameters!$I$9+Parameters!$I$11+Parameters!$I$12+Parameters!$I$13+Parameters!$I$14+Parameters!$I$15))</f>
        <v>1</v>
      </c>
      <c r="AK30" s="15">
        <f>IF(AND(ISNUMBER(AF30),ISNUMBER(AH30),OR(NOT((Parameters!$I$9)&gt;0),ISNUMBER(AG30)),AJ30&gt;=Parameters!$B$20),100*(Parameters!$F$18*N(AF30)+Parameters!$F$19*N(AG30)+Parameters!$F$20*N(AH30))/(Parameters!$F$18*ISNUMBER(AF30)+Parameters!$F$19*ISNUMBER(AG30)+Parameters!$F$20*ISNUMBER(AH30)),"")</f>
        <v>85.69</v>
      </c>
      <c r="AL30" s="16">
        <f>IF(ISNUMBER(AK30),RANK(AK30,$AK$2:$AK$113),"")</f>
        <v>29</v>
      </c>
      <c r="AM30" s="14">
        <f>IF(((D30="Implemented/available")+(E30="Implemented/available")+(J30="Implemented/available")+(K30="Implemented/available")+(L30="Implemented/available")+(M30="Implemented/available"))=0,"",(AND(D30="Implemented/available",O30&lt;&gt;"")+AND(E30="Implemented/available",P30&lt;&gt;"")+AND(J30="Implemented/available",Q30&lt;&gt;"")+AND(K30="Implemented/available",R30&lt;&gt;"")+AND(L30="Implemented/available",S30&lt;&gt;"")+AND(M30="Implemented/available",T30&lt;&gt;""))/((D30="Implemented/available")+(E30="Implemented/available")+(J30="Implemented/available")+(K30="Implemented/available")+(L30="Implemented/available")+(M30="Implemented/available")))</f>
        <v>1</v>
      </c>
    </row>
    <row r="31" spans="1:39" x14ac:dyDescent="0.25">
      <c r="A31" s="6" t="s">
        <v>412</v>
      </c>
      <c r="B31" s="6" t="s">
        <v>413</v>
      </c>
      <c r="C31" s="6" t="s">
        <v>291</v>
      </c>
      <c r="D31" s="6" t="s">
        <v>29</v>
      </c>
      <c r="E31" s="6" t="s">
        <v>38</v>
      </c>
      <c r="F31" s="6" t="s">
        <v>29</v>
      </c>
      <c r="G31" s="6" t="s">
        <v>117</v>
      </c>
      <c r="H31" s="6"/>
      <c r="I31" s="6" t="s">
        <v>32</v>
      </c>
      <c r="J31" s="6" t="s">
        <v>38</v>
      </c>
      <c r="K31" s="6" t="s">
        <v>34</v>
      </c>
      <c r="L31" s="6" t="s">
        <v>29</v>
      </c>
      <c r="M31" s="6" t="s">
        <v>53</v>
      </c>
      <c r="N31" s="6"/>
      <c r="O31" s="6" t="s">
        <v>414</v>
      </c>
      <c r="P31" s="6"/>
      <c r="Q31" s="6"/>
      <c r="R31" s="6"/>
      <c r="S31" s="6" t="s">
        <v>414</v>
      </c>
      <c r="T31" s="6"/>
      <c r="U31" s="6" t="s">
        <v>414</v>
      </c>
      <c r="V31" s="12">
        <f>IFERROR(IF(ISNUMBER(INDEX(Parameters!$B$5:$B$14,MATCH(D31,Parameters!$A$5:$A$14,0))),INDEX(Parameters!$B$5:$B$14,MATCH(D31,Parameters!$A$5:$A$14,0)),""),"")</f>
        <v>1</v>
      </c>
      <c r="W31" s="12">
        <f>IFERROR(IF(ISNUMBER(INDEX(Parameters!$B$5:$B$14,MATCH(E31,Parameters!$A$5:$A$14,0))),INDEX(Parameters!$B$5:$B$14,MATCH(E31,Parameters!$A$5:$A$14,0)),""),"")</f>
        <v>0.67</v>
      </c>
      <c r="X31" s="12">
        <f>IFERROR(IF(ISNUMBER(INDEX(Parameters!$B$5:$B$14,MATCH(F31,Parameters!$A$5:$A$14,0))),INDEX(Parameters!$B$5:$B$14,MATCH(F31,Parameters!$A$5:$A$14,0)),""),"")</f>
        <v>1</v>
      </c>
      <c r="Y31" s="12">
        <f>IF(G31&lt;&gt;"",1,IF(ISNUMBER(Parameters!$B$18),Parameters!$B$18,""))</f>
        <v>1</v>
      </c>
      <c r="Z31" s="12">
        <f>IF(I31&lt;&gt;"",IFERROR(IF(ISNUMBER(INDEX(Parameters!$B$5:$B$14,MATCH(I31,Parameters!$A$5:$A$14,0))),INDEX(Parameters!$B$5:$B$14,MATCH(I31,Parameters!$A$5:$A$14,0)),""),""),IF(ISNUMBER(Parameters!$B$21),Parameters!$B$21,""))</f>
        <v>1</v>
      </c>
      <c r="AA31" s="12">
        <f>IFERROR(IF(ISNUMBER(INDEX(Parameters!$B$5:$B$14,MATCH(J31,Parameters!$A$5:$A$14,0))),INDEX(Parameters!$B$5:$B$14,MATCH(J31,Parameters!$A$5:$A$14,0)),""),"")</f>
        <v>0.67</v>
      </c>
      <c r="AB31" s="12">
        <f>IFERROR(IF(ISNUMBER(INDEX(Parameters!$B$5:$B$14,MATCH(K31,Parameters!$A$5:$A$14,0))),INDEX(Parameters!$B$5:$B$14,MATCH(K31,Parameters!$A$5:$A$14,0)),""),"")</f>
        <v>1</v>
      </c>
      <c r="AC31" s="12">
        <f>IFERROR(IF(ISNUMBER(INDEX(Parameters!$B$5:$B$14,MATCH(L31,Parameters!$A$5:$A$14,0))),INDEX(Parameters!$B$5:$B$14,MATCH(L31,Parameters!$A$5:$A$14,0)),""),"")</f>
        <v>1</v>
      </c>
      <c r="AD31" s="12" t="str">
        <f>IFERROR(IF(ISNUMBER(INDEX(Parameters!$B$5:$B$14,MATCH(M31,Parameters!$A$5:$A$14,0))),INDEX(Parameters!$B$5:$B$14,MATCH(M31,Parameters!$A$5:$A$14,0)),""),"")</f>
        <v/>
      </c>
      <c r="AE31" s="12">
        <f>IF(N31&lt;&gt;"",1,IF(ISNUMBER(Parameters!$B$19),Parameters!$B$19,""))</f>
        <v>0</v>
      </c>
      <c r="AF31" s="12">
        <f>IF((Parameters!$I$5*ISNUMBER(V31)+Parameters!$I$6*ISNUMBER(W31)+Parameters!$I$7*ISNUMBER(X31)+Parameters!$I$8*ISNUMBER(Y31))=0,"",(Parameters!$I$5*N(V31)+Parameters!$I$6*N(W31)+Parameters!$I$7*N(X31)+Parameters!$I$8*N(Y31))/(Parameters!$I$5*ISNUMBER(V31)+Parameters!$I$6*ISNUMBER(W31)+Parameters!$I$7*ISNUMBER(X31)+Parameters!$I$8*ISNUMBER(Y31)))</f>
        <v>0.90100000000000002</v>
      </c>
      <c r="AG31" s="12">
        <f>IF((Parameters!$I$9*ISNUMBER(Z31))=0,"",(Parameters!$I$9*N(Z31))/(Parameters!$I$9*ISNUMBER(Z31)))</f>
        <v>1</v>
      </c>
      <c r="AH31" s="12">
        <f>IF((Parameters!$I$11*ISNUMBER(AA31)+Parameters!$I$12*ISNUMBER(AB31)+Parameters!$I$13*ISNUMBER(AC31)+Parameters!$I$14*ISNUMBER(AD31)+Parameters!$I$15*ISNUMBER(AE31))=0,"",(Parameters!$I$11*N(AA31)+Parameters!$I$12*N(AB31)+Parameters!$I$13*N(AC31)+Parameters!$I$14*N(AD31)+Parameters!$I$15*N(AE31))/(Parameters!$I$11*ISNUMBER(AA31)+Parameters!$I$12*ISNUMBER(AB31)+Parameters!$I$13*ISNUMBER(AC31)+Parameters!$I$14*ISNUMBER(AD31)+Parameters!$I$15*ISNUMBER(AE31)))</f>
        <v>0.66750000000000009</v>
      </c>
      <c r="AI31" s="13">
        <f>Parameters!$I$5*ISNUMBER(V31)+Parameters!$I$6*ISNUMBER(W31)+Parameters!$I$7*ISNUMBER(X31)+Parameters!$I$8*ISNUMBER(Y31)+Parameters!$I$9*ISNUMBER(Z31)+Parameters!$I$11*ISNUMBER(AA31)+Parameters!$I$12*ISNUMBER(AB31)+Parameters!$I$13*ISNUMBER(AC31)+Parameters!$I$14*ISNUMBER(AD31)+Parameters!$I$15*ISNUMBER(AE31)</f>
        <v>88</v>
      </c>
      <c r="AJ31" s="14">
        <f>IF((Parameters!$I$5+Parameters!$I$6+Parameters!$I$7+Parameters!$I$8+Parameters!$I$9+Parameters!$I$11+Parameters!$I$12+Parameters!$I$13+Parameters!$I$14+Parameters!$I$15)=0,"",AI31/(Parameters!$I$5+Parameters!$I$6+Parameters!$I$7+Parameters!$I$8+Parameters!$I$9+Parameters!$I$11+Parameters!$I$12+Parameters!$I$13+Parameters!$I$14+Parameters!$I$15))</f>
        <v>0.9263157894736842</v>
      </c>
      <c r="AK31" s="15">
        <f>IF(AND(ISNUMBER(AF31),ISNUMBER(AH31),OR(NOT((Parameters!$I$9)&gt;0),ISNUMBER(AG31)),AJ31&gt;=Parameters!$B$20),100*(Parameters!$F$18*N(AF31)+Parameters!$F$19*N(AG31)+Parameters!$F$20*N(AH31))/(Parameters!$F$18*ISNUMBER(AF31)+Parameters!$F$19*ISNUMBER(AG31)+Parameters!$F$20*ISNUMBER(AH31)),"")</f>
        <v>84.402500000000003</v>
      </c>
      <c r="AL31" s="16">
        <f>IF(ISNUMBER(AK31),RANK(AK31,$AK$2:$AK$113),"")</f>
        <v>30</v>
      </c>
      <c r="AM31" s="14">
        <f>IF(((D31="Implemented/available")+(E31="Implemented/available")+(J31="Implemented/available")+(K31="Implemented/available")+(L31="Implemented/available")+(M31="Implemented/available"))=0,"",(AND(D31="Implemented/available",O31&lt;&gt;"")+AND(E31="Implemented/available",P31&lt;&gt;"")+AND(J31="Implemented/available",Q31&lt;&gt;"")+AND(K31="Implemented/available",R31&lt;&gt;"")+AND(L31="Implemented/available",S31&lt;&gt;"")+AND(M31="Implemented/available",T31&lt;&gt;""))/((D31="Implemented/available")+(E31="Implemented/available")+(J31="Implemented/available")+(K31="Implemented/available")+(L31="Implemented/available")+(M31="Implemented/available")))</f>
        <v>1</v>
      </c>
    </row>
    <row r="32" spans="1:39" x14ac:dyDescent="0.25">
      <c r="A32" s="6" t="s">
        <v>199</v>
      </c>
      <c r="B32" s="6" t="s">
        <v>200</v>
      </c>
      <c r="C32" s="6" t="s">
        <v>201</v>
      </c>
      <c r="D32" s="6" t="s">
        <v>29</v>
      </c>
      <c r="E32" s="6" t="s">
        <v>38</v>
      </c>
      <c r="F32" s="6" t="s">
        <v>29</v>
      </c>
      <c r="G32" s="6" t="s">
        <v>117</v>
      </c>
      <c r="H32" s="6" t="s">
        <v>190</v>
      </c>
      <c r="I32" s="6" t="s">
        <v>32</v>
      </c>
      <c r="J32" s="6" t="s">
        <v>41</v>
      </c>
      <c r="K32" s="6" t="s">
        <v>34</v>
      </c>
      <c r="L32" s="6" t="s">
        <v>29</v>
      </c>
      <c r="M32" s="6" t="s">
        <v>29</v>
      </c>
      <c r="N32" s="6"/>
      <c r="O32" s="6" t="s">
        <v>202</v>
      </c>
      <c r="P32" s="6"/>
      <c r="Q32" s="6"/>
      <c r="R32" s="6"/>
      <c r="S32" s="6" t="s">
        <v>203</v>
      </c>
      <c r="T32" s="6" t="s">
        <v>204</v>
      </c>
      <c r="U32" s="6" t="s">
        <v>205</v>
      </c>
      <c r="V32" s="12">
        <f>IFERROR(IF(ISNUMBER(INDEX(Parameters!$B$5:$B$14,MATCH(D32,Parameters!$A$5:$A$14,0))),INDEX(Parameters!$B$5:$B$14,MATCH(D32,Parameters!$A$5:$A$14,0)),""),"")</f>
        <v>1</v>
      </c>
      <c r="W32" s="12">
        <f>IFERROR(IF(ISNUMBER(INDEX(Parameters!$B$5:$B$14,MATCH(E32,Parameters!$A$5:$A$14,0))),INDEX(Parameters!$B$5:$B$14,MATCH(E32,Parameters!$A$5:$A$14,0)),""),"")</f>
        <v>0.67</v>
      </c>
      <c r="X32" s="12">
        <f>IFERROR(IF(ISNUMBER(INDEX(Parameters!$B$5:$B$14,MATCH(F32,Parameters!$A$5:$A$14,0))),INDEX(Parameters!$B$5:$B$14,MATCH(F32,Parameters!$A$5:$A$14,0)),""),"")</f>
        <v>1</v>
      </c>
      <c r="Y32" s="12">
        <f>IF(G32&lt;&gt;"",1,IF(ISNUMBER(Parameters!$B$18),Parameters!$B$18,""))</f>
        <v>1</v>
      </c>
      <c r="Z32" s="12">
        <f>IF(I32&lt;&gt;"",IFERROR(IF(ISNUMBER(INDEX(Parameters!$B$5:$B$14,MATCH(I32,Parameters!$A$5:$A$14,0))),INDEX(Parameters!$B$5:$B$14,MATCH(I32,Parameters!$A$5:$A$14,0)),""),""),IF(ISNUMBER(Parameters!$B$21),Parameters!$B$21,""))</f>
        <v>1</v>
      </c>
      <c r="AA32" s="12">
        <f>IFERROR(IF(ISNUMBER(INDEX(Parameters!$B$5:$B$14,MATCH(J32,Parameters!$A$5:$A$14,0))),INDEX(Parameters!$B$5:$B$14,MATCH(J32,Parameters!$A$5:$A$14,0)),""),"")</f>
        <v>0.33</v>
      </c>
      <c r="AB32" s="12">
        <f>IFERROR(IF(ISNUMBER(INDEX(Parameters!$B$5:$B$14,MATCH(K32,Parameters!$A$5:$A$14,0))),INDEX(Parameters!$B$5:$B$14,MATCH(K32,Parameters!$A$5:$A$14,0)),""),"")</f>
        <v>1</v>
      </c>
      <c r="AC32" s="12">
        <f>IFERROR(IF(ISNUMBER(INDEX(Parameters!$B$5:$B$14,MATCH(L32,Parameters!$A$5:$A$14,0))),INDEX(Parameters!$B$5:$B$14,MATCH(L32,Parameters!$A$5:$A$14,0)),""),"")</f>
        <v>1</v>
      </c>
      <c r="AD32" s="12">
        <f>IFERROR(IF(ISNUMBER(INDEX(Parameters!$B$5:$B$14,MATCH(M32,Parameters!$A$5:$A$14,0))),INDEX(Parameters!$B$5:$B$14,MATCH(M32,Parameters!$A$5:$A$14,0)),""),"")</f>
        <v>1</v>
      </c>
      <c r="AE32" s="12">
        <f>IF(N32&lt;&gt;"",1,IF(ISNUMBER(Parameters!$B$19),Parameters!$B$19,""))</f>
        <v>0</v>
      </c>
      <c r="AF32" s="12">
        <f>IF((Parameters!$I$5*ISNUMBER(V32)+Parameters!$I$6*ISNUMBER(W32)+Parameters!$I$7*ISNUMBER(X32)+Parameters!$I$8*ISNUMBER(Y32))=0,"",(Parameters!$I$5*N(V32)+Parameters!$I$6*N(W32)+Parameters!$I$7*N(X32)+Parameters!$I$8*N(Y32))/(Parameters!$I$5*ISNUMBER(V32)+Parameters!$I$6*ISNUMBER(W32)+Parameters!$I$7*ISNUMBER(X32)+Parameters!$I$8*ISNUMBER(Y32)))</f>
        <v>0.90100000000000002</v>
      </c>
      <c r="AG32" s="12">
        <f>IF((Parameters!$I$9*ISNUMBER(Z32))=0,"",(Parameters!$I$9*N(Z32))/(Parameters!$I$9*ISNUMBER(Z32)))</f>
        <v>1</v>
      </c>
      <c r="AH32" s="12">
        <f>IF((Parameters!$I$11*ISNUMBER(AA32)+Parameters!$I$12*ISNUMBER(AB32)+Parameters!$I$13*ISNUMBER(AC32)+Parameters!$I$14*ISNUMBER(AD32)+Parameters!$I$15*ISNUMBER(AE32))=0,"",(Parameters!$I$11*N(AA32)+Parameters!$I$12*N(AB32)+Parameters!$I$13*N(AC32)+Parameters!$I$14*N(AD32)+Parameters!$I$15*N(AE32))/(Parameters!$I$11*ISNUMBER(AA32)+Parameters!$I$12*ISNUMBER(AB32)+Parameters!$I$13*ISNUMBER(AC32)+Parameters!$I$14*ISNUMBER(AD32)+Parameters!$I$15*ISNUMBER(AE32)))</f>
        <v>0.66600000000000004</v>
      </c>
      <c r="AI32" s="13">
        <f>Parameters!$I$5*ISNUMBER(V32)+Parameters!$I$6*ISNUMBER(W32)+Parameters!$I$7*ISNUMBER(X32)+Parameters!$I$8*ISNUMBER(Y32)+Parameters!$I$9*ISNUMBER(Z32)+Parameters!$I$11*ISNUMBER(AA32)+Parameters!$I$12*ISNUMBER(AB32)+Parameters!$I$13*ISNUMBER(AC32)+Parameters!$I$14*ISNUMBER(AD32)+Parameters!$I$15*ISNUMBER(AE32)</f>
        <v>95</v>
      </c>
      <c r="AJ32" s="14">
        <f>IF((Parameters!$I$5+Parameters!$I$6+Parameters!$I$7+Parameters!$I$8+Parameters!$I$9+Parameters!$I$11+Parameters!$I$12+Parameters!$I$13+Parameters!$I$14+Parameters!$I$15)=0,"",AI32/(Parameters!$I$5+Parameters!$I$6+Parameters!$I$7+Parameters!$I$8+Parameters!$I$9+Parameters!$I$11+Parameters!$I$12+Parameters!$I$13+Parameters!$I$14+Parameters!$I$15))</f>
        <v>1</v>
      </c>
      <c r="AK32" s="15">
        <f>IF(AND(ISNUMBER(AF32),ISNUMBER(AH32),OR(NOT((Parameters!$I$9)&gt;0),ISNUMBER(AG32)),AJ32&gt;=Parameters!$B$20),100*(Parameters!$F$18*N(AF32)+Parameters!$F$19*N(AG32)+Parameters!$F$20*N(AH32))/(Parameters!$F$18*ISNUMBER(AF32)+Parameters!$F$19*ISNUMBER(AG32)+Parameters!$F$20*ISNUMBER(AH32)),"")</f>
        <v>84.350000000000009</v>
      </c>
      <c r="AL32" s="16">
        <f>IF(ISNUMBER(AK32),RANK(AK32,$AK$2:$AK$113),"")</f>
        <v>31</v>
      </c>
      <c r="AM32" s="14">
        <f>IF(((D32="Implemented/available")+(E32="Implemented/available")+(J32="Implemented/available")+(K32="Implemented/available")+(L32="Implemented/available")+(M32="Implemented/available"))=0,"",(AND(D32="Implemented/available",O32&lt;&gt;"")+AND(E32="Implemented/available",P32&lt;&gt;"")+AND(J32="Implemented/available",Q32&lt;&gt;"")+AND(K32="Implemented/available",R32&lt;&gt;"")+AND(L32="Implemented/available",S32&lt;&gt;"")+AND(M32="Implemented/available",T32&lt;&gt;""))/((D32="Implemented/available")+(E32="Implemented/available")+(J32="Implemented/available")+(K32="Implemented/available")+(L32="Implemented/available")+(M32="Implemented/available")))</f>
        <v>1</v>
      </c>
    </row>
    <row r="33" spans="1:39" x14ac:dyDescent="0.25">
      <c r="A33" s="6" t="s">
        <v>233</v>
      </c>
      <c r="B33" s="6" t="s">
        <v>234</v>
      </c>
      <c r="C33" s="6" t="s">
        <v>235</v>
      </c>
      <c r="D33" s="6" t="s">
        <v>29</v>
      </c>
      <c r="E33" s="6" t="s">
        <v>38</v>
      </c>
      <c r="F33" s="6" t="s">
        <v>29</v>
      </c>
      <c r="G33" s="6" t="s">
        <v>123</v>
      </c>
      <c r="H33" s="6"/>
      <c r="I33" s="6" t="s">
        <v>32</v>
      </c>
      <c r="J33" s="6" t="s">
        <v>29</v>
      </c>
      <c r="K33" s="6" t="s">
        <v>29</v>
      </c>
      <c r="L33" s="6" t="s">
        <v>41</v>
      </c>
      <c r="M33" s="6" t="s">
        <v>29</v>
      </c>
      <c r="N33" s="6"/>
      <c r="O33" s="6" t="s">
        <v>236</v>
      </c>
      <c r="P33" s="6"/>
      <c r="Q33" s="6" t="s">
        <v>237</v>
      </c>
      <c r="R33" s="6" t="s">
        <v>238</v>
      </c>
      <c r="S33" s="6"/>
      <c r="T33" s="6" t="s">
        <v>239</v>
      </c>
      <c r="U33" s="6" t="s">
        <v>236</v>
      </c>
      <c r="V33" s="12">
        <f>IFERROR(IF(ISNUMBER(INDEX(Parameters!$B$5:$B$14,MATCH(D33,Parameters!$A$5:$A$14,0))),INDEX(Parameters!$B$5:$B$14,MATCH(D33,Parameters!$A$5:$A$14,0)),""),"")</f>
        <v>1</v>
      </c>
      <c r="W33" s="12">
        <f>IFERROR(IF(ISNUMBER(INDEX(Parameters!$B$5:$B$14,MATCH(E33,Parameters!$A$5:$A$14,0))),INDEX(Parameters!$B$5:$B$14,MATCH(E33,Parameters!$A$5:$A$14,0)),""),"")</f>
        <v>0.67</v>
      </c>
      <c r="X33" s="12">
        <f>IFERROR(IF(ISNUMBER(INDEX(Parameters!$B$5:$B$14,MATCH(F33,Parameters!$A$5:$A$14,0))),INDEX(Parameters!$B$5:$B$14,MATCH(F33,Parameters!$A$5:$A$14,0)),""),"")</f>
        <v>1</v>
      </c>
      <c r="Y33" s="12">
        <f>IF(G33&lt;&gt;"",1,IF(ISNUMBER(Parameters!$B$18),Parameters!$B$18,""))</f>
        <v>1</v>
      </c>
      <c r="Z33" s="12">
        <f>IF(I33&lt;&gt;"",IFERROR(IF(ISNUMBER(INDEX(Parameters!$B$5:$B$14,MATCH(I33,Parameters!$A$5:$A$14,0))),INDEX(Parameters!$B$5:$B$14,MATCH(I33,Parameters!$A$5:$A$14,0)),""),""),IF(ISNUMBER(Parameters!$B$21),Parameters!$B$21,""))</f>
        <v>1</v>
      </c>
      <c r="AA33" s="12">
        <f>IFERROR(IF(ISNUMBER(INDEX(Parameters!$B$5:$B$14,MATCH(J33,Parameters!$A$5:$A$14,0))),INDEX(Parameters!$B$5:$B$14,MATCH(J33,Parameters!$A$5:$A$14,0)),""),"")</f>
        <v>1</v>
      </c>
      <c r="AB33" s="12">
        <f>IFERROR(IF(ISNUMBER(INDEX(Parameters!$B$5:$B$14,MATCH(K33,Parameters!$A$5:$A$14,0))),INDEX(Parameters!$B$5:$B$14,MATCH(K33,Parameters!$A$5:$A$14,0)),""),"")</f>
        <v>1</v>
      </c>
      <c r="AC33" s="12">
        <f>IFERROR(IF(ISNUMBER(INDEX(Parameters!$B$5:$B$14,MATCH(L33,Parameters!$A$5:$A$14,0))),INDEX(Parameters!$B$5:$B$14,MATCH(L33,Parameters!$A$5:$A$14,0)),""),"")</f>
        <v>0.33</v>
      </c>
      <c r="AD33" s="12">
        <f>IFERROR(IF(ISNUMBER(INDEX(Parameters!$B$5:$B$14,MATCH(M33,Parameters!$A$5:$A$14,0))),INDEX(Parameters!$B$5:$B$14,MATCH(M33,Parameters!$A$5:$A$14,0)),""),"")</f>
        <v>1</v>
      </c>
      <c r="AE33" s="12">
        <f>IF(N33&lt;&gt;"",1,IF(ISNUMBER(Parameters!$B$19),Parameters!$B$19,""))</f>
        <v>0</v>
      </c>
      <c r="AF33" s="12">
        <f>IF((Parameters!$I$5*ISNUMBER(V33)+Parameters!$I$6*ISNUMBER(W33)+Parameters!$I$7*ISNUMBER(X33)+Parameters!$I$8*ISNUMBER(Y33))=0,"",(Parameters!$I$5*N(V33)+Parameters!$I$6*N(W33)+Parameters!$I$7*N(X33)+Parameters!$I$8*N(Y33))/(Parameters!$I$5*ISNUMBER(V33)+Parameters!$I$6*ISNUMBER(W33)+Parameters!$I$7*ISNUMBER(X33)+Parameters!$I$8*ISNUMBER(Y33)))</f>
        <v>0.90100000000000002</v>
      </c>
      <c r="AG33" s="12">
        <f>IF((Parameters!$I$9*ISNUMBER(Z33))=0,"",(Parameters!$I$9*N(Z33))/(Parameters!$I$9*ISNUMBER(Z33)))</f>
        <v>1</v>
      </c>
      <c r="AH33" s="12">
        <f>IF((Parameters!$I$11*ISNUMBER(AA33)+Parameters!$I$12*ISNUMBER(AB33)+Parameters!$I$13*ISNUMBER(AC33)+Parameters!$I$14*ISNUMBER(AD33)+Parameters!$I$15*ISNUMBER(AE33))=0,"",(Parameters!$I$11*N(AA33)+Parameters!$I$12*N(AB33)+Parameters!$I$13*N(AC33)+Parameters!$I$14*N(AD33)+Parameters!$I$15*N(AE33))/(Parameters!$I$11*ISNUMBER(AA33)+Parameters!$I$12*ISNUMBER(AB33)+Parameters!$I$13*ISNUMBER(AC33)+Parameters!$I$14*ISNUMBER(AD33)+Parameters!$I$15*ISNUMBER(AE33)))</f>
        <v>0.66599999999999993</v>
      </c>
      <c r="AI33" s="13">
        <f>Parameters!$I$5*ISNUMBER(V33)+Parameters!$I$6*ISNUMBER(W33)+Parameters!$I$7*ISNUMBER(X33)+Parameters!$I$8*ISNUMBER(Y33)+Parameters!$I$9*ISNUMBER(Z33)+Parameters!$I$11*ISNUMBER(AA33)+Parameters!$I$12*ISNUMBER(AB33)+Parameters!$I$13*ISNUMBER(AC33)+Parameters!$I$14*ISNUMBER(AD33)+Parameters!$I$15*ISNUMBER(AE33)</f>
        <v>95</v>
      </c>
      <c r="AJ33" s="14">
        <f>IF((Parameters!$I$5+Parameters!$I$6+Parameters!$I$7+Parameters!$I$8+Parameters!$I$9+Parameters!$I$11+Parameters!$I$12+Parameters!$I$13+Parameters!$I$14+Parameters!$I$15)=0,"",AI33/(Parameters!$I$5+Parameters!$I$6+Parameters!$I$7+Parameters!$I$8+Parameters!$I$9+Parameters!$I$11+Parameters!$I$12+Parameters!$I$13+Parameters!$I$14+Parameters!$I$15))</f>
        <v>1</v>
      </c>
      <c r="AK33" s="15">
        <f>IF(AND(ISNUMBER(AF33),ISNUMBER(AH33),OR(NOT((Parameters!$I$9)&gt;0),ISNUMBER(AG33)),AJ33&gt;=Parameters!$B$20),100*(Parameters!$F$18*N(AF33)+Parameters!$F$19*N(AG33)+Parameters!$F$20*N(AH33))/(Parameters!$F$18*ISNUMBER(AF33)+Parameters!$F$19*ISNUMBER(AG33)+Parameters!$F$20*ISNUMBER(AH33)),"")</f>
        <v>84.350000000000009</v>
      </c>
      <c r="AL33" s="16">
        <f>IF(ISNUMBER(AK33),RANK(AK33,$AK$2:$AK$113),"")</f>
        <v>31</v>
      </c>
      <c r="AM33" s="14">
        <f>IF(((D33="Implemented/available")+(E33="Implemented/available")+(J33="Implemented/available")+(K33="Implemented/available")+(L33="Implemented/available")+(M33="Implemented/available"))=0,"",(AND(D33="Implemented/available",O33&lt;&gt;"")+AND(E33="Implemented/available",P33&lt;&gt;"")+AND(J33="Implemented/available",Q33&lt;&gt;"")+AND(K33="Implemented/available",R33&lt;&gt;"")+AND(L33="Implemented/available",S33&lt;&gt;"")+AND(M33="Implemented/available",T33&lt;&gt;""))/((D33="Implemented/available")+(E33="Implemented/available")+(J33="Implemented/available")+(K33="Implemented/available")+(L33="Implemented/available")+(M33="Implemented/available")))</f>
        <v>1</v>
      </c>
    </row>
    <row r="34" spans="1:39" x14ac:dyDescent="0.25">
      <c r="A34" s="6" t="s">
        <v>187</v>
      </c>
      <c r="B34" s="6" t="s">
        <v>188</v>
      </c>
      <c r="C34" s="6" t="s">
        <v>189</v>
      </c>
      <c r="D34" s="6" t="s">
        <v>29</v>
      </c>
      <c r="E34" s="6" t="s">
        <v>29</v>
      </c>
      <c r="F34" s="6" t="s">
        <v>29</v>
      </c>
      <c r="G34" s="6" t="s">
        <v>117</v>
      </c>
      <c r="H34" s="6" t="s">
        <v>190</v>
      </c>
      <c r="I34" s="6" t="s">
        <v>32</v>
      </c>
      <c r="J34" s="6" t="s">
        <v>41</v>
      </c>
      <c r="K34" s="6" t="s">
        <v>34</v>
      </c>
      <c r="L34" s="6" t="s">
        <v>41</v>
      </c>
      <c r="M34" s="6" t="s">
        <v>29</v>
      </c>
      <c r="N34" s="6"/>
      <c r="O34" s="6" t="s">
        <v>191</v>
      </c>
      <c r="P34" s="6" t="s">
        <v>192</v>
      </c>
      <c r="Q34" s="6"/>
      <c r="R34" s="6"/>
      <c r="S34" s="6"/>
      <c r="T34" s="6" t="s">
        <v>193</v>
      </c>
      <c r="U34" s="6" t="s">
        <v>194</v>
      </c>
      <c r="V34" s="12">
        <f>IFERROR(IF(ISNUMBER(INDEX(Parameters!$B$5:$B$14,MATCH(D34,Parameters!$A$5:$A$14,0))),INDEX(Parameters!$B$5:$B$14,MATCH(D34,Parameters!$A$5:$A$14,0)),""),"")</f>
        <v>1</v>
      </c>
      <c r="W34" s="12">
        <f>IFERROR(IF(ISNUMBER(INDEX(Parameters!$B$5:$B$14,MATCH(E34,Parameters!$A$5:$A$14,0))),INDEX(Parameters!$B$5:$B$14,MATCH(E34,Parameters!$A$5:$A$14,0)),""),"")</f>
        <v>1</v>
      </c>
      <c r="X34" s="12">
        <f>IFERROR(IF(ISNUMBER(INDEX(Parameters!$B$5:$B$14,MATCH(F34,Parameters!$A$5:$A$14,0))),INDEX(Parameters!$B$5:$B$14,MATCH(F34,Parameters!$A$5:$A$14,0)),""),"")</f>
        <v>1</v>
      </c>
      <c r="Y34" s="12">
        <f>IF(G34&lt;&gt;"",1,IF(ISNUMBER(Parameters!$B$18),Parameters!$B$18,""))</f>
        <v>1</v>
      </c>
      <c r="Z34" s="12">
        <f>IF(I34&lt;&gt;"",IFERROR(IF(ISNUMBER(INDEX(Parameters!$B$5:$B$14,MATCH(I34,Parameters!$A$5:$A$14,0))),INDEX(Parameters!$B$5:$B$14,MATCH(I34,Parameters!$A$5:$A$14,0)),""),""),IF(ISNUMBER(Parameters!$B$21),Parameters!$B$21,""))</f>
        <v>1</v>
      </c>
      <c r="AA34" s="12">
        <f>IFERROR(IF(ISNUMBER(INDEX(Parameters!$B$5:$B$14,MATCH(J34,Parameters!$A$5:$A$14,0))),INDEX(Parameters!$B$5:$B$14,MATCH(J34,Parameters!$A$5:$A$14,0)),""),"")</f>
        <v>0.33</v>
      </c>
      <c r="AB34" s="12">
        <f>IFERROR(IF(ISNUMBER(INDEX(Parameters!$B$5:$B$14,MATCH(K34,Parameters!$A$5:$A$14,0))),INDEX(Parameters!$B$5:$B$14,MATCH(K34,Parameters!$A$5:$A$14,0)),""),"")</f>
        <v>1</v>
      </c>
      <c r="AC34" s="12">
        <f>IFERROR(IF(ISNUMBER(INDEX(Parameters!$B$5:$B$14,MATCH(L34,Parameters!$A$5:$A$14,0))),INDEX(Parameters!$B$5:$B$14,MATCH(L34,Parameters!$A$5:$A$14,0)),""),"")</f>
        <v>0.33</v>
      </c>
      <c r="AD34" s="12">
        <f>IFERROR(IF(ISNUMBER(INDEX(Parameters!$B$5:$B$14,MATCH(M34,Parameters!$A$5:$A$14,0))),INDEX(Parameters!$B$5:$B$14,MATCH(M34,Parameters!$A$5:$A$14,0)),""),"")</f>
        <v>1</v>
      </c>
      <c r="AE34" s="12">
        <f>IF(N34&lt;&gt;"",1,IF(ISNUMBER(Parameters!$B$19),Parameters!$B$19,""))</f>
        <v>0</v>
      </c>
      <c r="AF34" s="12">
        <f>IF((Parameters!$I$5*ISNUMBER(V34)+Parameters!$I$6*ISNUMBER(W34)+Parameters!$I$7*ISNUMBER(X34)+Parameters!$I$8*ISNUMBER(Y34))=0,"",(Parameters!$I$5*N(V34)+Parameters!$I$6*N(W34)+Parameters!$I$7*N(X34)+Parameters!$I$8*N(Y34))/(Parameters!$I$5*ISNUMBER(V34)+Parameters!$I$6*ISNUMBER(W34)+Parameters!$I$7*ISNUMBER(X34)+Parameters!$I$8*ISNUMBER(Y34)))</f>
        <v>1</v>
      </c>
      <c r="AG34" s="12">
        <f>IF((Parameters!$I$9*ISNUMBER(Z34))=0,"",(Parameters!$I$9*N(Z34))/(Parameters!$I$9*ISNUMBER(Z34)))</f>
        <v>1</v>
      </c>
      <c r="AH34" s="12">
        <f>IF((Parameters!$I$11*ISNUMBER(AA34)+Parameters!$I$12*ISNUMBER(AB34)+Parameters!$I$13*ISNUMBER(AC34)+Parameters!$I$14*ISNUMBER(AD34)+Parameters!$I$15*ISNUMBER(AE34))=0,"",(Parameters!$I$11*N(AA34)+Parameters!$I$12*N(AB34)+Parameters!$I$13*N(AC34)+Parameters!$I$14*N(AD34)+Parameters!$I$15*N(AE34))/(Parameters!$I$11*ISNUMBER(AA34)+Parameters!$I$12*ISNUMBER(AB34)+Parameters!$I$13*ISNUMBER(AC34)+Parameters!$I$14*ISNUMBER(AD34)+Parameters!$I$15*ISNUMBER(AE34)))</f>
        <v>0.53200000000000003</v>
      </c>
      <c r="AI34" s="13">
        <f>Parameters!$I$5*ISNUMBER(V34)+Parameters!$I$6*ISNUMBER(W34)+Parameters!$I$7*ISNUMBER(X34)+Parameters!$I$8*ISNUMBER(Y34)+Parameters!$I$9*ISNUMBER(Z34)+Parameters!$I$11*ISNUMBER(AA34)+Parameters!$I$12*ISNUMBER(AB34)+Parameters!$I$13*ISNUMBER(AC34)+Parameters!$I$14*ISNUMBER(AD34)+Parameters!$I$15*ISNUMBER(AE34)</f>
        <v>95</v>
      </c>
      <c r="AJ34" s="14">
        <f>IF((Parameters!$I$5+Parameters!$I$6+Parameters!$I$7+Parameters!$I$8+Parameters!$I$9+Parameters!$I$11+Parameters!$I$12+Parameters!$I$13+Parameters!$I$14+Parameters!$I$15)=0,"",AI34/(Parameters!$I$5+Parameters!$I$6+Parameters!$I$7+Parameters!$I$8+Parameters!$I$9+Parameters!$I$11+Parameters!$I$12+Parameters!$I$13+Parameters!$I$14+Parameters!$I$15))</f>
        <v>1</v>
      </c>
      <c r="AK34" s="15">
        <f>IF(AND(ISNUMBER(AF34),ISNUMBER(AH34),OR(NOT((Parameters!$I$9)&gt;0),ISNUMBER(AG34)),AJ34&gt;=Parameters!$B$20),100*(Parameters!$F$18*N(AF34)+Parameters!$F$19*N(AG34)+Parameters!$F$20*N(AH34))/(Parameters!$F$18*ISNUMBER(AF34)+Parameters!$F$19*ISNUMBER(AG34)+Parameters!$F$20*ISNUMBER(AH34)),"")</f>
        <v>83.62</v>
      </c>
      <c r="AL34" s="16">
        <f>IF(ISNUMBER(AK34),RANK(AK34,$AK$2:$AK$113),"")</f>
        <v>33</v>
      </c>
      <c r="AM34" s="14">
        <f>IF(((D34="Implemented/available")+(E34="Implemented/available")+(J34="Implemented/available")+(K34="Implemented/available")+(L34="Implemented/available")+(M34="Implemented/available"))=0,"",(AND(D34="Implemented/available",O34&lt;&gt;"")+AND(E34="Implemented/available",P34&lt;&gt;"")+AND(J34="Implemented/available",Q34&lt;&gt;"")+AND(K34="Implemented/available",R34&lt;&gt;"")+AND(L34="Implemented/available",S34&lt;&gt;"")+AND(M34="Implemented/available",T34&lt;&gt;""))/((D34="Implemented/available")+(E34="Implemented/available")+(J34="Implemented/available")+(K34="Implemented/available")+(L34="Implemented/available")+(M34="Implemented/available")))</f>
        <v>1</v>
      </c>
    </row>
    <row r="35" spans="1:39" x14ac:dyDescent="0.25">
      <c r="A35" s="6" t="s">
        <v>511</v>
      </c>
      <c r="B35" s="6" t="s">
        <v>512</v>
      </c>
      <c r="C35" s="6" t="s">
        <v>513</v>
      </c>
      <c r="D35" s="6" t="s">
        <v>29</v>
      </c>
      <c r="E35" s="6" t="s">
        <v>29</v>
      </c>
      <c r="F35" s="6" t="s">
        <v>29</v>
      </c>
      <c r="G35" s="6" t="s">
        <v>117</v>
      </c>
      <c r="H35" s="6" t="s">
        <v>76</v>
      </c>
      <c r="I35" s="6" t="s">
        <v>32</v>
      </c>
      <c r="J35" s="6" t="s">
        <v>41</v>
      </c>
      <c r="K35" s="6" t="s">
        <v>34</v>
      </c>
      <c r="L35" s="6" t="s">
        <v>41</v>
      </c>
      <c r="M35" s="6" t="s">
        <v>29</v>
      </c>
      <c r="N35" s="6"/>
      <c r="O35" s="6" t="s">
        <v>514</v>
      </c>
      <c r="P35" s="6" t="s">
        <v>515</v>
      </c>
      <c r="Q35" s="6"/>
      <c r="R35" s="6"/>
      <c r="S35" s="6"/>
      <c r="T35" s="6" t="s">
        <v>516</v>
      </c>
      <c r="U35" s="6" t="s">
        <v>514</v>
      </c>
      <c r="V35" s="12">
        <f>IFERROR(IF(ISNUMBER(INDEX(Parameters!$B$5:$B$14,MATCH(D35,Parameters!$A$5:$A$14,0))),INDEX(Parameters!$B$5:$B$14,MATCH(D35,Parameters!$A$5:$A$14,0)),""),"")</f>
        <v>1</v>
      </c>
      <c r="W35" s="12">
        <f>IFERROR(IF(ISNUMBER(INDEX(Parameters!$B$5:$B$14,MATCH(E35,Parameters!$A$5:$A$14,0))),INDEX(Parameters!$B$5:$B$14,MATCH(E35,Parameters!$A$5:$A$14,0)),""),"")</f>
        <v>1</v>
      </c>
      <c r="X35" s="12">
        <f>IFERROR(IF(ISNUMBER(INDEX(Parameters!$B$5:$B$14,MATCH(F35,Parameters!$A$5:$A$14,0))),INDEX(Parameters!$B$5:$B$14,MATCH(F35,Parameters!$A$5:$A$14,0)),""),"")</f>
        <v>1</v>
      </c>
      <c r="Y35" s="12">
        <f>IF(G35&lt;&gt;"",1,IF(ISNUMBER(Parameters!$B$18),Parameters!$B$18,""))</f>
        <v>1</v>
      </c>
      <c r="Z35" s="12">
        <f>IF(I35&lt;&gt;"",IFERROR(IF(ISNUMBER(INDEX(Parameters!$B$5:$B$14,MATCH(I35,Parameters!$A$5:$A$14,0))),INDEX(Parameters!$B$5:$B$14,MATCH(I35,Parameters!$A$5:$A$14,0)),""),""),IF(ISNUMBER(Parameters!$B$21),Parameters!$B$21,""))</f>
        <v>1</v>
      </c>
      <c r="AA35" s="12">
        <f>IFERROR(IF(ISNUMBER(INDEX(Parameters!$B$5:$B$14,MATCH(J35,Parameters!$A$5:$A$14,0))),INDEX(Parameters!$B$5:$B$14,MATCH(J35,Parameters!$A$5:$A$14,0)),""),"")</f>
        <v>0.33</v>
      </c>
      <c r="AB35" s="12">
        <f>IFERROR(IF(ISNUMBER(INDEX(Parameters!$B$5:$B$14,MATCH(K35,Parameters!$A$5:$A$14,0))),INDEX(Parameters!$B$5:$B$14,MATCH(K35,Parameters!$A$5:$A$14,0)),""),"")</f>
        <v>1</v>
      </c>
      <c r="AC35" s="12">
        <f>IFERROR(IF(ISNUMBER(INDEX(Parameters!$B$5:$B$14,MATCH(L35,Parameters!$A$5:$A$14,0))),INDEX(Parameters!$B$5:$B$14,MATCH(L35,Parameters!$A$5:$A$14,0)),""),"")</f>
        <v>0.33</v>
      </c>
      <c r="AD35" s="12">
        <f>IFERROR(IF(ISNUMBER(INDEX(Parameters!$B$5:$B$14,MATCH(M35,Parameters!$A$5:$A$14,0))),INDEX(Parameters!$B$5:$B$14,MATCH(M35,Parameters!$A$5:$A$14,0)),""),"")</f>
        <v>1</v>
      </c>
      <c r="AE35" s="12">
        <f>IF(N35&lt;&gt;"",1,IF(ISNUMBER(Parameters!$B$19),Parameters!$B$19,""))</f>
        <v>0</v>
      </c>
      <c r="AF35" s="12">
        <f>IF((Parameters!$I$5*ISNUMBER(V35)+Parameters!$I$6*ISNUMBER(W35)+Parameters!$I$7*ISNUMBER(X35)+Parameters!$I$8*ISNUMBER(Y35))=0,"",(Parameters!$I$5*N(V35)+Parameters!$I$6*N(W35)+Parameters!$I$7*N(X35)+Parameters!$I$8*N(Y35))/(Parameters!$I$5*ISNUMBER(V35)+Parameters!$I$6*ISNUMBER(W35)+Parameters!$I$7*ISNUMBER(X35)+Parameters!$I$8*ISNUMBER(Y35)))</f>
        <v>1</v>
      </c>
      <c r="AG35" s="12">
        <f>IF((Parameters!$I$9*ISNUMBER(Z35))=0,"",(Parameters!$I$9*N(Z35))/(Parameters!$I$9*ISNUMBER(Z35)))</f>
        <v>1</v>
      </c>
      <c r="AH35" s="12">
        <f>IF((Parameters!$I$11*ISNUMBER(AA35)+Parameters!$I$12*ISNUMBER(AB35)+Parameters!$I$13*ISNUMBER(AC35)+Parameters!$I$14*ISNUMBER(AD35)+Parameters!$I$15*ISNUMBER(AE35))=0,"",(Parameters!$I$11*N(AA35)+Parameters!$I$12*N(AB35)+Parameters!$I$13*N(AC35)+Parameters!$I$14*N(AD35)+Parameters!$I$15*N(AE35))/(Parameters!$I$11*ISNUMBER(AA35)+Parameters!$I$12*ISNUMBER(AB35)+Parameters!$I$13*ISNUMBER(AC35)+Parameters!$I$14*ISNUMBER(AD35)+Parameters!$I$15*ISNUMBER(AE35)))</f>
        <v>0.53200000000000003</v>
      </c>
      <c r="AI35" s="13">
        <f>Parameters!$I$5*ISNUMBER(V35)+Parameters!$I$6*ISNUMBER(W35)+Parameters!$I$7*ISNUMBER(X35)+Parameters!$I$8*ISNUMBER(Y35)+Parameters!$I$9*ISNUMBER(Z35)+Parameters!$I$11*ISNUMBER(AA35)+Parameters!$I$12*ISNUMBER(AB35)+Parameters!$I$13*ISNUMBER(AC35)+Parameters!$I$14*ISNUMBER(AD35)+Parameters!$I$15*ISNUMBER(AE35)</f>
        <v>95</v>
      </c>
      <c r="AJ35" s="14">
        <f>IF((Parameters!$I$5+Parameters!$I$6+Parameters!$I$7+Parameters!$I$8+Parameters!$I$9+Parameters!$I$11+Parameters!$I$12+Parameters!$I$13+Parameters!$I$14+Parameters!$I$15)=0,"",AI35/(Parameters!$I$5+Parameters!$I$6+Parameters!$I$7+Parameters!$I$8+Parameters!$I$9+Parameters!$I$11+Parameters!$I$12+Parameters!$I$13+Parameters!$I$14+Parameters!$I$15))</f>
        <v>1</v>
      </c>
      <c r="AK35" s="15">
        <f>IF(AND(ISNUMBER(AF35),ISNUMBER(AH35),OR(NOT((Parameters!$I$9)&gt;0),ISNUMBER(AG35)),AJ35&gt;=Parameters!$B$20),100*(Parameters!$F$18*N(AF35)+Parameters!$F$19*N(AG35)+Parameters!$F$20*N(AH35))/(Parameters!$F$18*ISNUMBER(AF35)+Parameters!$F$19*ISNUMBER(AG35)+Parameters!$F$20*ISNUMBER(AH35)),"")</f>
        <v>83.62</v>
      </c>
      <c r="AL35" s="16">
        <f>IF(ISNUMBER(AK35),RANK(AK35,$AK$2:$AK$113),"")</f>
        <v>33</v>
      </c>
      <c r="AM35" s="14">
        <f>IF(((D35="Implemented/available")+(E35="Implemented/available")+(J35="Implemented/available")+(K35="Implemented/available")+(L35="Implemented/available")+(M35="Implemented/available"))=0,"",(AND(D35="Implemented/available",O35&lt;&gt;"")+AND(E35="Implemented/available",P35&lt;&gt;"")+AND(J35="Implemented/available",Q35&lt;&gt;"")+AND(K35="Implemented/available",R35&lt;&gt;"")+AND(L35="Implemented/available",S35&lt;&gt;"")+AND(M35="Implemented/available",T35&lt;&gt;""))/((D35="Implemented/available")+(E35="Implemented/available")+(J35="Implemented/available")+(K35="Implemented/available")+(L35="Implemented/available")+(M35="Implemented/available")))</f>
        <v>1</v>
      </c>
    </row>
    <row r="36" spans="1:39" x14ac:dyDescent="0.25">
      <c r="A36" s="6" t="s">
        <v>480</v>
      </c>
      <c r="B36" s="6" t="s">
        <v>481</v>
      </c>
      <c r="C36" s="6" t="s">
        <v>482</v>
      </c>
      <c r="D36" s="6" t="s">
        <v>29</v>
      </c>
      <c r="E36" s="6" t="s">
        <v>29</v>
      </c>
      <c r="F36" s="6" t="s">
        <v>29</v>
      </c>
      <c r="G36" s="6"/>
      <c r="H36" s="6"/>
      <c r="I36" s="6" t="s">
        <v>32</v>
      </c>
      <c r="J36" s="6" t="s">
        <v>48</v>
      </c>
      <c r="K36" s="6" t="s">
        <v>29</v>
      </c>
      <c r="L36" s="6" t="s">
        <v>29</v>
      </c>
      <c r="M36" s="6" t="s">
        <v>29</v>
      </c>
      <c r="N36" s="6"/>
      <c r="O36" s="6" t="s">
        <v>483</v>
      </c>
      <c r="P36" s="6" t="s">
        <v>483</v>
      </c>
      <c r="Q36" s="6"/>
      <c r="R36" s="6" t="s">
        <v>484</v>
      </c>
      <c r="S36" s="6" t="s">
        <v>483</v>
      </c>
      <c r="T36" s="6" t="s">
        <v>485</v>
      </c>
      <c r="U36" s="6" t="s">
        <v>483</v>
      </c>
      <c r="V36" s="12">
        <f>IFERROR(IF(ISNUMBER(INDEX(Parameters!$B$5:$B$14,MATCH(D36,Parameters!$A$5:$A$14,0))),INDEX(Parameters!$B$5:$B$14,MATCH(D36,Parameters!$A$5:$A$14,0)),""),"")</f>
        <v>1</v>
      </c>
      <c r="W36" s="12">
        <f>IFERROR(IF(ISNUMBER(INDEX(Parameters!$B$5:$B$14,MATCH(E36,Parameters!$A$5:$A$14,0))),INDEX(Parameters!$B$5:$B$14,MATCH(E36,Parameters!$A$5:$A$14,0)),""),"")</f>
        <v>1</v>
      </c>
      <c r="X36" s="12">
        <f>IFERROR(IF(ISNUMBER(INDEX(Parameters!$B$5:$B$14,MATCH(F36,Parameters!$A$5:$A$14,0))),INDEX(Parameters!$B$5:$B$14,MATCH(F36,Parameters!$A$5:$A$14,0)),""),"")</f>
        <v>1</v>
      </c>
      <c r="Y36" s="12">
        <f>IF(G36&lt;&gt;"",1,IF(ISNUMBER(Parameters!$B$18),Parameters!$B$18,""))</f>
        <v>0</v>
      </c>
      <c r="Z36" s="12">
        <f>IF(I36&lt;&gt;"",IFERROR(IF(ISNUMBER(INDEX(Parameters!$B$5:$B$14,MATCH(I36,Parameters!$A$5:$A$14,0))),INDEX(Parameters!$B$5:$B$14,MATCH(I36,Parameters!$A$5:$A$14,0)),""),""),IF(ISNUMBER(Parameters!$B$21),Parameters!$B$21,""))</f>
        <v>1</v>
      </c>
      <c r="AA36" s="12" t="str">
        <f>IFERROR(IF(ISNUMBER(INDEX(Parameters!$B$5:$B$14,MATCH(J36,Parameters!$A$5:$A$14,0))),INDEX(Parameters!$B$5:$B$14,MATCH(J36,Parameters!$A$5:$A$14,0)),""),"")</f>
        <v/>
      </c>
      <c r="AB36" s="12">
        <f>IFERROR(IF(ISNUMBER(INDEX(Parameters!$B$5:$B$14,MATCH(K36,Parameters!$A$5:$A$14,0))),INDEX(Parameters!$B$5:$B$14,MATCH(K36,Parameters!$A$5:$A$14,0)),""),"")</f>
        <v>1</v>
      </c>
      <c r="AC36" s="12">
        <f>IFERROR(IF(ISNUMBER(INDEX(Parameters!$B$5:$B$14,MATCH(L36,Parameters!$A$5:$A$14,0))),INDEX(Parameters!$B$5:$B$14,MATCH(L36,Parameters!$A$5:$A$14,0)),""),"")</f>
        <v>1</v>
      </c>
      <c r="AD36" s="12">
        <f>IFERROR(IF(ISNUMBER(INDEX(Parameters!$B$5:$B$14,MATCH(M36,Parameters!$A$5:$A$14,0))),INDEX(Parameters!$B$5:$B$14,MATCH(M36,Parameters!$A$5:$A$14,0)),""),"")</f>
        <v>1</v>
      </c>
      <c r="AE36" s="12">
        <f>IF(N36&lt;&gt;"",1,IF(ISNUMBER(Parameters!$B$19),Parameters!$B$19,""))</f>
        <v>0</v>
      </c>
      <c r="AF36" s="12">
        <f>IF((Parameters!$I$5*ISNUMBER(V36)+Parameters!$I$6*ISNUMBER(W36)+Parameters!$I$7*ISNUMBER(X36)+Parameters!$I$8*ISNUMBER(Y36))=0,"",(Parameters!$I$5*N(V36)+Parameters!$I$6*N(W36)+Parameters!$I$7*N(X36)+Parameters!$I$8*N(Y36))/(Parameters!$I$5*ISNUMBER(V36)+Parameters!$I$6*ISNUMBER(W36)+Parameters!$I$7*ISNUMBER(X36)+Parameters!$I$8*ISNUMBER(Y36)))</f>
        <v>0.8</v>
      </c>
      <c r="AG36" s="12">
        <f>IF((Parameters!$I$9*ISNUMBER(Z36))=0,"",(Parameters!$I$9*N(Z36))/(Parameters!$I$9*ISNUMBER(Z36)))</f>
        <v>1</v>
      </c>
      <c r="AH36" s="12">
        <f>IF((Parameters!$I$11*ISNUMBER(AA36)+Parameters!$I$12*ISNUMBER(AB36)+Parameters!$I$13*ISNUMBER(AC36)+Parameters!$I$14*ISNUMBER(AD36)+Parameters!$I$15*ISNUMBER(AE36))=0,"",(Parameters!$I$11*N(AA36)+Parameters!$I$12*N(AB36)+Parameters!$I$13*N(AC36)+Parameters!$I$14*N(AD36)+Parameters!$I$15*N(AE36))/(Parameters!$I$11*ISNUMBER(AA36)+Parameters!$I$12*ISNUMBER(AB36)+Parameters!$I$13*ISNUMBER(AC36)+Parameters!$I$14*ISNUMBER(AD36)+Parameters!$I$15*ISNUMBER(AE36)))</f>
        <v>0.75</v>
      </c>
      <c r="AI36" s="13">
        <f>Parameters!$I$5*ISNUMBER(V36)+Parameters!$I$6*ISNUMBER(W36)+Parameters!$I$7*ISNUMBER(X36)+Parameters!$I$8*ISNUMBER(Y36)+Parameters!$I$9*ISNUMBER(Z36)+Parameters!$I$11*ISNUMBER(AA36)+Parameters!$I$12*ISNUMBER(AB36)+Parameters!$I$13*ISNUMBER(AC36)+Parameters!$I$14*ISNUMBER(AD36)+Parameters!$I$15*ISNUMBER(AE36)</f>
        <v>88</v>
      </c>
      <c r="AJ36" s="14">
        <f>IF((Parameters!$I$5+Parameters!$I$6+Parameters!$I$7+Parameters!$I$8+Parameters!$I$9+Parameters!$I$11+Parameters!$I$12+Parameters!$I$13+Parameters!$I$14+Parameters!$I$15)=0,"",AI36/(Parameters!$I$5+Parameters!$I$6+Parameters!$I$7+Parameters!$I$8+Parameters!$I$9+Parameters!$I$11+Parameters!$I$12+Parameters!$I$13+Parameters!$I$14+Parameters!$I$15))</f>
        <v>0.9263157894736842</v>
      </c>
      <c r="AK36" s="15">
        <f>IF(AND(ISNUMBER(AF36),ISNUMBER(AH36),OR(NOT((Parameters!$I$9)&gt;0),ISNUMBER(AG36)),AJ36&gt;=Parameters!$B$20),100*(Parameters!$F$18*N(AF36)+Parameters!$F$19*N(AG36)+Parameters!$F$20*N(AH36))/(Parameters!$F$18*ISNUMBER(AF36)+Parameters!$F$19*ISNUMBER(AG36)+Parameters!$F$20*ISNUMBER(AH36)),"")</f>
        <v>83.25</v>
      </c>
      <c r="AL36" s="16">
        <f>IF(ISNUMBER(AK36),RANK(AK36,$AK$2:$AK$113),"")</f>
        <v>35</v>
      </c>
      <c r="AM36" s="14">
        <f>IF(((D36="Implemented/available")+(E36="Implemented/available")+(J36="Implemented/available")+(K36="Implemented/available")+(L36="Implemented/available")+(M36="Implemented/available"))=0,"",(AND(D36="Implemented/available",O36&lt;&gt;"")+AND(E36="Implemented/available",P36&lt;&gt;"")+AND(J36="Implemented/available",Q36&lt;&gt;"")+AND(K36="Implemented/available",R36&lt;&gt;"")+AND(L36="Implemented/available",S36&lt;&gt;"")+AND(M36="Implemented/available",T36&lt;&gt;""))/((D36="Implemented/available")+(E36="Implemented/available")+(J36="Implemented/available")+(K36="Implemented/available")+(L36="Implemented/available")+(M36="Implemented/available")))</f>
        <v>1</v>
      </c>
    </row>
    <row r="37" spans="1:39" x14ac:dyDescent="0.25">
      <c r="A37" s="6" t="s">
        <v>217</v>
      </c>
      <c r="B37" s="6" t="s">
        <v>217</v>
      </c>
      <c r="C37" s="6" t="s">
        <v>122</v>
      </c>
      <c r="D37" s="6" t="s">
        <v>29</v>
      </c>
      <c r="E37" s="6" t="s">
        <v>41</v>
      </c>
      <c r="F37" s="6" t="s">
        <v>29</v>
      </c>
      <c r="G37" s="6" t="s">
        <v>117</v>
      </c>
      <c r="H37" s="6"/>
      <c r="I37" s="6" t="s">
        <v>32</v>
      </c>
      <c r="J37" s="6" t="s">
        <v>38</v>
      </c>
      <c r="K37" s="6" t="s">
        <v>29</v>
      </c>
      <c r="L37" s="6" t="s">
        <v>29</v>
      </c>
      <c r="M37" s="6" t="s">
        <v>29</v>
      </c>
      <c r="N37" s="6"/>
      <c r="O37" s="6" t="s">
        <v>218</v>
      </c>
      <c r="P37" s="6"/>
      <c r="Q37" s="6"/>
      <c r="R37" s="6" t="s">
        <v>219</v>
      </c>
      <c r="S37" s="6" t="s">
        <v>220</v>
      </c>
      <c r="T37" s="6" t="s">
        <v>221</v>
      </c>
      <c r="U37" s="6" t="s">
        <v>222</v>
      </c>
      <c r="V37" s="12">
        <f>IFERROR(IF(ISNUMBER(INDEX(Parameters!$B$5:$B$14,MATCH(D37,Parameters!$A$5:$A$14,0))),INDEX(Parameters!$B$5:$B$14,MATCH(D37,Parameters!$A$5:$A$14,0)),""),"")</f>
        <v>1</v>
      </c>
      <c r="W37" s="12">
        <f>IFERROR(IF(ISNUMBER(INDEX(Parameters!$B$5:$B$14,MATCH(E37,Parameters!$A$5:$A$14,0))),INDEX(Parameters!$B$5:$B$14,MATCH(E37,Parameters!$A$5:$A$14,0)),""),"")</f>
        <v>0.33</v>
      </c>
      <c r="X37" s="12">
        <f>IFERROR(IF(ISNUMBER(INDEX(Parameters!$B$5:$B$14,MATCH(F37,Parameters!$A$5:$A$14,0))),INDEX(Parameters!$B$5:$B$14,MATCH(F37,Parameters!$A$5:$A$14,0)),""),"")</f>
        <v>1</v>
      </c>
      <c r="Y37" s="12">
        <f>IF(G37&lt;&gt;"",1,IF(ISNUMBER(Parameters!$B$18),Parameters!$B$18,""))</f>
        <v>1</v>
      </c>
      <c r="Z37" s="12">
        <f>IF(I37&lt;&gt;"",IFERROR(IF(ISNUMBER(INDEX(Parameters!$B$5:$B$14,MATCH(I37,Parameters!$A$5:$A$14,0))),INDEX(Parameters!$B$5:$B$14,MATCH(I37,Parameters!$A$5:$A$14,0)),""),""),IF(ISNUMBER(Parameters!$B$21),Parameters!$B$21,""))</f>
        <v>1</v>
      </c>
      <c r="AA37" s="12">
        <f>IFERROR(IF(ISNUMBER(INDEX(Parameters!$B$5:$B$14,MATCH(J37,Parameters!$A$5:$A$14,0))),INDEX(Parameters!$B$5:$B$14,MATCH(J37,Parameters!$A$5:$A$14,0)),""),"")</f>
        <v>0.67</v>
      </c>
      <c r="AB37" s="12">
        <f>IFERROR(IF(ISNUMBER(INDEX(Parameters!$B$5:$B$14,MATCH(K37,Parameters!$A$5:$A$14,0))),INDEX(Parameters!$B$5:$B$14,MATCH(K37,Parameters!$A$5:$A$14,0)),""),"")</f>
        <v>1</v>
      </c>
      <c r="AC37" s="12">
        <f>IFERROR(IF(ISNUMBER(INDEX(Parameters!$B$5:$B$14,MATCH(L37,Parameters!$A$5:$A$14,0))),INDEX(Parameters!$B$5:$B$14,MATCH(L37,Parameters!$A$5:$A$14,0)),""),"")</f>
        <v>1</v>
      </c>
      <c r="AD37" s="12">
        <f>IFERROR(IF(ISNUMBER(INDEX(Parameters!$B$5:$B$14,MATCH(M37,Parameters!$A$5:$A$14,0))),INDEX(Parameters!$B$5:$B$14,MATCH(M37,Parameters!$A$5:$A$14,0)),""),"")</f>
        <v>1</v>
      </c>
      <c r="AE37" s="12">
        <f>IF(N37&lt;&gt;"",1,IF(ISNUMBER(Parameters!$B$19),Parameters!$B$19,""))</f>
        <v>0</v>
      </c>
      <c r="AF37" s="12">
        <f>IF((Parameters!$I$5*ISNUMBER(V37)+Parameters!$I$6*ISNUMBER(W37)+Parameters!$I$7*ISNUMBER(X37)+Parameters!$I$8*ISNUMBER(Y37))=0,"",(Parameters!$I$5*N(V37)+Parameters!$I$6*N(W37)+Parameters!$I$7*N(X37)+Parameters!$I$8*N(Y37))/(Parameters!$I$5*ISNUMBER(V37)+Parameters!$I$6*ISNUMBER(W37)+Parameters!$I$7*ISNUMBER(X37)+Parameters!$I$8*ISNUMBER(Y37)))</f>
        <v>0.79900000000000004</v>
      </c>
      <c r="AG37" s="12">
        <f>IF((Parameters!$I$9*ISNUMBER(Z37))=0,"",(Parameters!$I$9*N(Z37))/(Parameters!$I$9*ISNUMBER(Z37)))</f>
        <v>1</v>
      </c>
      <c r="AH37" s="12">
        <f>IF((Parameters!$I$11*ISNUMBER(AA37)+Parameters!$I$12*ISNUMBER(AB37)+Parameters!$I$13*ISNUMBER(AC37)+Parameters!$I$14*ISNUMBER(AD37)+Parameters!$I$15*ISNUMBER(AE37))=0,"",(Parameters!$I$11*N(AA37)+Parameters!$I$12*N(AB37)+Parameters!$I$13*N(AC37)+Parameters!$I$14*N(AD37)+Parameters!$I$15*N(AE37))/(Parameters!$I$11*ISNUMBER(AA37)+Parameters!$I$12*ISNUMBER(AB37)+Parameters!$I$13*ISNUMBER(AC37)+Parameters!$I$14*ISNUMBER(AD37)+Parameters!$I$15*ISNUMBER(AE37)))</f>
        <v>0.73399999999999999</v>
      </c>
      <c r="AI37" s="13">
        <f>Parameters!$I$5*ISNUMBER(V37)+Parameters!$I$6*ISNUMBER(W37)+Parameters!$I$7*ISNUMBER(X37)+Parameters!$I$8*ISNUMBER(Y37)+Parameters!$I$9*ISNUMBER(Z37)+Parameters!$I$11*ISNUMBER(AA37)+Parameters!$I$12*ISNUMBER(AB37)+Parameters!$I$13*ISNUMBER(AC37)+Parameters!$I$14*ISNUMBER(AD37)+Parameters!$I$15*ISNUMBER(AE37)</f>
        <v>95</v>
      </c>
      <c r="AJ37" s="14">
        <f>IF((Parameters!$I$5+Parameters!$I$6+Parameters!$I$7+Parameters!$I$8+Parameters!$I$9+Parameters!$I$11+Parameters!$I$12+Parameters!$I$13+Parameters!$I$14+Parameters!$I$15)=0,"",AI37/(Parameters!$I$5+Parameters!$I$6+Parameters!$I$7+Parameters!$I$8+Parameters!$I$9+Parameters!$I$11+Parameters!$I$12+Parameters!$I$13+Parameters!$I$14+Parameters!$I$15))</f>
        <v>1</v>
      </c>
      <c r="AK37" s="15">
        <f>IF(AND(ISNUMBER(AF37),ISNUMBER(AH37),OR(NOT((Parameters!$I$9)&gt;0),ISNUMBER(AG37)),AJ37&gt;=Parameters!$B$20),100*(Parameters!$F$18*N(AF37)+Parameters!$F$19*N(AG37)+Parameters!$F$20*N(AH37))/(Parameters!$F$18*ISNUMBER(AF37)+Parameters!$F$19*ISNUMBER(AG37)+Parameters!$F$20*ISNUMBER(AH37)),"")</f>
        <v>82.65</v>
      </c>
      <c r="AL37" s="16">
        <f>IF(ISNUMBER(AK37),RANK(AK37,$AK$2:$AK$113),"")</f>
        <v>36</v>
      </c>
      <c r="AM37" s="14">
        <f>IF(((D37="Implemented/available")+(E37="Implemented/available")+(J37="Implemented/available")+(K37="Implemented/available")+(L37="Implemented/available")+(M37="Implemented/available"))=0,"",(AND(D37="Implemented/available",O37&lt;&gt;"")+AND(E37="Implemented/available",P37&lt;&gt;"")+AND(J37="Implemented/available",Q37&lt;&gt;"")+AND(K37="Implemented/available",R37&lt;&gt;"")+AND(L37="Implemented/available",S37&lt;&gt;"")+AND(M37="Implemented/available",T37&lt;&gt;""))/((D37="Implemented/available")+(E37="Implemented/available")+(J37="Implemented/available")+(K37="Implemented/available")+(L37="Implemented/available")+(M37="Implemented/available")))</f>
        <v>1</v>
      </c>
    </row>
    <row r="38" spans="1:39" x14ac:dyDescent="0.25">
      <c r="A38" s="6" t="s">
        <v>558</v>
      </c>
      <c r="B38" s="6" t="s">
        <v>559</v>
      </c>
      <c r="C38" s="6" t="s">
        <v>560</v>
      </c>
      <c r="D38" s="6" t="s">
        <v>29</v>
      </c>
      <c r="E38" s="6" t="s">
        <v>29</v>
      </c>
      <c r="F38" s="6" t="s">
        <v>48</v>
      </c>
      <c r="G38" s="6" t="s">
        <v>117</v>
      </c>
      <c r="H38" s="6"/>
      <c r="I38" s="6" t="s">
        <v>32</v>
      </c>
      <c r="J38" s="6" t="s">
        <v>44</v>
      </c>
      <c r="K38" s="6" t="s">
        <v>29</v>
      </c>
      <c r="L38" s="6" t="s">
        <v>29</v>
      </c>
      <c r="M38" s="6" t="s">
        <v>53</v>
      </c>
      <c r="N38" s="6"/>
      <c r="O38" s="6" t="s">
        <v>561</v>
      </c>
      <c r="P38" s="6"/>
      <c r="Q38" s="6"/>
      <c r="R38" s="6" t="s">
        <v>562</v>
      </c>
      <c r="S38" s="6" t="s">
        <v>563</v>
      </c>
      <c r="T38" s="6"/>
      <c r="U38" s="6"/>
      <c r="V38" s="12">
        <f>IFERROR(IF(ISNUMBER(INDEX(Parameters!$B$5:$B$14,MATCH(D38,Parameters!$A$5:$A$14,0))),INDEX(Parameters!$B$5:$B$14,MATCH(D38,Parameters!$A$5:$A$14,0)),""),"")</f>
        <v>1</v>
      </c>
      <c r="W38" s="12">
        <f>IFERROR(IF(ISNUMBER(INDEX(Parameters!$B$5:$B$14,MATCH(E38,Parameters!$A$5:$A$14,0))),INDEX(Parameters!$B$5:$B$14,MATCH(E38,Parameters!$A$5:$A$14,0)),""),"")</f>
        <v>1</v>
      </c>
      <c r="X38" s="12" t="str">
        <f>IFERROR(IF(ISNUMBER(INDEX(Parameters!$B$5:$B$14,MATCH(F38,Parameters!$A$5:$A$14,0))),INDEX(Parameters!$B$5:$B$14,MATCH(F38,Parameters!$A$5:$A$14,0)),""),"")</f>
        <v/>
      </c>
      <c r="Y38" s="12">
        <f>IF(G38&lt;&gt;"",1,IF(ISNUMBER(Parameters!$B$18),Parameters!$B$18,""))</f>
        <v>1</v>
      </c>
      <c r="Z38" s="12">
        <f>IF(I38&lt;&gt;"",IFERROR(IF(ISNUMBER(INDEX(Parameters!$B$5:$B$14,MATCH(I38,Parameters!$A$5:$A$14,0))),INDEX(Parameters!$B$5:$B$14,MATCH(I38,Parameters!$A$5:$A$14,0)),""),""),IF(ISNUMBER(Parameters!$B$21),Parameters!$B$21,""))</f>
        <v>1</v>
      </c>
      <c r="AA38" s="12">
        <f>IFERROR(IF(ISNUMBER(INDEX(Parameters!$B$5:$B$14,MATCH(J38,Parameters!$A$5:$A$14,0))),INDEX(Parameters!$B$5:$B$14,MATCH(J38,Parameters!$A$5:$A$14,0)),""),"")</f>
        <v>0</v>
      </c>
      <c r="AB38" s="12">
        <f>IFERROR(IF(ISNUMBER(INDEX(Parameters!$B$5:$B$14,MATCH(K38,Parameters!$A$5:$A$14,0))),INDEX(Parameters!$B$5:$B$14,MATCH(K38,Parameters!$A$5:$A$14,0)),""),"")</f>
        <v>1</v>
      </c>
      <c r="AC38" s="12">
        <f>IFERROR(IF(ISNUMBER(INDEX(Parameters!$B$5:$B$14,MATCH(L38,Parameters!$A$5:$A$14,0))),INDEX(Parameters!$B$5:$B$14,MATCH(L38,Parameters!$A$5:$A$14,0)),""),"")</f>
        <v>1</v>
      </c>
      <c r="AD38" s="12" t="str">
        <f>IFERROR(IF(ISNUMBER(INDEX(Parameters!$B$5:$B$14,MATCH(M38,Parameters!$A$5:$A$14,0))),INDEX(Parameters!$B$5:$B$14,MATCH(M38,Parameters!$A$5:$A$14,0)),""),"")</f>
        <v/>
      </c>
      <c r="AE38" s="12">
        <f>IF(N38&lt;&gt;"",1,IF(ISNUMBER(Parameters!$B$19),Parameters!$B$19,""))</f>
        <v>0</v>
      </c>
      <c r="AF38" s="12">
        <f>IF((Parameters!$I$5*ISNUMBER(V38)+Parameters!$I$6*ISNUMBER(W38)+Parameters!$I$7*ISNUMBER(X38)+Parameters!$I$8*ISNUMBER(Y38))=0,"",(Parameters!$I$5*N(V38)+Parameters!$I$6*N(W38)+Parameters!$I$7*N(X38)+Parameters!$I$8*N(Y38))/(Parameters!$I$5*ISNUMBER(V38)+Parameters!$I$6*ISNUMBER(W38)+Parameters!$I$7*ISNUMBER(X38)+Parameters!$I$8*ISNUMBER(Y38)))</f>
        <v>1</v>
      </c>
      <c r="AG38" s="12">
        <f>IF((Parameters!$I$9*ISNUMBER(Z38))=0,"",(Parameters!$I$9*N(Z38))/(Parameters!$I$9*ISNUMBER(Z38)))</f>
        <v>1</v>
      </c>
      <c r="AH38" s="12">
        <f>IF((Parameters!$I$11*ISNUMBER(AA38)+Parameters!$I$12*ISNUMBER(AB38)+Parameters!$I$13*ISNUMBER(AC38)+Parameters!$I$14*ISNUMBER(AD38)+Parameters!$I$15*ISNUMBER(AE38))=0,"",(Parameters!$I$11*N(AA38)+Parameters!$I$12*N(AB38)+Parameters!$I$13*N(AC38)+Parameters!$I$14*N(AD38)+Parameters!$I$15*N(AE38))/(Parameters!$I$11*ISNUMBER(AA38)+Parameters!$I$12*ISNUMBER(AB38)+Parameters!$I$13*ISNUMBER(AC38)+Parameters!$I$14*ISNUMBER(AD38)+Parameters!$I$15*ISNUMBER(AE38)))</f>
        <v>0.5</v>
      </c>
      <c r="AI38" s="13">
        <f>Parameters!$I$5*ISNUMBER(V38)+Parameters!$I$6*ISNUMBER(W38)+Parameters!$I$7*ISNUMBER(X38)+Parameters!$I$8*ISNUMBER(Y38)+Parameters!$I$9*ISNUMBER(Z38)+Parameters!$I$11*ISNUMBER(AA38)+Parameters!$I$12*ISNUMBER(AB38)+Parameters!$I$13*ISNUMBER(AC38)+Parameters!$I$14*ISNUMBER(AD38)+Parameters!$I$15*ISNUMBER(AE38)</f>
        <v>80</v>
      </c>
      <c r="AJ38" s="14">
        <f>IF((Parameters!$I$5+Parameters!$I$6+Parameters!$I$7+Parameters!$I$8+Parameters!$I$9+Parameters!$I$11+Parameters!$I$12+Parameters!$I$13+Parameters!$I$14+Parameters!$I$15)=0,"",AI38/(Parameters!$I$5+Parameters!$I$6+Parameters!$I$7+Parameters!$I$8+Parameters!$I$9+Parameters!$I$11+Parameters!$I$12+Parameters!$I$13+Parameters!$I$14+Parameters!$I$15))</f>
        <v>0.84210526315789469</v>
      </c>
      <c r="AK38" s="15">
        <f>IF(AND(ISNUMBER(AF38),ISNUMBER(AH38),OR(NOT((Parameters!$I$9)&gt;0),ISNUMBER(AG38)),AJ38&gt;=Parameters!$B$20),100*(Parameters!$F$18*N(AF38)+Parameters!$F$19*N(AG38)+Parameters!$F$20*N(AH38))/(Parameters!$F$18*ISNUMBER(AF38)+Parameters!$F$19*ISNUMBER(AG38)+Parameters!$F$20*ISNUMBER(AH38)),"")</f>
        <v>82.5</v>
      </c>
      <c r="AL38" s="16">
        <f>IF(ISNUMBER(AK38),RANK(AK38,$AK$2:$AK$113),"")</f>
        <v>37</v>
      </c>
      <c r="AM38" s="14">
        <f>IF(((D38="Implemented/available")+(E38="Implemented/available")+(J38="Implemented/available")+(K38="Implemented/available")+(L38="Implemented/available")+(M38="Implemented/available"))=0,"",(AND(D38="Implemented/available",O38&lt;&gt;"")+AND(E38="Implemented/available",P38&lt;&gt;"")+AND(J38="Implemented/available",Q38&lt;&gt;"")+AND(K38="Implemented/available",R38&lt;&gt;"")+AND(L38="Implemented/available",S38&lt;&gt;"")+AND(M38="Implemented/available",T38&lt;&gt;""))/((D38="Implemented/available")+(E38="Implemented/available")+(J38="Implemented/available")+(K38="Implemented/available")+(L38="Implemented/available")+(M38="Implemented/available")))</f>
        <v>0.75</v>
      </c>
    </row>
    <row r="39" spans="1:39" x14ac:dyDescent="0.25">
      <c r="A39" s="6" t="s">
        <v>657</v>
      </c>
      <c r="B39" s="6" t="s">
        <v>658</v>
      </c>
      <c r="C39" s="6" t="s">
        <v>659</v>
      </c>
      <c r="D39" s="6" t="s">
        <v>29</v>
      </c>
      <c r="E39" s="6" t="s">
        <v>29</v>
      </c>
      <c r="F39" s="6" t="s">
        <v>29</v>
      </c>
      <c r="G39" s="6" t="s">
        <v>117</v>
      </c>
      <c r="H39" s="6"/>
      <c r="I39" s="6" t="s">
        <v>32</v>
      </c>
      <c r="J39" s="6" t="s">
        <v>29</v>
      </c>
      <c r="K39" s="6" t="s">
        <v>29</v>
      </c>
      <c r="L39" s="6" t="s">
        <v>44</v>
      </c>
      <c r="M39" s="6" t="s">
        <v>48</v>
      </c>
      <c r="N39" s="6"/>
      <c r="O39" s="6" t="s">
        <v>660</v>
      </c>
      <c r="P39" s="6" t="s">
        <v>661</v>
      </c>
      <c r="Q39" s="6" t="s">
        <v>662</v>
      </c>
      <c r="R39" s="6" t="s">
        <v>663</v>
      </c>
      <c r="S39" s="6"/>
      <c r="T39" s="6"/>
      <c r="U39" s="6" t="s">
        <v>661</v>
      </c>
      <c r="V39" s="12">
        <f>IFERROR(IF(ISNUMBER(INDEX(Parameters!$B$5:$B$14,MATCH(D39,Parameters!$A$5:$A$14,0))),INDEX(Parameters!$B$5:$B$14,MATCH(D39,Parameters!$A$5:$A$14,0)),""),"")</f>
        <v>1</v>
      </c>
      <c r="W39" s="12">
        <f>IFERROR(IF(ISNUMBER(INDEX(Parameters!$B$5:$B$14,MATCH(E39,Parameters!$A$5:$A$14,0))),INDEX(Parameters!$B$5:$B$14,MATCH(E39,Parameters!$A$5:$A$14,0)),""),"")</f>
        <v>1</v>
      </c>
      <c r="X39" s="12">
        <f>IFERROR(IF(ISNUMBER(INDEX(Parameters!$B$5:$B$14,MATCH(F39,Parameters!$A$5:$A$14,0))),INDEX(Parameters!$B$5:$B$14,MATCH(F39,Parameters!$A$5:$A$14,0)),""),"")</f>
        <v>1</v>
      </c>
      <c r="Y39" s="12">
        <f>IF(G39&lt;&gt;"",1,IF(ISNUMBER(Parameters!$B$18),Parameters!$B$18,""))</f>
        <v>1</v>
      </c>
      <c r="Z39" s="12">
        <f>IF(I39&lt;&gt;"",IFERROR(IF(ISNUMBER(INDEX(Parameters!$B$5:$B$14,MATCH(I39,Parameters!$A$5:$A$14,0))),INDEX(Parameters!$B$5:$B$14,MATCH(I39,Parameters!$A$5:$A$14,0)),""),""),IF(ISNUMBER(Parameters!$B$21),Parameters!$B$21,""))</f>
        <v>1</v>
      </c>
      <c r="AA39" s="12">
        <f>IFERROR(IF(ISNUMBER(INDEX(Parameters!$B$5:$B$14,MATCH(J39,Parameters!$A$5:$A$14,0))),INDEX(Parameters!$B$5:$B$14,MATCH(J39,Parameters!$A$5:$A$14,0)),""),"")</f>
        <v>1</v>
      </c>
      <c r="AB39" s="12">
        <f>IFERROR(IF(ISNUMBER(INDEX(Parameters!$B$5:$B$14,MATCH(K39,Parameters!$A$5:$A$14,0))),INDEX(Parameters!$B$5:$B$14,MATCH(K39,Parameters!$A$5:$A$14,0)),""),"")</f>
        <v>1</v>
      </c>
      <c r="AC39" s="12">
        <f>IFERROR(IF(ISNUMBER(INDEX(Parameters!$B$5:$B$14,MATCH(L39,Parameters!$A$5:$A$14,0))),INDEX(Parameters!$B$5:$B$14,MATCH(L39,Parameters!$A$5:$A$14,0)),""),"")</f>
        <v>0</v>
      </c>
      <c r="AD39" s="12" t="str">
        <f>IFERROR(IF(ISNUMBER(INDEX(Parameters!$B$5:$B$14,MATCH(M39,Parameters!$A$5:$A$14,0))),INDEX(Parameters!$B$5:$B$14,MATCH(M39,Parameters!$A$5:$A$14,0)),""),"")</f>
        <v/>
      </c>
      <c r="AE39" s="12">
        <f>IF(N39&lt;&gt;"",1,IF(ISNUMBER(Parameters!$B$19),Parameters!$B$19,""))</f>
        <v>0</v>
      </c>
      <c r="AF39" s="12">
        <f>IF((Parameters!$I$5*ISNUMBER(V39)+Parameters!$I$6*ISNUMBER(W39)+Parameters!$I$7*ISNUMBER(X39)+Parameters!$I$8*ISNUMBER(Y39))=0,"",(Parameters!$I$5*N(V39)+Parameters!$I$6*N(W39)+Parameters!$I$7*N(X39)+Parameters!$I$8*N(Y39))/(Parameters!$I$5*ISNUMBER(V39)+Parameters!$I$6*ISNUMBER(W39)+Parameters!$I$7*ISNUMBER(X39)+Parameters!$I$8*ISNUMBER(Y39)))</f>
        <v>1</v>
      </c>
      <c r="AG39" s="12">
        <f>IF((Parameters!$I$9*ISNUMBER(Z39))=0,"",(Parameters!$I$9*N(Z39))/(Parameters!$I$9*ISNUMBER(Z39)))</f>
        <v>1</v>
      </c>
      <c r="AH39" s="12">
        <f>IF((Parameters!$I$11*ISNUMBER(AA39)+Parameters!$I$12*ISNUMBER(AB39)+Parameters!$I$13*ISNUMBER(AC39)+Parameters!$I$14*ISNUMBER(AD39)+Parameters!$I$15*ISNUMBER(AE39))=0,"",(Parameters!$I$11*N(AA39)+Parameters!$I$12*N(AB39)+Parameters!$I$13*N(AC39)+Parameters!$I$14*N(AD39)+Parameters!$I$15*N(AE39))/(Parameters!$I$11*ISNUMBER(AA39)+Parameters!$I$12*ISNUMBER(AB39)+Parameters!$I$13*ISNUMBER(AC39)+Parameters!$I$14*ISNUMBER(AD39)+Parameters!$I$15*ISNUMBER(AE39)))</f>
        <v>0.5</v>
      </c>
      <c r="AI39" s="13">
        <f>Parameters!$I$5*ISNUMBER(V39)+Parameters!$I$6*ISNUMBER(W39)+Parameters!$I$7*ISNUMBER(X39)+Parameters!$I$8*ISNUMBER(Y39)+Parameters!$I$9*ISNUMBER(Z39)+Parameters!$I$11*ISNUMBER(AA39)+Parameters!$I$12*ISNUMBER(AB39)+Parameters!$I$13*ISNUMBER(AC39)+Parameters!$I$14*ISNUMBER(AD39)+Parameters!$I$15*ISNUMBER(AE39)</f>
        <v>88</v>
      </c>
      <c r="AJ39" s="14">
        <f>IF((Parameters!$I$5+Parameters!$I$6+Parameters!$I$7+Parameters!$I$8+Parameters!$I$9+Parameters!$I$11+Parameters!$I$12+Parameters!$I$13+Parameters!$I$14+Parameters!$I$15)=0,"",AI39/(Parameters!$I$5+Parameters!$I$6+Parameters!$I$7+Parameters!$I$8+Parameters!$I$9+Parameters!$I$11+Parameters!$I$12+Parameters!$I$13+Parameters!$I$14+Parameters!$I$15))</f>
        <v>0.9263157894736842</v>
      </c>
      <c r="AK39" s="15">
        <f>IF(AND(ISNUMBER(AF39),ISNUMBER(AH39),OR(NOT((Parameters!$I$9)&gt;0),ISNUMBER(AG39)),AJ39&gt;=Parameters!$B$20),100*(Parameters!$F$18*N(AF39)+Parameters!$F$19*N(AG39)+Parameters!$F$20*N(AH39))/(Parameters!$F$18*ISNUMBER(AF39)+Parameters!$F$19*ISNUMBER(AG39)+Parameters!$F$20*ISNUMBER(AH39)),"")</f>
        <v>82.5</v>
      </c>
      <c r="AL39" s="16">
        <f>IF(ISNUMBER(AK39),RANK(AK39,$AK$2:$AK$113),"")</f>
        <v>37</v>
      </c>
      <c r="AM39" s="14">
        <f>IF(((D39="Implemented/available")+(E39="Implemented/available")+(J39="Implemented/available")+(K39="Implemented/available")+(L39="Implemented/available")+(M39="Implemented/available"))=0,"",(AND(D39="Implemented/available",O39&lt;&gt;"")+AND(E39="Implemented/available",P39&lt;&gt;"")+AND(J39="Implemented/available",Q39&lt;&gt;"")+AND(K39="Implemented/available",R39&lt;&gt;"")+AND(L39="Implemented/available",S39&lt;&gt;"")+AND(M39="Implemented/available",T39&lt;&gt;""))/((D39="Implemented/available")+(E39="Implemented/available")+(J39="Implemented/available")+(K39="Implemented/available")+(L39="Implemented/available")+(M39="Implemented/available")))</f>
        <v>1</v>
      </c>
    </row>
    <row r="40" spans="1:39" x14ac:dyDescent="0.25">
      <c r="A40" s="6" t="s">
        <v>136</v>
      </c>
      <c r="B40" s="6" t="s">
        <v>137</v>
      </c>
      <c r="C40" s="6" t="s">
        <v>138</v>
      </c>
      <c r="D40" s="6" t="s">
        <v>29</v>
      </c>
      <c r="E40" s="6" t="s">
        <v>38</v>
      </c>
      <c r="F40" s="6" t="s">
        <v>29</v>
      </c>
      <c r="G40" s="6" t="s">
        <v>117</v>
      </c>
      <c r="H40" s="6"/>
      <c r="I40" s="6" t="s">
        <v>32</v>
      </c>
      <c r="J40" s="6" t="s">
        <v>29</v>
      </c>
      <c r="K40" s="6" t="s">
        <v>34</v>
      </c>
      <c r="L40" s="6" t="s">
        <v>44</v>
      </c>
      <c r="M40" s="6" t="s">
        <v>44</v>
      </c>
      <c r="N40" s="6" t="s">
        <v>139</v>
      </c>
      <c r="O40" s="6" t="s">
        <v>140</v>
      </c>
      <c r="P40" s="6"/>
      <c r="Q40" s="6" t="s">
        <v>141</v>
      </c>
      <c r="R40" s="6"/>
      <c r="S40" s="6"/>
      <c r="T40" s="6"/>
      <c r="U40" s="6" t="s">
        <v>140</v>
      </c>
      <c r="V40" s="12">
        <f>IFERROR(IF(ISNUMBER(INDEX(Parameters!$B$5:$B$14,MATCH(D40,Parameters!$A$5:$A$14,0))),INDEX(Parameters!$B$5:$B$14,MATCH(D40,Parameters!$A$5:$A$14,0)),""),"")</f>
        <v>1</v>
      </c>
      <c r="W40" s="12">
        <f>IFERROR(IF(ISNUMBER(INDEX(Parameters!$B$5:$B$14,MATCH(E40,Parameters!$A$5:$A$14,0))),INDEX(Parameters!$B$5:$B$14,MATCH(E40,Parameters!$A$5:$A$14,0)),""),"")</f>
        <v>0.67</v>
      </c>
      <c r="X40" s="12">
        <f>IFERROR(IF(ISNUMBER(INDEX(Parameters!$B$5:$B$14,MATCH(F40,Parameters!$A$5:$A$14,0))),INDEX(Parameters!$B$5:$B$14,MATCH(F40,Parameters!$A$5:$A$14,0)),""),"")</f>
        <v>1</v>
      </c>
      <c r="Y40" s="12">
        <f>IF(G40&lt;&gt;"",1,IF(ISNUMBER(Parameters!$B$18),Parameters!$B$18,""))</f>
        <v>1</v>
      </c>
      <c r="Z40" s="12">
        <f>IF(I40&lt;&gt;"",IFERROR(IF(ISNUMBER(INDEX(Parameters!$B$5:$B$14,MATCH(I40,Parameters!$A$5:$A$14,0))),INDEX(Parameters!$B$5:$B$14,MATCH(I40,Parameters!$A$5:$A$14,0)),""),""),IF(ISNUMBER(Parameters!$B$21),Parameters!$B$21,""))</f>
        <v>1</v>
      </c>
      <c r="AA40" s="12">
        <f>IFERROR(IF(ISNUMBER(INDEX(Parameters!$B$5:$B$14,MATCH(J40,Parameters!$A$5:$A$14,0))),INDEX(Parameters!$B$5:$B$14,MATCH(J40,Parameters!$A$5:$A$14,0)),""),"")</f>
        <v>1</v>
      </c>
      <c r="AB40" s="12">
        <f>IFERROR(IF(ISNUMBER(INDEX(Parameters!$B$5:$B$14,MATCH(K40,Parameters!$A$5:$A$14,0))),INDEX(Parameters!$B$5:$B$14,MATCH(K40,Parameters!$A$5:$A$14,0)),""),"")</f>
        <v>1</v>
      </c>
      <c r="AC40" s="12">
        <f>IFERROR(IF(ISNUMBER(INDEX(Parameters!$B$5:$B$14,MATCH(L40,Parameters!$A$5:$A$14,0))),INDEX(Parameters!$B$5:$B$14,MATCH(L40,Parameters!$A$5:$A$14,0)),""),"")</f>
        <v>0</v>
      </c>
      <c r="AD40" s="12">
        <f>IFERROR(IF(ISNUMBER(INDEX(Parameters!$B$5:$B$14,MATCH(M40,Parameters!$A$5:$A$14,0))),INDEX(Parameters!$B$5:$B$14,MATCH(M40,Parameters!$A$5:$A$14,0)),""),"")</f>
        <v>0</v>
      </c>
      <c r="AE40" s="12">
        <f>IF(N40&lt;&gt;"",1,IF(ISNUMBER(Parameters!$B$19),Parameters!$B$19,""))</f>
        <v>1</v>
      </c>
      <c r="AF40" s="12">
        <f>IF((Parameters!$I$5*ISNUMBER(V40)+Parameters!$I$6*ISNUMBER(W40)+Parameters!$I$7*ISNUMBER(X40)+Parameters!$I$8*ISNUMBER(Y40))=0,"",(Parameters!$I$5*N(V40)+Parameters!$I$6*N(W40)+Parameters!$I$7*N(X40)+Parameters!$I$8*N(Y40))/(Parameters!$I$5*ISNUMBER(V40)+Parameters!$I$6*ISNUMBER(W40)+Parameters!$I$7*ISNUMBER(X40)+Parameters!$I$8*ISNUMBER(Y40)))</f>
        <v>0.90100000000000002</v>
      </c>
      <c r="AG40" s="12">
        <f>IF((Parameters!$I$9*ISNUMBER(Z40))=0,"",(Parameters!$I$9*N(Z40))/(Parameters!$I$9*ISNUMBER(Z40)))</f>
        <v>1</v>
      </c>
      <c r="AH40" s="12">
        <f>IF((Parameters!$I$11*ISNUMBER(AA40)+Parameters!$I$12*ISNUMBER(AB40)+Parameters!$I$13*ISNUMBER(AC40)+Parameters!$I$14*ISNUMBER(AD40)+Parameters!$I$15*ISNUMBER(AE40))=0,"",(Parameters!$I$11*N(AA40)+Parameters!$I$12*N(AB40)+Parameters!$I$13*N(AC40)+Parameters!$I$14*N(AD40)+Parameters!$I$15*N(AE40))/(Parameters!$I$11*ISNUMBER(AA40)+Parameters!$I$12*ISNUMBER(AB40)+Parameters!$I$13*ISNUMBER(AC40)+Parameters!$I$14*ISNUMBER(AD40)+Parameters!$I$15*ISNUMBER(AE40)))</f>
        <v>0.6</v>
      </c>
      <c r="AI40" s="13">
        <f>Parameters!$I$5*ISNUMBER(V40)+Parameters!$I$6*ISNUMBER(W40)+Parameters!$I$7*ISNUMBER(X40)+Parameters!$I$8*ISNUMBER(Y40)+Parameters!$I$9*ISNUMBER(Z40)+Parameters!$I$11*ISNUMBER(AA40)+Parameters!$I$12*ISNUMBER(AB40)+Parameters!$I$13*ISNUMBER(AC40)+Parameters!$I$14*ISNUMBER(AD40)+Parameters!$I$15*ISNUMBER(AE40)</f>
        <v>95</v>
      </c>
      <c r="AJ40" s="14">
        <f>IF((Parameters!$I$5+Parameters!$I$6+Parameters!$I$7+Parameters!$I$8+Parameters!$I$9+Parameters!$I$11+Parameters!$I$12+Parameters!$I$13+Parameters!$I$14+Parameters!$I$15)=0,"",AI40/(Parameters!$I$5+Parameters!$I$6+Parameters!$I$7+Parameters!$I$8+Parameters!$I$9+Parameters!$I$11+Parameters!$I$12+Parameters!$I$13+Parameters!$I$14+Parameters!$I$15))</f>
        <v>1</v>
      </c>
      <c r="AK40" s="15">
        <f>IF(AND(ISNUMBER(AF40),ISNUMBER(AH40),OR(NOT((Parameters!$I$9)&gt;0),ISNUMBER(AG40)),AJ40&gt;=Parameters!$B$20),100*(Parameters!$F$18*N(AF40)+Parameters!$F$19*N(AG40)+Parameters!$F$20*N(AH40))/(Parameters!$F$18*ISNUMBER(AF40)+Parameters!$F$19*ISNUMBER(AG40)+Parameters!$F$20*ISNUMBER(AH40)),"")</f>
        <v>82.04</v>
      </c>
      <c r="AL40" s="16">
        <f>IF(ISNUMBER(AK40),RANK(AK40,$AK$2:$AK$113),"")</f>
        <v>39</v>
      </c>
      <c r="AM40" s="14">
        <f>IF(((D40="Implemented/available")+(E40="Implemented/available")+(J40="Implemented/available")+(K40="Implemented/available")+(L40="Implemented/available")+(M40="Implemented/available"))=0,"",(AND(D40="Implemented/available",O40&lt;&gt;"")+AND(E40="Implemented/available",P40&lt;&gt;"")+AND(J40="Implemented/available",Q40&lt;&gt;"")+AND(K40="Implemented/available",R40&lt;&gt;"")+AND(L40="Implemented/available",S40&lt;&gt;"")+AND(M40="Implemented/available",T40&lt;&gt;""))/((D40="Implemented/available")+(E40="Implemented/available")+(J40="Implemented/available")+(K40="Implemented/available")+(L40="Implemented/available")+(M40="Implemented/available")))</f>
        <v>1</v>
      </c>
    </row>
    <row r="41" spans="1:39" x14ac:dyDescent="0.25">
      <c r="A41" s="6" t="s">
        <v>466</v>
      </c>
      <c r="B41" s="6" t="s">
        <v>467</v>
      </c>
      <c r="C41" s="6" t="s">
        <v>468</v>
      </c>
      <c r="D41" s="6" t="s">
        <v>29</v>
      </c>
      <c r="E41" s="6" t="s">
        <v>29</v>
      </c>
      <c r="F41" s="6" t="s">
        <v>29</v>
      </c>
      <c r="G41" s="6" t="s">
        <v>117</v>
      </c>
      <c r="H41" s="6"/>
      <c r="I41" s="6" t="s">
        <v>32</v>
      </c>
      <c r="J41" s="6" t="s">
        <v>38</v>
      </c>
      <c r="K41" s="6" t="s">
        <v>34</v>
      </c>
      <c r="L41" s="6" t="s">
        <v>38</v>
      </c>
      <c r="M41" s="6" t="s">
        <v>44</v>
      </c>
      <c r="N41" s="6"/>
      <c r="O41" s="6" t="s">
        <v>469</v>
      </c>
      <c r="P41" s="6" t="s">
        <v>470</v>
      </c>
      <c r="Q41" s="6"/>
      <c r="R41" s="6"/>
      <c r="S41" s="6"/>
      <c r="T41" s="6"/>
      <c r="U41" s="6" t="s">
        <v>471</v>
      </c>
      <c r="V41" s="12">
        <f>IFERROR(IF(ISNUMBER(INDEX(Parameters!$B$5:$B$14,MATCH(D41,Parameters!$A$5:$A$14,0))),INDEX(Parameters!$B$5:$B$14,MATCH(D41,Parameters!$A$5:$A$14,0)),""),"")</f>
        <v>1</v>
      </c>
      <c r="W41" s="12">
        <f>IFERROR(IF(ISNUMBER(INDEX(Parameters!$B$5:$B$14,MATCH(E41,Parameters!$A$5:$A$14,0))),INDEX(Parameters!$B$5:$B$14,MATCH(E41,Parameters!$A$5:$A$14,0)),""),"")</f>
        <v>1</v>
      </c>
      <c r="X41" s="12">
        <f>IFERROR(IF(ISNUMBER(INDEX(Parameters!$B$5:$B$14,MATCH(F41,Parameters!$A$5:$A$14,0))),INDEX(Parameters!$B$5:$B$14,MATCH(F41,Parameters!$A$5:$A$14,0)),""),"")</f>
        <v>1</v>
      </c>
      <c r="Y41" s="12">
        <f>IF(G41&lt;&gt;"",1,IF(ISNUMBER(Parameters!$B$18),Parameters!$B$18,""))</f>
        <v>1</v>
      </c>
      <c r="Z41" s="12">
        <f>IF(I41&lt;&gt;"",IFERROR(IF(ISNUMBER(INDEX(Parameters!$B$5:$B$14,MATCH(I41,Parameters!$A$5:$A$14,0))),INDEX(Parameters!$B$5:$B$14,MATCH(I41,Parameters!$A$5:$A$14,0)),""),""),IF(ISNUMBER(Parameters!$B$21),Parameters!$B$21,""))</f>
        <v>1</v>
      </c>
      <c r="AA41" s="12">
        <f>IFERROR(IF(ISNUMBER(INDEX(Parameters!$B$5:$B$14,MATCH(J41,Parameters!$A$5:$A$14,0))),INDEX(Parameters!$B$5:$B$14,MATCH(J41,Parameters!$A$5:$A$14,0)),""),"")</f>
        <v>0.67</v>
      </c>
      <c r="AB41" s="12">
        <f>IFERROR(IF(ISNUMBER(INDEX(Parameters!$B$5:$B$14,MATCH(K41,Parameters!$A$5:$A$14,0))),INDEX(Parameters!$B$5:$B$14,MATCH(K41,Parameters!$A$5:$A$14,0)),""),"")</f>
        <v>1</v>
      </c>
      <c r="AC41" s="12">
        <f>IFERROR(IF(ISNUMBER(INDEX(Parameters!$B$5:$B$14,MATCH(L41,Parameters!$A$5:$A$14,0))),INDEX(Parameters!$B$5:$B$14,MATCH(L41,Parameters!$A$5:$A$14,0)),""),"")</f>
        <v>0.67</v>
      </c>
      <c r="AD41" s="12">
        <f>IFERROR(IF(ISNUMBER(INDEX(Parameters!$B$5:$B$14,MATCH(M41,Parameters!$A$5:$A$14,0))),INDEX(Parameters!$B$5:$B$14,MATCH(M41,Parameters!$A$5:$A$14,0)),""),"")</f>
        <v>0</v>
      </c>
      <c r="AE41" s="12">
        <f>IF(N41&lt;&gt;"",1,IF(ISNUMBER(Parameters!$B$19),Parameters!$B$19,""))</f>
        <v>0</v>
      </c>
      <c r="AF41" s="12">
        <f>IF((Parameters!$I$5*ISNUMBER(V41)+Parameters!$I$6*ISNUMBER(W41)+Parameters!$I$7*ISNUMBER(X41)+Parameters!$I$8*ISNUMBER(Y41))=0,"",(Parameters!$I$5*N(V41)+Parameters!$I$6*N(W41)+Parameters!$I$7*N(X41)+Parameters!$I$8*N(Y41))/(Parameters!$I$5*ISNUMBER(V41)+Parameters!$I$6*ISNUMBER(W41)+Parameters!$I$7*ISNUMBER(X41)+Parameters!$I$8*ISNUMBER(Y41)))</f>
        <v>1</v>
      </c>
      <c r="AG41" s="12">
        <f>IF((Parameters!$I$9*ISNUMBER(Z41))=0,"",(Parameters!$I$9*N(Z41))/(Parameters!$I$9*ISNUMBER(Z41)))</f>
        <v>1</v>
      </c>
      <c r="AH41" s="12">
        <f>IF((Parameters!$I$11*ISNUMBER(AA41)+Parameters!$I$12*ISNUMBER(AB41)+Parameters!$I$13*ISNUMBER(AC41)+Parameters!$I$14*ISNUMBER(AD41)+Parameters!$I$15*ISNUMBER(AE41))=0,"",(Parameters!$I$11*N(AA41)+Parameters!$I$12*N(AB41)+Parameters!$I$13*N(AC41)+Parameters!$I$14*N(AD41)+Parameters!$I$15*N(AE41))/(Parameters!$I$11*ISNUMBER(AA41)+Parameters!$I$12*ISNUMBER(AB41)+Parameters!$I$13*ISNUMBER(AC41)+Parameters!$I$14*ISNUMBER(AD41)+Parameters!$I$15*ISNUMBER(AE41)))</f>
        <v>0.46800000000000008</v>
      </c>
      <c r="AI41" s="13">
        <f>Parameters!$I$5*ISNUMBER(V41)+Parameters!$I$6*ISNUMBER(W41)+Parameters!$I$7*ISNUMBER(X41)+Parameters!$I$8*ISNUMBER(Y41)+Parameters!$I$9*ISNUMBER(Z41)+Parameters!$I$11*ISNUMBER(AA41)+Parameters!$I$12*ISNUMBER(AB41)+Parameters!$I$13*ISNUMBER(AC41)+Parameters!$I$14*ISNUMBER(AD41)+Parameters!$I$15*ISNUMBER(AE41)</f>
        <v>95</v>
      </c>
      <c r="AJ41" s="14">
        <f>IF((Parameters!$I$5+Parameters!$I$6+Parameters!$I$7+Parameters!$I$8+Parameters!$I$9+Parameters!$I$11+Parameters!$I$12+Parameters!$I$13+Parameters!$I$14+Parameters!$I$15)=0,"",AI41/(Parameters!$I$5+Parameters!$I$6+Parameters!$I$7+Parameters!$I$8+Parameters!$I$9+Parameters!$I$11+Parameters!$I$12+Parameters!$I$13+Parameters!$I$14+Parameters!$I$15))</f>
        <v>1</v>
      </c>
      <c r="AK41" s="15">
        <f>IF(AND(ISNUMBER(AF41),ISNUMBER(AH41),OR(NOT((Parameters!$I$9)&gt;0),ISNUMBER(AG41)),AJ41&gt;=Parameters!$B$20),100*(Parameters!$F$18*N(AF41)+Parameters!$F$19*N(AG41)+Parameters!$F$20*N(AH41))/(Parameters!$F$18*ISNUMBER(AF41)+Parameters!$F$19*ISNUMBER(AG41)+Parameters!$F$20*ISNUMBER(AH41)),"")</f>
        <v>81.38000000000001</v>
      </c>
      <c r="AL41" s="16">
        <f>IF(ISNUMBER(AK41),RANK(AK41,$AK$2:$AK$113),"")</f>
        <v>40</v>
      </c>
      <c r="AM41" s="14">
        <f>IF(((D41="Implemented/available")+(E41="Implemented/available")+(J41="Implemented/available")+(K41="Implemented/available")+(L41="Implemented/available")+(M41="Implemented/available"))=0,"",(AND(D41="Implemented/available",O41&lt;&gt;"")+AND(E41="Implemented/available",P41&lt;&gt;"")+AND(J41="Implemented/available",Q41&lt;&gt;"")+AND(K41="Implemented/available",R41&lt;&gt;"")+AND(L41="Implemented/available",S41&lt;&gt;"")+AND(M41="Implemented/available",T41&lt;&gt;""))/((D41="Implemented/available")+(E41="Implemented/available")+(J41="Implemented/available")+(K41="Implemented/available")+(L41="Implemented/available")+(M41="Implemented/available")))</f>
        <v>1</v>
      </c>
    </row>
    <row r="42" spans="1:39" x14ac:dyDescent="0.25">
      <c r="A42" s="6" t="s">
        <v>435</v>
      </c>
      <c r="B42" s="6" t="s">
        <v>435</v>
      </c>
      <c r="C42" s="6" t="s">
        <v>235</v>
      </c>
      <c r="D42" s="6" t="s">
        <v>29</v>
      </c>
      <c r="E42" s="6" t="s">
        <v>29</v>
      </c>
      <c r="F42" s="6" t="s">
        <v>48</v>
      </c>
      <c r="G42" s="6" t="s">
        <v>123</v>
      </c>
      <c r="H42" s="6"/>
      <c r="I42" s="6" t="s">
        <v>32</v>
      </c>
      <c r="J42" s="6" t="s">
        <v>41</v>
      </c>
      <c r="K42" s="6" t="s">
        <v>34</v>
      </c>
      <c r="L42" s="6" t="s">
        <v>41</v>
      </c>
      <c r="M42" s="6" t="s">
        <v>38</v>
      </c>
      <c r="N42" s="6"/>
      <c r="O42" s="6" t="s">
        <v>436</v>
      </c>
      <c r="P42" s="6" t="s">
        <v>437</v>
      </c>
      <c r="Q42" s="6"/>
      <c r="R42" s="6"/>
      <c r="S42" s="6"/>
      <c r="T42" s="6"/>
      <c r="U42" s="6"/>
      <c r="V42" s="12">
        <f>IFERROR(IF(ISNUMBER(INDEX(Parameters!$B$5:$B$14,MATCH(D42,Parameters!$A$5:$A$14,0))),INDEX(Parameters!$B$5:$B$14,MATCH(D42,Parameters!$A$5:$A$14,0)),""),"")</f>
        <v>1</v>
      </c>
      <c r="W42" s="12">
        <f>IFERROR(IF(ISNUMBER(INDEX(Parameters!$B$5:$B$14,MATCH(E42,Parameters!$A$5:$A$14,0))),INDEX(Parameters!$B$5:$B$14,MATCH(E42,Parameters!$A$5:$A$14,0)),""),"")</f>
        <v>1</v>
      </c>
      <c r="X42" s="12" t="str">
        <f>IFERROR(IF(ISNUMBER(INDEX(Parameters!$B$5:$B$14,MATCH(F42,Parameters!$A$5:$A$14,0))),INDEX(Parameters!$B$5:$B$14,MATCH(F42,Parameters!$A$5:$A$14,0)),""),"")</f>
        <v/>
      </c>
      <c r="Y42" s="12">
        <f>IF(G42&lt;&gt;"",1,IF(ISNUMBER(Parameters!$B$18),Parameters!$B$18,""))</f>
        <v>1</v>
      </c>
      <c r="Z42" s="12">
        <f>IF(I42&lt;&gt;"",IFERROR(IF(ISNUMBER(INDEX(Parameters!$B$5:$B$14,MATCH(I42,Parameters!$A$5:$A$14,0))),INDEX(Parameters!$B$5:$B$14,MATCH(I42,Parameters!$A$5:$A$14,0)),""),""),IF(ISNUMBER(Parameters!$B$21),Parameters!$B$21,""))</f>
        <v>1</v>
      </c>
      <c r="AA42" s="12">
        <f>IFERROR(IF(ISNUMBER(INDEX(Parameters!$B$5:$B$14,MATCH(J42,Parameters!$A$5:$A$14,0))),INDEX(Parameters!$B$5:$B$14,MATCH(J42,Parameters!$A$5:$A$14,0)),""),"")</f>
        <v>0.33</v>
      </c>
      <c r="AB42" s="12">
        <f>IFERROR(IF(ISNUMBER(INDEX(Parameters!$B$5:$B$14,MATCH(K42,Parameters!$A$5:$A$14,0))),INDEX(Parameters!$B$5:$B$14,MATCH(K42,Parameters!$A$5:$A$14,0)),""),"")</f>
        <v>1</v>
      </c>
      <c r="AC42" s="12">
        <f>IFERROR(IF(ISNUMBER(INDEX(Parameters!$B$5:$B$14,MATCH(L42,Parameters!$A$5:$A$14,0))),INDEX(Parameters!$B$5:$B$14,MATCH(L42,Parameters!$A$5:$A$14,0)),""),"")</f>
        <v>0.33</v>
      </c>
      <c r="AD42" s="12">
        <f>IFERROR(IF(ISNUMBER(INDEX(Parameters!$B$5:$B$14,MATCH(M42,Parameters!$A$5:$A$14,0))),INDEX(Parameters!$B$5:$B$14,MATCH(M42,Parameters!$A$5:$A$14,0)),""),"")</f>
        <v>0.67</v>
      </c>
      <c r="AE42" s="12">
        <f>IF(N42&lt;&gt;"",1,IF(ISNUMBER(Parameters!$B$19),Parameters!$B$19,""))</f>
        <v>0</v>
      </c>
      <c r="AF42" s="12">
        <f>IF((Parameters!$I$5*ISNUMBER(V42)+Parameters!$I$6*ISNUMBER(W42)+Parameters!$I$7*ISNUMBER(X42)+Parameters!$I$8*ISNUMBER(Y42))=0,"",(Parameters!$I$5*N(V42)+Parameters!$I$6*N(W42)+Parameters!$I$7*N(X42)+Parameters!$I$8*N(Y42))/(Parameters!$I$5*ISNUMBER(V42)+Parameters!$I$6*ISNUMBER(W42)+Parameters!$I$7*ISNUMBER(X42)+Parameters!$I$8*ISNUMBER(Y42)))</f>
        <v>1</v>
      </c>
      <c r="AG42" s="12">
        <f>IF((Parameters!$I$9*ISNUMBER(Z42))=0,"",(Parameters!$I$9*N(Z42))/(Parameters!$I$9*ISNUMBER(Z42)))</f>
        <v>1</v>
      </c>
      <c r="AH42" s="12">
        <f>IF((Parameters!$I$11*ISNUMBER(AA42)+Parameters!$I$12*ISNUMBER(AB42)+Parameters!$I$13*ISNUMBER(AC42)+Parameters!$I$14*ISNUMBER(AD42)+Parameters!$I$15*ISNUMBER(AE42))=0,"",(Parameters!$I$11*N(AA42)+Parameters!$I$12*N(AB42)+Parameters!$I$13*N(AC42)+Parameters!$I$14*N(AD42)+Parameters!$I$15*N(AE42))/(Parameters!$I$11*ISNUMBER(AA42)+Parameters!$I$12*ISNUMBER(AB42)+Parameters!$I$13*ISNUMBER(AC42)+Parameters!$I$14*ISNUMBER(AD42)+Parameters!$I$15*ISNUMBER(AE42)))</f>
        <v>0.46600000000000008</v>
      </c>
      <c r="AI42" s="13">
        <f>Parameters!$I$5*ISNUMBER(V42)+Parameters!$I$6*ISNUMBER(W42)+Parameters!$I$7*ISNUMBER(X42)+Parameters!$I$8*ISNUMBER(Y42)+Parameters!$I$9*ISNUMBER(Z42)+Parameters!$I$11*ISNUMBER(AA42)+Parameters!$I$12*ISNUMBER(AB42)+Parameters!$I$13*ISNUMBER(AC42)+Parameters!$I$14*ISNUMBER(AD42)+Parameters!$I$15*ISNUMBER(AE42)</f>
        <v>87</v>
      </c>
      <c r="AJ42" s="14">
        <f>IF((Parameters!$I$5+Parameters!$I$6+Parameters!$I$7+Parameters!$I$8+Parameters!$I$9+Parameters!$I$11+Parameters!$I$12+Parameters!$I$13+Parameters!$I$14+Parameters!$I$15)=0,"",AI42/(Parameters!$I$5+Parameters!$I$6+Parameters!$I$7+Parameters!$I$8+Parameters!$I$9+Parameters!$I$11+Parameters!$I$12+Parameters!$I$13+Parameters!$I$14+Parameters!$I$15))</f>
        <v>0.91578947368421049</v>
      </c>
      <c r="AK42" s="15">
        <f>IF(AND(ISNUMBER(AF42),ISNUMBER(AH42),OR(NOT((Parameters!$I$9)&gt;0),ISNUMBER(AG42)),AJ42&gt;=Parameters!$B$20),100*(Parameters!$F$18*N(AF42)+Parameters!$F$19*N(AG42)+Parameters!$F$20*N(AH42))/(Parameters!$F$18*ISNUMBER(AF42)+Parameters!$F$19*ISNUMBER(AG42)+Parameters!$F$20*ISNUMBER(AH42)),"")</f>
        <v>81.31</v>
      </c>
      <c r="AL42" s="16">
        <f>IF(ISNUMBER(AK42),RANK(AK42,$AK$2:$AK$113),"")</f>
        <v>41</v>
      </c>
      <c r="AM42" s="14">
        <f>IF(((D42="Implemented/available")+(E42="Implemented/available")+(J42="Implemented/available")+(K42="Implemented/available")+(L42="Implemented/available")+(M42="Implemented/available"))=0,"",(AND(D42="Implemented/available",O42&lt;&gt;"")+AND(E42="Implemented/available",P42&lt;&gt;"")+AND(J42="Implemented/available",Q42&lt;&gt;"")+AND(K42="Implemented/available",R42&lt;&gt;"")+AND(L42="Implemented/available",S42&lt;&gt;"")+AND(M42="Implemented/available",T42&lt;&gt;""))/((D42="Implemented/available")+(E42="Implemented/available")+(J42="Implemented/available")+(K42="Implemented/available")+(L42="Implemented/available")+(M42="Implemented/available")))</f>
        <v>1</v>
      </c>
    </row>
    <row r="43" spans="1:39" x14ac:dyDescent="0.25">
      <c r="A43" s="6" t="s">
        <v>588</v>
      </c>
      <c r="B43" s="6" t="s">
        <v>589</v>
      </c>
      <c r="C43" s="6" t="s">
        <v>371</v>
      </c>
      <c r="D43" s="6" t="s">
        <v>29</v>
      </c>
      <c r="E43" s="6" t="s">
        <v>48</v>
      </c>
      <c r="F43" s="6" t="s">
        <v>48</v>
      </c>
      <c r="G43" s="6" t="s">
        <v>117</v>
      </c>
      <c r="H43" s="6"/>
      <c r="I43" s="6" t="s">
        <v>60</v>
      </c>
      <c r="J43" s="6" t="s">
        <v>29</v>
      </c>
      <c r="K43" s="6" t="s">
        <v>29</v>
      </c>
      <c r="L43" s="6" t="s">
        <v>29</v>
      </c>
      <c r="M43" s="6" t="s">
        <v>29</v>
      </c>
      <c r="N43" s="6"/>
      <c r="O43" s="6" t="s">
        <v>590</v>
      </c>
      <c r="P43" s="6"/>
      <c r="Q43" s="6" t="s">
        <v>591</v>
      </c>
      <c r="R43" s="6" t="s">
        <v>592</v>
      </c>
      <c r="S43" s="6" t="s">
        <v>593</v>
      </c>
      <c r="T43" s="6" t="s">
        <v>594</v>
      </c>
      <c r="U43" s="6"/>
      <c r="V43" s="12">
        <f>IFERROR(IF(ISNUMBER(INDEX(Parameters!$B$5:$B$14,MATCH(D43,Parameters!$A$5:$A$14,0))),INDEX(Parameters!$B$5:$B$14,MATCH(D43,Parameters!$A$5:$A$14,0)),""),"")</f>
        <v>1</v>
      </c>
      <c r="W43" s="12" t="str">
        <f>IFERROR(IF(ISNUMBER(INDEX(Parameters!$B$5:$B$14,MATCH(E43,Parameters!$A$5:$A$14,0))),INDEX(Parameters!$B$5:$B$14,MATCH(E43,Parameters!$A$5:$A$14,0)),""),"")</f>
        <v/>
      </c>
      <c r="X43" s="12" t="str">
        <f>IFERROR(IF(ISNUMBER(INDEX(Parameters!$B$5:$B$14,MATCH(F43,Parameters!$A$5:$A$14,0))),INDEX(Parameters!$B$5:$B$14,MATCH(F43,Parameters!$A$5:$A$14,0)),""),"")</f>
        <v/>
      </c>
      <c r="Y43" s="12">
        <f>IF(G43&lt;&gt;"",1,IF(ISNUMBER(Parameters!$B$18),Parameters!$B$18,""))</f>
        <v>1</v>
      </c>
      <c r="Z43" s="12">
        <f>IF(I43&lt;&gt;"",IFERROR(IF(ISNUMBER(INDEX(Parameters!$B$5:$B$14,MATCH(I43,Parameters!$A$5:$A$14,0))),INDEX(Parameters!$B$5:$B$14,MATCH(I43,Parameters!$A$5:$A$14,0)),""),""),IF(ISNUMBER(Parameters!$B$21),Parameters!$B$21,""))</f>
        <v>0.5</v>
      </c>
      <c r="AA43" s="12">
        <f>IFERROR(IF(ISNUMBER(INDEX(Parameters!$B$5:$B$14,MATCH(J43,Parameters!$A$5:$A$14,0))),INDEX(Parameters!$B$5:$B$14,MATCH(J43,Parameters!$A$5:$A$14,0)),""),"")</f>
        <v>1</v>
      </c>
      <c r="AB43" s="12">
        <f>IFERROR(IF(ISNUMBER(INDEX(Parameters!$B$5:$B$14,MATCH(K43,Parameters!$A$5:$A$14,0))),INDEX(Parameters!$B$5:$B$14,MATCH(K43,Parameters!$A$5:$A$14,0)),""),"")</f>
        <v>1</v>
      </c>
      <c r="AC43" s="12">
        <f>IFERROR(IF(ISNUMBER(INDEX(Parameters!$B$5:$B$14,MATCH(L43,Parameters!$A$5:$A$14,0))),INDEX(Parameters!$B$5:$B$14,MATCH(L43,Parameters!$A$5:$A$14,0)),""),"")</f>
        <v>1</v>
      </c>
      <c r="AD43" s="12">
        <f>IFERROR(IF(ISNUMBER(INDEX(Parameters!$B$5:$B$14,MATCH(M43,Parameters!$A$5:$A$14,0))),INDEX(Parameters!$B$5:$B$14,MATCH(M43,Parameters!$A$5:$A$14,0)),""),"")</f>
        <v>1</v>
      </c>
      <c r="AE43" s="12">
        <f>IF(N43&lt;&gt;"",1,IF(ISNUMBER(Parameters!$B$19),Parameters!$B$19,""))</f>
        <v>0</v>
      </c>
      <c r="AF43" s="12">
        <f>IF((Parameters!$I$5*ISNUMBER(V43)+Parameters!$I$6*ISNUMBER(W43)+Parameters!$I$7*ISNUMBER(X43)+Parameters!$I$8*ISNUMBER(Y43))=0,"",(Parameters!$I$5*N(V43)+Parameters!$I$6*N(W43)+Parameters!$I$7*N(X43)+Parameters!$I$8*N(Y43))/(Parameters!$I$5*ISNUMBER(V43)+Parameters!$I$6*ISNUMBER(W43)+Parameters!$I$7*ISNUMBER(X43)+Parameters!$I$8*ISNUMBER(Y43)))</f>
        <v>1</v>
      </c>
      <c r="AG43" s="12">
        <f>IF((Parameters!$I$9*ISNUMBER(Z43))=0,"",(Parameters!$I$9*N(Z43))/(Parameters!$I$9*ISNUMBER(Z43)))</f>
        <v>0.5</v>
      </c>
      <c r="AH43" s="12">
        <f>IF((Parameters!$I$11*ISNUMBER(AA43)+Parameters!$I$12*ISNUMBER(AB43)+Parameters!$I$13*ISNUMBER(AC43)+Parameters!$I$14*ISNUMBER(AD43)+Parameters!$I$15*ISNUMBER(AE43))=0,"",(Parameters!$I$11*N(AA43)+Parameters!$I$12*N(AB43)+Parameters!$I$13*N(AC43)+Parameters!$I$14*N(AD43)+Parameters!$I$15*N(AE43))/(Parameters!$I$11*ISNUMBER(AA43)+Parameters!$I$12*ISNUMBER(AB43)+Parameters!$I$13*ISNUMBER(AC43)+Parameters!$I$14*ISNUMBER(AD43)+Parameters!$I$15*ISNUMBER(AE43)))</f>
        <v>0.8</v>
      </c>
      <c r="AI43" s="13">
        <f>Parameters!$I$5*ISNUMBER(V43)+Parameters!$I$6*ISNUMBER(W43)+Parameters!$I$7*ISNUMBER(X43)+Parameters!$I$8*ISNUMBER(Y43)+Parameters!$I$9*ISNUMBER(Z43)+Parameters!$I$11*ISNUMBER(AA43)+Parameters!$I$12*ISNUMBER(AB43)+Parameters!$I$13*ISNUMBER(AC43)+Parameters!$I$14*ISNUMBER(AD43)+Parameters!$I$15*ISNUMBER(AE43)</f>
        <v>75</v>
      </c>
      <c r="AJ43" s="14">
        <f>IF((Parameters!$I$5+Parameters!$I$6+Parameters!$I$7+Parameters!$I$8+Parameters!$I$9+Parameters!$I$11+Parameters!$I$12+Parameters!$I$13+Parameters!$I$14+Parameters!$I$15)=0,"",AI43/(Parameters!$I$5+Parameters!$I$6+Parameters!$I$7+Parameters!$I$8+Parameters!$I$9+Parameters!$I$11+Parameters!$I$12+Parameters!$I$13+Parameters!$I$14+Parameters!$I$15))</f>
        <v>0.78947368421052633</v>
      </c>
      <c r="AK43" s="15">
        <f>IF(AND(ISNUMBER(AF43),ISNUMBER(AH43),OR(NOT((Parameters!$I$9)&gt;0),ISNUMBER(AG43)),AJ43&gt;=Parameters!$B$20),100*(Parameters!$F$18*N(AF43)+Parameters!$F$19*N(AG43)+Parameters!$F$20*N(AH43))/(Parameters!$F$18*ISNUMBER(AF43)+Parameters!$F$19*ISNUMBER(AG43)+Parameters!$F$20*ISNUMBER(AH43)),"")</f>
        <v>80.5</v>
      </c>
      <c r="AL43" s="16">
        <f>IF(ISNUMBER(AK43),RANK(AK43,$AK$2:$AK$113),"")</f>
        <v>42</v>
      </c>
      <c r="AM43" s="14">
        <f>IF(((D43="Implemented/available")+(E43="Implemented/available")+(J43="Implemented/available")+(K43="Implemented/available")+(L43="Implemented/available")+(M43="Implemented/available"))=0,"",(AND(D43="Implemented/available",O43&lt;&gt;"")+AND(E43="Implemented/available",P43&lt;&gt;"")+AND(J43="Implemented/available",Q43&lt;&gt;"")+AND(K43="Implemented/available",R43&lt;&gt;"")+AND(L43="Implemented/available",S43&lt;&gt;"")+AND(M43="Implemented/available",T43&lt;&gt;""))/((D43="Implemented/available")+(E43="Implemented/available")+(J43="Implemented/available")+(K43="Implemented/available")+(L43="Implemented/available")+(M43="Implemented/available")))</f>
        <v>1</v>
      </c>
    </row>
    <row r="44" spans="1:39" x14ac:dyDescent="0.25">
      <c r="A44" s="6" t="s">
        <v>642</v>
      </c>
      <c r="B44" s="6" t="s">
        <v>642</v>
      </c>
      <c r="C44" s="6" t="s">
        <v>643</v>
      </c>
      <c r="D44" s="6" t="s">
        <v>29</v>
      </c>
      <c r="E44" s="6" t="s">
        <v>41</v>
      </c>
      <c r="F44" s="6" t="s">
        <v>29</v>
      </c>
      <c r="G44" s="6" t="s">
        <v>184</v>
      </c>
      <c r="H44" s="6"/>
      <c r="I44" s="6" t="s">
        <v>32</v>
      </c>
      <c r="J44" s="6" t="s">
        <v>38</v>
      </c>
      <c r="K44" s="6" t="s">
        <v>29</v>
      </c>
      <c r="L44" s="6" t="s">
        <v>38</v>
      </c>
      <c r="M44" s="6" t="s">
        <v>29</v>
      </c>
      <c r="N44" s="6"/>
      <c r="O44" s="6" t="s">
        <v>644</v>
      </c>
      <c r="P44" s="6"/>
      <c r="Q44" s="6"/>
      <c r="R44" s="6" t="s">
        <v>645</v>
      </c>
      <c r="S44" s="6"/>
      <c r="T44" s="6" t="s">
        <v>646</v>
      </c>
      <c r="U44" s="6" t="s">
        <v>647</v>
      </c>
      <c r="V44" s="12">
        <f>IFERROR(IF(ISNUMBER(INDEX(Parameters!$B$5:$B$14,MATCH(D44,Parameters!$A$5:$A$14,0))),INDEX(Parameters!$B$5:$B$14,MATCH(D44,Parameters!$A$5:$A$14,0)),""),"")</f>
        <v>1</v>
      </c>
      <c r="W44" s="12">
        <f>IFERROR(IF(ISNUMBER(INDEX(Parameters!$B$5:$B$14,MATCH(E44,Parameters!$A$5:$A$14,0))),INDEX(Parameters!$B$5:$B$14,MATCH(E44,Parameters!$A$5:$A$14,0)),""),"")</f>
        <v>0.33</v>
      </c>
      <c r="X44" s="12">
        <f>IFERROR(IF(ISNUMBER(INDEX(Parameters!$B$5:$B$14,MATCH(F44,Parameters!$A$5:$A$14,0))),INDEX(Parameters!$B$5:$B$14,MATCH(F44,Parameters!$A$5:$A$14,0)),""),"")</f>
        <v>1</v>
      </c>
      <c r="Y44" s="12">
        <f>IF(G44&lt;&gt;"",1,IF(ISNUMBER(Parameters!$B$18),Parameters!$B$18,""))</f>
        <v>1</v>
      </c>
      <c r="Z44" s="12">
        <f>IF(I44&lt;&gt;"",IFERROR(IF(ISNUMBER(INDEX(Parameters!$B$5:$B$14,MATCH(I44,Parameters!$A$5:$A$14,0))),INDEX(Parameters!$B$5:$B$14,MATCH(I44,Parameters!$A$5:$A$14,0)),""),""),IF(ISNUMBER(Parameters!$B$21),Parameters!$B$21,""))</f>
        <v>1</v>
      </c>
      <c r="AA44" s="12">
        <f>IFERROR(IF(ISNUMBER(INDEX(Parameters!$B$5:$B$14,MATCH(J44,Parameters!$A$5:$A$14,0))),INDEX(Parameters!$B$5:$B$14,MATCH(J44,Parameters!$A$5:$A$14,0)),""),"")</f>
        <v>0.67</v>
      </c>
      <c r="AB44" s="12">
        <f>IFERROR(IF(ISNUMBER(INDEX(Parameters!$B$5:$B$14,MATCH(K44,Parameters!$A$5:$A$14,0))),INDEX(Parameters!$B$5:$B$14,MATCH(K44,Parameters!$A$5:$A$14,0)),""),"")</f>
        <v>1</v>
      </c>
      <c r="AC44" s="12">
        <f>IFERROR(IF(ISNUMBER(INDEX(Parameters!$B$5:$B$14,MATCH(L44,Parameters!$A$5:$A$14,0))),INDEX(Parameters!$B$5:$B$14,MATCH(L44,Parameters!$A$5:$A$14,0)),""),"")</f>
        <v>0.67</v>
      </c>
      <c r="AD44" s="12">
        <f>IFERROR(IF(ISNUMBER(INDEX(Parameters!$B$5:$B$14,MATCH(M44,Parameters!$A$5:$A$14,0))),INDEX(Parameters!$B$5:$B$14,MATCH(M44,Parameters!$A$5:$A$14,0)),""),"")</f>
        <v>1</v>
      </c>
      <c r="AE44" s="12">
        <f>IF(N44&lt;&gt;"",1,IF(ISNUMBER(Parameters!$B$19),Parameters!$B$19,""))</f>
        <v>0</v>
      </c>
      <c r="AF44" s="12">
        <f>IF((Parameters!$I$5*ISNUMBER(V44)+Parameters!$I$6*ISNUMBER(W44)+Parameters!$I$7*ISNUMBER(X44)+Parameters!$I$8*ISNUMBER(Y44))=0,"",(Parameters!$I$5*N(V44)+Parameters!$I$6*N(W44)+Parameters!$I$7*N(X44)+Parameters!$I$8*N(Y44))/(Parameters!$I$5*ISNUMBER(V44)+Parameters!$I$6*ISNUMBER(W44)+Parameters!$I$7*ISNUMBER(X44)+Parameters!$I$8*ISNUMBER(Y44)))</f>
        <v>0.79900000000000004</v>
      </c>
      <c r="AG44" s="12">
        <f>IF((Parameters!$I$9*ISNUMBER(Z44))=0,"",(Parameters!$I$9*N(Z44))/(Parameters!$I$9*ISNUMBER(Z44)))</f>
        <v>1</v>
      </c>
      <c r="AH44" s="12">
        <f>IF((Parameters!$I$11*ISNUMBER(AA44)+Parameters!$I$12*ISNUMBER(AB44)+Parameters!$I$13*ISNUMBER(AC44)+Parameters!$I$14*ISNUMBER(AD44)+Parameters!$I$15*ISNUMBER(AE44))=0,"",(Parameters!$I$11*N(AA44)+Parameters!$I$12*N(AB44)+Parameters!$I$13*N(AC44)+Parameters!$I$14*N(AD44)+Parameters!$I$15*N(AE44))/(Parameters!$I$11*ISNUMBER(AA44)+Parameters!$I$12*ISNUMBER(AB44)+Parameters!$I$13*ISNUMBER(AC44)+Parameters!$I$14*ISNUMBER(AD44)+Parameters!$I$15*ISNUMBER(AE44)))</f>
        <v>0.66800000000000004</v>
      </c>
      <c r="AI44" s="13">
        <f>Parameters!$I$5*ISNUMBER(V44)+Parameters!$I$6*ISNUMBER(W44)+Parameters!$I$7*ISNUMBER(X44)+Parameters!$I$8*ISNUMBER(Y44)+Parameters!$I$9*ISNUMBER(Z44)+Parameters!$I$11*ISNUMBER(AA44)+Parameters!$I$12*ISNUMBER(AB44)+Parameters!$I$13*ISNUMBER(AC44)+Parameters!$I$14*ISNUMBER(AD44)+Parameters!$I$15*ISNUMBER(AE44)</f>
        <v>95</v>
      </c>
      <c r="AJ44" s="14">
        <f>IF((Parameters!$I$5+Parameters!$I$6+Parameters!$I$7+Parameters!$I$8+Parameters!$I$9+Parameters!$I$11+Parameters!$I$12+Parameters!$I$13+Parameters!$I$14+Parameters!$I$15)=0,"",AI44/(Parameters!$I$5+Parameters!$I$6+Parameters!$I$7+Parameters!$I$8+Parameters!$I$9+Parameters!$I$11+Parameters!$I$12+Parameters!$I$13+Parameters!$I$14+Parameters!$I$15))</f>
        <v>1</v>
      </c>
      <c r="AK44" s="15">
        <f>IF(AND(ISNUMBER(AF44),ISNUMBER(AH44),OR(NOT((Parameters!$I$9)&gt;0),ISNUMBER(AG44)),AJ44&gt;=Parameters!$B$20),100*(Parameters!$F$18*N(AF44)+Parameters!$F$19*N(AG44)+Parameters!$F$20*N(AH44))/(Parameters!$F$18*ISNUMBER(AF44)+Parameters!$F$19*ISNUMBER(AG44)+Parameters!$F$20*ISNUMBER(AH44)),"")</f>
        <v>80.340000000000018</v>
      </c>
      <c r="AL44" s="16">
        <f>IF(ISNUMBER(AK44),RANK(AK44,$AK$2:$AK$113),"")</f>
        <v>43</v>
      </c>
      <c r="AM44" s="14">
        <f>IF(((D44="Implemented/available")+(E44="Implemented/available")+(J44="Implemented/available")+(K44="Implemented/available")+(L44="Implemented/available")+(M44="Implemented/available"))=0,"",(AND(D44="Implemented/available",O44&lt;&gt;"")+AND(E44="Implemented/available",P44&lt;&gt;"")+AND(J44="Implemented/available",Q44&lt;&gt;"")+AND(K44="Implemented/available",R44&lt;&gt;"")+AND(L44="Implemented/available",S44&lt;&gt;"")+AND(M44="Implemented/available",T44&lt;&gt;""))/((D44="Implemented/available")+(E44="Implemented/available")+(J44="Implemented/available")+(K44="Implemented/available")+(L44="Implemented/available")+(M44="Implemented/available")))</f>
        <v>1</v>
      </c>
    </row>
    <row r="45" spans="1:39" x14ac:dyDescent="0.25">
      <c r="A45" s="6" t="s">
        <v>517</v>
      </c>
      <c r="B45" s="6" t="s">
        <v>518</v>
      </c>
      <c r="C45" s="6" t="s">
        <v>235</v>
      </c>
      <c r="D45" s="6" t="s">
        <v>29</v>
      </c>
      <c r="E45" s="6" t="s">
        <v>38</v>
      </c>
      <c r="F45" s="6" t="s">
        <v>29</v>
      </c>
      <c r="G45" s="6" t="s">
        <v>123</v>
      </c>
      <c r="H45" s="6"/>
      <c r="I45" s="6" t="s">
        <v>32</v>
      </c>
      <c r="J45" s="6" t="s">
        <v>41</v>
      </c>
      <c r="K45" s="6" t="s">
        <v>34</v>
      </c>
      <c r="L45" s="6" t="s">
        <v>41</v>
      </c>
      <c r="M45" s="6" t="s">
        <v>29</v>
      </c>
      <c r="N45" s="6"/>
      <c r="O45" s="6" t="s">
        <v>519</v>
      </c>
      <c r="P45" s="6"/>
      <c r="Q45" s="6" t="s">
        <v>520</v>
      </c>
      <c r="R45" s="6"/>
      <c r="S45" s="6"/>
      <c r="T45" s="6" t="s">
        <v>521</v>
      </c>
      <c r="U45" s="6" t="s">
        <v>519</v>
      </c>
      <c r="V45" s="12">
        <f>IFERROR(IF(ISNUMBER(INDEX(Parameters!$B$5:$B$14,MATCH(D45,Parameters!$A$5:$A$14,0))),INDEX(Parameters!$B$5:$B$14,MATCH(D45,Parameters!$A$5:$A$14,0)),""),"")</f>
        <v>1</v>
      </c>
      <c r="W45" s="12">
        <f>IFERROR(IF(ISNUMBER(INDEX(Parameters!$B$5:$B$14,MATCH(E45,Parameters!$A$5:$A$14,0))),INDEX(Parameters!$B$5:$B$14,MATCH(E45,Parameters!$A$5:$A$14,0)),""),"")</f>
        <v>0.67</v>
      </c>
      <c r="X45" s="12">
        <f>IFERROR(IF(ISNUMBER(INDEX(Parameters!$B$5:$B$14,MATCH(F45,Parameters!$A$5:$A$14,0))),INDEX(Parameters!$B$5:$B$14,MATCH(F45,Parameters!$A$5:$A$14,0)),""),"")</f>
        <v>1</v>
      </c>
      <c r="Y45" s="12">
        <f>IF(G45&lt;&gt;"",1,IF(ISNUMBER(Parameters!$B$18),Parameters!$B$18,""))</f>
        <v>1</v>
      </c>
      <c r="Z45" s="12">
        <f>IF(I45&lt;&gt;"",IFERROR(IF(ISNUMBER(INDEX(Parameters!$B$5:$B$14,MATCH(I45,Parameters!$A$5:$A$14,0))),INDEX(Parameters!$B$5:$B$14,MATCH(I45,Parameters!$A$5:$A$14,0)),""),""),IF(ISNUMBER(Parameters!$B$21),Parameters!$B$21,""))</f>
        <v>1</v>
      </c>
      <c r="AA45" s="12">
        <f>IFERROR(IF(ISNUMBER(INDEX(Parameters!$B$5:$B$14,MATCH(J45,Parameters!$A$5:$A$14,0))),INDEX(Parameters!$B$5:$B$14,MATCH(J45,Parameters!$A$5:$A$14,0)),""),"")</f>
        <v>0.33</v>
      </c>
      <c r="AB45" s="12">
        <f>IFERROR(IF(ISNUMBER(INDEX(Parameters!$B$5:$B$14,MATCH(K45,Parameters!$A$5:$A$14,0))),INDEX(Parameters!$B$5:$B$14,MATCH(K45,Parameters!$A$5:$A$14,0)),""),"")</f>
        <v>1</v>
      </c>
      <c r="AC45" s="12">
        <f>IFERROR(IF(ISNUMBER(INDEX(Parameters!$B$5:$B$14,MATCH(L45,Parameters!$A$5:$A$14,0))),INDEX(Parameters!$B$5:$B$14,MATCH(L45,Parameters!$A$5:$A$14,0)),""),"")</f>
        <v>0.33</v>
      </c>
      <c r="AD45" s="12">
        <f>IFERROR(IF(ISNUMBER(INDEX(Parameters!$B$5:$B$14,MATCH(M45,Parameters!$A$5:$A$14,0))),INDEX(Parameters!$B$5:$B$14,MATCH(M45,Parameters!$A$5:$A$14,0)),""),"")</f>
        <v>1</v>
      </c>
      <c r="AE45" s="12">
        <f>IF(N45&lt;&gt;"",1,IF(ISNUMBER(Parameters!$B$19),Parameters!$B$19,""))</f>
        <v>0</v>
      </c>
      <c r="AF45" s="12">
        <f>IF((Parameters!$I$5*ISNUMBER(V45)+Parameters!$I$6*ISNUMBER(W45)+Parameters!$I$7*ISNUMBER(X45)+Parameters!$I$8*ISNUMBER(Y45))=0,"",(Parameters!$I$5*N(V45)+Parameters!$I$6*N(W45)+Parameters!$I$7*N(X45)+Parameters!$I$8*N(Y45))/(Parameters!$I$5*ISNUMBER(V45)+Parameters!$I$6*ISNUMBER(W45)+Parameters!$I$7*ISNUMBER(X45)+Parameters!$I$8*ISNUMBER(Y45)))</f>
        <v>0.90100000000000002</v>
      </c>
      <c r="AG45" s="12">
        <f>IF((Parameters!$I$9*ISNUMBER(Z45))=0,"",(Parameters!$I$9*N(Z45))/(Parameters!$I$9*ISNUMBER(Z45)))</f>
        <v>1</v>
      </c>
      <c r="AH45" s="12">
        <f>IF((Parameters!$I$11*ISNUMBER(AA45)+Parameters!$I$12*ISNUMBER(AB45)+Parameters!$I$13*ISNUMBER(AC45)+Parameters!$I$14*ISNUMBER(AD45)+Parameters!$I$15*ISNUMBER(AE45))=0,"",(Parameters!$I$11*N(AA45)+Parameters!$I$12*N(AB45)+Parameters!$I$13*N(AC45)+Parameters!$I$14*N(AD45)+Parameters!$I$15*N(AE45))/(Parameters!$I$11*ISNUMBER(AA45)+Parameters!$I$12*ISNUMBER(AB45)+Parameters!$I$13*ISNUMBER(AC45)+Parameters!$I$14*ISNUMBER(AD45)+Parameters!$I$15*ISNUMBER(AE45)))</f>
        <v>0.53200000000000003</v>
      </c>
      <c r="AI45" s="13">
        <f>Parameters!$I$5*ISNUMBER(V45)+Parameters!$I$6*ISNUMBER(W45)+Parameters!$I$7*ISNUMBER(X45)+Parameters!$I$8*ISNUMBER(Y45)+Parameters!$I$9*ISNUMBER(Z45)+Parameters!$I$11*ISNUMBER(AA45)+Parameters!$I$12*ISNUMBER(AB45)+Parameters!$I$13*ISNUMBER(AC45)+Parameters!$I$14*ISNUMBER(AD45)+Parameters!$I$15*ISNUMBER(AE45)</f>
        <v>95</v>
      </c>
      <c r="AJ45" s="14">
        <f>IF((Parameters!$I$5+Parameters!$I$6+Parameters!$I$7+Parameters!$I$8+Parameters!$I$9+Parameters!$I$11+Parameters!$I$12+Parameters!$I$13+Parameters!$I$14+Parameters!$I$15)=0,"",AI45/(Parameters!$I$5+Parameters!$I$6+Parameters!$I$7+Parameters!$I$8+Parameters!$I$9+Parameters!$I$11+Parameters!$I$12+Parameters!$I$13+Parameters!$I$14+Parameters!$I$15))</f>
        <v>1</v>
      </c>
      <c r="AK45" s="15">
        <f>IF(AND(ISNUMBER(AF45),ISNUMBER(AH45),OR(NOT((Parameters!$I$9)&gt;0),ISNUMBER(AG45)),AJ45&gt;=Parameters!$B$20),100*(Parameters!$F$18*N(AF45)+Parameters!$F$19*N(AG45)+Parameters!$F$20*N(AH45))/(Parameters!$F$18*ISNUMBER(AF45)+Parameters!$F$19*ISNUMBER(AG45)+Parameters!$F$20*ISNUMBER(AH45)),"")</f>
        <v>79.660000000000011</v>
      </c>
      <c r="AL45" s="16">
        <f>IF(ISNUMBER(AK45),RANK(AK45,$AK$2:$AK$113),"")</f>
        <v>44</v>
      </c>
      <c r="AM45" s="14">
        <f>IF(((D45="Implemented/available")+(E45="Implemented/available")+(J45="Implemented/available")+(K45="Implemented/available")+(L45="Implemented/available")+(M45="Implemented/available"))=0,"",(AND(D45="Implemented/available",O45&lt;&gt;"")+AND(E45="Implemented/available",P45&lt;&gt;"")+AND(J45="Implemented/available",Q45&lt;&gt;"")+AND(K45="Implemented/available",R45&lt;&gt;"")+AND(L45="Implemented/available",S45&lt;&gt;"")+AND(M45="Implemented/available",T45&lt;&gt;""))/((D45="Implemented/available")+(E45="Implemented/available")+(J45="Implemented/available")+(K45="Implemented/available")+(L45="Implemented/available")+(M45="Implemented/available")))</f>
        <v>1</v>
      </c>
    </row>
    <row r="46" spans="1:39" x14ac:dyDescent="0.25">
      <c r="A46" s="6" t="s">
        <v>577</v>
      </c>
      <c r="B46" s="6" t="s">
        <v>578</v>
      </c>
      <c r="C46" s="6" t="s">
        <v>579</v>
      </c>
      <c r="D46" s="6" t="s">
        <v>29</v>
      </c>
      <c r="E46" s="6" t="s">
        <v>38</v>
      </c>
      <c r="F46" s="6" t="s">
        <v>29</v>
      </c>
      <c r="G46" s="6" t="s">
        <v>184</v>
      </c>
      <c r="H46" s="6"/>
      <c r="I46" s="6" t="s">
        <v>32</v>
      </c>
      <c r="J46" s="6" t="s">
        <v>41</v>
      </c>
      <c r="K46" s="6" t="s">
        <v>41</v>
      </c>
      <c r="L46" s="6" t="s">
        <v>29</v>
      </c>
      <c r="M46" s="6" t="s">
        <v>29</v>
      </c>
      <c r="N46" s="6"/>
      <c r="O46" s="6" t="s">
        <v>580</v>
      </c>
      <c r="P46" s="6"/>
      <c r="Q46" s="6"/>
      <c r="R46" s="6"/>
      <c r="S46" s="6" t="s">
        <v>581</v>
      </c>
      <c r="T46" s="6" t="s">
        <v>582</v>
      </c>
      <c r="U46" s="6" t="s">
        <v>583</v>
      </c>
      <c r="V46" s="12">
        <f>IFERROR(IF(ISNUMBER(INDEX(Parameters!$B$5:$B$14,MATCH(D46,Parameters!$A$5:$A$14,0))),INDEX(Parameters!$B$5:$B$14,MATCH(D46,Parameters!$A$5:$A$14,0)),""),"")</f>
        <v>1</v>
      </c>
      <c r="W46" s="12">
        <f>IFERROR(IF(ISNUMBER(INDEX(Parameters!$B$5:$B$14,MATCH(E46,Parameters!$A$5:$A$14,0))),INDEX(Parameters!$B$5:$B$14,MATCH(E46,Parameters!$A$5:$A$14,0)),""),"")</f>
        <v>0.67</v>
      </c>
      <c r="X46" s="12">
        <f>IFERROR(IF(ISNUMBER(INDEX(Parameters!$B$5:$B$14,MATCH(F46,Parameters!$A$5:$A$14,0))),INDEX(Parameters!$B$5:$B$14,MATCH(F46,Parameters!$A$5:$A$14,0)),""),"")</f>
        <v>1</v>
      </c>
      <c r="Y46" s="12">
        <f>IF(G46&lt;&gt;"",1,IF(ISNUMBER(Parameters!$B$18),Parameters!$B$18,""))</f>
        <v>1</v>
      </c>
      <c r="Z46" s="12">
        <f>IF(I46&lt;&gt;"",IFERROR(IF(ISNUMBER(INDEX(Parameters!$B$5:$B$14,MATCH(I46,Parameters!$A$5:$A$14,0))),INDEX(Parameters!$B$5:$B$14,MATCH(I46,Parameters!$A$5:$A$14,0)),""),""),IF(ISNUMBER(Parameters!$B$21),Parameters!$B$21,""))</f>
        <v>1</v>
      </c>
      <c r="AA46" s="12">
        <f>IFERROR(IF(ISNUMBER(INDEX(Parameters!$B$5:$B$14,MATCH(J46,Parameters!$A$5:$A$14,0))),INDEX(Parameters!$B$5:$B$14,MATCH(J46,Parameters!$A$5:$A$14,0)),""),"")</f>
        <v>0.33</v>
      </c>
      <c r="AB46" s="12">
        <f>IFERROR(IF(ISNUMBER(INDEX(Parameters!$B$5:$B$14,MATCH(K46,Parameters!$A$5:$A$14,0))),INDEX(Parameters!$B$5:$B$14,MATCH(K46,Parameters!$A$5:$A$14,0)),""),"")</f>
        <v>0.33</v>
      </c>
      <c r="AC46" s="12">
        <f>IFERROR(IF(ISNUMBER(INDEX(Parameters!$B$5:$B$14,MATCH(L46,Parameters!$A$5:$A$14,0))),INDEX(Parameters!$B$5:$B$14,MATCH(L46,Parameters!$A$5:$A$14,0)),""),"")</f>
        <v>1</v>
      </c>
      <c r="AD46" s="12">
        <f>IFERROR(IF(ISNUMBER(INDEX(Parameters!$B$5:$B$14,MATCH(M46,Parameters!$A$5:$A$14,0))),INDEX(Parameters!$B$5:$B$14,MATCH(M46,Parameters!$A$5:$A$14,0)),""),"")</f>
        <v>1</v>
      </c>
      <c r="AE46" s="12">
        <f>IF(N46&lt;&gt;"",1,IF(ISNUMBER(Parameters!$B$19),Parameters!$B$19,""))</f>
        <v>0</v>
      </c>
      <c r="AF46" s="12">
        <f>IF((Parameters!$I$5*ISNUMBER(V46)+Parameters!$I$6*ISNUMBER(W46)+Parameters!$I$7*ISNUMBER(X46)+Parameters!$I$8*ISNUMBER(Y46))=0,"",(Parameters!$I$5*N(V46)+Parameters!$I$6*N(W46)+Parameters!$I$7*N(X46)+Parameters!$I$8*N(Y46))/(Parameters!$I$5*ISNUMBER(V46)+Parameters!$I$6*ISNUMBER(W46)+Parameters!$I$7*ISNUMBER(X46)+Parameters!$I$8*ISNUMBER(Y46)))</f>
        <v>0.90100000000000002</v>
      </c>
      <c r="AG46" s="12">
        <f>IF((Parameters!$I$9*ISNUMBER(Z46))=0,"",(Parameters!$I$9*N(Z46))/(Parameters!$I$9*ISNUMBER(Z46)))</f>
        <v>1</v>
      </c>
      <c r="AH46" s="12">
        <f>IF((Parameters!$I$11*ISNUMBER(AA46)+Parameters!$I$12*ISNUMBER(AB46)+Parameters!$I$13*ISNUMBER(AC46)+Parameters!$I$14*ISNUMBER(AD46)+Parameters!$I$15*ISNUMBER(AE46))=0,"",(Parameters!$I$11*N(AA46)+Parameters!$I$12*N(AB46)+Parameters!$I$13*N(AC46)+Parameters!$I$14*N(AD46)+Parameters!$I$15*N(AE46))/(Parameters!$I$11*ISNUMBER(AA46)+Parameters!$I$12*ISNUMBER(AB46)+Parameters!$I$13*ISNUMBER(AC46)+Parameters!$I$14*ISNUMBER(AD46)+Parameters!$I$15*ISNUMBER(AE46)))</f>
        <v>0.53200000000000003</v>
      </c>
      <c r="AI46" s="13">
        <f>Parameters!$I$5*ISNUMBER(V46)+Parameters!$I$6*ISNUMBER(W46)+Parameters!$I$7*ISNUMBER(X46)+Parameters!$I$8*ISNUMBER(Y46)+Parameters!$I$9*ISNUMBER(Z46)+Parameters!$I$11*ISNUMBER(AA46)+Parameters!$I$12*ISNUMBER(AB46)+Parameters!$I$13*ISNUMBER(AC46)+Parameters!$I$14*ISNUMBER(AD46)+Parameters!$I$15*ISNUMBER(AE46)</f>
        <v>95</v>
      </c>
      <c r="AJ46" s="14">
        <f>IF((Parameters!$I$5+Parameters!$I$6+Parameters!$I$7+Parameters!$I$8+Parameters!$I$9+Parameters!$I$11+Parameters!$I$12+Parameters!$I$13+Parameters!$I$14+Parameters!$I$15)=0,"",AI46/(Parameters!$I$5+Parameters!$I$6+Parameters!$I$7+Parameters!$I$8+Parameters!$I$9+Parameters!$I$11+Parameters!$I$12+Parameters!$I$13+Parameters!$I$14+Parameters!$I$15))</f>
        <v>1</v>
      </c>
      <c r="AK46" s="15">
        <f>IF(AND(ISNUMBER(AF46),ISNUMBER(AH46),OR(NOT((Parameters!$I$9)&gt;0),ISNUMBER(AG46)),AJ46&gt;=Parameters!$B$20),100*(Parameters!$F$18*N(AF46)+Parameters!$F$19*N(AG46)+Parameters!$F$20*N(AH46))/(Parameters!$F$18*ISNUMBER(AF46)+Parameters!$F$19*ISNUMBER(AG46)+Parameters!$F$20*ISNUMBER(AH46)),"")</f>
        <v>79.660000000000011</v>
      </c>
      <c r="AL46" s="16">
        <f>IF(ISNUMBER(AK46),RANK(AK46,$AK$2:$AK$113),"")</f>
        <v>44</v>
      </c>
      <c r="AM46" s="14">
        <f>IF(((D46="Implemented/available")+(E46="Implemented/available")+(J46="Implemented/available")+(K46="Implemented/available")+(L46="Implemented/available")+(M46="Implemented/available"))=0,"",(AND(D46="Implemented/available",O46&lt;&gt;"")+AND(E46="Implemented/available",P46&lt;&gt;"")+AND(J46="Implemented/available",Q46&lt;&gt;"")+AND(K46="Implemented/available",R46&lt;&gt;"")+AND(L46="Implemented/available",S46&lt;&gt;"")+AND(M46="Implemented/available",T46&lt;&gt;""))/((D46="Implemented/available")+(E46="Implemented/available")+(J46="Implemented/available")+(K46="Implemented/available")+(L46="Implemented/available")+(M46="Implemented/available")))</f>
        <v>1</v>
      </c>
    </row>
    <row r="47" spans="1:39" x14ac:dyDescent="0.25">
      <c r="A47" s="6" t="s">
        <v>182</v>
      </c>
      <c r="B47" s="6" t="s">
        <v>183</v>
      </c>
      <c r="C47" s="6" t="s">
        <v>144</v>
      </c>
      <c r="D47" s="6" t="s">
        <v>29</v>
      </c>
      <c r="E47" s="6" t="s">
        <v>29</v>
      </c>
      <c r="F47" s="6" t="s">
        <v>29</v>
      </c>
      <c r="G47" s="6" t="s">
        <v>117</v>
      </c>
      <c r="H47" s="6" t="s">
        <v>184</v>
      </c>
      <c r="I47" s="6" t="s">
        <v>32</v>
      </c>
      <c r="J47" s="6" t="s">
        <v>38</v>
      </c>
      <c r="K47" s="6" t="s">
        <v>34</v>
      </c>
      <c r="L47" s="6" t="s">
        <v>41</v>
      </c>
      <c r="M47" s="6" t="s">
        <v>44</v>
      </c>
      <c r="N47" s="6"/>
      <c r="O47" s="6" t="s">
        <v>185</v>
      </c>
      <c r="P47" s="6" t="s">
        <v>186</v>
      </c>
      <c r="Q47" s="6"/>
      <c r="R47" s="6"/>
      <c r="S47" s="6"/>
      <c r="T47" s="6"/>
      <c r="U47" s="6" t="s">
        <v>185</v>
      </c>
      <c r="V47" s="12">
        <f>IFERROR(IF(ISNUMBER(INDEX(Parameters!$B$5:$B$14,MATCH(D47,Parameters!$A$5:$A$14,0))),INDEX(Parameters!$B$5:$B$14,MATCH(D47,Parameters!$A$5:$A$14,0)),""),"")</f>
        <v>1</v>
      </c>
      <c r="W47" s="12">
        <f>IFERROR(IF(ISNUMBER(INDEX(Parameters!$B$5:$B$14,MATCH(E47,Parameters!$A$5:$A$14,0))),INDEX(Parameters!$B$5:$B$14,MATCH(E47,Parameters!$A$5:$A$14,0)),""),"")</f>
        <v>1</v>
      </c>
      <c r="X47" s="12">
        <f>IFERROR(IF(ISNUMBER(INDEX(Parameters!$B$5:$B$14,MATCH(F47,Parameters!$A$5:$A$14,0))),INDEX(Parameters!$B$5:$B$14,MATCH(F47,Parameters!$A$5:$A$14,0)),""),"")</f>
        <v>1</v>
      </c>
      <c r="Y47" s="12">
        <f>IF(G47&lt;&gt;"",1,IF(ISNUMBER(Parameters!$B$18),Parameters!$B$18,""))</f>
        <v>1</v>
      </c>
      <c r="Z47" s="12">
        <f>IF(I47&lt;&gt;"",IFERROR(IF(ISNUMBER(INDEX(Parameters!$B$5:$B$14,MATCH(I47,Parameters!$A$5:$A$14,0))),INDEX(Parameters!$B$5:$B$14,MATCH(I47,Parameters!$A$5:$A$14,0)),""),""),IF(ISNUMBER(Parameters!$B$21),Parameters!$B$21,""))</f>
        <v>1</v>
      </c>
      <c r="AA47" s="12">
        <f>IFERROR(IF(ISNUMBER(INDEX(Parameters!$B$5:$B$14,MATCH(J47,Parameters!$A$5:$A$14,0))),INDEX(Parameters!$B$5:$B$14,MATCH(J47,Parameters!$A$5:$A$14,0)),""),"")</f>
        <v>0.67</v>
      </c>
      <c r="AB47" s="12">
        <f>IFERROR(IF(ISNUMBER(INDEX(Parameters!$B$5:$B$14,MATCH(K47,Parameters!$A$5:$A$14,0))),INDEX(Parameters!$B$5:$B$14,MATCH(K47,Parameters!$A$5:$A$14,0)),""),"")</f>
        <v>1</v>
      </c>
      <c r="AC47" s="12">
        <f>IFERROR(IF(ISNUMBER(INDEX(Parameters!$B$5:$B$14,MATCH(L47,Parameters!$A$5:$A$14,0))),INDEX(Parameters!$B$5:$B$14,MATCH(L47,Parameters!$A$5:$A$14,0)),""),"")</f>
        <v>0.33</v>
      </c>
      <c r="AD47" s="12">
        <f>IFERROR(IF(ISNUMBER(INDEX(Parameters!$B$5:$B$14,MATCH(M47,Parameters!$A$5:$A$14,0))),INDEX(Parameters!$B$5:$B$14,MATCH(M47,Parameters!$A$5:$A$14,0)),""),"")</f>
        <v>0</v>
      </c>
      <c r="AE47" s="12">
        <f>IF(N47&lt;&gt;"",1,IF(ISNUMBER(Parameters!$B$19),Parameters!$B$19,""))</f>
        <v>0</v>
      </c>
      <c r="AF47" s="12">
        <f>IF((Parameters!$I$5*ISNUMBER(V47)+Parameters!$I$6*ISNUMBER(W47)+Parameters!$I$7*ISNUMBER(X47)+Parameters!$I$8*ISNUMBER(Y47))=0,"",(Parameters!$I$5*N(V47)+Parameters!$I$6*N(W47)+Parameters!$I$7*N(X47)+Parameters!$I$8*N(Y47))/(Parameters!$I$5*ISNUMBER(V47)+Parameters!$I$6*ISNUMBER(W47)+Parameters!$I$7*ISNUMBER(X47)+Parameters!$I$8*ISNUMBER(Y47)))</f>
        <v>1</v>
      </c>
      <c r="AG47" s="12">
        <f>IF((Parameters!$I$9*ISNUMBER(Z47))=0,"",(Parameters!$I$9*N(Z47))/(Parameters!$I$9*ISNUMBER(Z47)))</f>
        <v>1</v>
      </c>
      <c r="AH47" s="12">
        <f>IF((Parameters!$I$11*ISNUMBER(AA47)+Parameters!$I$12*ISNUMBER(AB47)+Parameters!$I$13*ISNUMBER(AC47)+Parameters!$I$14*ISNUMBER(AD47)+Parameters!$I$15*ISNUMBER(AE47))=0,"",(Parameters!$I$11*N(AA47)+Parameters!$I$12*N(AB47)+Parameters!$I$13*N(AC47)+Parameters!$I$14*N(AD47)+Parameters!$I$15*N(AE47))/(Parameters!$I$11*ISNUMBER(AA47)+Parameters!$I$12*ISNUMBER(AB47)+Parameters!$I$13*ISNUMBER(AC47)+Parameters!$I$14*ISNUMBER(AD47)+Parameters!$I$15*ISNUMBER(AE47)))</f>
        <v>0.40000000000000008</v>
      </c>
      <c r="AI47" s="13">
        <f>Parameters!$I$5*ISNUMBER(V47)+Parameters!$I$6*ISNUMBER(W47)+Parameters!$I$7*ISNUMBER(X47)+Parameters!$I$8*ISNUMBER(Y47)+Parameters!$I$9*ISNUMBER(Z47)+Parameters!$I$11*ISNUMBER(AA47)+Parameters!$I$12*ISNUMBER(AB47)+Parameters!$I$13*ISNUMBER(AC47)+Parameters!$I$14*ISNUMBER(AD47)+Parameters!$I$15*ISNUMBER(AE47)</f>
        <v>95</v>
      </c>
      <c r="AJ47" s="14">
        <f>IF((Parameters!$I$5+Parameters!$I$6+Parameters!$I$7+Parameters!$I$8+Parameters!$I$9+Parameters!$I$11+Parameters!$I$12+Parameters!$I$13+Parameters!$I$14+Parameters!$I$15)=0,"",AI47/(Parameters!$I$5+Parameters!$I$6+Parameters!$I$7+Parameters!$I$8+Parameters!$I$9+Parameters!$I$11+Parameters!$I$12+Parameters!$I$13+Parameters!$I$14+Parameters!$I$15))</f>
        <v>1</v>
      </c>
      <c r="AK47" s="15">
        <f>IF(AND(ISNUMBER(AF47),ISNUMBER(AH47),OR(NOT((Parameters!$I$9)&gt;0),ISNUMBER(AG47)),AJ47&gt;=Parameters!$B$20),100*(Parameters!$F$18*N(AF47)+Parameters!$F$19*N(AG47)+Parameters!$F$20*N(AH47))/(Parameters!$F$18*ISNUMBER(AF47)+Parameters!$F$19*ISNUMBER(AG47)+Parameters!$F$20*ISNUMBER(AH47)),"")</f>
        <v>79</v>
      </c>
      <c r="AL47" s="16">
        <f>IF(ISNUMBER(AK47),RANK(AK47,$AK$2:$AK$113),"")</f>
        <v>46</v>
      </c>
      <c r="AM47" s="14">
        <f>IF(((D47="Implemented/available")+(E47="Implemented/available")+(J47="Implemented/available")+(K47="Implemented/available")+(L47="Implemented/available")+(M47="Implemented/available"))=0,"",(AND(D47="Implemented/available",O47&lt;&gt;"")+AND(E47="Implemented/available",P47&lt;&gt;"")+AND(J47="Implemented/available",Q47&lt;&gt;"")+AND(K47="Implemented/available",R47&lt;&gt;"")+AND(L47="Implemented/available",S47&lt;&gt;"")+AND(M47="Implemented/available",T47&lt;&gt;""))/((D47="Implemented/available")+(E47="Implemented/available")+(J47="Implemented/available")+(K47="Implemented/available")+(L47="Implemented/available")+(M47="Implemented/available")))</f>
        <v>1</v>
      </c>
    </row>
    <row r="48" spans="1:39" x14ac:dyDescent="0.25">
      <c r="A48" s="6" t="s">
        <v>384</v>
      </c>
      <c r="B48" s="6" t="s">
        <v>385</v>
      </c>
      <c r="C48" s="6" t="s">
        <v>386</v>
      </c>
      <c r="D48" s="6" t="s">
        <v>29</v>
      </c>
      <c r="E48" s="6" t="s">
        <v>29</v>
      </c>
      <c r="F48" s="6" t="s">
        <v>29</v>
      </c>
      <c r="G48" s="6" t="s">
        <v>117</v>
      </c>
      <c r="H48" s="6" t="s">
        <v>76</v>
      </c>
      <c r="I48" s="6" t="s">
        <v>32</v>
      </c>
      <c r="J48" s="6" t="s">
        <v>44</v>
      </c>
      <c r="K48" s="6" t="s">
        <v>34</v>
      </c>
      <c r="L48" s="6" t="s">
        <v>44</v>
      </c>
      <c r="M48" s="6" t="s">
        <v>44</v>
      </c>
      <c r="N48" s="6" t="s">
        <v>387</v>
      </c>
      <c r="O48" s="6" t="s">
        <v>388</v>
      </c>
      <c r="P48" s="6" t="s">
        <v>389</v>
      </c>
      <c r="Q48" s="6"/>
      <c r="R48" s="6"/>
      <c r="S48" s="6"/>
      <c r="T48" s="6"/>
      <c r="U48" s="6" t="s">
        <v>390</v>
      </c>
      <c r="V48" s="12">
        <f>IFERROR(IF(ISNUMBER(INDEX(Parameters!$B$5:$B$14,MATCH(D48,Parameters!$A$5:$A$14,0))),INDEX(Parameters!$B$5:$B$14,MATCH(D48,Parameters!$A$5:$A$14,0)),""),"")</f>
        <v>1</v>
      </c>
      <c r="W48" s="12">
        <f>IFERROR(IF(ISNUMBER(INDEX(Parameters!$B$5:$B$14,MATCH(E48,Parameters!$A$5:$A$14,0))),INDEX(Parameters!$B$5:$B$14,MATCH(E48,Parameters!$A$5:$A$14,0)),""),"")</f>
        <v>1</v>
      </c>
      <c r="X48" s="12">
        <f>IFERROR(IF(ISNUMBER(INDEX(Parameters!$B$5:$B$14,MATCH(F48,Parameters!$A$5:$A$14,0))),INDEX(Parameters!$B$5:$B$14,MATCH(F48,Parameters!$A$5:$A$14,0)),""),"")</f>
        <v>1</v>
      </c>
      <c r="Y48" s="12">
        <f>IF(G48&lt;&gt;"",1,IF(ISNUMBER(Parameters!$B$18),Parameters!$B$18,""))</f>
        <v>1</v>
      </c>
      <c r="Z48" s="12">
        <f>IF(I48&lt;&gt;"",IFERROR(IF(ISNUMBER(INDEX(Parameters!$B$5:$B$14,MATCH(I48,Parameters!$A$5:$A$14,0))),INDEX(Parameters!$B$5:$B$14,MATCH(I48,Parameters!$A$5:$A$14,0)),""),""),IF(ISNUMBER(Parameters!$B$21),Parameters!$B$21,""))</f>
        <v>1</v>
      </c>
      <c r="AA48" s="12">
        <f>IFERROR(IF(ISNUMBER(INDEX(Parameters!$B$5:$B$14,MATCH(J48,Parameters!$A$5:$A$14,0))),INDEX(Parameters!$B$5:$B$14,MATCH(J48,Parameters!$A$5:$A$14,0)),""),"")</f>
        <v>0</v>
      </c>
      <c r="AB48" s="12">
        <f>IFERROR(IF(ISNUMBER(INDEX(Parameters!$B$5:$B$14,MATCH(K48,Parameters!$A$5:$A$14,0))),INDEX(Parameters!$B$5:$B$14,MATCH(K48,Parameters!$A$5:$A$14,0)),""),"")</f>
        <v>1</v>
      </c>
      <c r="AC48" s="12">
        <f>IFERROR(IF(ISNUMBER(INDEX(Parameters!$B$5:$B$14,MATCH(L48,Parameters!$A$5:$A$14,0))),INDEX(Parameters!$B$5:$B$14,MATCH(L48,Parameters!$A$5:$A$14,0)),""),"")</f>
        <v>0</v>
      </c>
      <c r="AD48" s="12">
        <f>IFERROR(IF(ISNUMBER(INDEX(Parameters!$B$5:$B$14,MATCH(M48,Parameters!$A$5:$A$14,0))),INDEX(Parameters!$B$5:$B$14,MATCH(M48,Parameters!$A$5:$A$14,0)),""),"")</f>
        <v>0</v>
      </c>
      <c r="AE48" s="12">
        <f>IF(N48&lt;&gt;"",1,IF(ISNUMBER(Parameters!$B$19),Parameters!$B$19,""))</f>
        <v>1</v>
      </c>
      <c r="AF48" s="12">
        <f>IF((Parameters!$I$5*ISNUMBER(V48)+Parameters!$I$6*ISNUMBER(W48)+Parameters!$I$7*ISNUMBER(X48)+Parameters!$I$8*ISNUMBER(Y48))=0,"",(Parameters!$I$5*N(V48)+Parameters!$I$6*N(W48)+Parameters!$I$7*N(X48)+Parameters!$I$8*N(Y48))/(Parameters!$I$5*ISNUMBER(V48)+Parameters!$I$6*ISNUMBER(W48)+Parameters!$I$7*ISNUMBER(X48)+Parameters!$I$8*ISNUMBER(Y48)))</f>
        <v>1</v>
      </c>
      <c r="AG48" s="12">
        <f>IF((Parameters!$I$9*ISNUMBER(Z48))=0,"",(Parameters!$I$9*N(Z48))/(Parameters!$I$9*ISNUMBER(Z48)))</f>
        <v>1</v>
      </c>
      <c r="AH48" s="12">
        <f>IF((Parameters!$I$11*ISNUMBER(AA48)+Parameters!$I$12*ISNUMBER(AB48)+Parameters!$I$13*ISNUMBER(AC48)+Parameters!$I$14*ISNUMBER(AD48)+Parameters!$I$15*ISNUMBER(AE48))=0,"",(Parameters!$I$11*N(AA48)+Parameters!$I$12*N(AB48)+Parameters!$I$13*N(AC48)+Parameters!$I$14*N(AD48)+Parameters!$I$15*N(AE48))/(Parameters!$I$11*ISNUMBER(AA48)+Parameters!$I$12*ISNUMBER(AB48)+Parameters!$I$13*ISNUMBER(AC48)+Parameters!$I$14*ISNUMBER(AD48)+Parameters!$I$15*ISNUMBER(AE48)))</f>
        <v>0.4</v>
      </c>
      <c r="AI48" s="13">
        <f>Parameters!$I$5*ISNUMBER(V48)+Parameters!$I$6*ISNUMBER(W48)+Parameters!$I$7*ISNUMBER(X48)+Parameters!$I$8*ISNUMBER(Y48)+Parameters!$I$9*ISNUMBER(Z48)+Parameters!$I$11*ISNUMBER(AA48)+Parameters!$I$12*ISNUMBER(AB48)+Parameters!$I$13*ISNUMBER(AC48)+Parameters!$I$14*ISNUMBER(AD48)+Parameters!$I$15*ISNUMBER(AE48)</f>
        <v>95</v>
      </c>
      <c r="AJ48" s="14">
        <f>IF((Parameters!$I$5+Parameters!$I$6+Parameters!$I$7+Parameters!$I$8+Parameters!$I$9+Parameters!$I$11+Parameters!$I$12+Parameters!$I$13+Parameters!$I$14+Parameters!$I$15)=0,"",AI48/(Parameters!$I$5+Parameters!$I$6+Parameters!$I$7+Parameters!$I$8+Parameters!$I$9+Parameters!$I$11+Parameters!$I$12+Parameters!$I$13+Parameters!$I$14+Parameters!$I$15))</f>
        <v>1</v>
      </c>
      <c r="AK48" s="15">
        <f>IF(AND(ISNUMBER(AF48),ISNUMBER(AH48),OR(NOT((Parameters!$I$9)&gt;0),ISNUMBER(AG48)),AJ48&gt;=Parameters!$B$20),100*(Parameters!$F$18*N(AF48)+Parameters!$F$19*N(AG48)+Parameters!$F$20*N(AH48))/(Parameters!$F$18*ISNUMBER(AF48)+Parameters!$F$19*ISNUMBER(AG48)+Parameters!$F$20*ISNUMBER(AH48)),"")</f>
        <v>79</v>
      </c>
      <c r="AL48" s="16">
        <f>IF(ISNUMBER(AK48),RANK(AK48,$AK$2:$AK$113),"")</f>
        <v>46</v>
      </c>
      <c r="AM48" s="14">
        <f>IF(((D48="Implemented/available")+(E48="Implemented/available")+(J48="Implemented/available")+(K48="Implemented/available")+(L48="Implemented/available")+(M48="Implemented/available"))=0,"",(AND(D48="Implemented/available",O48&lt;&gt;"")+AND(E48="Implemented/available",P48&lt;&gt;"")+AND(J48="Implemented/available",Q48&lt;&gt;"")+AND(K48="Implemented/available",R48&lt;&gt;"")+AND(L48="Implemented/available",S48&lt;&gt;"")+AND(M48="Implemented/available",T48&lt;&gt;""))/((D48="Implemented/available")+(E48="Implemented/available")+(J48="Implemented/available")+(K48="Implemented/available")+(L48="Implemented/available")+(M48="Implemented/available")))</f>
        <v>1</v>
      </c>
    </row>
    <row r="49" spans="1:39" x14ac:dyDescent="0.25">
      <c r="A49" s="6" t="s">
        <v>681</v>
      </c>
      <c r="B49" s="6" t="s">
        <v>487</v>
      </c>
      <c r="C49" s="6" t="s">
        <v>597</v>
      </c>
      <c r="D49" s="6" t="s">
        <v>29</v>
      </c>
      <c r="E49" s="6" t="s">
        <v>38</v>
      </c>
      <c r="F49" s="6" t="s">
        <v>29</v>
      </c>
      <c r="G49" s="6" t="s">
        <v>117</v>
      </c>
      <c r="H49" s="6" t="s">
        <v>76</v>
      </c>
      <c r="I49" s="6" t="s">
        <v>60</v>
      </c>
      <c r="J49" s="6" t="s">
        <v>29</v>
      </c>
      <c r="K49" s="6" t="s">
        <v>29</v>
      </c>
      <c r="L49" s="6" t="s">
        <v>29</v>
      </c>
      <c r="M49" s="6" t="s">
        <v>29</v>
      </c>
      <c r="N49" s="6"/>
      <c r="O49" s="6" t="s">
        <v>650</v>
      </c>
      <c r="P49" s="6"/>
      <c r="Q49" s="6" t="s">
        <v>682</v>
      </c>
      <c r="R49" s="6" t="s">
        <v>683</v>
      </c>
      <c r="S49" s="6" t="s">
        <v>651</v>
      </c>
      <c r="T49" s="6" t="s">
        <v>684</v>
      </c>
      <c r="U49" s="6" t="s">
        <v>652</v>
      </c>
      <c r="V49" s="12">
        <f>IFERROR(IF(ISNUMBER(INDEX(Parameters!$B$5:$B$14,MATCH(D49,Parameters!$A$5:$A$14,0))),INDEX(Parameters!$B$5:$B$14,MATCH(D49,Parameters!$A$5:$A$14,0)),""),"")</f>
        <v>1</v>
      </c>
      <c r="W49" s="12">
        <f>IFERROR(IF(ISNUMBER(INDEX(Parameters!$B$5:$B$14,MATCH(E49,Parameters!$A$5:$A$14,0))),INDEX(Parameters!$B$5:$B$14,MATCH(E49,Parameters!$A$5:$A$14,0)),""),"")</f>
        <v>0.67</v>
      </c>
      <c r="X49" s="12">
        <f>IFERROR(IF(ISNUMBER(INDEX(Parameters!$B$5:$B$14,MATCH(F49,Parameters!$A$5:$A$14,0))),INDEX(Parameters!$B$5:$B$14,MATCH(F49,Parameters!$A$5:$A$14,0)),""),"")</f>
        <v>1</v>
      </c>
      <c r="Y49" s="12">
        <f>IF(G49&lt;&gt;"",1,IF(ISNUMBER(Parameters!$B$18),Parameters!$B$18,""))</f>
        <v>1</v>
      </c>
      <c r="Z49" s="12">
        <f>IF(I49&lt;&gt;"",IFERROR(IF(ISNUMBER(INDEX(Parameters!$B$5:$B$14,MATCH(I49,Parameters!$A$5:$A$14,0))),INDEX(Parameters!$B$5:$B$14,MATCH(I49,Parameters!$A$5:$A$14,0)),""),""),IF(ISNUMBER(Parameters!$B$21),Parameters!$B$21,""))</f>
        <v>0.5</v>
      </c>
      <c r="AA49" s="12">
        <f>IFERROR(IF(ISNUMBER(INDEX(Parameters!$B$5:$B$14,MATCH(J49,Parameters!$A$5:$A$14,0))),INDEX(Parameters!$B$5:$B$14,MATCH(J49,Parameters!$A$5:$A$14,0)),""),"")</f>
        <v>1</v>
      </c>
      <c r="AB49" s="12">
        <f>IFERROR(IF(ISNUMBER(INDEX(Parameters!$B$5:$B$14,MATCH(K49,Parameters!$A$5:$A$14,0))),INDEX(Parameters!$B$5:$B$14,MATCH(K49,Parameters!$A$5:$A$14,0)),""),"")</f>
        <v>1</v>
      </c>
      <c r="AC49" s="12">
        <f>IFERROR(IF(ISNUMBER(INDEX(Parameters!$B$5:$B$14,MATCH(L49,Parameters!$A$5:$A$14,0))),INDEX(Parameters!$B$5:$B$14,MATCH(L49,Parameters!$A$5:$A$14,0)),""),"")</f>
        <v>1</v>
      </c>
      <c r="AD49" s="12">
        <f>IFERROR(IF(ISNUMBER(INDEX(Parameters!$B$5:$B$14,MATCH(M49,Parameters!$A$5:$A$14,0))),INDEX(Parameters!$B$5:$B$14,MATCH(M49,Parameters!$A$5:$A$14,0)),""),"")</f>
        <v>1</v>
      </c>
      <c r="AE49" s="12">
        <f>IF(N49&lt;&gt;"",1,IF(ISNUMBER(Parameters!$B$19),Parameters!$B$19,""))</f>
        <v>0</v>
      </c>
      <c r="AF49" s="12">
        <f>IF((Parameters!$I$5*ISNUMBER(V49)+Parameters!$I$6*ISNUMBER(W49)+Parameters!$I$7*ISNUMBER(X49)+Parameters!$I$8*ISNUMBER(Y49))=0,"",(Parameters!$I$5*N(V49)+Parameters!$I$6*N(W49)+Parameters!$I$7*N(X49)+Parameters!$I$8*N(Y49))/(Parameters!$I$5*ISNUMBER(V49)+Parameters!$I$6*ISNUMBER(W49)+Parameters!$I$7*ISNUMBER(X49)+Parameters!$I$8*ISNUMBER(Y49)))</f>
        <v>0.90100000000000002</v>
      </c>
      <c r="AG49" s="12">
        <f>IF((Parameters!$I$9*ISNUMBER(Z49))=0,"",(Parameters!$I$9*N(Z49))/(Parameters!$I$9*ISNUMBER(Z49)))</f>
        <v>0.5</v>
      </c>
      <c r="AH49" s="12">
        <f>IF((Parameters!$I$11*ISNUMBER(AA49)+Parameters!$I$12*ISNUMBER(AB49)+Parameters!$I$13*ISNUMBER(AC49)+Parameters!$I$14*ISNUMBER(AD49)+Parameters!$I$15*ISNUMBER(AE49))=0,"",(Parameters!$I$11*N(AA49)+Parameters!$I$12*N(AB49)+Parameters!$I$13*N(AC49)+Parameters!$I$14*N(AD49)+Parameters!$I$15*N(AE49))/(Parameters!$I$11*ISNUMBER(AA49)+Parameters!$I$12*ISNUMBER(AB49)+Parameters!$I$13*ISNUMBER(AC49)+Parameters!$I$14*ISNUMBER(AD49)+Parameters!$I$15*ISNUMBER(AE49)))</f>
        <v>0.8</v>
      </c>
      <c r="AI49" s="13">
        <f>Parameters!$I$5*ISNUMBER(V49)+Parameters!$I$6*ISNUMBER(W49)+Parameters!$I$7*ISNUMBER(X49)+Parameters!$I$8*ISNUMBER(Y49)+Parameters!$I$9*ISNUMBER(Z49)+Parameters!$I$11*ISNUMBER(AA49)+Parameters!$I$12*ISNUMBER(AB49)+Parameters!$I$13*ISNUMBER(AC49)+Parameters!$I$14*ISNUMBER(AD49)+Parameters!$I$15*ISNUMBER(AE49)</f>
        <v>95</v>
      </c>
      <c r="AJ49" s="14">
        <f>IF((Parameters!$I$5+Parameters!$I$6+Parameters!$I$7+Parameters!$I$8+Parameters!$I$9+Parameters!$I$11+Parameters!$I$12+Parameters!$I$13+Parameters!$I$14+Parameters!$I$15)=0,"",AI49/(Parameters!$I$5+Parameters!$I$6+Parameters!$I$7+Parameters!$I$8+Parameters!$I$9+Parameters!$I$11+Parameters!$I$12+Parameters!$I$13+Parameters!$I$14+Parameters!$I$15))</f>
        <v>1</v>
      </c>
      <c r="AK49" s="15">
        <f>IF(AND(ISNUMBER(AF49),ISNUMBER(AH49),OR(NOT((Parameters!$I$9)&gt;0),ISNUMBER(AG49)),AJ49&gt;=Parameters!$B$20),100*(Parameters!$F$18*N(AF49)+Parameters!$F$19*N(AG49)+Parameters!$F$20*N(AH49))/(Parameters!$F$18*ISNUMBER(AF49)+Parameters!$F$19*ISNUMBER(AG49)+Parameters!$F$20*ISNUMBER(AH49)),"")</f>
        <v>76.540000000000006</v>
      </c>
      <c r="AL49" s="16">
        <f>IF(ISNUMBER(AK49),RANK(AK49,$AK$2:$AK$113),"")</f>
        <v>48</v>
      </c>
      <c r="AM49" s="14">
        <f>IF(((D49="Implemented/available")+(E49="Implemented/available")+(J49="Implemented/available")+(K49="Implemented/available")+(L49="Implemented/available")+(M49="Implemented/available"))=0,"",(AND(D49="Implemented/available",O49&lt;&gt;"")+AND(E49="Implemented/available",P49&lt;&gt;"")+AND(J49="Implemented/available",Q49&lt;&gt;"")+AND(K49="Implemented/available",R49&lt;&gt;"")+AND(L49="Implemented/available",S49&lt;&gt;"")+AND(M49="Implemented/available",T49&lt;&gt;""))/((D49="Implemented/available")+(E49="Implemented/available")+(J49="Implemented/available")+(K49="Implemented/available")+(L49="Implemented/available")+(M49="Implemented/available")))</f>
        <v>1</v>
      </c>
    </row>
    <row r="50" spans="1:39" x14ac:dyDescent="0.25">
      <c r="A50" s="6" t="s">
        <v>365</v>
      </c>
      <c r="B50" s="6" t="s">
        <v>366</v>
      </c>
      <c r="C50" s="6" t="s">
        <v>201</v>
      </c>
      <c r="D50" s="6" t="s">
        <v>29</v>
      </c>
      <c r="E50" s="6" t="s">
        <v>41</v>
      </c>
      <c r="F50" s="6" t="s">
        <v>48</v>
      </c>
      <c r="G50" s="6" t="s">
        <v>117</v>
      </c>
      <c r="H50" s="6" t="s">
        <v>76</v>
      </c>
      <c r="I50" s="6" t="s">
        <v>32</v>
      </c>
      <c r="J50" s="6" t="s">
        <v>41</v>
      </c>
      <c r="K50" s="6" t="s">
        <v>34</v>
      </c>
      <c r="L50" s="6" t="s">
        <v>38</v>
      </c>
      <c r="M50" s="6" t="s">
        <v>29</v>
      </c>
      <c r="N50" s="6"/>
      <c r="O50" s="6" t="s">
        <v>367</v>
      </c>
      <c r="P50" s="6"/>
      <c r="Q50" s="6"/>
      <c r="R50" s="6"/>
      <c r="S50" s="6"/>
      <c r="T50" s="6" t="s">
        <v>368</v>
      </c>
      <c r="U50" s="6"/>
      <c r="V50" s="12">
        <f>IFERROR(IF(ISNUMBER(INDEX(Parameters!$B$5:$B$14,MATCH(D50,Parameters!$A$5:$A$14,0))),INDEX(Parameters!$B$5:$B$14,MATCH(D50,Parameters!$A$5:$A$14,0)),""),"")</f>
        <v>1</v>
      </c>
      <c r="W50" s="12">
        <f>IFERROR(IF(ISNUMBER(INDEX(Parameters!$B$5:$B$14,MATCH(E50,Parameters!$A$5:$A$14,0))),INDEX(Parameters!$B$5:$B$14,MATCH(E50,Parameters!$A$5:$A$14,0)),""),"")</f>
        <v>0.33</v>
      </c>
      <c r="X50" s="12" t="str">
        <f>IFERROR(IF(ISNUMBER(INDEX(Parameters!$B$5:$B$14,MATCH(F50,Parameters!$A$5:$A$14,0))),INDEX(Parameters!$B$5:$B$14,MATCH(F50,Parameters!$A$5:$A$14,0)),""),"")</f>
        <v/>
      </c>
      <c r="Y50" s="12">
        <f>IF(G50&lt;&gt;"",1,IF(ISNUMBER(Parameters!$B$18),Parameters!$B$18,""))</f>
        <v>1</v>
      </c>
      <c r="Z50" s="12">
        <f>IF(I50&lt;&gt;"",IFERROR(IF(ISNUMBER(INDEX(Parameters!$B$5:$B$14,MATCH(I50,Parameters!$A$5:$A$14,0))),INDEX(Parameters!$B$5:$B$14,MATCH(I50,Parameters!$A$5:$A$14,0)),""),""),IF(ISNUMBER(Parameters!$B$21),Parameters!$B$21,""))</f>
        <v>1</v>
      </c>
      <c r="AA50" s="12">
        <f>IFERROR(IF(ISNUMBER(INDEX(Parameters!$B$5:$B$14,MATCH(J50,Parameters!$A$5:$A$14,0))),INDEX(Parameters!$B$5:$B$14,MATCH(J50,Parameters!$A$5:$A$14,0)),""),"")</f>
        <v>0.33</v>
      </c>
      <c r="AB50" s="12">
        <f>IFERROR(IF(ISNUMBER(INDEX(Parameters!$B$5:$B$14,MATCH(K50,Parameters!$A$5:$A$14,0))),INDEX(Parameters!$B$5:$B$14,MATCH(K50,Parameters!$A$5:$A$14,0)),""),"")</f>
        <v>1</v>
      </c>
      <c r="AC50" s="12">
        <f>IFERROR(IF(ISNUMBER(INDEX(Parameters!$B$5:$B$14,MATCH(L50,Parameters!$A$5:$A$14,0))),INDEX(Parameters!$B$5:$B$14,MATCH(L50,Parameters!$A$5:$A$14,0)),""),"")</f>
        <v>0.67</v>
      </c>
      <c r="AD50" s="12">
        <f>IFERROR(IF(ISNUMBER(INDEX(Parameters!$B$5:$B$14,MATCH(M50,Parameters!$A$5:$A$14,0))),INDEX(Parameters!$B$5:$B$14,MATCH(M50,Parameters!$A$5:$A$14,0)),""),"")</f>
        <v>1</v>
      </c>
      <c r="AE50" s="12">
        <f>IF(N50&lt;&gt;"",1,IF(ISNUMBER(Parameters!$B$19),Parameters!$B$19,""))</f>
        <v>0</v>
      </c>
      <c r="AF50" s="12">
        <f>IF((Parameters!$I$5*ISNUMBER(V50)+Parameters!$I$6*ISNUMBER(W50)+Parameters!$I$7*ISNUMBER(X50)+Parameters!$I$8*ISNUMBER(Y50))=0,"",(Parameters!$I$5*N(V50)+Parameters!$I$6*N(W50)+Parameters!$I$7*N(X50)+Parameters!$I$8*N(Y50))/(Parameters!$I$5*ISNUMBER(V50)+Parameters!$I$6*ISNUMBER(W50)+Parameters!$I$7*ISNUMBER(X50)+Parameters!$I$8*ISNUMBER(Y50)))</f>
        <v>0.74875000000000003</v>
      </c>
      <c r="AG50" s="12">
        <f>IF((Parameters!$I$9*ISNUMBER(Z50))=0,"",(Parameters!$I$9*N(Z50))/(Parameters!$I$9*ISNUMBER(Z50)))</f>
        <v>1</v>
      </c>
      <c r="AH50" s="12">
        <f>IF((Parameters!$I$11*ISNUMBER(AA50)+Parameters!$I$12*ISNUMBER(AB50)+Parameters!$I$13*ISNUMBER(AC50)+Parameters!$I$14*ISNUMBER(AD50)+Parameters!$I$15*ISNUMBER(AE50))=0,"",(Parameters!$I$11*N(AA50)+Parameters!$I$12*N(AB50)+Parameters!$I$13*N(AC50)+Parameters!$I$14*N(AD50)+Parameters!$I$15*N(AE50))/(Parameters!$I$11*ISNUMBER(AA50)+Parameters!$I$12*ISNUMBER(AB50)+Parameters!$I$13*ISNUMBER(AC50)+Parameters!$I$14*ISNUMBER(AD50)+Parameters!$I$15*ISNUMBER(AE50)))</f>
        <v>0.6</v>
      </c>
      <c r="AI50" s="13">
        <f>Parameters!$I$5*ISNUMBER(V50)+Parameters!$I$6*ISNUMBER(W50)+Parameters!$I$7*ISNUMBER(X50)+Parameters!$I$8*ISNUMBER(Y50)+Parameters!$I$9*ISNUMBER(Z50)+Parameters!$I$11*ISNUMBER(AA50)+Parameters!$I$12*ISNUMBER(AB50)+Parameters!$I$13*ISNUMBER(AC50)+Parameters!$I$14*ISNUMBER(AD50)+Parameters!$I$15*ISNUMBER(AE50)</f>
        <v>87</v>
      </c>
      <c r="AJ50" s="14">
        <f>IF((Parameters!$I$5+Parameters!$I$6+Parameters!$I$7+Parameters!$I$8+Parameters!$I$9+Parameters!$I$11+Parameters!$I$12+Parameters!$I$13+Parameters!$I$14+Parameters!$I$15)=0,"",AI50/(Parameters!$I$5+Parameters!$I$6+Parameters!$I$7+Parameters!$I$8+Parameters!$I$9+Parameters!$I$11+Parameters!$I$12+Parameters!$I$13+Parameters!$I$14+Parameters!$I$15))</f>
        <v>0.91578947368421049</v>
      </c>
      <c r="AK50" s="15">
        <f>IF(AND(ISNUMBER(AF50),ISNUMBER(AH50),OR(NOT((Parameters!$I$9)&gt;0),ISNUMBER(AG50)),AJ50&gt;=Parameters!$B$20),100*(Parameters!$F$18*N(AF50)+Parameters!$F$19*N(AG50)+Parameters!$F$20*N(AH50))/(Parameters!$F$18*ISNUMBER(AF50)+Parameters!$F$19*ISNUMBER(AG50)+Parameters!$F$20*ISNUMBER(AH50)),"")</f>
        <v>75.95</v>
      </c>
      <c r="AL50" s="16">
        <f>IF(ISNUMBER(AK50),RANK(AK50,$AK$2:$AK$113),"")</f>
        <v>49</v>
      </c>
      <c r="AM50" s="14">
        <f>IF(((D50="Implemented/available")+(E50="Implemented/available")+(J50="Implemented/available")+(K50="Implemented/available")+(L50="Implemented/available")+(M50="Implemented/available"))=0,"",(AND(D50="Implemented/available",O50&lt;&gt;"")+AND(E50="Implemented/available",P50&lt;&gt;"")+AND(J50="Implemented/available",Q50&lt;&gt;"")+AND(K50="Implemented/available",R50&lt;&gt;"")+AND(L50="Implemented/available",S50&lt;&gt;"")+AND(M50="Implemented/available",T50&lt;&gt;""))/((D50="Implemented/available")+(E50="Implemented/available")+(J50="Implemented/available")+(K50="Implemented/available")+(L50="Implemented/available")+(M50="Implemented/available")))</f>
        <v>1</v>
      </c>
    </row>
    <row r="51" spans="1:39" x14ac:dyDescent="0.25">
      <c r="A51" s="6" t="s">
        <v>268</v>
      </c>
      <c r="B51" s="6" t="s">
        <v>269</v>
      </c>
      <c r="C51" s="6" t="s">
        <v>270</v>
      </c>
      <c r="D51" s="6" t="s">
        <v>29</v>
      </c>
      <c r="E51" s="6" t="s">
        <v>29</v>
      </c>
      <c r="F51" s="6" t="s">
        <v>48</v>
      </c>
      <c r="G51" s="6" t="s">
        <v>117</v>
      </c>
      <c r="H51" s="6"/>
      <c r="I51" s="6" t="s">
        <v>60</v>
      </c>
      <c r="J51" s="6" t="s">
        <v>48</v>
      </c>
      <c r="K51" s="6" t="s">
        <v>34</v>
      </c>
      <c r="L51" s="6" t="s">
        <v>48</v>
      </c>
      <c r="M51" s="6" t="s">
        <v>29</v>
      </c>
      <c r="N51" s="6"/>
      <c r="O51" s="6" t="s">
        <v>271</v>
      </c>
      <c r="P51" s="6" t="s">
        <v>271</v>
      </c>
      <c r="Q51" s="6"/>
      <c r="R51" s="6"/>
      <c r="S51" s="6"/>
      <c r="T51" s="6" t="s">
        <v>272</v>
      </c>
      <c r="U51" s="6"/>
      <c r="V51" s="12">
        <f>IFERROR(IF(ISNUMBER(INDEX(Parameters!$B$5:$B$14,MATCH(D51,Parameters!$A$5:$A$14,0))),INDEX(Parameters!$B$5:$B$14,MATCH(D51,Parameters!$A$5:$A$14,0)),""),"")</f>
        <v>1</v>
      </c>
      <c r="W51" s="12">
        <f>IFERROR(IF(ISNUMBER(INDEX(Parameters!$B$5:$B$14,MATCH(E51,Parameters!$A$5:$A$14,0))),INDEX(Parameters!$B$5:$B$14,MATCH(E51,Parameters!$A$5:$A$14,0)),""),"")</f>
        <v>1</v>
      </c>
      <c r="X51" s="12" t="str">
        <f>IFERROR(IF(ISNUMBER(INDEX(Parameters!$B$5:$B$14,MATCH(F51,Parameters!$A$5:$A$14,0))),INDEX(Parameters!$B$5:$B$14,MATCH(F51,Parameters!$A$5:$A$14,0)),""),"")</f>
        <v/>
      </c>
      <c r="Y51" s="12">
        <f>IF(G51&lt;&gt;"",1,IF(ISNUMBER(Parameters!$B$18),Parameters!$B$18,""))</f>
        <v>1</v>
      </c>
      <c r="Z51" s="12">
        <f>IF(I51&lt;&gt;"",IFERROR(IF(ISNUMBER(INDEX(Parameters!$B$5:$B$14,MATCH(I51,Parameters!$A$5:$A$14,0))),INDEX(Parameters!$B$5:$B$14,MATCH(I51,Parameters!$A$5:$A$14,0)),""),""),IF(ISNUMBER(Parameters!$B$21),Parameters!$B$21,""))</f>
        <v>0.5</v>
      </c>
      <c r="AA51" s="12" t="str">
        <f>IFERROR(IF(ISNUMBER(INDEX(Parameters!$B$5:$B$14,MATCH(J51,Parameters!$A$5:$A$14,0))),INDEX(Parameters!$B$5:$B$14,MATCH(J51,Parameters!$A$5:$A$14,0)),""),"")</f>
        <v/>
      </c>
      <c r="AB51" s="12">
        <f>IFERROR(IF(ISNUMBER(INDEX(Parameters!$B$5:$B$14,MATCH(K51,Parameters!$A$5:$A$14,0))),INDEX(Parameters!$B$5:$B$14,MATCH(K51,Parameters!$A$5:$A$14,0)),""),"")</f>
        <v>1</v>
      </c>
      <c r="AC51" s="12" t="str">
        <f>IFERROR(IF(ISNUMBER(INDEX(Parameters!$B$5:$B$14,MATCH(L51,Parameters!$A$5:$A$14,0))),INDEX(Parameters!$B$5:$B$14,MATCH(L51,Parameters!$A$5:$A$14,0)),""),"")</f>
        <v/>
      </c>
      <c r="AD51" s="12">
        <f>IFERROR(IF(ISNUMBER(INDEX(Parameters!$B$5:$B$14,MATCH(M51,Parameters!$A$5:$A$14,0))),INDEX(Parameters!$B$5:$B$14,MATCH(M51,Parameters!$A$5:$A$14,0)),""),"")</f>
        <v>1</v>
      </c>
      <c r="AE51" s="12">
        <f>IF(N51&lt;&gt;"",1,IF(ISNUMBER(Parameters!$B$19),Parameters!$B$19,""))</f>
        <v>0</v>
      </c>
      <c r="AF51" s="12">
        <f>IF((Parameters!$I$5*ISNUMBER(V51)+Parameters!$I$6*ISNUMBER(W51)+Parameters!$I$7*ISNUMBER(X51)+Parameters!$I$8*ISNUMBER(Y51))=0,"",(Parameters!$I$5*N(V51)+Parameters!$I$6*N(W51)+Parameters!$I$7*N(X51)+Parameters!$I$8*N(Y51))/(Parameters!$I$5*ISNUMBER(V51)+Parameters!$I$6*ISNUMBER(W51)+Parameters!$I$7*ISNUMBER(X51)+Parameters!$I$8*ISNUMBER(Y51)))</f>
        <v>1</v>
      </c>
      <c r="AG51" s="12">
        <f>IF((Parameters!$I$9*ISNUMBER(Z51))=0,"",(Parameters!$I$9*N(Z51))/(Parameters!$I$9*ISNUMBER(Z51)))</f>
        <v>0.5</v>
      </c>
      <c r="AH51" s="12">
        <f>IF((Parameters!$I$11*ISNUMBER(AA51)+Parameters!$I$12*ISNUMBER(AB51)+Parameters!$I$13*ISNUMBER(AC51)+Parameters!$I$14*ISNUMBER(AD51)+Parameters!$I$15*ISNUMBER(AE51))=0,"",(Parameters!$I$11*N(AA51)+Parameters!$I$12*N(AB51)+Parameters!$I$13*N(AC51)+Parameters!$I$14*N(AD51)+Parameters!$I$15*N(AE51))/(Parameters!$I$11*ISNUMBER(AA51)+Parameters!$I$12*ISNUMBER(AB51)+Parameters!$I$13*ISNUMBER(AC51)+Parameters!$I$14*ISNUMBER(AD51)+Parameters!$I$15*ISNUMBER(AE51)))</f>
        <v>0.66666666666666663</v>
      </c>
      <c r="AI51" s="13">
        <f>Parameters!$I$5*ISNUMBER(V51)+Parameters!$I$6*ISNUMBER(W51)+Parameters!$I$7*ISNUMBER(X51)+Parameters!$I$8*ISNUMBER(Y51)+Parameters!$I$9*ISNUMBER(Z51)+Parameters!$I$11*ISNUMBER(AA51)+Parameters!$I$12*ISNUMBER(AB51)+Parameters!$I$13*ISNUMBER(AC51)+Parameters!$I$14*ISNUMBER(AD51)+Parameters!$I$15*ISNUMBER(AE51)</f>
        <v>73</v>
      </c>
      <c r="AJ51" s="14">
        <f>IF((Parameters!$I$5+Parameters!$I$6+Parameters!$I$7+Parameters!$I$8+Parameters!$I$9+Parameters!$I$11+Parameters!$I$12+Parameters!$I$13+Parameters!$I$14+Parameters!$I$15)=0,"",AI51/(Parameters!$I$5+Parameters!$I$6+Parameters!$I$7+Parameters!$I$8+Parameters!$I$9+Parameters!$I$11+Parameters!$I$12+Parameters!$I$13+Parameters!$I$14+Parameters!$I$15))</f>
        <v>0.76842105263157889</v>
      </c>
      <c r="AK51" s="15">
        <f>IF(AND(ISNUMBER(AF51),ISNUMBER(AH51),OR(NOT((Parameters!$I$9)&gt;0),ISNUMBER(AG51)),AJ51&gt;=Parameters!$B$20),100*(Parameters!$F$18*N(AF51)+Parameters!$F$19*N(AG51)+Parameters!$F$20*N(AH51))/(Parameters!$F$18*ISNUMBER(AF51)+Parameters!$F$19*ISNUMBER(AG51)+Parameters!$F$20*ISNUMBER(AH51)),"")</f>
        <v>75.833333333333329</v>
      </c>
      <c r="AL51" s="16">
        <f>IF(ISNUMBER(AK51),RANK(AK51,$AK$2:$AK$113),"")</f>
        <v>50</v>
      </c>
      <c r="AM51" s="14">
        <f>IF(((D51="Implemented/available")+(E51="Implemented/available")+(J51="Implemented/available")+(K51="Implemented/available")+(L51="Implemented/available")+(M51="Implemented/available"))=0,"",(AND(D51="Implemented/available",O51&lt;&gt;"")+AND(E51="Implemented/available",P51&lt;&gt;"")+AND(J51="Implemented/available",Q51&lt;&gt;"")+AND(K51="Implemented/available",R51&lt;&gt;"")+AND(L51="Implemented/available",S51&lt;&gt;"")+AND(M51="Implemented/available",T51&lt;&gt;""))/((D51="Implemented/available")+(E51="Implemented/available")+(J51="Implemented/available")+(K51="Implemented/available")+(L51="Implemented/available")+(M51="Implemented/available")))</f>
        <v>1</v>
      </c>
    </row>
    <row r="52" spans="1:39" x14ac:dyDescent="0.25">
      <c r="A52" s="6" t="s">
        <v>267</v>
      </c>
      <c r="B52" s="6" t="s">
        <v>121</v>
      </c>
      <c r="C52" s="6" t="s">
        <v>201</v>
      </c>
      <c r="D52" s="6" t="s">
        <v>29</v>
      </c>
      <c r="E52" s="6" t="s">
        <v>41</v>
      </c>
      <c r="F52" s="6" t="s">
        <v>29</v>
      </c>
      <c r="G52" s="6" t="s">
        <v>117</v>
      </c>
      <c r="H52" s="6"/>
      <c r="I52" s="6" t="s">
        <v>32</v>
      </c>
      <c r="J52" s="6" t="s">
        <v>38</v>
      </c>
      <c r="K52" s="6" t="s">
        <v>34</v>
      </c>
      <c r="L52" s="6" t="s">
        <v>29</v>
      </c>
      <c r="M52" s="6" t="s">
        <v>44</v>
      </c>
      <c r="N52" s="6"/>
      <c r="O52" s="6" t="s">
        <v>125</v>
      </c>
      <c r="P52" s="6"/>
      <c r="Q52" s="6"/>
      <c r="R52" s="6"/>
      <c r="S52" s="6" t="s">
        <v>128</v>
      </c>
      <c r="T52" s="6"/>
      <c r="U52" s="6" t="s">
        <v>129</v>
      </c>
      <c r="V52" s="12">
        <f>IFERROR(IF(ISNUMBER(INDEX(Parameters!$B$5:$B$14,MATCH(D52,Parameters!$A$5:$A$14,0))),INDEX(Parameters!$B$5:$B$14,MATCH(D52,Parameters!$A$5:$A$14,0)),""),"")</f>
        <v>1</v>
      </c>
      <c r="W52" s="12">
        <f>IFERROR(IF(ISNUMBER(INDEX(Parameters!$B$5:$B$14,MATCH(E52,Parameters!$A$5:$A$14,0))),INDEX(Parameters!$B$5:$B$14,MATCH(E52,Parameters!$A$5:$A$14,0)),""),"")</f>
        <v>0.33</v>
      </c>
      <c r="X52" s="12">
        <f>IFERROR(IF(ISNUMBER(INDEX(Parameters!$B$5:$B$14,MATCH(F52,Parameters!$A$5:$A$14,0))),INDEX(Parameters!$B$5:$B$14,MATCH(F52,Parameters!$A$5:$A$14,0)),""),"")</f>
        <v>1</v>
      </c>
      <c r="Y52" s="12">
        <f>IF(G52&lt;&gt;"",1,IF(ISNUMBER(Parameters!$B$18),Parameters!$B$18,""))</f>
        <v>1</v>
      </c>
      <c r="Z52" s="12">
        <f>IF(I52&lt;&gt;"",IFERROR(IF(ISNUMBER(INDEX(Parameters!$B$5:$B$14,MATCH(I52,Parameters!$A$5:$A$14,0))),INDEX(Parameters!$B$5:$B$14,MATCH(I52,Parameters!$A$5:$A$14,0)),""),""),IF(ISNUMBER(Parameters!$B$21),Parameters!$B$21,""))</f>
        <v>1</v>
      </c>
      <c r="AA52" s="12">
        <f>IFERROR(IF(ISNUMBER(INDEX(Parameters!$B$5:$B$14,MATCH(J52,Parameters!$A$5:$A$14,0))),INDEX(Parameters!$B$5:$B$14,MATCH(J52,Parameters!$A$5:$A$14,0)),""),"")</f>
        <v>0.67</v>
      </c>
      <c r="AB52" s="12">
        <f>IFERROR(IF(ISNUMBER(INDEX(Parameters!$B$5:$B$14,MATCH(K52,Parameters!$A$5:$A$14,0))),INDEX(Parameters!$B$5:$B$14,MATCH(K52,Parameters!$A$5:$A$14,0)),""),"")</f>
        <v>1</v>
      </c>
      <c r="AC52" s="12">
        <f>IFERROR(IF(ISNUMBER(INDEX(Parameters!$B$5:$B$14,MATCH(L52,Parameters!$A$5:$A$14,0))),INDEX(Parameters!$B$5:$B$14,MATCH(L52,Parameters!$A$5:$A$14,0)),""),"")</f>
        <v>1</v>
      </c>
      <c r="AD52" s="12">
        <f>IFERROR(IF(ISNUMBER(INDEX(Parameters!$B$5:$B$14,MATCH(M52,Parameters!$A$5:$A$14,0))),INDEX(Parameters!$B$5:$B$14,MATCH(M52,Parameters!$A$5:$A$14,0)),""),"")</f>
        <v>0</v>
      </c>
      <c r="AE52" s="12">
        <f>IF(N52&lt;&gt;"",1,IF(ISNUMBER(Parameters!$B$19),Parameters!$B$19,""))</f>
        <v>0</v>
      </c>
      <c r="AF52" s="12">
        <f>IF((Parameters!$I$5*ISNUMBER(V52)+Parameters!$I$6*ISNUMBER(W52)+Parameters!$I$7*ISNUMBER(X52)+Parameters!$I$8*ISNUMBER(Y52))=0,"",(Parameters!$I$5*N(V52)+Parameters!$I$6*N(W52)+Parameters!$I$7*N(X52)+Parameters!$I$8*N(Y52))/(Parameters!$I$5*ISNUMBER(V52)+Parameters!$I$6*ISNUMBER(W52)+Parameters!$I$7*ISNUMBER(X52)+Parameters!$I$8*ISNUMBER(Y52)))</f>
        <v>0.79900000000000004</v>
      </c>
      <c r="AG52" s="12">
        <f>IF((Parameters!$I$9*ISNUMBER(Z52))=0,"",(Parameters!$I$9*N(Z52))/(Parameters!$I$9*ISNUMBER(Z52)))</f>
        <v>1</v>
      </c>
      <c r="AH52" s="12">
        <f>IF((Parameters!$I$11*ISNUMBER(AA52)+Parameters!$I$12*ISNUMBER(AB52)+Parameters!$I$13*ISNUMBER(AC52)+Parameters!$I$14*ISNUMBER(AD52)+Parameters!$I$15*ISNUMBER(AE52))=0,"",(Parameters!$I$11*N(AA52)+Parameters!$I$12*N(AB52)+Parameters!$I$13*N(AC52)+Parameters!$I$14*N(AD52)+Parameters!$I$15*N(AE52))/(Parameters!$I$11*ISNUMBER(AA52)+Parameters!$I$12*ISNUMBER(AB52)+Parameters!$I$13*ISNUMBER(AC52)+Parameters!$I$14*ISNUMBER(AD52)+Parameters!$I$15*ISNUMBER(AE52)))</f>
        <v>0.53400000000000003</v>
      </c>
      <c r="AI52" s="13">
        <f>Parameters!$I$5*ISNUMBER(V52)+Parameters!$I$6*ISNUMBER(W52)+Parameters!$I$7*ISNUMBER(X52)+Parameters!$I$8*ISNUMBER(Y52)+Parameters!$I$9*ISNUMBER(Z52)+Parameters!$I$11*ISNUMBER(AA52)+Parameters!$I$12*ISNUMBER(AB52)+Parameters!$I$13*ISNUMBER(AC52)+Parameters!$I$14*ISNUMBER(AD52)+Parameters!$I$15*ISNUMBER(AE52)</f>
        <v>95</v>
      </c>
      <c r="AJ52" s="14">
        <f>IF((Parameters!$I$5+Parameters!$I$6+Parameters!$I$7+Parameters!$I$8+Parameters!$I$9+Parameters!$I$11+Parameters!$I$12+Parameters!$I$13+Parameters!$I$14+Parameters!$I$15)=0,"",AI52/(Parameters!$I$5+Parameters!$I$6+Parameters!$I$7+Parameters!$I$8+Parameters!$I$9+Parameters!$I$11+Parameters!$I$12+Parameters!$I$13+Parameters!$I$14+Parameters!$I$15))</f>
        <v>1</v>
      </c>
      <c r="AK52" s="15">
        <f>IF(AND(ISNUMBER(AF52),ISNUMBER(AH52),OR(NOT((Parameters!$I$9)&gt;0),ISNUMBER(AG52)),AJ52&gt;=Parameters!$B$20),100*(Parameters!$F$18*N(AF52)+Parameters!$F$19*N(AG52)+Parameters!$F$20*N(AH52))/(Parameters!$F$18*ISNUMBER(AF52)+Parameters!$F$19*ISNUMBER(AG52)+Parameters!$F$20*ISNUMBER(AH52)),"")</f>
        <v>75.65000000000002</v>
      </c>
      <c r="AL52" s="16">
        <f>IF(ISNUMBER(AK52),RANK(AK52,$AK$2:$AK$113),"")</f>
        <v>51</v>
      </c>
      <c r="AM52" s="14">
        <f>IF(((D52="Implemented/available")+(E52="Implemented/available")+(J52="Implemented/available")+(K52="Implemented/available")+(L52="Implemented/available")+(M52="Implemented/available"))=0,"",(AND(D52="Implemented/available",O52&lt;&gt;"")+AND(E52="Implemented/available",P52&lt;&gt;"")+AND(J52="Implemented/available",Q52&lt;&gt;"")+AND(K52="Implemented/available",R52&lt;&gt;"")+AND(L52="Implemented/available",S52&lt;&gt;"")+AND(M52="Implemented/available",T52&lt;&gt;""))/((D52="Implemented/available")+(E52="Implemented/available")+(J52="Implemented/available")+(K52="Implemented/available")+(L52="Implemented/available")+(M52="Implemented/available")))</f>
        <v>1</v>
      </c>
    </row>
    <row r="53" spans="1:39" x14ac:dyDescent="0.25">
      <c r="A53" s="6" t="s">
        <v>369</v>
      </c>
      <c r="B53" s="6" t="s">
        <v>370</v>
      </c>
      <c r="C53" s="6" t="s">
        <v>371</v>
      </c>
      <c r="D53" s="6" t="s">
        <v>29</v>
      </c>
      <c r="E53" s="6" t="s">
        <v>38</v>
      </c>
      <c r="F53" s="6" t="s">
        <v>48</v>
      </c>
      <c r="G53" s="6" t="s">
        <v>184</v>
      </c>
      <c r="H53" s="6"/>
      <c r="I53" s="6" t="s">
        <v>60</v>
      </c>
      <c r="J53" s="6" t="s">
        <v>29</v>
      </c>
      <c r="K53" s="6" t="s">
        <v>29</v>
      </c>
      <c r="L53" s="6" t="s">
        <v>29</v>
      </c>
      <c r="M53" s="6" t="s">
        <v>29</v>
      </c>
      <c r="N53" s="6"/>
      <c r="O53" s="6" t="s">
        <v>372</v>
      </c>
      <c r="P53" s="6"/>
      <c r="Q53" s="6" t="s">
        <v>373</v>
      </c>
      <c r="R53" s="6" t="s">
        <v>374</v>
      </c>
      <c r="S53" s="6" t="s">
        <v>375</v>
      </c>
      <c r="T53" s="6" t="s">
        <v>376</v>
      </c>
      <c r="U53" s="6"/>
      <c r="V53" s="12">
        <f>IFERROR(IF(ISNUMBER(INDEX(Parameters!$B$5:$B$14,MATCH(D53,Parameters!$A$5:$A$14,0))),INDEX(Parameters!$B$5:$B$14,MATCH(D53,Parameters!$A$5:$A$14,0)),""),"")</f>
        <v>1</v>
      </c>
      <c r="W53" s="12">
        <f>IFERROR(IF(ISNUMBER(INDEX(Parameters!$B$5:$B$14,MATCH(E53,Parameters!$A$5:$A$14,0))),INDEX(Parameters!$B$5:$B$14,MATCH(E53,Parameters!$A$5:$A$14,0)),""),"")</f>
        <v>0.67</v>
      </c>
      <c r="X53" s="12" t="str">
        <f>IFERROR(IF(ISNUMBER(INDEX(Parameters!$B$5:$B$14,MATCH(F53,Parameters!$A$5:$A$14,0))),INDEX(Parameters!$B$5:$B$14,MATCH(F53,Parameters!$A$5:$A$14,0)),""),"")</f>
        <v/>
      </c>
      <c r="Y53" s="12">
        <f>IF(G53&lt;&gt;"",1,IF(ISNUMBER(Parameters!$B$18),Parameters!$B$18,""))</f>
        <v>1</v>
      </c>
      <c r="Z53" s="12">
        <f>IF(I53&lt;&gt;"",IFERROR(IF(ISNUMBER(INDEX(Parameters!$B$5:$B$14,MATCH(I53,Parameters!$A$5:$A$14,0))),INDEX(Parameters!$B$5:$B$14,MATCH(I53,Parameters!$A$5:$A$14,0)),""),""),IF(ISNUMBER(Parameters!$B$21),Parameters!$B$21,""))</f>
        <v>0.5</v>
      </c>
      <c r="AA53" s="12">
        <f>IFERROR(IF(ISNUMBER(INDEX(Parameters!$B$5:$B$14,MATCH(J53,Parameters!$A$5:$A$14,0))),INDEX(Parameters!$B$5:$B$14,MATCH(J53,Parameters!$A$5:$A$14,0)),""),"")</f>
        <v>1</v>
      </c>
      <c r="AB53" s="12">
        <f>IFERROR(IF(ISNUMBER(INDEX(Parameters!$B$5:$B$14,MATCH(K53,Parameters!$A$5:$A$14,0))),INDEX(Parameters!$B$5:$B$14,MATCH(K53,Parameters!$A$5:$A$14,0)),""),"")</f>
        <v>1</v>
      </c>
      <c r="AC53" s="12">
        <f>IFERROR(IF(ISNUMBER(INDEX(Parameters!$B$5:$B$14,MATCH(L53,Parameters!$A$5:$A$14,0))),INDEX(Parameters!$B$5:$B$14,MATCH(L53,Parameters!$A$5:$A$14,0)),""),"")</f>
        <v>1</v>
      </c>
      <c r="AD53" s="12">
        <f>IFERROR(IF(ISNUMBER(INDEX(Parameters!$B$5:$B$14,MATCH(M53,Parameters!$A$5:$A$14,0))),INDEX(Parameters!$B$5:$B$14,MATCH(M53,Parameters!$A$5:$A$14,0)),""),"")</f>
        <v>1</v>
      </c>
      <c r="AE53" s="12">
        <f>IF(N53&lt;&gt;"",1,IF(ISNUMBER(Parameters!$B$19),Parameters!$B$19,""))</f>
        <v>0</v>
      </c>
      <c r="AF53" s="12">
        <f>IF((Parameters!$I$5*ISNUMBER(V53)+Parameters!$I$6*ISNUMBER(W53)+Parameters!$I$7*ISNUMBER(X53)+Parameters!$I$8*ISNUMBER(Y53))=0,"",(Parameters!$I$5*N(V53)+Parameters!$I$6*N(W53)+Parameters!$I$7*N(X53)+Parameters!$I$8*N(Y53))/(Parameters!$I$5*ISNUMBER(V53)+Parameters!$I$6*ISNUMBER(W53)+Parameters!$I$7*ISNUMBER(X53)+Parameters!$I$8*ISNUMBER(Y53)))</f>
        <v>0.87624999999999997</v>
      </c>
      <c r="AG53" s="12">
        <f>IF((Parameters!$I$9*ISNUMBER(Z53))=0,"",(Parameters!$I$9*N(Z53))/(Parameters!$I$9*ISNUMBER(Z53)))</f>
        <v>0.5</v>
      </c>
      <c r="AH53" s="12">
        <f>IF((Parameters!$I$11*ISNUMBER(AA53)+Parameters!$I$12*ISNUMBER(AB53)+Parameters!$I$13*ISNUMBER(AC53)+Parameters!$I$14*ISNUMBER(AD53)+Parameters!$I$15*ISNUMBER(AE53))=0,"",(Parameters!$I$11*N(AA53)+Parameters!$I$12*N(AB53)+Parameters!$I$13*N(AC53)+Parameters!$I$14*N(AD53)+Parameters!$I$15*N(AE53))/(Parameters!$I$11*ISNUMBER(AA53)+Parameters!$I$12*ISNUMBER(AB53)+Parameters!$I$13*ISNUMBER(AC53)+Parameters!$I$14*ISNUMBER(AD53)+Parameters!$I$15*ISNUMBER(AE53)))</f>
        <v>0.8</v>
      </c>
      <c r="AI53" s="13">
        <f>Parameters!$I$5*ISNUMBER(V53)+Parameters!$I$6*ISNUMBER(W53)+Parameters!$I$7*ISNUMBER(X53)+Parameters!$I$8*ISNUMBER(Y53)+Parameters!$I$9*ISNUMBER(Z53)+Parameters!$I$11*ISNUMBER(AA53)+Parameters!$I$12*ISNUMBER(AB53)+Parameters!$I$13*ISNUMBER(AC53)+Parameters!$I$14*ISNUMBER(AD53)+Parameters!$I$15*ISNUMBER(AE53)</f>
        <v>87</v>
      </c>
      <c r="AJ53" s="14">
        <f>IF((Parameters!$I$5+Parameters!$I$6+Parameters!$I$7+Parameters!$I$8+Parameters!$I$9+Parameters!$I$11+Parameters!$I$12+Parameters!$I$13+Parameters!$I$14+Parameters!$I$15)=0,"",AI53/(Parameters!$I$5+Parameters!$I$6+Parameters!$I$7+Parameters!$I$8+Parameters!$I$9+Parameters!$I$11+Parameters!$I$12+Parameters!$I$13+Parameters!$I$14+Parameters!$I$15))</f>
        <v>0.91578947368421049</v>
      </c>
      <c r="AK53" s="15">
        <f>IF(AND(ISNUMBER(AF53),ISNUMBER(AH53),OR(NOT((Parameters!$I$9)&gt;0),ISNUMBER(AG53)),AJ53&gt;=Parameters!$B$20),100*(Parameters!$F$18*N(AF53)+Parameters!$F$19*N(AG53)+Parameters!$F$20*N(AH53))/(Parameters!$F$18*ISNUMBER(AF53)+Parameters!$F$19*ISNUMBER(AG53)+Parameters!$F$20*ISNUMBER(AH53)),"")</f>
        <v>75.550000000000011</v>
      </c>
      <c r="AL53" s="16">
        <f>IF(ISNUMBER(AK53),RANK(AK53,$AK$2:$AK$113),"")</f>
        <v>52</v>
      </c>
      <c r="AM53" s="14">
        <f>IF(((D53="Implemented/available")+(E53="Implemented/available")+(J53="Implemented/available")+(K53="Implemented/available")+(L53="Implemented/available")+(M53="Implemented/available"))=0,"",(AND(D53="Implemented/available",O53&lt;&gt;"")+AND(E53="Implemented/available",P53&lt;&gt;"")+AND(J53="Implemented/available",Q53&lt;&gt;"")+AND(K53="Implemented/available",R53&lt;&gt;"")+AND(L53="Implemented/available",S53&lt;&gt;"")+AND(M53="Implemented/available",T53&lt;&gt;""))/((D53="Implemented/available")+(E53="Implemented/available")+(J53="Implemented/available")+(K53="Implemented/available")+(L53="Implemented/available")+(M53="Implemented/available")))</f>
        <v>1</v>
      </c>
    </row>
    <row r="54" spans="1:39" x14ac:dyDescent="0.25">
      <c r="A54" s="6" t="s">
        <v>565</v>
      </c>
      <c r="B54" s="6" t="s">
        <v>115</v>
      </c>
      <c r="C54" s="6" t="s">
        <v>566</v>
      </c>
      <c r="D54" s="6" t="s">
        <v>29</v>
      </c>
      <c r="E54" s="6" t="s">
        <v>41</v>
      </c>
      <c r="F54" s="6" t="s">
        <v>48</v>
      </c>
      <c r="G54" s="6" t="s">
        <v>117</v>
      </c>
      <c r="H54" s="6"/>
      <c r="I54" s="6" t="s">
        <v>60</v>
      </c>
      <c r="J54" s="6" t="s">
        <v>38</v>
      </c>
      <c r="K54" s="6" t="s">
        <v>29</v>
      </c>
      <c r="L54" s="6" t="s">
        <v>29</v>
      </c>
      <c r="M54" s="6" t="s">
        <v>29</v>
      </c>
      <c r="N54" s="6" t="s">
        <v>567</v>
      </c>
      <c r="O54" s="6" t="s">
        <v>568</v>
      </c>
      <c r="P54" s="6"/>
      <c r="Q54" s="6" t="s">
        <v>569</v>
      </c>
      <c r="R54" s="6" t="s">
        <v>570</v>
      </c>
      <c r="S54" s="6" t="s">
        <v>569</v>
      </c>
      <c r="T54" s="6" t="s">
        <v>571</v>
      </c>
      <c r="U54" s="6"/>
      <c r="V54" s="12">
        <f>IFERROR(IF(ISNUMBER(INDEX(Parameters!$B$5:$B$14,MATCH(D54,Parameters!$A$5:$A$14,0))),INDEX(Parameters!$B$5:$B$14,MATCH(D54,Parameters!$A$5:$A$14,0)),""),"")</f>
        <v>1</v>
      </c>
      <c r="W54" s="12">
        <f>IFERROR(IF(ISNUMBER(INDEX(Parameters!$B$5:$B$14,MATCH(E54,Parameters!$A$5:$A$14,0))),INDEX(Parameters!$B$5:$B$14,MATCH(E54,Parameters!$A$5:$A$14,0)),""),"")</f>
        <v>0.33</v>
      </c>
      <c r="X54" s="12" t="str">
        <f>IFERROR(IF(ISNUMBER(INDEX(Parameters!$B$5:$B$14,MATCH(F54,Parameters!$A$5:$A$14,0))),INDEX(Parameters!$B$5:$B$14,MATCH(F54,Parameters!$A$5:$A$14,0)),""),"")</f>
        <v/>
      </c>
      <c r="Y54" s="12">
        <f>IF(G54&lt;&gt;"",1,IF(ISNUMBER(Parameters!$B$18),Parameters!$B$18,""))</f>
        <v>1</v>
      </c>
      <c r="Z54" s="12">
        <f>IF(I54&lt;&gt;"",IFERROR(IF(ISNUMBER(INDEX(Parameters!$B$5:$B$14,MATCH(I54,Parameters!$A$5:$A$14,0))),INDEX(Parameters!$B$5:$B$14,MATCH(I54,Parameters!$A$5:$A$14,0)),""),""),IF(ISNUMBER(Parameters!$B$21),Parameters!$B$21,""))</f>
        <v>0.5</v>
      </c>
      <c r="AA54" s="12">
        <f>IFERROR(IF(ISNUMBER(INDEX(Parameters!$B$5:$B$14,MATCH(J54,Parameters!$A$5:$A$14,0))),INDEX(Parameters!$B$5:$B$14,MATCH(J54,Parameters!$A$5:$A$14,0)),""),"")</f>
        <v>0.67</v>
      </c>
      <c r="AB54" s="12">
        <f>IFERROR(IF(ISNUMBER(INDEX(Parameters!$B$5:$B$14,MATCH(K54,Parameters!$A$5:$A$14,0))),INDEX(Parameters!$B$5:$B$14,MATCH(K54,Parameters!$A$5:$A$14,0)),""),"")</f>
        <v>1</v>
      </c>
      <c r="AC54" s="12">
        <f>IFERROR(IF(ISNUMBER(INDEX(Parameters!$B$5:$B$14,MATCH(L54,Parameters!$A$5:$A$14,0))),INDEX(Parameters!$B$5:$B$14,MATCH(L54,Parameters!$A$5:$A$14,0)),""),"")</f>
        <v>1</v>
      </c>
      <c r="AD54" s="12">
        <f>IFERROR(IF(ISNUMBER(INDEX(Parameters!$B$5:$B$14,MATCH(M54,Parameters!$A$5:$A$14,0))),INDEX(Parameters!$B$5:$B$14,MATCH(M54,Parameters!$A$5:$A$14,0)),""),"")</f>
        <v>1</v>
      </c>
      <c r="AE54" s="12">
        <f>IF(N54&lt;&gt;"",1,IF(ISNUMBER(Parameters!$B$19),Parameters!$B$19,""))</f>
        <v>1</v>
      </c>
      <c r="AF54" s="12">
        <f>IF((Parameters!$I$5*ISNUMBER(V54)+Parameters!$I$6*ISNUMBER(W54)+Parameters!$I$7*ISNUMBER(X54)+Parameters!$I$8*ISNUMBER(Y54))=0,"",(Parameters!$I$5*N(V54)+Parameters!$I$6*N(W54)+Parameters!$I$7*N(X54)+Parameters!$I$8*N(Y54))/(Parameters!$I$5*ISNUMBER(V54)+Parameters!$I$6*ISNUMBER(W54)+Parameters!$I$7*ISNUMBER(X54)+Parameters!$I$8*ISNUMBER(Y54)))</f>
        <v>0.74875000000000003</v>
      </c>
      <c r="AG54" s="12">
        <f>IF((Parameters!$I$9*ISNUMBER(Z54))=0,"",(Parameters!$I$9*N(Z54))/(Parameters!$I$9*ISNUMBER(Z54)))</f>
        <v>0.5</v>
      </c>
      <c r="AH54" s="12">
        <f>IF((Parameters!$I$11*ISNUMBER(AA54)+Parameters!$I$12*ISNUMBER(AB54)+Parameters!$I$13*ISNUMBER(AC54)+Parameters!$I$14*ISNUMBER(AD54)+Parameters!$I$15*ISNUMBER(AE54))=0,"",(Parameters!$I$11*N(AA54)+Parameters!$I$12*N(AB54)+Parameters!$I$13*N(AC54)+Parameters!$I$14*N(AD54)+Parameters!$I$15*N(AE54))/(Parameters!$I$11*ISNUMBER(AA54)+Parameters!$I$12*ISNUMBER(AB54)+Parameters!$I$13*ISNUMBER(AC54)+Parameters!$I$14*ISNUMBER(AD54)+Parameters!$I$15*ISNUMBER(AE54)))</f>
        <v>0.93399999999999994</v>
      </c>
      <c r="AI54" s="13">
        <f>Parameters!$I$5*ISNUMBER(V54)+Parameters!$I$6*ISNUMBER(W54)+Parameters!$I$7*ISNUMBER(X54)+Parameters!$I$8*ISNUMBER(Y54)+Parameters!$I$9*ISNUMBER(Z54)+Parameters!$I$11*ISNUMBER(AA54)+Parameters!$I$12*ISNUMBER(AB54)+Parameters!$I$13*ISNUMBER(AC54)+Parameters!$I$14*ISNUMBER(AD54)+Parameters!$I$15*ISNUMBER(AE54)</f>
        <v>87</v>
      </c>
      <c r="AJ54" s="14">
        <f>IF((Parameters!$I$5+Parameters!$I$6+Parameters!$I$7+Parameters!$I$8+Parameters!$I$9+Parameters!$I$11+Parameters!$I$12+Parameters!$I$13+Parameters!$I$14+Parameters!$I$15)=0,"",AI54/(Parameters!$I$5+Parameters!$I$6+Parameters!$I$7+Parameters!$I$8+Parameters!$I$9+Parameters!$I$11+Parameters!$I$12+Parameters!$I$13+Parameters!$I$14+Parameters!$I$15))</f>
        <v>0.91578947368421049</v>
      </c>
      <c r="AK54" s="15">
        <f>IF(AND(ISNUMBER(AF54),ISNUMBER(AH54),OR(NOT((Parameters!$I$9)&gt;0),ISNUMBER(AG54)),AJ54&gt;=Parameters!$B$20),100*(Parameters!$F$18*N(AF54)+Parameters!$F$19*N(AG54)+Parameters!$F$20*N(AH54))/(Parameters!$F$18*ISNUMBER(AF54)+Parameters!$F$19*ISNUMBER(AG54)+Parameters!$F$20*ISNUMBER(AH54)),"")</f>
        <v>75.14</v>
      </c>
      <c r="AL54" s="16">
        <f>IF(ISNUMBER(AK54),RANK(AK54,$AK$2:$AK$113),"")</f>
        <v>53</v>
      </c>
      <c r="AM54" s="14">
        <f>IF(((D54="Implemented/available")+(E54="Implemented/available")+(J54="Implemented/available")+(K54="Implemented/available")+(L54="Implemented/available")+(M54="Implemented/available"))=0,"",(AND(D54="Implemented/available",O54&lt;&gt;"")+AND(E54="Implemented/available",P54&lt;&gt;"")+AND(J54="Implemented/available",Q54&lt;&gt;"")+AND(K54="Implemented/available",R54&lt;&gt;"")+AND(L54="Implemented/available",S54&lt;&gt;"")+AND(M54="Implemented/available",T54&lt;&gt;""))/((D54="Implemented/available")+(E54="Implemented/available")+(J54="Implemented/available")+(K54="Implemented/available")+(L54="Implemented/available")+(M54="Implemented/available")))</f>
        <v>1</v>
      </c>
    </row>
    <row r="55" spans="1:39" x14ac:dyDescent="0.25">
      <c r="A55" s="6" t="s">
        <v>486</v>
      </c>
      <c r="B55" s="6" t="s">
        <v>487</v>
      </c>
      <c r="C55" s="6" t="s">
        <v>488</v>
      </c>
      <c r="D55" s="6" t="s">
        <v>29</v>
      </c>
      <c r="E55" s="6" t="s">
        <v>38</v>
      </c>
      <c r="F55" s="6" t="s">
        <v>29</v>
      </c>
      <c r="G55" s="6" t="s">
        <v>117</v>
      </c>
      <c r="H55" s="6"/>
      <c r="I55" s="6" t="s">
        <v>60</v>
      </c>
      <c r="J55" s="6" t="s">
        <v>29</v>
      </c>
      <c r="K55" s="6" t="s">
        <v>29</v>
      </c>
      <c r="L55" s="6" t="s">
        <v>38</v>
      </c>
      <c r="M55" s="6" t="s">
        <v>29</v>
      </c>
      <c r="N55" s="6"/>
      <c r="O55" s="6" t="s">
        <v>489</v>
      </c>
      <c r="P55" s="6"/>
      <c r="Q55" s="6"/>
      <c r="R55" s="6" t="s">
        <v>490</v>
      </c>
      <c r="S55" s="6" t="s">
        <v>491</v>
      </c>
      <c r="T55" s="6" t="s">
        <v>492</v>
      </c>
      <c r="U55" s="6" t="s">
        <v>489</v>
      </c>
      <c r="V55" s="12">
        <f>IFERROR(IF(ISNUMBER(INDEX(Parameters!$B$5:$B$14,MATCH(D55,Parameters!$A$5:$A$14,0))),INDEX(Parameters!$B$5:$B$14,MATCH(D55,Parameters!$A$5:$A$14,0)),""),"")</f>
        <v>1</v>
      </c>
      <c r="W55" s="12">
        <f>IFERROR(IF(ISNUMBER(INDEX(Parameters!$B$5:$B$14,MATCH(E55,Parameters!$A$5:$A$14,0))),INDEX(Parameters!$B$5:$B$14,MATCH(E55,Parameters!$A$5:$A$14,0)),""),"")</f>
        <v>0.67</v>
      </c>
      <c r="X55" s="12">
        <f>IFERROR(IF(ISNUMBER(INDEX(Parameters!$B$5:$B$14,MATCH(F55,Parameters!$A$5:$A$14,0))),INDEX(Parameters!$B$5:$B$14,MATCH(F55,Parameters!$A$5:$A$14,0)),""),"")</f>
        <v>1</v>
      </c>
      <c r="Y55" s="12">
        <f>IF(G55&lt;&gt;"",1,IF(ISNUMBER(Parameters!$B$18),Parameters!$B$18,""))</f>
        <v>1</v>
      </c>
      <c r="Z55" s="12">
        <f>IF(I55&lt;&gt;"",IFERROR(IF(ISNUMBER(INDEX(Parameters!$B$5:$B$14,MATCH(I55,Parameters!$A$5:$A$14,0))),INDEX(Parameters!$B$5:$B$14,MATCH(I55,Parameters!$A$5:$A$14,0)),""),""),IF(ISNUMBER(Parameters!$B$21),Parameters!$B$21,""))</f>
        <v>0.5</v>
      </c>
      <c r="AA55" s="12">
        <f>IFERROR(IF(ISNUMBER(INDEX(Parameters!$B$5:$B$14,MATCH(J55,Parameters!$A$5:$A$14,0))),INDEX(Parameters!$B$5:$B$14,MATCH(J55,Parameters!$A$5:$A$14,0)),""),"")</f>
        <v>1</v>
      </c>
      <c r="AB55" s="12">
        <f>IFERROR(IF(ISNUMBER(INDEX(Parameters!$B$5:$B$14,MATCH(K55,Parameters!$A$5:$A$14,0))),INDEX(Parameters!$B$5:$B$14,MATCH(K55,Parameters!$A$5:$A$14,0)),""),"")</f>
        <v>1</v>
      </c>
      <c r="AC55" s="12">
        <f>IFERROR(IF(ISNUMBER(INDEX(Parameters!$B$5:$B$14,MATCH(L55,Parameters!$A$5:$A$14,0))),INDEX(Parameters!$B$5:$B$14,MATCH(L55,Parameters!$A$5:$A$14,0)),""),"")</f>
        <v>0.67</v>
      </c>
      <c r="AD55" s="12">
        <f>IFERROR(IF(ISNUMBER(INDEX(Parameters!$B$5:$B$14,MATCH(M55,Parameters!$A$5:$A$14,0))),INDEX(Parameters!$B$5:$B$14,MATCH(M55,Parameters!$A$5:$A$14,0)),""),"")</f>
        <v>1</v>
      </c>
      <c r="AE55" s="12">
        <f>IF(N55&lt;&gt;"",1,IF(ISNUMBER(Parameters!$B$19),Parameters!$B$19,""))</f>
        <v>0</v>
      </c>
      <c r="AF55" s="12">
        <f>IF((Parameters!$I$5*ISNUMBER(V55)+Parameters!$I$6*ISNUMBER(W55)+Parameters!$I$7*ISNUMBER(X55)+Parameters!$I$8*ISNUMBER(Y55))=0,"",(Parameters!$I$5*N(V55)+Parameters!$I$6*N(W55)+Parameters!$I$7*N(X55)+Parameters!$I$8*N(Y55))/(Parameters!$I$5*ISNUMBER(V55)+Parameters!$I$6*ISNUMBER(W55)+Parameters!$I$7*ISNUMBER(X55)+Parameters!$I$8*ISNUMBER(Y55)))</f>
        <v>0.90100000000000002</v>
      </c>
      <c r="AG55" s="12">
        <f>IF((Parameters!$I$9*ISNUMBER(Z55))=0,"",(Parameters!$I$9*N(Z55))/(Parameters!$I$9*ISNUMBER(Z55)))</f>
        <v>0.5</v>
      </c>
      <c r="AH55" s="12">
        <f>IF((Parameters!$I$11*ISNUMBER(AA55)+Parameters!$I$12*ISNUMBER(AB55)+Parameters!$I$13*ISNUMBER(AC55)+Parameters!$I$14*ISNUMBER(AD55)+Parameters!$I$15*ISNUMBER(AE55))=0,"",(Parameters!$I$11*N(AA55)+Parameters!$I$12*N(AB55)+Parameters!$I$13*N(AC55)+Parameters!$I$14*N(AD55)+Parameters!$I$15*N(AE55))/(Parameters!$I$11*ISNUMBER(AA55)+Parameters!$I$12*ISNUMBER(AB55)+Parameters!$I$13*ISNUMBER(AC55)+Parameters!$I$14*ISNUMBER(AD55)+Parameters!$I$15*ISNUMBER(AE55)))</f>
        <v>0.73399999999999999</v>
      </c>
      <c r="AI55" s="13">
        <f>Parameters!$I$5*ISNUMBER(V55)+Parameters!$I$6*ISNUMBER(W55)+Parameters!$I$7*ISNUMBER(X55)+Parameters!$I$8*ISNUMBER(Y55)+Parameters!$I$9*ISNUMBER(Z55)+Parameters!$I$11*ISNUMBER(AA55)+Parameters!$I$12*ISNUMBER(AB55)+Parameters!$I$13*ISNUMBER(AC55)+Parameters!$I$14*ISNUMBER(AD55)+Parameters!$I$15*ISNUMBER(AE55)</f>
        <v>95</v>
      </c>
      <c r="AJ55" s="14">
        <f>IF((Parameters!$I$5+Parameters!$I$6+Parameters!$I$7+Parameters!$I$8+Parameters!$I$9+Parameters!$I$11+Parameters!$I$12+Parameters!$I$13+Parameters!$I$14+Parameters!$I$15)=0,"",AI55/(Parameters!$I$5+Parameters!$I$6+Parameters!$I$7+Parameters!$I$8+Parameters!$I$9+Parameters!$I$11+Parameters!$I$12+Parameters!$I$13+Parameters!$I$14+Parameters!$I$15))</f>
        <v>1</v>
      </c>
      <c r="AK55" s="15">
        <f>IF(AND(ISNUMBER(AF55),ISNUMBER(AH55),OR(NOT((Parameters!$I$9)&gt;0),ISNUMBER(AG55)),AJ55&gt;=Parameters!$B$20),100*(Parameters!$F$18*N(AF55)+Parameters!$F$19*N(AG55)+Parameters!$F$20*N(AH55))/(Parameters!$F$18*ISNUMBER(AF55)+Parameters!$F$19*ISNUMBER(AG55)+Parameters!$F$20*ISNUMBER(AH55)),"")</f>
        <v>74.22999999999999</v>
      </c>
      <c r="AL55" s="16">
        <f>IF(ISNUMBER(AK55),RANK(AK55,$AK$2:$AK$113),"")</f>
        <v>54</v>
      </c>
      <c r="AM55" s="14">
        <f>IF(((D55="Implemented/available")+(E55="Implemented/available")+(J55="Implemented/available")+(K55="Implemented/available")+(L55="Implemented/available")+(M55="Implemented/available"))=0,"",(AND(D55="Implemented/available",O55&lt;&gt;"")+AND(E55="Implemented/available",P55&lt;&gt;"")+AND(J55="Implemented/available",Q55&lt;&gt;"")+AND(K55="Implemented/available",R55&lt;&gt;"")+AND(L55="Implemented/available",S55&lt;&gt;"")+AND(M55="Implemented/available",T55&lt;&gt;""))/((D55="Implemented/available")+(E55="Implemented/available")+(J55="Implemented/available")+(K55="Implemented/available")+(L55="Implemented/available")+(M55="Implemented/available")))</f>
        <v>0.75</v>
      </c>
    </row>
    <row r="56" spans="1:39" x14ac:dyDescent="0.25">
      <c r="A56" s="6" t="s">
        <v>494</v>
      </c>
      <c r="B56" s="6" t="s">
        <v>495</v>
      </c>
      <c r="C56" s="6" t="s">
        <v>256</v>
      </c>
      <c r="D56" s="6" t="s">
        <v>29</v>
      </c>
      <c r="E56" s="6" t="s">
        <v>44</v>
      </c>
      <c r="F56" s="6" t="s">
        <v>48</v>
      </c>
      <c r="G56" s="6" t="s">
        <v>117</v>
      </c>
      <c r="H56" s="6"/>
      <c r="I56" s="6" t="s">
        <v>32</v>
      </c>
      <c r="J56" s="6" t="s">
        <v>29</v>
      </c>
      <c r="K56" s="6" t="s">
        <v>29</v>
      </c>
      <c r="L56" s="6" t="s">
        <v>41</v>
      </c>
      <c r="M56" s="6" t="s">
        <v>29</v>
      </c>
      <c r="N56" s="6"/>
      <c r="O56" s="6" t="s">
        <v>496</v>
      </c>
      <c r="P56" s="6"/>
      <c r="Q56" s="6" t="s">
        <v>497</v>
      </c>
      <c r="R56" s="6" t="s">
        <v>498</v>
      </c>
      <c r="S56" s="6"/>
      <c r="T56" s="6" t="s">
        <v>499</v>
      </c>
      <c r="U56" s="6"/>
      <c r="V56" s="12">
        <f>IFERROR(IF(ISNUMBER(INDEX(Parameters!$B$5:$B$14,MATCH(D56,Parameters!$A$5:$A$14,0))),INDEX(Parameters!$B$5:$B$14,MATCH(D56,Parameters!$A$5:$A$14,0)),""),"")</f>
        <v>1</v>
      </c>
      <c r="W56" s="12">
        <f>IFERROR(IF(ISNUMBER(INDEX(Parameters!$B$5:$B$14,MATCH(E56,Parameters!$A$5:$A$14,0))),INDEX(Parameters!$B$5:$B$14,MATCH(E56,Parameters!$A$5:$A$14,0)),""),"")</f>
        <v>0</v>
      </c>
      <c r="X56" s="12" t="str">
        <f>IFERROR(IF(ISNUMBER(INDEX(Parameters!$B$5:$B$14,MATCH(F56,Parameters!$A$5:$A$14,0))),INDEX(Parameters!$B$5:$B$14,MATCH(F56,Parameters!$A$5:$A$14,0)),""),"")</f>
        <v/>
      </c>
      <c r="Y56" s="12">
        <f>IF(G56&lt;&gt;"",1,IF(ISNUMBER(Parameters!$B$18),Parameters!$B$18,""))</f>
        <v>1</v>
      </c>
      <c r="Z56" s="12">
        <f>IF(I56&lt;&gt;"",IFERROR(IF(ISNUMBER(INDEX(Parameters!$B$5:$B$14,MATCH(I56,Parameters!$A$5:$A$14,0))),INDEX(Parameters!$B$5:$B$14,MATCH(I56,Parameters!$A$5:$A$14,0)),""),""),IF(ISNUMBER(Parameters!$B$21),Parameters!$B$21,""))</f>
        <v>1</v>
      </c>
      <c r="AA56" s="12">
        <f>IFERROR(IF(ISNUMBER(INDEX(Parameters!$B$5:$B$14,MATCH(J56,Parameters!$A$5:$A$14,0))),INDEX(Parameters!$B$5:$B$14,MATCH(J56,Parameters!$A$5:$A$14,0)),""),"")</f>
        <v>1</v>
      </c>
      <c r="AB56" s="12">
        <f>IFERROR(IF(ISNUMBER(INDEX(Parameters!$B$5:$B$14,MATCH(K56,Parameters!$A$5:$A$14,0))),INDEX(Parameters!$B$5:$B$14,MATCH(K56,Parameters!$A$5:$A$14,0)),""),"")</f>
        <v>1</v>
      </c>
      <c r="AC56" s="12">
        <f>IFERROR(IF(ISNUMBER(INDEX(Parameters!$B$5:$B$14,MATCH(L56,Parameters!$A$5:$A$14,0))),INDEX(Parameters!$B$5:$B$14,MATCH(L56,Parameters!$A$5:$A$14,0)),""),"")</f>
        <v>0.33</v>
      </c>
      <c r="AD56" s="12">
        <f>IFERROR(IF(ISNUMBER(INDEX(Parameters!$B$5:$B$14,MATCH(M56,Parameters!$A$5:$A$14,0))),INDEX(Parameters!$B$5:$B$14,MATCH(M56,Parameters!$A$5:$A$14,0)),""),"")</f>
        <v>1</v>
      </c>
      <c r="AE56" s="12">
        <f>IF(N56&lt;&gt;"",1,IF(ISNUMBER(Parameters!$B$19),Parameters!$B$19,""))</f>
        <v>0</v>
      </c>
      <c r="AF56" s="12">
        <f>IF((Parameters!$I$5*ISNUMBER(V56)+Parameters!$I$6*ISNUMBER(W56)+Parameters!$I$7*ISNUMBER(X56)+Parameters!$I$8*ISNUMBER(Y56))=0,"",(Parameters!$I$5*N(V56)+Parameters!$I$6*N(W56)+Parameters!$I$7*N(X56)+Parameters!$I$8*N(Y56))/(Parameters!$I$5*ISNUMBER(V56)+Parameters!$I$6*ISNUMBER(W56)+Parameters!$I$7*ISNUMBER(X56)+Parameters!$I$8*ISNUMBER(Y56)))</f>
        <v>0.625</v>
      </c>
      <c r="AG56" s="12">
        <f>IF((Parameters!$I$9*ISNUMBER(Z56))=0,"",(Parameters!$I$9*N(Z56))/(Parameters!$I$9*ISNUMBER(Z56)))</f>
        <v>1</v>
      </c>
      <c r="AH56" s="12">
        <f>IF((Parameters!$I$11*ISNUMBER(AA56)+Parameters!$I$12*ISNUMBER(AB56)+Parameters!$I$13*ISNUMBER(AC56)+Parameters!$I$14*ISNUMBER(AD56)+Parameters!$I$15*ISNUMBER(AE56))=0,"",(Parameters!$I$11*N(AA56)+Parameters!$I$12*N(AB56)+Parameters!$I$13*N(AC56)+Parameters!$I$14*N(AD56)+Parameters!$I$15*N(AE56))/(Parameters!$I$11*ISNUMBER(AA56)+Parameters!$I$12*ISNUMBER(AB56)+Parameters!$I$13*ISNUMBER(AC56)+Parameters!$I$14*ISNUMBER(AD56)+Parameters!$I$15*ISNUMBER(AE56)))</f>
        <v>0.66599999999999993</v>
      </c>
      <c r="AI56" s="13">
        <f>Parameters!$I$5*ISNUMBER(V56)+Parameters!$I$6*ISNUMBER(W56)+Parameters!$I$7*ISNUMBER(X56)+Parameters!$I$8*ISNUMBER(Y56)+Parameters!$I$9*ISNUMBER(Z56)+Parameters!$I$11*ISNUMBER(AA56)+Parameters!$I$12*ISNUMBER(AB56)+Parameters!$I$13*ISNUMBER(AC56)+Parameters!$I$14*ISNUMBER(AD56)+Parameters!$I$15*ISNUMBER(AE56)</f>
        <v>87</v>
      </c>
      <c r="AJ56" s="14">
        <f>IF((Parameters!$I$5+Parameters!$I$6+Parameters!$I$7+Parameters!$I$8+Parameters!$I$9+Parameters!$I$11+Parameters!$I$12+Parameters!$I$13+Parameters!$I$14+Parameters!$I$15)=0,"",AI56/(Parameters!$I$5+Parameters!$I$6+Parameters!$I$7+Parameters!$I$8+Parameters!$I$9+Parameters!$I$11+Parameters!$I$12+Parameters!$I$13+Parameters!$I$14+Parameters!$I$15))</f>
        <v>0.91578947368421049</v>
      </c>
      <c r="AK56" s="15">
        <f>IF(AND(ISNUMBER(AF56),ISNUMBER(AH56),OR(NOT((Parameters!$I$9)&gt;0),ISNUMBER(AG56)),AJ56&gt;=Parameters!$B$20),100*(Parameters!$F$18*N(AF56)+Parameters!$F$19*N(AG56)+Parameters!$F$20*N(AH56))/(Parameters!$F$18*ISNUMBER(AF56)+Parameters!$F$19*ISNUMBER(AG56)+Parameters!$F$20*ISNUMBER(AH56)),"")</f>
        <v>73.31</v>
      </c>
      <c r="AL56" s="16">
        <f>IF(ISNUMBER(AK56),RANK(AK56,$AK$2:$AK$113),"")</f>
        <v>55</v>
      </c>
      <c r="AM56" s="14">
        <f>IF(((D56="Implemented/available")+(E56="Implemented/available")+(J56="Implemented/available")+(K56="Implemented/available")+(L56="Implemented/available")+(M56="Implemented/available"))=0,"",(AND(D56="Implemented/available",O56&lt;&gt;"")+AND(E56="Implemented/available",P56&lt;&gt;"")+AND(J56="Implemented/available",Q56&lt;&gt;"")+AND(K56="Implemented/available",R56&lt;&gt;"")+AND(L56="Implemented/available",S56&lt;&gt;"")+AND(M56="Implemented/available",T56&lt;&gt;""))/((D56="Implemented/available")+(E56="Implemented/available")+(J56="Implemented/available")+(K56="Implemented/available")+(L56="Implemented/available")+(M56="Implemented/available")))</f>
        <v>1</v>
      </c>
    </row>
    <row r="57" spans="1:39" x14ac:dyDescent="0.25">
      <c r="A57" s="6" t="s">
        <v>628</v>
      </c>
      <c r="B57" s="6" t="s">
        <v>629</v>
      </c>
      <c r="C57" s="6" t="s">
        <v>566</v>
      </c>
      <c r="D57" s="6" t="s">
        <v>29</v>
      </c>
      <c r="E57" s="6" t="s">
        <v>44</v>
      </c>
      <c r="F57" s="6" t="s">
        <v>41</v>
      </c>
      <c r="G57" s="6" t="s">
        <v>123</v>
      </c>
      <c r="H57" s="6"/>
      <c r="I57" s="6" t="s">
        <v>32</v>
      </c>
      <c r="J57" s="6" t="s">
        <v>41</v>
      </c>
      <c r="K57" s="6" t="s">
        <v>34</v>
      </c>
      <c r="L57" s="6" t="s">
        <v>41</v>
      </c>
      <c r="M57" s="6" t="s">
        <v>29</v>
      </c>
      <c r="N57" s="6" t="s">
        <v>242</v>
      </c>
      <c r="O57" s="6" t="s">
        <v>630</v>
      </c>
      <c r="P57" s="6"/>
      <c r="Q57" s="6"/>
      <c r="R57" s="6"/>
      <c r="S57" s="6"/>
      <c r="T57" s="6" t="s">
        <v>631</v>
      </c>
      <c r="U57" s="6"/>
      <c r="V57" s="12">
        <f>IFERROR(IF(ISNUMBER(INDEX(Parameters!$B$5:$B$14,MATCH(D57,Parameters!$A$5:$A$14,0))),INDEX(Parameters!$B$5:$B$14,MATCH(D57,Parameters!$A$5:$A$14,0)),""),"")</f>
        <v>1</v>
      </c>
      <c r="W57" s="12">
        <f>IFERROR(IF(ISNUMBER(INDEX(Parameters!$B$5:$B$14,MATCH(E57,Parameters!$A$5:$A$14,0))),INDEX(Parameters!$B$5:$B$14,MATCH(E57,Parameters!$A$5:$A$14,0)),""),"")</f>
        <v>0</v>
      </c>
      <c r="X57" s="12">
        <f>IFERROR(IF(ISNUMBER(INDEX(Parameters!$B$5:$B$14,MATCH(F57,Parameters!$A$5:$A$14,0))),INDEX(Parameters!$B$5:$B$14,MATCH(F57,Parameters!$A$5:$A$14,0)),""),"")</f>
        <v>0.33</v>
      </c>
      <c r="Y57" s="12">
        <f>IF(G57&lt;&gt;"",1,IF(ISNUMBER(Parameters!$B$18),Parameters!$B$18,""))</f>
        <v>1</v>
      </c>
      <c r="Z57" s="12">
        <f>IF(I57&lt;&gt;"",IFERROR(IF(ISNUMBER(INDEX(Parameters!$B$5:$B$14,MATCH(I57,Parameters!$A$5:$A$14,0))),INDEX(Parameters!$B$5:$B$14,MATCH(I57,Parameters!$A$5:$A$14,0)),""),""),IF(ISNUMBER(Parameters!$B$21),Parameters!$B$21,""))</f>
        <v>1</v>
      </c>
      <c r="AA57" s="12">
        <f>IFERROR(IF(ISNUMBER(INDEX(Parameters!$B$5:$B$14,MATCH(J57,Parameters!$A$5:$A$14,0))),INDEX(Parameters!$B$5:$B$14,MATCH(J57,Parameters!$A$5:$A$14,0)),""),"")</f>
        <v>0.33</v>
      </c>
      <c r="AB57" s="12">
        <f>IFERROR(IF(ISNUMBER(INDEX(Parameters!$B$5:$B$14,MATCH(K57,Parameters!$A$5:$A$14,0))),INDEX(Parameters!$B$5:$B$14,MATCH(K57,Parameters!$A$5:$A$14,0)),""),"")</f>
        <v>1</v>
      </c>
      <c r="AC57" s="12">
        <f>IFERROR(IF(ISNUMBER(INDEX(Parameters!$B$5:$B$14,MATCH(L57,Parameters!$A$5:$A$14,0))),INDEX(Parameters!$B$5:$B$14,MATCH(L57,Parameters!$A$5:$A$14,0)),""),"")</f>
        <v>0.33</v>
      </c>
      <c r="AD57" s="12">
        <f>IFERROR(IF(ISNUMBER(INDEX(Parameters!$B$5:$B$14,MATCH(M57,Parameters!$A$5:$A$14,0))),INDEX(Parameters!$B$5:$B$14,MATCH(M57,Parameters!$A$5:$A$14,0)),""),"")</f>
        <v>1</v>
      </c>
      <c r="AE57" s="12">
        <f>IF(N57&lt;&gt;"",1,IF(ISNUMBER(Parameters!$B$19),Parameters!$B$19,""))</f>
        <v>1</v>
      </c>
      <c r="AF57" s="12">
        <f>IF((Parameters!$I$5*ISNUMBER(V57)+Parameters!$I$6*ISNUMBER(W57)+Parameters!$I$7*ISNUMBER(X57)+Parameters!$I$8*ISNUMBER(Y57))=0,"",(Parameters!$I$5*N(V57)+Parameters!$I$6*N(W57)+Parameters!$I$7*N(X57)+Parameters!$I$8*N(Y57))/(Parameters!$I$5*ISNUMBER(V57)+Parameters!$I$6*ISNUMBER(W57)+Parameters!$I$7*ISNUMBER(X57)+Parameters!$I$8*ISNUMBER(Y57)))</f>
        <v>0.56600000000000006</v>
      </c>
      <c r="AG57" s="12">
        <f>IF((Parameters!$I$9*ISNUMBER(Z57))=0,"",(Parameters!$I$9*N(Z57))/(Parameters!$I$9*ISNUMBER(Z57)))</f>
        <v>1</v>
      </c>
      <c r="AH57" s="12">
        <f>IF((Parameters!$I$11*ISNUMBER(AA57)+Parameters!$I$12*ISNUMBER(AB57)+Parameters!$I$13*ISNUMBER(AC57)+Parameters!$I$14*ISNUMBER(AD57)+Parameters!$I$15*ISNUMBER(AE57))=0,"",(Parameters!$I$11*N(AA57)+Parameters!$I$12*N(AB57)+Parameters!$I$13*N(AC57)+Parameters!$I$14*N(AD57)+Parameters!$I$15*N(AE57))/(Parameters!$I$11*ISNUMBER(AA57)+Parameters!$I$12*ISNUMBER(AB57)+Parameters!$I$13*ISNUMBER(AC57)+Parameters!$I$14*ISNUMBER(AD57)+Parameters!$I$15*ISNUMBER(AE57)))</f>
        <v>0.73199999999999998</v>
      </c>
      <c r="AI57" s="13">
        <f>Parameters!$I$5*ISNUMBER(V57)+Parameters!$I$6*ISNUMBER(W57)+Parameters!$I$7*ISNUMBER(X57)+Parameters!$I$8*ISNUMBER(Y57)+Parameters!$I$9*ISNUMBER(Z57)+Parameters!$I$11*ISNUMBER(AA57)+Parameters!$I$12*ISNUMBER(AB57)+Parameters!$I$13*ISNUMBER(AC57)+Parameters!$I$14*ISNUMBER(AD57)+Parameters!$I$15*ISNUMBER(AE57)</f>
        <v>95</v>
      </c>
      <c r="AJ57" s="14">
        <f>IF((Parameters!$I$5+Parameters!$I$6+Parameters!$I$7+Parameters!$I$8+Parameters!$I$9+Parameters!$I$11+Parameters!$I$12+Parameters!$I$13+Parameters!$I$14+Parameters!$I$15)=0,"",AI57/(Parameters!$I$5+Parameters!$I$6+Parameters!$I$7+Parameters!$I$8+Parameters!$I$9+Parameters!$I$11+Parameters!$I$12+Parameters!$I$13+Parameters!$I$14+Parameters!$I$15))</f>
        <v>1</v>
      </c>
      <c r="AK57" s="15">
        <f>IF(AND(ISNUMBER(AF57),ISNUMBER(AH57),OR(NOT((Parameters!$I$9)&gt;0),ISNUMBER(AG57)),AJ57&gt;=Parameters!$B$20),100*(Parameters!$F$18*N(AF57)+Parameters!$F$19*N(AG57)+Parameters!$F$20*N(AH57))/(Parameters!$F$18*ISNUMBER(AF57)+Parameters!$F$19*ISNUMBER(AG57)+Parameters!$F$20*ISNUMBER(AH57)),"")</f>
        <v>73.260000000000005</v>
      </c>
      <c r="AL57" s="16">
        <f>IF(ISNUMBER(AK57),RANK(AK57,$AK$2:$AK$113),"")</f>
        <v>56</v>
      </c>
      <c r="AM57" s="14">
        <f>IF(((D57="Implemented/available")+(E57="Implemented/available")+(J57="Implemented/available")+(K57="Implemented/available")+(L57="Implemented/available")+(M57="Implemented/available"))=0,"",(AND(D57="Implemented/available",O57&lt;&gt;"")+AND(E57="Implemented/available",P57&lt;&gt;"")+AND(J57="Implemented/available",Q57&lt;&gt;"")+AND(K57="Implemented/available",R57&lt;&gt;"")+AND(L57="Implemented/available",S57&lt;&gt;"")+AND(M57="Implemented/available",T57&lt;&gt;""))/((D57="Implemented/available")+(E57="Implemented/available")+(J57="Implemented/available")+(K57="Implemented/available")+(L57="Implemented/available")+(M57="Implemented/available")))</f>
        <v>1</v>
      </c>
    </row>
    <row r="58" spans="1:39" x14ac:dyDescent="0.25">
      <c r="A58" s="6" t="s">
        <v>334</v>
      </c>
      <c r="B58" s="6" t="s">
        <v>335</v>
      </c>
      <c r="C58" s="6" t="s">
        <v>336</v>
      </c>
      <c r="D58" s="6" t="s">
        <v>29</v>
      </c>
      <c r="E58" s="6" t="s">
        <v>41</v>
      </c>
      <c r="F58" s="6" t="s">
        <v>29</v>
      </c>
      <c r="G58" s="6" t="s">
        <v>123</v>
      </c>
      <c r="H58" s="6"/>
      <c r="I58" s="6" t="s">
        <v>60</v>
      </c>
      <c r="J58" s="6" t="s">
        <v>38</v>
      </c>
      <c r="K58" s="6" t="s">
        <v>34</v>
      </c>
      <c r="L58" s="6" t="s">
        <v>41</v>
      </c>
      <c r="M58" s="6" t="s">
        <v>29</v>
      </c>
      <c r="N58" s="6" t="s">
        <v>139</v>
      </c>
      <c r="O58" s="6" t="s">
        <v>337</v>
      </c>
      <c r="P58" s="6"/>
      <c r="Q58" s="6"/>
      <c r="R58" s="6"/>
      <c r="S58" s="6"/>
      <c r="T58" s="6" t="s">
        <v>338</v>
      </c>
      <c r="U58" s="6" t="s">
        <v>339</v>
      </c>
      <c r="V58" s="12">
        <f>IFERROR(IF(ISNUMBER(INDEX(Parameters!$B$5:$B$14,MATCH(D58,Parameters!$A$5:$A$14,0))),INDEX(Parameters!$B$5:$B$14,MATCH(D58,Parameters!$A$5:$A$14,0)),""),"")</f>
        <v>1</v>
      </c>
      <c r="W58" s="12">
        <f>IFERROR(IF(ISNUMBER(INDEX(Parameters!$B$5:$B$14,MATCH(E58,Parameters!$A$5:$A$14,0))),INDEX(Parameters!$B$5:$B$14,MATCH(E58,Parameters!$A$5:$A$14,0)),""),"")</f>
        <v>0.33</v>
      </c>
      <c r="X58" s="12">
        <f>IFERROR(IF(ISNUMBER(INDEX(Parameters!$B$5:$B$14,MATCH(F58,Parameters!$A$5:$A$14,0))),INDEX(Parameters!$B$5:$B$14,MATCH(F58,Parameters!$A$5:$A$14,0)),""),"")</f>
        <v>1</v>
      </c>
      <c r="Y58" s="12">
        <f>IF(G58&lt;&gt;"",1,IF(ISNUMBER(Parameters!$B$18),Parameters!$B$18,""))</f>
        <v>1</v>
      </c>
      <c r="Z58" s="12">
        <f>IF(I58&lt;&gt;"",IFERROR(IF(ISNUMBER(INDEX(Parameters!$B$5:$B$14,MATCH(I58,Parameters!$A$5:$A$14,0))),INDEX(Parameters!$B$5:$B$14,MATCH(I58,Parameters!$A$5:$A$14,0)),""),""),IF(ISNUMBER(Parameters!$B$21),Parameters!$B$21,""))</f>
        <v>0.5</v>
      </c>
      <c r="AA58" s="12">
        <f>IFERROR(IF(ISNUMBER(INDEX(Parameters!$B$5:$B$14,MATCH(J58,Parameters!$A$5:$A$14,0))),INDEX(Parameters!$B$5:$B$14,MATCH(J58,Parameters!$A$5:$A$14,0)),""),"")</f>
        <v>0.67</v>
      </c>
      <c r="AB58" s="12">
        <f>IFERROR(IF(ISNUMBER(INDEX(Parameters!$B$5:$B$14,MATCH(K58,Parameters!$A$5:$A$14,0))),INDEX(Parameters!$B$5:$B$14,MATCH(K58,Parameters!$A$5:$A$14,0)),""),"")</f>
        <v>1</v>
      </c>
      <c r="AC58" s="12">
        <f>IFERROR(IF(ISNUMBER(INDEX(Parameters!$B$5:$B$14,MATCH(L58,Parameters!$A$5:$A$14,0))),INDEX(Parameters!$B$5:$B$14,MATCH(L58,Parameters!$A$5:$A$14,0)),""),"")</f>
        <v>0.33</v>
      </c>
      <c r="AD58" s="12">
        <f>IFERROR(IF(ISNUMBER(INDEX(Parameters!$B$5:$B$14,MATCH(M58,Parameters!$A$5:$A$14,0))),INDEX(Parameters!$B$5:$B$14,MATCH(M58,Parameters!$A$5:$A$14,0)),""),"")</f>
        <v>1</v>
      </c>
      <c r="AE58" s="12">
        <f>IF(N58&lt;&gt;"",1,IF(ISNUMBER(Parameters!$B$19),Parameters!$B$19,""))</f>
        <v>1</v>
      </c>
      <c r="AF58" s="12">
        <f>IF((Parameters!$I$5*ISNUMBER(V58)+Parameters!$I$6*ISNUMBER(W58)+Parameters!$I$7*ISNUMBER(X58)+Parameters!$I$8*ISNUMBER(Y58))=0,"",(Parameters!$I$5*N(V58)+Parameters!$I$6*N(W58)+Parameters!$I$7*N(X58)+Parameters!$I$8*N(Y58))/(Parameters!$I$5*ISNUMBER(V58)+Parameters!$I$6*ISNUMBER(W58)+Parameters!$I$7*ISNUMBER(X58)+Parameters!$I$8*ISNUMBER(Y58)))</f>
        <v>0.79900000000000004</v>
      </c>
      <c r="AG58" s="12">
        <f>IF((Parameters!$I$9*ISNUMBER(Z58))=0,"",(Parameters!$I$9*N(Z58))/(Parameters!$I$9*ISNUMBER(Z58)))</f>
        <v>0.5</v>
      </c>
      <c r="AH58" s="12">
        <f>IF((Parameters!$I$11*ISNUMBER(AA58)+Parameters!$I$12*ISNUMBER(AB58)+Parameters!$I$13*ISNUMBER(AC58)+Parameters!$I$14*ISNUMBER(AD58)+Parameters!$I$15*ISNUMBER(AE58))=0,"",(Parameters!$I$11*N(AA58)+Parameters!$I$12*N(AB58)+Parameters!$I$13*N(AC58)+Parameters!$I$14*N(AD58)+Parameters!$I$15*N(AE58))/(Parameters!$I$11*ISNUMBER(AA58)+Parameters!$I$12*ISNUMBER(AB58)+Parameters!$I$13*ISNUMBER(AC58)+Parameters!$I$14*ISNUMBER(AD58)+Parameters!$I$15*ISNUMBER(AE58)))</f>
        <v>0.8</v>
      </c>
      <c r="AI58" s="13">
        <f>Parameters!$I$5*ISNUMBER(V58)+Parameters!$I$6*ISNUMBER(W58)+Parameters!$I$7*ISNUMBER(X58)+Parameters!$I$8*ISNUMBER(Y58)+Parameters!$I$9*ISNUMBER(Z58)+Parameters!$I$11*ISNUMBER(AA58)+Parameters!$I$12*ISNUMBER(AB58)+Parameters!$I$13*ISNUMBER(AC58)+Parameters!$I$14*ISNUMBER(AD58)+Parameters!$I$15*ISNUMBER(AE58)</f>
        <v>95</v>
      </c>
      <c r="AJ58" s="14">
        <f>IF((Parameters!$I$5+Parameters!$I$6+Parameters!$I$7+Parameters!$I$8+Parameters!$I$9+Parameters!$I$11+Parameters!$I$12+Parameters!$I$13+Parameters!$I$14+Parameters!$I$15)=0,"",AI58/(Parameters!$I$5+Parameters!$I$6+Parameters!$I$7+Parameters!$I$8+Parameters!$I$9+Parameters!$I$11+Parameters!$I$12+Parameters!$I$13+Parameters!$I$14+Parameters!$I$15))</f>
        <v>1</v>
      </c>
      <c r="AK58" s="15">
        <f>IF(AND(ISNUMBER(AF58),ISNUMBER(AH58),OR(NOT((Parameters!$I$9)&gt;0),ISNUMBER(AG58)),AJ58&gt;=Parameters!$B$20),100*(Parameters!$F$18*N(AF58)+Parameters!$F$19*N(AG58)+Parameters!$F$20*N(AH58))/(Parameters!$F$18*ISNUMBER(AF58)+Parameters!$F$19*ISNUMBER(AG58)+Parameters!$F$20*ISNUMBER(AH58)),"")</f>
        <v>72.460000000000008</v>
      </c>
      <c r="AL58" s="16">
        <f>IF(ISNUMBER(AK58),RANK(AK58,$AK$2:$AK$113),"")</f>
        <v>57</v>
      </c>
      <c r="AM58" s="14">
        <f>IF(((D58="Implemented/available")+(E58="Implemented/available")+(J58="Implemented/available")+(K58="Implemented/available")+(L58="Implemented/available")+(M58="Implemented/available"))=0,"",(AND(D58="Implemented/available",O58&lt;&gt;"")+AND(E58="Implemented/available",P58&lt;&gt;"")+AND(J58="Implemented/available",Q58&lt;&gt;"")+AND(K58="Implemented/available",R58&lt;&gt;"")+AND(L58="Implemented/available",S58&lt;&gt;"")+AND(M58="Implemented/available",T58&lt;&gt;""))/((D58="Implemented/available")+(E58="Implemented/available")+(J58="Implemented/available")+(K58="Implemented/available")+(L58="Implemented/available")+(M58="Implemented/available")))</f>
        <v>1</v>
      </c>
    </row>
    <row r="59" spans="1:39" x14ac:dyDescent="0.25">
      <c r="A59" s="6" t="s">
        <v>609</v>
      </c>
      <c r="B59" s="6" t="s">
        <v>609</v>
      </c>
      <c r="C59" s="6" t="s">
        <v>270</v>
      </c>
      <c r="D59" s="6" t="s">
        <v>38</v>
      </c>
      <c r="E59" s="6" t="s">
        <v>29</v>
      </c>
      <c r="F59" s="6" t="s">
        <v>29</v>
      </c>
      <c r="G59" s="6" t="s">
        <v>117</v>
      </c>
      <c r="H59" s="6"/>
      <c r="I59" s="6" t="s">
        <v>60</v>
      </c>
      <c r="J59" s="6" t="s">
        <v>48</v>
      </c>
      <c r="K59" s="6" t="s">
        <v>34</v>
      </c>
      <c r="L59" s="6" t="s">
        <v>48</v>
      </c>
      <c r="M59" s="6" t="s">
        <v>29</v>
      </c>
      <c r="N59" s="6"/>
      <c r="O59" s="6" t="s">
        <v>610</v>
      </c>
      <c r="P59" s="6" t="s">
        <v>611</v>
      </c>
      <c r="Q59" s="6"/>
      <c r="R59" s="6"/>
      <c r="S59" s="6"/>
      <c r="T59" s="6" t="s">
        <v>612</v>
      </c>
      <c r="U59" s="6" t="s">
        <v>613</v>
      </c>
      <c r="V59" s="12">
        <f>IFERROR(IF(ISNUMBER(INDEX(Parameters!$B$5:$B$14,MATCH(D59,Parameters!$A$5:$A$14,0))),INDEX(Parameters!$B$5:$B$14,MATCH(D59,Parameters!$A$5:$A$14,0)),""),"")</f>
        <v>0.67</v>
      </c>
      <c r="W59" s="12">
        <f>IFERROR(IF(ISNUMBER(INDEX(Parameters!$B$5:$B$14,MATCH(E59,Parameters!$A$5:$A$14,0))),INDEX(Parameters!$B$5:$B$14,MATCH(E59,Parameters!$A$5:$A$14,0)),""),"")</f>
        <v>1</v>
      </c>
      <c r="X59" s="12">
        <f>IFERROR(IF(ISNUMBER(INDEX(Parameters!$B$5:$B$14,MATCH(F59,Parameters!$A$5:$A$14,0))),INDEX(Parameters!$B$5:$B$14,MATCH(F59,Parameters!$A$5:$A$14,0)),""),"")</f>
        <v>1</v>
      </c>
      <c r="Y59" s="12">
        <f>IF(G59&lt;&gt;"",1,IF(ISNUMBER(Parameters!$B$18),Parameters!$B$18,""))</f>
        <v>1</v>
      </c>
      <c r="Z59" s="12">
        <f>IF(I59&lt;&gt;"",IFERROR(IF(ISNUMBER(INDEX(Parameters!$B$5:$B$14,MATCH(I59,Parameters!$A$5:$A$14,0))),INDEX(Parameters!$B$5:$B$14,MATCH(I59,Parameters!$A$5:$A$14,0)),""),""),IF(ISNUMBER(Parameters!$B$21),Parameters!$B$21,""))</f>
        <v>0.5</v>
      </c>
      <c r="AA59" s="12" t="str">
        <f>IFERROR(IF(ISNUMBER(INDEX(Parameters!$B$5:$B$14,MATCH(J59,Parameters!$A$5:$A$14,0))),INDEX(Parameters!$B$5:$B$14,MATCH(J59,Parameters!$A$5:$A$14,0)),""),"")</f>
        <v/>
      </c>
      <c r="AB59" s="12">
        <f>IFERROR(IF(ISNUMBER(INDEX(Parameters!$B$5:$B$14,MATCH(K59,Parameters!$A$5:$A$14,0))),INDEX(Parameters!$B$5:$B$14,MATCH(K59,Parameters!$A$5:$A$14,0)),""),"")</f>
        <v>1</v>
      </c>
      <c r="AC59" s="12" t="str">
        <f>IFERROR(IF(ISNUMBER(INDEX(Parameters!$B$5:$B$14,MATCH(L59,Parameters!$A$5:$A$14,0))),INDEX(Parameters!$B$5:$B$14,MATCH(L59,Parameters!$A$5:$A$14,0)),""),"")</f>
        <v/>
      </c>
      <c r="AD59" s="12">
        <f>IFERROR(IF(ISNUMBER(INDEX(Parameters!$B$5:$B$14,MATCH(M59,Parameters!$A$5:$A$14,0))),INDEX(Parameters!$B$5:$B$14,MATCH(M59,Parameters!$A$5:$A$14,0)),""),"")</f>
        <v>1</v>
      </c>
      <c r="AE59" s="12">
        <f>IF(N59&lt;&gt;"",1,IF(ISNUMBER(Parameters!$B$19),Parameters!$B$19,""))</f>
        <v>0</v>
      </c>
      <c r="AF59" s="12">
        <f>IF((Parameters!$I$5*ISNUMBER(V59)+Parameters!$I$6*ISNUMBER(W59)+Parameters!$I$7*ISNUMBER(X59)+Parameters!$I$8*ISNUMBER(Y59))=0,"",(Parameters!$I$5*N(V59)+Parameters!$I$6*N(W59)+Parameters!$I$7*N(X59)+Parameters!$I$8*N(Y59))/(Parameters!$I$5*ISNUMBER(V59)+Parameters!$I$6*ISNUMBER(W59)+Parameters!$I$7*ISNUMBER(X59)+Parameters!$I$8*ISNUMBER(Y59)))</f>
        <v>0.90100000000000002</v>
      </c>
      <c r="AG59" s="12">
        <f>IF((Parameters!$I$9*ISNUMBER(Z59))=0,"",(Parameters!$I$9*N(Z59))/(Parameters!$I$9*ISNUMBER(Z59)))</f>
        <v>0.5</v>
      </c>
      <c r="AH59" s="12">
        <f>IF((Parameters!$I$11*ISNUMBER(AA59)+Parameters!$I$12*ISNUMBER(AB59)+Parameters!$I$13*ISNUMBER(AC59)+Parameters!$I$14*ISNUMBER(AD59)+Parameters!$I$15*ISNUMBER(AE59))=0,"",(Parameters!$I$11*N(AA59)+Parameters!$I$12*N(AB59)+Parameters!$I$13*N(AC59)+Parameters!$I$14*N(AD59)+Parameters!$I$15*N(AE59))/(Parameters!$I$11*ISNUMBER(AA59)+Parameters!$I$12*ISNUMBER(AB59)+Parameters!$I$13*ISNUMBER(AC59)+Parameters!$I$14*ISNUMBER(AD59)+Parameters!$I$15*ISNUMBER(AE59)))</f>
        <v>0.66666666666666663</v>
      </c>
      <c r="AI59" s="13">
        <f>Parameters!$I$5*ISNUMBER(V59)+Parameters!$I$6*ISNUMBER(W59)+Parameters!$I$7*ISNUMBER(X59)+Parameters!$I$8*ISNUMBER(Y59)+Parameters!$I$9*ISNUMBER(Z59)+Parameters!$I$11*ISNUMBER(AA59)+Parameters!$I$12*ISNUMBER(AB59)+Parameters!$I$13*ISNUMBER(AC59)+Parameters!$I$14*ISNUMBER(AD59)+Parameters!$I$15*ISNUMBER(AE59)</f>
        <v>81</v>
      </c>
      <c r="AJ59" s="14">
        <f>IF((Parameters!$I$5+Parameters!$I$6+Parameters!$I$7+Parameters!$I$8+Parameters!$I$9+Parameters!$I$11+Parameters!$I$12+Parameters!$I$13+Parameters!$I$14+Parameters!$I$15)=0,"",AI59/(Parameters!$I$5+Parameters!$I$6+Parameters!$I$7+Parameters!$I$8+Parameters!$I$9+Parameters!$I$11+Parameters!$I$12+Parameters!$I$13+Parameters!$I$14+Parameters!$I$15))</f>
        <v>0.85263157894736841</v>
      </c>
      <c r="AK59" s="15">
        <f>IF(AND(ISNUMBER(AF59),ISNUMBER(AH59),OR(NOT((Parameters!$I$9)&gt;0),ISNUMBER(AG59)),AJ59&gt;=Parameters!$B$20),100*(Parameters!$F$18*N(AF59)+Parameters!$F$19*N(AG59)+Parameters!$F$20*N(AH59))/(Parameters!$F$18*ISNUMBER(AF59)+Parameters!$F$19*ISNUMBER(AG59)+Parameters!$F$20*ISNUMBER(AH59)),"")</f>
        <v>71.873333333333335</v>
      </c>
      <c r="AL59" s="16">
        <f>IF(ISNUMBER(AK59),RANK(AK59,$AK$2:$AK$113),"")</f>
        <v>58</v>
      </c>
      <c r="AM59" s="14">
        <f>IF(((D59="Implemented/available")+(E59="Implemented/available")+(J59="Implemented/available")+(K59="Implemented/available")+(L59="Implemented/available")+(M59="Implemented/available"))=0,"",(AND(D59="Implemented/available",O59&lt;&gt;"")+AND(E59="Implemented/available",P59&lt;&gt;"")+AND(J59="Implemented/available",Q59&lt;&gt;"")+AND(K59="Implemented/available",R59&lt;&gt;"")+AND(L59="Implemented/available",S59&lt;&gt;"")+AND(M59="Implemented/available",T59&lt;&gt;""))/((D59="Implemented/available")+(E59="Implemented/available")+(J59="Implemented/available")+(K59="Implemented/available")+(L59="Implemented/available")+(M59="Implemented/available")))</f>
        <v>1</v>
      </c>
    </row>
    <row r="60" spans="1:39" x14ac:dyDescent="0.25">
      <c r="A60" s="6" t="s">
        <v>656</v>
      </c>
      <c r="B60" s="6" t="s">
        <v>366</v>
      </c>
      <c r="C60" s="6" t="s">
        <v>201</v>
      </c>
      <c r="D60" s="6" t="s">
        <v>29</v>
      </c>
      <c r="E60" s="6" t="s">
        <v>44</v>
      </c>
      <c r="F60" s="6" t="s">
        <v>48</v>
      </c>
      <c r="G60" s="6" t="s">
        <v>117</v>
      </c>
      <c r="H60" s="6" t="s">
        <v>76</v>
      </c>
      <c r="I60" s="6" t="s">
        <v>32</v>
      </c>
      <c r="J60" s="6" t="s">
        <v>41</v>
      </c>
      <c r="K60" s="6" t="s">
        <v>34</v>
      </c>
      <c r="L60" s="6" t="s">
        <v>38</v>
      </c>
      <c r="M60" s="6" t="s">
        <v>29</v>
      </c>
      <c r="N60" s="6"/>
      <c r="O60" s="6" t="s">
        <v>367</v>
      </c>
      <c r="P60" s="6"/>
      <c r="Q60" s="6"/>
      <c r="R60" s="6"/>
      <c r="S60" s="6"/>
      <c r="T60" s="6" t="s">
        <v>368</v>
      </c>
      <c r="U60" s="6"/>
      <c r="V60" s="12">
        <f>IFERROR(IF(ISNUMBER(INDEX(Parameters!$B$5:$B$14,MATCH(D60,Parameters!$A$5:$A$14,0))),INDEX(Parameters!$B$5:$B$14,MATCH(D60,Parameters!$A$5:$A$14,0)),""),"")</f>
        <v>1</v>
      </c>
      <c r="W60" s="12">
        <f>IFERROR(IF(ISNUMBER(INDEX(Parameters!$B$5:$B$14,MATCH(E60,Parameters!$A$5:$A$14,0))),INDEX(Parameters!$B$5:$B$14,MATCH(E60,Parameters!$A$5:$A$14,0)),""),"")</f>
        <v>0</v>
      </c>
      <c r="X60" s="12" t="str">
        <f>IFERROR(IF(ISNUMBER(INDEX(Parameters!$B$5:$B$14,MATCH(F60,Parameters!$A$5:$A$14,0))),INDEX(Parameters!$B$5:$B$14,MATCH(F60,Parameters!$A$5:$A$14,0)),""),"")</f>
        <v/>
      </c>
      <c r="Y60" s="12">
        <f>IF(G60&lt;&gt;"",1,IF(ISNUMBER(Parameters!$B$18),Parameters!$B$18,""))</f>
        <v>1</v>
      </c>
      <c r="Z60" s="12">
        <f>IF(I60&lt;&gt;"",IFERROR(IF(ISNUMBER(INDEX(Parameters!$B$5:$B$14,MATCH(I60,Parameters!$A$5:$A$14,0))),INDEX(Parameters!$B$5:$B$14,MATCH(I60,Parameters!$A$5:$A$14,0)),""),""),IF(ISNUMBER(Parameters!$B$21),Parameters!$B$21,""))</f>
        <v>1</v>
      </c>
      <c r="AA60" s="12">
        <f>IFERROR(IF(ISNUMBER(INDEX(Parameters!$B$5:$B$14,MATCH(J60,Parameters!$A$5:$A$14,0))),INDEX(Parameters!$B$5:$B$14,MATCH(J60,Parameters!$A$5:$A$14,0)),""),"")</f>
        <v>0.33</v>
      </c>
      <c r="AB60" s="12">
        <f>IFERROR(IF(ISNUMBER(INDEX(Parameters!$B$5:$B$14,MATCH(K60,Parameters!$A$5:$A$14,0))),INDEX(Parameters!$B$5:$B$14,MATCH(K60,Parameters!$A$5:$A$14,0)),""),"")</f>
        <v>1</v>
      </c>
      <c r="AC60" s="12">
        <f>IFERROR(IF(ISNUMBER(INDEX(Parameters!$B$5:$B$14,MATCH(L60,Parameters!$A$5:$A$14,0))),INDEX(Parameters!$B$5:$B$14,MATCH(L60,Parameters!$A$5:$A$14,0)),""),"")</f>
        <v>0.67</v>
      </c>
      <c r="AD60" s="12">
        <f>IFERROR(IF(ISNUMBER(INDEX(Parameters!$B$5:$B$14,MATCH(M60,Parameters!$A$5:$A$14,0))),INDEX(Parameters!$B$5:$B$14,MATCH(M60,Parameters!$A$5:$A$14,0)),""),"")</f>
        <v>1</v>
      </c>
      <c r="AE60" s="12">
        <f>IF(N60&lt;&gt;"",1,IF(ISNUMBER(Parameters!$B$19),Parameters!$B$19,""))</f>
        <v>0</v>
      </c>
      <c r="AF60" s="12">
        <f>IF((Parameters!$I$5*ISNUMBER(V60)+Parameters!$I$6*ISNUMBER(W60)+Parameters!$I$7*ISNUMBER(X60)+Parameters!$I$8*ISNUMBER(Y60))=0,"",(Parameters!$I$5*N(V60)+Parameters!$I$6*N(W60)+Parameters!$I$7*N(X60)+Parameters!$I$8*N(Y60))/(Parameters!$I$5*ISNUMBER(V60)+Parameters!$I$6*ISNUMBER(W60)+Parameters!$I$7*ISNUMBER(X60)+Parameters!$I$8*ISNUMBER(Y60)))</f>
        <v>0.625</v>
      </c>
      <c r="AG60" s="12">
        <f>IF((Parameters!$I$9*ISNUMBER(Z60))=0,"",(Parameters!$I$9*N(Z60))/(Parameters!$I$9*ISNUMBER(Z60)))</f>
        <v>1</v>
      </c>
      <c r="AH60" s="12">
        <f>IF((Parameters!$I$11*ISNUMBER(AA60)+Parameters!$I$12*ISNUMBER(AB60)+Parameters!$I$13*ISNUMBER(AC60)+Parameters!$I$14*ISNUMBER(AD60)+Parameters!$I$15*ISNUMBER(AE60))=0,"",(Parameters!$I$11*N(AA60)+Parameters!$I$12*N(AB60)+Parameters!$I$13*N(AC60)+Parameters!$I$14*N(AD60)+Parameters!$I$15*N(AE60))/(Parameters!$I$11*ISNUMBER(AA60)+Parameters!$I$12*ISNUMBER(AB60)+Parameters!$I$13*ISNUMBER(AC60)+Parameters!$I$14*ISNUMBER(AD60)+Parameters!$I$15*ISNUMBER(AE60)))</f>
        <v>0.6</v>
      </c>
      <c r="AI60" s="13">
        <f>Parameters!$I$5*ISNUMBER(V60)+Parameters!$I$6*ISNUMBER(W60)+Parameters!$I$7*ISNUMBER(X60)+Parameters!$I$8*ISNUMBER(Y60)+Parameters!$I$9*ISNUMBER(Z60)+Parameters!$I$11*ISNUMBER(AA60)+Parameters!$I$12*ISNUMBER(AB60)+Parameters!$I$13*ISNUMBER(AC60)+Parameters!$I$14*ISNUMBER(AD60)+Parameters!$I$15*ISNUMBER(AE60)</f>
        <v>87</v>
      </c>
      <c r="AJ60" s="14">
        <f>IF((Parameters!$I$5+Parameters!$I$6+Parameters!$I$7+Parameters!$I$8+Parameters!$I$9+Parameters!$I$11+Parameters!$I$12+Parameters!$I$13+Parameters!$I$14+Parameters!$I$15)=0,"",AI60/(Parameters!$I$5+Parameters!$I$6+Parameters!$I$7+Parameters!$I$8+Parameters!$I$9+Parameters!$I$11+Parameters!$I$12+Parameters!$I$13+Parameters!$I$14+Parameters!$I$15))</f>
        <v>0.91578947368421049</v>
      </c>
      <c r="AK60" s="15">
        <f>IF(AND(ISNUMBER(AF60),ISNUMBER(AH60),OR(NOT((Parameters!$I$9)&gt;0),ISNUMBER(AG60)),AJ60&gt;=Parameters!$B$20),100*(Parameters!$F$18*N(AF60)+Parameters!$F$19*N(AG60)+Parameters!$F$20*N(AH60))/(Parameters!$F$18*ISNUMBER(AF60)+Parameters!$F$19*ISNUMBER(AG60)+Parameters!$F$20*ISNUMBER(AH60)),"")</f>
        <v>71</v>
      </c>
      <c r="AL60" s="16">
        <f>IF(ISNUMBER(AK60),RANK(AK60,$AK$2:$AK$113),"")</f>
        <v>59</v>
      </c>
      <c r="AM60" s="14">
        <f>IF(((D60="Implemented/available")+(E60="Implemented/available")+(J60="Implemented/available")+(K60="Implemented/available")+(L60="Implemented/available")+(M60="Implemented/available"))=0,"",(AND(D60="Implemented/available",O60&lt;&gt;"")+AND(E60="Implemented/available",P60&lt;&gt;"")+AND(J60="Implemented/available",Q60&lt;&gt;"")+AND(K60="Implemented/available",R60&lt;&gt;"")+AND(L60="Implemented/available",S60&lt;&gt;"")+AND(M60="Implemented/available",T60&lt;&gt;""))/((D60="Implemented/available")+(E60="Implemented/available")+(J60="Implemented/available")+(K60="Implemented/available")+(L60="Implemented/available")+(M60="Implemented/available")))</f>
        <v>1</v>
      </c>
    </row>
    <row r="61" spans="1:39" x14ac:dyDescent="0.25">
      <c r="A61" s="6" t="s">
        <v>427</v>
      </c>
      <c r="B61" s="6" t="s">
        <v>428</v>
      </c>
      <c r="C61" s="6" t="s">
        <v>371</v>
      </c>
      <c r="D61" s="6" t="s">
        <v>38</v>
      </c>
      <c r="E61" s="6" t="s">
        <v>38</v>
      </c>
      <c r="F61" s="6" t="s">
        <v>48</v>
      </c>
      <c r="G61" s="6" t="s">
        <v>117</v>
      </c>
      <c r="H61" s="6"/>
      <c r="I61" s="6" t="s">
        <v>60</v>
      </c>
      <c r="J61" s="6" t="s">
        <v>29</v>
      </c>
      <c r="K61" s="6" t="s">
        <v>29</v>
      </c>
      <c r="L61" s="6" t="s">
        <v>29</v>
      </c>
      <c r="M61" s="6" t="s">
        <v>29</v>
      </c>
      <c r="N61" s="6"/>
      <c r="O61" s="6"/>
      <c r="P61" s="6"/>
      <c r="Q61" s="6"/>
      <c r="R61" s="6" t="s">
        <v>429</v>
      </c>
      <c r="S61" s="6" t="s">
        <v>430</v>
      </c>
      <c r="T61" s="6" t="s">
        <v>431</v>
      </c>
      <c r="U61" s="6"/>
      <c r="V61" s="12">
        <f>IFERROR(IF(ISNUMBER(INDEX(Parameters!$B$5:$B$14,MATCH(D61,Parameters!$A$5:$A$14,0))),INDEX(Parameters!$B$5:$B$14,MATCH(D61,Parameters!$A$5:$A$14,0)),""),"")</f>
        <v>0.67</v>
      </c>
      <c r="W61" s="12">
        <f>IFERROR(IF(ISNUMBER(INDEX(Parameters!$B$5:$B$14,MATCH(E61,Parameters!$A$5:$A$14,0))),INDEX(Parameters!$B$5:$B$14,MATCH(E61,Parameters!$A$5:$A$14,0)),""),"")</f>
        <v>0.67</v>
      </c>
      <c r="X61" s="12" t="str">
        <f>IFERROR(IF(ISNUMBER(INDEX(Parameters!$B$5:$B$14,MATCH(F61,Parameters!$A$5:$A$14,0))),INDEX(Parameters!$B$5:$B$14,MATCH(F61,Parameters!$A$5:$A$14,0)),""),"")</f>
        <v/>
      </c>
      <c r="Y61" s="12">
        <f>IF(G61&lt;&gt;"",1,IF(ISNUMBER(Parameters!$B$18),Parameters!$B$18,""))</f>
        <v>1</v>
      </c>
      <c r="Z61" s="12">
        <f>IF(I61&lt;&gt;"",IFERROR(IF(ISNUMBER(INDEX(Parameters!$B$5:$B$14,MATCH(I61,Parameters!$A$5:$A$14,0))),INDEX(Parameters!$B$5:$B$14,MATCH(I61,Parameters!$A$5:$A$14,0)),""),""),IF(ISNUMBER(Parameters!$B$21),Parameters!$B$21,""))</f>
        <v>0.5</v>
      </c>
      <c r="AA61" s="12">
        <f>IFERROR(IF(ISNUMBER(INDEX(Parameters!$B$5:$B$14,MATCH(J61,Parameters!$A$5:$A$14,0))),INDEX(Parameters!$B$5:$B$14,MATCH(J61,Parameters!$A$5:$A$14,0)),""),"")</f>
        <v>1</v>
      </c>
      <c r="AB61" s="12">
        <f>IFERROR(IF(ISNUMBER(INDEX(Parameters!$B$5:$B$14,MATCH(K61,Parameters!$A$5:$A$14,0))),INDEX(Parameters!$B$5:$B$14,MATCH(K61,Parameters!$A$5:$A$14,0)),""),"")</f>
        <v>1</v>
      </c>
      <c r="AC61" s="12">
        <f>IFERROR(IF(ISNUMBER(INDEX(Parameters!$B$5:$B$14,MATCH(L61,Parameters!$A$5:$A$14,0))),INDEX(Parameters!$B$5:$B$14,MATCH(L61,Parameters!$A$5:$A$14,0)),""),"")</f>
        <v>1</v>
      </c>
      <c r="AD61" s="12">
        <f>IFERROR(IF(ISNUMBER(INDEX(Parameters!$B$5:$B$14,MATCH(M61,Parameters!$A$5:$A$14,0))),INDEX(Parameters!$B$5:$B$14,MATCH(M61,Parameters!$A$5:$A$14,0)),""),"")</f>
        <v>1</v>
      </c>
      <c r="AE61" s="12">
        <f>IF(N61&lt;&gt;"",1,IF(ISNUMBER(Parameters!$B$19),Parameters!$B$19,""))</f>
        <v>0</v>
      </c>
      <c r="AF61" s="12">
        <f>IF((Parameters!$I$5*ISNUMBER(V61)+Parameters!$I$6*ISNUMBER(W61)+Parameters!$I$7*ISNUMBER(X61)+Parameters!$I$8*ISNUMBER(Y61))=0,"",(Parameters!$I$5*N(V61)+Parameters!$I$6*N(W61)+Parameters!$I$7*N(X61)+Parameters!$I$8*N(Y61))/(Parameters!$I$5*ISNUMBER(V61)+Parameters!$I$6*ISNUMBER(W61)+Parameters!$I$7*ISNUMBER(X61)+Parameters!$I$8*ISNUMBER(Y61)))</f>
        <v>0.75250000000000006</v>
      </c>
      <c r="AG61" s="12">
        <f>IF((Parameters!$I$9*ISNUMBER(Z61))=0,"",(Parameters!$I$9*N(Z61))/(Parameters!$I$9*ISNUMBER(Z61)))</f>
        <v>0.5</v>
      </c>
      <c r="AH61" s="12">
        <f>IF((Parameters!$I$11*ISNUMBER(AA61)+Parameters!$I$12*ISNUMBER(AB61)+Parameters!$I$13*ISNUMBER(AC61)+Parameters!$I$14*ISNUMBER(AD61)+Parameters!$I$15*ISNUMBER(AE61))=0,"",(Parameters!$I$11*N(AA61)+Parameters!$I$12*N(AB61)+Parameters!$I$13*N(AC61)+Parameters!$I$14*N(AD61)+Parameters!$I$15*N(AE61))/(Parameters!$I$11*ISNUMBER(AA61)+Parameters!$I$12*ISNUMBER(AB61)+Parameters!$I$13*ISNUMBER(AC61)+Parameters!$I$14*ISNUMBER(AD61)+Parameters!$I$15*ISNUMBER(AE61)))</f>
        <v>0.8</v>
      </c>
      <c r="AI61" s="13">
        <f>Parameters!$I$5*ISNUMBER(V61)+Parameters!$I$6*ISNUMBER(W61)+Parameters!$I$7*ISNUMBER(X61)+Parameters!$I$8*ISNUMBER(Y61)+Parameters!$I$9*ISNUMBER(Z61)+Parameters!$I$11*ISNUMBER(AA61)+Parameters!$I$12*ISNUMBER(AB61)+Parameters!$I$13*ISNUMBER(AC61)+Parameters!$I$14*ISNUMBER(AD61)+Parameters!$I$15*ISNUMBER(AE61)</f>
        <v>87</v>
      </c>
      <c r="AJ61" s="14">
        <f>IF((Parameters!$I$5+Parameters!$I$6+Parameters!$I$7+Parameters!$I$8+Parameters!$I$9+Parameters!$I$11+Parameters!$I$12+Parameters!$I$13+Parameters!$I$14+Parameters!$I$15)=0,"",AI61/(Parameters!$I$5+Parameters!$I$6+Parameters!$I$7+Parameters!$I$8+Parameters!$I$9+Parameters!$I$11+Parameters!$I$12+Parameters!$I$13+Parameters!$I$14+Parameters!$I$15))</f>
        <v>0.91578947368421049</v>
      </c>
      <c r="AK61" s="15">
        <f>IF(AND(ISNUMBER(AF61),ISNUMBER(AH61),OR(NOT((Parameters!$I$9)&gt;0),ISNUMBER(AG61)),AJ61&gt;=Parameters!$B$20),100*(Parameters!$F$18*N(AF61)+Parameters!$F$19*N(AG61)+Parameters!$F$20*N(AH61))/(Parameters!$F$18*ISNUMBER(AF61)+Parameters!$F$19*ISNUMBER(AG61)+Parameters!$F$20*ISNUMBER(AH61)),"")</f>
        <v>70.599999999999994</v>
      </c>
      <c r="AL61" s="16">
        <f>IF(ISNUMBER(AK61),RANK(AK61,$AK$2:$AK$113),"")</f>
        <v>60</v>
      </c>
      <c r="AM61" s="14">
        <f>IF(((D61="Implemented/available")+(E61="Implemented/available")+(J61="Implemented/available")+(K61="Implemented/available")+(L61="Implemented/available")+(M61="Implemented/available"))=0,"",(AND(D61="Implemented/available",O61&lt;&gt;"")+AND(E61="Implemented/available",P61&lt;&gt;"")+AND(J61="Implemented/available",Q61&lt;&gt;"")+AND(K61="Implemented/available",R61&lt;&gt;"")+AND(L61="Implemented/available",S61&lt;&gt;"")+AND(M61="Implemented/available",T61&lt;&gt;""))/((D61="Implemented/available")+(E61="Implemented/available")+(J61="Implemented/available")+(K61="Implemented/available")+(L61="Implemented/available")+(M61="Implemented/available")))</f>
        <v>0.75</v>
      </c>
    </row>
    <row r="62" spans="1:39" x14ac:dyDescent="0.25">
      <c r="A62" s="6" t="s">
        <v>599</v>
      </c>
      <c r="B62" s="6" t="s">
        <v>600</v>
      </c>
      <c r="C62" s="6" t="s">
        <v>601</v>
      </c>
      <c r="D62" s="6" t="s">
        <v>29</v>
      </c>
      <c r="E62" s="6" t="s">
        <v>29</v>
      </c>
      <c r="F62" s="6" t="s">
        <v>48</v>
      </c>
      <c r="G62" s="6" t="s">
        <v>117</v>
      </c>
      <c r="H62" s="6"/>
      <c r="I62" s="6" t="s">
        <v>60</v>
      </c>
      <c r="J62" s="6" t="s">
        <v>38</v>
      </c>
      <c r="K62" s="6" t="s">
        <v>38</v>
      </c>
      <c r="L62" s="6" t="s">
        <v>38</v>
      </c>
      <c r="M62" s="6" t="s">
        <v>48</v>
      </c>
      <c r="N62" s="6"/>
      <c r="O62" s="6" t="s">
        <v>602</v>
      </c>
      <c r="P62" s="6" t="s">
        <v>603</v>
      </c>
      <c r="Q62" s="6"/>
      <c r="R62" s="6"/>
      <c r="S62" s="6"/>
      <c r="T62" s="6"/>
      <c r="U62" s="6" t="s">
        <v>604</v>
      </c>
      <c r="V62" s="12">
        <f>IFERROR(IF(ISNUMBER(INDEX(Parameters!$B$5:$B$14,MATCH(D62,Parameters!$A$5:$A$14,0))),INDEX(Parameters!$B$5:$B$14,MATCH(D62,Parameters!$A$5:$A$14,0)),""),"")</f>
        <v>1</v>
      </c>
      <c r="W62" s="12">
        <f>IFERROR(IF(ISNUMBER(INDEX(Parameters!$B$5:$B$14,MATCH(E62,Parameters!$A$5:$A$14,0))),INDEX(Parameters!$B$5:$B$14,MATCH(E62,Parameters!$A$5:$A$14,0)),""),"")</f>
        <v>1</v>
      </c>
      <c r="X62" s="12" t="str">
        <f>IFERROR(IF(ISNUMBER(INDEX(Parameters!$B$5:$B$14,MATCH(F62,Parameters!$A$5:$A$14,0))),INDEX(Parameters!$B$5:$B$14,MATCH(F62,Parameters!$A$5:$A$14,0)),""),"")</f>
        <v/>
      </c>
      <c r="Y62" s="12">
        <f>IF(G62&lt;&gt;"",1,IF(ISNUMBER(Parameters!$B$18),Parameters!$B$18,""))</f>
        <v>1</v>
      </c>
      <c r="Z62" s="12">
        <f>IF(I62&lt;&gt;"",IFERROR(IF(ISNUMBER(INDEX(Parameters!$B$5:$B$14,MATCH(I62,Parameters!$A$5:$A$14,0))),INDEX(Parameters!$B$5:$B$14,MATCH(I62,Parameters!$A$5:$A$14,0)),""),""),IF(ISNUMBER(Parameters!$B$21),Parameters!$B$21,""))</f>
        <v>0.5</v>
      </c>
      <c r="AA62" s="12">
        <f>IFERROR(IF(ISNUMBER(INDEX(Parameters!$B$5:$B$14,MATCH(J62,Parameters!$A$5:$A$14,0))),INDEX(Parameters!$B$5:$B$14,MATCH(J62,Parameters!$A$5:$A$14,0)),""),"")</f>
        <v>0.67</v>
      </c>
      <c r="AB62" s="12">
        <f>IFERROR(IF(ISNUMBER(INDEX(Parameters!$B$5:$B$14,MATCH(K62,Parameters!$A$5:$A$14,0))),INDEX(Parameters!$B$5:$B$14,MATCH(K62,Parameters!$A$5:$A$14,0)),""),"")</f>
        <v>0.67</v>
      </c>
      <c r="AC62" s="12">
        <f>IFERROR(IF(ISNUMBER(INDEX(Parameters!$B$5:$B$14,MATCH(L62,Parameters!$A$5:$A$14,0))),INDEX(Parameters!$B$5:$B$14,MATCH(L62,Parameters!$A$5:$A$14,0)),""),"")</f>
        <v>0.67</v>
      </c>
      <c r="AD62" s="12" t="str">
        <f>IFERROR(IF(ISNUMBER(INDEX(Parameters!$B$5:$B$14,MATCH(M62,Parameters!$A$5:$A$14,0))),INDEX(Parameters!$B$5:$B$14,MATCH(M62,Parameters!$A$5:$A$14,0)),""),"")</f>
        <v/>
      </c>
      <c r="AE62" s="12">
        <f>IF(N62&lt;&gt;"",1,IF(ISNUMBER(Parameters!$B$19),Parameters!$B$19,""))</f>
        <v>0</v>
      </c>
      <c r="AF62" s="12">
        <f>IF((Parameters!$I$5*ISNUMBER(V62)+Parameters!$I$6*ISNUMBER(W62)+Parameters!$I$7*ISNUMBER(X62)+Parameters!$I$8*ISNUMBER(Y62))=0,"",(Parameters!$I$5*N(V62)+Parameters!$I$6*N(W62)+Parameters!$I$7*N(X62)+Parameters!$I$8*N(Y62))/(Parameters!$I$5*ISNUMBER(V62)+Parameters!$I$6*ISNUMBER(W62)+Parameters!$I$7*ISNUMBER(X62)+Parameters!$I$8*ISNUMBER(Y62)))</f>
        <v>1</v>
      </c>
      <c r="AG62" s="12">
        <f>IF((Parameters!$I$9*ISNUMBER(Z62))=0,"",(Parameters!$I$9*N(Z62))/(Parameters!$I$9*ISNUMBER(Z62)))</f>
        <v>0.5</v>
      </c>
      <c r="AH62" s="12">
        <f>IF((Parameters!$I$11*ISNUMBER(AA62)+Parameters!$I$12*ISNUMBER(AB62)+Parameters!$I$13*ISNUMBER(AC62)+Parameters!$I$14*ISNUMBER(AD62)+Parameters!$I$15*ISNUMBER(AE62))=0,"",(Parameters!$I$11*N(AA62)+Parameters!$I$12*N(AB62)+Parameters!$I$13*N(AC62)+Parameters!$I$14*N(AD62)+Parameters!$I$15*N(AE62))/(Parameters!$I$11*ISNUMBER(AA62)+Parameters!$I$12*ISNUMBER(AB62)+Parameters!$I$13*ISNUMBER(AC62)+Parameters!$I$14*ISNUMBER(AD62)+Parameters!$I$15*ISNUMBER(AE62)))</f>
        <v>0.50250000000000006</v>
      </c>
      <c r="AI62" s="13">
        <f>Parameters!$I$5*ISNUMBER(V62)+Parameters!$I$6*ISNUMBER(W62)+Parameters!$I$7*ISNUMBER(X62)+Parameters!$I$8*ISNUMBER(Y62)+Parameters!$I$9*ISNUMBER(Z62)+Parameters!$I$11*ISNUMBER(AA62)+Parameters!$I$12*ISNUMBER(AB62)+Parameters!$I$13*ISNUMBER(AC62)+Parameters!$I$14*ISNUMBER(AD62)+Parameters!$I$15*ISNUMBER(AE62)</f>
        <v>80</v>
      </c>
      <c r="AJ62" s="14">
        <f>IF((Parameters!$I$5+Parameters!$I$6+Parameters!$I$7+Parameters!$I$8+Parameters!$I$9+Parameters!$I$11+Parameters!$I$12+Parameters!$I$13+Parameters!$I$14+Parameters!$I$15)=0,"",AI62/(Parameters!$I$5+Parameters!$I$6+Parameters!$I$7+Parameters!$I$8+Parameters!$I$9+Parameters!$I$11+Parameters!$I$12+Parameters!$I$13+Parameters!$I$14+Parameters!$I$15))</f>
        <v>0.84210526315789469</v>
      </c>
      <c r="AK62" s="15">
        <f>IF(AND(ISNUMBER(AF62),ISNUMBER(AH62),OR(NOT((Parameters!$I$9)&gt;0),ISNUMBER(AG62)),AJ62&gt;=Parameters!$B$20),100*(Parameters!$F$18*N(AF62)+Parameters!$F$19*N(AG62)+Parameters!$F$20*N(AH62))/(Parameters!$F$18*ISNUMBER(AF62)+Parameters!$F$19*ISNUMBER(AG62)+Parameters!$F$20*ISNUMBER(AH62)),"")</f>
        <v>70.087500000000006</v>
      </c>
      <c r="AL62" s="16">
        <f>IF(ISNUMBER(AK62),RANK(AK62,$AK$2:$AK$113),"")</f>
        <v>61</v>
      </c>
      <c r="AM62" s="14">
        <f>IF(((D62="Implemented/available")+(E62="Implemented/available")+(J62="Implemented/available")+(K62="Implemented/available")+(L62="Implemented/available")+(M62="Implemented/available"))=0,"",(AND(D62="Implemented/available",O62&lt;&gt;"")+AND(E62="Implemented/available",P62&lt;&gt;"")+AND(J62="Implemented/available",Q62&lt;&gt;"")+AND(K62="Implemented/available",R62&lt;&gt;"")+AND(L62="Implemented/available",S62&lt;&gt;"")+AND(M62="Implemented/available",T62&lt;&gt;""))/((D62="Implemented/available")+(E62="Implemented/available")+(J62="Implemented/available")+(K62="Implemented/available")+(L62="Implemented/available")+(M62="Implemented/available")))</f>
        <v>1</v>
      </c>
    </row>
    <row r="63" spans="1:39" x14ac:dyDescent="0.25">
      <c r="A63" s="6" t="s">
        <v>455</v>
      </c>
      <c r="B63" s="6" t="s">
        <v>456</v>
      </c>
      <c r="C63" s="6" t="s">
        <v>457</v>
      </c>
      <c r="D63" s="6" t="s">
        <v>38</v>
      </c>
      <c r="E63" s="6" t="s">
        <v>38</v>
      </c>
      <c r="F63" s="6" t="s">
        <v>48</v>
      </c>
      <c r="G63" s="6" t="s">
        <v>117</v>
      </c>
      <c r="H63" s="6"/>
      <c r="I63" s="6" t="s">
        <v>60</v>
      </c>
      <c r="J63" s="6" t="s">
        <v>38</v>
      </c>
      <c r="K63" s="6" t="s">
        <v>29</v>
      </c>
      <c r="L63" s="6" t="s">
        <v>29</v>
      </c>
      <c r="M63" s="6" t="s">
        <v>29</v>
      </c>
      <c r="N63" s="6"/>
      <c r="O63" s="6"/>
      <c r="P63" s="6"/>
      <c r="Q63" s="6"/>
      <c r="R63" s="6" t="s">
        <v>458</v>
      </c>
      <c r="S63" s="6" t="s">
        <v>459</v>
      </c>
      <c r="T63" s="6" t="s">
        <v>460</v>
      </c>
      <c r="U63" s="6"/>
      <c r="V63" s="12">
        <f>IFERROR(IF(ISNUMBER(INDEX(Parameters!$B$5:$B$14,MATCH(D63,Parameters!$A$5:$A$14,0))),INDEX(Parameters!$B$5:$B$14,MATCH(D63,Parameters!$A$5:$A$14,0)),""),"")</f>
        <v>0.67</v>
      </c>
      <c r="W63" s="12">
        <f>IFERROR(IF(ISNUMBER(INDEX(Parameters!$B$5:$B$14,MATCH(E63,Parameters!$A$5:$A$14,0))),INDEX(Parameters!$B$5:$B$14,MATCH(E63,Parameters!$A$5:$A$14,0)),""),"")</f>
        <v>0.67</v>
      </c>
      <c r="X63" s="12" t="str">
        <f>IFERROR(IF(ISNUMBER(INDEX(Parameters!$B$5:$B$14,MATCH(F63,Parameters!$A$5:$A$14,0))),INDEX(Parameters!$B$5:$B$14,MATCH(F63,Parameters!$A$5:$A$14,0)),""),"")</f>
        <v/>
      </c>
      <c r="Y63" s="12">
        <f>IF(G63&lt;&gt;"",1,IF(ISNUMBER(Parameters!$B$18),Parameters!$B$18,""))</f>
        <v>1</v>
      </c>
      <c r="Z63" s="12">
        <f>IF(I63&lt;&gt;"",IFERROR(IF(ISNUMBER(INDEX(Parameters!$B$5:$B$14,MATCH(I63,Parameters!$A$5:$A$14,0))),INDEX(Parameters!$B$5:$B$14,MATCH(I63,Parameters!$A$5:$A$14,0)),""),""),IF(ISNUMBER(Parameters!$B$21),Parameters!$B$21,""))</f>
        <v>0.5</v>
      </c>
      <c r="AA63" s="12">
        <f>IFERROR(IF(ISNUMBER(INDEX(Parameters!$B$5:$B$14,MATCH(J63,Parameters!$A$5:$A$14,0))),INDEX(Parameters!$B$5:$B$14,MATCH(J63,Parameters!$A$5:$A$14,0)),""),"")</f>
        <v>0.67</v>
      </c>
      <c r="AB63" s="12">
        <f>IFERROR(IF(ISNUMBER(INDEX(Parameters!$B$5:$B$14,MATCH(K63,Parameters!$A$5:$A$14,0))),INDEX(Parameters!$B$5:$B$14,MATCH(K63,Parameters!$A$5:$A$14,0)),""),"")</f>
        <v>1</v>
      </c>
      <c r="AC63" s="12">
        <f>IFERROR(IF(ISNUMBER(INDEX(Parameters!$B$5:$B$14,MATCH(L63,Parameters!$A$5:$A$14,0))),INDEX(Parameters!$B$5:$B$14,MATCH(L63,Parameters!$A$5:$A$14,0)),""),"")</f>
        <v>1</v>
      </c>
      <c r="AD63" s="12">
        <f>IFERROR(IF(ISNUMBER(INDEX(Parameters!$B$5:$B$14,MATCH(M63,Parameters!$A$5:$A$14,0))),INDEX(Parameters!$B$5:$B$14,MATCH(M63,Parameters!$A$5:$A$14,0)),""),"")</f>
        <v>1</v>
      </c>
      <c r="AE63" s="12">
        <f>IF(N63&lt;&gt;"",1,IF(ISNUMBER(Parameters!$B$19),Parameters!$B$19,""))</f>
        <v>0</v>
      </c>
      <c r="AF63" s="12">
        <f>IF((Parameters!$I$5*ISNUMBER(V63)+Parameters!$I$6*ISNUMBER(W63)+Parameters!$I$7*ISNUMBER(X63)+Parameters!$I$8*ISNUMBER(Y63))=0,"",(Parameters!$I$5*N(V63)+Parameters!$I$6*N(W63)+Parameters!$I$7*N(X63)+Parameters!$I$8*N(Y63))/(Parameters!$I$5*ISNUMBER(V63)+Parameters!$I$6*ISNUMBER(W63)+Parameters!$I$7*ISNUMBER(X63)+Parameters!$I$8*ISNUMBER(Y63)))</f>
        <v>0.75250000000000006</v>
      </c>
      <c r="AG63" s="12">
        <f>IF((Parameters!$I$9*ISNUMBER(Z63))=0,"",(Parameters!$I$9*N(Z63))/(Parameters!$I$9*ISNUMBER(Z63)))</f>
        <v>0.5</v>
      </c>
      <c r="AH63" s="12">
        <f>IF((Parameters!$I$11*ISNUMBER(AA63)+Parameters!$I$12*ISNUMBER(AB63)+Parameters!$I$13*ISNUMBER(AC63)+Parameters!$I$14*ISNUMBER(AD63)+Parameters!$I$15*ISNUMBER(AE63))=0,"",(Parameters!$I$11*N(AA63)+Parameters!$I$12*N(AB63)+Parameters!$I$13*N(AC63)+Parameters!$I$14*N(AD63)+Parameters!$I$15*N(AE63))/(Parameters!$I$11*ISNUMBER(AA63)+Parameters!$I$12*ISNUMBER(AB63)+Parameters!$I$13*ISNUMBER(AC63)+Parameters!$I$14*ISNUMBER(AD63)+Parameters!$I$15*ISNUMBER(AE63)))</f>
        <v>0.73399999999999999</v>
      </c>
      <c r="AI63" s="13">
        <f>Parameters!$I$5*ISNUMBER(V63)+Parameters!$I$6*ISNUMBER(W63)+Parameters!$I$7*ISNUMBER(X63)+Parameters!$I$8*ISNUMBER(Y63)+Parameters!$I$9*ISNUMBER(Z63)+Parameters!$I$11*ISNUMBER(AA63)+Parameters!$I$12*ISNUMBER(AB63)+Parameters!$I$13*ISNUMBER(AC63)+Parameters!$I$14*ISNUMBER(AD63)+Parameters!$I$15*ISNUMBER(AE63)</f>
        <v>87</v>
      </c>
      <c r="AJ63" s="14">
        <f>IF((Parameters!$I$5+Parameters!$I$6+Parameters!$I$7+Parameters!$I$8+Parameters!$I$9+Parameters!$I$11+Parameters!$I$12+Parameters!$I$13+Parameters!$I$14+Parameters!$I$15)=0,"",AI63/(Parameters!$I$5+Parameters!$I$6+Parameters!$I$7+Parameters!$I$8+Parameters!$I$9+Parameters!$I$11+Parameters!$I$12+Parameters!$I$13+Parameters!$I$14+Parameters!$I$15))</f>
        <v>0.91578947368421049</v>
      </c>
      <c r="AK63" s="15">
        <f>IF(AND(ISNUMBER(AF63),ISNUMBER(AH63),OR(NOT((Parameters!$I$9)&gt;0),ISNUMBER(AG63)),AJ63&gt;=Parameters!$B$20),100*(Parameters!$F$18*N(AF63)+Parameters!$F$19*N(AG63)+Parameters!$F$20*N(AH63))/(Parameters!$F$18*ISNUMBER(AF63)+Parameters!$F$19*ISNUMBER(AG63)+Parameters!$F$20*ISNUMBER(AH63)),"")</f>
        <v>68.290000000000006</v>
      </c>
      <c r="AL63" s="16">
        <f>IF(ISNUMBER(AK63),RANK(AK63,$AK$2:$AK$113),"")</f>
        <v>62</v>
      </c>
      <c r="AM63" s="14">
        <f>IF(((D63="Implemented/available")+(E63="Implemented/available")+(J63="Implemented/available")+(K63="Implemented/available")+(L63="Implemented/available")+(M63="Implemented/available"))=0,"",(AND(D63="Implemented/available",O63&lt;&gt;"")+AND(E63="Implemented/available",P63&lt;&gt;"")+AND(J63="Implemented/available",Q63&lt;&gt;"")+AND(K63="Implemented/available",R63&lt;&gt;"")+AND(L63="Implemented/available",S63&lt;&gt;"")+AND(M63="Implemented/available",T63&lt;&gt;""))/((D63="Implemented/available")+(E63="Implemented/available")+(J63="Implemented/available")+(K63="Implemented/available")+(L63="Implemented/available")+(M63="Implemented/available")))</f>
        <v>1</v>
      </c>
    </row>
    <row r="64" spans="1:39" x14ac:dyDescent="0.25">
      <c r="A64" s="6" t="s">
        <v>648</v>
      </c>
      <c r="B64" s="6" t="s">
        <v>487</v>
      </c>
      <c r="C64" s="6" t="s">
        <v>649</v>
      </c>
      <c r="D64" s="6" t="s">
        <v>29</v>
      </c>
      <c r="E64" s="6" t="s">
        <v>38</v>
      </c>
      <c r="F64" s="6" t="s">
        <v>29</v>
      </c>
      <c r="G64" s="6" t="s">
        <v>117</v>
      </c>
      <c r="H64" s="6" t="s">
        <v>76</v>
      </c>
      <c r="I64" s="6" t="s">
        <v>60</v>
      </c>
      <c r="J64" s="6" t="s">
        <v>41</v>
      </c>
      <c r="K64" s="6" t="s">
        <v>34</v>
      </c>
      <c r="L64" s="6" t="s">
        <v>29</v>
      </c>
      <c r="M64" s="6" t="s">
        <v>41</v>
      </c>
      <c r="N64" s="6"/>
      <c r="O64" s="6" t="s">
        <v>650</v>
      </c>
      <c r="P64" s="6"/>
      <c r="Q64" s="6"/>
      <c r="R64" s="6"/>
      <c r="S64" s="6" t="s">
        <v>651</v>
      </c>
      <c r="T64" s="6"/>
      <c r="U64" s="6" t="s">
        <v>652</v>
      </c>
      <c r="V64" s="12">
        <f>IFERROR(IF(ISNUMBER(INDEX(Parameters!$B$5:$B$14,MATCH(D64,Parameters!$A$5:$A$14,0))),INDEX(Parameters!$B$5:$B$14,MATCH(D64,Parameters!$A$5:$A$14,0)),""),"")</f>
        <v>1</v>
      </c>
      <c r="W64" s="12">
        <f>IFERROR(IF(ISNUMBER(INDEX(Parameters!$B$5:$B$14,MATCH(E64,Parameters!$A$5:$A$14,0))),INDEX(Parameters!$B$5:$B$14,MATCH(E64,Parameters!$A$5:$A$14,0)),""),"")</f>
        <v>0.67</v>
      </c>
      <c r="X64" s="12">
        <f>IFERROR(IF(ISNUMBER(INDEX(Parameters!$B$5:$B$14,MATCH(F64,Parameters!$A$5:$A$14,0))),INDEX(Parameters!$B$5:$B$14,MATCH(F64,Parameters!$A$5:$A$14,0)),""),"")</f>
        <v>1</v>
      </c>
      <c r="Y64" s="12">
        <f>IF(G64&lt;&gt;"",1,IF(ISNUMBER(Parameters!$B$18),Parameters!$B$18,""))</f>
        <v>1</v>
      </c>
      <c r="Z64" s="12">
        <f>IF(I64&lt;&gt;"",IFERROR(IF(ISNUMBER(INDEX(Parameters!$B$5:$B$14,MATCH(I64,Parameters!$A$5:$A$14,0))),INDEX(Parameters!$B$5:$B$14,MATCH(I64,Parameters!$A$5:$A$14,0)),""),""),IF(ISNUMBER(Parameters!$B$21),Parameters!$B$21,""))</f>
        <v>0.5</v>
      </c>
      <c r="AA64" s="12">
        <f>IFERROR(IF(ISNUMBER(INDEX(Parameters!$B$5:$B$14,MATCH(J64,Parameters!$A$5:$A$14,0))),INDEX(Parameters!$B$5:$B$14,MATCH(J64,Parameters!$A$5:$A$14,0)),""),"")</f>
        <v>0.33</v>
      </c>
      <c r="AB64" s="12">
        <f>IFERROR(IF(ISNUMBER(INDEX(Parameters!$B$5:$B$14,MATCH(K64,Parameters!$A$5:$A$14,0))),INDEX(Parameters!$B$5:$B$14,MATCH(K64,Parameters!$A$5:$A$14,0)),""),"")</f>
        <v>1</v>
      </c>
      <c r="AC64" s="12">
        <f>IFERROR(IF(ISNUMBER(INDEX(Parameters!$B$5:$B$14,MATCH(L64,Parameters!$A$5:$A$14,0))),INDEX(Parameters!$B$5:$B$14,MATCH(L64,Parameters!$A$5:$A$14,0)),""),"")</f>
        <v>1</v>
      </c>
      <c r="AD64" s="12">
        <f>IFERROR(IF(ISNUMBER(INDEX(Parameters!$B$5:$B$14,MATCH(M64,Parameters!$A$5:$A$14,0))),INDEX(Parameters!$B$5:$B$14,MATCH(M64,Parameters!$A$5:$A$14,0)),""),"")</f>
        <v>0.33</v>
      </c>
      <c r="AE64" s="12">
        <f>IF(N64&lt;&gt;"",1,IF(ISNUMBER(Parameters!$B$19),Parameters!$B$19,""))</f>
        <v>0</v>
      </c>
      <c r="AF64" s="12">
        <f>IF((Parameters!$I$5*ISNUMBER(V64)+Parameters!$I$6*ISNUMBER(W64)+Parameters!$I$7*ISNUMBER(X64)+Parameters!$I$8*ISNUMBER(Y64))=0,"",(Parameters!$I$5*N(V64)+Parameters!$I$6*N(W64)+Parameters!$I$7*N(X64)+Parameters!$I$8*N(Y64))/(Parameters!$I$5*ISNUMBER(V64)+Parameters!$I$6*ISNUMBER(W64)+Parameters!$I$7*ISNUMBER(X64)+Parameters!$I$8*ISNUMBER(Y64)))</f>
        <v>0.90100000000000002</v>
      </c>
      <c r="AG64" s="12">
        <f>IF((Parameters!$I$9*ISNUMBER(Z64))=0,"",(Parameters!$I$9*N(Z64))/(Parameters!$I$9*ISNUMBER(Z64)))</f>
        <v>0.5</v>
      </c>
      <c r="AH64" s="12">
        <f>IF((Parameters!$I$11*ISNUMBER(AA64)+Parameters!$I$12*ISNUMBER(AB64)+Parameters!$I$13*ISNUMBER(AC64)+Parameters!$I$14*ISNUMBER(AD64)+Parameters!$I$15*ISNUMBER(AE64))=0,"",(Parameters!$I$11*N(AA64)+Parameters!$I$12*N(AB64)+Parameters!$I$13*N(AC64)+Parameters!$I$14*N(AD64)+Parameters!$I$15*N(AE64))/(Parameters!$I$11*ISNUMBER(AA64)+Parameters!$I$12*ISNUMBER(AB64)+Parameters!$I$13*ISNUMBER(AC64)+Parameters!$I$14*ISNUMBER(AD64)+Parameters!$I$15*ISNUMBER(AE64)))</f>
        <v>0.53200000000000003</v>
      </c>
      <c r="AI64" s="13">
        <f>Parameters!$I$5*ISNUMBER(V64)+Parameters!$I$6*ISNUMBER(W64)+Parameters!$I$7*ISNUMBER(X64)+Parameters!$I$8*ISNUMBER(Y64)+Parameters!$I$9*ISNUMBER(Z64)+Parameters!$I$11*ISNUMBER(AA64)+Parameters!$I$12*ISNUMBER(AB64)+Parameters!$I$13*ISNUMBER(AC64)+Parameters!$I$14*ISNUMBER(AD64)+Parameters!$I$15*ISNUMBER(AE64)</f>
        <v>95</v>
      </c>
      <c r="AJ64" s="14">
        <f>IF((Parameters!$I$5+Parameters!$I$6+Parameters!$I$7+Parameters!$I$8+Parameters!$I$9+Parameters!$I$11+Parameters!$I$12+Parameters!$I$13+Parameters!$I$14+Parameters!$I$15)=0,"",AI64/(Parameters!$I$5+Parameters!$I$6+Parameters!$I$7+Parameters!$I$8+Parameters!$I$9+Parameters!$I$11+Parameters!$I$12+Parameters!$I$13+Parameters!$I$14+Parameters!$I$15))</f>
        <v>1</v>
      </c>
      <c r="AK64" s="15">
        <f>IF(AND(ISNUMBER(AF64),ISNUMBER(AH64),OR(NOT((Parameters!$I$9)&gt;0),ISNUMBER(AG64)),AJ64&gt;=Parameters!$B$20),100*(Parameters!$F$18*N(AF64)+Parameters!$F$19*N(AG64)+Parameters!$F$20*N(AH64))/(Parameters!$F$18*ISNUMBER(AF64)+Parameters!$F$19*ISNUMBER(AG64)+Parameters!$F$20*ISNUMBER(AH64)),"")</f>
        <v>67.160000000000011</v>
      </c>
      <c r="AL64" s="16">
        <f>IF(ISNUMBER(AK64),RANK(AK64,$AK$2:$AK$113),"")</f>
        <v>63</v>
      </c>
      <c r="AM64" s="14">
        <f>IF(((D64="Implemented/available")+(E64="Implemented/available")+(J64="Implemented/available")+(K64="Implemented/available")+(L64="Implemented/available")+(M64="Implemented/available"))=0,"",(AND(D64="Implemented/available",O64&lt;&gt;"")+AND(E64="Implemented/available",P64&lt;&gt;"")+AND(J64="Implemented/available",Q64&lt;&gt;"")+AND(K64="Implemented/available",R64&lt;&gt;"")+AND(L64="Implemented/available",S64&lt;&gt;"")+AND(M64="Implemented/available",T64&lt;&gt;""))/((D64="Implemented/available")+(E64="Implemented/available")+(J64="Implemented/available")+(K64="Implemented/available")+(L64="Implemented/available")+(M64="Implemented/available")))</f>
        <v>1</v>
      </c>
    </row>
    <row r="65" spans="1:39" x14ac:dyDescent="0.25">
      <c r="A65" s="6" t="s">
        <v>420</v>
      </c>
      <c r="B65" s="6" t="s">
        <v>421</v>
      </c>
      <c r="C65" s="6" t="s">
        <v>422</v>
      </c>
      <c r="D65" s="6" t="s">
        <v>29</v>
      </c>
      <c r="E65" s="6" t="s">
        <v>29</v>
      </c>
      <c r="F65" s="6" t="s">
        <v>29</v>
      </c>
      <c r="G65" s="6" t="s">
        <v>117</v>
      </c>
      <c r="H65" s="6"/>
      <c r="I65" s="6"/>
      <c r="J65" s="6" t="s">
        <v>29</v>
      </c>
      <c r="K65" s="6" t="s">
        <v>34</v>
      </c>
      <c r="L65" s="6" t="s">
        <v>29</v>
      </c>
      <c r="M65" s="6" t="s">
        <v>48</v>
      </c>
      <c r="N65" s="6"/>
      <c r="O65" s="6" t="s">
        <v>423</v>
      </c>
      <c r="P65" s="6" t="s">
        <v>424</v>
      </c>
      <c r="Q65" s="6" t="s">
        <v>425</v>
      </c>
      <c r="R65" s="6"/>
      <c r="S65" s="6" t="s">
        <v>426</v>
      </c>
      <c r="T65" s="6"/>
      <c r="U65" s="6"/>
      <c r="V65" s="12">
        <f>IFERROR(IF(ISNUMBER(INDEX(Parameters!$B$5:$B$14,MATCH(D65,Parameters!$A$5:$A$14,0))),INDEX(Parameters!$B$5:$B$14,MATCH(D65,Parameters!$A$5:$A$14,0)),""),"")</f>
        <v>1</v>
      </c>
      <c r="W65" s="12">
        <f>IFERROR(IF(ISNUMBER(INDEX(Parameters!$B$5:$B$14,MATCH(E65,Parameters!$A$5:$A$14,0))),INDEX(Parameters!$B$5:$B$14,MATCH(E65,Parameters!$A$5:$A$14,0)),""),"")</f>
        <v>1</v>
      </c>
      <c r="X65" s="12">
        <f>IFERROR(IF(ISNUMBER(INDEX(Parameters!$B$5:$B$14,MATCH(F65,Parameters!$A$5:$A$14,0))),INDEX(Parameters!$B$5:$B$14,MATCH(F65,Parameters!$A$5:$A$14,0)),""),"")</f>
        <v>1</v>
      </c>
      <c r="Y65" s="12">
        <f>IF(G65&lt;&gt;"",1,IF(ISNUMBER(Parameters!$B$18),Parameters!$B$18,""))</f>
        <v>1</v>
      </c>
      <c r="Z65" s="12">
        <f>IF(I65&lt;&gt;"",IFERROR(IF(ISNUMBER(INDEX(Parameters!$B$5:$B$14,MATCH(I65,Parameters!$A$5:$A$14,0))),INDEX(Parameters!$B$5:$B$14,MATCH(I65,Parameters!$A$5:$A$14,0)),""),""),IF(ISNUMBER(Parameters!$B$21),Parameters!$B$21,""))</f>
        <v>0</v>
      </c>
      <c r="AA65" s="12">
        <f>IFERROR(IF(ISNUMBER(INDEX(Parameters!$B$5:$B$14,MATCH(J65,Parameters!$A$5:$A$14,0))),INDEX(Parameters!$B$5:$B$14,MATCH(J65,Parameters!$A$5:$A$14,0)),""),"")</f>
        <v>1</v>
      </c>
      <c r="AB65" s="12">
        <f>IFERROR(IF(ISNUMBER(INDEX(Parameters!$B$5:$B$14,MATCH(K65,Parameters!$A$5:$A$14,0))),INDEX(Parameters!$B$5:$B$14,MATCH(K65,Parameters!$A$5:$A$14,0)),""),"")</f>
        <v>1</v>
      </c>
      <c r="AC65" s="12">
        <f>IFERROR(IF(ISNUMBER(INDEX(Parameters!$B$5:$B$14,MATCH(L65,Parameters!$A$5:$A$14,0))),INDEX(Parameters!$B$5:$B$14,MATCH(L65,Parameters!$A$5:$A$14,0)),""),"")</f>
        <v>1</v>
      </c>
      <c r="AD65" s="12" t="str">
        <f>IFERROR(IF(ISNUMBER(INDEX(Parameters!$B$5:$B$14,MATCH(M65,Parameters!$A$5:$A$14,0))),INDEX(Parameters!$B$5:$B$14,MATCH(M65,Parameters!$A$5:$A$14,0)),""),"")</f>
        <v/>
      </c>
      <c r="AE65" s="12">
        <f>IF(N65&lt;&gt;"",1,IF(ISNUMBER(Parameters!$B$19),Parameters!$B$19,""))</f>
        <v>0</v>
      </c>
      <c r="AF65" s="12">
        <f>IF((Parameters!$I$5*ISNUMBER(V65)+Parameters!$I$6*ISNUMBER(W65)+Parameters!$I$7*ISNUMBER(X65)+Parameters!$I$8*ISNUMBER(Y65))=0,"",(Parameters!$I$5*N(V65)+Parameters!$I$6*N(W65)+Parameters!$I$7*N(X65)+Parameters!$I$8*N(Y65))/(Parameters!$I$5*ISNUMBER(V65)+Parameters!$I$6*ISNUMBER(W65)+Parameters!$I$7*ISNUMBER(X65)+Parameters!$I$8*ISNUMBER(Y65)))</f>
        <v>1</v>
      </c>
      <c r="AG65" s="12">
        <f>IF((Parameters!$I$9*ISNUMBER(Z65))=0,"",(Parameters!$I$9*N(Z65))/(Parameters!$I$9*ISNUMBER(Z65)))</f>
        <v>0</v>
      </c>
      <c r="AH65" s="12">
        <f>IF((Parameters!$I$11*ISNUMBER(AA65)+Parameters!$I$12*ISNUMBER(AB65)+Parameters!$I$13*ISNUMBER(AC65)+Parameters!$I$14*ISNUMBER(AD65)+Parameters!$I$15*ISNUMBER(AE65))=0,"",(Parameters!$I$11*N(AA65)+Parameters!$I$12*N(AB65)+Parameters!$I$13*N(AC65)+Parameters!$I$14*N(AD65)+Parameters!$I$15*N(AE65))/(Parameters!$I$11*ISNUMBER(AA65)+Parameters!$I$12*ISNUMBER(AB65)+Parameters!$I$13*ISNUMBER(AC65)+Parameters!$I$14*ISNUMBER(AD65)+Parameters!$I$15*ISNUMBER(AE65)))</f>
        <v>0.75</v>
      </c>
      <c r="AI65" s="13">
        <f>Parameters!$I$5*ISNUMBER(V65)+Parameters!$I$6*ISNUMBER(W65)+Parameters!$I$7*ISNUMBER(X65)+Parameters!$I$8*ISNUMBER(Y65)+Parameters!$I$9*ISNUMBER(Z65)+Parameters!$I$11*ISNUMBER(AA65)+Parameters!$I$12*ISNUMBER(AB65)+Parameters!$I$13*ISNUMBER(AC65)+Parameters!$I$14*ISNUMBER(AD65)+Parameters!$I$15*ISNUMBER(AE65)</f>
        <v>88</v>
      </c>
      <c r="AJ65" s="14">
        <f>IF((Parameters!$I$5+Parameters!$I$6+Parameters!$I$7+Parameters!$I$8+Parameters!$I$9+Parameters!$I$11+Parameters!$I$12+Parameters!$I$13+Parameters!$I$14+Parameters!$I$15)=0,"",AI65/(Parameters!$I$5+Parameters!$I$6+Parameters!$I$7+Parameters!$I$8+Parameters!$I$9+Parameters!$I$11+Parameters!$I$12+Parameters!$I$13+Parameters!$I$14+Parameters!$I$15))</f>
        <v>0.9263157894736842</v>
      </c>
      <c r="AK65" s="15">
        <f>IF(AND(ISNUMBER(AF65),ISNUMBER(AH65),OR(NOT((Parameters!$I$9)&gt;0),ISNUMBER(AG65)),AJ65&gt;=Parameters!$B$20),100*(Parameters!$F$18*N(AF65)+Parameters!$F$19*N(AG65)+Parameters!$F$20*N(AH65))/(Parameters!$F$18*ISNUMBER(AF65)+Parameters!$F$19*ISNUMBER(AG65)+Parameters!$F$20*ISNUMBER(AH65)),"")</f>
        <v>66.25</v>
      </c>
      <c r="AL65" s="16">
        <f>IF(ISNUMBER(AK65),RANK(AK65,$AK$2:$AK$113),"")</f>
        <v>64</v>
      </c>
      <c r="AM65" s="14">
        <f>IF(((D65="Implemented/available")+(E65="Implemented/available")+(J65="Implemented/available")+(K65="Implemented/available")+(L65="Implemented/available")+(M65="Implemented/available"))=0,"",(AND(D65="Implemented/available",O65&lt;&gt;"")+AND(E65="Implemented/available",P65&lt;&gt;"")+AND(J65="Implemented/available",Q65&lt;&gt;"")+AND(K65="Implemented/available",R65&lt;&gt;"")+AND(L65="Implemented/available",S65&lt;&gt;"")+AND(M65="Implemented/available",T65&lt;&gt;""))/((D65="Implemented/available")+(E65="Implemented/available")+(J65="Implemented/available")+(K65="Implemented/available")+(L65="Implemented/available")+(M65="Implemented/available")))</f>
        <v>1</v>
      </c>
    </row>
    <row r="66" spans="1:39" x14ac:dyDescent="0.25">
      <c r="A66" s="6" t="s">
        <v>208</v>
      </c>
      <c r="B66" s="6" t="s">
        <v>209</v>
      </c>
      <c r="C66" s="6" t="s">
        <v>210</v>
      </c>
      <c r="D66" s="6" t="s">
        <v>48</v>
      </c>
      <c r="E66" s="6" t="s">
        <v>38</v>
      </c>
      <c r="F66" s="6" t="s">
        <v>48</v>
      </c>
      <c r="G66" s="6" t="s">
        <v>117</v>
      </c>
      <c r="H66" s="6"/>
      <c r="I66" s="6" t="s">
        <v>60</v>
      </c>
      <c r="J66" s="6" t="s">
        <v>38</v>
      </c>
      <c r="K66" s="6" t="s">
        <v>29</v>
      </c>
      <c r="L66" s="6" t="s">
        <v>41</v>
      </c>
      <c r="M66" s="6" t="s">
        <v>29</v>
      </c>
      <c r="N66" s="6"/>
      <c r="O66" s="6"/>
      <c r="P66" s="6" t="s">
        <v>211</v>
      </c>
      <c r="Q66" s="6"/>
      <c r="R66" s="6" t="s">
        <v>211</v>
      </c>
      <c r="S66" s="6"/>
      <c r="T66" s="6" t="s">
        <v>211</v>
      </c>
      <c r="U66" s="6"/>
      <c r="V66" s="12" t="str">
        <f>IFERROR(IF(ISNUMBER(INDEX(Parameters!$B$5:$B$14,MATCH(D66,Parameters!$A$5:$A$14,0))),INDEX(Parameters!$B$5:$B$14,MATCH(D66,Parameters!$A$5:$A$14,0)),""),"")</f>
        <v/>
      </c>
      <c r="W66" s="12">
        <f>IFERROR(IF(ISNUMBER(INDEX(Parameters!$B$5:$B$14,MATCH(E66,Parameters!$A$5:$A$14,0))),INDEX(Parameters!$B$5:$B$14,MATCH(E66,Parameters!$A$5:$A$14,0)),""),"")</f>
        <v>0.67</v>
      </c>
      <c r="X66" s="12" t="str">
        <f>IFERROR(IF(ISNUMBER(INDEX(Parameters!$B$5:$B$14,MATCH(F66,Parameters!$A$5:$A$14,0))),INDEX(Parameters!$B$5:$B$14,MATCH(F66,Parameters!$A$5:$A$14,0)),""),"")</f>
        <v/>
      </c>
      <c r="Y66" s="12">
        <f>IF(G66&lt;&gt;"",1,IF(ISNUMBER(Parameters!$B$18),Parameters!$B$18,""))</f>
        <v>1</v>
      </c>
      <c r="Z66" s="12">
        <f>IF(I66&lt;&gt;"",IFERROR(IF(ISNUMBER(INDEX(Parameters!$B$5:$B$14,MATCH(I66,Parameters!$A$5:$A$14,0))),INDEX(Parameters!$B$5:$B$14,MATCH(I66,Parameters!$A$5:$A$14,0)),""),""),IF(ISNUMBER(Parameters!$B$21),Parameters!$B$21,""))</f>
        <v>0.5</v>
      </c>
      <c r="AA66" s="12">
        <f>IFERROR(IF(ISNUMBER(INDEX(Parameters!$B$5:$B$14,MATCH(J66,Parameters!$A$5:$A$14,0))),INDEX(Parameters!$B$5:$B$14,MATCH(J66,Parameters!$A$5:$A$14,0)),""),"")</f>
        <v>0.67</v>
      </c>
      <c r="AB66" s="12">
        <f>IFERROR(IF(ISNUMBER(INDEX(Parameters!$B$5:$B$14,MATCH(K66,Parameters!$A$5:$A$14,0))),INDEX(Parameters!$B$5:$B$14,MATCH(K66,Parameters!$A$5:$A$14,0)),""),"")</f>
        <v>1</v>
      </c>
      <c r="AC66" s="12">
        <f>IFERROR(IF(ISNUMBER(INDEX(Parameters!$B$5:$B$14,MATCH(L66,Parameters!$A$5:$A$14,0))),INDEX(Parameters!$B$5:$B$14,MATCH(L66,Parameters!$A$5:$A$14,0)),""),"")</f>
        <v>0.33</v>
      </c>
      <c r="AD66" s="12">
        <f>IFERROR(IF(ISNUMBER(INDEX(Parameters!$B$5:$B$14,MATCH(M66,Parameters!$A$5:$A$14,0))),INDEX(Parameters!$B$5:$B$14,MATCH(M66,Parameters!$A$5:$A$14,0)),""),"")</f>
        <v>1</v>
      </c>
      <c r="AE66" s="12">
        <f>IF(N66&lt;&gt;"",1,IF(ISNUMBER(Parameters!$B$19),Parameters!$B$19,""))</f>
        <v>0</v>
      </c>
      <c r="AF66" s="12">
        <f>IF((Parameters!$I$5*ISNUMBER(V66)+Parameters!$I$6*ISNUMBER(W66)+Parameters!$I$7*ISNUMBER(X66)+Parameters!$I$8*ISNUMBER(Y66))=0,"",(Parameters!$I$5*N(V66)+Parameters!$I$6*N(W66)+Parameters!$I$7*N(X66)+Parameters!$I$8*N(Y66))/(Parameters!$I$5*ISNUMBER(V66)+Parameters!$I$6*ISNUMBER(W66)+Parameters!$I$7*ISNUMBER(X66)+Parameters!$I$8*ISNUMBER(Y66)))</f>
        <v>0.80199999999999994</v>
      </c>
      <c r="AG66" s="12">
        <f>IF((Parameters!$I$9*ISNUMBER(Z66))=0,"",(Parameters!$I$9*N(Z66))/(Parameters!$I$9*ISNUMBER(Z66)))</f>
        <v>0.5</v>
      </c>
      <c r="AH66" s="12">
        <f>IF((Parameters!$I$11*ISNUMBER(AA66)+Parameters!$I$12*ISNUMBER(AB66)+Parameters!$I$13*ISNUMBER(AC66)+Parameters!$I$14*ISNUMBER(AD66)+Parameters!$I$15*ISNUMBER(AE66))=0,"",(Parameters!$I$11*N(AA66)+Parameters!$I$12*N(AB66)+Parameters!$I$13*N(AC66)+Parameters!$I$14*N(AD66)+Parameters!$I$15*N(AE66))/(Parameters!$I$11*ISNUMBER(AA66)+Parameters!$I$12*ISNUMBER(AB66)+Parameters!$I$13*ISNUMBER(AC66)+Parameters!$I$14*ISNUMBER(AD66)+Parameters!$I$15*ISNUMBER(AE66)))</f>
        <v>0.6</v>
      </c>
      <c r="AI66" s="13">
        <f>Parameters!$I$5*ISNUMBER(V66)+Parameters!$I$6*ISNUMBER(W66)+Parameters!$I$7*ISNUMBER(X66)+Parameters!$I$8*ISNUMBER(Y66)+Parameters!$I$9*ISNUMBER(Z66)+Parameters!$I$11*ISNUMBER(AA66)+Parameters!$I$12*ISNUMBER(AB66)+Parameters!$I$13*ISNUMBER(AC66)+Parameters!$I$14*ISNUMBER(AD66)+Parameters!$I$15*ISNUMBER(AE66)</f>
        <v>75</v>
      </c>
      <c r="AJ66" s="14">
        <f>IF((Parameters!$I$5+Parameters!$I$6+Parameters!$I$7+Parameters!$I$8+Parameters!$I$9+Parameters!$I$11+Parameters!$I$12+Parameters!$I$13+Parameters!$I$14+Parameters!$I$15)=0,"",AI66/(Parameters!$I$5+Parameters!$I$6+Parameters!$I$7+Parameters!$I$8+Parameters!$I$9+Parameters!$I$11+Parameters!$I$12+Parameters!$I$13+Parameters!$I$14+Parameters!$I$15))</f>
        <v>0.78947368421052633</v>
      </c>
      <c r="AK66" s="15">
        <f>IF(AND(ISNUMBER(AF66),ISNUMBER(AH66),OR(NOT((Parameters!$I$9)&gt;0),ISNUMBER(AG66)),AJ66&gt;=Parameters!$B$20),100*(Parameters!$F$18*N(AF66)+Parameters!$F$19*N(AG66)+Parameters!$F$20*N(AH66))/(Parameters!$F$18*ISNUMBER(AF66)+Parameters!$F$19*ISNUMBER(AG66)+Parameters!$F$20*ISNUMBER(AH66)),"")</f>
        <v>65.58</v>
      </c>
      <c r="AL66" s="16">
        <f>IF(ISNUMBER(AK66),RANK(AK66,$AK$2:$AK$113),"")</f>
        <v>65</v>
      </c>
      <c r="AM66" s="14">
        <f>IF(((D66="Implemented/available")+(E66="Implemented/available")+(J66="Implemented/available")+(K66="Implemented/available")+(L66="Implemented/available")+(M66="Implemented/available"))=0,"",(AND(D66="Implemented/available",O66&lt;&gt;"")+AND(E66="Implemented/available",P66&lt;&gt;"")+AND(J66="Implemented/available",Q66&lt;&gt;"")+AND(K66="Implemented/available",R66&lt;&gt;"")+AND(L66="Implemented/available",S66&lt;&gt;"")+AND(M66="Implemented/available",T66&lt;&gt;""))/((D66="Implemented/available")+(E66="Implemented/available")+(J66="Implemented/available")+(K66="Implemented/available")+(L66="Implemented/available")+(M66="Implemented/available")))</f>
        <v>1</v>
      </c>
    </row>
    <row r="67" spans="1:39" x14ac:dyDescent="0.25">
      <c r="A67" s="6" t="s">
        <v>536</v>
      </c>
      <c r="B67" s="6" t="s">
        <v>537</v>
      </c>
      <c r="C67" s="6" t="s">
        <v>235</v>
      </c>
      <c r="D67" s="6" t="s">
        <v>38</v>
      </c>
      <c r="E67" s="6" t="s">
        <v>29</v>
      </c>
      <c r="F67" s="6" t="s">
        <v>41</v>
      </c>
      <c r="G67" s="6"/>
      <c r="H67" s="6"/>
      <c r="I67" s="6" t="s">
        <v>60</v>
      </c>
      <c r="J67" s="6" t="s">
        <v>29</v>
      </c>
      <c r="K67" s="6" t="s">
        <v>34</v>
      </c>
      <c r="L67" s="6" t="s">
        <v>29</v>
      </c>
      <c r="M67" s="6" t="s">
        <v>29</v>
      </c>
      <c r="N67" s="6"/>
      <c r="O67" s="6" t="s">
        <v>538</v>
      </c>
      <c r="P67" s="6" t="s">
        <v>539</v>
      </c>
      <c r="Q67" s="6" t="s">
        <v>540</v>
      </c>
      <c r="R67" s="6"/>
      <c r="S67" s="6" t="s">
        <v>541</v>
      </c>
      <c r="T67" s="6" t="s">
        <v>542</v>
      </c>
      <c r="U67" s="6" t="s">
        <v>543</v>
      </c>
      <c r="V67" s="12">
        <f>IFERROR(IF(ISNUMBER(INDEX(Parameters!$B$5:$B$14,MATCH(D67,Parameters!$A$5:$A$14,0))),INDEX(Parameters!$B$5:$B$14,MATCH(D67,Parameters!$A$5:$A$14,0)),""),"")</f>
        <v>0.67</v>
      </c>
      <c r="W67" s="12">
        <f>IFERROR(IF(ISNUMBER(INDEX(Parameters!$B$5:$B$14,MATCH(E67,Parameters!$A$5:$A$14,0))),INDEX(Parameters!$B$5:$B$14,MATCH(E67,Parameters!$A$5:$A$14,0)),""),"")</f>
        <v>1</v>
      </c>
      <c r="X67" s="12">
        <f>IFERROR(IF(ISNUMBER(INDEX(Parameters!$B$5:$B$14,MATCH(F67,Parameters!$A$5:$A$14,0))),INDEX(Parameters!$B$5:$B$14,MATCH(F67,Parameters!$A$5:$A$14,0)),""),"")</f>
        <v>0.33</v>
      </c>
      <c r="Y67" s="12">
        <f>IF(G67&lt;&gt;"",1,IF(ISNUMBER(Parameters!$B$18),Parameters!$B$18,""))</f>
        <v>0</v>
      </c>
      <c r="Z67" s="12">
        <f>IF(I67&lt;&gt;"",IFERROR(IF(ISNUMBER(INDEX(Parameters!$B$5:$B$14,MATCH(I67,Parameters!$A$5:$A$14,0))),INDEX(Parameters!$B$5:$B$14,MATCH(I67,Parameters!$A$5:$A$14,0)),""),""),IF(ISNUMBER(Parameters!$B$21),Parameters!$B$21,""))</f>
        <v>0.5</v>
      </c>
      <c r="AA67" s="12">
        <f>IFERROR(IF(ISNUMBER(INDEX(Parameters!$B$5:$B$14,MATCH(J67,Parameters!$A$5:$A$14,0))),INDEX(Parameters!$B$5:$B$14,MATCH(J67,Parameters!$A$5:$A$14,0)),""),"")</f>
        <v>1</v>
      </c>
      <c r="AB67" s="12">
        <f>IFERROR(IF(ISNUMBER(INDEX(Parameters!$B$5:$B$14,MATCH(K67,Parameters!$A$5:$A$14,0))),INDEX(Parameters!$B$5:$B$14,MATCH(K67,Parameters!$A$5:$A$14,0)),""),"")</f>
        <v>1</v>
      </c>
      <c r="AC67" s="12">
        <f>IFERROR(IF(ISNUMBER(INDEX(Parameters!$B$5:$B$14,MATCH(L67,Parameters!$A$5:$A$14,0))),INDEX(Parameters!$B$5:$B$14,MATCH(L67,Parameters!$A$5:$A$14,0)),""),"")</f>
        <v>1</v>
      </c>
      <c r="AD67" s="12">
        <f>IFERROR(IF(ISNUMBER(INDEX(Parameters!$B$5:$B$14,MATCH(M67,Parameters!$A$5:$A$14,0))),INDEX(Parameters!$B$5:$B$14,MATCH(M67,Parameters!$A$5:$A$14,0)),""),"")</f>
        <v>1</v>
      </c>
      <c r="AE67" s="12">
        <f>IF(N67&lt;&gt;"",1,IF(ISNUMBER(Parameters!$B$19),Parameters!$B$19,""))</f>
        <v>0</v>
      </c>
      <c r="AF67" s="12">
        <f>IF((Parameters!$I$5*ISNUMBER(V67)+Parameters!$I$6*ISNUMBER(W67)+Parameters!$I$7*ISNUMBER(X67)+Parameters!$I$8*ISNUMBER(Y67))=0,"",(Parameters!$I$5*N(V67)+Parameters!$I$6*N(W67)+Parameters!$I$7*N(X67)+Parameters!$I$8*N(Y67))/(Parameters!$I$5*ISNUMBER(V67)+Parameters!$I$6*ISNUMBER(W67)+Parameters!$I$7*ISNUMBER(X67)+Parameters!$I$8*ISNUMBER(Y67)))</f>
        <v>0.56699999999999995</v>
      </c>
      <c r="AG67" s="12">
        <f>IF((Parameters!$I$9*ISNUMBER(Z67))=0,"",(Parameters!$I$9*N(Z67))/(Parameters!$I$9*ISNUMBER(Z67)))</f>
        <v>0.5</v>
      </c>
      <c r="AH67" s="12">
        <f>IF((Parameters!$I$11*ISNUMBER(AA67)+Parameters!$I$12*ISNUMBER(AB67)+Parameters!$I$13*ISNUMBER(AC67)+Parameters!$I$14*ISNUMBER(AD67)+Parameters!$I$15*ISNUMBER(AE67))=0,"",(Parameters!$I$11*N(AA67)+Parameters!$I$12*N(AB67)+Parameters!$I$13*N(AC67)+Parameters!$I$14*N(AD67)+Parameters!$I$15*N(AE67))/(Parameters!$I$11*ISNUMBER(AA67)+Parameters!$I$12*ISNUMBER(AB67)+Parameters!$I$13*ISNUMBER(AC67)+Parameters!$I$14*ISNUMBER(AD67)+Parameters!$I$15*ISNUMBER(AE67)))</f>
        <v>0.8</v>
      </c>
      <c r="AI67" s="13">
        <f>Parameters!$I$5*ISNUMBER(V67)+Parameters!$I$6*ISNUMBER(W67)+Parameters!$I$7*ISNUMBER(X67)+Parameters!$I$8*ISNUMBER(Y67)+Parameters!$I$9*ISNUMBER(Z67)+Parameters!$I$11*ISNUMBER(AA67)+Parameters!$I$12*ISNUMBER(AB67)+Parameters!$I$13*ISNUMBER(AC67)+Parameters!$I$14*ISNUMBER(AD67)+Parameters!$I$15*ISNUMBER(AE67)</f>
        <v>95</v>
      </c>
      <c r="AJ67" s="14">
        <f>IF((Parameters!$I$5+Parameters!$I$6+Parameters!$I$7+Parameters!$I$8+Parameters!$I$9+Parameters!$I$11+Parameters!$I$12+Parameters!$I$13+Parameters!$I$14+Parameters!$I$15)=0,"",AI67/(Parameters!$I$5+Parameters!$I$6+Parameters!$I$7+Parameters!$I$8+Parameters!$I$9+Parameters!$I$11+Parameters!$I$12+Parameters!$I$13+Parameters!$I$14+Parameters!$I$15))</f>
        <v>1</v>
      </c>
      <c r="AK67" s="15">
        <f>IF(AND(ISNUMBER(AF67),ISNUMBER(AH67),OR(NOT((Parameters!$I$9)&gt;0),ISNUMBER(AG67)),AJ67&gt;=Parameters!$B$20),100*(Parameters!$F$18*N(AF67)+Parameters!$F$19*N(AG67)+Parameters!$F$20*N(AH67))/(Parameters!$F$18*ISNUMBER(AF67)+Parameters!$F$19*ISNUMBER(AG67)+Parameters!$F$20*ISNUMBER(AH67)),"")</f>
        <v>63.179999999999993</v>
      </c>
      <c r="AL67" s="16">
        <f>IF(ISNUMBER(AK67),RANK(AK67,$AK$2:$AK$113),"")</f>
        <v>66</v>
      </c>
      <c r="AM67" s="14">
        <f>IF(((D67="Implemented/available")+(E67="Implemented/available")+(J67="Implemented/available")+(K67="Implemented/available")+(L67="Implemented/available")+(M67="Implemented/available"))=0,"",(AND(D67="Implemented/available",O67&lt;&gt;"")+AND(E67="Implemented/available",P67&lt;&gt;"")+AND(J67="Implemented/available",Q67&lt;&gt;"")+AND(K67="Implemented/available",R67&lt;&gt;"")+AND(L67="Implemented/available",S67&lt;&gt;"")+AND(M67="Implemented/available",T67&lt;&gt;""))/((D67="Implemented/available")+(E67="Implemented/available")+(J67="Implemented/available")+(K67="Implemented/available")+(L67="Implemented/available")+(M67="Implemented/available")))</f>
        <v>1</v>
      </c>
    </row>
    <row r="68" spans="1:39" x14ac:dyDescent="0.25">
      <c r="A68" s="6" t="s">
        <v>289</v>
      </c>
      <c r="B68" s="6" t="s">
        <v>290</v>
      </c>
      <c r="C68" s="6" t="s">
        <v>291</v>
      </c>
      <c r="D68" s="6" t="s">
        <v>29</v>
      </c>
      <c r="E68" s="6" t="s">
        <v>48</v>
      </c>
      <c r="F68" s="6" t="s">
        <v>48</v>
      </c>
      <c r="G68" s="6"/>
      <c r="H68" s="6"/>
      <c r="I68" s="6" t="s">
        <v>60</v>
      </c>
      <c r="J68" s="6" t="s">
        <v>38</v>
      </c>
      <c r="K68" s="6" t="s">
        <v>34</v>
      </c>
      <c r="L68" s="6" t="s">
        <v>29</v>
      </c>
      <c r="M68" s="6" t="s">
        <v>29</v>
      </c>
      <c r="N68" s="6"/>
      <c r="O68" s="6" t="s">
        <v>292</v>
      </c>
      <c r="P68" s="6"/>
      <c r="Q68" s="6"/>
      <c r="R68" s="6"/>
      <c r="S68" s="6" t="s">
        <v>293</v>
      </c>
      <c r="T68" s="6" t="s">
        <v>294</v>
      </c>
      <c r="U68" s="6"/>
      <c r="V68" s="12">
        <f>IFERROR(IF(ISNUMBER(INDEX(Parameters!$B$5:$B$14,MATCH(D68,Parameters!$A$5:$A$14,0))),INDEX(Parameters!$B$5:$B$14,MATCH(D68,Parameters!$A$5:$A$14,0)),""),"")</f>
        <v>1</v>
      </c>
      <c r="W68" s="12" t="str">
        <f>IFERROR(IF(ISNUMBER(INDEX(Parameters!$B$5:$B$14,MATCH(E68,Parameters!$A$5:$A$14,0))),INDEX(Parameters!$B$5:$B$14,MATCH(E68,Parameters!$A$5:$A$14,0)),""),"")</f>
        <v/>
      </c>
      <c r="X68" s="12" t="str">
        <f>IFERROR(IF(ISNUMBER(INDEX(Parameters!$B$5:$B$14,MATCH(F68,Parameters!$A$5:$A$14,0))),INDEX(Parameters!$B$5:$B$14,MATCH(F68,Parameters!$A$5:$A$14,0)),""),"")</f>
        <v/>
      </c>
      <c r="Y68" s="12">
        <f>IF(G68&lt;&gt;"",1,IF(ISNUMBER(Parameters!$B$18),Parameters!$B$18,""))</f>
        <v>0</v>
      </c>
      <c r="Z68" s="12">
        <f>IF(I68&lt;&gt;"",IFERROR(IF(ISNUMBER(INDEX(Parameters!$B$5:$B$14,MATCH(I68,Parameters!$A$5:$A$14,0))),INDEX(Parameters!$B$5:$B$14,MATCH(I68,Parameters!$A$5:$A$14,0)),""),""),IF(ISNUMBER(Parameters!$B$21),Parameters!$B$21,""))</f>
        <v>0.5</v>
      </c>
      <c r="AA68" s="12">
        <f>IFERROR(IF(ISNUMBER(INDEX(Parameters!$B$5:$B$14,MATCH(J68,Parameters!$A$5:$A$14,0))),INDEX(Parameters!$B$5:$B$14,MATCH(J68,Parameters!$A$5:$A$14,0)),""),"")</f>
        <v>0.67</v>
      </c>
      <c r="AB68" s="12">
        <f>IFERROR(IF(ISNUMBER(INDEX(Parameters!$B$5:$B$14,MATCH(K68,Parameters!$A$5:$A$14,0))),INDEX(Parameters!$B$5:$B$14,MATCH(K68,Parameters!$A$5:$A$14,0)),""),"")</f>
        <v>1</v>
      </c>
      <c r="AC68" s="12">
        <f>IFERROR(IF(ISNUMBER(INDEX(Parameters!$B$5:$B$14,MATCH(L68,Parameters!$A$5:$A$14,0))),INDEX(Parameters!$B$5:$B$14,MATCH(L68,Parameters!$A$5:$A$14,0)),""),"")</f>
        <v>1</v>
      </c>
      <c r="AD68" s="12">
        <f>IFERROR(IF(ISNUMBER(INDEX(Parameters!$B$5:$B$14,MATCH(M68,Parameters!$A$5:$A$14,0))),INDEX(Parameters!$B$5:$B$14,MATCH(M68,Parameters!$A$5:$A$14,0)),""),"")</f>
        <v>1</v>
      </c>
      <c r="AE68" s="12">
        <f>IF(N68&lt;&gt;"",1,IF(ISNUMBER(Parameters!$B$19),Parameters!$B$19,""))</f>
        <v>0</v>
      </c>
      <c r="AF68" s="12">
        <f>IF((Parameters!$I$5*ISNUMBER(V68)+Parameters!$I$6*ISNUMBER(W68)+Parameters!$I$7*ISNUMBER(X68)+Parameters!$I$8*ISNUMBER(Y68))=0,"",(Parameters!$I$5*N(V68)+Parameters!$I$6*N(W68)+Parameters!$I$7*N(X68)+Parameters!$I$8*N(Y68))/(Parameters!$I$5*ISNUMBER(V68)+Parameters!$I$6*ISNUMBER(W68)+Parameters!$I$7*ISNUMBER(X68)+Parameters!$I$8*ISNUMBER(Y68)))</f>
        <v>0.6</v>
      </c>
      <c r="AG68" s="12">
        <f>IF((Parameters!$I$9*ISNUMBER(Z68))=0,"",(Parameters!$I$9*N(Z68))/(Parameters!$I$9*ISNUMBER(Z68)))</f>
        <v>0.5</v>
      </c>
      <c r="AH68" s="12">
        <f>IF((Parameters!$I$11*ISNUMBER(AA68)+Parameters!$I$12*ISNUMBER(AB68)+Parameters!$I$13*ISNUMBER(AC68)+Parameters!$I$14*ISNUMBER(AD68)+Parameters!$I$15*ISNUMBER(AE68))=0,"",(Parameters!$I$11*N(AA68)+Parameters!$I$12*N(AB68)+Parameters!$I$13*N(AC68)+Parameters!$I$14*N(AD68)+Parameters!$I$15*N(AE68))/(Parameters!$I$11*ISNUMBER(AA68)+Parameters!$I$12*ISNUMBER(AB68)+Parameters!$I$13*ISNUMBER(AC68)+Parameters!$I$14*ISNUMBER(AD68)+Parameters!$I$15*ISNUMBER(AE68)))</f>
        <v>0.73399999999999999</v>
      </c>
      <c r="AI68" s="13">
        <f>Parameters!$I$5*ISNUMBER(V68)+Parameters!$I$6*ISNUMBER(W68)+Parameters!$I$7*ISNUMBER(X68)+Parameters!$I$8*ISNUMBER(Y68)+Parameters!$I$9*ISNUMBER(Z68)+Parameters!$I$11*ISNUMBER(AA68)+Parameters!$I$12*ISNUMBER(AB68)+Parameters!$I$13*ISNUMBER(AC68)+Parameters!$I$14*ISNUMBER(AD68)+Parameters!$I$15*ISNUMBER(AE68)</f>
        <v>75</v>
      </c>
      <c r="AJ68" s="14">
        <f>IF((Parameters!$I$5+Parameters!$I$6+Parameters!$I$7+Parameters!$I$8+Parameters!$I$9+Parameters!$I$11+Parameters!$I$12+Parameters!$I$13+Parameters!$I$14+Parameters!$I$15)=0,"",AI68/(Parameters!$I$5+Parameters!$I$6+Parameters!$I$7+Parameters!$I$8+Parameters!$I$9+Parameters!$I$11+Parameters!$I$12+Parameters!$I$13+Parameters!$I$14+Parameters!$I$15))</f>
        <v>0.78947368421052633</v>
      </c>
      <c r="AK68" s="15">
        <f>IF(AND(ISNUMBER(AF68),ISNUMBER(AH68),OR(NOT((Parameters!$I$9)&gt;0),ISNUMBER(AG68)),AJ68&gt;=Parameters!$B$20),100*(Parameters!$F$18*N(AF68)+Parameters!$F$19*N(AG68)+Parameters!$F$20*N(AH68))/(Parameters!$F$18*ISNUMBER(AF68)+Parameters!$F$19*ISNUMBER(AG68)+Parameters!$F$20*ISNUMBER(AH68)),"")</f>
        <v>62.189999999999991</v>
      </c>
      <c r="AL68" s="16">
        <f>IF(ISNUMBER(AK68),RANK(AK68,$AK$2:$AK$113),"")</f>
        <v>67</v>
      </c>
      <c r="AM68" s="14">
        <f>IF(((D68="Implemented/available")+(E68="Implemented/available")+(J68="Implemented/available")+(K68="Implemented/available")+(L68="Implemented/available")+(M68="Implemented/available"))=0,"",(AND(D68="Implemented/available",O68&lt;&gt;"")+AND(E68="Implemented/available",P68&lt;&gt;"")+AND(J68="Implemented/available",Q68&lt;&gt;"")+AND(K68="Implemented/available",R68&lt;&gt;"")+AND(L68="Implemented/available",S68&lt;&gt;"")+AND(M68="Implemented/available",T68&lt;&gt;""))/((D68="Implemented/available")+(E68="Implemented/available")+(J68="Implemented/available")+(K68="Implemented/available")+(L68="Implemented/available")+(M68="Implemented/available")))</f>
        <v>1</v>
      </c>
    </row>
    <row r="69" spans="1:39" x14ac:dyDescent="0.25">
      <c r="A69" s="6" t="s">
        <v>249</v>
      </c>
      <c r="B69" s="6" t="s">
        <v>250</v>
      </c>
      <c r="C69" s="6" t="s">
        <v>151</v>
      </c>
      <c r="D69" s="6" t="s">
        <v>29</v>
      </c>
      <c r="E69" s="6" t="s">
        <v>29</v>
      </c>
      <c r="F69" s="6" t="s">
        <v>48</v>
      </c>
      <c r="G69" s="6" t="s">
        <v>117</v>
      </c>
      <c r="H69" s="6"/>
      <c r="I69" s="6"/>
      <c r="J69" s="6" t="s">
        <v>41</v>
      </c>
      <c r="K69" s="6" t="s">
        <v>34</v>
      </c>
      <c r="L69" s="6" t="s">
        <v>38</v>
      </c>
      <c r="M69" s="6" t="s">
        <v>29</v>
      </c>
      <c r="N69" s="6"/>
      <c r="O69" s="6" t="s">
        <v>251</v>
      </c>
      <c r="P69" s="6" t="s">
        <v>252</v>
      </c>
      <c r="Q69" s="6"/>
      <c r="R69" s="6"/>
      <c r="S69" s="6"/>
      <c r="T69" s="6" t="s">
        <v>253</v>
      </c>
      <c r="U69" s="6"/>
      <c r="V69" s="12">
        <f>IFERROR(IF(ISNUMBER(INDEX(Parameters!$B$5:$B$14,MATCH(D69,Parameters!$A$5:$A$14,0))),INDEX(Parameters!$B$5:$B$14,MATCH(D69,Parameters!$A$5:$A$14,0)),""),"")</f>
        <v>1</v>
      </c>
      <c r="W69" s="12">
        <f>IFERROR(IF(ISNUMBER(INDEX(Parameters!$B$5:$B$14,MATCH(E69,Parameters!$A$5:$A$14,0))),INDEX(Parameters!$B$5:$B$14,MATCH(E69,Parameters!$A$5:$A$14,0)),""),"")</f>
        <v>1</v>
      </c>
      <c r="X69" s="12" t="str">
        <f>IFERROR(IF(ISNUMBER(INDEX(Parameters!$B$5:$B$14,MATCH(F69,Parameters!$A$5:$A$14,0))),INDEX(Parameters!$B$5:$B$14,MATCH(F69,Parameters!$A$5:$A$14,0)),""),"")</f>
        <v/>
      </c>
      <c r="Y69" s="12">
        <f>IF(G69&lt;&gt;"",1,IF(ISNUMBER(Parameters!$B$18),Parameters!$B$18,""))</f>
        <v>1</v>
      </c>
      <c r="Z69" s="12">
        <f>IF(I69&lt;&gt;"",IFERROR(IF(ISNUMBER(INDEX(Parameters!$B$5:$B$14,MATCH(I69,Parameters!$A$5:$A$14,0))),INDEX(Parameters!$B$5:$B$14,MATCH(I69,Parameters!$A$5:$A$14,0)),""),""),IF(ISNUMBER(Parameters!$B$21),Parameters!$B$21,""))</f>
        <v>0</v>
      </c>
      <c r="AA69" s="12">
        <f>IFERROR(IF(ISNUMBER(INDEX(Parameters!$B$5:$B$14,MATCH(J69,Parameters!$A$5:$A$14,0))),INDEX(Parameters!$B$5:$B$14,MATCH(J69,Parameters!$A$5:$A$14,0)),""),"")</f>
        <v>0.33</v>
      </c>
      <c r="AB69" s="12">
        <f>IFERROR(IF(ISNUMBER(INDEX(Parameters!$B$5:$B$14,MATCH(K69,Parameters!$A$5:$A$14,0))),INDEX(Parameters!$B$5:$B$14,MATCH(K69,Parameters!$A$5:$A$14,0)),""),"")</f>
        <v>1</v>
      </c>
      <c r="AC69" s="12">
        <f>IFERROR(IF(ISNUMBER(INDEX(Parameters!$B$5:$B$14,MATCH(L69,Parameters!$A$5:$A$14,0))),INDEX(Parameters!$B$5:$B$14,MATCH(L69,Parameters!$A$5:$A$14,0)),""),"")</f>
        <v>0.67</v>
      </c>
      <c r="AD69" s="12">
        <f>IFERROR(IF(ISNUMBER(INDEX(Parameters!$B$5:$B$14,MATCH(M69,Parameters!$A$5:$A$14,0))),INDEX(Parameters!$B$5:$B$14,MATCH(M69,Parameters!$A$5:$A$14,0)),""),"")</f>
        <v>1</v>
      </c>
      <c r="AE69" s="12">
        <f>IF(N69&lt;&gt;"",1,IF(ISNUMBER(Parameters!$B$19),Parameters!$B$19,""))</f>
        <v>0</v>
      </c>
      <c r="AF69" s="12">
        <f>IF((Parameters!$I$5*ISNUMBER(V69)+Parameters!$I$6*ISNUMBER(W69)+Parameters!$I$7*ISNUMBER(X69)+Parameters!$I$8*ISNUMBER(Y69))=0,"",(Parameters!$I$5*N(V69)+Parameters!$I$6*N(W69)+Parameters!$I$7*N(X69)+Parameters!$I$8*N(Y69))/(Parameters!$I$5*ISNUMBER(V69)+Parameters!$I$6*ISNUMBER(W69)+Parameters!$I$7*ISNUMBER(X69)+Parameters!$I$8*ISNUMBER(Y69)))</f>
        <v>1</v>
      </c>
      <c r="AG69" s="12">
        <f>IF((Parameters!$I$9*ISNUMBER(Z69))=0,"",(Parameters!$I$9*N(Z69))/(Parameters!$I$9*ISNUMBER(Z69)))</f>
        <v>0</v>
      </c>
      <c r="AH69" s="12">
        <f>IF((Parameters!$I$11*ISNUMBER(AA69)+Parameters!$I$12*ISNUMBER(AB69)+Parameters!$I$13*ISNUMBER(AC69)+Parameters!$I$14*ISNUMBER(AD69)+Parameters!$I$15*ISNUMBER(AE69))=0,"",(Parameters!$I$11*N(AA69)+Parameters!$I$12*N(AB69)+Parameters!$I$13*N(AC69)+Parameters!$I$14*N(AD69)+Parameters!$I$15*N(AE69))/(Parameters!$I$11*ISNUMBER(AA69)+Parameters!$I$12*ISNUMBER(AB69)+Parameters!$I$13*ISNUMBER(AC69)+Parameters!$I$14*ISNUMBER(AD69)+Parameters!$I$15*ISNUMBER(AE69)))</f>
        <v>0.6</v>
      </c>
      <c r="AI69" s="13">
        <f>Parameters!$I$5*ISNUMBER(V69)+Parameters!$I$6*ISNUMBER(W69)+Parameters!$I$7*ISNUMBER(X69)+Parameters!$I$8*ISNUMBER(Y69)+Parameters!$I$9*ISNUMBER(Z69)+Parameters!$I$11*ISNUMBER(AA69)+Parameters!$I$12*ISNUMBER(AB69)+Parameters!$I$13*ISNUMBER(AC69)+Parameters!$I$14*ISNUMBER(AD69)+Parameters!$I$15*ISNUMBER(AE69)</f>
        <v>87</v>
      </c>
      <c r="AJ69" s="14">
        <f>IF((Parameters!$I$5+Parameters!$I$6+Parameters!$I$7+Parameters!$I$8+Parameters!$I$9+Parameters!$I$11+Parameters!$I$12+Parameters!$I$13+Parameters!$I$14+Parameters!$I$15)=0,"",AI69/(Parameters!$I$5+Parameters!$I$6+Parameters!$I$7+Parameters!$I$8+Parameters!$I$9+Parameters!$I$11+Parameters!$I$12+Parameters!$I$13+Parameters!$I$14+Parameters!$I$15))</f>
        <v>0.91578947368421049</v>
      </c>
      <c r="AK69" s="15">
        <f>IF(AND(ISNUMBER(AF69),ISNUMBER(AH69),OR(NOT((Parameters!$I$9)&gt;0),ISNUMBER(AG69)),AJ69&gt;=Parameters!$B$20),100*(Parameters!$F$18*N(AF69)+Parameters!$F$19*N(AG69)+Parameters!$F$20*N(AH69))/(Parameters!$F$18*ISNUMBER(AF69)+Parameters!$F$19*ISNUMBER(AG69)+Parameters!$F$20*ISNUMBER(AH69)),"")</f>
        <v>61</v>
      </c>
      <c r="AL69" s="16">
        <f>IF(ISNUMBER(AK69),RANK(AK69,$AK$2:$AK$113),"")</f>
        <v>68</v>
      </c>
      <c r="AM69" s="14">
        <f>IF(((D69="Implemented/available")+(E69="Implemented/available")+(J69="Implemented/available")+(K69="Implemented/available")+(L69="Implemented/available")+(M69="Implemented/available"))=0,"",(AND(D69="Implemented/available",O69&lt;&gt;"")+AND(E69="Implemented/available",P69&lt;&gt;"")+AND(J69="Implemented/available",Q69&lt;&gt;"")+AND(K69="Implemented/available",R69&lt;&gt;"")+AND(L69="Implemented/available",S69&lt;&gt;"")+AND(M69="Implemented/available",T69&lt;&gt;""))/((D69="Implemented/available")+(E69="Implemented/available")+(J69="Implemented/available")+(K69="Implemented/available")+(L69="Implemented/available")+(M69="Implemented/available")))</f>
        <v>1</v>
      </c>
    </row>
    <row r="70" spans="1:39" x14ac:dyDescent="0.25">
      <c r="A70" s="6" t="s">
        <v>130</v>
      </c>
      <c r="B70" s="6" t="s">
        <v>131</v>
      </c>
      <c r="C70" s="6" t="s">
        <v>132</v>
      </c>
      <c r="D70" s="6" t="s">
        <v>29</v>
      </c>
      <c r="E70" s="6" t="s">
        <v>44</v>
      </c>
      <c r="F70" s="6" t="s">
        <v>44</v>
      </c>
      <c r="G70" s="6" t="s">
        <v>117</v>
      </c>
      <c r="H70" s="6"/>
      <c r="I70" s="6" t="s">
        <v>60</v>
      </c>
      <c r="J70" s="6" t="s">
        <v>38</v>
      </c>
      <c r="K70" s="6" t="s">
        <v>38</v>
      </c>
      <c r="L70" s="6" t="s">
        <v>38</v>
      </c>
      <c r="M70" s="6" t="s">
        <v>29</v>
      </c>
      <c r="N70" s="6" t="s">
        <v>133</v>
      </c>
      <c r="O70" s="6" t="s">
        <v>134</v>
      </c>
      <c r="P70" s="6"/>
      <c r="Q70" s="6"/>
      <c r="R70" s="6"/>
      <c r="S70" s="6"/>
      <c r="T70" s="6" t="s">
        <v>135</v>
      </c>
      <c r="U70" s="6"/>
      <c r="V70" s="12">
        <f>IFERROR(IF(ISNUMBER(INDEX(Parameters!$B$5:$B$14,MATCH(D70,Parameters!$A$5:$A$14,0))),INDEX(Parameters!$B$5:$B$14,MATCH(D70,Parameters!$A$5:$A$14,0)),""),"")</f>
        <v>1</v>
      </c>
      <c r="W70" s="12">
        <f>IFERROR(IF(ISNUMBER(INDEX(Parameters!$B$5:$B$14,MATCH(E70,Parameters!$A$5:$A$14,0))),INDEX(Parameters!$B$5:$B$14,MATCH(E70,Parameters!$A$5:$A$14,0)),""),"")</f>
        <v>0</v>
      </c>
      <c r="X70" s="12">
        <f>IFERROR(IF(ISNUMBER(INDEX(Parameters!$B$5:$B$14,MATCH(F70,Parameters!$A$5:$A$14,0))),INDEX(Parameters!$B$5:$B$14,MATCH(F70,Parameters!$A$5:$A$14,0)),""),"")</f>
        <v>0</v>
      </c>
      <c r="Y70" s="12">
        <f>IF(G70&lt;&gt;"",1,IF(ISNUMBER(Parameters!$B$18),Parameters!$B$18,""))</f>
        <v>1</v>
      </c>
      <c r="Z70" s="12">
        <f>IF(I70&lt;&gt;"",IFERROR(IF(ISNUMBER(INDEX(Parameters!$B$5:$B$14,MATCH(I70,Parameters!$A$5:$A$14,0))),INDEX(Parameters!$B$5:$B$14,MATCH(I70,Parameters!$A$5:$A$14,0)),""),""),IF(ISNUMBER(Parameters!$B$21),Parameters!$B$21,""))</f>
        <v>0.5</v>
      </c>
      <c r="AA70" s="12">
        <f>IFERROR(IF(ISNUMBER(INDEX(Parameters!$B$5:$B$14,MATCH(J70,Parameters!$A$5:$A$14,0))),INDEX(Parameters!$B$5:$B$14,MATCH(J70,Parameters!$A$5:$A$14,0)),""),"")</f>
        <v>0.67</v>
      </c>
      <c r="AB70" s="12">
        <f>IFERROR(IF(ISNUMBER(INDEX(Parameters!$B$5:$B$14,MATCH(K70,Parameters!$A$5:$A$14,0))),INDEX(Parameters!$B$5:$B$14,MATCH(K70,Parameters!$A$5:$A$14,0)),""),"")</f>
        <v>0.67</v>
      </c>
      <c r="AC70" s="12">
        <f>IFERROR(IF(ISNUMBER(INDEX(Parameters!$B$5:$B$14,MATCH(L70,Parameters!$A$5:$A$14,0))),INDEX(Parameters!$B$5:$B$14,MATCH(L70,Parameters!$A$5:$A$14,0)),""),"")</f>
        <v>0.67</v>
      </c>
      <c r="AD70" s="12">
        <f>IFERROR(IF(ISNUMBER(INDEX(Parameters!$B$5:$B$14,MATCH(M70,Parameters!$A$5:$A$14,0))),INDEX(Parameters!$B$5:$B$14,MATCH(M70,Parameters!$A$5:$A$14,0)),""),"")</f>
        <v>1</v>
      </c>
      <c r="AE70" s="12">
        <f>IF(N70&lt;&gt;"",1,IF(ISNUMBER(Parameters!$B$19),Parameters!$B$19,""))</f>
        <v>1</v>
      </c>
      <c r="AF70" s="12">
        <f>IF((Parameters!$I$5*ISNUMBER(V70)+Parameters!$I$6*ISNUMBER(W70)+Parameters!$I$7*ISNUMBER(X70)+Parameters!$I$8*ISNUMBER(Y70))=0,"",(Parameters!$I$5*N(V70)+Parameters!$I$6*N(W70)+Parameters!$I$7*N(X70)+Parameters!$I$8*N(Y70))/(Parameters!$I$5*ISNUMBER(V70)+Parameters!$I$6*ISNUMBER(W70)+Parameters!$I$7*ISNUMBER(X70)+Parameters!$I$8*ISNUMBER(Y70)))</f>
        <v>0.5</v>
      </c>
      <c r="AG70" s="12">
        <f>IF((Parameters!$I$9*ISNUMBER(Z70))=0,"",(Parameters!$I$9*N(Z70))/(Parameters!$I$9*ISNUMBER(Z70)))</f>
        <v>0.5</v>
      </c>
      <c r="AH70" s="12">
        <f>IF((Parameters!$I$11*ISNUMBER(AA70)+Parameters!$I$12*ISNUMBER(AB70)+Parameters!$I$13*ISNUMBER(AC70)+Parameters!$I$14*ISNUMBER(AD70)+Parameters!$I$15*ISNUMBER(AE70))=0,"",(Parameters!$I$11*N(AA70)+Parameters!$I$12*N(AB70)+Parameters!$I$13*N(AC70)+Parameters!$I$14*N(AD70)+Parameters!$I$15*N(AE70))/(Parameters!$I$11*ISNUMBER(AA70)+Parameters!$I$12*ISNUMBER(AB70)+Parameters!$I$13*ISNUMBER(AC70)+Parameters!$I$14*ISNUMBER(AD70)+Parameters!$I$15*ISNUMBER(AE70)))</f>
        <v>0.80200000000000005</v>
      </c>
      <c r="AI70" s="13">
        <f>Parameters!$I$5*ISNUMBER(V70)+Parameters!$I$6*ISNUMBER(W70)+Parameters!$I$7*ISNUMBER(X70)+Parameters!$I$8*ISNUMBER(Y70)+Parameters!$I$9*ISNUMBER(Z70)+Parameters!$I$11*ISNUMBER(AA70)+Parameters!$I$12*ISNUMBER(AB70)+Parameters!$I$13*ISNUMBER(AC70)+Parameters!$I$14*ISNUMBER(AD70)+Parameters!$I$15*ISNUMBER(AE70)</f>
        <v>95</v>
      </c>
      <c r="AJ70" s="14">
        <f>IF((Parameters!$I$5+Parameters!$I$6+Parameters!$I$7+Parameters!$I$8+Parameters!$I$9+Parameters!$I$11+Parameters!$I$12+Parameters!$I$13+Parameters!$I$14+Parameters!$I$15)=0,"",AI70/(Parameters!$I$5+Parameters!$I$6+Parameters!$I$7+Parameters!$I$8+Parameters!$I$9+Parameters!$I$11+Parameters!$I$12+Parameters!$I$13+Parameters!$I$14+Parameters!$I$15))</f>
        <v>1</v>
      </c>
      <c r="AK70" s="15">
        <f>IF(AND(ISNUMBER(AF70),ISNUMBER(AH70),OR(NOT((Parameters!$I$9)&gt;0),ISNUMBER(AG70)),AJ70&gt;=Parameters!$B$20),100*(Parameters!$F$18*N(AF70)+Parameters!$F$19*N(AG70)+Parameters!$F$20*N(AH70))/(Parameters!$F$18*ISNUMBER(AF70)+Parameters!$F$19*ISNUMBER(AG70)+Parameters!$F$20*ISNUMBER(AH70)),"")</f>
        <v>60.57</v>
      </c>
      <c r="AL70" s="16">
        <f>IF(ISNUMBER(AK70),RANK(AK70,$AK$2:$AK$113),"")</f>
        <v>69</v>
      </c>
      <c r="AM70" s="14">
        <f>IF(((D70="Implemented/available")+(E70="Implemented/available")+(J70="Implemented/available")+(K70="Implemented/available")+(L70="Implemented/available")+(M70="Implemented/available"))=0,"",(AND(D70="Implemented/available",O70&lt;&gt;"")+AND(E70="Implemented/available",P70&lt;&gt;"")+AND(J70="Implemented/available",Q70&lt;&gt;"")+AND(K70="Implemented/available",R70&lt;&gt;"")+AND(L70="Implemented/available",S70&lt;&gt;"")+AND(M70="Implemented/available",T70&lt;&gt;""))/((D70="Implemented/available")+(E70="Implemented/available")+(J70="Implemented/available")+(K70="Implemented/available")+(L70="Implemented/available")+(M70="Implemented/available")))</f>
        <v>1</v>
      </c>
    </row>
    <row r="71" spans="1:39" x14ac:dyDescent="0.25">
      <c r="A71" s="6" t="s">
        <v>441</v>
      </c>
      <c r="B71" s="6" t="s">
        <v>196</v>
      </c>
      <c r="C71" s="6" t="s">
        <v>132</v>
      </c>
      <c r="D71" s="6" t="s">
        <v>38</v>
      </c>
      <c r="E71" s="6" t="s">
        <v>44</v>
      </c>
      <c r="F71" s="6" t="s">
        <v>48</v>
      </c>
      <c r="G71" s="6" t="s">
        <v>117</v>
      </c>
      <c r="H71" s="6"/>
      <c r="I71" s="6" t="s">
        <v>60</v>
      </c>
      <c r="J71" s="6" t="s">
        <v>41</v>
      </c>
      <c r="K71" s="6" t="s">
        <v>34</v>
      </c>
      <c r="L71" s="6" t="s">
        <v>38</v>
      </c>
      <c r="M71" s="6" t="s">
        <v>29</v>
      </c>
      <c r="N71" s="6" t="s">
        <v>442</v>
      </c>
      <c r="O71" s="6"/>
      <c r="P71" s="6"/>
      <c r="Q71" s="6"/>
      <c r="R71" s="6"/>
      <c r="S71" s="6"/>
      <c r="T71" s="6" t="s">
        <v>443</v>
      </c>
      <c r="U71" s="6"/>
      <c r="V71" s="12">
        <f>IFERROR(IF(ISNUMBER(INDEX(Parameters!$B$5:$B$14,MATCH(D71,Parameters!$A$5:$A$14,0))),INDEX(Parameters!$B$5:$B$14,MATCH(D71,Parameters!$A$5:$A$14,0)),""),"")</f>
        <v>0.67</v>
      </c>
      <c r="W71" s="12">
        <f>IFERROR(IF(ISNUMBER(INDEX(Parameters!$B$5:$B$14,MATCH(E71,Parameters!$A$5:$A$14,0))),INDEX(Parameters!$B$5:$B$14,MATCH(E71,Parameters!$A$5:$A$14,0)),""),"")</f>
        <v>0</v>
      </c>
      <c r="X71" s="12" t="str">
        <f>IFERROR(IF(ISNUMBER(INDEX(Parameters!$B$5:$B$14,MATCH(F71,Parameters!$A$5:$A$14,0))),INDEX(Parameters!$B$5:$B$14,MATCH(F71,Parameters!$A$5:$A$14,0)),""),"")</f>
        <v/>
      </c>
      <c r="Y71" s="12">
        <f>IF(G71&lt;&gt;"",1,IF(ISNUMBER(Parameters!$B$18),Parameters!$B$18,""))</f>
        <v>1</v>
      </c>
      <c r="Z71" s="12">
        <f>IF(I71&lt;&gt;"",IFERROR(IF(ISNUMBER(INDEX(Parameters!$B$5:$B$14,MATCH(I71,Parameters!$A$5:$A$14,0))),INDEX(Parameters!$B$5:$B$14,MATCH(I71,Parameters!$A$5:$A$14,0)),""),""),IF(ISNUMBER(Parameters!$B$21),Parameters!$B$21,""))</f>
        <v>0.5</v>
      </c>
      <c r="AA71" s="12">
        <f>IFERROR(IF(ISNUMBER(INDEX(Parameters!$B$5:$B$14,MATCH(J71,Parameters!$A$5:$A$14,0))),INDEX(Parameters!$B$5:$B$14,MATCH(J71,Parameters!$A$5:$A$14,0)),""),"")</f>
        <v>0.33</v>
      </c>
      <c r="AB71" s="12">
        <f>IFERROR(IF(ISNUMBER(INDEX(Parameters!$B$5:$B$14,MATCH(K71,Parameters!$A$5:$A$14,0))),INDEX(Parameters!$B$5:$B$14,MATCH(K71,Parameters!$A$5:$A$14,0)),""),"")</f>
        <v>1</v>
      </c>
      <c r="AC71" s="12">
        <f>IFERROR(IF(ISNUMBER(INDEX(Parameters!$B$5:$B$14,MATCH(L71,Parameters!$A$5:$A$14,0))),INDEX(Parameters!$B$5:$B$14,MATCH(L71,Parameters!$A$5:$A$14,0)),""),"")</f>
        <v>0.67</v>
      </c>
      <c r="AD71" s="12">
        <f>IFERROR(IF(ISNUMBER(INDEX(Parameters!$B$5:$B$14,MATCH(M71,Parameters!$A$5:$A$14,0))),INDEX(Parameters!$B$5:$B$14,MATCH(M71,Parameters!$A$5:$A$14,0)),""),"")</f>
        <v>1</v>
      </c>
      <c r="AE71" s="12">
        <f>IF(N71&lt;&gt;"",1,IF(ISNUMBER(Parameters!$B$19),Parameters!$B$19,""))</f>
        <v>1</v>
      </c>
      <c r="AF71" s="12">
        <f>IF((Parameters!$I$5*ISNUMBER(V71)+Parameters!$I$6*ISNUMBER(W71)+Parameters!$I$7*ISNUMBER(X71)+Parameters!$I$8*ISNUMBER(Y71))=0,"",(Parameters!$I$5*N(V71)+Parameters!$I$6*N(W71)+Parameters!$I$7*N(X71)+Parameters!$I$8*N(Y71))/(Parameters!$I$5*ISNUMBER(V71)+Parameters!$I$6*ISNUMBER(W71)+Parameters!$I$7*ISNUMBER(X71)+Parameters!$I$8*ISNUMBER(Y71)))</f>
        <v>0.50124999999999997</v>
      </c>
      <c r="AG71" s="12">
        <f>IF((Parameters!$I$9*ISNUMBER(Z71))=0,"",(Parameters!$I$9*N(Z71))/(Parameters!$I$9*ISNUMBER(Z71)))</f>
        <v>0.5</v>
      </c>
      <c r="AH71" s="12">
        <f>IF((Parameters!$I$11*ISNUMBER(AA71)+Parameters!$I$12*ISNUMBER(AB71)+Parameters!$I$13*ISNUMBER(AC71)+Parameters!$I$14*ISNUMBER(AD71)+Parameters!$I$15*ISNUMBER(AE71))=0,"",(Parameters!$I$11*N(AA71)+Parameters!$I$12*N(AB71)+Parameters!$I$13*N(AC71)+Parameters!$I$14*N(AD71)+Parameters!$I$15*N(AE71))/(Parameters!$I$11*ISNUMBER(AA71)+Parameters!$I$12*ISNUMBER(AB71)+Parameters!$I$13*ISNUMBER(AC71)+Parameters!$I$14*ISNUMBER(AD71)+Parameters!$I$15*ISNUMBER(AE71)))</f>
        <v>0.8</v>
      </c>
      <c r="AI71" s="13">
        <f>Parameters!$I$5*ISNUMBER(V71)+Parameters!$I$6*ISNUMBER(W71)+Parameters!$I$7*ISNUMBER(X71)+Parameters!$I$8*ISNUMBER(Y71)+Parameters!$I$9*ISNUMBER(Z71)+Parameters!$I$11*ISNUMBER(AA71)+Parameters!$I$12*ISNUMBER(AB71)+Parameters!$I$13*ISNUMBER(AC71)+Parameters!$I$14*ISNUMBER(AD71)+Parameters!$I$15*ISNUMBER(AE71)</f>
        <v>87</v>
      </c>
      <c r="AJ71" s="14">
        <f>IF((Parameters!$I$5+Parameters!$I$6+Parameters!$I$7+Parameters!$I$8+Parameters!$I$9+Parameters!$I$11+Parameters!$I$12+Parameters!$I$13+Parameters!$I$14+Parameters!$I$15)=0,"",AI71/(Parameters!$I$5+Parameters!$I$6+Parameters!$I$7+Parameters!$I$8+Parameters!$I$9+Parameters!$I$11+Parameters!$I$12+Parameters!$I$13+Parameters!$I$14+Parameters!$I$15))</f>
        <v>0.91578947368421049</v>
      </c>
      <c r="AK71" s="15">
        <f>IF(AND(ISNUMBER(AF71),ISNUMBER(AH71),OR(NOT((Parameters!$I$9)&gt;0),ISNUMBER(AG71)),AJ71&gt;=Parameters!$B$20),100*(Parameters!$F$18*N(AF71)+Parameters!$F$19*N(AG71)+Parameters!$F$20*N(AH71))/(Parameters!$F$18*ISNUMBER(AF71)+Parameters!$F$19*ISNUMBER(AG71)+Parameters!$F$20*ISNUMBER(AH71)),"")</f>
        <v>60.54999999999999</v>
      </c>
      <c r="AL71" s="16">
        <f>IF(ISNUMBER(AK71),RANK(AK71,$AK$2:$AK$113),"")</f>
        <v>70</v>
      </c>
      <c r="AM71" s="14">
        <f>IF(((D71="Implemented/available")+(E71="Implemented/available")+(J71="Implemented/available")+(K71="Implemented/available")+(L71="Implemented/available")+(M71="Implemented/available"))=0,"",(AND(D71="Implemented/available",O71&lt;&gt;"")+AND(E71="Implemented/available",P71&lt;&gt;"")+AND(J71="Implemented/available",Q71&lt;&gt;"")+AND(K71="Implemented/available",R71&lt;&gt;"")+AND(L71="Implemented/available",S71&lt;&gt;"")+AND(M71="Implemented/available",T71&lt;&gt;""))/((D71="Implemented/available")+(E71="Implemented/available")+(J71="Implemented/available")+(K71="Implemented/available")+(L71="Implemented/available")+(M71="Implemented/available")))</f>
        <v>1</v>
      </c>
    </row>
    <row r="72" spans="1:39" x14ac:dyDescent="0.25">
      <c r="A72" s="6" t="s">
        <v>149</v>
      </c>
      <c r="B72" s="6" t="s">
        <v>150</v>
      </c>
      <c r="C72" s="6" t="s">
        <v>151</v>
      </c>
      <c r="D72" s="6" t="s">
        <v>38</v>
      </c>
      <c r="E72" s="6" t="s">
        <v>38</v>
      </c>
      <c r="F72" s="6" t="s">
        <v>48</v>
      </c>
      <c r="G72" s="6" t="s">
        <v>117</v>
      </c>
      <c r="H72" s="6"/>
      <c r="I72" s="6" t="s">
        <v>60</v>
      </c>
      <c r="J72" s="6" t="s">
        <v>38</v>
      </c>
      <c r="K72" s="6" t="s">
        <v>34</v>
      </c>
      <c r="L72" s="6" t="s">
        <v>41</v>
      </c>
      <c r="M72" s="6" t="s">
        <v>53</v>
      </c>
      <c r="N72" s="6"/>
      <c r="O72" s="6"/>
      <c r="P72" s="6"/>
      <c r="Q72" s="6"/>
      <c r="R72" s="6"/>
      <c r="S72" s="6"/>
      <c r="T72" s="6"/>
      <c r="U72" s="6"/>
      <c r="V72" s="12">
        <f>IFERROR(IF(ISNUMBER(INDEX(Parameters!$B$5:$B$14,MATCH(D72,Parameters!$A$5:$A$14,0))),INDEX(Parameters!$B$5:$B$14,MATCH(D72,Parameters!$A$5:$A$14,0)),""),"")</f>
        <v>0.67</v>
      </c>
      <c r="W72" s="12">
        <f>IFERROR(IF(ISNUMBER(INDEX(Parameters!$B$5:$B$14,MATCH(E72,Parameters!$A$5:$A$14,0))),INDEX(Parameters!$B$5:$B$14,MATCH(E72,Parameters!$A$5:$A$14,0)),""),"")</f>
        <v>0.67</v>
      </c>
      <c r="X72" s="12" t="str">
        <f>IFERROR(IF(ISNUMBER(INDEX(Parameters!$B$5:$B$14,MATCH(F72,Parameters!$A$5:$A$14,0))),INDEX(Parameters!$B$5:$B$14,MATCH(F72,Parameters!$A$5:$A$14,0)),""),"")</f>
        <v/>
      </c>
      <c r="Y72" s="12">
        <f>IF(G72&lt;&gt;"",1,IF(ISNUMBER(Parameters!$B$18),Parameters!$B$18,""))</f>
        <v>1</v>
      </c>
      <c r="Z72" s="12">
        <f>IF(I72&lt;&gt;"",IFERROR(IF(ISNUMBER(INDEX(Parameters!$B$5:$B$14,MATCH(I72,Parameters!$A$5:$A$14,0))),INDEX(Parameters!$B$5:$B$14,MATCH(I72,Parameters!$A$5:$A$14,0)),""),""),IF(ISNUMBER(Parameters!$B$21),Parameters!$B$21,""))</f>
        <v>0.5</v>
      </c>
      <c r="AA72" s="12">
        <f>IFERROR(IF(ISNUMBER(INDEX(Parameters!$B$5:$B$14,MATCH(J72,Parameters!$A$5:$A$14,0))),INDEX(Parameters!$B$5:$B$14,MATCH(J72,Parameters!$A$5:$A$14,0)),""),"")</f>
        <v>0.67</v>
      </c>
      <c r="AB72" s="12">
        <f>IFERROR(IF(ISNUMBER(INDEX(Parameters!$B$5:$B$14,MATCH(K72,Parameters!$A$5:$A$14,0))),INDEX(Parameters!$B$5:$B$14,MATCH(K72,Parameters!$A$5:$A$14,0)),""),"")</f>
        <v>1</v>
      </c>
      <c r="AC72" s="12">
        <f>IFERROR(IF(ISNUMBER(INDEX(Parameters!$B$5:$B$14,MATCH(L72,Parameters!$A$5:$A$14,0))),INDEX(Parameters!$B$5:$B$14,MATCH(L72,Parameters!$A$5:$A$14,0)),""),"")</f>
        <v>0.33</v>
      </c>
      <c r="AD72" s="12" t="str">
        <f>IFERROR(IF(ISNUMBER(INDEX(Parameters!$B$5:$B$14,MATCH(M72,Parameters!$A$5:$A$14,0))),INDEX(Parameters!$B$5:$B$14,MATCH(M72,Parameters!$A$5:$A$14,0)),""),"")</f>
        <v/>
      </c>
      <c r="AE72" s="12">
        <f>IF(N72&lt;&gt;"",1,IF(ISNUMBER(Parameters!$B$19),Parameters!$B$19,""))</f>
        <v>0</v>
      </c>
      <c r="AF72" s="12">
        <f>IF((Parameters!$I$5*ISNUMBER(V72)+Parameters!$I$6*ISNUMBER(W72)+Parameters!$I$7*ISNUMBER(X72)+Parameters!$I$8*ISNUMBER(Y72))=0,"",(Parameters!$I$5*N(V72)+Parameters!$I$6*N(W72)+Parameters!$I$7*N(X72)+Parameters!$I$8*N(Y72))/(Parameters!$I$5*ISNUMBER(V72)+Parameters!$I$6*ISNUMBER(W72)+Parameters!$I$7*ISNUMBER(X72)+Parameters!$I$8*ISNUMBER(Y72)))</f>
        <v>0.75250000000000006</v>
      </c>
      <c r="AG72" s="12">
        <f>IF((Parameters!$I$9*ISNUMBER(Z72))=0,"",(Parameters!$I$9*N(Z72))/(Parameters!$I$9*ISNUMBER(Z72)))</f>
        <v>0.5</v>
      </c>
      <c r="AH72" s="12">
        <f>IF((Parameters!$I$11*ISNUMBER(AA72)+Parameters!$I$12*ISNUMBER(AB72)+Parameters!$I$13*ISNUMBER(AC72)+Parameters!$I$14*ISNUMBER(AD72)+Parameters!$I$15*ISNUMBER(AE72))=0,"",(Parameters!$I$11*N(AA72)+Parameters!$I$12*N(AB72)+Parameters!$I$13*N(AC72)+Parameters!$I$14*N(AD72)+Parameters!$I$15*N(AE72))/(Parameters!$I$11*ISNUMBER(AA72)+Parameters!$I$12*ISNUMBER(AB72)+Parameters!$I$13*ISNUMBER(AC72)+Parameters!$I$14*ISNUMBER(AD72)+Parameters!$I$15*ISNUMBER(AE72)))</f>
        <v>0.50000000000000011</v>
      </c>
      <c r="AI72" s="13">
        <f>Parameters!$I$5*ISNUMBER(V72)+Parameters!$I$6*ISNUMBER(W72)+Parameters!$I$7*ISNUMBER(X72)+Parameters!$I$8*ISNUMBER(Y72)+Parameters!$I$9*ISNUMBER(Z72)+Parameters!$I$11*ISNUMBER(AA72)+Parameters!$I$12*ISNUMBER(AB72)+Parameters!$I$13*ISNUMBER(AC72)+Parameters!$I$14*ISNUMBER(AD72)+Parameters!$I$15*ISNUMBER(AE72)</f>
        <v>80</v>
      </c>
      <c r="AJ72" s="14">
        <f>IF((Parameters!$I$5+Parameters!$I$6+Parameters!$I$7+Parameters!$I$8+Parameters!$I$9+Parameters!$I$11+Parameters!$I$12+Parameters!$I$13+Parameters!$I$14+Parameters!$I$15)=0,"",AI72/(Parameters!$I$5+Parameters!$I$6+Parameters!$I$7+Parameters!$I$8+Parameters!$I$9+Parameters!$I$11+Parameters!$I$12+Parameters!$I$13+Parameters!$I$14+Parameters!$I$15))</f>
        <v>0.84210526315789469</v>
      </c>
      <c r="AK72" s="15">
        <f>IF(AND(ISNUMBER(AF72),ISNUMBER(AH72),OR(NOT((Parameters!$I$9)&gt;0),ISNUMBER(AG72)),AJ72&gt;=Parameters!$B$20),100*(Parameters!$F$18*N(AF72)+Parameters!$F$19*N(AG72)+Parameters!$F$20*N(AH72))/(Parameters!$F$18*ISNUMBER(AF72)+Parameters!$F$19*ISNUMBER(AG72)+Parameters!$F$20*ISNUMBER(AH72)),"")</f>
        <v>60.100000000000009</v>
      </c>
      <c r="AL72" s="16">
        <f>IF(ISNUMBER(AK72),RANK(AK72,$AK$2:$AK$113),"")</f>
        <v>71</v>
      </c>
      <c r="AM72" s="14" t="str">
        <f>IF(((D72="Implemented/available")+(E72="Implemented/available")+(J72="Implemented/available")+(K72="Implemented/available")+(L72="Implemented/available")+(M72="Implemented/available"))=0,"",(AND(D72="Implemented/available",O72&lt;&gt;"")+AND(E72="Implemented/available",P72&lt;&gt;"")+AND(J72="Implemented/available",Q72&lt;&gt;"")+AND(K72="Implemented/available",R72&lt;&gt;"")+AND(L72="Implemented/available",S72&lt;&gt;"")+AND(M72="Implemented/available",T72&lt;&gt;""))/((D72="Implemented/available")+(E72="Implemented/available")+(J72="Implemented/available")+(K72="Implemented/available")+(L72="Implemented/available")+(M72="Implemented/available")))</f>
        <v/>
      </c>
    </row>
    <row r="73" spans="1:39" x14ac:dyDescent="0.25">
      <c r="A73" s="6" t="s">
        <v>444</v>
      </c>
      <c r="B73" s="6" t="s">
        <v>445</v>
      </c>
      <c r="C73" s="6" t="s">
        <v>151</v>
      </c>
      <c r="D73" s="6" t="s">
        <v>29</v>
      </c>
      <c r="E73" s="6" t="s">
        <v>29</v>
      </c>
      <c r="F73" s="6" t="s">
        <v>29</v>
      </c>
      <c r="G73" s="6" t="s">
        <v>117</v>
      </c>
      <c r="H73" s="6"/>
      <c r="I73" s="6" t="s">
        <v>60</v>
      </c>
      <c r="J73" s="6" t="s">
        <v>44</v>
      </c>
      <c r="K73" s="6" t="s">
        <v>34</v>
      </c>
      <c r="L73" s="6" t="s">
        <v>44</v>
      </c>
      <c r="M73" s="6" t="s">
        <v>44</v>
      </c>
      <c r="N73" s="6"/>
      <c r="O73" s="6" t="s">
        <v>446</v>
      </c>
      <c r="P73" s="6" t="s">
        <v>447</v>
      </c>
      <c r="Q73" s="6"/>
      <c r="R73" s="6"/>
      <c r="S73" s="6"/>
      <c r="T73" s="6"/>
      <c r="U73" s="6" t="s">
        <v>448</v>
      </c>
      <c r="V73" s="12">
        <f>IFERROR(IF(ISNUMBER(INDEX(Parameters!$B$5:$B$14,MATCH(D73,Parameters!$A$5:$A$14,0))),INDEX(Parameters!$B$5:$B$14,MATCH(D73,Parameters!$A$5:$A$14,0)),""),"")</f>
        <v>1</v>
      </c>
      <c r="W73" s="12">
        <f>IFERROR(IF(ISNUMBER(INDEX(Parameters!$B$5:$B$14,MATCH(E73,Parameters!$A$5:$A$14,0))),INDEX(Parameters!$B$5:$B$14,MATCH(E73,Parameters!$A$5:$A$14,0)),""),"")</f>
        <v>1</v>
      </c>
      <c r="X73" s="12">
        <f>IFERROR(IF(ISNUMBER(INDEX(Parameters!$B$5:$B$14,MATCH(F73,Parameters!$A$5:$A$14,0))),INDEX(Parameters!$B$5:$B$14,MATCH(F73,Parameters!$A$5:$A$14,0)),""),"")</f>
        <v>1</v>
      </c>
      <c r="Y73" s="12">
        <f>IF(G73&lt;&gt;"",1,IF(ISNUMBER(Parameters!$B$18),Parameters!$B$18,""))</f>
        <v>1</v>
      </c>
      <c r="Z73" s="12">
        <f>IF(I73&lt;&gt;"",IFERROR(IF(ISNUMBER(INDEX(Parameters!$B$5:$B$14,MATCH(I73,Parameters!$A$5:$A$14,0))),INDEX(Parameters!$B$5:$B$14,MATCH(I73,Parameters!$A$5:$A$14,0)),""),""),IF(ISNUMBER(Parameters!$B$21),Parameters!$B$21,""))</f>
        <v>0.5</v>
      </c>
      <c r="AA73" s="12">
        <f>IFERROR(IF(ISNUMBER(INDEX(Parameters!$B$5:$B$14,MATCH(J73,Parameters!$A$5:$A$14,0))),INDEX(Parameters!$B$5:$B$14,MATCH(J73,Parameters!$A$5:$A$14,0)),""),"")</f>
        <v>0</v>
      </c>
      <c r="AB73" s="12">
        <f>IFERROR(IF(ISNUMBER(INDEX(Parameters!$B$5:$B$14,MATCH(K73,Parameters!$A$5:$A$14,0))),INDEX(Parameters!$B$5:$B$14,MATCH(K73,Parameters!$A$5:$A$14,0)),""),"")</f>
        <v>1</v>
      </c>
      <c r="AC73" s="12">
        <f>IFERROR(IF(ISNUMBER(INDEX(Parameters!$B$5:$B$14,MATCH(L73,Parameters!$A$5:$A$14,0))),INDEX(Parameters!$B$5:$B$14,MATCH(L73,Parameters!$A$5:$A$14,0)),""),"")</f>
        <v>0</v>
      </c>
      <c r="AD73" s="12">
        <f>IFERROR(IF(ISNUMBER(INDEX(Parameters!$B$5:$B$14,MATCH(M73,Parameters!$A$5:$A$14,0))),INDEX(Parameters!$B$5:$B$14,MATCH(M73,Parameters!$A$5:$A$14,0)),""),"")</f>
        <v>0</v>
      </c>
      <c r="AE73" s="12">
        <f>IF(N73&lt;&gt;"",1,IF(ISNUMBER(Parameters!$B$19),Parameters!$B$19,""))</f>
        <v>0</v>
      </c>
      <c r="AF73" s="12">
        <f>IF((Parameters!$I$5*ISNUMBER(V73)+Parameters!$I$6*ISNUMBER(W73)+Parameters!$I$7*ISNUMBER(X73)+Parameters!$I$8*ISNUMBER(Y73))=0,"",(Parameters!$I$5*N(V73)+Parameters!$I$6*N(W73)+Parameters!$I$7*N(X73)+Parameters!$I$8*N(Y73))/(Parameters!$I$5*ISNUMBER(V73)+Parameters!$I$6*ISNUMBER(W73)+Parameters!$I$7*ISNUMBER(X73)+Parameters!$I$8*ISNUMBER(Y73)))</f>
        <v>1</v>
      </c>
      <c r="AG73" s="12">
        <f>IF((Parameters!$I$9*ISNUMBER(Z73))=0,"",(Parameters!$I$9*N(Z73))/(Parameters!$I$9*ISNUMBER(Z73)))</f>
        <v>0.5</v>
      </c>
      <c r="AH73" s="12">
        <f>IF((Parameters!$I$11*ISNUMBER(AA73)+Parameters!$I$12*ISNUMBER(AB73)+Parameters!$I$13*ISNUMBER(AC73)+Parameters!$I$14*ISNUMBER(AD73)+Parameters!$I$15*ISNUMBER(AE73))=0,"",(Parameters!$I$11*N(AA73)+Parameters!$I$12*N(AB73)+Parameters!$I$13*N(AC73)+Parameters!$I$14*N(AD73)+Parameters!$I$15*N(AE73))/(Parameters!$I$11*ISNUMBER(AA73)+Parameters!$I$12*ISNUMBER(AB73)+Parameters!$I$13*ISNUMBER(AC73)+Parameters!$I$14*ISNUMBER(AD73)+Parameters!$I$15*ISNUMBER(AE73)))</f>
        <v>0.2</v>
      </c>
      <c r="AI73" s="13">
        <f>Parameters!$I$5*ISNUMBER(V73)+Parameters!$I$6*ISNUMBER(W73)+Parameters!$I$7*ISNUMBER(X73)+Parameters!$I$8*ISNUMBER(Y73)+Parameters!$I$9*ISNUMBER(Z73)+Parameters!$I$11*ISNUMBER(AA73)+Parameters!$I$12*ISNUMBER(AB73)+Parameters!$I$13*ISNUMBER(AC73)+Parameters!$I$14*ISNUMBER(AD73)+Parameters!$I$15*ISNUMBER(AE73)</f>
        <v>95</v>
      </c>
      <c r="AJ73" s="14">
        <f>IF((Parameters!$I$5+Parameters!$I$6+Parameters!$I$7+Parameters!$I$8+Parameters!$I$9+Parameters!$I$11+Parameters!$I$12+Parameters!$I$13+Parameters!$I$14+Parameters!$I$15)=0,"",AI73/(Parameters!$I$5+Parameters!$I$6+Parameters!$I$7+Parameters!$I$8+Parameters!$I$9+Parameters!$I$11+Parameters!$I$12+Parameters!$I$13+Parameters!$I$14+Parameters!$I$15))</f>
        <v>1</v>
      </c>
      <c r="AK73" s="15">
        <f>IF(AND(ISNUMBER(AF73),ISNUMBER(AH73),OR(NOT((Parameters!$I$9)&gt;0),ISNUMBER(AG73)),AJ73&gt;=Parameters!$B$20),100*(Parameters!$F$18*N(AF73)+Parameters!$F$19*N(AG73)+Parameters!$F$20*N(AH73))/(Parameters!$F$18*ISNUMBER(AF73)+Parameters!$F$19*ISNUMBER(AG73)+Parameters!$F$20*ISNUMBER(AH73)),"")</f>
        <v>59.5</v>
      </c>
      <c r="AL73" s="16">
        <f>IF(ISNUMBER(AK73),RANK(AK73,$AK$2:$AK$113),"")</f>
        <v>72</v>
      </c>
      <c r="AM73" s="14">
        <f>IF(((D73="Implemented/available")+(E73="Implemented/available")+(J73="Implemented/available")+(K73="Implemented/available")+(L73="Implemented/available")+(M73="Implemented/available"))=0,"",(AND(D73="Implemented/available",O73&lt;&gt;"")+AND(E73="Implemented/available",P73&lt;&gt;"")+AND(J73="Implemented/available",Q73&lt;&gt;"")+AND(K73="Implemented/available",R73&lt;&gt;"")+AND(L73="Implemented/available",S73&lt;&gt;"")+AND(M73="Implemented/available",T73&lt;&gt;""))/((D73="Implemented/available")+(E73="Implemented/available")+(J73="Implemented/available")+(K73="Implemented/available")+(L73="Implemented/available")+(M73="Implemented/available")))</f>
        <v>1</v>
      </c>
    </row>
    <row r="74" spans="1:39" x14ac:dyDescent="0.25">
      <c r="A74" s="6" t="s">
        <v>449</v>
      </c>
      <c r="B74" s="6" t="s">
        <v>450</v>
      </c>
      <c r="C74" s="6" t="s">
        <v>451</v>
      </c>
      <c r="D74" s="6" t="s">
        <v>41</v>
      </c>
      <c r="E74" s="6" t="s">
        <v>29</v>
      </c>
      <c r="F74" s="6" t="s">
        <v>48</v>
      </c>
      <c r="G74" s="6"/>
      <c r="H74" s="6"/>
      <c r="I74" s="6" t="s">
        <v>60</v>
      </c>
      <c r="J74" s="6" t="s">
        <v>29</v>
      </c>
      <c r="K74" s="6" t="s">
        <v>29</v>
      </c>
      <c r="L74" s="6" t="s">
        <v>29</v>
      </c>
      <c r="M74" s="6" t="s">
        <v>48</v>
      </c>
      <c r="N74" s="6"/>
      <c r="O74" s="6"/>
      <c r="P74" s="6" t="s">
        <v>452</v>
      </c>
      <c r="Q74" s="6" t="s">
        <v>453</v>
      </c>
      <c r="R74" s="6"/>
      <c r="S74" s="6" t="s">
        <v>454</v>
      </c>
      <c r="T74" s="6"/>
      <c r="U74" s="6"/>
      <c r="V74" s="12">
        <f>IFERROR(IF(ISNUMBER(INDEX(Parameters!$B$5:$B$14,MATCH(D74,Parameters!$A$5:$A$14,0))),INDEX(Parameters!$B$5:$B$14,MATCH(D74,Parameters!$A$5:$A$14,0)),""),"")</f>
        <v>0.33</v>
      </c>
      <c r="W74" s="12">
        <f>IFERROR(IF(ISNUMBER(INDEX(Parameters!$B$5:$B$14,MATCH(E74,Parameters!$A$5:$A$14,0))),INDEX(Parameters!$B$5:$B$14,MATCH(E74,Parameters!$A$5:$A$14,0)),""),"")</f>
        <v>1</v>
      </c>
      <c r="X74" s="12" t="str">
        <f>IFERROR(IF(ISNUMBER(INDEX(Parameters!$B$5:$B$14,MATCH(F74,Parameters!$A$5:$A$14,0))),INDEX(Parameters!$B$5:$B$14,MATCH(F74,Parameters!$A$5:$A$14,0)),""),"")</f>
        <v/>
      </c>
      <c r="Y74" s="12">
        <f>IF(G74&lt;&gt;"",1,IF(ISNUMBER(Parameters!$B$18),Parameters!$B$18,""))</f>
        <v>0</v>
      </c>
      <c r="Z74" s="12">
        <f>IF(I74&lt;&gt;"",IFERROR(IF(ISNUMBER(INDEX(Parameters!$B$5:$B$14,MATCH(I74,Parameters!$A$5:$A$14,0))),INDEX(Parameters!$B$5:$B$14,MATCH(I74,Parameters!$A$5:$A$14,0)),""),""),IF(ISNUMBER(Parameters!$B$21),Parameters!$B$21,""))</f>
        <v>0.5</v>
      </c>
      <c r="AA74" s="12">
        <f>IFERROR(IF(ISNUMBER(INDEX(Parameters!$B$5:$B$14,MATCH(J74,Parameters!$A$5:$A$14,0))),INDEX(Parameters!$B$5:$B$14,MATCH(J74,Parameters!$A$5:$A$14,0)),""),"")</f>
        <v>1</v>
      </c>
      <c r="AB74" s="12">
        <f>IFERROR(IF(ISNUMBER(INDEX(Parameters!$B$5:$B$14,MATCH(K74,Parameters!$A$5:$A$14,0))),INDEX(Parameters!$B$5:$B$14,MATCH(K74,Parameters!$A$5:$A$14,0)),""),"")</f>
        <v>1</v>
      </c>
      <c r="AC74" s="12">
        <f>IFERROR(IF(ISNUMBER(INDEX(Parameters!$B$5:$B$14,MATCH(L74,Parameters!$A$5:$A$14,0))),INDEX(Parameters!$B$5:$B$14,MATCH(L74,Parameters!$A$5:$A$14,0)),""),"")</f>
        <v>1</v>
      </c>
      <c r="AD74" s="12" t="str">
        <f>IFERROR(IF(ISNUMBER(INDEX(Parameters!$B$5:$B$14,MATCH(M74,Parameters!$A$5:$A$14,0))),INDEX(Parameters!$B$5:$B$14,MATCH(M74,Parameters!$A$5:$A$14,0)),""),"")</f>
        <v/>
      </c>
      <c r="AE74" s="12">
        <f>IF(N74&lt;&gt;"",1,IF(ISNUMBER(Parameters!$B$19),Parameters!$B$19,""))</f>
        <v>0</v>
      </c>
      <c r="AF74" s="12">
        <f>IF((Parameters!$I$5*ISNUMBER(V74)+Parameters!$I$6*ISNUMBER(W74)+Parameters!$I$7*ISNUMBER(X74)+Parameters!$I$8*ISNUMBER(Y74))=0,"",(Parameters!$I$5*N(V74)+Parameters!$I$6*N(W74)+Parameters!$I$7*N(X74)+Parameters!$I$8*N(Y74))/(Parameters!$I$5*ISNUMBER(V74)+Parameters!$I$6*ISNUMBER(W74)+Parameters!$I$7*ISNUMBER(X74)+Parameters!$I$8*ISNUMBER(Y74)))</f>
        <v>0.49875000000000003</v>
      </c>
      <c r="AG74" s="12">
        <f>IF((Parameters!$I$9*ISNUMBER(Z74))=0,"",(Parameters!$I$9*N(Z74))/(Parameters!$I$9*ISNUMBER(Z74)))</f>
        <v>0.5</v>
      </c>
      <c r="AH74" s="12">
        <f>IF((Parameters!$I$11*ISNUMBER(AA74)+Parameters!$I$12*ISNUMBER(AB74)+Parameters!$I$13*ISNUMBER(AC74)+Parameters!$I$14*ISNUMBER(AD74)+Parameters!$I$15*ISNUMBER(AE74))=0,"",(Parameters!$I$11*N(AA74)+Parameters!$I$12*N(AB74)+Parameters!$I$13*N(AC74)+Parameters!$I$14*N(AD74)+Parameters!$I$15*N(AE74))/(Parameters!$I$11*ISNUMBER(AA74)+Parameters!$I$12*ISNUMBER(AB74)+Parameters!$I$13*ISNUMBER(AC74)+Parameters!$I$14*ISNUMBER(AD74)+Parameters!$I$15*ISNUMBER(AE74)))</f>
        <v>0.75</v>
      </c>
      <c r="AI74" s="13">
        <f>Parameters!$I$5*ISNUMBER(V74)+Parameters!$I$6*ISNUMBER(W74)+Parameters!$I$7*ISNUMBER(X74)+Parameters!$I$8*ISNUMBER(Y74)+Parameters!$I$9*ISNUMBER(Z74)+Parameters!$I$11*ISNUMBER(AA74)+Parameters!$I$12*ISNUMBER(AB74)+Parameters!$I$13*ISNUMBER(AC74)+Parameters!$I$14*ISNUMBER(AD74)+Parameters!$I$15*ISNUMBER(AE74)</f>
        <v>80</v>
      </c>
      <c r="AJ74" s="14">
        <f>IF((Parameters!$I$5+Parameters!$I$6+Parameters!$I$7+Parameters!$I$8+Parameters!$I$9+Parameters!$I$11+Parameters!$I$12+Parameters!$I$13+Parameters!$I$14+Parameters!$I$15)=0,"",AI74/(Parameters!$I$5+Parameters!$I$6+Parameters!$I$7+Parameters!$I$8+Parameters!$I$9+Parameters!$I$11+Parameters!$I$12+Parameters!$I$13+Parameters!$I$14+Parameters!$I$15))</f>
        <v>0.84210526315789469</v>
      </c>
      <c r="AK74" s="15">
        <f>IF(AND(ISNUMBER(AF74),ISNUMBER(AH74),OR(NOT((Parameters!$I$9)&gt;0),ISNUMBER(AG74)),AJ74&gt;=Parameters!$B$20),100*(Parameters!$F$18*N(AF74)+Parameters!$F$19*N(AG74)+Parameters!$F$20*N(AH74))/(Parameters!$F$18*ISNUMBER(AF74)+Parameters!$F$19*ISNUMBER(AG74)+Parameters!$F$20*ISNUMBER(AH74)),"")</f>
        <v>58.699999999999996</v>
      </c>
      <c r="AL74" s="16">
        <f>IF(ISNUMBER(AK74),RANK(AK74,$AK$2:$AK$113),"")</f>
        <v>73</v>
      </c>
      <c r="AM74" s="14">
        <f>IF(((D74="Implemented/available")+(E74="Implemented/available")+(J74="Implemented/available")+(K74="Implemented/available")+(L74="Implemented/available")+(M74="Implemented/available"))=0,"",(AND(D74="Implemented/available",O74&lt;&gt;"")+AND(E74="Implemented/available",P74&lt;&gt;"")+AND(J74="Implemented/available",Q74&lt;&gt;"")+AND(K74="Implemented/available",R74&lt;&gt;"")+AND(L74="Implemented/available",S74&lt;&gt;"")+AND(M74="Implemented/available",T74&lt;&gt;""))/((D74="Implemented/available")+(E74="Implemented/available")+(J74="Implemented/available")+(K74="Implemented/available")+(L74="Implemented/available")+(M74="Implemented/available")))</f>
        <v>0.75</v>
      </c>
    </row>
    <row r="75" spans="1:39" x14ac:dyDescent="0.25">
      <c r="A75" s="6" t="s">
        <v>677</v>
      </c>
      <c r="B75" s="6" t="s">
        <v>413</v>
      </c>
      <c r="C75" s="6" t="s">
        <v>132</v>
      </c>
      <c r="D75" s="6" t="s">
        <v>41</v>
      </c>
      <c r="E75" s="6" t="s">
        <v>41</v>
      </c>
      <c r="F75" s="6" t="s">
        <v>48</v>
      </c>
      <c r="G75" s="6" t="s">
        <v>117</v>
      </c>
      <c r="H75" s="6"/>
      <c r="I75" s="6" t="s">
        <v>60</v>
      </c>
      <c r="J75" s="6" t="s">
        <v>48</v>
      </c>
      <c r="K75" s="6" t="s">
        <v>34</v>
      </c>
      <c r="L75" s="6" t="s">
        <v>29</v>
      </c>
      <c r="M75" s="6" t="s">
        <v>29</v>
      </c>
      <c r="N75" s="6"/>
      <c r="O75" s="6"/>
      <c r="P75" s="6"/>
      <c r="Q75" s="6"/>
      <c r="R75" s="6" t="s">
        <v>678</v>
      </c>
      <c r="S75" s="6" t="s">
        <v>679</v>
      </c>
      <c r="T75" s="6" t="s">
        <v>680</v>
      </c>
      <c r="U75" s="6"/>
      <c r="V75" s="12">
        <f>IFERROR(IF(ISNUMBER(INDEX(Parameters!$B$5:$B$14,MATCH(D75,Parameters!$A$5:$A$14,0))),INDEX(Parameters!$B$5:$B$14,MATCH(D75,Parameters!$A$5:$A$14,0)),""),"")</f>
        <v>0.33</v>
      </c>
      <c r="W75" s="12">
        <f>IFERROR(IF(ISNUMBER(INDEX(Parameters!$B$5:$B$14,MATCH(E75,Parameters!$A$5:$A$14,0))),INDEX(Parameters!$B$5:$B$14,MATCH(E75,Parameters!$A$5:$A$14,0)),""),"")</f>
        <v>0.33</v>
      </c>
      <c r="X75" s="12" t="str">
        <f>IFERROR(IF(ISNUMBER(INDEX(Parameters!$B$5:$B$14,MATCH(F75,Parameters!$A$5:$A$14,0))),INDEX(Parameters!$B$5:$B$14,MATCH(F75,Parameters!$A$5:$A$14,0)),""),"")</f>
        <v/>
      </c>
      <c r="Y75" s="12">
        <f>IF(G75&lt;&gt;"",1,IF(ISNUMBER(Parameters!$B$18),Parameters!$B$18,""))</f>
        <v>1</v>
      </c>
      <c r="Z75" s="12">
        <f>IF(I75&lt;&gt;"",IFERROR(IF(ISNUMBER(INDEX(Parameters!$B$5:$B$14,MATCH(I75,Parameters!$A$5:$A$14,0))),INDEX(Parameters!$B$5:$B$14,MATCH(I75,Parameters!$A$5:$A$14,0)),""),""),IF(ISNUMBER(Parameters!$B$21),Parameters!$B$21,""))</f>
        <v>0.5</v>
      </c>
      <c r="AA75" s="12" t="str">
        <f>IFERROR(IF(ISNUMBER(INDEX(Parameters!$B$5:$B$14,MATCH(J75,Parameters!$A$5:$A$14,0))),INDEX(Parameters!$B$5:$B$14,MATCH(J75,Parameters!$A$5:$A$14,0)),""),"")</f>
        <v/>
      </c>
      <c r="AB75" s="12">
        <f>IFERROR(IF(ISNUMBER(INDEX(Parameters!$B$5:$B$14,MATCH(K75,Parameters!$A$5:$A$14,0))),INDEX(Parameters!$B$5:$B$14,MATCH(K75,Parameters!$A$5:$A$14,0)),""),"")</f>
        <v>1</v>
      </c>
      <c r="AC75" s="12">
        <f>IFERROR(IF(ISNUMBER(INDEX(Parameters!$B$5:$B$14,MATCH(L75,Parameters!$A$5:$A$14,0))),INDEX(Parameters!$B$5:$B$14,MATCH(L75,Parameters!$A$5:$A$14,0)),""),"")</f>
        <v>1</v>
      </c>
      <c r="AD75" s="12">
        <f>IFERROR(IF(ISNUMBER(INDEX(Parameters!$B$5:$B$14,MATCH(M75,Parameters!$A$5:$A$14,0))),INDEX(Parameters!$B$5:$B$14,MATCH(M75,Parameters!$A$5:$A$14,0)),""),"")</f>
        <v>1</v>
      </c>
      <c r="AE75" s="12">
        <f>IF(N75&lt;&gt;"",1,IF(ISNUMBER(Parameters!$B$19),Parameters!$B$19,""))</f>
        <v>0</v>
      </c>
      <c r="AF75" s="12">
        <f>IF((Parameters!$I$5*ISNUMBER(V75)+Parameters!$I$6*ISNUMBER(W75)+Parameters!$I$7*ISNUMBER(X75)+Parameters!$I$8*ISNUMBER(Y75))=0,"",(Parameters!$I$5*N(V75)+Parameters!$I$6*N(W75)+Parameters!$I$7*N(X75)+Parameters!$I$8*N(Y75))/(Parameters!$I$5*ISNUMBER(V75)+Parameters!$I$6*ISNUMBER(W75)+Parameters!$I$7*ISNUMBER(X75)+Parameters!$I$8*ISNUMBER(Y75)))</f>
        <v>0.4975</v>
      </c>
      <c r="AG75" s="12">
        <f>IF((Parameters!$I$9*ISNUMBER(Z75))=0,"",(Parameters!$I$9*N(Z75))/(Parameters!$I$9*ISNUMBER(Z75)))</f>
        <v>0.5</v>
      </c>
      <c r="AH75" s="12">
        <f>IF((Parameters!$I$11*ISNUMBER(AA75)+Parameters!$I$12*ISNUMBER(AB75)+Parameters!$I$13*ISNUMBER(AC75)+Parameters!$I$14*ISNUMBER(AD75)+Parameters!$I$15*ISNUMBER(AE75))=0,"",(Parameters!$I$11*N(AA75)+Parameters!$I$12*N(AB75)+Parameters!$I$13*N(AC75)+Parameters!$I$14*N(AD75)+Parameters!$I$15*N(AE75))/(Parameters!$I$11*ISNUMBER(AA75)+Parameters!$I$12*ISNUMBER(AB75)+Parameters!$I$13*ISNUMBER(AC75)+Parameters!$I$14*ISNUMBER(AD75)+Parameters!$I$15*ISNUMBER(AE75)))</f>
        <v>0.75</v>
      </c>
      <c r="AI75" s="13">
        <f>Parameters!$I$5*ISNUMBER(V75)+Parameters!$I$6*ISNUMBER(W75)+Parameters!$I$7*ISNUMBER(X75)+Parameters!$I$8*ISNUMBER(Y75)+Parameters!$I$9*ISNUMBER(Z75)+Parameters!$I$11*ISNUMBER(AA75)+Parameters!$I$12*ISNUMBER(AB75)+Parameters!$I$13*ISNUMBER(AC75)+Parameters!$I$14*ISNUMBER(AD75)+Parameters!$I$15*ISNUMBER(AE75)</f>
        <v>80</v>
      </c>
      <c r="AJ75" s="14">
        <f>IF((Parameters!$I$5+Parameters!$I$6+Parameters!$I$7+Parameters!$I$8+Parameters!$I$9+Parameters!$I$11+Parameters!$I$12+Parameters!$I$13+Parameters!$I$14+Parameters!$I$15)=0,"",AI75/(Parameters!$I$5+Parameters!$I$6+Parameters!$I$7+Parameters!$I$8+Parameters!$I$9+Parameters!$I$11+Parameters!$I$12+Parameters!$I$13+Parameters!$I$14+Parameters!$I$15))</f>
        <v>0.84210526315789469</v>
      </c>
      <c r="AK75" s="15">
        <f>IF(AND(ISNUMBER(AF75),ISNUMBER(AH75),OR(NOT((Parameters!$I$9)&gt;0),ISNUMBER(AG75)),AJ75&gt;=Parameters!$B$20),100*(Parameters!$F$18*N(AF75)+Parameters!$F$19*N(AG75)+Parameters!$F$20*N(AH75))/(Parameters!$F$18*ISNUMBER(AF75)+Parameters!$F$19*ISNUMBER(AG75)+Parameters!$F$20*ISNUMBER(AH75)),"")</f>
        <v>58.650000000000006</v>
      </c>
      <c r="AL75" s="16">
        <f>IF(ISNUMBER(AK75),RANK(AK75,$AK$2:$AK$113),"")</f>
        <v>74</v>
      </c>
      <c r="AM75" s="14">
        <f>IF(((D75="Implemented/available")+(E75="Implemented/available")+(J75="Implemented/available")+(K75="Implemented/available")+(L75="Implemented/available")+(M75="Implemented/available"))=0,"",(AND(D75="Implemented/available",O75&lt;&gt;"")+AND(E75="Implemented/available",P75&lt;&gt;"")+AND(J75="Implemented/available",Q75&lt;&gt;"")+AND(K75="Implemented/available",R75&lt;&gt;"")+AND(L75="Implemented/available",S75&lt;&gt;"")+AND(M75="Implemented/available",T75&lt;&gt;""))/((D75="Implemented/available")+(E75="Implemented/available")+(J75="Implemented/available")+(K75="Implemented/available")+(L75="Implemented/available")+(M75="Implemented/available")))</f>
        <v>1</v>
      </c>
    </row>
    <row r="76" spans="1:39" x14ac:dyDescent="0.25">
      <c r="A76" s="6" t="s">
        <v>285</v>
      </c>
      <c r="B76" s="6" t="s">
        <v>286</v>
      </c>
      <c r="C76" s="6" t="s">
        <v>138</v>
      </c>
      <c r="D76" s="6" t="s">
        <v>29</v>
      </c>
      <c r="E76" s="6" t="s">
        <v>44</v>
      </c>
      <c r="F76" s="6" t="s">
        <v>44</v>
      </c>
      <c r="G76" s="6" t="s">
        <v>117</v>
      </c>
      <c r="H76" s="6"/>
      <c r="I76" s="6" t="s">
        <v>60</v>
      </c>
      <c r="J76" s="6" t="s">
        <v>38</v>
      </c>
      <c r="K76" s="6" t="s">
        <v>34</v>
      </c>
      <c r="L76" s="6" t="s">
        <v>29</v>
      </c>
      <c r="M76" s="6" t="s">
        <v>44</v>
      </c>
      <c r="N76" s="6" t="s">
        <v>139</v>
      </c>
      <c r="O76" s="6" t="s">
        <v>287</v>
      </c>
      <c r="P76" s="6"/>
      <c r="Q76" s="6"/>
      <c r="R76" s="6"/>
      <c r="S76" s="6" t="s">
        <v>288</v>
      </c>
      <c r="T76" s="6"/>
      <c r="U76" s="6"/>
      <c r="V76" s="12">
        <f>IFERROR(IF(ISNUMBER(INDEX(Parameters!$B$5:$B$14,MATCH(D76,Parameters!$A$5:$A$14,0))),INDEX(Parameters!$B$5:$B$14,MATCH(D76,Parameters!$A$5:$A$14,0)),""),"")</f>
        <v>1</v>
      </c>
      <c r="W76" s="12">
        <f>IFERROR(IF(ISNUMBER(INDEX(Parameters!$B$5:$B$14,MATCH(E76,Parameters!$A$5:$A$14,0))),INDEX(Parameters!$B$5:$B$14,MATCH(E76,Parameters!$A$5:$A$14,0)),""),"")</f>
        <v>0</v>
      </c>
      <c r="X76" s="12">
        <f>IFERROR(IF(ISNUMBER(INDEX(Parameters!$B$5:$B$14,MATCH(F76,Parameters!$A$5:$A$14,0))),INDEX(Parameters!$B$5:$B$14,MATCH(F76,Parameters!$A$5:$A$14,0)),""),"")</f>
        <v>0</v>
      </c>
      <c r="Y76" s="12">
        <f>IF(G76&lt;&gt;"",1,IF(ISNUMBER(Parameters!$B$18),Parameters!$B$18,""))</f>
        <v>1</v>
      </c>
      <c r="Z76" s="12">
        <f>IF(I76&lt;&gt;"",IFERROR(IF(ISNUMBER(INDEX(Parameters!$B$5:$B$14,MATCH(I76,Parameters!$A$5:$A$14,0))),INDEX(Parameters!$B$5:$B$14,MATCH(I76,Parameters!$A$5:$A$14,0)),""),""),IF(ISNUMBER(Parameters!$B$21),Parameters!$B$21,""))</f>
        <v>0.5</v>
      </c>
      <c r="AA76" s="12">
        <f>IFERROR(IF(ISNUMBER(INDEX(Parameters!$B$5:$B$14,MATCH(J76,Parameters!$A$5:$A$14,0))),INDEX(Parameters!$B$5:$B$14,MATCH(J76,Parameters!$A$5:$A$14,0)),""),"")</f>
        <v>0.67</v>
      </c>
      <c r="AB76" s="12">
        <f>IFERROR(IF(ISNUMBER(INDEX(Parameters!$B$5:$B$14,MATCH(K76,Parameters!$A$5:$A$14,0))),INDEX(Parameters!$B$5:$B$14,MATCH(K76,Parameters!$A$5:$A$14,0)),""),"")</f>
        <v>1</v>
      </c>
      <c r="AC76" s="12">
        <f>IFERROR(IF(ISNUMBER(INDEX(Parameters!$B$5:$B$14,MATCH(L76,Parameters!$A$5:$A$14,0))),INDEX(Parameters!$B$5:$B$14,MATCH(L76,Parameters!$A$5:$A$14,0)),""),"")</f>
        <v>1</v>
      </c>
      <c r="AD76" s="12">
        <f>IFERROR(IF(ISNUMBER(INDEX(Parameters!$B$5:$B$14,MATCH(M76,Parameters!$A$5:$A$14,0))),INDEX(Parameters!$B$5:$B$14,MATCH(M76,Parameters!$A$5:$A$14,0)),""),"")</f>
        <v>0</v>
      </c>
      <c r="AE76" s="12">
        <f>IF(N76&lt;&gt;"",1,IF(ISNUMBER(Parameters!$B$19),Parameters!$B$19,""))</f>
        <v>1</v>
      </c>
      <c r="AF76" s="12">
        <f>IF((Parameters!$I$5*ISNUMBER(V76)+Parameters!$I$6*ISNUMBER(W76)+Parameters!$I$7*ISNUMBER(X76)+Parameters!$I$8*ISNUMBER(Y76))=0,"",(Parameters!$I$5*N(V76)+Parameters!$I$6*N(W76)+Parameters!$I$7*N(X76)+Parameters!$I$8*N(Y76))/(Parameters!$I$5*ISNUMBER(V76)+Parameters!$I$6*ISNUMBER(W76)+Parameters!$I$7*ISNUMBER(X76)+Parameters!$I$8*ISNUMBER(Y76)))</f>
        <v>0.5</v>
      </c>
      <c r="AG76" s="12">
        <f>IF((Parameters!$I$9*ISNUMBER(Z76))=0,"",(Parameters!$I$9*N(Z76))/(Parameters!$I$9*ISNUMBER(Z76)))</f>
        <v>0.5</v>
      </c>
      <c r="AH76" s="12">
        <f>IF((Parameters!$I$11*ISNUMBER(AA76)+Parameters!$I$12*ISNUMBER(AB76)+Parameters!$I$13*ISNUMBER(AC76)+Parameters!$I$14*ISNUMBER(AD76)+Parameters!$I$15*ISNUMBER(AE76))=0,"",(Parameters!$I$11*N(AA76)+Parameters!$I$12*N(AB76)+Parameters!$I$13*N(AC76)+Parameters!$I$14*N(AD76)+Parameters!$I$15*N(AE76))/(Parameters!$I$11*ISNUMBER(AA76)+Parameters!$I$12*ISNUMBER(AB76)+Parameters!$I$13*ISNUMBER(AC76)+Parameters!$I$14*ISNUMBER(AD76)+Parameters!$I$15*ISNUMBER(AE76)))</f>
        <v>0.73399999999999999</v>
      </c>
      <c r="AI76" s="13">
        <f>Parameters!$I$5*ISNUMBER(V76)+Parameters!$I$6*ISNUMBER(W76)+Parameters!$I$7*ISNUMBER(X76)+Parameters!$I$8*ISNUMBER(Y76)+Parameters!$I$9*ISNUMBER(Z76)+Parameters!$I$11*ISNUMBER(AA76)+Parameters!$I$12*ISNUMBER(AB76)+Parameters!$I$13*ISNUMBER(AC76)+Parameters!$I$14*ISNUMBER(AD76)+Parameters!$I$15*ISNUMBER(AE76)</f>
        <v>95</v>
      </c>
      <c r="AJ76" s="14">
        <f>IF((Parameters!$I$5+Parameters!$I$6+Parameters!$I$7+Parameters!$I$8+Parameters!$I$9+Parameters!$I$11+Parameters!$I$12+Parameters!$I$13+Parameters!$I$14+Parameters!$I$15)=0,"",AI76/(Parameters!$I$5+Parameters!$I$6+Parameters!$I$7+Parameters!$I$8+Parameters!$I$9+Parameters!$I$11+Parameters!$I$12+Parameters!$I$13+Parameters!$I$14+Parameters!$I$15))</f>
        <v>1</v>
      </c>
      <c r="AK76" s="15">
        <f>IF(AND(ISNUMBER(AF76),ISNUMBER(AH76),OR(NOT((Parameters!$I$9)&gt;0),ISNUMBER(AG76)),AJ76&gt;=Parameters!$B$20),100*(Parameters!$F$18*N(AF76)+Parameters!$F$19*N(AG76)+Parameters!$F$20*N(AH76))/(Parameters!$F$18*ISNUMBER(AF76)+Parameters!$F$19*ISNUMBER(AG76)+Parameters!$F$20*ISNUMBER(AH76)),"")</f>
        <v>58.19</v>
      </c>
      <c r="AL76" s="16">
        <f>IF(ISNUMBER(AK76),RANK(AK76,$AK$2:$AK$113),"")</f>
        <v>75</v>
      </c>
      <c r="AM76" s="14">
        <f>IF(((D76="Implemented/available")+(E76="Implemented/available")+(J76="Implemented/available")+(K76="Implemented/available")+(L76="Implemented/available")+(M76="Implemented/available"))=0,"",(AND(D76="Implemented/available",O76&lt;&gt;"")+AND(E76="Implemented/available",P76&lt;&gt;"")+AND(J76="Implemented/available",Q76&lt;&gt;"")+AND(K76="Implemented/available",R76&lt;&gt;"")+AND(L76="Implemented/available",S76&lt;&gt;"")+AND(M76="Implemented/available",T76&lt;&gt;""))/((D76="Implemented/available")+(E76="Implemented/available")+(J76="Implemented/available")+(K76="Implemented/available")+(L76="Implemented/available")+(M76="Implemented/available")))</f>
        <v>1</v>
      </c>
    </row>
    <row r="77" spans="1:39" x14ac:dyDescent="0.25">
      <c r="A77" s="6" t="s">
        <v>223</v>
      </c>
      <c r="B77" s="6" t="s">
        <v>224</v>
      </c>
      <c r="C77" s="6" t="s">
        <v>225</v>
      </c>
      <c r="D77" s="6" t="s">
        <v>29</v>
      </c>
      <c r="E77" s="6" t="s">
        <v>41</v>
      </c>
      <c r="F77" s="6" t="s">
        <v>38</v>
      </c>
      <c r="G77" s="6" t="s">
        <v>117</v>
      </c>
      <c r="H77" s="6" t="s">
        <v>76</v>
      </c>
      <c r="I77" s="6" t="s">
        <v>60</v>
      </c>
      <c r="J77" s="6" t="s">
        <v>41</v>
      </c>
      <c r="K77" s="6" t="s">
        <v>34</v>
      </c>
      <c r="L77" s="6" t="s">
        <v>29</v>
      </c>
      <c r="M77" s="6" t="s">
        <v>44</v>
      </c>
      <c r="N77" s="6"/>
      <c r="O77" s="6" t="s">
        <v>226</v>
      </c>
      <c r="P77" s="6"/>
      <c r="Q77" s="6"/>
      <c r="R77" s="6"/>
      <c r="S77" s="6" t="s">
        <v>227</v>
      </c>
      <c r="T77" s="6"/>
      <c r="U77" s="6"/>
      <c r="V77" s="12">
        <f>IFERROR(IF(ISNUMBER(INDEX(Parameters!$B$5:$B$14,MATCH(D77,Parameters!$A$5:$A$14,0))),INDEX(Parameters!$B$5:$B$14,MATCH(D77,Parameters!$A$5:$A$14,0)),""),"")</f>
        <v>1</v>
      </c>
      <c r="W77" s="12">
        <f>IFERROR(IF(ISNUMBER(INDEX(Parameters!$B$5:$B$14,MATCH(E77,Parameters!$A$5:$A$14,0))),INDEX(Parameters!$B$5:$B$14,MATCH(E77,Parameters!$A$5:$A$14,0)),""),"")</f>
        <v>0.33</v>
      </c>
      <c r="X77" s="12">
        <f>IFERROR(IF(ISNUMBER(INDEX(Parameters!$B$5:$B$14,MATCH(F77,Parameters!$A$5:$A$14,0))),INDEX(Parameters!$B$5:$B$14,MATCH(F77,Parameters!$A$5:$A$14,0)),""),"")</f>
        <v>0.67</v>
      </c>
      <c r="Y77" s="12">
        <f>IF(G77&lt;&gt;"",1,IF(ISNUMBER(Parameters!$B$18),Parameters!$B$18,""))</f>
        <v>1</v>
      </c>
      <c r="Z77" s="12">
        <f>IF(I77&lt;&gt;"",IFERROR(IF(ISNUMBER(INDEX(Parameters!$B$5:$B$14,MATCH(I77,Parameters!$A$5:$A$14,0))),INDEX(Parameters!$B$5:$B$14,MATCH(I77,Parameters!$A$5:$A$14,0)),""),""),IF(ISNUMBER(Parameters!$B$21),Parameters!$B$21,""))</f>
        <v>0.5</v>
      </c>
      <c r="AA77" s="12">
        <f>IFERROR(IF(ISNUMBER(INDEX(Parameters!$B$5:$B$14,MATCH(J77,Parameters!$A$5:$A$14,0))),INDEX(Parameters!$B$5:$B$14,MATCH(J77,Parameters!$A$5:$A$14,0)),""),"")</f>
        <v>0.33</v>
      </c>
      <c r="AB77" s="12">
        <f>IFERROR(IF(ISNUMBER(INDEX(Parameters!$B$5:$B$14,MATCH(K77,Parameters!$A$5:$A$14,0))),INDEX(Parameters!$B$5:$B$14,MATCH(K77,Parameters!$A$5:$A$14,0)),""),"")</f>
        <v>1</v>
      </c>
      <c r="AC77" s="12">
        <f>IFERROR(IF(ISNUMBER(INDEX(Parameters!$B$5:$B$14,MATCH(L77,Parameters!$A$5:$A$14,0))),INDEX(Parameters!$B$5:$B$14,MATCH(L77,Parameters!$A$5:$A$14,0)),""),"")</f>
        <v>1</v>
      </c>
      <c r="AD77" s="12">
        <f>IFERROR(IF(ISNUMBER(INDEX(Parameters!$B$5:$B$14,MATCH(M77,Parameters!$A$5:$A$14,0))),INDEX(Parameters!$B$5:$B$14,MATCH(M77,Parameters!$A$5:$A$14,0)),""),"")</f>
        <v>0</v>
      </c>
      <c r="AE77" s="12">
        <f>IF(N77&lt;&gt;"",1,IF(ISNUMBER(Parameters!$B$19),Parameters!$B$19,""))</f>
        <v>0</v>
      </c>
      <c r="AF77" s="12">
        <f>IF((Parameters!$I$5*ISNUMBER(V77)+Parameters!$I$6*ISNUMBER(W77)+Parameters!$I$7*ISNUMBER(X77)+Parameters!$I$8*ISNUMBER(Y77))=0,"",(Parameters!$I$5*N(V77)+Parameters!$I$6*N(W77)+Parameters!$I$7*N(X77)+Parameters!$I$8*N(Y77))/(Parameters!$I$5*ISNUMBER(V77)+Parameters!$I$6*ISNUMBER(W77)+Parameters!$I$7*ISNUMBER(X77)+Parameters!$I$8*ISNUMBER(Y77)))</f>
        <v>0.73299999999999998</v>
      </c>
      <c r="AG77" s="12">
        <f>IF((Parameters!$I$9*ISNUMBER(Z77))=0,"",(Parameters!$I$9*N(Z77))/(Parameters!$I$9*ISNUMBER(Z77)))</f>
        <v>0.5</v>
      </c>
      <c r="AH77" s="12">
        <f>IF((Parameters!$I$11*ISNUMBER(AA77)+Parameters!$I$12*ISNUMBER(AB77)+Parameters!$I$13*ISNUMBER(AC77)+Parameters!$I$14*ISNUMBER(AD77)+Parameters!$I$15*ISNUMBER(AE77))=0,"",(Parameters!$I$11*N(AA77)+Parameters!$I$12*N(AB77)+Parameters!$I$13*N(AC77)+Parameters!$I$14*N(AD77)+Parameters!$I$15*N(AE77))/(Parameters!$I$11*ISNUMBER(AA77)+Parameters!$I$12*ISNUMBER(AB77)+Parameters!$I$13*ISNUMBER(AC77)+Parameters!$I$14*ISNUMBER(AD77)+Parameters!$I$15*ISNUMBER(AE77)))</f>
        <v>0.46600000000000008</v>
      </c>
      <c r="AI77" s="13">
        <f>Parameters!$I$5*ISNUMBER(V77)+Parameters!$I$6*ISNUMBER(W77)+Parameters!$I$7*ISNUMBER(X77)+Parameters!$I$8*ISNUMBER(Y77)+Parameters!$I$9*ISNUMBER(Z77)+Parameters!$I$11*ISNUMBER(AA77)+Parameters!$I$12*ISNUMBER(AB77)+Parameters!$I$13*ISNUMBER(AC77)+Parameters!$I$14*ISNUMBER(AD77)+Parameters!$I$15*ISNUMBER(AE77)</f>
        <v>95</v>
      </c>
      <c r="AJ77" s="14">
        <f>IF((Parameters!$I$5+Parameters!$I$6+Parameters!$I$7+Parameters!$I$8+Parameters!$I$9+Parameters!$I$11+Parameters!$I$12+Parameters!$I$13+Parameters!$I$14+Parameters!$I$15)=0,"",AI77/(Parameters!$I$5+Parameters!$I$6+Parameters!$I$7+Parameters!$I$8+Parameters!$I$9+Parameters!$I$11+Parameters!$I$12+Parameters!$I$13+Parameters!$I$14+Parameters!$I$15))</f>
        <v>1</v>
      </c>
      <c r="AK77" s="15">
        <f>IF(AND(ISNUMBER(AF77),ISNUMBER(AH77),OR(NOT((Parameters!$I$9)&gt;0),ISNUMBER(AG77)),AJ77&gt;=Parameters!$B$20),100*(Parameters!$F$18*N(AF77)+Parameters!$F$19*N(AG77)+Parameters!$F$20*N(AH77))/(Parameters!$F$18*ISNUMBER(AF77)+Parameters!$F$19*ISNUMBER(AG77)+Parameters!$F$20*ISNUMBER(AH77)),"")</f>
        <v>58.13</v>
      </c>
      <c r="AL77" s="16">
        <f>IF(ISNUMBER(AK77),RANK(AK77,$AK$2:$AK$113),"")</f>
        <v>76</v>
      </c>
      <c r="AM77" s="14">
        <f>IF(((D77="Implemented/available")+(E77="Implemented/available")+(J77="Implemented/available")+(K77="Implemented/available")+(L77="Implemented/available")+(M77="Implemented/available"))=0,"",(AND(D77="Implemented/available",O77&lt;&gt;"")+AND(E77="Implemented/available",P77&lt;&gt;"")+AND(J77="Implemented/available",Q77&lt;&gt;"")+AND(K77="Implemented/available",R77&lt;&gt;"")+AND(L77="Implemented/available",S77&lt;&gt;"")+AND(M77="Implemented/available",T77&lt;&gt;""))/((D77="Implemented/available")+(E77="Implemented/available")+(J77="Implemented/available")+(K77="Implemented/available")+(L77="Implemented/available")+(M77="Implemented/available")))</f>
        <v>1</v>
      </c>
    </row>
    <row r="78" spans="1:39" x14ac:dyDescent="0.25">
      <c r="A78" s="6" t="s">
        <v>432</v>
      </c>
      <c r="B78" s="6" t="s">
        <v>366</v>
      </c>
      <c r="C78" s="6" t="s">
        <v>433</v>
      </c>
      <c r="D78" s="6" t="s">
        <v>29</v>
      </c>
      <c r="E78" s="6" t="s">
        <v>44</v>
      </c>
      <c r="F78" s="6" t="s">
        <v>44</v>
      </c>
      <c r="G78" s="6" t="s">
        <v>117</v>
      </c>
      <c r="H78" s="6"/>
      <c r="I78" s="6" t="s">
        <v>60</v>
      </c>
      <c r="J78" s="6" t="s">
        <v>38</v>
      </c>
      <c r="K78" s="6" t="s">
        <v>34</v>
      </c>
      <c r="L78" s="6" t="s">
        <v>38</v>
      </c>
      <c r="M78" s="6" t="s">
        <v>29</v>
      </c>
      <c r="N78" s="6"/>
      <c r="O78" s="6" t="s">
        <v>434</v>
      </c>
      <c r="P78" s="6"/>
      <c r="Q78" s="6"/>
      <c r="R78" s="6"/>
      <c r="S78" s="6"/>
      <c r="T78" s="6" t="s">
        <v>368</v>
      </c>
      <c r="U78" s="6"/>
      <c r="V78" s="12">
        <f>IFERROR(IF(ISNUMBER(INDEX(Parameters!$B$5:$B$14,MATCH(D78,Parameters!$A$5:$A$14,0))),INDEX(Parameters!$B$5:$B$14,MATCH(D78,Parameters!$A$5:$A$14,0)),""),"")</f>
        <v>1</v>
      </c>
      <c r="W78" s="12">
        <f>IFERROR(IF(ISNUMBER(INDEX(Parameters!$B$5:$B$14,MATCH(E78,Parameters!$A$5:$A$14,0))),INDEX(Parameters!$B$5:$B$14,MATCH(E78,Parameters!$A$5:$A$14,0)),""),"")</f>
        <v>0</v>
      </c>
      <c r="X78" s="12">
        <f>IFERROR(IF(ISNUMBER(INDEX(Parameters!$B$5:$B$14,MATCH(F78,Parameters!$A$5:$A$14,0))),INDEX(Parameters!$B$5:$B$14,MATCH(F78,Parameters!$A$5:$A$14,0)),""),"")</f>
        <v>0</v>
      </c>
      <c r="Y78" s="12">
        <f>IF(G78&lt;&gt;"",1,IF(ISNUMBER(Parameters!$B$18),Parameters!$B$18,""))</f>
        <v>1</v>
      </c>
      <c r="Z78" s="12">
        <f>IF(I78&lt;&gt;"",IFERROR(IF(ISNUMBER(INDEX(Parameters!$B$5:$B$14,MATCH(I78,Parameters!$A$5:$A$14,0))),INDEX(Parameters!$B$5:$B$14,MATCH(I78,Parameters!$A$5:$A$14,0)),""),""),IF(ISNUMBER(Parameters!$B$21),Parameters!$B$21,""))</f>
        <v>0.5</v>
      </c>
      <c r="AA78" s="12">
        <f>IFERROR(IF(ISNUMBER(INDEX(Parameters!$B$5:$B$14,MATCH(J78,Parameters!$A$5:$A$14,0))),INDEX(Parameters!$B$5:$B$14,MATCH(J78,Parameters!$A$5:$A$14,0)),""),"")</f>
        <v>0.67</v>
      </c>
      <c r="AB78" s="12">
        <f>IFERROR(IF(ISNUMBER(INDEX(Parameters!$B$5:$B$14,MATCH(K78,Parameters!$A$5:$A$14,0))),INDEX(Parameters!$B$5:$B$14,MATCH(K78,Parameters!$A$5:$A$14,0)),""),"")</f>
        <v>1</v>
      </c>
      <c r="AC78" s="12">
        <f>IFERROR(IF(ISNUMBER(INDEX(Parameters!$B$5:$B$14,MATCH(L78,Parameters!$A$5:$A$14,0))),INDEX(Parameters!$B$5:$B$14,MATCH(L78,Parameters!$A$5:$A$14,0)),""),"")</f>
        <v>0.67</v>
      </c>
      <c r="AD78" s="12">
        <f>IFERROR(IF(ISNUMBER(INDEX(Parameters!$B$5:$B$14,MATCH(M78,Parameters!$A$5:$A$14,0))),INDEX(Parameters!$B$5:$B$14,MATCH(M78,Parameters!$A$5:$A$14,0)),""),"")</f>
        <v>1</v>
      </c>
      <c r="AE78" s="12">
        <f>IF(N78&lt;&gt;"",1,IF(ISNUMBER(Parameters!$B$19),Parameters!$B$19,""))</f>
        <v>0</v>
      </c>
      <c r="AF78" s="12">
        <f>IF((Parameters!$I$5*ISNUMBER(V78)+Parameters!$I$6*ISNUMBER(W78)+Parameters!$I$7*ISNUMBER(X78)+Parameters!$I$8*ISNUMBER(Y78))=0,"",(Parameters!$I$5*N(V78)+Parameters!$I$6*N(W78)+Parameters!$I$7*N(X78)+Parameters!$I$8*N(Y78))/(Parameters!$I$5*ISNUMBER(V78)+Parameters!$I$6*ISNUMBER(W78)+Parameters!$I$7*ISNUMBER(X78)+Parameters!$I$8*ISNUMBER(Y78)))</f>
        <v>0.5</v>
      </c>
      <c r="AG78" s="12">
        <f>IF((Parameters!$I$9*ISNUMBER(Z78))=0,"",(Parameters!$I$9*N(Z78))/(Parameters!$I$9*ISNUMBER(Z78)))</f>
        <v>0.5</v>
      </c>
      <c r="AH78" s="12">
        <f>IF((Parameters!$I$11*ISNUMBER(AA78)+Parameters!$I$12*ISNUMBER(AB78)+Parameters!$I$13*ISNUMBER(AC78)+Parameters!$I$14*ISNUMBER(AD78)+Parameters!$I$15*ISNUMBER(AE78))=0,"",(Parameters!$I$11*N(AA78)+Parameters!$I$12*N(AB78)+Parameters!$I$13*N(AC78)+Parameters!$I$14*N(AD78)+Parameters!$I$15*N(AE78))/(Parameters!$I$11*ISNUMBER(AA78)+Parameters!$I$12*ISNUMBER(AB78)+Parameters!$I$13*ISNUMBER(AC78)+Parameters!$I$14*ISNUMBER(AD78)+Parameters!$I$15*ISNUMBER(AE78)))</f>
        <v>0.66800000000000004</v>
      </c>
      <c r="AI78" s="13">
        <f>Parameters!$I$5*ISNUMBER(V78)+Parameters!$I$6*ISNUMBER(W78)+Parameters!$I$7*ISNUMBER(X78)+Parameters!$I$8*ISNUMBER(Y78)+Parameters!$I$9*ISNUMBER(Z78)+Parameters!$I$11*ISNUMBER(AA78)+Parameters!$I$12*ISNUMBER(AB78)+Parameters!$I$13*ISNUMBER(AC78)+Parameters!$I$14*ISNUMBER(AD78)+Parameters!$I$15*ISNUMBER(AE78)</f>
        <v>95</v>
      </c>
      <c r="AJ78" s="14">
        <f>IF((Parameters!$I$5+Parameters!$I$6+Parameters!$I$7+Parameters!$I$8+Parameters!$I$9+Parameters!$I$11+Parameters!$I$12+Parameters!$I$13+Parameters!$I$14+Parameters!$I$15)=0,"",AI78/(Parameters!$I$5+Parameters!$I$6+Parameters!$I$7+Parameters!$I$8+Parameters!$I$9+Parameters!$I$11+Parameters!$I$12+Parameters!$I$13+Parameters!$I$14+Parameters!$I$15))</f>
        <v>1</v>
      </c>
      <c r="AK78" s="15">
        <f>IF(AND(ISNUMBER(AF78),ISNUMBER(AH78),OR(NOT((Parameters!$I$9)&gt;0),ISNUMBER(AG78)),AJ78&gt;=Parameters!$B$20),100*(Parameters!$F$18*N(AF78)+Parameters!$F$19*N(AG78)+Parameters!$F$20*N(AH78))/(Parameters!$F$18*ISNUMBER(AF78)+Parameters!$F$19*ISNUMBER(AG78)+Parameters!$F$20*ISNUMBER(AH78)),"")</f>
        <v>55.879999999999995</v>
      </c>
      <c r="AL78" s="16">
        <f>IF(ISNUMBER(AK78),RANK(AK78,$AK$2:$AK$113),"")</f>
        <v>77</v>
      </c>
      <c r="AM78" s="14">
        <f>IF(((D78="Implemented/available")+(E78="Implemented/available")+(J78="Implemented/available")+(K78="Implemented/available")+(L78="Implemented/available")+(M78="Implemented/available"))=0,"",(AND(D78="Implemented/available",O78&lt;&gt;"")+AND(E78="Implemented/available",P78&lt;&gt;"")+AND(J78="Implemented/available",Q78&lt;&gt;"")+AND(K78="Implemented/available",R78&lt;&gt;"")+AND(L78="Implemented/available",S78&lt;&gt;"")+AND(M78="Implemented/available",T78&lt;&gt;""))/((D78="Implemented/available")+(E78="Implemented/available")+(J78="Implemented/available")+(K78="Implemented/available")+(L78="Implemented/available")+(M78="Implemented/available")))</f>
        <v>1</v>
      </c>
    </row>
    <row r="79" spans="1:39" x14ac:dyDescent="0.25">
      <c r="A79" s="6" t="s">
        <v>584</v>
      </c>
      <c r="B79" s="6" t="s">
        <v>585</v>
      </c>
      <c r="C79" s="6" t="s">
        <v>586</v>
      </c>
      <c r="D79" s="6" t="s">
        <v>38</v>
      </c>
      <c r="E79" s="6" t="s">
        <v>44</v>
      </c>
      <c r="F79" s="6" t="s">
        <v>29</v>
      </c>
      <c r="G79" s="6" t="s">
        <v>184</v>
      </c>
      <c r="H79" s="6"/>
      <c r="I79" s="6" t="s">
        <v>60</v>
      </c>
      <c r="J79" s="6" t="s">
        <v>44</v>
      </c>
      <c r="K79" s="6" t="s">
        <v>34</v>
      </c>
      <c r="L79" s="6" t="s">
        <v>44</v>
      </c>
      <c r="M79" s="6" t="s">
        <v>38</v>
      </c>
      <c r="N79" s="6" t="s">
        <v>387</v>
      </c>
      <c r="O79" s="6"/>
      <c r="P79" s="6"/>
      <c r="Q79" s="6"/>
      <c r="R79" s="6"/>
      <c r="S79" s="6"/>
      <c r="T79" s="6"/>
      <c r="U79" s="6" t="s">
        <v>587</v>
      </c>
      <c r="V79" s="12">
        <f>IFERROR(IF(ISNUMBER(INDEX(Parameters!$B$5:$B$14,MATCH(D79,Parameters!$A$5:$A$14,0))),INDEX(Parameters!$B$5:$B$14,MATCH(D79,Parameters!$A$5:$A$14,0)),""),"")</f>
        <v>0.67</v>
      </c>
      <c r="W79" s="12">
        <f>IFERROR(IF(ISNUMBER(INDEX(Parameters!$B$5:$B$14,MATCH(E79,Parameters!$A$5:$A$14,0))),INDEX(Parameters!$B$5:$B$14,MATCH(E79,Parameters!$A$5:$A$14,0)),""),"")</f>
        <v>0</v>
      </c>
      <c r="X79" s="12">
        <f>IFERROR(IF(ISNUMBER(INDEX(Parameters!$B$5:$B$14,MATCH(F79,Parameters!$A$5:$A$14,0))),INDEX(Parameters!$B$5:$B$14,MATCH(F79,Parameters!$A$5:$A$14,0)),""),"")</f>
        <v>1</v>
      </c>
      <c r="Y79" s="12">
        <f>IF(G79&lt;&gt;"",1,IF(ISNUMBER(Parameters!$B$18),Parameters!$B$18,""))</f>
        <v>1</v>
      </c>
      <c r="Z79" s="12">
        <f>IF(I79&lt;&gt;"",IFERROR(IF(ISNUMBER(INDEX(Parameters!$B$5:$B$14,MATCH(I79,Parameters!$A$5:$A$14,0))),INDEX(Parameters!$B$5:$B$14,MATCH(I79,Parameters!$A$5:$A$14,0)),""),""),IF(ISNUMBER(Parameters!$B$21),Parameters!$B$21,""))</f>
        <v>0.5</v>
      </c>
      <c r="AA79" s="12">
        <f>IFERROR(IF(ISNUMBER(INDEX(Parameters!$B$5:$B$14,MATCH(J79,Parameters!$A$5:$A$14,0))),INDEX(Parameters!$B$5:$B$14,MATCH(J79,Parameters!$A$5:$A$14,0)),""),"")</f>
        <v>0</v>
      </c>
      <c r="AB79" s="12">
        <f>IFERROR(IF(ISNUMBER(INDEX(Parameters!$B$5:$B$14,MATCH(K79,Parameters!$A$5:$A$14,0))),INDEX(Parameters!$B$5:$B$14,MATCH(K79,Parameters!$A$5:$A$14,0)),""),"")</f>
        <v>1</v>
      </c>
      <c r="AC79" s="12">
        <f>IFERROR(IF(ISNUMBER(INDEX(Parameters!$B$5:$B$14,MATCH(L79,Parameters!$A$5:$A$14,0))),INDEX(Parameters!$B$5:$B$14,MATCH(L79,Parameters!$A$5:$A$14,0)),""),"")</f>
        <v>0</v>
      </c>
      <c r="AD79" s="12">
        <f>IFERROR(IF(ISNUMBER(INDEX(Parameters!$B$5:$B$14,MATCH(M79,Parameters!$A$5:$A$14,0))),INDEX(Parameters!$B$5:$B$14,MATCH(M79,Parameters!$A$5:$A$14,0)),""),"")</f>
        <v>0.67</v>
      </c>
      <c r="AE79" s="12">
        <f>IF(N79&lt;&gt;"",1,IF(ISNUMBER(Parameters!$B$19),Parameters!$B$19,""))</f>
        <v>1</v>
      </c>
      <c r="AF79" s="12">
        <f>IF((Parameters!$I$5*ISNUMBER(V79)+Parameters!$I$6*ISNUMBER(W79)+Parameters!$I$7*ISNUMBER(X79)+Parameters!$I$8*ISNUMBER(Y79))=0,"",(Parameters!$I$5*N(V79)+Parameters!$I$6*N(W79)+Parameters!$I$7*N(X79)+Parameters!$I$8*N(Y79))/(Parameters!$I$5*ISNUMBER(V79)+Parameters!$I$6*ISNUMBER(W79)+Parameters!$I$7*ISNUMBER(X79)+Parameters!$I$8*ISNUMBER(Y79)))</f>
        <v>0.60099999999999998</v>
      </c>
      <c r="AG79" s="12">
        <f>IF((Parameters!$I$9*ISNUMBER(Z79))=0,"",(Parameters!$I$9*N(Z79))/(Parameters!$I$9*ISNUMBER(Z79)))</f>
        <v>0.5</v>
      </c>
      <c r="AH79" s="12">
        <f>IF((Parameters!$I$11*ISNUMBER(AA79)+Parameters!$I$12*ISNUMBER(AB79)+Parameters!$I$13*ISNUMBER(AC79)+Parameters!$I$14*ISNUMBER(AD79)+Parameters!$I$15*ISNUMBER(AE79))=0,"",(Parameters!$I$11*N(AA79)+Parameters!$I$12*N(AB79)+Parameters!$I$13*N(AC79)+Parameters!$I$14*N(AD79)+Parameters!$I$15*N(AE79))/(Parameters!$I$11*ISNUMBER(AA79)+Parameters!$I$12*ISNUMBER(AB79)+Parameters!$I$13*ISNUMBER(AC79)+Parameters!$I$14*ISNUMBER(AD79)+Parameters!$I$15*ISNUMBER(AE79)))</f>
        <v>0.53400000000000003</v>
      </c>
      <c r="AI79" s="13">
        <f>Parameters!$I$5*ISNUMBER(V79)+Parameters!$I$6*ISNUMBER(W79)+Parameters!$I$7*ISNUMBER(X79)+Parameters!$I$8*ISNUMBER(Y79)+Parameters!$I$9*ISNUMBER(Z79)+Parameters!$I$11*ISNUMBER(AA79)+Parameters!$I$12*ISNUMBER(AB79)+Parameters!$I$13*ISNUMBER(AC79)+Parameters!$I$14*ISNUMBER(AD79)+Parameters!$I$15*ISNUMBER(AE79)</f>
        <v>95</v>
      </c>
      <c r="AJ79" s="14">
        <f>IF((Parameters!$I$5+Parameters!$I$6+Parameters!$I$7+Parameters!$I$8+Parameters!$I$9+Parameters!$I$11+Parameters!$I$12+Parameters!$I$13+Parameters!$I$14+Parameters!$I$15)=0,"",AI79/(Parameters!$I$5+Parameters!$I$6+Parameters!$I$7+Parameters!$I$8+Parameters!$I$9+Parameters!$I$11+Parameters!$I$12+Parameters!$I$13+Parameters!$I$14+Parameters!$I$15))</f>
        <v>1</v>
      </c>
      <c r="AK79" s="15">
        <f>IF(AND(ISNUMBER(AF79),ISNUMBER(AH79),OR(NOT((Parameters!$I$9)&gt;0),ISNUMBER(AG79)),AJ79&gt;=Parameters!$B$20),100*(Parameters!$F$18*N(AF79)+Parameters!$F$19*N(AG79)+Parameters!$F$20*N(AH79))/(Parameters!$F$18*ISNUMBER(AF79)+Parameters!$F$19*ISNUMBER(AG79)+Parameters!$F$20*ISNUMBER(AH79)),"")</f>
        <v>55.230000000000004</v>
      </c>
      <c r="AL79" s="16">
        <f>IF(ISNUMBER(AK79),RANK(AK79,$AK$2:$AK$113),"")</f>
        <v>78</v>
      </c>
      <c r="AM79" s="14" t="str">
        <f>IF(((D79="Implemented/available")+(E79="Implemented/available")+(J79="Implemented/available")+(K79="Implemented/available")+(L79="Implemented/available")+(M79="Implemented/available"))=0,"",(AND(D79="Implemented/available",O79&lt;&gt;"")+AND(E79="Implemented/available",P79&lt;&gt;"")+AND(J79="Implemented/available",Q79&lt;&gt;"")+AND(K79="Implemented/available",R79&lt;&gt;"")+AND(L79="Implemented/available",S79&lt;&gt;"")+AND(M79="Implemented/available",T79&lt;&gt;""))/((D79="Implemented/available")+(E79="Implemented/available")+(J79="Implemented/available")+(K79="Implemented/available")+(L79="Implemented/available")+(M79="Implemented/available")))</f>
        <v/>
      </c>
    </row>
    <row r="80" spans="1:39" x14ac:dyDescent="0.25">
      <c r="A80" s="6" t="s">
        <v>206</v>
      </c>
      <c r="B80" s="6" t="s">
        <v>206</v>
      </c>
      <c r="C80" s="6" t="s">
        <v>207</v>
      </c>
      <c r="D80" s="6" t="s">
        <v>38</v>
      </c>
      <c r="E80" s="6" t="s">
        <v>38</v>
      </c>
      <c r="F80" s="6" t="s">
        <v>38</v>
      </c>
      <c r="G80" s="6"/>
      <c r="H80" s="6"/>
      <c r="I80" s="6" t="s">
        <v>60</v>
      </c>
      <c r="J80" s="6" t="s">
        <v>38</v>
      </c>
      <c r="K80" s="6" t="s">
        <v>34</v>
      </c>
      <c r="L80" s="6" t="s">
        <v>38</v>
      </c>
      <c r="M80" s="6" t="s">
        <v>38</v>
      </c>
      <c r="N80" s="6"/>
      <c r="O80" s="6"/>
      <c r="P80" s="6"/>
      <c r="Q80" s="6"/>
      <c r="R80" s="6"/>
      <c r="S80" s="6"/>
      <c r="T80" s="6"/>
      <c r="U80" s="6"/>
      <c r="V80" s="12">
        <f>IFERROR(IF(ISNUMBER(INDEX(Parameters!$B$5:$B$14,MATCH(D80,Parameters!$A$5:$A$14,0))),INDEX(Parameters!$B$5:$B$14,MATCH(D80,Parameters!$A$5:$A$14,0)),""),"")</f>
        <v>0.67</v>
      </c>
      <c r="W80" s="12">
        <f>IFERROR(IF(ISNUMBER(INDEX(Parameters!$B$5:$B$14,MATCH(E80,Parameters!$A$5:$A$14,0))),INDEX(Parameters!$B$5:$B$14,MATCH(E80,Parameters!$A$5:$A$14,0)),""),"")</f>
        <v>0.67</v>
      </c>
      <c r="X80" s="12">
        <f>IFERROR(IF(ISNUMBER(INDEX(Parameters!$B$5:$B$14,MATCH(F80,Parameters!$A$5:$A$14,0))),INDEX(Parameters!$B$5:$B$14,MATCH(F80,Parameters!$A$5:$A$14,0)),""),"")</f>
        <v>0.67</v>
      </c>
      <c r="Y80" s="12">
        <f>IF(G80&lt;&gt;"",1,IF(ISNUMBER(Parameters!$B$18),Parameters!$B$18,""))</f>
        <v>0</v>
      </c>
      <c r="Z80" s="12">
        <f>IF(I80&lt;&gt;"",IFERROR(IF(ISNUMBER(INDEX(Parameters!$B$5:$B$14,MATCH(I80,Parameters!$A$5:$A$14,0))),INDEX(Parameters!$B$5:$B$14,MATCH(I80,Parameters!$A$5:$A$14,0)),""),""),IF(ISNUMBER(Parameters!$B$21),Parameters!$B$21,""))</f>
        <v>0.5</v>
      </c>
      <c r="AA80" s="12">
        <f>IFERROR(IF(ISNUMBER(INDEX(Parameters!$B$5:$B$14,MATCH(J80,Parameters!$A$5:$A$14,0))),INDEX(Parameters!$B$5:$B$14,MATCH(J80,Parameters!$A$5:$A$14,0)),""),"")</f>
        <v>0.67</v>
      </c>
      <c r="AB80" s="12">
        <f>IFERROR(IF(ISNUMBER(INDEX(Parameters!$B$5:$B$14,MATCH(K80,Parameters!$A$5:$A$14,0))),INDEX(Parameters!$B$5:$B$14,MATCH(K80,Parameters!$A$5:$A$14,0)),""),"")</f>
        <v>1</v>
      </c>
      <c r="AC80" s="12">
        <f>IFERROR(IF(ISNUMBER(INDEX(Parameters!$B$5:$B$14,MATCH(L80,Parameters!$A$5:$A$14,0))),INDEX(Parameters!$B$5:$B$14,MATCH(L80,Parameters!$A$5:$A$14,0)),""),"")</f>
        <v>0.67</v>
      </c>
      <c r="AD80" s="12">
        <f>IFERROR(IF(ISNUMBER(INDEX(Parameters!$B$5:$B$14,MATCH(M80,Parameters!$A$5:$A$14,0))),INDEX(Parameters!$B$5:$B$14,MATCH(M80,Parameters!$A$5:$A$14,0)),""),"")</f>
        <v>0.67</v>
      </c>
      <c r="AE80" s="12">
        <f>IF(N80&lt;&gt;"",1,IF(ISNUMBER(Parameters!$B$19),Parameters!$B$19,""))</f>
        <v>0</v>
      </c>
      <c r="AF80" s="12">
        <f>IF((Parameters!$I$5*ISNUMBER(V80)+Parameters!$I$6*ISNUMBER(W80)+Parameters!$I$7*ISNUMBER(X80)+Parameters!$I$8*ISNUMBER(Y80))=0,"",(Parameters!$I$5*N(V80)+Parameters!$I$6*N(W80)+Parameters!$I$7*N(X80)+Parameters!$I$8*N(Y80))/(Parameters!$I$5*ISNUMBER(V80)+Parameters!$I$6*ISNUMBER(W80)+Parameters!$I$7*ISNUMBER(X80)+Parameters!$I$8*ISNUMBER(Y80)))</f>
        <v>0.53600000000000003</v>
      </c>
      <c r="AG80" s="12">
        <f>IF((Parameters!$I$9*ISNUMBER(Z80))=0,"",(Parameters!$I$9*N(Z80))/(Parameters!$I$9*ISNUMBER(Z80)))</f>
        <v>0.5</v>
      </c>
      <c r="AH80" s="12">
        <f>IF((Parameters!$I$11*ISNUMBER(AA80)+Parameters!$I$12*ISNUMBER(AB80)+Parameters!$I$13*ISNUMBER(AC80)+Parameters!$I$14*ISNUMBER(AD80)+Parameters!$I$15*ISNUMBER(AE80))=0,"",(Parameters!$I$11*N(AA80)+Parameters!$I$12*N(AB80)+Parameters!$I$13*N(AC80)+Parameters!$I$14*N(AD80)+Parameters!$I$15*N(AE80))/(Parameters!$I$11*ISNUMBER(AA80)+Parameters!$I$12*ISNUMBER(AB80)+Parameters!$I$13*ISNUMBER(AC80)+Parameters!$I$14*ISNUMBER(AD80)+Parameters!$I$15*ISNUMBER(AE80)))</f>
        <v>0.60200000000000009</v>
      </c>
      <c r="AI80" s="13">
        <f>Parameters!$I$5*ISNUMBER(V80)+Parameters!$I$6*ISNUMBER(W80)+Parameters!$I$7*ISNUMBER(X80)+Parameters!$I$8*ISNUMBER(Y80)+Parameters!$I$9*ISNUMBER(Z80)+Parameters!$I$11*ISNUMBER(AA80)+Parameters!$I$12*ISNUMBER(AB80)+Parameters!$I$13*ISNUMBER(AC80)+Parameters!$I$14*ISNUMBER(AD80)+Parameters!$I$15*ISNUMBER(AE80)</f>
        <v>95</v>
      </c>
      <c r="AJ80" s="14">
        <f>IF((Parameters!$I$5+Parameters!$I$6+Parameters!$I$7+Parameters!$I$8+Parameters!$I$9+Parameters!$I$11+Parameters!$I$12+Parameters!$I$13+Parameters!$I$14+Parameters!$I$15)=0,"",AI80/(Parameters!$I$5+Parameters!$I$6+Parameters!$I$7+Parameters!$I$8+Parameters!$I$9+Parameters!$I$11+Parameters!$I$12+Parameters!$I$13+Parameters!$I$14+Parameters!$I$15))</f>
        <v>1</v>
      </c>
      <c r="AK80" s="15">
        <f>IF(AND(ISNUMBER(AF80),ISNUMBER(AH80),OR(NOT((Parameters!$I$9)&gt;0),ISNUMBER(AG80)),AJ80&gt;=Parameters!$B$20),100*(Parameters!$F$18*N(AF80)+Parameters!$F$19*N(AG80)+Parameters!$F$20*N(AH80))/(Parameters!$F$18*ISNUMBER(AF80)+Parameters!$F$19*ISNUMBER(AG80)+Parameters!$F$20*ISNUMBER(AH80)),"")</f>
        <v>55.010000000000005</v>
      </c>
      <c r="AL80" s="16">
        <f>IF(ISNUMBER(AK80),RANK(AK80,$AK$2:$AK$113),"")</f>
        <v>79</v>
      </c>
      <c r="AM80" s="14" t="str">
        <f>IF(((D80="Implemented/available")+(E80="Implemented/available")+(J80="Implemented/available")+(K80="Implemented/available")+(L80="Implemented/available")+(M80="Implemented/available"))=0,"",(AND(D80="Implemented/available",O80&lt;&gt;"")+AND(E80="Implemented/available",P80&lt;&gt;"")+AND(J80="Implemented/available",Q80&lt;&gt;"")+AND(K80="Implemented/available",R80&lt;&gt;"")+AND(L80="Implemented/available",S80&lt;&gt;"")+AND(M80="Implemented/available",T80&lt;&gt;""))/((D80="Implemented/available")+(E80="Implemented/available")+(J80="Implemented/available")+(K80="Implemented/available")+(L80="Implemented/available")+(M80="Implemented/available")))</f>
        <v/>
      </c>
    </row>
    <row r="81" spans="1:39" x14ac:dyDescent="0.25">
      <c r="A81" s="6" t="s">
        <v>415</v>
      </c>
      <c r="B81" s="6" t="s">
        <v>416</v>
      </c>
      <c r="C81" s="6" t="s">
        <v>417</v>
      </c>
      <c r="D81" s="6" t="s">
        <v>29</v>
      </c>
      <c r="E81" s="6" t="s">
        <v>44</v>
      </c>
      <c r="F81" s="6" t="s">
        <v>29</v>
      </c>
      <c r="G81" s="6" t="s">
        <v>117</v>
      </c>
      <c r="H81" s="6" t="s">
        <v>184</v>
      </c>
      <c r="I81" s="6" t="s">
        <v>60</v>
      </c>
      <c r="J81" s="6" t="s">
        <v>44</v>
      </c>
      <c r="K81" s="6" t="s">
        <v>29</v>
      </c>
      <c r="L81" s="6" t="s">
        <v>44</v>
      </c>
      <c r="M81" s="6" t="s">
        <v>44</v>
      </c>
      <c r="N81" s="6" t="s">
        <v>139</v>
      </c>
      <c r="O81" s="6" t="s">
        <v>418</v>
      </c>
      <c r="P81" s="6"/>
      <c r="Q81" s="6"/>
      <c r="R81" s="6" t="s">
        <v>419</v>
      </c>
      <c r="S81" s="6"/>
      <c r="T81" s="6"/>
      <c r="U81" s="6" t="s">
        <v>418</v>
      </c>
      <c r="V81" s="12">
        <f>IFERROR(IF(ISNUMBER(INDEX(Parameters!$B$5:$B$14,MATCH(D81,Parameters!$A$5:$A$14,0))),INDEX(Parameters!$B$5:$B$14,MATCH(D81,Parameters!$A$5:$A$14,0)),""),"")</f>
        <v>1</v>
      </c>
      <c r="W81" s="12">
        <f>IFERROR(IF(ISNUMBER(INDEX(Parameters!$B$5:$B$14,MATCH(E81,Parameters!$A$5:$A$14,0))),INDEX(Parameters!$B$5:$B$14,MATCH(E81,Parameters!$A$5:$A$14,0)),""),"")</f>
        <v>0</v>
      </c>
      <c r="X81" s="12">
        <f>IFERROR(IF(ISNUMBER(INDEX(Parameters!$B$5:$B$14,MATCH(F81,Parameters!$A$5:$A$14,0))),INDEX(Parameters!$B$5:$B$14,MATCH(F81,Parameters!$A$5:$A$14,0)),""),"")</f>
        <v>1</v>
      </c>
      <c r="Y81" s="12">
        <f>IF(G81&lt;&gt;"",1,IF(ISNUMBER(Parameters!$B$18),Parameters!$B$18,""))</f>
        <v>1</v>
      </c>
      <c r="Z81" s="12">
        <f>IF(I81&lt;&gt;"",IFERROR(IF(ISNUMBER(INDEX(Parameters!$B$5:$B$14,MATCH(I81,Parameters!$A$5:$A$14,0))),INDEX(Parameters!$B$5:$B$14,MATCH(I81,Parameters!$A$5:$A$14,0)),""),""),IF(ISNUMBER(Parameters!$B$21),Parameters!$B$21,""))</f>
        <v>0.5</v>
      </c>
      <c r="AA81" s="12">
        <f>IFERROR(IF(ISNUMBER(INDEX(Parameters!$B$5:$B$14,MATCH(J81,Parameters!$A$5:$A$14,0))),INDEX(Parameters!$B$5:$B$14,MATCH(J81,Parameters!$A$5:$A$14,0)),""),"")</f>
        <v>0</v>
      </c>
      <c r="AB81" s="12">
        <f>IFERROR(IF(ISNUMBER(INDEX(Parameters!$B$5:$B$14,MATCH(K81,Parameters!$A$5:$A$14,0))),INDEX(Parameters!$B$5:$B$14,MATCH(K81,Parameters!$A$5:$A$14,0)),""),"")</f>
        <v>1</v>
      </c>
      <c r="AC81" s="12">
        <f>IFERROR(IF(ISNUMBER(INDEX(Parameters!$B$5:$B$14,MATCH(L81,Parameters!$A$5:$A$14,0))),INDEX(Parameters!$B$5:$B$14,MATCH(L81,Parameters!$A$5:$A$14,0)),""),"")</f>
        <v>0</v>
      </c>
      <c r="AD81" s="12">
        <f>IFERROR(IF(ISNUMBER(INDEX(Parameters!$B$5:$B$14,MATCH(M81,Parameters!$A$5:$A$14,0))),INDEX(Parameters!$B$5:$B$14,MATCH(M81,Parameters!$A$5:$A$14,0)),""),"")</f>
        <v>0</v>
      </c>
      <c r="AE81" s="12">
        <f>IF(N81&lt;&gt;"",1,IF(ISNUMBER(Parameters!$B$19),Parameters!$B$19,""))</f>
        <v>1</v>
      </c>
      <c r="AF81" s="12">
        <f>IF((Parameters!$I$5*ISNUMBER(V81)+Parameters!$I$6*ISNUMBER(W81)+Parameters!$I$7*ISNUMBER(X81)+Parameters!$I$8*ISNUMBER(Y81))=0,"",(Parameters!$I$5*N(V81)+Parameters!$I$6*N(W81)+Parameters!$I$7*N(X81)+Parameters!$I$8*N(Y81))/(Parameters!$I$5*ISNUMBER(V81)+Parameters!$I$6*ISNUMBER(W81)+Parameters!$I$7*ISNUMBER(X81)+Parameters!$I$8*ISNUMBER(Y81)))</f>
        <v>0.7</v>
      </c>
      <c r="AG81" s="12">
        <f>IF((Parameters!$I$9*ISNUMBER(Z81))=0,"",(Parameters!$I$9*N(Z81))/(Parameters!$I$9*ISNUMBER(Z81)))</f>
        <v>0.5</v>
      </c>
      <c r="AH81" s="12">
        <f>IF((Parameters!$I$11*ISNUMBER(AA81)+Parameters!$I$12*ISNUMBER(AB81)+Parameters!$I$13*ISNUMBER(AC81)+Parameters!$I$14*ISNUMBER(AD81)+Parameters!$I$15*ISNUMBER(AE81))=0,"",(Parameters!$I$11*N(AA81)+Parameters!$I$12*N(AB81)+Parameters!$I$13*N(AC81)+Parameters!$I$14*N(AD81)+Parameters!$I$15*N(AE81))/(Parameters!$I$11*ISNUMBER(AA81)+Parameters!$I$12*ISNUMBER(AB81)+Parameters!$I$13*ISNUMBER(AC81)+Parameters!$I$14*ISNUMBER(AD81)+Parameters!$I$15*ISNUMBER(AE81)))</f>
        <v>0.4</v>
      </c>
      <c r="AI81" s="13">
        <f>Parameters!$I$5*ISNUMBER(V81)+Parameters!$I$6*ISNUMBER(W81)+Parameters!$I$7*ISNUMBER(X81)+Parameters!$I$8*ISNUMBER(Y81)+Parameters!$I$9*ISNUMBER(Z81)+Parameters!$I$11*ISNUMBER(AA81)+Parameters!$I$12*ISNUMBER(AB81)+Parameters!$I$13*ISNUMBER(AC81)+Parameters!$I$14*ISNUMBER(AD81)+Parameters!$I$15*ISNUMBER(AE81)</f>
        <v>95</v>
      </c>
      <c r="AJ81" s="14">
        <f>IF((Parameters!$I$5+Parameters!$I$6+Parameters!$I$7+Parameters!$I$8+Parameters!$I$9+Parameters!$I$11+Parameters!$I$12+Parameters!$I$13+Parameters!$I$14+Parameters!$I$15)=0,"",AI81/(Parameters!$I$5+Parameters!$I$6+Parameters!$I$7+Parameters!$I$8+Parameters!$I$9+Parameters!$I$11+Parameters!$I$12+Parameters!$I$13+Parameters!$I$14+Parameters!$I$15))</f>
        <v>1</v>
      </c>
      <c r="AK81" s="15">
        <f>IF(AND(ISNUMBER(AF81),ISNUMBER(AH81),OR(NOT((Parameters!$I$9)&gt;0),ISNUMBER(AG81)),AJ81&gt;=Parameters!$B$20),100*(Parameters!$F$18*N(AF81)+Parameters!$F$19*N(AG81)+Parameters!$F$20*N(AH81))/(Parameters!$F$18*ISNUMBER(AF81)+Parameters!$F$19*ISNUMBER(AG81)+Parameters!$F$20*ISNUMBER(AH81)),"")</f>
        <v>54.499999999999993</v>
      </c>
      <c r="AL81" s="16">
        <f>IF(ISNUMBER(AK81),RANK(AK81,$AK$2:$AK$113),"")</f>
        <v>80</v>
      </c>
      <c r="AM81" s="14">
        <f>IF(((D81="Implemented/available")+(E81="Implemented/available")+(J81="Implemented/available")+(K81="Implemented/available")+(L81="Implemented/available")+(M81="Implemented/available"))=0,"",(AND(D81="Implemented/available",O81&lt;&gt;"")+AND(E81="Implemented/available",P81&lt;&gt;"")+AND(J81="Implemented/available",Q81&lt;&gt;"")+AND(K81="Implemented/available",R81&lt;&gt;"")+AND(L81="Implemented/available",S81&lt;&gt;"")+AND(M81="Implemented/available",T81&lt;&gt;""))/((D81="Implemented/available")+(E81="Implemented/available")+(J81="Implemented/available")+(K81="Implemented/available")+(L81="Implemented/available")+(M81="Implemented/available")))</f>
        <v>1</v>
      </c>
    </row>
    <row r="82" spans="1:39" x14ac:dyDescent="0.25">
      <c r="A82" s="6" t="s">
        <v>544</v>
      </c>
      <c r="B82" s="6" t="s">
        <v>545</v>
      </c>
      <c r="C82" s="6" t="s">
        <v>132</v>
      </c>
      <c r="D82" s="6" t="s">
        <v>29</v>
      </c>
      <c r="E82" s="6" t="s">
        <v>29</v>
      </c>
      <c r="F82" s="6" t="s">
        <v>48</v>
      </c>
      <c r="G82" s="6" t="s">
        <v>184</v>
      </c>
      <c r="H82" s="6"/>
      <c r="I82" s="6"/>
      <c r="J82" s="6" t="s">
        <v>41</v>
      </c>
      <c r="K82" s="6" t="s">
        <v>34</v>
      </c>
      <c r="L82" s="6" t="s">
        <v>41</v>
      </c>
      <c r="M82" s="6" t="s">
        <v>41</v>
      </c>
      <c r="N82" s="6"/>
      <c r="O82" s="6" t="s">
        <v>546</v>
      </c>
      <c r="P82" s="6"/>
      <c r="Q82" s="6"/>
      <c r="R82" s="6"/>
      <c r="S82" s="6"/>
      <c r="T82" s="6"/>
      <c r="U82" s="6"/>
      <c r="V82" s="12">
        <f>IFERROR(IF(ISNUMBER(INDEX(Parameters!$B$5:$B$14,MATCH(D82,Parameters!$A$5:$A$14,0))),INDEX(Parameters!$B$5:$B$14,MATCH(D82,Parameters!$A$5:$A$14,0)),""),"")</f>
        <v>1</v>
      </c>
      <c r="W82" s="12">
        <f>IFERROR(IF(ISNUMBER(INDEX(Parameters!$B$5:$B$14,MATCH(E82,Parameters!$A$5:$A$14,0))),INDEX(Parameters!$B$5:$B$14,MATCH(E82,Parameters!$A$5:$A$14,0)),""),"")</f>
        <v>1</v>
      </c>
      <c r="X82" s="12" t="str">
        <f>IFERROR(IF(ISNUMBER(INDEX(Parameters!$B$5:$B$14,MATCH(F82,Parameters!$A$5:$A$14,0))),INDEX(Parameters!$B$5:$B$14,MATCH(F82,Parameters!$A$5:$A$14,0)),""),"")</f>
        <v/>
      </c>
      <c r="Y82" s="12">
        <f>IF(G82&lt;&gt;"",1,IF(ISNUMBER(Parameters!$B$18),Parameters!$B$18,""))</f>
        <v>1</v>
      </c>
      <c r="Z82" s="12">
        <f>IF(I82&lt;&gt;"",IFERROR(IF(ISNUMBER(INDEX(Parameters!$B$5:$B$14,MATCH(I82,Parameters!$A$5:$A$14,0))),INDEX(Parameters!$B$5:$B$14,MATCH(I82,Parameters!$A$5:$A$14,0)),""),""),IF(ISNUMBER(Parameters!$B$21),Parameters!$B$21,""))</f>
        <v>0</v>
      </c>
      <c r="AA82" s="12">
        <f>IFERROR(IF(ISNUMBER(INDEX(Parameters!$B$5:$B$14,MATCH(J82,Parameters!$A$5:$A$14,0))),INDEX(Parameters!$B$5:$B$14,MATCH(J82,Parameters!$A$5:$A$14,0)),""),"")</f>
        <v>0.33</v>
      </c>
      <c r="AB82" s="12">
        <f>IFERROR(IF(ISNUMBER(INDEX(Parameters!$B$5:$B$14,MATCH(K82,Parameters!$A$5:$A$14,0))),INDEX(Parameters!$B$5:$B$14,MATCH(K82,Parameters!$A$5:$A$14,0)),""),"")</f>
        <v>1</v>
      </c>
      <c r="AC82" s="12">
        <f>IFERROR(IF(ISNUMBER(INDEX(Parameters!$B$5:$B$14,MATCH(L82,Parameters!$A$5:$A$14,0))),INDEX(Parameters!$B$5:$B$14,MATCH(L82,Parameters!$A$5:$A$14,0)),""),"")</f>
        <v>0.33</v>
      </c>
      <c r="AD82" s="12">
        <f>IFERROR(IF(ISNUMBER(INDEX(Parameters!$B$5:$B$14,MATCH(M82,Parameters!$A$5:$A$14,0))),INDEX(Parameters!$B$5:$B$14,MATCH(M82,Parameters!$A$5:$A$14,0)),""),"")</f>
        <v>0.33</v>
      </c>
      <c r="AE82" s="12">
        <f>IF(N82&lt;&gt;"",1,IF(ISNUMBER(Parameters!$B$19),Parameters!$B$19,""))</f>
        <v>0</v>
      </c>
      <c r="AF82" s="12">
        <f>IF((Parameters!$I$5*ISNUMBER(V82)+Parameters!$I$6*ISNUMBER(W82)+Parameters!$I$7*ISNUMBER(X82)+Parameters!$I$8*ISNUMBER(Y82))=0,"",(Parameters!$I$5*N(V82)+Parameters!$I$6*N(W82)+Parameters!$I$7*N(X82)+Parameters!$I$8*N(Y82))/(Parameters!$I$5*ISNUMBER(V82)+Parameters!$I$6*ISNUMBER(W82)+Parameters!$I$7*ISNUMBER(X82)+Parameters!$I$8*ISNUMBER(Y82)))</f>
        <v>1</v>
      </c>
      <c r="AG82" s="12">
        <f>IF((Parameters!$I$9*ISNUMBER(Z82))=0,"",(Parameters!$I$9*N(Z82))/(Parameters!$I$9*ISNUMBER(Z82)))</f>
        <v>0</v>
      </c>
      <c r="AH82" s="12">
        <f>IF((Parameters!$I$11*ISNUMBER(AA82)+Parameters!$I$12*ISNUMBER(AB82)+Parameters!$I$13*ISNUMBER(AC82)+Parameters!$I$14*ISNUMBER(AD82)+Parameters!$I$15*ISNUMBER(AE82))=0,"",(Parameters!$I$11*N(AA82)+Parameters!$I$12*N(AB82)+Parameters!$I$13*N(AC82)+Parameters!$I$14*N(AD82)+Parameters!$I$15*N(AE82))/(Parameters!$I$11*ISNUMBER(AA82)+Parameters!$I$12*ISNUMBER(AB82)+Parameters!$I$13*ISNUMBER(AC82)+Parameters!$I$14*ISNUMBER(AD82)+Parameters!$I$15*ISNUMBER(AE82)))</f>
        <v>0.39800000000000002</v>
      </c>
      <c r="AI82" s="13">
        <f>Parameters!$I$5*ISNUMBER(V82)+Parameters!$I$6*ISNUMBER(W82)+Parameters!$I$7*ISNUMBER(X82)+Parameters!$I$8*ISNUMBER(Y82)+Parameters!$I$9*ISNUMBER(Z82)+Parameters!$I$11*ISNUMBER(AA82)+Parameters!$I$12*ISNUMBER(AB82)+Parameters!$I$13*ISNUMBER(AC82)+Parameters!$I$14*ISNUMBER(AD82)+Parameters!$I$15*ISNUMBER(AE82)</f>
        <v>87</v>
      </c>
      <c r="AJ82" s="14">
        <f>IF((Parameters!$I$5+Parameters!$I$6+Parameters!$I$7+Parameters!$I$8+Parameters!$I$9+Parameters!$I$11+Parameters!$I$12+Parameters!$I$13+Parameters!$I$14+Parameters!$I$15)=0,"",AI82/(Parameters!$I$5+Parameters!$I$6+Parameters!$I$7+Parameters!$I$8+Parameters!$I$9+Parameters!$I$11+Parameters!$I$12+Parameters!$I$13+Parameters!$I$14+Parameters!$I$15))</f>
        <v>0.91578947368421049</v>
      </c>
      <c r="AK82" s="15">
        <f>IF(AND(ISNUMBER(AF82),ISNUMBER(AH82),OR(NOT((Parameters!$I$9)&gt;0),ISNUMBER(AG82)),AJ82&gt;=Parameters!$B$20),100*(Parameters!$F$18*N(AF82)+Parameters!$F$19*N(AG82)+Parameters!$F$20*N(AH82))/(Parameters!$F$18*ISNUMBER(AF82)+Parameters!$F$19*ISNUMBER(AG82)+Parameters!$F$20*ISNUMBER(AH82)),"")</f>
        <v>53.93</v>
      </c>
      <c r="AL82" s="16">
        <f>IF(ISNUMBER(AK82),RANK(AK82,$AK$2:$AK$113),"")</f>
        <v>81</v>
      </c>
      <c r="AM82" s="14">
        <f>IF(((D82="Implemented/available")+(E82="Implemented/available")+(J82="Implemented/available")+(K82="Implemented/available")+(L82="Implemented/available")+(M82="Implemented/available"))=0,"",(AND(D82="Implemented/available",O82&lt;&gt;"")+AND(E82="Implemented/available",P82&lt;&gt;"")+AND(J82="Implemented/available",Q82&lt;&gt;"")+AND(K82="Implemented/available",R82&lt;&gt;"")+AND(L82="Implemented/available",S82&lt;&gt;"")+AND(M82="Implemented/available",T82&lt;&gt;""))/((D82="Implemented/available")+(E82="Implemented/available")+(J82="Implemented/available")+(K82="Implemented/available")+(L82="Implemented/available")+(M82="Implemented/available")))</f>
        <v>0.5</v>
      </c>
    </row>
    <row r="83" spans="1:39" x14ac:dyDescent="0.25">
      <c r="A83" s="6" t="s">
        <v>195</v>
      </c>
      <c r="B83" s="6" t="s">
        <v>196</v>
      </c>
      <c r="C83" s="6" t="s">
        <v>132</v>
      </c>
      <c r="D83" s="6" t="s">
        <v>38</v>
      </c>
      <c r="E83" s="6" t="s">
        <v>44</v>
      </c>
      <c r="F83" s="6" t="s">
        <v>48</v>
      </c>
      <c r="G83" s="6" t="s">
        <v>117</v>
      </c>
      <c r="H83" s="6"/>
      <c r="I83" s="6" t="s">
        <v>60</v>
      </c>
      <c r="J83" s="6" t="s">
        <v>41</v>
      </c>
      <c r="K83" s="6" t="s">
        <v>34</v>
      </c>
      <c r="L83" s="6" t="s">
        <v>38</v>
      </c>
      <c r="M83" s="6" t="s">
        <v>29</v>
      </c>
      <c r="N83" s="6"/>
      <c r="O83" s="6" t="s">
        <v>197</v>
      </c>
      <c r="P83" s="6"/>
      <c r="Q83" s="6"/>
      <c r="R83" s="6"/>
      <c r="S83" s="6"/>
      <c r="T83" s="6" t="s">
        <v>198</v>
      </c>
      <c r="U83" s="6"/>
      <c r="V83" s="12">
        <f>IFERROR(IF(ISNUMBER(INDEX(Parameters!$B$5:$B$14,MATCH(D83,Parameters!$A$5:$A$14,0))),INDEX(Parameters!$B$5:$B$14,MATCH(D83,Parameters!$A$5:$A$14,0)),""),"")</f>
        <v>0.67</v>
      </c>
      <c r="W83" s="12">
        <f>IFERROR(IF(ISNUMBER(INDEX(Parameters!$B$5:$B$14,MATCH(E83,Parameters!$A$5:$A$14,0))),INDEX(Parameters!$B$5:$B$14,MATCH(E83,Parameters!$A$5:$A$14,0)),""),"")</f>
        <v>0</v>
      </c>
      <c r="X83" s="12" t="str">
        <f>IFERROR(IF(ISNUMBER(INDEX(Parameters!$B$5:$B$14,MATCH(F83,Parameters!$A$5:$A$14,0))),INDEX(Parameters!$B$5:$B$14,MATCH(F83,Parameters!$A$5:$A$14,0)),""),"")</f>
        <v/>
      </c>
      <c r="Y83" s="12">
        <f>IF(G83&lt;&gt;"",1,IF(ISNUMBER(Parameters!$B$18),Parameters!$B$18,""))</f>
        <v>1</v>
      </c>
      <c r="Z83" s="12">
        <f>IF(I83&lt;&gt;"",IFERROR(IF(ISNUMBER(INDEX(Parameters!$B$5:$B$14,MATCH(I83,Parameters!$A$5:$A$14,0))),INDEX(Parameters!$B$5:$B$14,MATCH(I83,Parameters!$A$5:$A$14,0)),""),""),IF(ISNUMBER(Parameters!$B$21),Parameters!$B$21,""))</f>
        <v>0.5</v>
      </c>
      <c r="AA83" s="12">
        <f>IFERROR(IF(ISNUMBER(INDEX(Parameters!$B$5:$B$14,MATCH(J83,Parameters!$A$5:$A$14,0))),INDEX(Parameters!$B$5:$B$14,MATCH(J83,Parameters!$A$5:$A$14,0)),""),"")</f>
        <v>0.33</v>
      </c>
      <c r="AB83" s="12">
        <f>IFERROR(IF(ISNUMBER(INDEX(Parameters!$B$5:$B$14,MATCH(K83,Parameters!$A$5:$A$14,0))),INDEX(Parameters!$B$5:$B$14,MATCH(K83,Parameters!$A$5:$A$14,0)),""),"")</f>
        <v>1</v>
      </c>
      <c r="AC83" s="12">
        <f>IFERROR(IF(ISNUMBER(INDEX(Parameters!$B$5:$B$14,MATCH(L83,Parameters!$A$5:$A$14,0))),INDEX(Parameters!$B$5:$B$14,MATCH(L83,Parameters!$A$5:$A$14,0)),""),"")</f>
        <v>0.67</v>
      </c>
      <c r="AD83" s="12">
        <f>IFERROR(IF(ISNUMBER(INDEX(Parameters!$B$5:$B$14,MATCH(M83,Parameters!$A$5:$A$14,0))),INDEX(Parameters!$B$5:$B$14,MATCH(M83,Parameters!$A$5:$A$14,0)),""),"")</f>
        <v>1</v>
      </c>
      <c r="AE83" s="12">
        <f>IF(N83&lt;&gt;"",1,IF(ISNUMBER(Parameters!$B$19),Parameters!$B$19,""))</f>
        <v>0</v>
      </c>
      <c r="AF83" s="12">
        <f>IF((Parameters!$I$5*ISNUMBER(V83)+Parameters!$I$6*ISNUMBER(W83)+Parameters!$I$7*ISNUMBER(X83)+Parameters!$I$8*ISNUMBER(Y83))=0,"",(Parameters!$I$5*N(V83)+Parameters!$I$6*N(W83)+Parameters!$I$7*N(X83)+Parameters!$I$8*N(Y83))/(Parameters!$I$5*ISNUMBER(V83)+Parameters!$I$6*ISNUMBER(W83)+Parameters!$I$7*ISNUMBER(X83)+Parameters!$I$8*ISNUMBER(Y83)))</f>
        <v>0.50124999999999997</v>
      </c>
      <c r="AG83" s="12">
        <f>IF((Parameters!$I$9*ISNUMBER(Z83))=0,"",(Parameters!$I$9*N(Z83))/(Parameters!$I$9*ISNUMBER(Z83)))</f>
        <v>0.5</v>
      </c>
      <c r="AH83" s="12">
        <f>IF((Parameters!$I$11*ISNUMBER(AA83)+Parameters!$I$12*ISNUMBER(AB83)+Parameters!$I$13*ISNUMBER(AC83)+Parameters!$I$14*ISNUMBER(AD83)+Parameters!$I$15*ISNUMBER(AE83))=0,"",(Parameters!$I$11*N(AA83)+Parameters!$I$12*N(AB83)+Parameters!$I$13*N(AC83)+Parameters!$I$14*N(AD83)+Parameters!$I$15*N(AE83))/(Parameters!$I$11*ISNUMBER(AA83)+Parameters!$I$12*ISNUMBER(AB83)+Parameters!$I$13*ISNUMBER(AC83)+Parameters!$I$14*ISNUMBER(AD83)+Parameters!$I$15*ISNUMBER(AE83)))</f>
        <v>0.6</v>
      </c>
      <c r="AI83" s="13">
        <f>Parameters!$I$5*ISNUMBER(V83)+Parameters!$I$6*ISNUMBER(W83)+Parameters!$I$7*ISNUMBER(X83)+Parameters!$I$8*ISNUMBER(Y83)+Parameters!$I$9*ISNUMBER(Z83)+Parameters!$I$11*ISNUMBER(AA83)+Parameters!$I$12*ISNUMBER(AB83)+Parameters!$I$13*ISNUMBER(AC83)+Parameters!$I$14*ISNUMBER(AD83)+Parameters!$I$15*ISNUMBER(AE83)</f>
        <v>87</v>
      </c>
      <c r="AJ83" s="14">
        <f>IF((Parameters!$I$5+Parameters!$I$6+Parameters!$I$7+Parameters!$I$8+Parameters!$I$9+Parameters!$I$11+Parameters!$I$12+Parameters!$I$13+Parameters!$I$14+Parameters!$I$15)=0,"",AI83/(Parameters!$I$5+Parameters!$I$6+Parameters!$I$7+Parameters!$I$8+Parameters!$I$9+Parameters!$I$11+Parameters!$I$12+Parameters!$I$13+Parameters!$I$14+Parameters!$I$15))</f>
        <v>0.91578947368421049</v>
      </c>
      <c r="AK83" s="15">
        <f>IF(AND(ISNUMBER(AF83),ISNUMBER(AH83),OR(NOT((Parameters!$I$9)&gt;0),ISNUMBER(AG83)),AJ83&gt;=Parameters!$B$20),100*(Parameters!$F$18*N(AF83)+Parameters!$F$19*N(AG83)+Parameters!$F$20*N(AH83))/(Parameters!$F$18*ISNUMBER(AF83)+Parameters!$F$19*ISNUMBER(AG83)+Parameters!$F$20*ISNUMBER(AH83)),"")</f>
        <v>53.55</v>
      </c>
      <c r="AL83" s="16">
        <f>IF(ISNUMBER(AK83),RANK(AK83,$AK$2:$AK$113),"")</f>
        <v>82</v>
      </c>
      <c r="AM83" s="14">
        <f>IF(((D83="Implemented/available")+(E83="Implemented/available")+(J83="Implemented/available")+(K83="Implemented/available")+(L83="Implemented/available")+(M83="Implemented/available"))=0,"",(AND(D83="Implemented/available",O83&lt;&gt;"")+AND(E83="Implemented/available",P83&lt;&gt;"")+AND(J83="Implemented/available",Q83&lt;&gt;"")+AND(K83="Implemented/available",R83&lt;&gt;"")+AND(L83="Implemented/available",S83&lt;&gt;"")+AND(M83="Implemented/available",T83&lt;&gt;""))/((D83="Implemented/available")+(E83="Implemented/available")+(J83="Implemented/available")+(K83="Implemented/available")+(L83="Implemented/available")+(M83="Implemented/available")))</f>
        <v>1</v>
      </c>
    </row>
    <row r="84" spans="1:39" x14ac:dyDescent="0.25">
      <c r="A84" s="6" t="s">
        <v>228</v>
      </c>
      <c r="B84" s="6" t="s">
        <v>224</v>
      </c>
      <c r="C84" s="6" t="s">
        <v>151</v>
      </c>
      <c r="D84" s="6" t="s">
        <v>29</v>
      </c>
      <c r="E84" s="6" t="s">
        <v>41</v>
      </c>
      <c r="F84" s="6" t="s">
        <v>44</v>
      </c>
      <c r="G84" s="6" t="s">
        <v>184</v>
      </c>
      <c r="H84" s="6"/>
      <c r="I84" s="6" t="s">
        <v>60</v>
      </c>
      <c r="J84" s="6" t="s">
        <v>41</v>
      </c>
      <c r="K84" s="6" t="s">
        <v>34</v>
      </c>
      <c r="L84" s="6" t="s">
        <v>29</v>
      </c>
      <c r="M84" s="6" t="s">
        <v>44</v>
      </c>
      <c r="N84" s="6"/>
      <c r="O84" s="6" t="s">
        <v>229</v>
      </c>
      <c r="P84" s="6"/>
      <c r="Q84" s="6"/>
      <c r="R84" s="6"/>
      <c r="S84" s="6" t="s">
        <v>227</v>
      </c>
      <c r="T84" s="6"/>
      <c r="U84" s="6"/>
      <c r="V84" s="12">
        <f>IFERROR(IF(ISNUMBER(INDEX(Parameters!$B$5:$B$14,MATCH(D84,Parameters!$A$5:$A$14,0))),INDEX(Parameters!$B$5:$B$14,MATCH(D84,Parameters!$A$5:$A$14,0)),""),"")</f>
        <v>1</v>
      </c>
      <c r="W84" s="12">
        <f>IFERROR(IF(ISNUMBER(INDEX(Parameters!$B$5:$B$14,MATCH(E84,Parameters!$A$5:$A$14,0))),INDEX(Parameters!$B$5:$B$14,MATCH(E84,Parameters!$A$5:$A$14,0)),""),"")</f>
        <v>0.33</v>
      </c>
      <c r="X84" s="12">
        <f>IFERROR(IF(ISNUMBER(INDEX(Parameters!$B$5:$B$14,MATCH(F84,Parameters!$A$5:$A$14,0))),INDEX(Parameters!$B$5:$B$14,MATCH(F84,Parameters!$A$5:$A$14,0)),""),"")</f>
        <v>0</v>
      </c>
      <c r="Y84" s="12">
        <f>IF(G84&lt;&gt;"",1,IF(ISNUMBER(Parameters!$B$18),Parameters!$B$18,""))</f>
        <v>1</v>
      </c>
      <c r="Z84" s="12">
        <f>IF(I84&lt;&gt;"",IFERROR(IF(ISNUMBER(INDEX(Parameters!$B$5:$B$14,MATCH(I84,Parameters!$A$5:$A$14,0))),INDEX(Parameters!$B$5:$B$14,MATCH(I84,Parameters!$A$5:$A$14,0)),""),""),IF(ISNUMBER(Parameters!$B$21),Parameters!$B$21,""))</f>
        <v>0.5</v>
      </c>
      <c r="AA84" s="12">
        <f>IFERROR(IF(ISNUMBER(INDEX(Parameters!$B$5:$B$14,MATCH(J84,Parameters!$A$5:$A$14,0))),INDEX(Parameters!$B$5:$B$14,MATCH(J84,Parameters!$A$5:$A$14,0)),""),"")</f>
        <v>0.33</v>
      </c>
      <c r="AB84" s="12">
        <f>IFERROR(IF(ISNUMBER(INDEX(Parameters!$B$5:$B$14,MATCH(K84,Parameters!$A$5:$A$14,0))),INDEX(Parameters!$B$5:$B$14,MATCH(K84,Parameters!$A$5:$A$14,0)),""),"")</f>
        <v>1</v>
      </c>
      <c r="AC84" s="12">
        <f>IFERROR(IF(ISNUMBER(INDEX(Parameters!$B$5:$B$14,MATCH(L84,Parameters!$A$5:$A$14,0))),INDEX(Parameters!$B$5:$B$14,MATCH(L84,Parameters!$A$5:$A$14,0)),""),"")</f>
        <v>1</v>
      </c>
      <c r="AD84" s="12">
        <f>IFERROR(IF(ISNUMBER(INDEX(Parameters!$B$5:$B$14,MATCH(M84,Parameters!$A$5:$A$14,0))),INDEX(Parameters!$B$5:$B$14,MATCH(M84,Parameters!$A$5:$A$14,0)),""),"")</f>
        <v>0</v>
      </c>
      <c r="AE84" s="12">
        <f>IF(N84&lt;&gt;"",1,IF(ISNUMBER(Parameters!$B$19),Parameters!$B$19,""))</f>
        <v>0</v>
      </c>
      <c r="AF84" s="12">
        <f>IF((Parameters!$I$5*ISNUMBER(V84)+Parameters!$I$6*ISNUMBER(W84)+Parameters!$I$7*ISNUMBER(X84)+Parameters!$I$8*ISNUMBER(Y84))=0,"",(Parameters!$I$5*N(V84)+Parameters!$I$6*N(W84)+Parameters!$I$7*N(X84)+Parameters!$I$8*N(Y84))/(Parameters!$I$5*ISNUMBER(V84)+Parameters!$I$6*ISNUMBER(W84)+Parameters!$I$7*ISNUMBER(X84)+Parameters!$I$8*ISNUMBER(Y84)))</f>
        <v>0.59899999999999998</v>
      </c>
      <c r="AG84" s="12">
        <f>IF((Parameters!$I$9*ISNUMBER(Z84))=0,"",(Parameters!$I$9*N(Z84))/(Parameters!$I$9*ISNUMBER(Z84)))</f>
        <v>0.5</v>
      </c>
      <c r="AH84" s="12">
        <f>IF((Parameters!$I$11*ISNUMBER(AA84)+Parameters!$I$12*ISNUMBER(AB84)+Parameters!$I$13*ISNUMBER(AC84)+Parameters!$I$14*ISNUMBER(AD84)+Parameters!$I$15*ISNUMBER(AE84))=0,"",(Parameters!$I$11*N(AA84)+Parameters!$I$12*N(AB84)+Parameters!$I$13*N(AC84)+Parameters!$I$14*N(AD84)+Parameters!$I$15*N(AE84))/(Parameters!$I$11*ISNUMBER(AA84)+Parameters!$I$12*ISNUMBER(AB84)+Parameters!$I$13*ISNUMBER(AC84)+Parameters!$I$14*ISNUMBER(AD84)+Parameters!$I$15*ISNUMBER(AE84)))</f>
        <v>0.46600000000000008</v>
      </c>
      <c r="AI84" s="13">
        <f>Parameters!$I$5*ISNUMBER(V84)+Parameters!$I$6*ISNUMBER(W84)+Parameters!$I$7*ISNUMBER(X84)+Parameters!$I$8*ISNUMBER(Y84)+Parameters!$I$9*ISNUMBER(Z84)+Parameters!$I$11*ISNUMBER(AA84)+Parameters!$I$12*ISNUMBER(AB84)+Parameters!$I$13*ISNUMBER(AC84)+Parameters!$I$14*ISNUMBER(AD84)+Parameters!$I$15*ISNUMBER(AE84)</f>
        <v>95</v>
      </c>
      <c r="AJ84" s="14">
        <f>IF((Parameters!$I$5+Parameters!$I$6+Parameters!$I$7+Parameters!$I$8+Parameters!$I$9+Parameters!$I$11+Parameters!$I$12+Parameters!$I$13+Parameters!$I$14+Parameters!$I$15)=0,"",AI84/(Parameters!$I$5+Parameters!$I$6+Parameters!$I$7+Parameters!$I$8+Parameters!$I$9+Parameters!$I$11+Parameters!$I$12+Parameters!$I$13+Parameters!$I$14+Parameters!$I$15))</f>
        <v>1</v>
      </c>
      <c r="AK84" s="15">
        <f>IF(AND(ISNUMBER(AF84),ISNUMBER(AH84),OR(NOT((Parameters!$I$9)&gt;0),ISNUMBER(AG84)),AJ84&gt;=Parameters!$B$20),100*(Parameters!$F$18*N(AF84)+Parameters!$F$19*N(AG84)+Parameters!$F$20*N(AH84))/(Parameters!$F$18*ISNUMBER(AF84)+Parameters!$F$19*ISNUMBER(AG84)+Parameters!$F$20*ISNUMBER(AH84)),"")</f>
        <v>52.77</v>
      </c>
      <c r="AL84" s="16">
        <f>IF(ISNUMBER(AK84),RANK(AK84,$AK$2:$AK$113),"")</f>
        <v>83</v>
      </c>
      <c r="AM84" s="14">
        <f>IF(((D84="Implemented/available")+(E84="Implemented/available")+(J84="Implemented/available")+(K84="Implemented/available")+(L84="Implemented/available")+(M84="Implemented/available"))=0,"",(AND(D84="Implemented/available",O84&lt;&gt;"")+AND(E84="Implemented/available",P84&lt;&gt;"")+AND(J84="Implemented/available",Q84&lt;&gt;"")+AND(K84="Implemented/available",R84&lt;&gt;"")+AND(L84="Implemented/available",S84&lt;&gt;"")+AND(M84="Implemented/available",T84&lt;&gt;""))/((D84="Implemented/available")+(E84="Implemented/available")+(J84="Implemented/available")+(K84="Implemented/available")+(L84="Implemented/available")+(M84="Implemented/available")))</f>
        <v>1</v>
      </c>
    </row>
    <row r="85" spans="1:39" x14ac:dyDescent="0.25">
      <c r="A85" s="6" t="s">
        <v>408</v>
      </c>
      <c r="B85" s="6" t="s">
        <v>409</v>
      </c>
      <c r="C85" s="6" t="s">
        <v>410</v>
      </c>
      <c r="D85" s="6" t="s">
        <v>29</v>
      </c>
      <c r="E85" s="6" t="s">
        <v>38</v>
      </c>
      <c r="F85" s="6" t="s">
        <v>29</v>
      </c>
      <c r="G85" s="6" t="s">
        <v>117</v>
      </c>
      <c r="H85" s="6"/>
      <c r="I85" s="6"/>
      <c r="J85" s="6" t="s">
        <v>38</v>
      </c>
      <c r="K85" s="6" t="s">
        <v>29</v>
      </c>
      <c r="L85" s="6" t="s">
        <v>41</v>
      </c>
      <c r="M85" s="6" t="s">
        <v>41</v>
      </c>
      <c r="N85" s="6"/>
      <c r="O85" s="6" t="s">
        <v>411</v>
      </c>
      <c r="P85" s="6"/>
      <c r="Q85" s="6"/>
      <c r="R85" s="6" t="s">
        <v>281</v>
      </c>
      <c r="S85" s="6"/>
      <c r="T85" s="6"/>
      <c r="U85" s="6" t="s">
        <v>411</v>
      </c>
      <c r="V85" s="12">
        <f>IFERROR(IF(ISNUMBER(INDEX(Parameters!$B$5:$B$14,MATCH(D85,Parameters!$A$5:$A$14,0))),INDEX(Parameters!$B$5:$B$14,MATCH(D85,Parameters!$A$5:$A$14,0)),""),"")</f>
        <v>1</v>
      </c>
      <c r="W85" s="12">
        <f>IFERROR(IF(ISNUMBER(INDEX(Parameters!$B$5:$B$14,MATCH(E85,Parameters!$A$5:$A$14,0))),INDEX(Parameters!$B$5:$B$14,MATCH(E85,Parameters!$A$5:$A$14,0)),""),"")</f>
        <v>0.67</v>
      </c>
      <c r="X85" s="12">
        <f>IFERROR(IF(ISNUMBER(INDEX(Parameters!$B$5:$B$14,MATCH(F85,Parameters!$A$5:$A$14,0))),INDEX(Parameters!$B$5:$B$14,MATCH(F85,Parameters!$A$5:$A$14,0)),""),"")</f>
        <v>1</v>
      </c>
      <c r="Y85" s="12">
        <f>IF(G85&lt;&gt;"",1,IF(ISNUMBER(Parameters!$B$18),Parameters!$B$18,""))</f>
        <v>1</v>
      </c>
      <c r="Z85" s="12">
        <f>IF(I85&lt;&gt;"",IFERROR(IF(ISNUMBER(INDEX(Parameters!$B$5:$B$14,MATCH(I85,Parameters!$A$5:$A$14,0))),INDEX(Parameters!$B$5:$B$14,MATCH(I85,Parameters!$A$5:$A$14,0)),""),""),IF(ISNUMBER(Parameters!$B$21),Parameters!$B$21,""))</f>
        <v>0</v>
      </c>
      <c r="AA85" s="12">
        <f>IFERROR(IF(ISNUMBER(INDEX(Parameters!$B$5:$B$14,MATCH(J85,Parameters!$A$5:$A$14,0))),INDEX(Parameters!$B$5:$B$14,MATCH(J85,Parameters!$A$5:$A$14,0)),""),"")</f>
        <v>0.67</v>
      </c>
      <c r="AB85" s="12">
        <f>IFERROR(IF(ISNUMBER(INDEX(Parameters!$B$5:$B$14,MATCH(K85,Parameters!$A$5:$A$14,0))),INDEX(Parameters!$B$5:$B$14,MATCH(K85,Parameters!$A$5:$A$14,0)),""),"")</f>
        <v>1</v>
      </c>
      <c r="AC85" s="12">
        <f>IFERROR(IF(ISNUMBER(INDEX(Parameters!$B$5:$B$14,MATCH(L85,Parameters!$A$5:$A$14,0))),INDEX(Parameters!$B$5:$B$14,MATCH(L85,Parameters!$A$5:$A$14,0)),""),"")</f>
        <v>0.33</v>
      </c>
      <c r="AD85" s="12">
        <f>IFERROR(IF(ISNUMBER(INDEX(Parameters!$B$5:$B$14,MATCH(M85,Parameters!$A$5:$A$14,0))),INDEX(Parameters!$B$5:$B$14,MATCH(M85,Parameters!$A$5:$A$14,0)),""),"")</f>
        <v>0.33</v>
      </c>
      <c r="AE85" s="12">
        <f>IF(N85&lt;&gt;"",1,IF(ISNUMBER(Parameters!$B$19),Parameters!$B$19,""))</f>
        <v>0</v>
      </c>
      <c r="AF85" s="12">
        <f>IF((Parameters!$I$5*ISNUMBER(V85)+Parameters!$I$6*ISNUMBER(W85)+Parameters!$I$7*ISNUMBER(X85)+Parameters!$I$8*ISNUMBER(Y85))=0,"",(Parameters!$I$5*N(V85)+Parameters!$I$6*N(W85)+Parameters!$I$7*N(X85)+Parameters!$I$8*N(Y85))/(Parameters!$I$5*ISNUMBER(V85)+Parameters!$I$6*ISNUMBER(W85)+Parameters!$I$7*ISNUMBER(X85)+Parameters!$I$8*ISNUMBER(Y85)))</f>
        <v>0.90100000000000002</v>
      </c>
      <c r="AG85" s="12">
        <f>IF((Parameters!$I$9*ISNUMBER(Z85))=0,"",(Parameters!$I$9*N(Z85))/(Parameters!$I$9*ISNUMBER(Z85)))</f>
        <v>0</v>
      </c>
      <c r="AH85" s="12">
        <f>IF((Parameters!$I$11*ISNUMBER(AA85)+Parameters!$I$12*ISNUMBER(AB85)+Parameters!$I$13*ISNUMBER(AC85)+Parameters!$I$14*ISNUMBER(AD85)+Parameters!$I$15*ISNUMBER(AE85))=0,"",(Parameters!$I$11*N(AA85)+Parameters!$I$12*N(AB85)+Parameters!$I$13*N(AC85)+Parameters!$I$14*N(AD85)+Parameters!$I$15*N(AE85))/(Parameters!$I$11*ISNUMBER(AA85)+Parameters!$I$12*ISNUMBER(AB85)+Parameters!$I$13*ISNUMBER(AC85)+Parameters!$I$14*ISNUMBER(AD85)+Parameters!$I$15*ISNUMBER(AE85)))</f>
        <v>0.46600000000000008</v>
      </c>
      <c r="AI85" s="13">
        <f>Parameters!$I$5*ISNUMBER(V85)+Parameters!$I$6*ISNUMBER(W85)+Parameters!$I$7*ISNUMBER(X85)+Parameters!$I$8*ISNUMBER(Y85)+Parameters!$I$9*ISNUMBER(Z85)+Parameters!$I$11*ISNUMBER(AA85)+Parameters!$I$12*ISNUMBER(AB85)+Parameters!$I$13*ISNUMBER(AC85)+Parameters!$I$14*ISNUMBER(AD85)+Parameters!$I$15*ISNUMBER(AE85)</f>
        <v>95</v>
      </c>
      <c r="AJ85" s="14">
        <f>IF((Parameters!$I$5+Parameters!$I$6+Parameters!$I$7+Parameters!$I$8+Parameters!$I$9+Parameters!$I$11+Parameters!$I$12+Parameters!$I$13+Parameters!$I$14+Parameters!$I$15)=0,"",AI85/(Parameters!$I$5+Parameters!$I$6+Parameters!$I$7+Parameters!$I$8+Parameters!$I$9+Parameters!$I$11+Parameters!$I$12+Parameters!$I$13+Parameters!$I$14+Parameters!$I$15))</f>
        <v>1</v>
      </c>
      <c r="AK85" s="15">
        <f>IF(AND(ISNUMBER(AF85),ISNUMBER(AH85),OR(NOT((Parameters!$I$9)&gt;0),ISNUMBER(AG85)),AJ85&gt;=Parameters!$B$20),100*(Parameters!$F$18*N(AF85)+Parameters!$F$19*N(AG85)+Parameters!$F$20*N(AH85))/(Parameters!$F$18*ISNUMBER(AF85)+Parameters!$F$19*ISNUMBER(AG85)+Parameters!$F$20*ISNUMBER(AH85)),"")</f>
        <v>52.350000000000009</v>
      </c>
      <c r="AL85" s="16">
        <f>IF(ISNUMBER(AK85),RANK(AK85,$AK$2:$AK$113),"")</f>
        <v>84</v>
      </c>
      <c r="AM85" s="14">
        <f>IF(((D85="Implemented/available")+(E85="Implemented/available")+(J85="Implemented/available")+(K85="Implemented/available")+(L85="Implemented/available")+(M85="Implemented/available"))=0,"",(AND(D85="Implemented/available",O85&lt;&gt;"")+AND(E85="Implemented/available",P85&lt;&gt;"")+AND(J85="Implemented/available",Q85&lt;&gt;"")+AND(K85="Implemented/available",R85&lt;&gt;"")+AND(L85="Implemented/available",S85&lt;&gt;"")+AND(M85="Implemented/available",T85&lt;&gt;""))/((D85="Implemented/available")+(E85="Implemented/available")+(J85="Implemented/available")+(K85="Implemented/available")+(L85="Implemented/available")+(M85="Implemented/available")))</f>
        <v>1</v>
      </c>
    </row>
    <row r="86" spans="1:39" x14ac:dyDescent="0.25">
      <c r="A86" s="6" t="s">
        <v>653</v>
      </c>
      <c r="B86" s="6" t="s">
        <v>654</v>
      </c>
      <c r="C86" s="6" t="s">
        <v>655</v>
      </c>
      <c r="D86" s="6" t="s">
        <v>38</v>
      </c>
      <c r="E86" s="6" t="s">
        <v>44</v>
      </c>
      <c r="F86" s="6" t="s">
        <v>44</v>
      </c>
      <c r="G86" s="6"/>
      <c r="H86" s="6"/>
      <c r="I86" s="6" t="s">
        <v>32</v>
      </c>
      <c r="J86" s="6" t="s">
        <v>38</v>
      </c>
      <c r="K86" s="6" t="s">
        <v>34</v>
      </c>
      <c r="L86" s="6" t="s">
        <v>41</v>
      </c>
      <c r="M86" s="6" t="s">
        <v>41</v>
      </c>
      <c r="N86" s="6"/>
      <c r="O86" s="6"/>
      <c r="P86" s="6"/>
      <c r="Q86" s="6"/>
      <c r="R86" s="6"/>
      <c r="S86" s="6"/>
      <c r="T86" s="6"/>
      <c r="U86" s="6"/>
      <c r="V86" s="12">
        <f>IFERROR(IF(ISNUMBER(INDEX(Parameters!$B$5:$B$14,MATCH(D86,Parameters!$A$5:$A$14,0))),INDEX(Parameters!$B$5:$B$14,MATCH(D86,Parameters!$A$5:$A$14,0)),""),"")</f>
        <v>0.67</v>
      </c>
      <c r="W86" s="12">
        <f>IFERROR(IF(ISNUMBER(INDEX(Parameters!$B$5:$B$14,MATCH(E86,Parameters!$A$5:$A$14,0))),INDEX(Parameters!$B$5:$B$14,MATCH(E86,Parameters!$A$5:$A$14,0)),""),"")</f>
        <v>0</v>
      </c>
      <c r="X86" s="12">
        <f>IFERROR(IF(ISNUMBER(INDEX(Parameters!$B$5:$B$14,MATCH(F86,Parameters!$A$5:$A$14,0))),INDEX(Parameters!$B$5:$B$14,MATCH(F86,Parameters!$A$5:$A$14,0)),""),"")</f>
        <v>0</v>
      </c>
      <c r="Y86" s="12">
        <f>IF(G86&lt;&gt;"",1,IF(ISNUMBER(Parameters!$B$18),Parameters!$B$18,""))</f>
        <v>0</v>
      </c>
      <c r="Z86" s="12">
        <f>IF(I86&lt;&gt;"",IFERROR(IF(ISNUMBER(INDEX(Parameters!$B$5:$B$14,MATCH(I86,Parameters!$A$5:$A$14,0))),INDEX(Parameters!$B$5:$B$14,MATCH(I86,Parameters!$A$5:$A$14,0)),""),""),IF(ISNUMBER(Parameters!$B$21),Parameters!$B$21,""))</f>
        <v>1</v>
      </c>
      <c r="AA86" s="12">
        <f>IFERROR(IF(ISNUMBER(INDEX(Parameters!$B$5:$B$14,MATCH(J86,Parameters!$A$5:$A$14,0))),INDEX(Parameters!$B$5:$B$14,MATCH(J86,Parameters!$A$5:$A$14,0)),""),"")</f>
        <v>0.67</v>
      </c>
      <c r="AB86" s="12">
        <f>IFERROR(IF(ISNUMBER(INDEX(Parameters!$B$5:$B$14,MATCH(K86,Parameters!$A$5:$A$14,0))),INDEX(Parameters!$B$5:$B$14,MATCH(K86,Parameters!$A$5:$A$14,0)),""),"")</f>
        <v>1</v>
      </c>
      <c r="AC86" s="12">
        <f>IFERROR(IF(ISNUMBER(INDEX(Parameters!$B$5:$B$14,MATCH(L86,Parameters!$A$5:$A$14,0))),INDEX(Parameters!$B$5:$B$14,MATCH(L86,Parameters!$A$5:$A$14,0)),""),"")</f>
        <v>0.33</v>
      </c>
      <c r="AD86" s="12">
        <f>IFERROR(IF(ISNUMBER(INDEX(Parameters!$B$5:$B$14,MATCH(M86,Parameters!$A$5:$A$14,0))),INDEX(Parameters!$B$5:$B$14,MATCH(M86,Parameters!$A$5:$A$14,0)),""),"")</f>
        <v>0.33</v>
      </c>
      <c r="AE86" s="12">
        <f>IF(N86&lt;&gt;"",1,IF(ISNUMBER(Parameters!$B$19),Parameters!$B$19,""))</f>
        <v>0</v>
      </c>
      <c r="AF86" s="12">
        <f>IF((Parameters!$I$5*ISNUMBER(V86)+Parameters!$I$6*ISNUMBER(W86)+Parameters!$I$7*ISNUMBER(X86)+Parameters!$I$8*ISNUMBER(Y86))=0,"",(Parameters!$I$5*N(V86)+Parameters!$I$6*N(W86)+Parameters!$I$7*N(X86)+Parameters!$I$8*N(Y86))/(Parameters!$I$5*ISNUMBER(V86)+Parameters!$I$6*ISNUMBER(W86)+Parameters!$I$7*ISNUMBER(X86)+Parameters!$I$8*ISNUMBER(Y86)))</f>
        <v>0.20100000000000001</v>
      </c>
      <c r="AG86" s="12">
        <f>IF((Parameters!$I$9*ISNUMBER(Z86))=0,"",(Parameters!$I$9*N(Z86))/(Parameters!$I$9*ISNUMBER(Z86)))</f>
        <v>1</v>
      </c>
      <c r="AH86" s="12">
        <f>IF((Parameters!$I$11*ISNUMBER(AA86)+Parameters!$I$12*ISNUMBER(AB86)+Parameters!$I$13*ISNUMBER(AC86)+Parameters!$I$14*ISNUMBER(AD86)+Parameters!$I$15*ISNUMBER(AE86))=0,"",(Parameters!$I$11*N(AA86)+Parameters!$I$12*N(AB86)+Parameters!$I$13*N(AC86)+Parameters!$I$14*N(AD86)+Parameters!$I$15*N(AE86))/(Parameters!$I$11*ISNUMBER(AA86)+Parameters!$I$12*ISNUMBER(AB86)+Parameters!$I$13*ISNUMBER(AC86)+Parameters!$I$14*ISNUMBER(AD86)+Parameters!$I$15*ISNUMBER(AE86)))</f>
        <v>0.46600000000000008</v>
      </c>
      <c r="AI86" s="13">
        <f>Parameters!$I$5*ISNUMBER(V86)+Parameters!$I$6*ISNUMBER(W86)+Parameters!$I$7*ISNUMBER(X86)+Parameters!$I$8*ISNUMBER(Y86)+Parameters!$I$9*ISNUMBER(Z86)+Parameters!$I$11*ISNUMBER(AA86)+Parameters!$I$12*ISNUMBER(AB86)+Parameters!$I$13*ISNUMBER(AC86)+Parameters!$I$14*ISNUMBER(AD86)+Parameters!$I$15*ISNUMBER(AE86)</f>
        <v>95</v>
      </c>
      <c r="AJ86" s="14">
        <f>IF((Parameters!$I$5+Parameters!$I$6+Parameters!$I$7+Parameters!$I$8+Parameters!$I$9+Parameters!$I$11+Parameters!$I$12+Parameters!$I$13+Parameters!$I$14+Parameters!$I$15)=0,"",AI86/(Parameters!$I$5+Parameters!$I$6+Parameters!$I$7+Parameters!$I$8+Parameters!$I$9+Parameters!$I$11+Parameters!$I$12+Parameters!$I$13+Parameters!$I$14+Parameters!$I$15))</f>
        <v>1</v>
      </c>
      <c r="AK86" s="15">
        <f>IF(AND(ISNUMBER(AF86),ISNUMBER(AH86),OR(NOT((Parameters!$I$9)&gt;0),ISNUMBER(AG86)),AJ86&gt;=Parameters!$B$20),100*(Parameters!$F$18*N(AF86)+Parameters!$F$19*N(AG86)+Parameters!$F$20*N(AH86))/(Parameters!$F$18*ISNUMBER(AF86)+Parameters!$F$19*ISNUMBER(AG86)+Parameters!$F$20*ISNUMBER(AH86)),"")</f>
        <v>49.350000000000009</v>
      </c>
      <c r="AL86" s="16">
        <f>IF(ISNUMBER(AK86),RANK(AK86,$AK$2:$AK$113),"")</f>
        <v>85</v>
      </c>
      <c r="AM86" s="14" t="str">
        <f>IF(((D86="Implemented/available")+(E86="Implemented/available")+(J86="Implemented/available")+(K86="Implemented/available")+(L86="Implemented/available")+(M86="Implemented/available"))=0,"",(AND(D86="Implemented/available",O86&lt;&gt;"")+AND(E86="Implemented/available",P86&lt;&gt;"")+AND(J86="Implemented/available",Q86&lt;&gt;"")+AND(K86="Implemented/available",R86&lt;&gt;"")+AND(L86="Implemented/available",S86&lt;&gt;"")+AND(M86="Implemented/available",T86&lt;&gt;""))/((D86="Implemented/available")+(E86="Implemented/available")+(J86="Implemented/available")+(K86="Implemented/available")+(L86="Implemented/available")+(M86="Implemented/available")))</f>
        <v/>
      </c>
    </row>
    <row r="87" spans="1:39" x14ac:dyDescent="0.25">
      <c r="A87" s="6" t="s">
        <v>620</v>
      </c>
      <c r="B87" s="6" t="s">
        <v>621</v>
      </c>
      <c r="C87" s="6" t="s">
        <v>622</v>
      </c>
      <c r="D87" s="6" t="s">
        <v>38</v>
      </c>
      <c r="E87" s="6" t="s">
        <v>38</v>
      </c>
      <c r="F87" s="6" t="s">
        <v>48</v>
      </c>
      <c r="G87" s="6"/>
      <c r="H87" s="6"/>
      <c r="I87" s="6" t="s">
        <v>60</v>
      </c>
      <c r="J87" s="6" t="s">
        <v>41</v>
      </c>
      <c r="K87" s="6" t="s">
        <v>29</v>
      </c>
      <c r="L87" s="6" t="s">
        <v>41</v>
      </c>
      <c r="M87" s="6" t="s">
        <v>38</v>
      </c>
      <c r="N87" s="6"/>
      <c r="O87" s="6"/>
      <c r="P87" s="6"/>
      <c r="Q87" s="6"/>
      <c r="R87" s="6" t="s">
        <v>623</v>
      </c>
      <c r="S87" s="6"/>
      <c r="T87" s="6"/>
      <c r="U87" s="6"/>
      <c r="V87" s="12">
        <f>IFERROR(IF(ISNUMBER(INDEX(Parameters!$B$5:$B$14,MATCH(D87,Parameters!$A$5:$A$14,0))),INDEX(Parameters!$B$5:$B$14,MATCH(D87,Parameters!$A$5:$A$14,0)),""),"")</f>
        <v>0.67</v>
      </c>
      <c r="W87" s="12">
        <f>IFERROR(IF(ISNUMBER(INDEX(Parameters!$B$5:$B$14,MATCH(E87,Parameters!$A$5:$A$14,0))),INDEX(Parameters!$B$5:$B$14,MATCH(E87,Parameters!$A$5:$A$14,0)),""),"")</f>
        <v>0.67</v>
      </c>
      <c r="X87" s="12" t="str">
        <f>IFERROR(IF(ISNUMBER(INDEX(Parameters!$B$5:$B$14,MATCH(F87,Parameters!$A$5:$A$14,0))),INDEX(Parameters!$B$5:$B$14,MATCH(F87,Parameters!$A$5:$A$14,0)),""),"")</f>
        <v/>
      </c>
      <c r="Y87" s="12">
        <f>IF(G87&lt;&gt;"",1,IF(ISNUMBER(Parameters!$B$18),Parameters!$B$18,""))</f>
        <v>0</v>
      </c>
      <c r="Z87" s="12">
        <f>IF(I87&lt;&gt;"",IFERROR(IF(ISNUMBER(INDEX(Parameters!$B$5:$B$14,MATCH(I87,Parameters!$A$5:$A$14,0))),INDEX(Parameters!$B$5:$B$14,MATCH(I87,Parameters!$A$5:$A$14,0)),""),""),IF(ISNUMBER(Parameters!$B$21),Parameters!$B$21,""))</f>
        <v>0.5</v>
      </c>
      <c r="AA87" s="12">
        <f>IFERROR(IF(ISNUMBER(INDEX(Parameters!$B$5:$B$14,MATCH(J87,Parameters!$A$5:$A$14,0))),INDEX(Parameters!$B$5:$B$14,MATCH(J87,Parameters!$A$5:$A$14,0)),""),"")</f>
        <v>0.33</v>
      </c>
      <c r="AB87" s="12">
        <f>IFERROR(IF(ISNUMBER(INDEX(Parameters!$B$5:$B$14,MATCH(K87,Parameters!$A$5:$A$14,0))),INDEX(Parameters!$B$5:$B$14,MATCH(K87,Parameters!$A$5:$A$14,0)),""),"")</f>
        <v>1</v>
      </c>
      <c r="AC87" s="12">
        <f>IFERROR(IF(ISNUMBER(INDEX(Parameters!$B$5:$B$14,MATCH(L87,Parameters!$A$5:$A$14,0))),INDEX(Parameters!$B$5:$B$14,MATCH(L87,Parameters!$A$5:$A$14,0)),""),"")</f>
        <v>0.33</v>
      </c>
      <c r="AD87" s="12">
        <f>IFERROR(IF(ISNUMBER(INDEX(Parameters!$B$5:$B$14,MATCH(M87,Parameters!$A$5:$A$14,0))),INDEX(Parameters!$B$5:$B$14,MATCH(M87,Parameters!$A$5:$A$14,0)),""),"")</f>
        <v>0.67</v>
      </c>
      <c r="AE87" s="12">
        <f>IF(N87&lt;&gt;"",1,IF(ISNUMBER(Parameters!$B$19),Parameters!$B$19,""))</f>
        <v>0</v>
      </c>
      <c r="AF87" s="12">
        <f>IF((Parameters!$I$5*ISNUMBER(V87)+Parameters!$I$6*ISNUMBER(W87)+Parameters!$I$7*ISNUMBER(X87)+Parameters!$I$8*ISNUMBER(Y87))=0,"",(Parameters!$I$5*N(V87)+Parameters!$I$6*N(W87)+Parameters!$I$7*N(X87)+Parameters!$I$8*N(Y87))/(Parameters!$I$5*ISNUMBER(V87)+Parameters!$I$6*ISNUMBER(W87)+Parameters!$I$7*ISNUMBER(X87)+Parameters!$I$8*ISNUMBER(Y87)))</f>
        <v>0.50250000000000006</v>
      </c>
      <c r="AG87" s="12">
        <f>IF((Parameters!$I$9*ISNUMBER(Z87))=0,"",(Parameters!$I$9*N(Z87))/(Parameters!$I$9*ISNUMBER(Z87)))</f>
        <v>0.5</v>
      </c>
      <c r="AH87" s="12">
        <f>IF((Parameters!$I$11*ISNUMBER(AA87)+Parameters!$I$12*ISNUMBER(AB87)+Parameters!$I$13*ISNUMBER(AC87)+Parameters!$I$14*ISNUMBER(AD87)+Parameters!$I$15*ISNUMBER(AE87))=0,"",(Parameters!$I$11*N(AA87)+Parameters!$I$12*N(AB87)+Parameters!$I$13*N(AC87)+Parameters!$I$14*N(AD87)+Parameters!$I$15*N(AE87))/(Parameters!$I$11*ISNUMBER(AA87)+Parameters!$I$12*ISNUMBER(AB87)+Parameters!$I$13*ISNUMBER(AC87)+Parameters!$I$14*ISNUMBER(AD87)+Parameters!$I$15*ISNUMBER(AE87)))</f>
        <v>0.46600000000000008</v>
      </c>
      <c r="AI87" s="13">
        <f>Parameters!$I$5*ISNUMBER(V87)+Parameters!$I$6*ISNUMBER(W87)+Parameters!$I$7*ISNUMBER(X87)+Parameters!$I$8*ISNUMBER(Y87)+Parameters!$I$9*ISNUMBER(Z87)+Parameters!$I$11*ISNUMBER(AA87)+Parameters!$I$12*ISNUMBER(AB87)+Parameters!$I$13*ISNUMBER(AC87)+Parameters!$I$14*ISNUMBER(AD87)+Parameters!$I$15*ISNUMBER(AE87)</f>
        <v>87</v>
      </c>
      <c r="AJ87" s="14">
        <f>IF((Parameters!$I$5+Parameters!$I$6+Parameters!$I$7+Parameters!$I$8+Parameters!$I$9+Parameters!$I$11+Parameters!$I$12+Parameters!$I$13+Parameters!$I$14+Parameters!$I$15)=0,"",AI87/(Parameters!$I$5+Parameters!$I$6+Parameters!$I$7+Parameters!$I$8+Parameters!$I$9+Parameters!$I$11+Parameters!$I$12+Parameters!$I$13+Parameters!$I$14+Parameters!$I$15))</f>
        <v>0.91578947368421049</v>
      </c>
      <c r="AK87" s="15">
        <f>IF(AND(ISNUMBER(AF87),ISNUMBER(AH87),OR(NOT((Parameters!$I$9)&gt;0),ISNUMBER(AG87)),AJ87&gt;=Parameters!$B$20),100*(Parameters!$F$18*N(AF87)+Parameters!$F$19*N(AG87)+Parameters!$F$20*N(AH87))/(Parameters!$F$18*ISNUMBER(AF87)+Parameters!$F$19*ISNUMBER(AG87)+Parameters!$F$20*ISNUMBER(AH87)),"")</f>
        <v>48.910000000000011</v>
      </c>
      <c r="AL87" s="16">
        <f>IF(ISNUMBER(AK87),RANK(AK87,$AK$2:$AK$113),"")</f>
        <v>86</v>
      </c>
      <c r="AM87" s="14">
        <f>IF(((D87="Implemented/available")+(E87="Implemented/available")+(J87="Implemented/available")+(K87="Implemented/available")+(L87="Implemented/available")+(M87="Implemented/available"))=0,"",(AND(D87="Implemented/available",O87&lt;&gt;"")+AND(E87="Implemented/available",P87&lt;&gt;"")+AND(J87="Implemented/available",Q87&lt;&gt;"")+AND(K87="Implemented/available",R87&lt;&gt;"")+AND(L87="Implemented/available",S87&lt;&gt;"")+AND(M87="Implemented/available",T87&lt;&gt;""))/((D87="Implemented/available")+(E87="Implemented/available")+(J87="Implemented/available")+(K87="Implemented/available")+(L87="Implemented/available")+(M87="Implemented/available")))</f>
        <v>1</v>
      </c>
    </row>
    <row r="88" spans="1:39" x14ac:dyDescent="0.25">
      <c r="A88" s="6" t="s">
        <v>114</v>
      </c>
      <c r="B88" s="6" t="s">
        <v>115</v>
      </c>
      <c r="C88" s="6" t="s">
        <v>116</v>
      </c>
      <c r="D88" s="6" t="s">
        <v>38</v>
      </c>
      <c r="E88" s="6" t="s">
        <v>38</v>
      </c>
      <c r="F88" s="6" t="s">
        <v>48</v>
      </c>
      <c r="G88" s="6" t="s">
        <v>117</v>
      </c>
      <c r="H88" s="6"/>
      <c r="I88" s="6"/>
      <c r="J88" s="6" t="s">
        <v>41</v>
      </c>
      <c r="K88" s="6" t="s">
        <v>29</v>
      </c>
      <c r="L88" s="6" t="s">
        <v>41</v>
      </c>
      <c r="M88" s="6" t="s">
        <v>29</v>
      </c>
      <c r="N88" s="6"/>
      <c r="O88" s="6" t="s">
        <v>118</v>
      </c>
      <c r="P88" s="6"/>
      <c r="Q88" s="6"/>
      <c r="R88" s="6" t="s">
        <v>119</v>
      </c>
      <c r="S88" s="6"/>
      <c r="T88" s="6" t="s">
        <v>120</v>
      </c>
      <c r="U88" s="6"/>
      <c r="V88" s="12">
        <f>IFERROR(IF(ISNUMBER(INDEX(Parameters!$B$5:$B$14,MATCH(D88,Parameters!$A$5:$A$14,0))),INDEX(Parameters!$B$5:$B$14,MATCH(D88,Parameters!$A$5:$A$14,0)),""),"")</f>
        <v>0.67</v>
      </c>
      <c r="W88" s="12">
        <f>IFERROR(IF(ISNUMBER(INDEX(Parameters!$B$5:$B$14,MATCH(E88,Parameters!$A$5:$A$14,0))),INDEX(Parameters!$B$5:$B$14,MATCH(E88,Parameters!$A$5:$A$14,0)),""),"")</f>
        <v>0.67</v>
      </c>
      <c r="X88" s="12" t="str">
        <f>IFERROR(IF(ISNUMBER(INDEX(Parameters!$B$5:$B$14,MATCH(F88,Parameters!$A$5:$A$14,0))),INDEX(Parameters!$B$5:$B$14,MATCH(F88,Parameters!$A$5:$A$14,0)),""),"")</f>
        <v/>
      </c>
      <c r="Y88" s="12">
        <f>IF(G88&lt;&gt;"",1,IF(ISNUMBER(Parameters!$B$18),Parameters!$B$18,""))</f>
        <v>1</v>
      </c>
      <c r="Z88" s="12">
        <f>IF(I88&lt;&gt;"",IFERROR(IF(ISNUMBER(INDEX(Parameters!$B$5:$B$14,MATCH(I88,Parameters!$A$5:$A$14,0))),INDEX(Parameters!$B$5:$B$14,MATCH(I88,Parameters!$A$5:$A$14,0)),""),""),IF(ISNUMBER(Parameters!$B$21),Parameters!$B$21,""))</f>
        <v>0</v>
      </c>
      <c r="AA88" s="12">
        <f>IFERROR(IF(ISNUMBER(INDEX(Parameters!$B$5:$B$14,MATCH(J88,Parameters!$A$5:$A$14,0))),INDEX(Parameters!$B$5:$B$14,MATCH(J88,Parameters!$A$5:$A$14,0)),""),"")</f>
        <v>0.33</v>
      </c>
      <c r="AB88" s="12">
        <f>IFERROR(IF(ISNUMBER(INDEX(Parameters!$B$5:$B$14,MATCH(K88,Parameters!$A$5:$A$14,0))),INDEX(Parameters!$B$5:$B$14,MATCH(K88,Parameters!$A$5:$A$14,0)),""),"")</f>
        <v>1</v>
      </c>
      <c r="AC88" s="12">
        <f>IFERROR(IF(ISNUMBER(INDEX(Parameters!$B$5:$B$14,MATCH(L88,Parameters!$A$5:$A$14,0))),INDEX(Parameters!$B$5:$B$14,MATCH(L88,Parameters!$A$5:$A$14,0)),""),"")</f>
        <v>0.33</v>
      </c>
      <c r="AD88" s="12">
        <f>IFERROR(IF(ISNUMBER(INDEX(Parameters!$B$5:$B$14,MATCH(M88,Parameters!$A$5:$A$14,0))),INDEX(Parameters!$B$5:$B$14,MATCH(M88,Parameters!$A$5:$A$14,0)),""),"")</f>
        <v>1</v>
      </c>
      <c r="AE88" s="12">
        <f>IF(N88&lt;&gt;"",1,IF(ISNUMBER(Parameters!$B$19),Parameters!$B$19,""))</f>
        <v>0</v>
      </c>
      <c r="AF88" s="12">
        <f>IF((Parameters!$I$5*ISNUMBER(V88)+Parameters!$I$6*ISNUMBER(W88)+Parameters!$I$7*ISNUMBER(X88)+Parameters!$I$8*ISNUMBER(Y88))=0,"",(Parameters!$I$5*N(V88)+Parameters!$I$6*N(W88)+Parameters!$I$7*N(X88)+Parameters!$I$8*N(Y88))/(Parameters!$I$5*ISNUMBER(V88)+Parameters!$I$6*ISNUMBER(W88)+Parameters!$I$7*ISNUMBER(X88)+Parameters!$I$8*ISNUMBER(Y88)))</f>
        <v>0.75250000000000006</v>
      </c>
      <c r="AG88" s="12">
        <f>IF((Parameters!$I$9*ISNUMBER(Z88))=0,"",(Parameters!$I$9*N(Z88))/(Parameters!$I$9*ISNUMBER(Z88)))</f>
        <v>0</v>
      </c>
      <c r="AH88" s="12">
        <f>IF((Parameters!$I$11*ISNUMBER(AA88)+Parameters!$I$12*ISNUMBER(AB88)+Parameters!$I$13*ISNUMBER(AC88)+Parameters!$I$14*ISNUMBER(AD88)+Parameters!$I$15*ISNUMBER(AE88))=0,"",(Parameters!$I$11*N(AA88)+Parameters!$I$12*N(AB88)+Parameters!$I$13*N(AC88)+Parameters!$I$14*N(AD88)+Parameters!$I$15*N(AE88))/(Parameters!$I$11*ISNUMBER(AA88)+Parameters!$I$12*ISNUMBER(AB88)+Parameters!$I$13*ISNUMBER(AC88)+Parameters!$I$14*ISNUMBER(AD88)+Parameters!$I$15*ISNUMBER(AE88)))</f>
        <v>0.53200000000000003</v>
      </c>
      <c r="AI88" s="13">
        <f>Parameters!$I$5*ISNUMBER(V88)+Parameters!$I$6*ISNUMBER(W88)+Parameters!$I$7*ISNUMBER(X88)+Parameters!$I$8*ISNUMBER(Y88)+Parameters!$I$9*ISNUMBER(Z88)+Parameters!$I$11*ISNUMBER(AA88)+Parameters!$I$12*ISNUMBER(AB88)+Parameters!$I$13*ISNUMBER(AC88)+Parameters!$I$14*ISNUMBER(AD88)+Parameters!$I$15*ISNUMBER(AE88)</f>
        <v>87</v>
      </c>
      <c r="AJ88" s="14">
        <f>IF((Parameters!$I$5+Parameters!$I$6+Parameters!$I$7+Parameters!$I$8+Parameters!$I$9+Parameters!$I$11+Parameters!$I$12+Parameters!$I$13+Parameters!$I$14+Parameters!$I$15)=0,"",AI88/(Parameters!$I$5+Parameters!$I$6+Parameters!$I$7+Parameters!$I$8+Parameters!$I$9+Parameters!$I$11+Parameters!$I$12+Parameters!$I$13+Parameters!$I$14+Parameters!$I$15))</f>
        <v>0.91578947368421049</v>
      </c>
      <c r="AK88" s="15">
        <f>IF(AND(ISNUMBER(AF88),ISNUMBER(AH88),OR(NOT((Parameters!$I$9)&gt;0),ISNUMBER(AG88)),AJ88&gt;=Parameters!$B$20),100*(Parameters!$F$18*N(AF88)+Parameters!$F$19*N(AG88)+Parameters!$F$20*N(AH88))/(Parameters!$F$18*ISNUMBER(AF88)+Parameters!$F$19*ISNUMBER(AG88)+Parameters!$F$20*ISNUMBER(AH88)),"")</f>
        <v>48.720000000000006</v>
      </c>
      <c r="AL88" s="16">
        <f>IF(ISNUMBER(AK88),RANK(AK88,$AK$2:$AK$113),"")</f>
        <v>87</v>
      </c>
      <c r="AM88" s="14">
        <f>IF(((D88="Implemented/available")+(E88="Implemented/available")+(J88="Implemented/available")+(K88="Implemented/available")+(L88="Implemented/available")+(M88="Implemented/available"))=0,"",(AND(D88="Implemented/available",O88&lt;&gt;"")+AND(E88="Implemented/available",P88&lt;&gt;"")+AND(J88="Implemented/available",Q88&lt;&gt;"")+AND(K88="Implemented/available",R88&lt;&gt;"")+AND(L88="Implemented/available",S88&lt;&gt;"")+AND(M88="Implemented/available",T88&lt;&gt;""))/((D88="Implemented/available")+(E88="Implemented/available")+(J88="Implemented/available")+(K88="Implemented/available")+(L88="Implemented/available")+(M88="Implemented/available")))</f>
        <v>1</v>
      </c>
    </row>
    <row r="89" spans="1:39" x14ac:dyDescent="0.25">
      <c r="A89" s="6" t="s">
        <v>356</v>
      </c>
      <c r="B89" s="6" t="s">
        <v>357</v>
      </c>
      <c r="C89" s="6" t="s">
        <v>138</v>
      </c>
      <c r="D89" s="6" t="s">
        <v>38</v>
      </c>
      <c r="E89" s="6" t="s">
        <v>44</v>
      </c>
      <c r="F89" s="6" t="s">
        <v>44</v>
      </c>
      <c r="G89" s="6"/>
      <c r="H89" s="6" t="s">
        <v>76</v>
      </c>
      <c r="I89" s="6" t="s">
        <v>60</v>
      </c>
      <c r="J89" s="6" t="s">
        <v>38</v>
      </c>
      <c r="K89" s="6" t="s">
        <v>29</v>
      </c>
      <c r="L89" s="6" t="s">
        <v>41</v>
      </c>
      <c r="M89" s="6" t="s">
        <v>29</v>
      </c>
      <c r="N89" s="6" t="s">
        <v>139</v>
      </c>
      <c r="O89" s="6"/>
      <c r="P89" s="6"/>
      <c r="Q89" s="6"/>
      <c r="R89" s="6" t="s">
        <v>358</v>
      </c>
      <c r="S89" s="6"/>
      <c r="T89" s="6" t="s">
        <v>359</v>
      </c>
      <c r="U89" s="6"/>
      <c r="V89" s="12">
        <f>IFERROR(IF(ISNUMBER(INDEX(Parameters!$B$5:$B$14,MATCH(D89,Parameters!$A$5:$A$14,0))),INDEX(Parameters!$B$5:$B$14,MATCH(D89,Parameters!$A$5:$A$14,0)),""),"")</f>
        <v>0.67</v>
      </c>
      <c r="W89" s="12">
        <f>IFERROR(IF(ISNUMBER(INDEX(Parameters!$B$5:$B$14,MATCH(E89,Parameters!$A$5:$A$14,0))),INDEX(Parameters!$B$5:$B$14,MATCH(E89,Parameters!$A$5:$A$14,0)),""),"")</f>
        <v>0</v>
      </c>
      <c r="X89" s="12">
        <f>IFERROR(IF(ISNUMBER(INDEX(Parameters!$B$5:$B$14,MATCH(F89,Parameters!$A$5:$A$14,0))),INDEX(Parameters!$B$5:$B$14,MATCH(F89,Parameters!$A$5:$A$14,0)),""),"")</f>
        <v>0</v>
      </c>
      <c r="Y89" s="12">
        <f>IF(G89&lt;&gt;"",1,IF(ISNUMBER(Parameters!$B$18),Parameters!$B$18,""))</f>
        <v>0</v>
      </c>
      <c r="Z89" s="12">
        <f>IF(I89&lt;&gt;"",IFERROR(IF(ISNUMBER(INDEX(Parameters!$B$5:$B$14,MATCH(I89,Parameters!$A$5:$A$14,0))),INDEX(Parameters!$B$5:$B$14,MATCH(I89,Parameters!$A$5:$A$14,0)),""),""),IF(ISNUMBER(Parameters!$B$21),Parameters!$B$21,""))</f>
        <v>0.5</v>
      </c>
      <c r="AA89" s="12">
        <f>IFERROR(IF(ISNUMBER(INDEX(Parameters!$B$5:$B$14,MATCH(J89,Parameters!$A$5:$A$14,0))),INDEX(Parameters!$B$5:$B$14,MATCH(J89,Parameters!$A$5:$A$14,0)),""),"")</f>
        <v>0.67</v>
      </c>
      <c r="AB89" s="12">
        <f>IFERROR(IF(ISNUMBER(INDEX(Parameters!$B$5:$B$14,MATCH(K89,Parameters!$A$5:$A$14,0))),INDEX(Parameters!$B$5:$B$14,MATCH(K89,Parameters!$A$5:$A$14,0)),""),"")</f>
        <v>1</v>
      </c>
      <c r="AC89" s="12">
        <f>IFERROR(IF(ISNUMBER(INDEX(Parameters!$B$5:$B$14,MATCH(L89,Parameters!$A$5:$A$14,0))),INDEX(Parameters!$B$5:$B$14,MATCH(L89,Parameters!$A$5:$A$14,0)),""),"")</f>
        <v>0.33</v>
      </c>
      <c r="AD89" s="12">
        <f>IFERROR(IF(ISNUMBER(INDEX(Parameters!$B$5:$B$14,MATCH(M89,Parameters!$A$5:$A$14,0))),INDEX(Parameters!$B$5:$B$14,MATCH(M89,Parameters!$A$5:$A$14,0)),""),"")</f>
        <v>1</v>
      </c>
      <c r="AE89" s="12">
        <f>IF(N89&lt;&gt;"",1,IF(ISNUMBER(Parameters!$B$19),Parameters!$B$19,""))</f>
        <v>1</v>
      </c>
      <c r="AF89" s="12">
        <f>IF((Parameters!$I$5*ISNUMBER(V89)+Parameters!$I$6*ISNUMBER(W89)+Parameters!$I$7*ISNUMBER(X89)+Parameters!$I$8*ISNUMBER(Y89))=0,"",(Parameters!$I$5*N(V89)+Parameters!$I$6*N(W89)+Parameters!$I$7*N(X89)+Parameters!$I$8*N(Y89))/(Parameters!$I$5*ISNUMBER(V89)+Parameters!$I$6*ISNUMBER(W89)+Parameters!$I$7*ISNUMBER(X89)+Parameters!$I$8*ISNUMBER(Y89)))</f>
        <v>0.20100000000000001</v>
      </c>
      <c r="AG89" s="12">
        <f>IF((Parameters!$I$9*ISNUMBER(Z89))=0,"",(Parameters!$I$9*N(Z89))/(Parameters!$I$9*ISNUMBER(Z89)))</f>
        <v>0.5</v>
      </c>
      <c r="AH89" s="12">
        <f>IF((Parameters!$I$11*ISNUMBER(AA89)+Parameters!$I$12*ISNUMBER(AB89)+Parameters!$I$13*ISNUMBER(AC89)+Parameters!$I$14*ISNUMBER(AD89)+Parameters!$I$15*ISNUMBER(AE89))=0,"",(Parameters!$I$11*N(AA89)+Parameters!$I$12*N(AB89)+Parameters!$I$13*N(AC89)+Parameters!$I$14*N(AD89)+Parameters!$I$15*N(AE89))/(Parameters!$I$11*ISNUMBER(AA89)+Parameters!$I$12*ISNUMBER(AB89)+Parameters!$I$13*ISNUMBER(AC89)+Parameters!$I$14*ISNUMBER(AD89)+Parameters!$I$15*ISNUMBER(AE89)))</f>
        <v>0.8</v>
      </c>
      <c r="AI89" s="13">
        <f>Parameters!$I$5*ISNUMBER(V89)+Parameters!$I$6*ISNUMBER(W89)+Parameters!$I$7*ISNUMBER(X89)+Parameters!$I$8*ISNUMBER(Y89)+Parameters!$I$9*ISNUMBER(Z89)+Parameters!$I$11*ISNUMBER(AA89)+Parameters!$I$12*ISNUMBER(AB89)+Parameters!$I$13*ISNUMBER(AC89)+Parameters!$I$14*ISNUMBER(AD89)+Parameters!$I$15*ISNUMBER(AE89)</f>
        <v>95</v>
      </c>
      <c r="AJ89" s="14">
        <f>IF((Parameters!$I$5+Parameters!$I$6+Parameters!$I$7+Parameters!$I$8+Parameters!$I$9+Parameters!$I$11+Parameters!$I$12+Parameters!$I$13+Parameters!$I$14+Parameters!$I$15)=0,"",AI89/(Parameters!$I$5+Parameters!$I$6+Parameters!$I$7+Parameters!$I$8+Parameters!$I$9+Parameters!$I$11+Parameters!$I$12+Parameters!$I$13+Parameters!$I$14+Parameters!$I$15))</f>
        <v>1</v>
      </c>
      <c r="AK89" s="15">
        <f>IF(AND(ISNUMBER(AF89),ISNUMBER(AH89),OR(NOT((Parameters!$I$9)&gt;0),ISNUMBER(AG89)),AJ89&gt;=Parameters!$B$20),100*(Parameters!$F$18*N(AF89)+Parameters!$F$19*N(AG89)+Parameters!$F$20*N(AH89))/(Parameters!$F$18*ISNUMBER(AF89)+Parameters!$F$19*ISNUMBER(AG89)+Parameters!$F$20*ISNUMBER(AH89)),"")</f>
        <v>48.54</v>
      </c>
      <c r="AL89" s="16">
        <f>IF(ISNUMBER(AK89),RANK(AK89,$AK$2:$AK$113),"")</f>
        <v>88</v>
      </c>
      <c r="AM89" s="14">
        <f>IF(((D89="Implemented/available")+(E89="Implemented/available")+(J89="Implemented/available")+(K89="Implemented/available")+(L89="Implemented/available")+(M89="Implemented/available"))=0,"",(AND(D89="Implemented/available",O89&lt;&gt;"")+AND(E89="Implemented/available",P89&lt;&gt;"")+AND(J89="Implemented/available",Q89&lt;&gt;"")+AND(K89="Implemented/available",R89&lt;&gt;"")+AND(L89="Implemented/available",S89&lt;&gt;"")+AND(M89="Implemented/available",T89&lt;&gt;""))/((D89="Implemented/available")+(E89="Implemented/available")+(J89="Implemented/available")+(K89="Implemented/available")+(L89="Implemented/available")+(M89="Implemented/available")))</f>
        <v>1</v>
      </c>
    </row>
    <row r="90" spans="1:39" x14ac:dyDescent="0.25">
      <c r="A90" s="6" t="s">
        <v>273</v>
      </c>
      <c r="B90" s="6" t="s">
        <v>274</v>
      </c>
      <c r="C90" s="6" t="s">
        <v>275</v>
      </c>
      <c r="D90" s="6" t="s">
        <v>29</v>
      </c>
      <c r="E90" s="6" t="s">
        <v>44</v>
      </c>
      <c r="F90" s="6" t="s">
        <v>44</v>
      </c>
      <c r="G90" s="6"/>
      <c r="H90" s="6"/>
      <c r="I90" s="6" t="s">
        <v>60</v>
      </c>
      <c r="J90" s="6" t="s">
        <v>41</v>
      </c>
      <c r="K90" s="6" t="s">
        <v>34</v>
      </c>
      <c r="L90" s="6" t="s">
        <v>44</v>
      </c>
      <c r="M90" s="6" t="s">
        <v>29</v>
      </c>
      <c r="N90" s="6" t="s">
        <v>242</v>
      </c>
      <c r="O90" s="6" t="s">
        <v>276</v>
      </c>
      <c r="P90" s="6"/>
      <c r="Q90" s="6"/>
      <c r="R90" s="6"/>
      <c r="S90" s="6"/>
      <c r="T90" s="6" t="s">
        <v>277</v>
      </c>
      <c r="U90" s="6"/>
      <c r="V90" s="12">
        <f>IFERROR(IF(ISNUMBER(INDEX(Parameters!$B$5:$B$14,MATCH(D90,Parameters!$A$5:$A$14,0))),INDEX(Parameters!$B$5:$B$14,MATCH(D90,Parameters!$A$5:$A$14,0)),""),"")</f>
        <v>1</v>
      </c>
      <c r="W90" s="12">
        <f>IFERROR(IF(ISNUMBER(INDEX(Parameters!$B$5:$B$14,MATCH(E90,Parameters!$A$5:$A$14,0))),INDEX(Parameters!$B$5:$B$14,MATCH(E90,Parameters!$A$5:$A$14,0)),""),"")</f>
        <v>0</v>
      </c>
      <c r="X90" s="12">
        <f>IFERROR(IF(ISNUMBER(INDEX(Parameters!$B$5:$B$14,MATCH(F90,Parameters!$A$5:$A$14,0))),INDEX(Parameters!$B$5:$B$14,MATCH(F90,Parameters!$A$5:$A$14,0)),""),"")</f>
        <v>0</v>
      </c>
      <c r="Y90" s="12">
        <f>IF(G90&lt;&gt;"",1,IF(ISNUMBER(Parameters!$B$18),Parameters!$B$18,""))</f>
        <v>0</v>
      </c>
      <c r="Z90" s="12">
        <f>IF(I90&lt;&gt;"",IFERROR(IF(ISNUMBER(INDEX(Parameters!$B$5:$B$14,MATCH(I90,Parameters!$A$5:$A$14,0))),INDEX(Parameters!$B$5:$B$14,MATCH(I90,Parameters!$A$5:$A$14,0)),""),""),IF(ISNUMBER(Parameters!$B$21),Parameters!$B$21,""))</f>
        <v>0.5</v>
      </c>
      <c r="AA90" s="12">
        <f>IFERROR(IF(ISNUMBER(INDEX(Parameters!$B$5:$B$14,MATCH(J90,Parameters!$A$5:$A$14,0))),INDEX(Parameters!$B$5:$B$14,MATCH(J90,Parameters!$A$5:$A$14,0)),""),"")</f>
        <v>0.33</v>
      </c>
      <c r="AB90" s="12">
        <f>IFERROR(IF(ISNUMBER(INDEX(Parameters!$B$5:$B$14,MATCH(K90,Parameters!$A$5:$A$14,0))),INDEX(Parameters!$B$5:$B$14,MATCH(K90,Parameters!$A$5:$A$14,0)),""),"")</f>
        <v>1</v>
      </c>
      <c r="AC90" s="12">
        <f>IFERROR(IF(ISNUMBER(INDEX(Parameters!$B$5:$B$14,MATCH(L90,Parameters!$A$5:$A$14,0))),INDEX(Parameters!$B$5:$B$14,MATCH(L90,Parameters!$A$5:$A$14,0)),""),"")</f>
        <v>0</v>
      </c>
      <c r="AD90" s="12">
        <f>IFERROR(IF(ISNUMBER(INDEX(Parameters!$B$5:$B$14,MATCH(M90,Parameters!$A$5:$A$14,0))),INDEX(Parameters!$B$5:$B$14,MATCH(M90,Parameters!$A$5:$A$14,0)),""),"")</f>
        <v>1</v>
      </c>
      <c r="AE90" s="12">
        <f>IF(N90&lt;&gt;"",1,IF(ISNUMBER(Parameters!$B$19),Parameters!$B$19,""))</f>
        <v>1</v>
      </c>
      <c r="AF90" s="12">
        <f>IF((Parameters!$I$5*ISNUMBER(V90)+Parameters!$I$6*ISNUMBER(W90)+Parameters!$I$7*ISNUMBER(X90)+Parameters!$I$8*ISNUMBER(Y90))=0,"",(Parameters!$I$5*N(V90)+Parameters!$I$6*N(W90)+Parameters!$I$7*N(X90)+Parameters!$I$8*N(Y90))/(Parameters!$I$5*ISNUMBER(V90)+Parameters!$I$6*ISNUMBER(W90)+Parameters!$I$7*ISNUMBER(X90)+Parameters!$I$8*ISNUMBER(Y90)))</f>
        <v>0.3</v>
      </c>
      <c r="AG90" s="12">
        <f>IF((Parameters!$I$9*ISNUMBER(Z90))=0,"",(Parameters!$I$9*N(Z90))/(Parameters!$I$9*ISNUMBER(Z90)))</f>
        <v>0.5</v>
      </c>
      <c r="AH90" s="12">
        <f>IF((Parameters!$I$11*ISNUMBER(AA90)+Parameters!$I$12*ISNUMBER(AB90)+Parameters!$I$13*ISNUMBER(AC90)+Parameters!$I$14*ISNUMBER(AD90)+Parameters!$I$15*ISNUMBER(AE90))=0,"",(Parameters!$I$11*N(AA90)+Parameters!$I$12*N(AB90)+Parameters!$I$13*N(AC90)+Parameters!$I$14*N(AD90)+Parameters!$I$15*N(AE90))/(Parameters!$I$11*ISNUMBER(AA90)+Parameters!$I$12*ISNUMBER(AB90)+Parameters!$I$13*ISNUMBER(AC90)+Parameters!$I$14*ISNUMBER(AD90)+Parameters!$I$15*ISNUMBER(AE90)))</f>
        <v>0.66600000000000004</v>
      </c>
      <c r="AI90" s="13">
        <f>Parameters!$I$5*ISNUMBER(V90)+Parameters!$I$6*ISNUMBER(W90)+Parameters!$I$7*ISNUMBER(X90)+Parameters!$I$8*ISNUMBER(Y90)+Parameters!$I$9*ISNUMBER(Z90)+Parameters!$I$11*ISNUMBER(AA90)+Parameters!$I$12*ISNUMBER(AB90)+Parameters!$I$13*ISNUMBER(AC90)+Parameters!$I$14*ISNUMBER(AD90)+Parameters!$I$15*ISNUMBER(AE90)</f>
        <v>95</v>
      </c>
      <c r="AJ90" s="14">
        <f>IF((Parameters!$I$5+Parameters!$I$6+Parameters!$I$7+Parameters!$I$8+Parameters!$I$9+Parameters!$I$11+Parameters!$I$12+Parameters!$I$13+Parameters!$I$14+Parameters!$I$15)=0,"",AI90/(Parameters!$I$5+Parameters!$I$6+Parameters!$I$7+Parameters!$I$8+Parameters!$I$9+Parameters!$I$11+Parameters!$I$12+Parameters!$I$13+Parameters!$I$14+Parameters!$I$15))</f>
        <v>1</v>
      </c>
      <c r="AK90" s="15">
        <f>IF(AND(ISNUMBER(AF90),ISNUMBER(AH90),OR(NOT((Parameters!$I$9)&gt;0),ISNUMBER(AG90)),AJ90&gt;=Parameters!$B$20),100*(Parameters!$F$18*N(AF90)+Parameters!$F$19*N(AG90)+Parameters!$F$20*N(AH90))/(Parameters!$F$18*ISNUMBER(AF90)+Parameters!$F$19*ISNUMBER(AG90)+Parameters!$F$20*ISNUMBER(AH90)),"")</f>
        <v>47.809999999999995</v>
      </c>
      <c r="AL90" s="16">
        <f>IF(ISNUMBER(AK90),RANK(AK90,$AK$2:$AK$113),"")</f>
        <v>89</v>
      </c>
      <c r="AM90" s="14">
        <f>IF(((D90="Implemented/available")+(E90="Implemented/available")+(J90="Implemented/available")+(K90="Implemented/available")+(L90="Implemented/available")+(M90="Implemented/available"))=0,"",(AND(D90="Implemented/available",O90&lt;&gt;"")+AND(E90="Implemented/available",P90&lt;&gt;"")+AND(J90="Implemented/available",Q90&lt;&gt;"")+AND(K90="Implemented/available",R90&lt;&gt;"")+AND(L90="Implemented/available",S90&lt;&gt;"")+AND(M90="Implemented/available",T90&lt;&gt;""))/((D90="Implemented/available")+(E90="Implemented/available")+(J90="Implemented/available")+(K90="Implemented/available")+(L90="Implemented/available")+(M90="Implemented/available")))</f>
        <v>1</v>
      </c>
    </row>
    <row r="91" spans="1:39" x14ac:dyDescent="0.25">
      <c r="A91" s="6" t="s">
        <v>637</v>
      </c>
      <c r="B91" s="6" t="s">
        <v>638</v>
      </c>
      <c r="C91" s="6" t="s">
        <v>639</v>
      </c>
      <c r="D91" s="6" t="s">
        <v>41</v>
      </c>
      <c r="E91" s="6" t="s">
        <v>41</v>
      </c>
      <c r="F91" s="6" t="s">
        <v>44</v>
      </c>
      <c r="G91" s="6"/>
      <c r="H91" s="6"/>
      <c r="I91" s="6" t="s">
        <v>60</v>
      </c>
      <c r="J91" s="6" t="s">
        <v>38</v>
      </c>
      <c r="K91" s="6" t="s">
        <v>34</v>
      </c>
      <c r="L91" s="6" t="s">
        <v>29</v>
      </c>
      <c r="M91" s="6" t="s">
        <v>29</v>
      </c>
      <c r="N91" s="6"/>
      <c r="O91" s="6"/>
      <c r="P91" s="6"/>
      <c r="Q91" s="6"/>
      <c r="R91" s="6"/>
      <c r="S91" s="6" t="s">
        <v>640</v>
      </c>
      <c r="T91" s="6" t="s">
        <v>641</v>
      </c>
      <c r="U91" s="6"/>
      <c r="V91" s="12">
        <f>IFERROR(IF(ISNUMBER(INDEX(Parameters!$B$5:$B$14,MATCH(D91,Parameters!$A$5:$A$14,0))),INDEX(Parameters!$B$5:$B$14,MATCH(D91,Parameters!$A$5:$A$14,0)),""),"")</f>
        <v>0.33</v>
      </c>
      <c r="W91" s="12">
        <f>IFERROR(IF(ISNUMBER(INDEX(Parameters!$B$5:$B$14,MATCH(E91,Parameters!$A$5:$A$14,0))),INDEX(Parameters!$B$5:$B$14,MATCH(E91,Parameters!$A$5:$A$14,0)),""),"")</f>
        <v>0.33</v>
      </c>
      <c r="X91" s="12">
        <f>IFERROR(IF(ISNUMBER(INDEX(Parameters!$B$5:$B$14,MATCH(F91,Parameters!$A$5:$A$14,0))),INDEX(Parameters!$B$5:$B$14,MATCH(F91,Parameters!$A$5:$A$14,0)),""),"")</f>
        <v>0</v>
      </c>
      <c r="Y91" s="12">
        <f>IF(G91&lt;&gt;"",1,IF(ISNUMBER(Parameters!$B$18),Parameters!$B$18,""))</f>
        <v>0</v>
      </c>
      <c r="Z91" s="12">
        <f>IF(I91&lt;&gt;"",IFERROR(IF(ISNUMBER(INDEX(Parameters!$B$5:$B$14,MATCH(I91,Parameters!$A$5:$A$14,0))),INDEX(Parameters!$B$5:$B$14,MATCH(I91,Parameters!$A$5:$A$14,0)),""),""),IF(ISNUMBER(Parameters!$B$21),Parameters!$B$21,""))</f>
        <v>0.5</v>
      </c>
      <c r="AA91" s="12">
        <f>IFERROR(IF(ISNUMBER(INDEX(Parameters!$B$5:$B$14,MATCH(J91,Parameters!$A$5:$A$14,0))),INDEX(Parameters!$B$5:$B$14,MATCH(J91,Parameters!$A$5:$A$14,0)),""),"")</f>
        <v>0.67</v>
      </c>
      <c r="AB91" s="12">
        <f>IFERROR(IF(ISNUMBER(INDEX(Parameters!$B$5:$B$14,MATCH(K91,Parameters!$A$5:$A$14,0))),INDEX(Parameters!$B$5:$B$14,MATCH(K91,Parameters!$A$5:$A$14,0)),""),"")</f>
        <v>1</v>
      </c>
      <c r="AC91" s="12">
        <f>IFERROR(IF(ISNUMBER(INDEX(Parameters!$B$5:$B$14,MATCH(L91,Parameters!$A$5:$A$14,0))),INDEX(Parameters!$B$5:$B$14,MATCH(L91,Parameters!$A$5:$A$14,0)),""),"")</f>
        <v>1</v>
      </c>
      <c r="AD91" s="12">
        <f>IFERROR(IF(ISNUMBER(INDEX(Parameters!$B$5:$B$14,MATCH(M91,Parameters!$A$5:$A$14,0))),INDEX(Parameters!$B$5:$B$14,MATCH(M91,Parameters!$A$5:$A$14,0)),""),"")</f>
        <v>1</v>
      </c>
      <c r="AE91" s="12">
        <f>IF(N91&lt;&gt;"",1,IF(ISNUMBER(Parameters!$B$19),Parameters!$B$19,""))</f>
        <v>0</v>
      </c>
      <c r="AF91" s="12">
        <f>IF((Parameters!$I$5*ISNUMBER(V91)+Parameters!$I$6*ISNUMBER(W91)+Parameters!$I$7*ISNUMBER(X91)+Parameters!$I$8*ISNUMBER(Y91))=0,"",(Parameters!$I$5*N(V91)+Parameters!$I$6*N(W91)+Parameters!$I$7*N(X91)+Parameters!$I$8*N(Y91))/(Parameters!$I$5*ISNUMBER(V91)+Parameters!$I$6*ISNUMBER(W91)+Parameters!$I$7*ISNUMBER(X91)+Parameters!$I$8*ISNUMBER(Y91)))</f>
        <v>0.19800000000000001</v>
      </c>
      <c r="AG91" s="12">
        <f>IF((Parameters!$I$9*ISNUMBER(Z91))=0,"",(Parameters!$I$9*N(Z91))/(Parameters!$I$9*ISNUMBER(Z91)))</f>
        <v>0.5</v>
      </c>
      <c r="AH91" s="12">
        <f>IF((Parameters!$I$11*ISNUMBER(AA91)+Parameters!$I$12*ISNUMBER(AB91)+Parameters!$I$13*ISNUMBER(AC91)+Parameters!$I$14*ISNUMBER(AD91)+Parameters!$I$15*ISNUMBER(AE91))=0,"",(Parameters!$I$11*N(AA91)+Parameters!$I$12*N(AB91)+Parameters!$I$13*N(AC91)+Parameters!$I$14*N(AD91)+Parameters!$I$15*N(AE91))/(Parameters!$I$11*ISNUMBER(AA91)+Parameters!$I$12*ISNUMBER(AB91)+Parameters!$I$13*ISNUMBER(AC91)+Parameters!$I$14*ISNUMBER(AD91)+Parameters!$I$15*ISNUMBER(AE91)))</f>
        <v>0.73399999999999999</v>
      </c>
      <c r="AI91" s="13">
        <f>Parameters!$I$5*ISNUMBER(V91)+Parameters!$I$6*ISNUMBER(W91)+Parameters!$I$7*ISNUMBER(X91)+Parameters!$I$8*ISNUMBER(Y91)+Parameters!$I$9*ISNUMBER(Z91)+Parameters!$I$11*ISNUMBER(AA91)+Parameters!$I$12*ISNUMBER(AB91)+Parameters!$I$13*ISNUMBER(AC91)+Parameters!$I$14*ISNUMBER(AD91)+Parameters!$I$15*ISNUMBER(AE91)</f>
        <v>95</v>
      </c>
      <c r="AJ91" s="14">
        <f>IF((Parameters!$I$5+Parameters!$I$6+Parameters!$I$7+Parameters!$I$8+Parameters!$I$9+Parameters!$I$11+Parameters!$I$12+Parameters!$I$13+Parameters!$I$14+Parameters!$I$15)=0,"",AI91/(Parameters!$I$5+Parameters!$I$6+Parameters!$I$7+Parameters!$I$8+Parameters!$I$9+Parameters!$I$11+Parameters!$I$12+Parameters!$I$13+Parameters!$I$14+Parameters!$I$15))</f>
        <v>1</v>
      </c>
      <c r="AK91" s="15">
        <f>IF(AND(ISNUMBER(AF91),ISNUMBER(AH91),OR(NOT((Parameters!$I$9)&gt;0),ISNUMBER(AG91)),AJ91&gt;=Parameters!$B$20),100*(Parameters!$F$18*N(AF91)+Parameters!$F$19*N(AG91)+Parameters!$F$20*N(AH91))/(Parameters!$F$18*ISNUMBER(AF91)+Parameters!$F$19*ISNUMBER(AG91)+Parameters!$F$20*ISNUMBER(AH91)),"")</f>
        <v>46.109999999999992</v>
      </c>
      <c r="AL91" s="16">
        <f>IF(ISNUMBER(AK91),RANK(AK91,$AK$2:$AK$113),"")</f>
        <v>90</v>
      </c>
      <c r="AM91" s="14">
        <f>IF(((D91="Implemented/available")+(E91="Implemented/available")+(J91="Implemented/available")+(K91="Implemented/available")+(L91="Implemented/available")+(M91="Implemented/available"))=0,"",(AND(D91="Implemented/available",O91&lt;&gt;"")+AND(E91="Implemented/available",P91&lt;&gt;"")+AND(J91="Implemented/available",Q91&lt;&gt;"")+AND(K91="Implemented/available",R91&lt;&gt;"")+AND(L91="Implemented/available",S91&lt;&gt;"")+AND(M91="Implemented/available",T91&lt;&gt;""))/((D91="Implemented/available")+(E91="Implemented/available")+(J91="Implemented/available")+(K91="Implemented/available")+(L91="Implemented/available")+(M91="Implemented/available")))</f>
        <v>1</v>
      </c>
    </row>
    <row r="92" spans="1:39" x14ac:dyDescent="0.25">
      <c r="A92" s="6" t="s">
        <v>605</v>
      </c>
      <c r="B92" s="6" t="s">
        <v>606</v>
      </c>
      <c r="C92" s="6" t="s">
        <v>607</v>
      </c>
      <c r="D92" s="6" t="s">
        <v>41</v>
      </c>
      <c r="E92" s="6" t="s">
        <v>38</v>
      </c>
      <c r="F92" s="6" t="s">
        <v>44</v>
      </c>
      <c r="G92" s="6"/>
      <c r="H92" s="6"/>
      <c r="I92" s="6"/>
      <c r="J92" s="6" t="s">
        <v>48</v>
      </c>
      <c r="K92" s="6" t="s">
        <v>34</v>
      </c>
      <c r="L92" s="6" t="s">
        <v>41</v>
      </c>
      <c r="M92" s="6" t="s">
        <v>29</v>
      </c>
      <c r="N92" s="6" t="s">
        <v>139</v>
      </c>
      <c r="O92" s="6"/>
      <c r="P92" s="6"/>
      <c r="Q92" s="6"/>
      <c r="R92" s="6"/>
      <c r="S92" s="6"/>
      <c r="T92" s="6" t="s">
        <v>608</v>
      </c>
      <c r="U92" s="6"/>
      <c r="V92" s="12">
        <f>IFERROR(IF(ISNUMBER(INDEX(Parameters!$B$5:$B$14,MATCH(D92,Parameters!$A$5:$A$14,0))),INDEX(Parameters!$B$5:$B$14,MATCH(D92,Parameters!$A$5:$A$14,0)),""),"")</f>
        <v>0.33</v>
      </c>
      <c r="W92" s="12">
        <f>IFERROR(IF(ISNUMBER(INDEX(Parameters!$B$5:$B$14,MATCH(E92,Parameters!$A$5:$A$14,0))),INDEX(Parameters!$B$5:$B$14,MATCH(E92,Parameters!$A$5:$A$14,0)),""),"")</f>
        <v>0.67</v>
      </c>
      <c r="X92" s="12">
        <f>IFERROR(IF(ISNUMBER(INDEX(Parameters!$B$5:$B$14,MATCH(F92,Parameters!$A$5:$A$14,0))),INDEX(Parameters!$B$5:$B$14,MATCH(F92,Parameters!$A$5:$A$14,0)),""),"")</f>
        <v>0</v>
      </c>
      <c r="Y92" s="12">
        <f>IF(G92&lt;&gt;"",1,IF(ISNUMBER(Parameters!$B$18),Parameters!$B$18,""))</f>
        <v>0</v>
      </c>
      <c r="Z92" s="12">
        <f>IF(I92&lt;&gt;"",IFERROR(IF(ISNUMBER(INDEX(Parameters!$B$5:$B$14,MATCH(I92,Parameters!$A$5:$A$14,0))),INDEX(Parameters!$B$5:$B$14,MATCH(I92,Parameters!$A$5:$A$14,0)),""),""),IF(ISNUMBER(Parameters!$B$21),Parameters!$B$21,""))</f>
        <v>0</v>
      </c>
      <c r="AA92" s="12" t="str">
        <f>IFERROR(IF(ISNUMBER(INDEX(Parameters!$B$5:$B$14,MATCH(J92,Parameters!$A$5:$A$14,0))),INDEX(Parameters!$B$5:$B$14,MATCH(J92,Parameters!$A$5:$A$14,0)),""),"")</f>
        <v/>
      </c>
      <c r="AB92" s="12">
        <f>IFERROR(IF(ISNUMBER(INDEX(Parameters!$B$5:$B$14,MATCH(K92,Parameters!$A$5:$A$14,0))),INDEX(Parameters!$B$5:$B$14,MATCH(K92,Parameters!$A$5:$A$14,0)),""),"")</f>
        <v>1</v>
      </c>
      <c r="AC92" s="12">
        <f>IFERROR(IF(ISNUMBER(INDEX(Parameters!$B$5:$B$14,MATCH(L92,Parameters!$A$5:$A$14,0))),INDEX(Parameters!$B$5:$B$14,MATCH(L92,Parameters!$A$5:$A$14,0)),""),"")</f>
        <v>0.33</v>
      </c>
      <c r="AD92" s="12">
        <f>IFERROR(IF(ISNUMBER(INDEX(Parameters!$B$5:$B$14,MATCH(M92,Parameters!$A$5:$A$14,0))),INDEX(Parameters!$B$5:$B$14,MATCH(M92,Parameters!$A$5:$A$14,0)),""),"")</f>
        <v>1</v>
      </c>
      <c r="AE92" s="12">
        <f>IF(N92&lt;&gt;"",1,IF(ISNUMBER(Parameters!$B$19),Parameters!$B$19,""))</f>
        <v>1</v>
      </c>
      <c r="AF92" s="12">
        <f>IF((Parameters!$I$5*ISNUMBER(V92)+Parameters!$I$6*ISNUMBER(W92)+Parameters!$I$7*ISNUMBER(X92)+Parameters!$I$8*ISNUMBER(Y92))=0,"",(Parameters!$I$5*N(V92)+Parameters!$I$6*N(W92)+Parameters!$I$7*N(X92)+Parameters!$I$8*N(Y92))/(Parameters!$I$5*ISNUMBER(V92)+Parameters!$I$6*ISNUMBER(W92)+Parameters!$I$7*ISNUMBER(X92)+Parameters!$I$8*ISNUMBER(Y92)))</f>
        <v>0.3</v>
      </c>
      <c r="AG92" s="12">
        <f>IF((Parameters!$I$9*ISNUMBER(Z92))=0,"",(Parameters!$I$9*N(Z92))/(Parameters!$I$9*ISNUMBER(Z92)))</f>
        <v>0</v>
      </c>
      <c r="AH92" s="12">
        <f>IF((Parameters!$I$11*ISNUMBER(AA92)+Parameters!$I$12*ISNUMBER(AB92)+Parameters!$I$13*ISNUMBER(AC92)+Parameters!$I$14*ISNUMBER(AD92)+Parameters!$I$15*ISNUMBER(AE92))=0,"",(Parameters!$I$11*N(AA92)+Parameters!$I$12*N(AB92)+Parameters!$I$13*N(AC92)+Parameters!$I$14*N(AD92)+Parameters!$I$15*N(AE92))/(Parameters!$I$11*ISNUMBER(AA92)+Parameters!$I$12*ISNUMBER(AB92)+Parameters!$I$13*ISNUMBER(AC92)+Parameters!$I$14*ISNUMBER(AD92)+Parameters!$I$15*ISNUMBER(AE92)))</f>
        <v>0.83250000000000013</v>
      </c>
      <c r="AI92" s="13">
        <f>Parameters!$I$5*ISNUMBER(V92)+Parameters!$I$6*ISNUMBER(W92)+Parameters!$I$7*ISNUMBER(X92)+Parameters!$I$8*ISNUMBER(Y92)+Parameters!$I$9*ISNUMBER(Z92)+Parameters!$I$11*ISNUMBER(AA92)+Parameters!$I$12*ISNUMBER(AB92)+Parameters!$I$13*ISNUMBER(AC92)+Parameters!$I$14*ISNUMBER(AD92)+Parameters!$I$15*ISNUMBER(AE92)</f>
        <v>88</v>
      </c>
      <c r="AJ92" s="14">
        <f>IF((Parameters!$I$5+Parameters!$I$6+Parameters!$I$7+Parameters!$I$8+Parameters!$I$9+Parameters!$I$11+Parameters!$I$12+Parameters!$I$13+Parameters!$I$14+Parameters!$I$15)=0,"",AI92/(Parameters!$I$5+Parameters!$I$6+Parameters!$I$7+Parameters!$I$8+Parameters!$I$9+Parameters!$I$11+Parameters!$I$12+Parameters!$I$13+Parameters!$I$14+Parameters!$I$15))</f>
        <v>0.9263157894736842</v>
      </c>
      <c r="AK92" s="15">
        <f>IF(AND(ISNUMBER(AF92),ISNUMBER(AH92),OR(NOT((Parameters!$I$9)&gt;0),ISNUMBER(AG92)),AJ92&gt;=Parameters!$B$20),100*(Parameters!$F$18*N(AF92)+Parameters!$F$19*N(AG92)+Parameters!$F$20*N(AH92))/(Parameters!$F$18*ISNUMBER(AF92)+Parameters!$F$19*ISNUMBER(AG92)+Parameters!$F$20*ISNUMBER(AH92)),"")</f>
        <v>41.137500000000003</v>
      </c>
      <c r="AL92" s="16">
        <f>IF(ISNUMBER(AK92),RANK(AK92,$AK$2:$AK$113),"")</f>
        <v>91</v>
      </c>
      <c r="AM92" s="14">
        <f>IF(((D92="Implemented/available")+(E92="Implemented/available")+(J92="Implemented/available")+(K92="Implemented/available")+(L92="Implemented/available")+(M92="Implemented/available"))=0,"",(AND(D92="Implemented/available",O92&lt;&gt;"")+AND(E92="Implemented/available",P92&lt;&gt;"")+AND(J92="Implemented/available",Q92&lt;&gt;"")+AND(K92="Implemented/available",R92&lt;&gt;"")+AND(L92="Implemented/available",S92&lt;&gt;"")+AND(M92="Implemented/available",T92&lt;&gt;""))/((D92="Implemented/available")+(E92="Implemented/available")+(J92="Implemented/available")+(K92="Implemented/available")+(L92="Implemented/available")+(M92="Implemented/available")))</f>
        <v>1</v>
      </c>
    </row>
    <row r="93" spans="1:39" x14ac:dyDescent="0.25">
      <c r="A93" s="6" t="s">
        <v>340</v>
      </c>
      <c r="B93" s="6" t="s">
        <v>341</v>
      </c>
      <c r="C93" s="6" t="s">
        <v>291</v>
      </c>
      <c r="D93" s="6" t="s">
        <v>38</v>
      </c>
      <c r="E93" s="6" t="s">
        <v>38</v>
      </c>
      <c r="F93" s="6" t="s">
        <v>48</v>
      </c>
      <c r="G93" s="6"/>
      <c r="H93" s="6"/>
      <c r="I93" s="6"/>
      <c r="J93" s="6" t="s">
        <v>38</v>
      </c>
      <c r="K93" s="6" t="s">
        <v>34</v>
      </c>
      <c r="L93" s="6" t="s">
        <v>48</v>
      </c>
      <c r="M93" s="6" t="s">
        <v>48</v>
      </c>
      <c r="N93" s="6"/>
      <c r="O93" s="6"/>
      <c r="P93" s="6"/>
      <c r="Q93" s="6"/>
      <c r="R93" s="6"/>
      <c r="S93" s="6"/>
      <c r="T93" s="6"/>
      <c r="U93" s="6"/>
      <c r="V93" s="12">
        <f>IFERROR(IF(ISNUMBER(INDEX(Parameters!$B$5:$B$14,MATCH(D93,Parameters!$A$5:$A$14,0))),INDEX(Parameters!$B$5:$B$14,MATCH(D93,Parameters!$A$5:$A$14,0)),""),"")</f>
        <v>0.67</v>
      </c>
      <c r="W93" s="12">
        <f>IFERROR(IF(ISNUMBER(INDEX(Parameters!$B$5:$B$14,MATCH(E93,Parameters!$A$5:$A$14,0))),INDEX(Parameters!$B$5:$B$14,MATCH(E93,Parameters!$A$5:$A$14,0)),""),"")</f>
        <v>0.67</v>
      </c>
      <c r="X93" s="12" t="str">
        <f>IFERROR(IF(ISNUMBER(INDEX(Parameters!$B$5:$B$14,MATCH(F93,Parameters!$A$5:$A$14,0))),INDEX(Parameters!$B$5:$B$14,MATCH(F93,Parameters!$A$5:$A$14,0)),""),"")</f>
        <v/>
      </c>
      <c r="Y93" s="12">
        <f>IF(G93&lt;&gt;"",1,IF(ISNUMBER(Parameters!$B$18),Parameters!$B$18,""))</f>
        <v>0</v>
      </c>
      <c r="Z93" s="12">
        <f>IF(I93&lt;&gt;"",IFERROR(IF(ISNUMBER(INDEX(Parameters!$B$5:$B$14,MATCH(I93,Parameters!$A$5:$A$14,0))),INDEX(Parameters!$B$5:$B$14,MATCH(I93,Parameters!$A$5:$A$14,0)),""),""),IF(ISNUMBER(Parameters!$B$21),Parameters!$B$21,""))</f>
        <v>0</v>
      </c>
      <c r="AA93" s="12">
        <f>IFERROR(IF(ISNUMBER(INDEX(Parameters!$B$5:$B$14,MATCH(J93,Parameters!$A$5:$A$14,0))),INDEX(Parameters!$B$5:$B$14,MATCH(J93,Parameters!$A$5:$A$14,0)),""),"")</f>
        <v>0.67</v>
      </c>
      <c r="AB93" s="12">
        <f>IFERROR(IF(ISNUMBER(INDEX(Parameters!$B$5:$B$14,MATCH(K93,Parameters!$A$5:$A$14,0))),INDEX(Parameters!$B$5:$B$14,MATCH(K93,Parameters!$A$5:$A$14,0)),""),"")</f>
        <v>1</v>
      </c>
      <c r="AC93" s="12" t="str">
        <f>IFERROR(IF(ISNUMBER(INDEX(Parameters!$B$5:$B$14,MATCH(L93,Parameters!$A$5:$A$14,0))),INDEX(Parameters!$B$5:$B$14,MATCH(L93,Parameters!$A$5:$A$14,0)),""),"")</f>
        <v/>
      </c>
      <c r="AD93" s="12" t="str">
        <f>IFERROR(IF(ISNUMBER(INDEX(Parameters!$B$5:$B$14,MATCH(M93,Parameters!$A$5:$A$14,0))),INDEX(Parameters!$B$5:$B$14,MATCH(M93,Parameters!$A$5:$A$14,0)),""),"")</f>
        <v/>
      </c>
      <c r="AE93" s="12">
        <f>IF(N93&lt;&gt;"",1,IF(ISNUMBER(Parameters!$B$19),Parameters!$B$19,""))</f>
        <v>0</v>
      </c>
      <c r="AF93" s="12">
        <f>IF((Parameters!$I$5*ISNUMBER(V93)+Parameters!$I$6*ISNUMBER(W93)+Parameters!$I$7*ISNUMBER(X93)+Parameters!$I$8*ISNUMBER(Y93))=0,"",(Parameters!$I$5*N(V93)+Parameters!$I$6*N(W93)+Parameters!$I$7*N(X93)+Parameters!$I$8*N(Y93))/(Parameters!$I$5*ISNUMBER(V93)+Parameters!$I$6*ISNUMBER(W93)+Parameters!$I$7*ISNUMBER(X93)+Parameters!$I$8*ISNUMBER(Y93)))</f>
        <v>0.50250000000000006</v>
      </c>
      <c r="AG93" s="12">
        <f>IF((Parameters!$I$9*ISNUMBER(Z93))=0,"",(Parameters!$I$9*N(Z93))/(Parameters!$I$9*ISNUMBER(Z93)))</f>
        <v>0</v>
      </c>
      <c r="AH93" s="12">
        <f>IF((Parameters!$I$11*ISNUMBER(AA93)+Parameters!$I$12*ISNUMBER(AB93)+Parameters!$I$13*ISNUMBER(AC93)+Parameters!$I$14*ISNUMBER(AD93)+Parameters!$I$15*ISNUMBER(AE93))=0,"",(Parameters!$I$11*N(AA93)+Parameters!$I$12*N(AB93)+Parameters!$I$13*N(AC93)+Parameters!$I$14*N(AD93)+Parameters!$I$15*N(AE93))/(Parameters!$I$11*ISNUMBER(AA93)+Parameters!$I$12*ISNUMBER(AB93)+Parameters!$I$13*ISNUMBER(AC93)+Parameters!$I$14*ISNUMBER(AD93)+Parameters!$I$15*ISNUMBER(AE93)))</f>
        <v>0.55666666666666675</v>
      </c>
      <c r="AI93" s="13">
        <f>Parameters!$I$5*ISNUMBER(V93)+Parameters!$I$6*ISNUMBER(W93)+Parameters!$I$7*ISNUMBER(X93)+Parameters!$I$8*ISNUMBER(Y93)+Parameters!$I$9*ISNUMBER(Z93)+Parameters!$I$11*ISNUMBER(AA93)+Parameters!$I$12*ISNUMBER(AB93)+Parameters!$I$13*ISNUMBER(AC93)+Parameters!$I$14*ISNUMBER(AD93)+Parameters!$I$15*ISNUMBER(AE93)</f>
        <v>73</v>
      </c>
      <c r="AJ93" s="14">
        <f>IF((Parameters!$I$5+Parameters!$I$6+Parameters!$I$7+Parameters!$I$8+Parameters!$I$9+Parameters!$I$11+Parameters!$I$12+Parameters!$I$13+Parameters!$I$14+Parameters!$I$15)=0,"",AI93/(Parameters!$I$5+Parameters!$I$6+Parameters!$I$7+Parameters!$I$8+Parameters!$I$9+Parameters!$I$11+Parameters!$I$12+Parameters!$I$13+Parameters!$I$14+Parameters!$I$15))</f>
        <v>0.76842105263157889</v>
      </c>
      <c r="AK93" s="15">
        <f>IF(AND(ISNUMBER(AF93),ISNUMBER(AH93),OR(NOT((Parameters!$I$9)&gt;0),ISNUMBER(AG93)),AJ93&gt;=Parameters!$B$20),100*(Parameters!$F$18*N(AF93)+Parameters!$F$19*N(AG93)+Parameters!$F$20*N(AH93))/(Parameters!$F$18*ISNUMBER(AF93)+Parameters!$F$19*ISNUMBER(AG93)+Parameters!$F$20*ISNUMBER(AH93)),"")</f>
        <v>39.583333333333336</v>
      </c>
      <c r="AL93" s="16">
        <f>IF(ISNUMBER(AK93),RANK(AK93,$AK$2:$AK$113),"")</f>
        <v>92</v>
      </c>
      <c r="AM93" s="14" t="str">
        <f>IF(((D93="Implemented/available")+(E93="Implemented/available")+(J93="Implemented/available")+(K93="Implemented/available")+(L93="Implemented/available")+(M93="Implemented/available"))=0,"",(AND(D93="Implemented/available",O93&lt;&gt;"")+AND(E93="Implemented/available",P93&lt;&gt;"")+AND(J93="Implemented/available",Q93&lt;&gt;"")+AND(K93="Implemented/available",R93&lt;&gt;"")+AND(L93="Implemented/available",S93&lt;&gt;"")+AND(M93="Implemented/available",T93&lt;&gt;""))/((D93="Implemented/available")+(E93="Implemented/available")+(J93="Implemented/available")+(K93="Implemented/available")+(L93="Implemented/available")+(M93="Implemented/available")))</f>
        <v/>
      </c>
    </row>
    <row r="94" spans="1:39" x14ac:dyDescent="0.25">
      <c r="A94" s="6" t="s">
        <v>461</v>
      </c>
      <c r="B94" s="6" t="s">
        <v>462</v>
      </c>
      <c r="C94" s="6" t="s">
        <v>463</v>
      </c>
      <c r="D94" s="6" t="s">
        <v>44</v>
      </c>
      <c r="E94" s="6" t="s">
        <v>44</v>
      </c>
      <c r="F94" s="6" t="s">
        <v>44</v>
      </c>
      <c r="G94" s="6"/>
      <c r="H94" s="6"/>
      <c r="I94" s="6" t="s">
        <v>60</v>
      </c>
      <c r="J94" s="6" t="s">
        <v>29</v>
      </c>
      <c r="K94" s="6" t="s">
        <v>34</v>
      </c>
      <c r="L94" s="6" t="s">
        <v>48</v>
      </c>
      <c r="M94" s="6" t="s">
        <v>29</v>
      </c>
      <c r="N94" s="6"/>
      <c r="O94" s="6"/>
      <c r="P94" s="6"/>
      <c r="Q94" s="6" t="s">
        <v>464</v>
      </c>
      <c r="R94" s="6"/>
      <c r="S94" s="6"/>
      <c r="T94" s="6" t="s">
        <v>465</v>
      </c>
      <c r="U94" s="6"/>
      <c r="V94" s="12">
        <f>IFERROR(IF(ISNUMBER(INDEX(Parameters!$B$5:$B$14,MATCH(D94,Parameters!$A$5:$A$14,0))),INDEX(Parameters!$B$5:$B$14,MATCH(D94,Parameters!$A$5:$A$14,0)),""),"")</f>
        <v>0</v>
      </c>
      <c r="W94" s="12">
        <f>IFERROR(IF(ISNUMBER(INDEX(Parameters!$B$5:$B$14,MATCH(E94,Parameters!$A$5:$A$14,0))),INDEX(Parameters!$B$5:$B$14,MATCH(E94,Parameters!$A$5:$A$14,0)),""),"")</f>
        <v>0</v>
      </c>
      <c r="X94" s="12">
        <f>IFERROR(IF(ISNUMBER(INDEX(Parameters!$B$5:$B$14,MATCH(F94,Parameters!$A$5:$A$14,0))),INDEX(Parameters!$B$5:$B$14,MATCH(F94,Parameters!$A$5:$A$14,0)),""),"")</f>
        <v>0</v>
      </c>
      <c r="Y94" s="12">
        <f>IF(G94&lt;&gt;"",1,IF(ISNUMBER(Parameters!$B$18),Parameters!$B$18,""))</f>
        <v>0</v>
      </c>
      <c r="Z94" s="12">
        <f>IF(I94&lt;&gt;"",IFERROR(IF(ISNUMBER(INDEX(Parameters!$B$5:$B$14,MATCH(I94,Parameters!$A$5:$A$14,0))),INDEX(Parameters!$B$5:$B$14,MATCH(I94,Parameters!$A$5:$A$14,0)),""),""),IF(ISNUMBER(Parameters!$B$21),Parameters!$B$21,""))</f>
        <v>0.5</v>
      </c>
      <c r="AA94" s="12">
        <f>IFERROR(IF(ISNUMBER(INDEX(Parameters!$B$5:$B$14,MATCH(J94,Parameters!$A$5:$A$14,0))),INDEX(Parameters!$B$5:$B$14,MATCH(J94,Parameters!$A$5:$A$14,0)),""),"")</f>
        <v>1</v>
      </c>
      <c r="AB94" s="12">
        <f>IFERROR(IF(ISNUMBER(INDEX(Parameters!$B$5:$B$14,MATCH(K94,Parameters!$A$5:$A$14,0))),INDEX(Parameters!$B$5:$B$14,MATCH(K94,Parameters!$A$5:$A$14,0)),""),"")</f>
        <v>1</v>
      </c>
      <c r="AC94" s="12" t="str">
        <f>IFERROR(IF(ISNUMBER(INDEX(Parameters!$B$5:$B$14,MATCH(L94,Parameters!$A$5:$A$14,0))),INDEX(Parameters!$B$5:$B$14,MATCH(L94,Parameters!$A$5:$A$14,0)),""),"")</f>
        <v/>
      </c>
      <c r="AD94" s="12">
        <f>IFERROR(IF(ISNUMBER(INDEX(Parameters!$B$5:$B$14,MATCH(M94,Parameters!$A$5:$A$14,0))),INDEX(Parameters!$B$5:$B$14,MATCH(M94,Parameters!$A$5:$A$14,0)),""),"")</f>
        <v>1</v>
      </c>
      <c r="AE94" s="12">
        <f>IF(N94&lt;&gt;"",1,IF(ISNUMBER(Parameters!$B$19),Parameters!$B$19,""))</f>
        <v>0</v>
      </c>
      <c r="AF94" s="12">
        <f>IF((Parameters!$I$5*ISNUMBER(V94)+Parameters!$I$6*ISNUMBER(W94)+Parameters!$I$7*ISNUMBER(X94)+Parameters!$I$8*ISNUMBER(Y94))=0,"",(Parameters!$I$5*N(V94)+Parameters!$I$6*N(W94)+Parameters!$I$7*N(X94)+Parameters!$I$8*N(Y94))/(Parameters!$I$5*ISNUMBER(V94)+Parameters!$I$6*ISNUMBER(W94)+Parameters!$I$7*ISNUMBER(X94)+Parameters!$I$8*ISNUMBER(Y94)))</f>
        <v>0</v>
      </c>
      <c r="AG94" s="12">
        <f>IF((Parameters!$I$9*ISNUMBER(Z94))=0,"",(Parameters!$I$9*N(Z94))/(Parameters!$I$9*ISNUMBER(Z94)))</f>
        <v>0.5</v>
      </c>
      <c r="AH94" s="12">
        <f>IF((Parameters!$I$11*ISNUMBER(AA94)+Parameters!$I$12*ISNUMBER(AB94)+Parameters!$I$13*ISNUMBER(AC94)+Parameters!$I$14*ISNUMBER(AD94)+Parameters!$I$15*ISNUMBER(AE94))=0,"",(Parameters!$I$11*N(AA94)+Parameters!$I$12*N(AB94)+Parameters!$I$13*N(AC94)+Parameters!$I$14*N(AD94)+Parameters!$I$15*N(AE94))/(Parameters!$I$11*ISNUMBER(AA94)+Parameters!$I$12*ISNUMBER(AB94)+Parameters!$I$13*ISNUMBER(AC94)+Parameters!$I$14*ISNUMBER(AD94)+Parameters!$I$15*ISNUMBER(AE94)))</f>
        <v>0.75</v>
      </c>
      <c r="AI94" s="13">
        <f>Parameters!$I$5*ISNUMBER(V94)+Parameters!$I$6*ISNUMBER(W94)+Parameters!$I$7*ISNUMBER(X94)+Parameters!$I$8*ISNUMBER(Y94)+Parameters!$I$9*ISNUMBER(Z94)+Parameters!$I$11*ISNUMBER(AA94)+Parameters!$I$12*ISNUMBER(AB94)+Parameters!$I$13*ISNUMBER(AC94)+Parameters!$I$14*ISNUMBER(AD94)+Parameters!$I$15*ISNUMBER(AE94)</f>
        <v>88</v>
      </c>
      <c r="AJ94" s="14">
        <f>IF((Parameters!$I$5+Parameters!$I$6+Parameters!$I$7+Parameters!$I$8+Parameters!$I$9+Parameters!$I$11+Parameters!$I$12+Parameters!$I$13+Parameters!$I$14+Parameters!$I$15)=0,"",AI94/(Parameters!$I$5+Parameters!$I$6+Parameters!$I$7+Parameters!$I$8+Parameters!$I$9+Parameters!$I$11+Parameters!$I$12+Parameters!$I$13+Parameters!$I$14+Parameters!$I$15))</f>
        <v>0.9263157894736842</v>
      </c>
      <c r="AK94" s="15">
        <f>IF(AND(ISNUMBER(AF94),ISNUMBER(AH94),OR(NOT((Parameters!$I$9)&gt;0),ISNUMBER(AG94)),AJ94&gt;=Parameters!$B$20),100*(Parameters!$F$18*N(AF94)+Parameters!$F$19*N(AG94)+Parameters!$F$20*N(AH94))/(Parameters!$F$18*ISNUMBER(AF94)+Parameters!$F$19*ISNUMBER(AG94)+Parameters!$F$20*ISNUMBER(AH94)),"")</f>
        <v>38.749999999999993</v>
      </c>
      <c r="AL94" s="16">
        <f>IF(ISNUMBER(AK94),RANK(AK94,$AK$2:$AK$113),"")</f>
        <v>93</v>
      </c>
      <c r="AM94" s="14">
        <f>IF(((D94="Implemented/available")+(E94="Implemented/available")+(J94="Implemented/available")+(K94="Implemented/available")+(L94="Implemented/available")+(M94="Implemented/available"))=0,"",(AND(D94="Implemented/available",O94&lt;&gt;"")+AND(E94="Implemented/available",P94&lt;&gt;"")+AND(J94="Implemented/available",Q94&lt;&gt;"")+AND(K94="Implemented/available",R94&lt;&gt;"")+AND(L94="Implemented/available",S94&lt;&gt;"")+AND(M94="Implemented/available",T94&lt;&gt;""))/((D94="Implemented/available")+(E94="Implemented/available")+(J94="Implemented/available")+(K94="Implemented/available")+(L94="Implemented/available")+(M94="Implemented/available")))</f>
        <v>1</v>
      </c>
    </row>
    <row r="95" spans="1:39" x14ac:dyDescent="0.25">
      <c r="A95" s="6" t="s">
        <v>295</v>
      </c>
      <c r="B95" s="6" t="s">
        <v>296</v>
      </c>
      <c r="C95" s="6" t="s">
        <v>297</v>
      </c>
      <c r="D95" s="6" t="s">
        <v>29</v>
      </c>
      <c r="E95" s="6" t="s">
        <v>44</v>
      </c>
      <c r="F95" s="6" t="s">
        <v>44</v>
      </c>
      <c r="G95" s="6" t="s">
        <v>117</v>
      </c>
      <c r="H95" s="6"/>
      <c r="I95" s="6"/>
      <c r="J95" s="6" t="s">
        <v>41</v>
      </c>
      <c r="K95" s="6" t="s">
        <v>29</v>
      </c>
      <c r="L95" s="6" t="s">
        <v>44</v>
      </c>
      <c r="M95" s="6" t="s">
        <v>41</v>
      </c>
      <c r="N95" s="6" t="s">
        <v>139</v>
      </c>
      <c r="O95" s="6" t="s">
        <v>298</v>
      </c>
      <c r="P95" s="6"/>
      <c r="Q95" s="6"/>
      <c r="R95" s="6" t="s">
        <v>299</v>
      </c>
      <c r="S95" s="6"/>
      <c r="T95" s="6"/>
      <c r="U95" s="6"/>
      <c r="V95" s="12">
        <f>IFERROR(IF(ISNUMBER(INDEX(Parameters!$B$5:$B$14,MATCH(D95,Parameters!$A$5:$A$14,0))),INDEX(Parameters!$B$5:$B$14,MATCH(D95,Parameters!$A$5:$A$14,0)),""),"")</f>
        <v>1</v>
      </c>
      <c r="W95" s="12">
        <f>IFERROR(IF(ISNUMBER(INDEX(Parameters!$B$5:$B$14,MATCH(E95,Parameters!$A$5:$A$14,0))),INDEX(Parameters!$B$5:$B$14,MATCH(E95,Parameters!$A$5:$A$14,0)),""),"")</f>
        <v>0</v>
      </c>
      <c r="X95" s="12">
        <f>IFERROR(IF(ISNUMBER(INDEX(Parameters!$B$5:$B$14,MATCH(F95,Parameters!$A$5:$A$14,0))),INDEX(Parameters!$B$5:$B$14,MATCH(F95,Parameters!$A$5:$A$14,0)),""),"")</f>
        <v>0</v>
      </c>
      <c r="Y95" s="12">
        <f>IF(G95&lt;&gt;"",1,IF(ISNUMBER(Parameters!$B$18),Parameters!$B$18,""))</f>
        <v>1</v>
      </c>
      <c r="Z95" s="12">
        <f>IF(I95&lt;&gt;"",IFERROR(IF(ISNUMBER(INDEX(Parameters!$B$5:$B$14,MATCH(I95,Parameters!$A$5:$A$14,0))),INDEX(Parameters!$B$5:$B$14,MATCH(I95,Parameters!$A$5:$A$14,0)),""),""),IF(ISNUMBER(Parameters!$B$21),Parameters!$B$21,""))</f>
        <v>0</v>
      </c>
      <c r="AA95" s="12">
        <f>IFERROR(IF(ISNUMBER(INDEX(Parameters!$B$5:$B$14,MATCH(J95,Parameters!$A$5:$A$14,0))),INDEX(Parameters!$B$5:$B$14,MATCH(J95,Parameters!$A$5:$A$14,0)),""),"")</f>
        <v>0.33</v>
      </c>
      <c r="AB95" s="12">
        <f>IFERROR(IF(ISNUMBER(INDEX(Parameters!$B$5:$B$14,MATCH(K95,Parameters!$A$5:$A$14,0))),INDEX(Parameters!$B$5:$B$14,MATCH(K95,Parameters!$A$5:$A$14,0)),""),"")</f>
        <v>1</v>
      </c>
      <c r="AC95" s="12">
        <f>IFERROR(IF(ISNUMBER(INDEX(Parameters!$B$5:$B$14,MATCH(L95,Parameters!$A$5:$A$14,0))),INDEX(Parameters!$B$5:$B$14,MATCH(L95,Parameters!$A$5:$A$14,0)),""),"")</f>
        <v>0</v>
      </c>
      <c r="AD95" s="12">
        <f>IFERROR(IF(ISNUMBER(INDEX(Parameters!$B$5:$B$14,MATCH(M95,Parameters!$A$5:$A$14,0))),INDEX(Parameters!$B$5:$B$14,MATCH(M95,Parameters!$A$5:$A$14,0)),""),"")</f>
        <v>0.33</v>
      </c>
      <c r="AE95" s="12">
        <f>IF(N95&lt;&gt;"",1,IF(ISNUMBER(Parameters!$B$19),Parameters!$B$19,""))</f>
        <v>1</v>
      </c>
      <c r="AF95" s="12">
        <f>IF((Parameters!$I$5*ISNUMBER(V95)+Parameters!$I$6*ISNUMBER(W95)+Parameters!$I$7*ISNUMBER(X95)+Parameters!$I$8*ISNUMBER(Y95))=0,"",(Parameters!$I$5*N(V95)+Parameters!$I$6*N(W95)+Parameters!$I$7*N(X95)+Parameters!$I$8*N(Y95))/(Parameters!$I$5*ISNUMBER(V95)+Parameters!$I$6*ISNUMBER(W95)+Parameters!$I$7*ISNUMBER(X95)+Parameters!$I$8*ISNUMBER(Y95)))</f>
        <v>0.5</v>
      </c>
      <c r="AG95" s="12">
        <f>IF((Parameters!$I$9*ISNUMBER(Z95))=0,"",(Parameters!$I$9*N(Z95))/(Parameters!$I$9*ISNUMBER(Z95)))</f>
        <v>0</v>
      </c>
      <c r="AH95" s="12">
        <f>IF((Parameters!$I$11*ISNUMBER(AA95)+Parameters!$I$12*ISNUMBER(AB95)+Parameters!$I$13*ISNUMBER(AC95)+Parameters!$I$14*ISNUMBER(AD95)+Parameters!$I$15*ISNUMBER(AE95))=0,"",(Parameters!$I$11*N(AA95)+Parameters!$I$12*N(AB95)+Parameters!$I$13*N(AC95)+Parameters!$I$14*N(AD95)+Parameters!$I$15*N(AE95))/(Parameters!$I$11*ISNUMBER(AA95)+Parameters!$I$12*ISNUMBER(AB95)+Parameters!$I$13*ISNUMBER(AC95)+Parameters!$I$14*ISNUMBER(AD95)+Parameters!$I$15*ISNUMBER(AE95)))</f>
        <v>0.53200000000000003</v>
      </c>
      <c r="AI95" s="13">
        <f>Parameters!$I$5*ISNUMBER(V95)+Parameters!$I$6*ISNUMBER(W95)+Parameters!$I$7*ISNUMBER(X95)+Parameters!$I$8*ISNUMBER(Y95)+Parameters!$I$9*ISNUMBER(Z95)+Parameters!$I$11*ISNUMBER(AA95)+Parameters!$I$12*ISNUMBER(AB95)+Parameters!$I$13*ISNUMBER(AC95)+Parameters!$I$14*ISNUMBER(AD95)+Parameters!$I$15*ISNUMBER(AE95)</f>
        <v>95</v>
      </c>
      <c r="AJ95" s="14">
        <f>IF((Parameters!$I$5+Parameters!$I$6+Parameters!$I$7+Parameters!$I$8+Parameters!$I$9+Parameters!$I$11+Parameters!$I$12+Parameters!$I$13+Parameters!$I$14+Parameters!$I$15)=0,"",AI95/(Parameters!$I$5+Parameters!$I$6+Parameters!$I$7+Parameters!$I$8+Parameters!$I$9+Parameters!$I$11+Parameters!$I$12+Parameters!$I$13+Parameters!$I$14+Parameters!$I$15))</f>
        <v>1</v>
      </c>
      <c r="AK95" s="15">
        <f>IF(AND(ISNUMBER(AF95),ISNUMBER(AH95),OR(NOT((Parameters!$I$9)&gt;0),ISNUMBER(AG95)),AJ95&gt;=Parameters!$B$20),100*(Parameters!$F$18*N(AF95)+Parameters!$F$19*N(AG95)+Parameters!$F$20*N(AH95))/(Parameters!$F$18*ISNUMBER(AF95)+Parameters!$F$19*ISNUMBER(AG95)+Parameters!$F$20*ISNUMBER(AH95)),"")</f>
        <v>38.619999999999997</v>
      </c>
      <c r="AL95" s="16">
        <f>IF(ISNUMBER(AK95),RANK(AK95,$AK$2:$AK$113),"")</f>
        <v>94</v>
      </c>
      <c r="AM95" s="14">
        <f>IF(((D95="Implemented/available")+(E95="Implemented/available")+(J95="Implemented/available")+(K95="Implemented/available")+(L95="Implemented/available")+(M95="Implemented/available"))=0,"",(AND(D95="Implemented/available",O95&lt;&gt;"")+AND(E95="Implemented/available",P95&lt;&gt;"")+AND(J95="Implemented/available",Q95&lt;&gt;"")+AND(K95="Implemented/available",R95&lt;&gt;"")+AND(L95="Implemented/available",S95&lt;&gt;"")+AND(M95="Implemented/available",T95&lt;&gt;""))/((D95="Implemented/available")+(E95="Implemented/available")+(J95="Implemented/available")+(K95="Implemented/available")+(L95="Implemented/available")+(M95="Implemented/available")))</f>
        <v>1</v>
      </c>
    </row>
    <row r="96" spans="1:39" x14ac:dyDescent="0.25">
      <c r="A96" s="6" t="s">
        <v>300</v>
      </c>
      <c r="B96" s="6" t="s">
        <v>296</v>
      </c>
      <c r="C96" s="6" t="s">
        <v>301</v>
      </c>
      <c r="D96" s="6" t="s">
        <v>29</v>
      </c>
      <c r="E96" s="6" t="s">
        <v>44</v>
      </c>
      <c r="F96" s="6" t="s">
        <v>44</v>
      </c>
      <c r="G96" s="6" t="s">
        <v>117</v>
      </c>
      <c r="H96" s="6"/>
      <c r="I96" s="6"/>
      <c r="J96" s="6" t="s">
        <v>41</v>
      </c>
      <c r="K96" s="6" t="s">
        <v>29</v>
      </c>
      <c r="L96" s="6" t="s">
        <v>44</v>
      </c>
      <c r="M96" s="6" t="s">
        <v>41</v>
      </c>
      <c r="N96" s="6" t="s">
        <v>139</v>
      </c>
      <c r="O96" s="6" t="s">
        <v>298</v>
      </c>
      <c r="P96" s="6"/>
      <c r="Q96" s="6"/>
      <c r="R96" s="6" t="s">
        <v>299</v>
      </c>
      <c r="S96" s="6"/>
      <c r="T96" s="6"/>
      <c r="U96" s="6"/>
      <c r="V96" s="12">
        <f>IFERROR(IF(ISNUMBER(INDEX(Parameters!$B$5:$B$14,MATCH(D96,Parameters!$A$5:$A$14,0))),INDEX(Parameters!$B$5:$B$14,MATCH(D96,Parameters!$A$5:$A$14,0)),""),"")</f>
        <v>1</v>
      </c>
      <c r="W96" s="12">
        <f>IFERROR(IF(ISNUMBER(INDEX(Parameters!$B$5:$B$14,MATCH(E96,Parameters!$A$5:$A$14,0))),INDEX(Parameters!$B$5:$B$14,MATCH(E96,Parameters!$A$5:$A$14,0)),""),"")</f>
        <v>0</v>
      </c>
      <c r="X96" s="12">
        <f>IFERROR(IF(ISNUMBER(INDEX(Parameters!$B$5:$B$14,MATCH(F96,Parameters!$A$5:$A$14,0))),INDEX(Parameters!$B$5:$B$14,MATCH(F96,Parameters!$A$5:$A$14,0)),""),"")</f>
        <v>0</v>
      </c>
      <c r="Y96" s="12">
        <f>IF(G96&lt;&gt;"",1,IF(ISNUMBER(Parameters!$B$18),Parameters!$B$18,""))</f>
        <v>1</v>
      </c>
      <c r="Z96" s="12">
        <f>IF(I96&lt;&gt;"",IFERROR(IF(ISNUMBER(INDEX(Parameters!$B$5:$B$14,MATCH(I96,Parameters!$A$5:$A$14,0))),INDEX(Parameters!$B$5:$B$14,MATCH(I96,Parameters!$A$5:$A$14,0)),""),""),IF(ISNUMBER(Parameters!$B$21),Parameters!$B$21,""))</f>
        <v>0</v>
      </c>
      <c r="AA96" s="12">
        <f>IFERROR(IF(ISNUMBER(INDEX(Parameters!$B$5:$B$14,MATCH(J96,Parameters!$A$5:$A$14,0))),INDEX(Parameters!$B$5:$B$14,MATCH(J96,Parameters!$A$5:$A$14,0)),""),"")</f>
        <v>0.33</v>
      </c>
      <c r="AB96" s="12">
        <f>IFERROR(IF(ISNUMBER(INDEX(Parameters!$B$5:$B$14,MATCH(K96,Parameters!$A$5:$A$14,0))),INDEX(Parameters!$B$5:$B$14,MATCH(K96,Parameters!$A$5:$A$14,0)),""),"")</f>
        <v>1</v>
      </c>
      <c r="AC96" s="12">
        <f>IFERROR(IF(ISNUMBER(INDEX(Parameters!$B$5:$B$14,MATCH(L96,Parameters!$A$5:$A$14,0))),INDEX(Parameters!$B$5:$B$14,MATCH(L96,Parameters!$A$5:$A$14,0)),""),"")</f>
        <v>0</v>
      </c>
      <c r="AD96" s="12">
        <f>IFERROR(IF(ISNUMBER(INDEX(Parameters!$B$5:$B$14,MATCH(M96,Parameters!$A$5:$A$14,0))),INDEX(Parameters!$B$5:$B$14,MATCH(M96,Parameters!$A$5:$A$14,0)),""),"")</f>
        <v>0.33</v>
      </c>
      <c r="AE96" s="12">
        <f>IF(N96&lt;&gt;"",1,IF(ISNUMBER(Parameters!$B$19),Parameters!$B$19,""))</f>
        <v>1</v>
      </c>
      <c r="AF96" s="12">
        <f>IF((Parameters!$I$5*ISNUMBER(V96)+Parameters!$I$6*ISNUMBER(W96)+Parameters!$I$7*ISNUMBER(X96)+Parameters!$I$8*ISNUMBER(Y96))=0,"",(Parameters!$I$5*N(V96)+Parameters!$I$6*N(W96)+Parameters!$I$7*N(X96)+Parameters!$I$8*N(Y96))/(Parameters!$I$5*ISNUMBER(V96)+Parameters!$I$6*ISNUMBER(W96)+Parameters!$I$7*ISNUMBER(X96)+Parameters!$I$8*ISNUMBER(Y96)))</f>
        <v>0.5</v>
      </c>
      <c r="AG96" s="12">
        <f>IF((Parameters!$I$9*ISNUMBER(Z96))=0,"",(Parameters!$I$9*N(Z96))/(Parameters!$I$9*ISNUMBER(Z96)))</f>
        <v>0</v>
      </c>
      <c r="AH96" s="12">
        <f>IF((Parameters!$I$11*ISNUMBER(AA96)+Parameters!$I$12*ISNUMBER(AB96)+Parameters!$I$13*ISNUMBER(AC96)+Parameters!$I$14*ISNUMBER(AD96)+Parameters!$I$15*ISNUMBER(AE96))=0,"",(Parameters!$I$11*N(AA96)+Parameters!$I$12*N(AB96)+Parameters!$I$13*N(AC96)+Parameters!$I$14*N(AD96)+Parameters!$I$15*N(AE96))/(Parameters!$I$11*ISNUMBER(AA96)+Parameters!$I$12*ISNUMBER(AB96)+Parameters!$I$13*ISNUMBER(AC96)+Parameters!$I$14*ISNUMBER(AD96)+Parameters!$I$15*ISNUMBER(AE96)))</f>
        <v>0.53200000000000003</v>
      </c>
      <c r="AI96" s="13">
        <f>Parameters!$I$5*ISNUMBER(V96)+Parameters!$I$6*ISNUMBER(W96)+Parameters!$I$7*ISNUMBER(X96)+Parameters!$I$8*ISNUMBER(Y96)+Parameters!$I$9*ISNUMBER(Z96)+Parameters!$I$11*ISNUMBER(AA96)+Parameters!$I$12*ISNUMBER(AB96)+Parameters!$I$13*ISNUMBER(AC96)+Parameters!$I$14*ISNUMBER(AD96)+Parameters!$I$15*ISNUMBER(AE96)</f>
        <v>95</v>
      </c>
      <c r="AJ96" s="14">
        <f>IF((Parameters!$I$5+Parameters!$I$6+Parameters!$I$7+Parameters!$I$8+Parameters!$I$9+Parameters!$I$11+Parameters!$I$12+Parameters!$I$13+Parameters!$I$14+Parameters!$I$15)=0,"",AI96/(Parameters!$I$5+Parameters!$I$6+Parameters!$I$7+Parameters!$I$8+Parameters!$I$9+Parameters!$I$11+Parameters!$I$12+Parameters!$I$13+Parameters!$I$14+Parameters!$I$15))</f>
        <v>1</v>
      </c>
      <c r="AK96" s="15">
        <f>IF(AND(ISNUMBER(AF96),ISNUMBER(AH96),OR(NOT((Parameters!$I$9)&gt;0),ISNUMBER(AG96)),AJ96&gt;=Parameters!$B$20),100*(Parameters!$F$18*N(AF96)+Parameters!$F$19*N(AG96)+Parameters!$F$20*N(AH96))/(Parameters!$F$18*ISNUMBER(AF96)+Parameters!$F$19*ISNUMBER(AG96)+Parameters!$F$20*ISNUMBER(AH96)),"")</f>
        <v>38.619999999999997</v>
      </c>
      <c r="AL96" s="16">
        <f>IF(ISNUMBER(AK96),RANK(AK96,$AK$2:$AK$113),"")</f>
        <v>94</v>
      </c>
      <c r="AM96" s="14">
        <f>IF(((D96="Implemented/available")+(E96="Implemented/available")+(J96="Implemented/available")+(K96="Implemented/available")+(L96="Implemented/available")+(M96="Implemented/available"))=0,"",(AND(D96="Implemented/available",O96&lt;&gt;"")+AND(E96="Implemented/available",P96&lt;&gt;"")+AND(J96="Implemented/available",Q96&lt;&gt;"")+AND(K96="Implemented/available",R96&lt;&gt;"")+AND(L96="Implemented/available",S96&lt;&gt;"")+AND(M96="Implemented/available",T96&lt;&gt;""))/((D96="Implemented/available")+(E96="Implemented/available")+(J96="Implemented/available")+(K96="Implemented/available")+(L96="Implemented/available")+(M96="Implemented/available")))</f>
        <v>1</v>
      </c>
    </row>
    <row r="97" spans="1:39" x14ac:dyDescent="0.25">
      <c r="A97" s="6" t="s">
        <v>624</v>
      </c>
      <c r="B97" s="6" t="s">
        <v>625</v>
      </c>
      <c r="C97" s="6" t="s">
        <v>422</v>
      </c>
      <c r="D97" s="6" t="s">
        <v>41</v>
      </c>
      <c r="E97" s="6" t="s">
        <v>41</v>
      </c>
      <c r="F97" s="6" t="s">
        <v>44</v>
      </c>
      <c r="G97" s="6" t="s">
        <v>184</v>
      </c>
      <c r="H97" s="6"/>
      <c r="I97" s="6"/>
      <c r="J97" s="6" t="s">
        <v>38</v>
      </c>
      <c r="K97" s="6" t="s">
        <v>29</v>
      </c>
      <c r="L97" s="6" t="s">
        <v>41</v>
      </c>
      <c r="M97" s="6" t="s">
        <v>29</v>
      </c>
      <c r="N97" s="6"/>
      <c r="O97" s="6"/>
      <c r="P97" s="6"/>
      <c r="Q97" s="6"/>
      <c r="R97" s="6" t="s">
        <v>626</v>
      </c>
      <c r="S97" s="6"/>
      <c r="T97" s="6" t="s">
        <v>627</v>
      </c>
      <c r="U97" s="6"/>
      <c r="V97" s="12">
        <f>IFERROR(IF(ISNUMBER(INDEX(Parameters!$B$5:$B$14,MATCH(D97,Parameters!$A$5:$A$14,0))),INDEX(Parameters!$B$5:$B$14,MATCH(D97,Parameters!$A$5:$A$14,0)),""),"")</f>
        <v>0.33</v>
      </c>
      <c r="W97" s="12">
        <f>IFERROR(IF(ISNUMBER(INDEX(Parameters!$B$5:$B$14,MATCH(E97,Parameters!$A$5:$A$14,0))),INDEX(Parameters!$B$5:$B$14,MATCH(E97,Parameters!$A$5:$A$14,0)),""),"")</f>
        <v>0.33</v>
      </c>
      <c r="X97" s="12">
        <f>IFERROR(IF(ISNUMBER(INDEX(Parameters!$B$5:$B$14,MATCH(F97,Parameters!$A$5:$A$14,0))),INDEX(Parameters!$B$5:$B$14,MATCH(F97,Parameters!$A$5:$A$14,0)),""),"")</f>
        <v>0</v>
      </c>
      <c r="Y97" s="12">
        <f>IF(G97&lt;&gt;"",1,IF(ISNUMBER(Parameters!$B$18),Parameters!$B$18,""))</f>
        <v>1</v>
      </c>
      <c r="Z97" s="12">
        <f>IF(I97&lt;&gt;"",IFERROR(IF(ISNUMBER(INDEX(Parameters!$B$5:$B$14,MATCH(I97,Parameters!$A$5:$A$14,0))),INDEX(Parameters!$B$5:$B$14,MATCH(I97,Parameters!$A$5:$A$14,0)),""),""),IF(ISNUMBER(Parameters!$B$21),Parameters!$B$21,""))</f>
        <v>0</v>
      </c>
      <c r="AA97" s="12">
        <f>IFERROR(IF(ISNUMBER(INDEX(Parameters!$B$5:$B$14,MATCH(J97,Parameters!$A$5:$A$14,0))),INDEX(Parameters!$B$5:$B$14,MATCH(J97,Parameters!$A$5:$A$14,0)),""),"")</f>
        <v>0.67</v>
      </c>
      <c r="AB97" s="12">
        <f>IFERROR(IF(ISNUMBER(INDEX(Parameters!$B$5:$B$14,MATCH(K97,Parameters!$A$5:$A$14,0))),INDEX(Parameters!$B$5:$B$14,MATCH(K97,Parameters!$A$5:$A$14,0)),""),"")</f>
        <v>1</v>
      </c>
      <c r="AC97" s="12">
        <f>IFERROR(IF(ISNUMBER(INDEX(Parameters!$B$5:$B$14,MATCH(L97,Parameters!$A$5:$A$14,0))),INDEX(Parameters!$B$5:$B$14,MATCH(L97,Parameters!$A$5:$A$14,0)),""),"")</f>
        <v>0.33</v>
      </c>
      <c r="AD97" s="12">
        <f>IFERROR(IF(ISNUMBER(INDEX(Parameters!$B$5:$B$14,MATCH(M97,Parameters!$A$5:$A$14,0))),INDEX(Parameters!$B$5:$B$14,MATCH(M97,Parameters!$A$5:$A$14,0)),""),"")</f>
        <v>1</v>
      </c>
      <c r="AE97" s="12">
        <f>IF(N97&lt;&gt;"",1,IF(ISNUMBER(Parameters!$B$19),Parameters!$B$19,""))</f>
        <v>0</v>
      </c>
      <c r="AF97" s="12">
        <f>IF((Parameters!$I$5*ISNUMBER(V97)+Parameters!$I$6*ISNUMBER(W97)+Parameters!$I$7*ISNUMBER(X97)+Parameters!$I$8*ISNUMBER(Y97))=0,"",(Parameters!$I$5*N(V97)+Parameters!$I$6*N(W97)+Parameters!$I$7*N(X97)+Parameters!$I$8*N(Y97))/(Parameters!$I$5*ISNUMBER(V97)+Parameters!$I$6*ISNUMBER(W97)+Parameters!$I$7*ISNUMBER(X97)+Parameters!$I$8*ISNUMBER(Y97)))</f>
        <v>0.39800000000000002</v>
      </c>
      <c r="AG97" s="12">
        <f>IF((Parameters!$I$9*ISNUMBER(Z97))=0,"",(Parameters!$I$9*N(Z97))/(Parameters!$I$9*ISNUMBER(Z97)))</f>
        <v>0</v>
      </c>
      <c r="AH97" s="12">
        <f>IF((Parameters!$I$11*ISNUMBER(AA97)+Parameters!$I$12*ISNUMBER(AB97)+Parameters!$I$13*ISNUMBER(AC97)+Parameters!$I$14*ISNUMBER(AD97)+Parameters!$I$15*ISNUMBER(AE97))=0,"",(Parameters!$I$11*N(AA97)+Parameters!$I$12*N(AB97)+Parameters!$I$13*N(AC97)+Parameters!$I$14*N(AD97)+Parameters!$I$15*N(AE97))/(Parameters!$I$11*ISNUMBER(AA97)+Parameters!$I$12*ISNUMBER(AB97)+Parameters!$I$13*ISNUMBER(AC97)+Parameters!$I$14*ISNUMBER(AD97)+Parameters!$I$15*ISNUMBER(AE97)))</f>
        <v>0.6</v>
      </c>
      <c r="AI97" s="13">
        <f>Parameters!$I$5*ISNUMBER(V97)+Parameters!$I$6*ISNUMBER(W97)+Parameters!$I$7*ISNUMBER(X97)+Parameters!$I$8*ISNUMBER(Y97)+Parameters!$I$9*ISNUMBER(Z97)+Parameters!$I$11*ISNUMBER(AA97)+Parameters!$I$12*ISNUMBER(AB97)+Parameters!$I$13*ISNUMBER(AC97)+Parameters!$I$14*ISNUMBER(AD97)+Parameters!$I$15*ISNUMBER(AE97)</f>
        <v>95</v>
      </c>
      <c r="AJ97" s="14">
        <f>IF((Parameters!$I$5+Parameters!$I$6+Parameters!$I$7+Parameters!$I$8+Parameters!$I$9+Parameters!$I$11+Parameters!$I$12+Parameters!$I$13+Parameters!$I$14+Parameters!$I$15)=0,"",AI97/(Parameters!$I$5+Parameters!$I$6+Parameters!$I$7+Parameters!$I$8+Parameters!$I$9+Parameters!$I$11+Parameters!$I$12+Parameters!$I$13+Parameters!$I$14+Parameters!$I$15))</f>
        <v>1</v>
      </c>
      <c r="AK97" s="15">
        <f>IF(AND(ISNUMBER(AF97),ISNUMBER(AH97),OR(NOT((Parameters!$I$9)&gt;0),ISNUMBER(AG97)),AJ97&gt;=Parameters!$B$20),100*(Parameters!$F$18*N(AF97)+Parameters!$F$19*N(AG97)+Parameters!$F$20*N(AH97))/(Parameters!$F$18*ISNUMBER(AF97)+Parameters!$F$19*ISNUMBER(AG97)+Parameters!$F$20*ISNUMBER(AH97)),"")</f>
        <v>36.919999999999995</v>
      </c>
      <c r="AL97" s="16">
        <f>IF(ISNUMBER(AK97),RANK(AK97,$AK$2:$AK$113),"")</f>
        <v>96</v>
      </c>
      <c r="AM97" s="14">
        <f>IF(((D97="Implemented/available")+(E97="Implemented/available")+(J97="Implemented/available")+(K97="Implemented/available")+(L97="Implemented/available")+(M97="Implemented/available"))=0,"",(AND(D97="Implemented/available",O97&lt;&gt;"")+AND(E97="Implemented/available",P97&lt;&gt;"")+AND(J97="Implemented/available",Q97&lt;&gt;"")+AND(K97="Implemented/available",R97&lt;&gt;"")+AND(L97="Implemented/available",S97&lt;&gt;"")+AND(M97="Implemented/available",T97&lt;&gt;""))/((D97="Implemented/available")+(E97="Implemented/available")+(J97="Implemented/available")+(K97="Implemented/available")+(L97="Implemented/available")+(M97="Implemented/available")))</f>
        <v>1</v>
      </c>
    </row>
    <row r="98" spans="1:39" x14ac:dyDescent="0.25">
      <c r="A98" s="6" t="s">
        <v>572</v>
      </c>
      <c r="B98" s="6" t="s">
        <v>573</v>
      </c>
      <c r="C98" s="6" t="s">
        <v>371</v>
      </c>
      <c r="D98" s="6" t="s">
        <v>41</v>
      </c>
      <c r="E98" s="6" t="s">
        <v>41</v>
      </c>
      <c r="F98" s="6" t="s">
        <v>48</v>
      </c>
      <c r="G98" s="6"/>
      <c r="H98" s="6"/>
      <c r="I98" s="6"/>
      <c r="J98" s="6" t="s">
        <v>29</v>
      </c>
      <c r="K98" s="6" t="s">
        <v>29</v>
      </c>
      <c r="L98" s="6" t="s">
        <v>38</v>
      </c>
      <c r="M98" s="6" t="s">
        <v>29</v>
      </c>
      <c r="N98" s="6"/>
      <c r="O98" s="6"/>
      <c r="P98" s="6"/>
      <c r="Q98" s="6" t="s">
        <v>574</v>
      </c>
      <c r="R98" s="6" t="s">
        <v>575</v>
      </c>
      <c r="S98" s="6"/>
      <c r="T98" s="6" t="s">
        <v>576</v>
      </c>
      <c r="U98" s="6"/>
      <c r="V98" s="12">
        <f>IFERROR(IF(ISNUMBER(INDEX(Parameters!$B$5:$B$14,MATCH(D98,Parameters!$A$5:$A$14,0))),INDEX(Parameters!$B$5:$B$14,MATCH(D98,Parameters!$A$5:$A$14,0)),""),"")</f>
        <v>0.33</v>
      </c>
      <c r="W98" s="12">
        <f>IFERROR(IF(ISNUMBER(INDEX(Parameters!$B$5:$B$14,MATCH(E98,Parameters!$A$5:$A$14,0))),INDEX(Parameters!$B$5:$B$14,MATCH(E98,Parameters!$A$5:$A$14,0)),""),"")</f>
        <v>0.33</v>
      </c>
      <c r="X98" s="12" t="str">
        <f>IFERROR(IF(ISNUMBER(INDEX(Parameters!$B$5:$B$14,MATCH(F98,Parameters!$A$5:$A$14,0))),INDEX(Parameters!$B$5:$B$14,MATCH(F98,Parameters!$A$5:$A$14,0)),""),"")</f>
        <v/>
      </c>
      <c r="Y98" s="12">
        <f>IF(G98&lt;&gt;"",1,IF(ISNUMBER(Parameters!$B$18),Parameters!$B$18,""))</f>
        <v>0</v>
      </c>
      <c r="Z98" s="12">
        <f>IF(I98&lt;&gt;"",IFERROR(IF(ISNUMBER(INDEX(Parameters!$B$5:$B$14,MATCH(I98,Parameters!$A$5:$A$14,0))),INDEX(Parameters!$B$5:$B$14,MATCH(I98,Parameters!$A$5:$A$14,0)),""),""),IF(ISNUMBER(Parameters!$B$21),Parameters!$B$21,""))</f>
        <v>0</v>
      </c>
      <c r="AA98" s="12">
        <f>IFERROR(IF(ISNUMBER(INDEX(Parameters!$B$5:$B$14,MATCH(J98,Parameters!$A$5:$A$14,0))),INDEX(Parameters!$B$5:$B$14,MATCH(J98,Parameters!$A$5:$A$14,0)),""),"")</f>
        <v>1</v>
      </c>
      <c r="AB98" s="12">
        <f>IFERROR(IF(ISNUMBER(INDEX(Parameters!$B$5:$B$14,MATCH(K98,Parameters!$A$5:$A$14,0))),INDEX(Parameters!$B$5:$B$14,MATCH(K98,Parameters!$A$5:$A$14,0)),""),"")</f>
        <v>1</v>
      </c>
      <c r="AC98" s="12">
        <f>IFERROR(IF(ISNUMBER(INDEX(Parameters!$B$5:$B$14,MATCH(L98,Parameters!$A$5:$A$14,0))),INDEX(Parameters!$B$5:$B$14,MATCH(L98,Parameters!$A$5:$A$14,0)),""),"")</f>
        <v>0.67</v>
      </c>
      <c r="AD98" s="12">
        <f>IFERROR(IF(ISNUMBER(INDEX(Parameters!$B$5:$B$14,MATCH(M98,Parameters!$A$5:$A$14,0))),INDEX(Parameters!$B$5:$B$14,MATCH(M98,Parameters!$A$5:$A$14,0)),""),"")</f>
        <v>1</v>
      </c>
      <c r="AE98" s="12">
        <f>IF(N98&lt;&gt;"",1,IF(ISNUMBER(Parameters!$B$19),Parameters!$B$19,""))</f>
        <v>0</v>
      </c>
      <c r="AF98" s="12">
        <f>IF((Parameters!$I$5*ISNUMBER(V98)+Parameters!$I$6*ISNUMBER(W98)+Parameters!$I$7*ISNUMBER(X98)+Parameters!$I$8*ISNUMBER(Y98))=0,"",(Parameters!$I$5*N(V98)+Parameters!$I$6*N(W98)+Parameters!$I$7*N(X98)+Parameters!$I$8*N(Y98))/(Parameters!$I$5*ISNUMBER(V98)+Parameters!$I$6*ISNUMBER(W98)+Parameters!$I$7*ISNUMBER(X98)+Parameters!$I$8*ISNUMBER(Y98)))</f>
        <v>0.2475</v>
      </c>
      <c r="AG98" s="12">
        <f>IF((Parameters!$I$9*ISNUMBER(Z98))=0,"",(Parameters!$I$9*N(Z98))/(Parameters!$I$9*ISNUMBER(Z98)))</f>
        <v>0</v>
      </c>
      <c r="AH98" s="12">
        <f>IF((Parameters!$I$11*ISNUMBER(AA98)+Parameters!$I$12*ISNUMBER(AB98)+Parameters!$I$13*ISNUMBER(AC98)+Parameters!$I$14*ISNUMBER(AD98)+Parameters!$I$15*ISNUMBER(AE98))=0,"",(Parameters!$I$11*N(AA98)+Parameters!$I$12*N(AB98)+Parameters!$I$13*N(AC98)+Parameters!$I$14*N(AD98)+Parameters!$I$15*N(AE98))/(Parameters!$I$11*ISNUMBER(AA98)+Parameters!$I$12*ISNUMBER(AB98)+Parameters!$I$13*ISNUMBER(AC98)+Parameters!$I$14*ISNUMBER(AD98)+Parameters!$I$15*ISNUMBER(AE98)))</f>
        <v>0.73399999999999999</v>
      </c>
      <c r="AI98" s="13">
        <f>Parameters!$I$5*ISNUMBER(V98)+Parameters!$I$6*ISNUMBER(W98)+Parameters!$I$7*ISNUMBER(X98)+Parameters!$I$8*ISNUMBER(Y98)+Parameters!$I$9*ISNUMBER(Z98)+Parameters!$I$11*ISNUMBER(AA98)+Parameters!$I$12*ISNUMBER(AB98)+Parameters!$I$13*ISNUMBER(AC98)+Parameters!$I$14*ISNUMBER(AD98)+Parameters!$I$15*ISNUMBER(AE98)</f>
        <v>87</v>
      </c>
      <c r="AJ98" s="14">
        <f>IF((Parameters!$I$5+Parameters!$I$6+Parameters!$I$7+Parameters!$I$8+Parameters!$I$9+Parameters!$I$11+Parameters!$I$12+Parameters!$I$13+Parameters!$I$14+Parameters!$I$15)=0,"",AI98/(Parameters!$I$5+Parameters!$I$6+Parameters!$I$7+Parameters!$I$8+Parameters!$I$9+Parameters!$I$11+Parameters!$I$12+Parameters!$I$13+Parameters!$I$14+Parameters!$I$15))</f>
        <v>0.91578947368421049</v>
      </c>
      <c r="AK98" s="15">
        <f>IF(AND(ISNUMBER(AF98),ISNUMBER(AH98),OR(NOT((Parameters!$I$9)&gt;0),ISNUMBER(AG98)),AJ98&gt;=Parameters!$B$20),100*(Parameters!$F$18*N(AF98)+Parameters!$F$19*N(AG98)+Parameters!$F$20*N(AH98))/(Parameters!$F$18*ISNUMBER(AF98)+Parameters!$F$19*ISNUMBER(AG98)+Parameters!$F$20*ISNUMBER(AH98)),"")</f>
        <v>35.589999999999996</v>
      </c>
      <c r="AL98" s="16">
        <f>IF(ISNUMBER(AK98),RANK(AK98,$AK$2:$AK$113),"")</f>
        <v>97</v>
      </c>
      <c r="AM98" s="14">
        <f>IF(((D98="Implemented/available")+(E98="Implemented/available")+(J98="Implemented/available")+(K98="Implemented/available")+(L98="Implemented/available")+(M98="Implemented/available"))=0,"",(AND(D98="Implemented/available",O98&lt;&gt;"")+AND(E98="Implemented/available",P98&lt;&gt;"")+AND(J98="Implemented/available",Q98&lt;&gt;"")+AND(K98="Implemented/available",R98&lt;&gt;"")+AND(L98="Implemented/available",S98&lt;&gt;"")+AND(M98="Implemented/available",T98&lt;&gt;""))/((D98="Implemented/available")+(E98="Implemented/available")+(J98="Implemented/available")+(K98="Implemented/available")+(L98="Implemented/available")+(M98="Implemented/available")))</f>
        <v>1</v>
      </c>
    </row>
    <row r="99" spans="1:39" x14ac:dyDescent="0.25">
      <c r="A99" s="6" t="s">
        <v>556</v>
      </c>
      <c r="B99" s="6" t="s">
        <v>557</v>
      </c>
      <c r="C99" s="6" t="s">
        <v>151</v>
      </c>
      <c r="D99" s="6" t="s">
        <v>41</v>
      </c>
      <c r="E99" s="6" t="s">
        <v>41</v>
      </c>
      <c r="F99" s="6" t="s">
        <v>48</v>
      </c>
      <c r="G99" s="6" t="s">
        <v>117</v>
      </c>
      <c r="H99" s="6"/>
      <c r="I99" s="6"/>
      <c r="J99" s="6" t="s">
        <v>48</v>
      </c>
      <c r="K99" s="6" t="s">
        <v>34</v>
      </c>
      <c r="L99" s="6" t="s">
        <v>41</v>
      </c>
      <c r="M99" s="6" t="s">
        <v>53</v>
      </c>
      <c r="N99" s="6"/>
      <c r="O99" s="6"/>
      <c r="P99" s="6"/>
      <c r="Q99" s="6"/>
      <c r="R99" s="6"/>
      <c r="S99" s="6"/>
      <c r="T99" s="6"/>
      <c r="U99" s="6"/>
      <c r="V99" s="12">
        <f>IFERROR(IF(ISNUMBER(INDEX(Parameters!$B$5:$B$14,MATCH(D99,Parameters!$A$5:$A$14,0))),INDEX(Parameters!$B$5:$B$14,MATCH(D99,Parameters!$A$5:$A$14,0)),""),"")</f>
        <v>0.33</v>
      </c>
      <c r="W99" s="12">
        <f>IFERROR(IF(ISNUMBER(INDEX(Parameters!$B$5:$B$14,MATCH(E99,Parameters!$A$5:$A$14,0))),INDEX(Parameters!$B$5:$B$14,MATCH(E99,Parameters!$A$5:$A$14,0)),""),"")</f>
        <v>0.33</v>
      </c>
      <c r="X99" s="12" t="str">
        <f>IFERROR(IF(ISNUMBER(INDEX(Parameters!$B$5:$B$14,MATCH(F99,Parameters!$A$5:$A$14,0))),INDEX(Parameters!$B$5:$B$14,MATCH(F99,Parameters!$A$5:$A$14,0)),""),"")</f>
        <v/>
      </c>
      <c r="Y99" s="12">
        <f>IF(G99&lt;&gt;"",1,IF(ISNUMBER(Parameters!$B$18),Parameters!$B$18,""))</f>
        <v>1</v>
      </c>
      <c r="Z99" s="12">
        <f>IF(I99&lt;&gt;"",IFERROR(IF(ISNUMBER(INDEX(Parameters!$B$5:$B$14,MATCH(I99,Parameters!$A$5:$A$14,0))),INDEX(Parameters!$B$5:$B$14,MATCH(I99,Parameters!$A$5:$A$14,0)),""),""),IF(ISNUMBER(Parameters!$B$21),Parameters!$B$21,""))</f>
        <v>0</v>
      </c>
      <c r="AA99" s="12" t="str">
        <f>IFERROR(IF(ISNUMBER(INDEX(Parameters!$B$5:$B$14,MATCH(J99,Parameters!$A$5:$A$14,0))),INDEX(Parameters!$B$5:$B$14,MATCH(J99,Parameters!$A$5:$A$14,0)),""),"")</f>
        <v/>
      </c>
      <c r="AB99" s="12">
        <f>IFERROR(IF(ISNUMBER(INDEX(Parameters!$B$5:$B$14,MATCH(K99,Parameters!$A$5:$A$14,0))),INDEX(Parameters!$B$5:$B$14,MATCH(K99,Parameters!$A$5:$A$14,0)),""),"")</f>
        <v>1</v>
      </c>
      <c r="AC99" s="12">
        <f>IFERROR(IF(ISNUMBER(INDEX(Parameters!$B$5:$B$14,MATCH(L99,Parameters!$A$5:$A$14,0))),INDEX(Parameters!$B$5:$B$14,MATCH(L99,Parameters!$A$5:$A$14,0)),""),"")</f>
        <v>0.33</v>
      </c>
      <c r="AD99" s="12" t="str">
        <f>IFERROR(IF(ISNUMBER(INDEX(Parameters!$B$5:$B$14,MATCH(M99,Parameters!$A$5:$A$14,0))),INDEX(Parameters!$B$5:$B$14,MATCH(M99,Parameters!$A$5:$A$14,0)),""),"")</f>
        <v/>
      </c>
      <c r="AE99" s="12">
        <f>IF(N99&lt;&gt;"",1,IF(ISNUMBER(Parameters!$B$19),Parameters!$B$19,""))</f>
        <v>0</v>
      </c>
      <c r="AF99" s="12">
        <f>IF((Parameters!$I$5*ISNUMBER(V99)+Parameters!$I$6*ISNUMBER(W99)+Parameters!$I$7*ISNUMBER(X99)+Parameters!$I$8*ISNUMBER(Y99))=0,"",(Parameters!$I$5*N(V99)+Parameters!$I$6*N(W99)+Parameters!$I$7*N(X99)+Parameters!$I$8*N(Y99))/(Parameters!$I$5*ISNUMBER(V99)+Parameters!$I$6*ISNUMBER(W99)+Parameters!$I$7*ISNUMBER(X99)+Parameters!$I$8*ISNUMBER(Y99)))</f>
        <v>0.4975</v>
      </c>
      <c r="AG99" s="12">
        <f>IF((Parameters!$I$9*ISNUMBER(Z99))=0,"",(Parameters!$I$9*N(Z99))/(Parameters!$I$9*ISNUMBER(Z99)))</f>
        <v>0</v>
      </c>
      <c r="AH99" s="12">
        <f>IF((Parameters!$I$11*ISNUMBER(AA99)+Parameters!$I$12*ISNUMBER(AB99)+Parameters!$I$13*ISNUMBER(AC99)+Parameters!$I$14*ISNUMBER(AD99)+Parameters!$I$15*ISNUMBER(AE99))=0,"",(Parameters!$I$11*N(AA99)+Parameters!$I$12*N(AB99)+Parameters!$I$13*N(AC99)+Parameters!$I$14*N(AD99)+Parameters!$I$15*N(AE99))/(Parameters!$I$11*ISNUMBER(AA99)+Parameters!$I$12*ISNUMBER(AB99)+Parameters!$I$13*ISNUMBER(AC99)+Parameters!$I$14*ISNUMBER(AD99)+Parameters!$I$15*ISNUMBER(AE99)))</f>
        <v>0.44333333333333336</v>
      </c>
      <c r="AI99" s="13">
        <f>Parameters!$I$5*ISNUMBER(V99)+Parameters!$I$6*ISNUMBER(W99)+Parameters!$I$7*ISNUMBER(X99)+Parameters!$I$8*ISNUMBER(Y99)+Parameters!$I$9*ISNUMBER(Z99)+Parameters!$I$11*ISNUMBER(AA99)+Parameters!$I$12*ISNUMBER(AB99)+Parameters!$I$13*ISNUMBER(AC99)+Parameters!$I$14*ISNUMBER(AD99)+Parameters!$I$15*ISNUMBER(AE99)</f>
        <v>73</v>
      </c>
      <c r="AJ99" s="14">
        <f>IF((Parameters!$I$5+Parameters!$I$6+Parameters!$I$7+Parameters!$I$8+Parameters!$I$9+Parameters!$I$11+Parameters!$I$12+Parameters!$I$13+Parameters!$I$14+Parameters!$I$15)=0,"",AI99/(Parameters!$I$5+Parameters!$I$6+Parameters!$I$7+Parameters!$I$8+Parameters!$I$9+Parameters!$I$11+Parameters!$I$12+Parameters!$I$13+Parameters!$I$14+Parameters!$I$15))</f>
        <v>0.76842105263157889</v>
      </c>
      <c r="AK99" s="15">
        <f>IF(AND(ISNUMBER(AF99),ISNUMBER(AH99),OR(NOT((Parameters!$I$9)&gt;0),ISNUMBER(AG99)),AJ99&gt;=Parameters!$B$20),100*(Parameters!$F$18*N(AF99)+Parameters!$F$19*N(AG99)+Parameters!$F$20*N(AH99))/(Parameters!$F$18*ISNUMBER(AF99)+Parameters!$F$19*ISNUMBER(AG99)+Parameters!$F$20*ISNUMBER(AH99)),"")</f>
        <v>35.416666666666671</v>
      </c>
      <c r="AL99" s="16">
        <f>IF(ISNUMBER(AK99),RANK(AK99,$AK$2:$AK$113),"")</f>
        <v>98</v>
      </c>
      <c r="AM99" s="14" t="str">
        <f>IF(((D99="Implemented/available")+(E99="Implemented/available")+(J99="Implemented/available")+(K99="Implemented/available")+(L99="Implemented/available")+(M99="Implemented/available"))=0,"",(AND(D99="Implemented/available",O99&lt;&gt;"")+AND(E99="Implemented/available",P99&lt;&gt;"")+AND(J99="Implemented/available",Q99&lt;&gt;"")+AND(K99="Implemented/available",R99&lt;&gt;"")+AND(L99="Implemented/available",S99&lt;&gt;"")+AND(M99="Implemented/available",T99&lt;&gt;""))/((D99="Implemented/available")+(E99="Implemented/available")+(J99="Implemented/available")+(K99="Implemented/available")+(L99="Implemented/available")+(M99="Implemented/available")))</f>
        <v/>
      </c>
    </row>
    <row r="100" spans="1:39" x14ac:dyDescent="0.25">
      <c r="A100" s="6" t="s">
        <v>632</v>
      </c>
      <c r="B100" s="6" t="s">
        <v>633</v>
      </c>
      <c r="C100" s="6" t="s">
        <v>634</v>
      </c>
      <c r="D100" s="6" t="s">
        <v>44</v>
      </c>
      <c r="E100" s="6" t="s">
        <v>48</v>
      </c>
      <c r="F100" s="6" t="s">
        <v>44</v>
      </c>
      <c r="G100" s="6" t="s">
        <v>117</v>
      </c>
      <c r="H100" s="6"/>
      <c r="I100" s="6"/>
      <c r="J100" s="6" t="s">
        <v>44</v>
      </c>
      <c r="K100" s="6" t="s">
        <v>29</v>
      </c>
      <c r="L100" s="6" t="s">
        <v>41</v>
      </c>
      <c r="M100" s="6" t="s">
        <v>29</v>
      </c>
      <c r="N100" s="6" t="s">
        <v>139</v>
      </c>
      <c r="O100" s="6"/>
      <c r="P100" s="6"/>
      <c r="Q100" s="6"/>
      <c r="R100" s="6" t="s">
        <v>635</v>
      </c>
      <c r="S100" s="6"/>
      <c r="T100" s="6" t="s">
        <v>636</v>
      </c>
      <c r="U100" s="6"/>
      <c r="V100" s="12">
        <f>IFERROR(IF(ISNUMBER(INDEX(Parameters!$B$5:$B$14,MATCH(D100,Parameters!$A$5:$A$14,0))),INDEX(Parameters!$B$5:$B$14,MATCH(D100,Parameters!$A$5:$A$14,0)),""),"")</f>
        <v>0</v>
      </c>
      <c r="W100" s="12" t="str">
        <f>IFERROR(IF(ISNUMBER(INDEX(Parameters!$B$5:$B$14,MATCH(E100,Parameters!$A$5:$A$14,0))),INDEX(Parameters!$B$5:$B$14,MATCH(E100,Parameters!$A$5:$A$14,0)),""),"")</f>
        <v/>
      </c>
      <c r="X100" s="12">
        <f>IFERROR(IF(ISNUMBER(INDEX(Parameters!$B$5:$B$14,MATCH(F100,Parameters!$A$5:$A$14,0))),INDEX(Parameters!$B$5:$B$14,MATCH(F100,Parameters!$A$5:$A$14,0)),""),"")</f>
        <v>0</v>
      </c>
      <c r="Y100" s="12">
        <f>IF(G100&lt;&gt;"",1,IF(ISNUMBER(Parameters!$B$18),Parameters!$B$18,""))</f>
        <v>1</v>
      </c>
      <c r="Z100" s="12">
        <f>IF(I100&lt;&gt;"",IFERROR(IF(ISNUMBER(INDEX(Parameters!$B$5:$B$14,MATCH(I100,Parameters!$A$5:$A$14,0))),INDEX(Parameters!$B$5:$B$14,MATCH(I100,Parameters!$A$5:$A$14,0)),""),""),IF(ISNUMBER(Parameters!$B$21),Parameters!$B$21,""))</f>
        <v>0</v>
      </c>
      <c r="AA100" s="12">
        <f>IFERROR(IF(ISNUMBER(INDEX(Parameters!$B$5:$B$14,MATCH(J100,Parameters!$A$5:$A$14,0))),INDEX(Parameters!$B$5:$B$14,MATCH(J100,Parameters!$A$5:$A$14,0)),""),"")</f>
        <v>0</v>
      </c>
      <c r="AB100" s="12">
        <f>IFERROR(IF(ISNUMBER(INDEX(Parameters!$B$5:$B$14,MATCH(K100,Parameters!$A$5:$A$14,0))),INDEX(Parameters!$B$5:$B$14,MATCH(K100,Parameters!$A$5:$A$14,0)),""),"")</f>
        <v>1</v>
      </c>
      <c r="AC100" s="12">
        <f>IFERROR(IF(ISNUMBER(INDEX(Parameters!$B$5:$B$14,MATCH(L100,Parameters!$A$5:$A$14,0))),INDEX(Parameters!$B$5:$B$14,MATCH(L100,Parameters!$A$5:$A$14,0)),""),"")</f>
        <v>0.33</v>
      </c>
      <c r="AD100" s="12">
        <f>IFERROR(IF(ISNUMBER(INDEX(Parameters!$B$5:$B$14,MATCH(M100,Parameters!$A$5:$A$14,0))),INDEX(Parameters!$B$5:$B$14,MATCH(M100,Parameters!$A$5:$A$14,0)),""),"")</f>
        <v>1</v>
      </c>
      <c r="AE100" s="12">
        <f>IF(N100&lt;&gt;"",1,IF(ISNUMBER(Parameters!$B$19),Parameters!$B$19,""))</f>
        <v>1</v>
      </c>
      <c r="AF100" s="12">
        <f>IF((Parameters!$I$5*ISNUMBER(V100)+Parameters!$I$6*ISNUMBER(W100)+Parameters!$I$7*ISNUMBER(X100)+Parameters!$I$8*ISNUMBER(Y100))=0,"",(Parameters!$I$5*N(V100)+Parameters!$I$6*N(W100)+Parameters!$I$7*N(X100)+Parameters!$I$8*N(Y100))/(Parameters!$I$5*ISNUMBER(V100)+Parameters!$I$6*ISNUMBER(W100)+Parameters!$I$7*ISNUMBER(X100)+Parameters!$I$8*ISNUMBER(Y100)))</f>
        <v>0.2857142857142857</v>
      </c>
      <c r="AG100" s="12">
        <f>IF((Parameters!$I$9*ISNUMBER(Z100))=0,"",(Parameters!$I$9*N(Z100))/(Parameters!$I$9*ISNUMBER(Z100)))</f>
        <v>0</v>
      </c>
      <c r="AH100" s="12">
        <f>IF((Parameters!$I$11*ISNUMBER(AA100)+Parameters!$I$12*ISNUMBER(AB100)+Parameters!$I$13*ISNUMBER(AC100)+Parameters!$I$14*ISNUMBER(AD100)+Parameters!$I$15*ISNUMBER(AE100))=0,"",(Parameters!$I$11*N(AA100)+Parameters!$I$12*N(AB100)+Parameters!$I$13*N(AC100)+Parameters!$I$14*N(AD100)+Parameters!$I$15*N(AE100))/(Parameters!$I$11*ISNUMBER(AA100)+Parameters!$I$12*ISNUMBER(AB100)+Parameters!$I$13*ISNUMBER(AC100)+Parameters!$I$14*ISNUMBER(AD100)+Parameters!$I$15*ISNUMBER(AE100)))</f>
        <v>0.66600000000000004</v>
      </c>
      <c r="AI100" s="13">
        <f>Parameters!$I$5*ISNUMBER(V100)+Parameters!$I$6*ISNUMBER(W100)+Parameters!$I$7*ISNUMBER(X100)+Parameters!$I$8*ISNUMBER(Y100)+Parameters!$I$9*ISNUMBER(Z100)+Parameters!$I$11*ISNUMBER(AA100)+Parameters!$I$12*ISNUMBER(AB100)+Parameters!$I$13*ISNUMBER(AC100)+Parameters!$I$14*ISNUMBER(AD100)+Parameters!$I$15*ISNUMBER(AE100)</f>
        <v>83</v>
      </c>
      <c r="AJ100" s="14">
        <f>IF((Parameters!$I$5+Parameters!$I$6+Parameters!$I$7+Parameters!$I$8+Parameters!$I$9+Parameters!$I$11+Parameters!$I$12+Parameters!$I$13+Parameters!$I$14+Parameters!$I$15)=0,"",AI100/(Parameters!$I$5+Parameters!$I$6+Parameters!$I$7+Parameters!$I$8+Parameters!$I$9+Parameters!$I$11+Parameters!$I$12+Parameters!$I$13+Parameters!$I$14+Parameters!$I$15))</f>
        <v>0.87368421052631584</v>
      </c>
      <c r="AK100" s="15">
        <f>IF(AND(ISNUMBER(AF100),ISNUMBER(AH100),OR(NOT((Parameters!$I$9)&gt;0),ISNUMBER(AG100)),AJ100&gt;=Parameters!$B$20),100*(Parameters!$F$18*N(AF100)+Parameters!$F$19*N(AG100)+Parameters!$F$20*N(AH100))/(Parameters!$F$18*ISNUMBER(AF100)+Parameters!$F$19*ISNUMBER(AG100)+Parameters!$F$20*ISNUMBER(AH100)),"")</f>
        <v>34.738571428571433</v>
      </c>
      <c r="AL100" s="16">
        <f>IF(ISNUMBER(AK100),RANK(AK100,$AK$2:$AK$113),"")</f>
        <v>99</v>
      </c>
      <c r="AM100" s="14">
        <f>IF(((D100="Implemented/available")+(E100="Implemented/available")+(J100="Implemented/available")+(K100="Implemented/available")+(L100="Implemented/available")+(M100="Implemented/available"))=0,"",(AND(D100="Implemented/available",O100&lt;&gt;"")+AND(E100="Implemented/available",P100&lt;&gt;"")+AND(J100="Implemented/available",Q100&lt;&gt;"")+AND(K100="Implemented/available",R100&lt;&gt;"")+AND(L100="Implemented/available",S100&lt;&gt;"")+AND(M100="Implemented/available",T100&lt;&gt;""))/((D100="Implemented/available")+(E100="Implemented/available")+(J100="Implemented/available")+(K100="Implemented/available")+(L100="Implemented/available")+(M100="Implemented/available")))</f>
        <v>1</v>
      </c>
    </row>
    <row r="101" spans="1:39" x14ac:dyDescent="0.25">
      <c r="A101" s="6" t="s">
        <v>180</v>
      </c>
      <c r="B101" s="6" t="s">
        <v>153</v>
      </c>
      <c r="C101" s="6" t="s">
        <v>181</v>
      </c>
      <c r="D101" s="6" t="s">
        <v>41</v>
      </c>
      <c r="E101" s="6" t="s">
        <v>41</v>
      </c>
      <c r="F101" s="6" t="s">
        <v>41</v>
      </c>
      <c r="G101" s="6"/>
      <c r="H101" s="6"/>
      <c r="I101" s="6"/>
      <c r="J101" s="6" t="s">
        <v>38</v>
      </c>
      <c r="K101" s="6" t="s">
        <v>29</v>
      </c>
      <c r="L101" s="6" t="s">
        <v>41</v>
      </c>
      <c r="M101" s="6" t="s">
        <v>29</v>
      </c>
      <c r="N101" s="6"/>
      <c r="O101" s="6"/>
      <c r="P101" s="6"/>
      <c r="Q101" s="6"/>
      <c r="R101" s="6" t="s">
        <v>155</v>
      </c>
      <c r="S101" s="6"/>
      <c r="T101" s="6" t="s">
        <v>156</v>
      </c>
      <c r="U101" s="6"/>
      <c r="V101" s="12">
        <f>IFERROR(IF(ISNUMBER(INDEX(Parameters!$B$5:$B$14,MATCH(D101,Parameters!$A$5:$A$14,0))),INDEX(Parameters!$B$5:$B$14,MATCH(D101,Parameters!$A$5:$A$14,0)),""),"")</f>
        <v>0.33</v>
      </c>
      <c r="W101" s="12">
        <f>IFERROR(IF(ISNUMBER(INDEX(Parameters!$B$5:$B$14,MATCH(E101,Parameters!$A$5:$A$14,0))),INDEX(Parameters!$B$5:$B$14,MATCH(E101,Parameters!$A$5:$A$14,0)),""),"")</f>
        <v>0.33</v>
      </c>
      <c r="X101" s="12">
        <f>IFERROR(IF(ISNUMBER(INDEX(Parameters!$B$5:$B$14,MATCH(F101,Parameters!$A$5:$A$14,0))),INDEX(Parameters!$B$5:$B$14,MATCH(F101,Parameters!$A$5:$A$14,0)),""),"")</f>
        <v>0.33</v>
      </c>
      <c r="Y101" s="12">
        <f>IF(G101&lt;&gt;"",1,IF(ISNUMBER(Parameters!$B$18),Parameters!$B$18,""))</f>
        <v>0</v>
      </c>
      <c r="Z101" s="12">
        <f>IF(I101&lt;&gt;"",IFERROR(IF(ISNUMBER(INDEX(Parameters!$B$5:$B$14,MATCH(I101,Parameters!$A$5:$A$14,0))),INDEX(Parameters!$B$5:$B$14,MATCH(I101,Parameters!$A$5:$A$14,0)),""),""),IF(ISNUMBER(Parameters!$B$21),Parameters!$B$21,""))</f>
        <v>0</v>
      </c>
      <c r="AA101" s="12">
        <f>IFERROR(IF(ISNUMBER(INDEX(Parameters!$B$5:$B$14,MATCH(J101,Parameters!$A$5:$A$14,0))),INDEX(Parameters!$B$5:$B$14,MATCH(J101,Parameters!$A$5:$A$14,0)),""),"")</f>
        <v>0.67</v>
      </c>
      <c r="AB101" s="12">
        <f>IFERROR(IF(ISNUMBER(INDEX(Parameters!$B$5:$B$14,MATCH(K101,Parameters!$A$5:$A$14,0))),INDEX(Parameters!$B$5:$B$14,MATCH(K101,Parameters!$A$5:$A$14,0)),""),"")</f>
        <v>1</v>
      </c>
      <c r="AC101" s="12">
        <f>IFERROR(IF(ISNUMBER(INDEX(Parameters!$B$5:$B$14,MATCH(L101,Parameters!$A$5:$A$14,0))),INDEX(Parameters!$B$5:$B$14,MATCH(L101,Parameters!$A$5:$A$14,0)),""),"")</f>
        <v>0.33</v>
      </c>
      <c r="AD101" s="12">
        <f>IFERROR(IF(ISNUMBER(INDEX(Parameters!$B$5:$B$14,MATCH(M101,Parameters!$A$5:$A$14,0))),INDEX(Parameters!$B$5:$B$14,MATCH(M101,Parameters!$A$5:$A$14,0)),""),"")</f>
        <v>1</v>
      </c>
      <c r="AE101" s="12">
        <f>IF(N101&lt;&gt;"",1,IF(ISNUMBER(Parameters!$B$19),Parameters!$B$19,""))</f>
        <v>0</v>
      </c>
      <c r="AF101" s="12">
        <f>IF((Parameters!$I$5*ISNUMBER(V101)+Parameters!$I$6*ISNUMBER(W101)+Parameters!$I$7*ISNUMBER(X101)+Parameters!$I$8*ISNUMBER(Y101))=0,"",(Parameters!$I$5*N(V101)+Parameters!$I$6*N(W101)+Parameters!$I$7*N(X101)+Parameters!$I$8*N(Y101))/(Parameters!$I$5*ISNUMBER(V101)+Parameters!$I$6*ISNUMBER(W101)+Parameters!$I$7*ISNUMBER(X101)+Parameters!$I$8*ISNUMBER(Y101)))</f>
        <v>0.26400000000000001</v>
      </c>
      <c r="AG101" s="12">
        <f>IF((Parameters!$I$9*ISNUMBER(Z101))=0,"",(Parameters!$I$9*N(Z101))/(Parameters!$I$9*ISNUMBER(Z101)))</f>
        <v>0</v>
      </c>
      <c r="AH101" s="12">
        <f>IF((Parameters!$I$11*ISNUMBER(AA101)+Parameters!$I$12*ISNUMBER(AB101)+Parameters!$I$13*ISNUMBER(AC101)+Parameters!$I$14*ISNUMBER(AD101)+Parameters!$I$15*ISNUMBER(AE101))=0,"",(Parameters!$I$11*N(AA101)+Parameters!$I$12*N(AB101)+Parameters!$I$13*N(AC101)+Parameters!$I$14*N(AD101)+Parameters!$I$15*N(AE101))/(Parameters!$I$11*ISNUMBER(AA101)+Parameters!$I$12*ISNUMBER(AB101)+Parameters!$I$13*ISNUMBER(AC101)+Parameters!$I$14*ISNUMBER(AD101)+Parameters!$I$15*ISNUMBER(AE101)))</f>
        <v>0.6</v>
      </c>
      <c r="AI101" s="13">
        <f>Parameters!$I$5*ISNUMBER(V101)+Parameters!$I$6*ISNUMBER(W101)+Parameters!$I$7*ISNUMBER(X101)+Parameters!$I$8*ISNUMBER(Y101)+Parameters!$I$9*ISNUMBER(Z101)+Parameters!$I$11*ISNUMBER(AA101)+Parameters!$I$12*ISNUMBER(AB101)+Parameters!$I$13*ISNUMBER(AC101)+Parameters!$I$14*ISNUMBER(AD101)+Parameters!$I$15*ISNUMBER(AE101)</f>
        <v>95</v>
      </c>
      <c r="AJ101" s="14">
        <f>IF((Parameters!$I$5+Parameters!$I$6+Parameters!$I$7+Parameters!$I$8+Parameters!$I$9+Parameters!$I$11+Parameters!$I$12+Parameters!$I$13+Parameters!$I$14+Parameters!$I$15)=0,"",AI101/(Parameters!$I$5+Parameters!$I$6+Parameters!$I$7+Parameters!$I$8+Parameters!$I$9+Parameters!$I$11+Parameters!$I$12+Parameters!$I$13+Parameters!$I$14+Parameters!$I$15))</f>
        <v>1</v>
      </c>
      <c r="AK101" s="15">
        <f>IF(AND(ISNUMBER(AF101),ISNUMBER(AH101),OR(NOT((Parameters!$I$9)&gt;0),ISNUMBER(AG101)),AJ101&gt;=Parameters!$B$20),100*(Parameters!$F$18*N(AF101)+Parameters!$F$19*N(AG101)+Parameters!$F$20*N(AH101))/(Parameters!$F$18*ISNUMBER(AF101)+Parameters!$F$19*ISNUMBER(AG101)+Parameters!$F$20*ISNUMBER(AH101)),"")</f>
        <v>31.56</v>
      </c>
      <c r="AL101" s="16">
        <f>IF(ISNUMBER(AK101),RANK(AK101,$AK$2:$AK$113),"")</f>
        <v>100</v>
      </c>
      <c r="AM101" s="14">
        <f>IF(((D101="Implemented/available")+(E101="Implemented/available")+(J101="Implemented/available")+(K101="Implemented/available")+(L101="Implemented/available")+(M101="Implemented/available"))=0,"",(AND(D101="Implemented/available",O101&lt;&gt;"")+AND(E101="Implemented/available",P101&lt;&gt;"")+AND(J101="Implemented/available",Q101&lt;&gt;"")+AND(K101="Implemented/available",R101&lt;&gt;"")+AND(L101="Implemented/available",S101&lt;&gt;"")+AND(M101="Implemented/available",T101&lt;&gt;""))/((D101="Implemented/available")+(E101="Implemented/available")+(J101="Implemented/available")+(K101="Implemented/available")+(L101="Implemented/available")+(M101="Implemented/available")))</f>
        <v>1</v>
      </c>
    </row>
    <row r="102" spans="1:39" x14ac:dyDescent="0.25">
      <c r="A102" s="6" t="s">
        <v>230</v>
      </c>
      <c r="B102" s="6" t="s">
        <v>231</v>
      </c>
      <c r="C102" s="6" t="s">
        <v>232</v>
      </c>
      <c r="D102" s="6" t="s">
        <v>44</v>
      </c>
      <c r="E102" s="6" t="s">
        <v>44</v>
      </c>
      <c r="F102" s="6" t="s">
        <v>44</v>
      </c>
      <c r="G102" s="6"/>
      <c r="H102" s="6"/>
      <c r="I102" s="6" t="s">
        <v>60</v>
      </c>
      <c r="J102" s="6" t="s">
        <v>38</v>
      </c>
      <c r="K102" s="6" t="s">
        <v>34</v>
      </c>
      <c r="L102" s="6" t="s">
        <v>44</v>
      </c>
      <c r="M102" s="6" t="s">
        <v>44</v>
      </c>
      <c r="N102" s="6" t="s">
        <v>124</v>
      </c>
      <c r="O102" s="6"/>
      <c r="P102" s="6"/>
      <c r="Q102" s="6"/>
      <c r="R102" s="6"/>
      <c r="S102" s="6"/>
      <c r="T102" s="6"/>
      <c r="U102" s="6"/>
      <c r="V102" s="12">
        <f>IFERROR(IF(ISNUMBER(INDEX(Parameters!$B$5:$B$14,MATCH(D102,Parameters!$A$5:$A$14,0))),INDEX(Parameters!$B$5:$B$14,MATCH(D102,Parameters!$A$5:$A$14,0)),""),"")</f>
        <v>0</v>
      </c>
      <c r="W102" s="12">
        <f>IFERROR(IF(ISNUMBER(INDEX(Parameters!$B$5:$B$14,MATCH(E102,Parameters!$A$5:$A$14,0))),INDEX(Parameters!$B$5:$B$14,MATCH(E102,Parameters!$A$5:$A$14,0)),""),"")</f>
        <v>0</v>
      </c>
      <c r="X102" s="12">
        <f>IFERROR(IF(ISNUMBER(INDEX(Parameters!$B$5:$B$14,MATCH(F102,Parameters!$A$5:$A$14,0))),INDEX(Parameters!$B$5:$B$14,MATCH(F102,Parameters!$A$5:$A$14,0)),""),"")</f>
        <v>0</v>
      </c>
      <c r="Y102" s="12">
        <f>IF(G102&lt;&gt;"",1,IF(ISNUMBER(Parameters!$B$18),Parameters!$B$18,""))</f>
        <v>0</v>
      </c>
      <c r="Z102" s="12">
        <f>IF(I102&lt;&gt;"",IFERROR(IF(ISNUMBER(INDEX(Parameters!$B$5:$B$14,MATCH(I102,Parameters!$A$5:$A$14,0))),INDEX(Parameters!$B$5:$B$14,MATCH(I102,Parameters!$A$5:$A$14,0)),""),""),IF(ISNUMBER(Parameters!$B$21),Parameters!$B$21,""))</f>
        <v>0.5</v>
      </c>
      <c r="AA102" s="12">
        <f>IFERROR(IF(ISNUMBER(INDEX(Parameters!$B$5:$B$14,MATCH(J102,Parameters!$A$5:$A$14,0))),INDEX(Parameters!$B$5:$B$14,MATCH(J102,Parameters!$A$5:$A$14,0)),""),"")</f>
        <v>0.67</v>
      </c>
      <c r="AB102" s="12">
        <f>IFERROR(IF(ISNUMBER(INDEX(Parameters!$B$5:$B$14,MATCH(K102,Parameters!$A$5:$A$14,0))),INDEX(Parameters!$B$5:$B$14,MATCH(K102,Parameters!$A$5:$A$14,0)),""),"")</f>
        <v>1</v>
      </c>
      <c r="AC102" s="12">
        <f>IFERROR(IF(ISNUMBER(INDEX(Parameters!$B$5:$B$14,MATCH(L102,Parameters!$A$5:$A$14,0))),INDEX(Parameters!$B$5:$B$14,MATCH(L102,Parameters!$A$5:$A$14,0)),""),"")</f>
        <v>0</v>
      </c>
      <c r="AD102" s="12">
        <f>IFERROR(IF(ISNUMBER(INDEX(Parameters!$B$5:$B$14,MATCH(M102,Parameters!$A$5:$A$14,0))),INDEX(Parameters!$B$5:$B$14,MATCH(M102,Parameters!$A$5:$A$14,0)),""),"")</f>
        <v>0</v>
      </c>
      <c r="AE102" s="12">
        <f>IF(N102&lt;&gt;"",1,IF(ISNUMBER(Parameters!$B$19),Parameters!$B$19,""))</f>
        <v>1</v>
      </c>
      <c r="AF102" s="12">
        <f>IF((Parameters!$I$5*ISNUMBER(V102)+Parameters!$I$6*ISNUMBER(W102)+Parameters!$I$7*ISNUMBER(X102)+Parameters!$I$8*ISNUMBER(Y102))=0,"",(Parameters!$I$5*N(V102)+Parameters!$I$6*N(W102)+Parameters!$I$7*N(X102)+Parameters!$I$8*N(Y102))/(Parameters!$I$5*ISNUMBER(V102)+Parameters!$I$6*ISNUMBER(W102)+Parameters!$I$7*ISNUMBER(X102)+Parameters!$I$8*ISNUMBER(Y102)))</f>
        <v>0</v>
      </c>
      <c r="AG102" s="12">
        <f>IF((Parameters!$I$9*ISNUMBER(Z102))=0,"",(Parameters!$I$9*N(Z102))/(Parameters!$I$9*ISNUMBER(Z102)))</f>
        <v>0.5</v>
      </c>
      <c r="AH102" s="12">
        <f>IF((Parameters!$I$11*ISNUMBER(AA102)+Parameters!$I$12*ISNUMBER(AB102)+Parameters!$I$13*ISNUMBER(AC102)+Parameters!$I$14*ISNUMBER(AD102)+Parameters!$I$15*ISNUMBER(AE102))=0,"",(Parameters!$I$11*N(AA102)+Parameters!$I$12*N(AB102)+Parameters!$I$13*N(AC102)+Parameters!$I$14*N(AD102)+Parameters!$I$15*N(AE102))/(Parameters!$I$11*ISNUMBER(AA102)+Parameters!$I$12*ISNUMBER(AB102)+Parameters!$I$13*ISNUMBER(AC102)+Parameters!$I$14*ISNUMBER(AD102)+Parameters!$I$15*ISNUMBER(AE102)))</f>
        <v>0.53400000000000003</v>
      </c>
      <c r="AI102" s="13">
        <f>Parameters!$I$5*ISNUMBER(V102)+Parameters!$I$6*ISNUMBER(W102)+Parameters!$I$7*ISNUMBER(X102)+Parameters!$I$8*ISNUMBER(Y102)+Parameters!$I$9*ISNUMBER(Z102)+Parameters!$I$11*ISNUMBER(AA102)+Parameters!$I$12*ISNUMBER(AB102)+Parameters!$I$13*ISNUMBER(AC102)+Parameters!$I$14*ISNUMBER(AD102)+Parameters!$I$15*ISNUMBER(AE102)</f>
        <v>95</v>
      </c>
      <c r="AJ102" s="14">
        <f>IF((Parameters!$I$5+Parameters!$I$6+Parameters!$I$7+Parameters!$I$8+Parameters!$I$9+Parameters!$I$11+Parameters!$I$12+Parameters!$I$13+Parameters!$I$14+Parameters!$I$15)=0,"",AI102/(Parameters!$I$5+Parameters!$I$6+Parameters!$I$7+Parameters!$I$8+Parameters!$I$9+Parameters!$I$11+Parameters!$I$12+Parameters!$I$13+Parameters!$I$14+Parameters!$I$15))</f>
        <v>1</v>
      </c>
      <c r="AK102" s="15">
        <f>IF(AND(ISNUMBER(AF102),ISNUMBER(AH102),OR(NOT((Parameters!$I$9)&gt;0),ISNUMBER(AG102)),AJ102&gt;=Parameters!$B$20),100*(Parameters!$F$18*N(AF102)+Parameters!$F$19*N(AG102)+Parameters!$F$20*N(AH102))/(Parameters!$F$18*ISNUMBER(AF102)+Parameters!$F$19*ISNUMBER(AG102)+Parameters!$F$20*ISNUMBER(AH102)),"")</f>
        <v>31.19</v>
      </c>
      <c r="AL102" s="16">
        <f>IF(ISNUMBER(AK102),RANK(AK102,$AK$2:$AK$113),"")</f>
        <v>101</v>
      </c>
      <c r="AM102" s="14" t="str">
        <f>IF(((D102="Implemented/available")+(E102="Implemented/available")+(J102="Implemented/available")+(K102="Implemented/available")+(L102="Implemented/available")+(M102="Implemented/available"))=0,"",(AND(D102="Implemented/available",O102&lt;&gt;"")+AND(E102="Implemented/available",P102&lt;&gt;"")+AND(J102="Implemented/available",Q102&lt;&gt;"")+AND(K102="Implemented/available",R102&lt;&gt;"")+AND(L102="Implemented/available",S102&lt;&gt;"")+AND(M102="Implemented/available",T102&lt;&gt;""))/((D102="Implemented/available")+(E102="Implemented/available")+(J102="Implemented/available")+(K102="Implemented/available")+(L102="Implemented/available")+(M102="Implemented/available")))</f>
        <v/>
      </c>
    </row>
    <row r="103" spans="1:39" x14ac:dyDescent="0.25">
      <c r="A103" s="6" t="s">
        <v>262</v>
      </c>
      <c r="B103" s="6" t="s">
        <v>263</v>
      </c>
      <c r="C103" s="6" t="s">
        <v>264</v>
      </c>
      <c r="D103" s="6" t="s">
        <v>38</v>
      </c>
      <c r="E103" s="6" t="s">
        <v>41</v>
      </c>
      <c r="F103" s="6" t="s">
        <v>44</v>
      </c>
      <c r="G103" s="6"/>
      <c r="H103" s="6"/>
      <c r="I103" s="6"/>
      <c r="J103" s="6" t="s">
        <v>41</v>
      </c>
      <c r="K103" s="6" t="s">
        <v>29</v>
      </c>
      <c r="L103" s="6" t="s">
        <v>41</v>
      </c>
      <c r="M103" s="6" t="s">
        <v>29</v>
      </c>
      <c r="N103" s="6"/>
      <c r="O103" s="6"/>
      <c r="P103" s="6"/>
      <c r="Q103" s="6"/>
      <c r="R103" s="6" t="s">
        <v>265</v>
      </c>
      <c r="S103" s="6"/>
      <c r="T103" s="6" t="s">
        <v>266</v>
      </c>
      <c r="U103" s="6"/>
      <c r="V103" s="12">
        <f>IFERROR(IF(ISNUMBER(INDEX(Parameters!$B$5:$B$14,MATCH(D103,Parameters!$A$5:$A$14,0))),INDEX(Parameters!$B$5:$B$14,MATCH(D103,Parameters!$A$5:$A$14,0)),""),"")</f>
        <v>0.67</v>
      </c>
      <c r="W103" s="12">
        <f>IFERROR(IF(ISNUMBER(INDEX(Parameters!$B$5:$B$14,MATCH(E103,Parameters!$A$5:$A$14,0))),INDEX(Parameters!$B$5:$B$14,MATCH(E103,Parameters!$A$5:$A$14,0)),""),"")</f>
        <v>0.33</v>
      </c>
      <c r="X103" s="12">
        <f>IFERROR(IF(ISNUMBER(INDEX(Parameters!$B$5:$B$14,MATCH(F103,Parameters!$A$5:$A$14,0))),INDEX(Parameters!$B$5:$B$14,MATCH(F103,Parameters!$A$5:$A$14,0)),""),"")</f>
        <v>0</v>
      </c>
      <c r="Y103" s="12">
        <f>IF(G103&lt;&gt;"",1,IF(ISNUMBER(Parameters!$B$18),Parameters!$B$18,""))</f>
        <v>0</v>
      </c>
      <c r="Z103" s="12">
        <f>IF(I103&lt;&gt;"",IFERROR(IF(ISNUMBER(INDEX(Parameters!$B$5:$B$14,MATCH(I103,Parameters!$A$5:$A$14,0))),INDEX(Parameters!$B$5:$B$14,MATCH(I103,Parameters!$A$5:$A$14,0)),""),""),IF(ISNUMBER(Parameters!$B$21),Parameters!$B$21,""))</f>
        <v>0</v>
      </c>
      <c r="AA103" s="12">
        <f>IFERROR(IF(ISNUMBER(INDEX(Parameters!$B$5:$B$14,MATCH(J103,Parameters!$A$5:$A$14,0))),INDEX(Parameters!$B$5:$B$14,MATCH(J103,Parameters!$A$5:$A$14,0)),""),"")</f>
        <v>0.33</v>
      </c>
      <c r="AB103" s="12">
        <f>IFERROR(IF(ISNUMBER(INDEX(Parameters!$B$5:$B$14,MATCH(K103,Parameters!$A$5:$A$14,0))),INDEX(Parameters!$B$5:$B$14,MATCH(K103,Parameters!$A$5:$A$14,0)),""),"")</f>
        <v>1</v>
      </c>
      <c r="AC103" s="12">
        <f>IFERROR(IF(ISNUMBER(INDEX(Parameters!$B$5:$B$14,MATCH(L103,Parameters!$A$5:$A$14,0))),INDEX(Parameters!$B$5:$B$14,MATCH(L103,Parameters!$A$5:$A$14,0)),""),"")</f>
        <v>0.33</v>
      </c>
      <c r="AD103" s="12">
        <f>IFERROR(IF(ISNUMBER(INDEX(Parameters!$B$5:$B$14,MATCH(M103,Parameters!$A$5:$A$14,0))),INDEX(Parameters!$B$5:$B$14,MATCH(M103,Parameters!$A$5:$A$14,0)),""),"")</f>
        <v>1</v>
      </c>
      <c r="AE103" s="12">
        <f>IF(N103&lt;&gt;"",1,IF(ISNUMBER(Parameters!$B$19),Parameters!$B$19,""))</f>
        <v>0</v>
      </c>
      <c r="AF103" s="12">
        <f>IF((Parameters!$I$5*ISNUMBER(V103)+Parameters!$I$6*ISNUMBER(W103)+Parameters!$I$7*ISNUMBER(X103)+Parameters!$I$8*ISNUMBER(Y103))=0,"",(Parameters!$I$5*N(V103)+Parameters!$I$6*N(W103)+Parameters!$I$7*N(X103)+Parameters!$I$8*N(Y103))/(Parameters!$I$5*ISNUMBER(V103)+Parameters!$I$6*ISNUMBER(W103)+Parameters!$I$7*ISNUMBER(X103)+Parameters!$I$8*ISNUMBER(Y103)))</f>
        <v>0.3</v>
      </c>
      <c r="AG103" s="12">
        <f>IF((Parameters!$I$9*ISNUMBER(Z103))=0,"",(Parameters!$I$9*N(Z103))/(Parameters!$I$9*ISNUMBER(Z103)))</f>
        <v>0</v>
      </c>
      <c r="AH103" s="12">
        <f>IF((Parameters!$I$11*ISNUMBER(AA103)+Parameters!$I$12*ISNUMBER(AB103)+Parameters!$I$13*ISNUMBER(AC103)+Parameters!$I$14*ISNUMBER(AD103)+Parameters!$I$15*ISNUMBER(AE103))=0,"",(Parameters!$I$11*N(AA103)+Parameters!$I$12*N(AB103)+Parameters!$I$13*N(AC103)+Parameters!$I$14*N(AD103)+Parameters!$I$15*N(AE103))/(Parameters!$I$11*ISNUMBER(AA103)+Parameters!$I$12*ISNUMBER(AB103)+Parameters!$I$13*ISNUMBER(AC103)+Parameters!$I$14*ISNUMBER(AD103)+Parameters!$I$15*ISNUMBER(AE103)))</f>
        <v>0.53200000000000003</v>
      </c>
      <c r="AI103" s="13">
        <f>Parameters!$I$5*ISNUMBER(V103)+Parameters!$I$6*ISNUMBER(W103)+Parameters!$I$7*ISNUMBER(X103)+Parameters!$I$8*ISNUMBER(Y103)+Parameters!$I$9*ISNUMBER(Z103)+Parameters!$I$11*ISNUMBER(AA103)+Parameters!$I$12*ISNUMBER(AB103)+Parameters!$I$13*ISNUMBER(AC103)+Parameters!$I$14*ISNUMBER(AD103)+Parameters!$I$15*ISNUMBER(AE103)</f>
        <v>95</v>
      </c>
      <c r="AJ103" s="14">
        <f>IF((Parameters!$I$5+Parameters!$I$6+Parameters!$I$7+Parameters!$I$8+Parameters!$I$9+Parameters!$I$11+Parameters!$I$12+Parameters!$I$13+Parameters!$I$14+Parameters!$I$15)=0,"",AI103/(Parameters!$I$5+Parameters!$I$6+Parameters!$I$7+Parameters!$I$8+Parameters!$I$9+Parameters!$I$11+Parameters!$I$12+Parameters!$I$13+Parameters!$I$14+Parameters!$I$15))</f>
        <v>1</v>
      </c>
      <c r="AK103" s="15">
        <f>IF(AND(ISNUMBER(AF103),ISNUMBER(AH103),OR(NOT((Parameters!$I$9)&gt;0),ISNUMBER(AG103)),AJ103&gt;=Parameters!$B$20),100*(Parameters!$F$18*N(AF103)+Parameters!$F$19*N(AG103)+Parameters!$F$20*N(AH103))/(Parameters!$F$18*ISNUMBER(AF103)+Parameters!$F$19*ISNUMBER(AG103)+Parameters!$F$20*ISNUMBER(AH103)),"")</f>
        <v>30.620000000000005</v>
      </c>
      <c r="AL103" s="16">
        <f>IF(ISNUMBER(AK103),RANK(AK103,$AK$2:$AK$113),"")</f>
        <v>102</v>
      </c>
      <c r="AM103" s="14">
        <f>IF(((D103="Implemented/available")+(E103="Implemented/available")+(J103="Implemented/available")+(K103="Implemented/available")+(L103="Implemented/available")+(M103="Implemented/available"))=0,"",(AND(D103="Implemented/available",O103&lt;&gt;"")+AND(E103="Implemented/available",P103&lt;&gt;"")+AND(J103="Implemented/available",Q103&lt;&gt;"")+AND(K103="Implemented/available",R103&lt;&gt;"")+AND(L103="Implemented/available",S103&lt;&gt;"")+AND(M103="Implemented/available",T103&lt;&gt;""))/((D103="Implemented/available")+(E103="Implemented/available")+(J103="Implemented/available")+(K103="Implemented/available")+(L103="Implemented/available")+(M103="Implemented/available")))</f>
        <v>1</v>
      </c>
    </row>
    <row r="104" spans="1:39" x14ac:dyDescent="0.25">
      <c r="A104" s="6" t="s">
        <v>152</v>
      </c>
      <c r="B104" s="6" t="s">
        <v>153</v>
      </c>
      <c r="C104" s="6" t="s">
        <v>154</v>
      </c>
      <c r="D104" s="6" t="s">
        <v>41</v>
      </c>
      <c r="E104" s="6" t="s">
        <v>41</v>
      </c>
      <c r="F104" s="6" t="s">
        <v>41</v>
      </c>
      <c r="G104" s="6"/>
      <c r="H104" s="6"/>
      <c r="I104" s="6"/>
      <c r="J104" s="6" t="s">
        <v>41</v>
      </c>
      <c r="K104" s="6" t="s">
        <v>29</v>
      </c>
      <c r="L104" s="6" t="s">
        <v>41</v>
      </c>
      <c r="M104" s="6" t="s">
        <v>29</v>
      </c>
      <c r="N104" s="6"/>
      <c r="O104" s="6"/>
      <c r="P104" s="6"/>
      <c r="Q104" s="6"/>
      <c r="R104" s="6" t="s">
        <v>155</v>
      </c>
      <c r="S104" s="6"/>
      <c r="T104" s="6" t="s">
        <v>156</v>
      </c>
      <c r="U104" s="6"/>
      <c r="V104" s="12">
        <f>IFERROR(IF(ISNUMBER(INDEX(Parameters!$B$5:$B$14,MATCH(D104,Parameters!$A$5:$A$14,0))),INDEX(Parameters!$B$5:$B$14,MATCH(D104,Parameters!$A$5:$A$14,0)),""),"")</f>
        <v>0.33</v>
      </c>
      <c r="W104" s="12">
        <f>IFERROR(IF(ISNUMBER(INDEX(Parameters!$B$5:$B$14,MATCH(E104,Parameters!$A$5:$A$14,0))),INDEX(Parameters!$B$5:$B$14,MATCH(E104,Parameters!$A$5:$A$14,0)),""),"")</f>
        <v>0.33</v>
      </c>
      <c r="X104" s="12">
        <f>IFERROR(IF(ISNUMBER(INDEX(Parameters!$B$5:$B$14,MATCH(F104,Parameters!$A$5:$A$14,0))),INDEX(Parameters!$B$5:$B$14,MATCH(F104,Parameters!$A$5:$A$14,0)),""),"")</f>
        <v>0.33</v>
      </c>
      <c r="Y104" s="12">
        <f>IF(G104&lt;&gt;"",1,IF(ISNUMBER(Parameters!$B$18),Parameters!$B$18,""))</f>
        <v>0</v>
      </c>
      <c r="Z104" s="12">
        <f>IF(I104&lt;&gt;"",IFERROR(IF(ISNUMBER(INDEX(Parameters!$B$5:$B$14,MATCH(I104,Parameters!$A$5:$A$14,0))),INDEX(Parameters!$B$5:$B$14,MATCH(I104,Parameters!$A$5:$A$14,0)),""),""),IF(ISNUMBER(Parameters!$B$21),Parameters!$B$21,""))</f>
        <v>0</v>
      </c>
      <c r="AA104" s="12">
        <f>IFERROR(IF(ISNUMBER(INDEX(Parameters!$B$5:$B$14,MATCH(J104,Parameters!$A$5:$A$14,0))),INDEX(Parameters!$B$5:$B$14,MATCH(J104,Parameters!$A$5:$A$14,0)),""),"")</f>
        <v>0.33</v>
      </c>
      <c r="AB104" s="12">
        <f>IFERROR(IF(ISNUMBER(INDEX(Parameters!$B$5:$B$14,MATCH(K104,Parameters!$A$5:$A$14,0))),INDEX(Parameters!$B$5:$B$14,MATCH(K104,Parameters!$A$5:$A$14,0)),""),"")</f>
        <v>1</v>
      </c>
      <c r="AC104" s="12">
        <f>IFERROR(IF(ISNUMBER(INDEX(Parameters!$B$5:$B$14,MATCH(L104,Parameters!$A$5:$A$14,0))),INDEX(Parameters!$B$5:$B$14,MATCH(L104,Parameters!$A$5:$A$14,0)),""),"")</f>
        <v>0.33</v>
      </c>
      <c r="AD104" s="12">
        <f>IFERROR(IF(ISNUMBER(INDEX(Parameters!$B$5:$B$14,MATCH(M104,Parameters!$A$5:$A$14,0))),INDEX(Parameters!$B$5:$B$14,MATCH(M104,Parameters!$A$5:$A$14,0)),""),"")</f>
        <v>1</v>
      </c>
      <c r="AE104" s="12">
        <f>IF(N104&lt;&gt;"",1,IF(ISNUMBER(Parameters!$B$19),Parameters!$B$19,""))</f>
        <v>0</v>
      </c>
      <c r="AF104" s="12">
        <f>IF((Parameters!$I$5*ISNUMBER(V104)+Parameters!$I$6*ISNUMBER(W104)+Parameters!$I$7*ISNUMBER(X104)+Parameters!$I$8*ISNUMBER(Y104))=0,"",(Parameters!$I$5*N(V104)+Parameters!$I$6*N(W104)+Parameters!$I$7*N(X104)+Parameters!$I$8*N(Y104))/(Parameters!$I$5*ISNUMBER(V104)+Parameters!$I$6*ISNUMBER(W104)+Parameters!$I$7*ISNUMBER(X104)+Parameters!$I$8*ISNUMBER(Y104)))</f>
        <v>0.26400000000000001</v>
      </c>
      <c r="AG104" s="12">
        <f>IF((Parameters!$I$9*ISNUMBER(Z104))=0,"",(Parameters!$I$9*N(Z104))/(Parameters!$I$9*ISNUMBER(Z104)))</f>
        <v>0</v>
      </c>
      <c r="AH104" s="12">
        <f>IF((Parameters!$I$11*ISNUMBER(AA104)+Parameters!$I$12*ISNUMBER(AB104)+Parameters!$I$13*ISNUMBER(AC104)+Parameters!$I$14*ISNUMBER(AD104)+Parameters!$I$15*ISNUMBER(AE104))=0,"",(Parameters!$I$11*N(AA104)+Parameters!$I$12*N(AB104)+Parameters!$I$13*N(AC104)+Parameters!$I$14*N(AD104)+Parameters!$I$15*N(AE104))/(Parameters!$I$11*ISNUMBER(AA104)+Parameters!$I$12*ISNUMBER(AB104)+Parameters!$I$13*ISNUMBER(AC104)+Parameters!$I$14*ISNUMBER(AD104)+Parameters!$I$15*ISNUMBER(AE104)))</f>
        <v>0.53200000000000003</v>
      </c>
      <c r="AI104" s="13">
        <f>Parameters!$I$5*ISNUMBER(V104)+Parameters!$I$6*ISNUMBER(W104)+Parameters!$I$7*ISNUMBER(X104)+Parameters!$I$8*ISNUMBER(Y104)+Parameters!$I$9*ISNUMBER(Z104)+Parameters!$I$11*ISNUMBER(AA104)+Parameters!$I$12*ISNUMBER(AB104)+Parameters!$I$13*ISNUMBER(AC104)+Parameters!$I$14*ISNUMBER(AD104)+Parameters!$I$15*ISNUMBER(AE104)</f>
        <v>95</v>
      </c>
      <c r="AJ104" s="14">
        <f>IF((Parameters!$I$5+Parameters!$I$6+Parameters!$I$7+Parameters!$I$8+Parameters!$I$9+Parameters!$I$11+Parameters!$I$12+Parameters!$I$13+Parameters!$I$14+Parameters!$I$15)=0,"",AI104/(Parameters!$I$5+Parameters!$I$6+Parameters!$I$7+Parameters!$I$8+Parameters!$I$9+Parameters!$I$11+Parameters!$I$12+Parameters!$I$13+Parameters!$I$14+Parameters!$I$15))</f>
        <v>1</v>
      </c>
      <c r="AK104" s="15">
        <f>IF(AND(ISNUMBER(AF104),ISNUMBER(AH104),OR(NOT((Parameters!$I$9)&gt;0),ISNUMBER(AG104)),AJ104&gt;=Parameters!$B$20),100*(Parameters!$F$18*N(AF104)+Parameters!$F$19*N(AG104)+Parameters!$F$20*N(AH104))/(Parameters!$F$18*ISNUMBER(AF104)+Parameters!$F$19*ISNUMBER(AG104)+Parameters!$F$20*ISNUMBER(AH104)),"")</f>
        <v>29.18</v>
      </c>
      <c r="AL104" s="16">
        <f>IF(ISNUMBER(AK104),RANK(AK104,$AK$2:$AK$113),"")</f>
        <v>103</v>
      </c>
      <c r="AM104" s="14">
        <f>IF(((D104="Implemented/available")+(E104="Implemented/available")+(J104="Implemented/available")+(K104="Implemented/available")+(L104="Implemented/available")+(M104="Implemented/available"))=0,"",(AND(D104="Implemented/available",O104&lt;&gt;"")+AND(E104="Implemented/available",P104&lt;&gt;"")+AND(J104="Implemented/available",Q104&lt;&gt;"")+AND(K104="Implemented/available",R104&lt;&gt;"")+AND(L104="Implemented/available",S104&lt;&gt;"")+AND(M104="Implemented/available",T104&lt;&gt;""))/((D104="Implemented/available")+(E104="Implemented/available")+(J104="Implemented/available")+(K104="Implemented/available")+(L104="Implemented/available")+(M104="Implemented/available")))</f>
        <v>1</v>
      </c>
    </row>
    <row r="105" spans="1:39" x14ac:dyDescent="0.25">
      <c r="A105" s="6" t="s">
        <v>212</v>
      </c>
      <c r="B105" s="6" t="s">
        <v>213</v>
      </c>
      <c r="C105" s="6" t="s">
        <v>214</v>
      </c>
      <c r="D105" s="6" t="s">
        <v>44</v>
      </c>
      <c r="E105" s="6" t="s">
        <v>44</v>
      </c>
      <c r="F105" s="6" t="s">
        <v>44</v>
      </c>
      <c r="G105" s="6"/>
      <c r="H105" s="6"/>
      <c r="I105" s="6"/>
      <c r="J105" s="6" t="s">
        <v>48</v>
      </c>
      <c r="K105" s="6" t="s">
        <v>29</v>
      </c>
      <c r="L105" s="6" t="s">
        <v>48</v>
      </c>
      <c r="M105" s="6" t="s">
        <v>29</v>
      </c>
      <c r="N105" s="6"/>
      <c r="O105" s="6"/>
      <c r="P105" s="6"/>
      <c r="Q105" s="6"/>
      <c r="R105" s="6" t="s">
        <v>215</v>
      </c>
      <c r="S105" s="6"/>
      <c r="T105" s="6" t="s">
        <v>216</v>
      </c>
      <c r="U105" s="6"/>
      <c r="V105" s="12">
        <f>IFERROR(IF(ISNUMBER(INDEX(Parameters!$B$5:$B$14,MATCH(D105,Parameters!$A$5:$A$14,0))),INDEX(Parameters!$B$5:$B$14,MATCH(D105,Parameters!$A$5:$A$14,0)),""),"")</f>
        <v>0</v>
      </c>
      <c r="W105" s="12">
        <f>IFERROR(IF(ISNUMBER(INDEX(Parameters!$B$5:$B$14,MATCH(E105,Parameters!$A$5:$A$14,0))),INDEX(Parameters!$B$5:$B$14,MATCH(E105,Parameters!$A$5:$A$14,0)),""),"")</f>
        <v>0</v>
      </c>
      <c r="X105" s="12">
        <f>IFERROR(IF(ISNUMBER(INDEX(Parameters!$B$5:$B$14,MATCH(F105,Parameters!$A$5:$A$14,0))),INDEX(Parameters!$B$5:$B$14,MATCH(F105,Parameters!$A$5:$A$14,0)),""),"")</f>
        <v>0</v>
      </c>
      <c r="Y105" s="12">
        <f>IF(G105&lt;&gt;"",1,IF(ISNUMBER(Parameters!$B$18),Parameters!$B$18,""))</f>
        <v>0</v>
      </c>
      <c r="Z105" s="12">
        <f>IF(I105&lt;&gt;"",IFERROR(IF(ISNUMBER(INDEX(Parameters!$B$5:$B$14,MATCH(I105,Parameters!$A$5:$A$14,0))),INDEX(Parameters!$B$5:$B$14,MATCH(I105,Parameters!$A$5:$A$14,0)),""),""),IF(ISNUMBER(Parameters!$B$21),Parameters!$B$21,""))</f>
        <v>0</v>
      </c>
      <c r="AA105" s="12" t="str">
        <f>IFERROR(IF(ISNUMBER(INDEX(Parameters!$B$5:$B$14,MATCH(J105,Parameters!$A$5:$A$14,0))),INDEX(Parameters!$B$5:$B$14,MATCH(J105,Parameters!$A$5:$A$14,0)),""),"")</f>
        <v/>
      </c>
      <c r="AB105" s="12">
        <f>IFERROR(IF(ISNUMBER(INDEX(Parameters!$B$5:$B$14,MATCH(K105,Parameters!$A$5:$A$14,0))),INDEX(Parameters!$B$5:$B$14,MATCH(K105,Parameters!$A$5:$A$14,0)),""),"")</f>
        <v>1</v>
      </c>
      <c r="AC105" s="12" t="str">
        <f>IFERROR(IF(ISNUMBER(INDEX(Parameters!$B$5:$B$14,MATCH(L105,Parameters!$A$5:$A$14,0))),INDEX(Parameters!$B$5:$B$14,MATCH(L105,Parameters!$A$5:$A$14,0)),""),"")</f>
        <v/>
      </c>
      <c r="AD105" s="12">
        <f>IFERROR(IF(ISNUMBER(INDEX(Parameters!$B$5:$B$14,MATCH(M105,Parameters!$A$5:$A$14,0))),INDEX(Parameters!$B$5:$B$14,MATCH(M105,Parameters!$A$5:$A$14,0)),""),"")</f>
        <v>1</v>
      </c>
      <c r="AE105" s="12">
        <f>IF(N105&lt;&gt;"",1,IF(ISNUMBER(Parameters!$B$19),Parameters!$B$19,""))</f>
        <v>0</v>
      </c>
      <c r="AF105" s="12">
        <f>IF((Parameters!$I$5*ISNUMBER(V105)+Parameters!$I$6*ISNUMBER(W105)+Parameters!$I$7*ISNUMBER(X105)+Parameters!$I$8*ISNUMBER(Y105))=0,"",(Parameters!$I$5*N(V105)+Parameters!$I$6*N(W105)+Parameters!$I$7*N(X105)+Parameters!$I$8*N(Y105))/(Parameters!$I$5*ISNUMBER(V105)+Parameters!$I$6*ISNUMBER(W105)+Parameters!$I$7*ISNUMBER(X105)+Parameters!$I$8*ISNUMBER(Y105)))</f>
        <v>0</v>
      </c>
      <c r="AG105" s="12">
        <f>IF((Parameters!$I$9*ISNUMBER(Z105))=0,"",(Parameters!$I$9*N(Z105))/(Parameters!$I$9*ISNUMBER(Z105)))</f>
        <v>0</v>
      </c>
      <c r="AH105" s="12">
        <f>IF((Parameters!$I$11*ISNUMBER(AA105)+Parameters!$I$12*ISNUMBER(AB105)+Parameters!$I$13*ISNUMBER(AC105)+Parameters!$I$14*ISNUMBER(AD105)+Parameters!$I$15*ISNUMBER(AE105))=0,"",(Parameters!$I$11*N(AA105)+Parameters!$I$12*N(AB105)+Parameters!$I$13*N(AC105)+Parameters!$I$14*N(AD105)+Parameters!$I$15*N(AE105))/(Parameters!$I$11*ISNUMBER(AA105)+Parameters!$I$12*ISNUMBER(AB105)+Parameters!$I$13*ISNUMBER(AC105)+Parameters!$I$14*ISNUMBER(AD105)+Parameters!$I$15*ISNUMBER(AE105)))</f>
        <v>0.66666666666666663</v>
      </c>
      <c r="AI105" s="13">
        <f>Parameters!$I$5*ISNUMBER(V105)+Parameters!$I$6*ISNUMBER(W105)+Parameters!$I$7*ISNUMBER(X105)+Parameters!$I$8*ISNUMBER(Y105)+Parameters!$I$9*ISNUMBER(Z105)+Parameters!$I$11*ISNUMBER(AA105)+Parameters!$I$12*ISNUMBER(AB105)+Parameters!$I$13*ISNUMBER(AC105)+Parameters!$I$14*ISNUMBER(AD105)+Parameters!$I$15*ISNUMBER(AE105)</f>
        <v>81</v>
      </c>
      <c r="AJ105" s="14">
        <f>IF((Parameters!$I$5+Parameters!$I$6+Parameters!$I$7+Parameters!$I$8+Parameters!$I$9+Parameters!$I$11+Parameters!$I$12+Parameters!$I$13+Parameters!$I$14+Parameters!$I$15)=0,"",AI105/(Parameters!$I$5+Parameters!$I$6+Parameters!$I$7+Parameters!$I$8+Parameters!$I$9+Parameters!$I$11+Parameters!$I$12+Parameters!$I$13+Parameters!$I$14+Parameters!$I$15))</f>
        <v>0.85263157894736841</v>
      </c>
      <c r="AK105" s="15">
        <f>IF(AND(ISNUMBER(AF105),ISNUMBER(AH105),OR(NOT((Parameters!$I$9)&gt;0),ISNUMBER(AG105)),AJ105&gt;=Parameters!$B$20),100*(Parameters!$F$18*N(AF105)+Parameters!$F$19*N(AG105)+Parameters!$F$20*N(AH105))/(Parameters!$F$18*ISNUMBER(AF105)+Parameters!$F$19*ISNUMBER(AG105)+Parameters!$F$20*ISNUMBER(AH105)),"")</f>
        <v>23.333333333333332</v>
      </c>
      <c r="AL105" s="16">
        <f>IF(ISNUMBER(AK105),RANK(AK105,$AK$2:$AK$113),"")</f>
        <v>104</v>
      </c>
      <c r="AM105" s="14">
        <f>IF(((D105="Implemented/available")+(E105="Implemented/available")+(J105="Implemented/available")+(K105="Implemented/available")+(L105="Implemented/available")+(M105="Implemented/available"))=0,"",(AND(D105="Implemented/available",O105&lt;&gt;"")+AND(E105="Implemented/available",P105&lt;&gt;"")+AND(J105="Implemented/available",Q105&lt;&gt;"")+AND(K105="Implemented/available",R105&lt;&gt;"")+AND(L105="Implemented/available",S105&lt;&gt;"")+AND(M105="Implemented/available",T105&lt;&gt;""))/((D105="Implemented/available")+(E105="Implemented/available")+(J105="Implemented/available")+(K105="Implemented/available")+(L105="Implemented/available")+(M105="Implemented/available")))</f>
        <v>1</v>
      </c>
    </row>
    <row r="106" spans="1:39" x14ac:dyDescent="0.25">
      <c r="A106" s="6" t="s">
        <v>302</v>
      </c>
      <c r="B106" s="6" t="s">
        <v>303</v>
      </c>
      <c r="C106" s="6" t="s">
        <v>138</v>
      </c>
      <c r="D106" s="6" t="s">
        <v>44</v>
      </c>
      <c r="E106" s="6" t="s">
        <v>44</v>
      </c>
      <c r="F106" s="6" t="s">
        <v>44</v>
      </c>
      <c r="G106" s="6"/>
      <c r="H106" s="6"/>
      <c r="I106" s="6"/>
      <c r="J106" s="6" t="s">
        <v>29</v>
      </c>
      <c r="K106" s="6" t="s">
        <v>34</v>
      </c>
      <c r="L106" s="6" t="s">
        <v>44</v>
      </c>
      <c r="M106" s="6" t="s">
        <v>29</v>
      </c>
      <c r="N106" s="6"/>
      <c r="O106" s="6"/>
      <c r="P106" s="6"/>
      <c r="Q106" s="6"/>
      <c r="R106" s="6"/>
      <c r="S106" s="6"/>
      <c r="T106" s="6" t="s">
        <v>304</v>
      </c>
      <c r="U106" s="6"/>
      <c r="V106" s="12">
        <f>IFERROR(IF(ISNUMBER(INDEX(Parameters!$B$5:$B$14,MATCH(D106,Parameters!$A$5:$A$14,0))),INDEX(Parameters!$B$5:$B$14,MATCH(D106,Parameters!$A$5:$A$14,0)),""),"")</f>
        <v>0</v>
      </c>
      <c r="W106" s="12">
        <f>IFERROR(IF(ISNUMBER(INDEX(Parameters!$B$5:$B$14,MATCH(E106,Parameters!$A$5:$A$14,0))),INDEX(Parameters!$B$5:$B$14,MATCH(E106,Parameters!$A$5:$A$14,0)),""),"")</f>
        <v>0</v>
      </c>
      <c r="X106" s="12">
        <f>IFERROR(IF(ISNUMBER(INDEX(Parameters!$B$5:$B$14,MATCH(F106,Parameters!$A$5:$A$14,0))),INDEX(Parameters!$B$5:$B$14,MATCH(F106,Parameters!$A$5:$A$14,0)),""),"")</f>
        <v>0</v>
      </c>
      <c r="Y106" s="12">
        <f>IF(G106&lt;&gt;"",1,IF(ISNUMBER(Parameters!$B$18),Parameters!$B$18,""))</f>
        <v>0</v>
      </c>
      <c r="Z106" s="12">
        <f>IF(I106&lt;&gt;"",IFERROR(IF(ISNUMBER(INDEX(Parameters!$B$5:$B$14,MATCH(I106,Parameters!$A$5:$A$14,0))),INDEX(Parameters!$B$5:$B$14,MATCH(I106,Parameters!$A$5:$A$14,0)),""),""),IF(ISNUMBER(Parameters!$B$21),Parameters!$B$21,""))</f>
        <v>0</v>
      </c>
      <c r="AA106" s="12">
        <f>IFERROR(IF(ISNUMBER(INDEX(Parameters!$B$5:$B$14,MATCH(J106,Parameters!$A$5:$A$14,0))),INDEX(Parameters!$B$5:$B$14,MATCH(J106,Parameters!$A$5:$A$14,0)),""),"")</f>
        <v>1</v>
      </c>
      <c r="AB106" s="12">
        <f>IFERROR(IF(ISNUMBER(INDEX(Parameters!$B$5:$B$14,MATCH(K106,Parameters!$A$5:$A$14,0))),INDEX(Parameters!$B$5:$B$14,MATCH(K106,Parameters!$A$5:$A$14,0)),""),"")</f>
        <v>1</v>
      </c>
      <c r="AC106" s="12">
        <f>IFERROR(IF(ISNUMBER(INDEX(Parameters!$B$5:$B$14,MATCH(L106,Parameters!$A$5:$A$14,0))),INDEX(Parameters!$B$5:$B$14,MATCH(L106,Parameters!$A$5:$A$14,0)),""),"")</f>
        <v>0</v>
      </c>
      <c r="AD106" s="12">
        <f>IFERROR(IF(ISNUMBER(INDEX(Parameters!$B$5:$B$14,MATCH(M106,Parameters!$A$5:$A$14,0))),INDEX(Parameters!$B$5:$B$14,MATCH(M106,Parameters!$A$5:$A$14,0)),""),"")</f>
        <v>1</v>
      </c>
      <c r="AE106" s="12">
        <f>IF(N106&lt;&gt;"",1,IF(ISNUMBER(Parameters!$B$19),Parameters!$B$19,""))</f>
        <v>0</v>
      </c>
      <c r="AF106" s="12">
        <f>IF((Parameters!$I$5*ISNUMBER(V106)+Parameters!$I$6*ISNUMBER(W106)+Parameters!$I$7*ISNUMBER(X106)+Parameters!$I$8*ISNUMBER(Y106))=0,"",(Parameters!$I$5*N(V106)+Parameters!$I$6*N(W106)+Parameters!$I$7*N(X106)+Parameters!$I$8*N(Y106))/(Parameters!$I$5*ISNUMBER(V106)+Parameters!$I$6*ISNUMBER(W106)+Parameters!$I$7*ISNUMBER(X106)+Parameters!$I$8*ISNUMBER(Y106)))</f>
        <v>0</v>
      </c>
      <c r="AG106" s="12">
        <f>IF((Parameters!$I$9*ISNUMBER(Z106))=0,"",(Parameters!$I$9*N(Z106))/(Parameters!$I$9*ISNUMBER(Z106)))</f>
        <v>0</v>
      </c>
      <c r="AH106" s="12">
        <f>IF((Parameters!$I$11*ISNUMBER(AA106)+Parameters!$I$12*ISNUMBER(AB106)+Parameters!$I$13*ISNUMBER(AC106)+Parameters!$I$14*ISNUMBER(AD106)+Parameters!$I$15*ISNUMBER(AE106))=0,"",(Parameters!$I$11*N(AA106)+Parameters!$I$12*N(AB106)+Parameters!$I$13*N(AC106)+Parameters!$I$14*N(AD106)+Parameters!$I$15*N(AE106))/(Parameters!$I$11*ISNUMBER(AA106)+Parameters!$I$12*ISNUMBER(AB106)+Parameters!$I$13*ISNUMBER(AC106)+Parameters!$I$14*ISNUMBER(AD106)+Parameters!$I$15*ISNUMBER(AE106)))</f>
        <v>0.6</v>
      </c>
      <c r="AI106" s="13">
        <f>Parameters!$I$5*ISNUMBER(V106)+Parameters!$I$6*ISNUMBER(W106)+Parameters!$I$7*ISNUMBER(X106)+Parameters!$I$8*ISNUMBER(Y106)+Parameters!$I$9*ISNUMBER(Z106)+Parameters!$I$11*ISNUMBER(AA106)+Parameters!$I$12*ISNUMBER(AB106)+Parameters!$I$13*ISNUMBER(AC106)+Parameters!$I$14*ISNUMBER(AD106)+Parameters!$I$15*ISNUMBER(AE106)</f>
        <v>95</v>
      </c>
      <c r="AJ106" s="14">
        <f>IF((Parameters!$I$5+Parameters!$I$6+Parameters!$I$7+Parameters!$I$8+Parameters!$I$9+Parameters!$I$11+Parameters!$I$12+Parameters!$I$13+Parameters!$I$14+Parameters!$I$15)=0,"",AI106/(Parameters!$I$5+Parameters!$I$6+Parameters!$I$7+Parameters!$I$8+Parameters!$I$9+Parameters!$I$11+Parameters!$I$12+Parameters!$I$13+Parameters!$I$14+Parameters!$I$15))</f>
        <v>1</v>
      </c>
      <c r="AK106" s="15">
        <f>IF(AND(ISNUMBER(AF106),ISNUMBER(AH106),OR(NOT((Parameters!$I$9)&gt;0),ISNUMBER(AG106)),AJ106&gt;=Parameters!$B$20),100*(Parameters!$F$18*N(AF106)+Parameters!$F$19*N(AG106)+Parameters!$F$20*N(AH106))/(Parameters!$F$18*ISNUMBER(AF106)+Parameters!$F$19*ISNUMBER(AG106)+Parameters!$F$20*ISNUMBER(AH106)),"")</f>
        <v>21</v>
      </c>
      <c r="AL106" s="16">
        <f>IF(ISNUMBER(AK106),RANK(AK106,$AK$2:$AK$113),"")</f>
        <v>105</v>
      </c>
      <c r="AM106" s="14">
        <f>IF(((D106="Implemented/available")+(E106="Implemented/available")+(J106="Implemented/available")+(K106="Implemented/available")+(L106="Implemented/available")+(M106="Implemented/available"))=0,"",(AND(D106="Implemented/available",O106&lt;&gt;"")+AND(E106="Implemented/available",P106&lt;&gt;"")+AND(J106="Implemented/available",Q106&lt;&gt;"")+AND(K106="Implemented/available",R106&lt;&gt;"")+AND(L106="Implemented/available",S106&lt;&gt;"")+AND(M106="Implemented/available",T106&lt;&gt;""))/((D106="Implemented/available")+(E106="Implemented/available")+(J106="Implemented/available")+(K106="Implemented/available")+(L106="Implemented/available")+(M106="Implemented/available")))</f>
        <v>0.5</v>
      </c>
    </row>
    <row r="107" spans="1:39" x14ac:dyDescent="0.25">
      <c r="A107" s="6" t="s">
        <v>595</v>
      </c>
      <c r="B107" s="6" t="s">
        <v>596</v>
      </c>
      <c r="C107" s="6" t="s">
        <v>597</v>
      </c>
      <c r="D107" s="6" t="s">
        <v>41</v>
      </c>
      <c r="E107" s="6" t="s">
        <v>44</v>
      </c>
      <c r="F107" s="6" t="s">
        <v>44</v>
      </c>
      <c r="G107" s="6"/>
      <c r="H107" s="6" t="s">
        <v>76</v>
      </c>
      <c r="I107" s="6"/>
      <c r="J107" s="6" t="s">
        <v>44</v>
      </c>
      <c r="K107" s="6" t="s">
        <v>34</v>
      </c>
      <c r="L107" s="6" t="s">
        <v>41</v>
      </c>
      <c r="M107" s="6" t="s">
        <v>29</v>
      </c>
      <c r="N107" s="6"/>
      <c r="O107" s="6"/>
      <c r="P107" s="6"/>
      <c r="Q107" s="6"/>
      <c r="R107" s="6"/>
      <c r="S107" s="6"/>
      <c r="T107" s="6" t="s">
        <v>598</v>
      </c>
      <c r="U107" s="6"/>
      <c r="V107" s="12">
        <f>IFERROR(IF(ISNUMBER(INDEX(Parameters!$B$5:$B$14,MATCH(D107,Parameters!$A$5:$A$14,0))),INDEX(Parameters!$B$5:$B$14,MATCH(D107,Parameters!$A$5:$A$14,0)),""),"")</f>
        <v>0.33</v>
      </c>
      <c r="W107" s="12">
        <f>IFERROR(IF(ISNUMBER(INDEX(Parameters!$B$5:$B$14,MATCH(E107,Parameters!$A$5:$A$14,0))),INDEX(Parameters!$B$5:$B$14,MATCH(E107,Parameters!$A$5:$A$14,0)),""),"")</f>
        <v>0</v>
      </c>
      <c r="X107" s="12">
        <f>IFERROR(IF(ISNUMBER(INDEX(Parameters!$B$5:$B$14,MATCH(F107,Parameters!$A$5:$A$14,0))),INDEX(Parameters!$B$5:$B$14,MATCH(F107,Parameters!$A$5:$A$14,0)),""),"")</f>
        <v>0</v>
      </c>
      <c r="Y107" s="12">
        <f>IF(G107&lt;&gt;"",1,IF(ISNUMBER(Parameters!$B$18),Parameters!$B$18,""))</f>
        <v>0</v>
      </c>
      <c r="Z107" s="12">
        <f>IF(I107&lt;&gt;"",IFERROR(IF(ISNUMBER(INDEX(Parameters!$B$5:$B$14,MATCH(I107,Parameters!$A$5:$A$14,0))),INDEX(Parameters!$B$5:$B$14,MATCH(I107,Parameters!$A$5:$A$14,0)),""),""),IF(ISNUMBER(Parameters!$B$21),Parameters!$B$21,""))</f>
        <v>0</v>
      </c>
      <c r="AA107" s="12">
        <f>IFERROR(IF(ISNUMBER(INDEX(Parameters!$B$5:$B$14,MATCH(J107,Parameters!$A$5:$A$14,0))),INDEX(Parameters!$B$5:$B$14,MATCH(J107,Parameters!$A$5:$A$14,0)),""),"")</f>
        <v>0</v>
      </c>
      <c r="AB107" s="12">
        <f>IFERROR(IF(ISNUMBER(INDEX(Parameters!$B$5:$B$14,MATCH(K107,Parameters!$A$5:$A$14,0))),INDEX(Parameters!$B$5:$B$14,MATCH(K107,Parameters!$A$5:$A$14,0)),""),"")</f>
        <v>1</v>
      </c>
      <c r="AC107" s="12">
        <f>IFERROR(IF(ISNUMBER(INDEX(Parameters!$B$5:$B$14,MATCH(L107,Parameters!$A$5:$A$14,0))),INDEX(Parameters!$B$5:$B$14,MATCH(L107,Parameters!$A$5:$A$14,0)),""),"")</f>
        <v>0.33</v>
      </c>
      <c r="AD107" s="12">
        <f>IFERROR(IF(ISNUMBER(INDEX(Parameters!$B$5:$B$14,MATCH(M107,Parameters!$A$5:$A$14,0))),INDEX(Parameters!$B$5:$B$14,MATCH(M107,Parameters!$A$5:$A$14,0)),""),"")</f>
        <v>1</v>
      </c>
      <c r="AE107" s="12">
        <f>IF(N107&lt;&gt;"",1,IF(ISNUMBER(Parameters!$B$19),Parameters!$B$19,""))</f>
        <v>0</v>
      </c>
      <c r="AF107" s="12">
        <f>IF((Parameters!$I$5*ISNUMBER(V107)+Parameters!$I$6*ISNUMBER(W107)+Parameters!$I$7*ISNUMBER(X107)+Parameters!$I$8*ISNUMBER(Y107))=0,"",(Parameters!$I$5*N(V107)+Parameters!$I$6*N(W107)+Parameters!$I$7*N(X107)+Parameters!$I$8*N(Y107))/(Parameters!$I$5*ISNUMBER(V107)+Parameters!$I$6*ISNUMBER(W107)+Parameters!$I$7*ISNUMBER(X107)+Parameters!$I$8*ISNUMBER(Y107)))</f>
        <v>9.9000000000000005E-2</v>
      </c>
      <c r="AG107" s="12">
        <f>IF((Parameters!$I$9*ISNUMBER(Z107))=0,"",(Parameters!$I$9*N(Z107))/(Parameters!$I$9*ISNUMBER(Z107)))</f>
        <v>0</v>
      </c>
      <c r="AH107" s="12">
        <f>IF((Parameters!$I$11*ISNUMBER(AA107)+Parameters!$I$12*ISNUMBER(AB107)+Parameters!$I$13*ISNUMBER(AC107)+Parameters!$I$14*ISNUMBER(AD107)+Parameters!$I$15*ISNUMBER(AE107))=0,"",(Parameters!$I$11*N(AA107)+Parameters!$I$12*N(AB107)+Parameters!$I$13*N(AC107)+Parameters!$I$14*N(AD107)+Parameters!$I$15*N(AE107))/(Parameters!$I$11*ISNUMBER(AA107)+Parameters!$I$12*ISNUMBER(AB107)+Parameters!$I$13*ISNUMBER(AC107)+Parameters!$I$14*ISNUMBER(AD107)+Parameters!$I$15*ISNUMBER(AE107)))</f>
        <v>0.46600000000000008</v>
      </c>
      <c r="AI107" s="13">
        <f>Parameters!$I$5*ISNUMBER(V107)+Parameters!$I$6*ISNUMBER(W107)+Parameters!$I$7*ISNUMBER(X107)+Parameters!$I$8*ISNUMBER(Y107)+Parameters!$I$9*ISNUMBER(Z107)+Parameters!$I$11*ISNUMBER(AA107)+Parameters!$I$12*ISNUMBER(AB107)+Parameters!$I$13*ISNUMBER(AC107)+Parameters!$I$14*ISNUMBER(AD107)+Parameters!$I$15*ISNUMBER(AE107)</f>
        <v>95</v>
      </c>
      <c r="AJ107" s="14">
        <f>IF((Parameters!$I$5+Parameters!$I$6+Parameters!$I$7+Parameters!$I$8+Parameters!$I$9+Parameters!$I$11+Parameters!$I$12+Parameters!$I$13+Parameters!$I$14+Parameters!$I$15)=0,"",AI107/(Parameters!$I$5+Parameters!$I$6+Parameters!$I$7+Parameters!$I$8+Parameters!$I$9+Parameters!$I$11+Parameters!$I$12+Parameters!$I$13+Parameters!$I$14+Parameters!$I$15))</f>
        <v>1</v>
      </c>
      <c r="AK107" s="15">
        <f>IF(AND(ISNUMBER(AF107),ISNUMBER(AH107),OR(NOT((Parameters!$I$9)&gt;0),ISNUMBER(AG107)),AJ107&gt;=Parameters!$B$20),100*(Parameters!$F$18*N(AF107)+Parameters!$F$19*N(AG107)+Parameters!$F$20*N(AH107))/(Parameters!$F$18*ISNUMBER(AF107)+Parameters!$F$19*ISNUMBER(AG107)+Parameters!$F$20*ISNUMBER(AH107)),"")</f>
        <v>20.270000000000003</v>
      </c>
      <c r="AL107" s="16">
        <f>IF(ISNUMBER(AK107),RANK(AK107,$AK$2:$AK$113),"")</f>
        <v>106</v>
      </c>
      <c r="AM107" s="14">
        <f>IF(((D107="Implemented/available")+(E107="Implemented/available")+(J107="Implemented/available")+(K107="Implemented/available")+(L107="Implemented/available")+(M107="Implemented/available"))=0,"",(AND(D107="Implemented/available",O107&lt;&gt;"")+AND(E107="Implemented/available",P107&lt;&gt;"")+AND(J107="Implemented/available",Q107&lt;&gt;"")+AND(K107="Implemented/available",R107&lt;&gt;"")+AND(L107="Implemented/available",S107&lt;&gt;"")+AND(M107="Implemented/available",T107&lt;&gt;""))/((D107="Implemented/available")+(E107="Implemented/available")+(J107="Implemented/available")+(K107="Implemented/available")+(L107="Implemented/available")+(M107="Implemented/available")))</f>
        <v>1</v>
      </c>
    </row>
    <row r="108" spans="1:39" x14ac:dyDescent="0.25">
      <c r="A108" s="6" t="s">
        <v>500</v>
      </c>
      <c r="B108" s="6" t="s">
        <v>501</v>
      </c>
      <c r="C108" s="6" t="s">
        <v>256</v>
      </c>
      <c r="D108" s="6" t="s">
        <v>44</v>
      </c>
      <c r="E108" s="6" t="s">
        <v>44</v>
      </c>
      <c r="F108" s="6" t="s">
        <v>44</v>
      </c>
      <c r="G108" s="6"/>
      <c r="H108" s="6"/>
      <c r="I108" s="6"/>
      <c r="J108" s="6" t="s">
        <v>44</v>
      </c>
      <c r="K108" s="6" t="s">
        <v>34</v>
      </c>
      <c r="L108" s="6" t="s">
        <v>29</v>
      </c>
      <c r="M108" s="6" t="s">
        <v>44</v>
      </c>
      <c r="N108" s="6"/>
      <c r="O108" s="6"/>
      <c r="P108" s="6"/>
      <c r="Q108" s="6"/>
      <c r="R108" s="6"/>
      <c r="S108" s="6" t="s">
        <v>502</v>
      </c>
      <c r="T108" s="6"/>
      <c r="U108" s="6"/>
      <c r="V108" s="12">
        <f>IFERROR(IF(ISNUMBER(INDEX(Parameters!$B$5:$B$14,MATCH(D108,Parameters!$A$5:$A$14,0))),INDEX(Parameters!$B$5:$B$14,MATCH(D108,Parameters!$A$5:$A$14,0)),""),"")</f>
        <v>0</v>
      </c>
      <c r="W108" s="12">
        <f>IFERROR(IF(ISNUMBER(INDEX(Parameters!$B$5:$B$14,MATCH(E108,Parameters!$A$5:$A$14,0))),INDEX(Parameters!$B$5:$B$14,MATCH(E108,Parameters!$A$5:$A$14,0)),""),"")</f>
        <v>0</v>
      </c>
      <c r="X108" s="12">
        <f>IFERROR(IF(ISNUMBER(INDEX(Parameters!$B$5:$B$14,MATCH(F108,Parameters!$A$5:$A$14,0))),INDEX(Parameters!$B$5:$B$14,MATCH(F108,Parameters!$A$5:$A$14,0)),""),"")</f>
        <v>0</v>
      </c>
      <c r="Y108" s="12">
        <f>IF(G108&lt;&gt;"",1,IF(ISNUMBER(Parameters!$B$18),Parameters!$B$18,""))</f>
        <v>0</v>
      </c>
      <c r="Z108" s="12">
        <f>IF(I108&lt;&gt;"",IFERROR(IF(ISNUMBER(INDEX(Parameters!$B$5:$B$14,MATCH(I108,Parameters!$A$5:$A$14,0))),INDEX(Parameters!$B$5:$B$14,MATCH(I108,Parameters!$A$5:$A$14,0)),""),""),IF(ISNUMBER(Parameters!$B$21),Parameters!$B$21,""))</f>
        <v>0</v>
      </c>
      <c r="AA108" s="12">
        <f>IFERROR(IF(ISNUMBER(INDEX(Parameters!$B$5:$B$14,MATCH(J108,Parameters!$A$5:$A$14,0))),INDEX(Parameters!$B$5:$B$14,MATCH(J108,Parameters!$A$5:$A$14,0)),""),"")</f>
        <v>0</v>
      </c>
      <c r="AB108" s="12">
        <f>IFERROR(IF(ISNUMBER(INDEX(Parameters!$B$5:$B$14,MATCH(K108,Parameters!$A$5:$A$14,0))),INDEX(Parameters!$B$5:$B$14,MATCH(K108,Parameters!$A$5:$A$14,0)),""),"")</f>
        <v>1</v>
      </c>
      <c r="AC108" s="12">
        <f>IFERROR(IF(ISNUMBER(INDEX(Parameters!$B$5:$B$14,MATCH(L108,Parameters!$A$5:$A$14,0))),INDEX(Parameters!$B$5:$B$14,MATCH(L108,Parameters!$A$5:$A$14,0)),""),"")</f>
        <v>1</v>
      </c>
      <c r="AD108" s="12">
        <f>IFERROR(IF(ISNUMBER(INDEX(Parameters!$B$5:$B$14,MATCH(M108,Parameters!$A$5:$A$14,0))),INDEX(Parameters!$B$5:$B$14,MATCH(M108,Parameters!$A$5:$A$14,0)),""),"")</f>
        <v>0</v>
      </c>
      <c r="AE108" s="12">
        <f>IF(N108&lt;&gt;"",1,IF(ISNUMBER(Parameters!$B$19),Parameters!$B$19,""))</f>
        <v>0</v>
      </c>
      <c r="AF108" s="12">
        <f>IF((Parameters!$I$5*ISNUMBER(V108)+Parameters!$I$6*ISNUMBER(W108)+Parameters!$I$7*ISNUMBER(X108)+Parameters!$I$8*ISNUMBER(Y108))=0,"",(Parameters!$I$5*N(V108)+Parameters!$I$6*N(W108)+Parameters!$I$7*N(X108)+Parameters!$I$8*N(Y108))/(Parameters!$I$5*ISNUMBER(V108)+Parameters!$I$6*ISNUMBER(W108)+Parameters!$I$7*ISNUMBER(X108)+Parameters!$I$8*ISNUMBER(Y108)))</f>
        <v>0</v>
      </c>
      <c r="AG108" s="12">
        <f>IF((Parameters!$I$9*ISNUMBER(Z108))=0,"",(Parameters!$I$9*N(Z108))/(Parameters!$I$9*ISNUMBER(Z108)))</f>
        <v>0</v>
      </c>
      <c r="AH108" s="12">
        <f>IF((Parameters!$I$11*ISNUMBER(AA108)+Parameters!$I$12*ISNUMBER(AB108)+Parameters!$I$13*ISNUMBER(AC108)+Parameters!$I$14*ISNUMBER(AD108)+Parameters!$I$15*ISNUMBER(AE108))=0,"",(Parameters!$I$11*N(AA108)+Parameters!$I$12*N(AB108)+Parameters!$I$13*N(AC108)+Parameters!$I$14*N(AD108)+Parameters!$I$15*N(AE108))/(Parameters!$I$11*ISNUMBER(AA108)+Parameters!$I$12*ISNUMBER(AB108)+Parameters!$I$13*ISNUMBER(AC108)+Parameters!$I$14*ISNUMBER(AD108)+Parameters!$I$15*ISNUMBER(AE108)))</f>
        <v>0.4</v>
      </c>
      <c r="AI108" s="13">
        <f>Parameters!$I$5*ISNUMBER(V108)+Parameters!$I$6*ISNUMBER(W108)+Parameters!$I$7*ISNUMBER(X108)+Parameters!$I$8*ISNUMBER(Y108)+Parameters!$I$9*ISNUMBER(Z108)+Parameters!$I$11*ISNUMBER(AA108)+Parameters!$I$12*ISNUMBER(AB108)+Parameters!$I$13*ISNUMBER(AC108)+Parameters!$I$14*ISNUMBER(AD108)+Parameters!$I$15*ISNUMBER(AE108)</f>
        <v>95</v>
      </c>
      <c r="AJ108" s="14">
        <f>IF((Parameters!$I$5+Parameters!$I$6+Parameters!$I$7+Parameters!$I$8+Parameters!$I$9+Parameters!$I$11+Parameters!$I$12+Parameters!$I$13+Parameters!$I$14+Parameters!$I$15)=0,"",AI108/(Parameters!$I$5+Parameters!$I$6+Parameters!$I$7+Parameters!$I$8+Parameters!$I$9+Parameters!$I$11+Parameters!$I$12+Parameters!$I$13+Parameters!$I$14+Parameters!$I$15))</f>
        <v>1</v>
      </c>
      <c r="AK108" s="15">
        <f>IF(AND(ISNUMBER(AF108),ISNUMBER(AH108),OR(NOT((Parameters!$I$9)&gt;0),ISNUMBER(AG108)),AJ108&gt;=Parameters!$B$20),100*(Parameters!$F$18*N(AF108)+Parameters!$F$19*N(AG108)+Parameters!$F$20*N(AH108))/(Parameters!$F$18*ISNUMBER(AF108)+Parameters!$F$19*ISNUMBER(AG108)+Parameters!$F$20*ISNUMBER(AH108)),"")</f>
        <v>13.999999999999998</v>
      </c>
      <c r="AL108" s="16">
        <f>IF(ISNUMBER(AK108),RANK(AK108,$AK$2:$AK$113),"")</f>
        <v>107</v>
      </c>
      <c r="AM108" s="14">
        <f>IF(((D108="Implemented/available")+(E108="Implemented/available")+(J108="Implemented/available")+(K108="Implemented/available")+(L108="Implemented/available")+(M108="Implemented/available"))=0,"",(AND(D108="Implemented/available",O108&lt;&gt;"")+AND(E108="Implemented/available",P108&lt;&gt;"")+AND(J108="Implemented/available",Q108&lt;&gt;"")+AND(K108="Implemented/available",R108&lt;&gt;"")+AND(L108="Implemented/available",S108&lt;&gt;"")+AND(M108="Implemented/available",T108&lt;&gt;""))/((D108="Implemented/available")+(E108="Implemented/available")+(J108="Implemented/available")+(K108="Implemented/available")+(L108="Implemented/available")+(M108="Implemented/available")))</f>
        <v>1</v>
      </c>
    </row>
    <row r="109" spans="1:39" x14ac:dyDescent="0.25">
      <c r="A109" s="6" t="s">
        <v>509</v>
      </c>
      <c r="B109" s="6" t="s">
        <v>509</v>
      </c>
      <c r="C109" s="6" t="s">
        <v>510</v>
      </c>
      <c r="D109" s="6" t="s">
        <v>44</v>
      </c>
      <c r="E109" s="6" t="s">
        <v>44</v>
      </c>
      <c r="F109" s="6" t="s">
        <v>44</v>
      </c>
      <c r="G109" s="6"/>
      <c r="H109" s="6"/>
      <c r="I109" s="6"/>
      <c r="J109" s="6" t="s">
        <v>44</v>
      </c>
      <c r="K109" s="6" t="s">
        <v>34</v>
      </c>
      <c r="L109" s="6" t="s">
        <v>44</v>
      </c>
      <c r="M109" s="6" t="s">
        <v>44</v>
      </c>
      <c r="N109" s="6" t="s">
        <v>139</v>
      </c>
      <c r="O109" s="6"/>
      <c r="P109" s="6"/>
      <c r="Q109" s="6"/>
      <c r="R109" s="6"/>
      <c r="S109" s="6"/>
      <c r="T109" s="6"/>
      <c r="U109" s="6"/>
      <c r="V109" s="12">
        <f>IFERROR(IF(ISNUMBER(INDEX(Parameters!$B$5:$B$14,MATCH(D109,Parameters!$A$5:$A$14,0))),INDEX(Parameters!$B$5:$B$14,MATCH(D109,Parameters!$A$5:$A$14,0)),""),"")</f>
        <v>0</v>
      </c>
      <c r="W109" s="12">
        <f>IFERROR(IF(ISNUMBER(INDEX(Parameters!$B$5:$B$14,MATCH(E109,Parameters!$A$5:$A$14,0))),INDEX(Parameters!$B$5:$B$14,MATCH(E109,Parameters!$A$5:$A$14,0)),""),"")</f>
        <v>0</v>
      </c>
      <c r="X109" s="12">
        <f>IFERROR(IF(ISNUMBER(INDEX(Parameters!$B$5:$B$14,MATCH(F109,Parameters!$A$5:$A$14,0))),INDEX(Parameters!$B$5:$B$14,MATCH(F109,Parameters!$A$5:$A$14,0)),""),"")</f>
        <v>0</v>
      </c>
      <c r="Y109" s="12">
        <f>IF(G109&lt;&gt;"",1,IF(ISNUMBER(Parameters!$B$18),Parameters!$B$18,""))</f>
        <v>0</v>
      </c>
      <c r="Z109" s="12">
        <f>IF(I109&lt;&gt;"",IFERROR(IF(ISNUMBER(INDEX(Parameters!$B$5:$B$14,MATCH(I109,Parameters!$A$5:$A$14,0))),INDEX(Parameters!$B$5:$B$14,MATCH(I109,Parameters!$A$5:$A$14,0)),""),""),IF(ISNUMBER(Parameters!$B$21),Parameters!$B$21,""))</f>
        <v>0</v>
      </c>
      <c r="AA109" s="12">
        <f>IFERROR(IF(ISNUMBER(INDEX(Parameters!$B$5:$B$14,MATCH(J109,Parameters!$A$5:$A$14,0))),INDEX(Parameters!$B$5:$B$14,MATCH(J109,Parameters!$A$5:$A$14,0)),""),"")</f>
        <v>0</v>
      </c>
      <c r="AB109" s="12">
        <f>IFERROR(IF(ISNUMBER(INDEX(Parameters!$B$5:$B$14,MATCH(K109,Parameters!$A$5:$A$14,0))),INDEX(Parameters!$B$5:$B$14,MATCH(K109,Parameters!$A$5:$A$14,0)),""),"")</f>
        <v>1</v>
      </c>
      <c r="AC109" s="12">
        <f>IFERROR(IF(ISNUMBER(INDEX(Parameters!$B$5:$B$14,MATCH(L109,Parameters!$A$5:$A$14,0))),INDEX(Parameters!$B$5:$B$14,MATCH(L109,Parameters!$A$5:$A$14,0)),""),"")</f>
        <v>0</v>
      </c>
      <c r="AD109" s="12">
        <f>IFERROR(IF(ISNUMBER(INDEX(Parameters!$B$5:$B$14,MATCH(M109,Parameters!$A$5:$A$14,0))),INDEX(Parameters!$B$5:$B$14,MATCH(M109,Parameters!$A$5:$A$14,0)),""),"")</f>
        <v>0</v>
      </c>
      <c r="AE109" s="12">
        <f>IF(N109&lt;&gt;"",1,IF(ISNUMBER(Parameters!$B$19),Parameters!$B$19,""))</f>
        <v>1</v>
      </c>
      <c r="AF109" s="12">
        <f>IF((Parameters!$I$5*ISNUMBER(V109)+Parameters!$I$6*ISNUMBER(W109)+Parameters!$I$7*ISNUMBER(X109)+Parameters!$I$8*ISNUMBER(Y109))=0,"",(Parameters!$I$5*N(V109)+Parameters!$I$6*N(W109)+Parameters!$I$7*N(X109)+Parameters!$I$8*N(Y109))/(Parameters!$I$5*ISNUMBER(V109)+Parameters!$I$6*ISNUMBER(W109)+Parameters!$I$7*ISNUMBER(X109)+Parameters!$I$8*ISNUMBER(Y109)))</f>
        <v>0</v>
      </c>
      <c r="AG109" s="12">
        <f>IF((Parameters!$I$9*ISNUMBER(Z109))=0,"",(Parameters!$I$9*N(Z109))/(Parameters!$I$9*ISNUMBER(Z109)))</f>
        <v>0</v>
      </c>
      <c r="AH109" s="12">
        <f>IF((Parameters!$I$11*ISNUMBER(AA109)+Parameters!$I$12*ISNUMBER(AB109)+Parameters!$I$13*ISNUMBER(AC109)+Parameters!$I$14*ISNUMBER(AD109)+Parameters!$I$15*ISNUMBER(AE109))=0,"",(Parameters!$I$11*N(AA109)+Parameters!$I$12*N(AB109)+Parameters!$I$13*N(AC109)+Parameters!$I$14*N(AD109)+Parameters!$I$15*N(AE109))/(Parameters!$I$11*ISNUMBER(AA109)+Parameters!$I$12*ISNUMBER(AB109)+Parameters!$I$13*ISNUMBER(AC109)+Parameters!$I$14*ISNUMBER(AD109)+Parameters!$I$15*ISNUMBER(AE109)))</f>
        <v>0.4</v>
      </c>
      <c r="AI109" s="13">
        <f>Parameters!$I$5*ISNUMBER(V109)+Parameters!$I$6*ISNUMBER(W109)+Parameters!$I$7*ISNUMBER(X109)+Parameters!$I$8*ISNUMBER(Y109)+Parameters!$I$9*ISNUMBER(Z109)+Parameters!$I$11*ISNUMBER(AA109)+Parameters!$I$12*ISNUMBER(AB109)+Parameters!$I$13*ISNUMBER(AC109)+Parameters!$I$14*ISNUMBER(AD109)+Parameters!$I$15*ISNUMBER(AE109)</f>
        <v>95</v>
      </c>
      <c r="AJ109" s="14">
        <f>IF((Parameters!$I$5+Parameters!$I$6+Parameters!$I$7+Parameters!$I$8+Parameters!$I$9+Parameters!$I$11+Parameters!$I$12+Parameters!$I$13+Parameters!$I$14+Parameters!$I$15)=0,"",AI109/(Parameters!$I$5+Parameters!$I$6+Parameters!$I$7+Parameters!$I$8+Parameters!$I$9+Parameters!$I$11+Parameters!$I$12+Parameters!$I$13+Parameters!$I$14+Parameters!$I$15))</f>
        <v>1</v>
      </c>
      <c r="AK109" s="15">
        <f>IF(AND(ISNUMBER(AF109),ISNUMBER(AH109),OR(NOT((Parameters!$I$9)&gt;0),ISNUMBER(AG109)),AJ109&gt;=Parameters!$B$20),100*(Parameters!$F$18*N(AF109)+Parameters!$F$19*N(AG109)+Parameters!$F$20*N(AH109))/(Parameters!$F$18*ISNUMBER(AF109)+Parameters!$F$19*ISNUMBER(AG109)+Parameters!$F$20*ISNUMBER(AH109)),"")</f>
        <v>13.999999999999998</v>
      </c>
      <c r="AL109" s="16">
        <f>IF(ISNUMBER(AK109),RANK(AK109,$AK$2:$AK$113),"")</f>
        <v>107</v>
      </c>
      <c r="AM109" s="14" t="str">
        <f>IF(((D109="Implemented/available")+(E109="Implemented/available")+(J109="Implemented/available")+(K109="Implemented/available")+(L109="Implemented/available")+(M109="Implemented/available"))=0,"",(AND(D109="Implemented/available",O109&lt;&gt;"")+AND(E109="Implemented/available",P109&lt;&gt;"")+AND(J109="Implemented/available",Q109&lt;&gt;"")+AND(K109="Implemented/available",R109&lt;&gt;"")+AND(L109="Implemented/available",S109&lt;&gt;"")+AND(M109="Implemented/available",T109&lt;&gt;""))/((D109="Implemented/available")+(E109="Implemented/available")+(J109="Implemented/available")+(K109="Implemented/available")+(L109="Implemented/available")+(M109="Implemented/available")))</f>
        <v/>
      </c>
    </row>
    <row r="110" spans="1:39" x14ac:dyDescent="0.25">
      <c r="A110" s="6" t="s">
        <v>314</v>
      </c>
      <c r="B110" s="6" t="s">
        <v>314</v>
      </c>
      <c r="C110" s="6" t="s">
        <v>315</v>
      </c>
      <c r="D110" s="6" t="s">
        <v>48</v>
      </c>
      <c r="E110" s="6" t="s">
        <v>48</v>
      </c>
      <c r="F110" s="6" t="s">
        <v>48</v>
      </c>
      <c r="G110" s="6"/>
      <c r="H110" s="6"/>
      <c r="I110" s="6"/>
      <c r="J110" s="6" t="s">
        <v>29</v>
      </c>
      <c r="K110" s="6" t="s">
        <v>34</v>
      </c>
      <c r="L110" s="6" t="s">
        <v>48</v>
      </c>
      <c r="M110" s="6" t="s">
        <v>53</v>
      </c>
      <c r="N110" s="6"/>
      <c r="O110" s="6"/>
      <c r="P110" s="6"/>
      <c r="Q110" s="6" t="s">
        <v>316</v>
      </c>
      <c r="R110" s="6"/>
      <c r="S110" s="6"/>
      <c r="T110" s="6"/>
      <c r="U110" s="6"/>
      <c r="V110" s="12" t="str">
        <f>IFERROR(IF(ISNUMBER(INDEX(Parameters!$B$5:$B$14,MATCH(D110,Parameters!$A$5:$A$14,0))),INDEX(Parameters!$B$5:$B$14,MATCH(D110,Parameters!$A$5:$A$14,0)),""),"")</f>
        <v/>
      </c>
      <c r="W110" s="12" t="str">
        <f>IFERROR(IF(ISNUMBER(INDEX(Parameters!$B$5:$B$14,MATCH(E110,Parameters!$A$5:$A$14,0))),INDEX(Parameters!$B$5:$B$14,MATCH(E110,Parameters!$A$5:$A$14,0)),""),"")</f>
        <v/>
      </c>
      <c r="X110" s="12" t="str">
        <f>IFERROR(IF(ISNUMBER(INDEX(Parameters!$B$5:$B$14,MATCH(F110,Parameters!$A$5:$A$14,0))),INDEX(Parameters!$B$5:$B$14,MATCH(F110,Parameters!$A$5:$A$14,0)),""),"")</f>
        <v/>
      </c>
      <c r="Y110" s="12">
        <f>IF(G110&lt;&gt;"",1,IF(ISNUMBER(Parameters!$B$18),Parameters!$B$18,""))</f>
        <v>0</v>
      </c>
      <c r="Z110" s="12">
        <f>IF(I110&lt;&gt;"",IFERROR(IF(ISNUMBER(INDEX(Parameters!$B$5:$B$14,MATCH(I110,Parameters!$A$5:$A$14,0))),INDEX(Parameters!$B$5:$B$14,MATCH(I110,Parameters!$A$5:$A$14,0)),""),""),IF(ISNUMBER(Parameters!$B$21),Parameters!$B$21,""))</f>
        <v>0</v>
      </c>
      <c r="AA110" s="12">
        <f>IFERROR(IF(ISNUMBER(INDEX(Parameters!$B$5:$B$14,MATCH(J110,Parameters!$A$5:$A$14,0))),INDEX(Parameters!$B$5:$B$14,MATCH(J110,Parameters!$A$5:$A$14,0)),""),"")</f>
        <v>1</v>
      </c>
      <c r="AB110" s="12">
        <f>IFERROR(IF(ISNUMBER(INDEX(Parameters!$B$5:$B$14,MATCH(K110,Parameters!$A$5:$A$14,0))),INDEX(Parameters!$B$5:$B$14,MATCH(K110,Parameters!$A$5:$A$14,0)),""),"")</f>
        <v>1</v>
      </c>
      <c r="AC110" s="12" t="str">
        <f>IFERROR(IF(ISNUMBER(INDEX(Parameters!$B$5:$B$14,MATCH(L110,Parameters!$A$5:$A$14,0))),INDEX(Parameters!$B$5:$B$14,MATCH(L110,Parameters!$A$5:$A$14,0)),""),"")</f>
        <v/>
      </c>
      <c r="AD110" s="12" t="str">
        <f>IFERROR(IF(ISNUMBER(INDEX(Parameters!$B$5:$B$14,MATCH(M110,Parameters!$A$5:$A$14,0))),INDEX(Parameters!$B$5:$B$14,MATCH(M110,Parameters!$A$5:$A$14,0)),""),"")</f>
        <v/>
      </c>
      <c r="AE110" s="12">
        <f>IF(N110&lt;&gt;"",1,IF(ISNUMBER(Parameters!$B$19),Parameters!$B$19,""))</f>
        <v>0</v>
      </c>
      <c r="AF110" s="12">
        <f>IF((Parameters!$I$5*ISNUMBER(V110)+Parameters!$I$6*ISNUMBER(W110)+Parameters!$I$7*ISNUMBER(X110)+Parameters!$I$8*ISNUMBER(Y110))=0,"",(Parameters!$I$5*N(V110)+Parameters!$I$6*N(W110)+Parameters!$I$7*N(X110)+Parameters!$I$8*N(Y110))/(Parameters!$I$5*ISNUMBER(V110)+Parameters!$I$6*ISNUMBER(W110)+Parameters!$I$7*ISNUMBER(X110)+Parameters!$I$8*ISNUMBER(Y110)))</f>
        <v>0</v>
      </c>
      <c r="AG110" s="12">
        <f>IF((Parameters!$I$9*ISNUMBER(Z110))=0,"",(Parameters!$I$9*N(Z110))/(Parameters!$I$9*ISNUMBER(Z110)))</f>
        <v>0</v>
      </c>
      <c r="AH110" s="12">
        <f>IF((Parameters!$I$11*ISNUMBER(AA110)+Parameters!$I$12*ISNUMBER(AB110)+Parameters!$I$13*ISNUMBER(AC110)+Parameters!$I$14*ISNUMBER(AD110)+Parameters!$I$15*ISNUMBER(AE110))=0,"",(Parameters!$I$11*N(AA110)+Parameters!$I$12*N(AB110)+Parameters!$I$13*N(AC110)+Parameters!$I$14*N(AD110)+Parameters!$I$15*N(AE110))/(Parameters!$I$11*ISNUMBER(AA110)+Parameters!$I$12*ISNUMBER(AB110)+Parameters!$I$13*ISNUMBER(AC110)+Parameters!$I$14*ISNUMBER(AD110)+Parameters!$I$15*ISNUMBER(AE110)))</f>
        <v>0.66666666666666663</v>
      </c>
      <c r="AI110" s="13">
        <f>Parameters!$I$5*ISNUMBER(V110)+Parameters!$I$6*ISNUMBER(W110)+Parameters!$I$7*ISNUMBER(X110)+Parameters!$I$8*ISNUMBER(Y110)+Parameters!$I$9*ISNUMBER(Z110)+Parameters!$I$11*ISNUMBER(AA110)+Parameters!$I$12*ISNUMBER(AB110)+Parameters!$I$13*ISNUMBER(AC110)+Parameters!$I$14*ISNUMBER(AD110)+Parameters!$I$15*ISNUMBER(AE110)</f>
        <v>49</v>
      </c>
      <c r="AJ110" s="14">
        <f>IF((Parameters!$I$5+Parameters!$I$6+Parameters!$I$7+Parameters!$I$8+Parameters!$I$9+Parameters!$I$11+Parameters!$I$12+Parameters!$I$13+Parameters!$I$14+Parameters!$I$15)=0,"",AI110/(Parameters!$I$5+Parameters!$I$6+Parameters!$I$7+Parameters!$I$8+Parameters!$I$9+Parameters!$I$11+Parameters!$I$12+Parameters!$I$13+Parameters!$I$14+Parameters!$I$15))</f>
        <v>0.51578947368421058</v>
      </c>
      <c r="AK110" s="15" t="str">
        <f>IF(AND(ISNUMBER(AF110),ISNUMBER(AH110),OR(NOT((Parameters!$I$9)&gt;0),ISNUMBER(AG110)),AJ110&gt;=Parameters!$B$20),100*(Parameters!$F$18*N(AF110)+Parameters!$F$19*N(AG110)+Parameters!$F$20*N(AH110))/(Parameters!$F$18*ISNUMBER(AF110)+Parameters!$F$19*ISNUMBER(AG110)+Parameters!$F$20*ISNUMBER(AH110)),"")</f>
        <v/>
      </c>
      <c r="AL110" s="16" t="str">
        <f>IF(ISNUMBER(AK110),RANK(AK110,$AK$2:$AK$113),"")</f>
        <v/>
      </c>
      <c r="AM110" s="14">
        <f>IF(((D110="Implemented/available")+(E110="Implemented/available")+(J110="Implemented/available")+(K110="Implemented/available")+(L110="Implemented/available")+(M110="Implemented/available"))=0,"",(AND(D110="Implemented/available",O110&lt;&gt;"")+AND(E110="Implemented/available",P110&lt;&gt;"")+AND(J110="Implemented/available",Q110&lt;&gt;"")+AND(K110="Implemented/available",R110&lt;&gt;"")+AND(L110="Implemented/available",S110&lt;&gt;"")+AND(M110="Implemented/available",T110&lt;&gt;""))/((D110="Implemented/available")+(E110="Implemented/available")+(J110="Implemented/available")+(K110="Implemented/available")+(L110="Implemented/available")+(M110="Implemented/available")))</f>
        <v>1</v>
      </c>
    </row>
    <row r="111" spans="1:39" x14ac:dyDescent="0.25">
      <c r="A111" s="6" t="s">
        <v>332</v>
      </c>
      <c r="B111" s="6" t="s">
        <v>324</v>
      </c>
      <c r="C111" s="6" t="s">
        <v>333</v>
      </c>
      <c r="D111" s="6" t="s">
        <v>48</v>
      </c>
      <c r="E111" s="6" t="s">
        <v>44</v>
      </c>
      <c r="F111" s="6" t="s">
        <v>44</v>
      </c>
      <c r="G111" s="6"/>
      <c r="H111" s="6"/>
      <c r="I111" s="6"/>
      <c r="J111" s="6" t="s">
        <v>48</v>
      </c>
      <c r="K111" s="6" t="s">
        <v>44</v>
      </c>
      <c r="L111" s="6" t="s">
        <v>48</v>
      </c>
      <c r="M111" s="6" t="s">
        <v>48</v>
      </c>
      <c r="N111" s="6"/>
      <c r="O111" s="6"/>
      <c r="P111" s="6"/>
      <c r="Q111" s="6"/>
      <c r="R111" s="6"/>
      <c r="S111" s="6"/>
      <c r="T111" s="6"/>
      <c r="U111" s="6"/>
      <c r="V111" s="12" t="str">
        <f>IFERROR(IF(ISNUMBER(INDEX(Parameters!$B$5:$B$14,MATCH(D111,Parameters!$A$5:$A$14,0))),INDEX(Parameters!$B$5:$B$14,MATCH(D111,Parameters!$A$5:$A$14,0)),""),"")</f>
        <v/>
      </c>
      <c r="W111" s="12">
        <f>IFERROR(IF(ISNUMBER(INDEX(Parameters!$B$5:$B$14,MATCH(E111,Parameters!$A$5:$A$14,0))),INDEX(Parameters!$B$5:$B$14,MATCH(E111,Parameters!$A$5:$A$14,0)),""),"")</f>
        <v>0</v>
      </c>
      <c r="X111" s="12">
        <f>IFERROR(IF(ISNUMBER(INDEX(Parameters!$B$5:$B$14,MATCH(F111,Parameters!$A$5:$A$14,0))),INDEX(Parameters!$B$5:$B$14,MATCH(F111,Parameters!$A$5:$A$14,0)),""),"")</f>
        <v>0</v>
      </c>
      <c r="Y111" s="12">
        <f>IF(G111&lt;&gt;"",1,IF(ISNUMBER(Parameters!$B$18),Parameters!$B$18,""))</f>
        <v>0</v>
      </c>
      <c r="Z111" s="12">
        <f>IF(I111&lt;&gt;"",IFERROR(IF(ISNUMBER(INDEX(Parameters!$B$5:$B$14,MATCH(I111,Parameters!$A$5:$A$14,0))),INDEX(Parameters!$B$5:$B$14,MATCH(I111,Parameters!$A$5:$A$14,0)),""),""),IF(ISNUMBER(Parameters!$B$21),Parameters!$B$21,""))</f>
        <v>0</v>
      </c>
      <c r="AA111" s="12" t="str">
        <f>IFERROR(IF(ISNUMBER(INDEX(Parameters!$B$5:$B$14,MATCH(J111,Parameters!$A$5:$A$14,0))),INDEX(Parameters!$B$5:$B$14,MATCH(J111,Parameters!$A$5:$A$14,0)),""),"")</f>
        <v/>
      </c>
      <c r="AB111" s="12">
        <f>IFERROR(IF(ISNUMBER(INDEX(Parameters!$B$5:$B$14,MATCH(K111,Parameters!$A$5:$A$14,0))),INDEX(Parameters!$B$5:$B$14,MATCH(K111,Parameters!$A$5:$A$14,0)),""),"")</f>
        <v>0</v>
      </c>
      <c r="AC111" s="12" t="str">
        <f>IFERROR(IF(ISNUMBER(INDEX(Parameters!$B$5:$B$14,MATCH(L111,Parameters!$A$5:$A$14,0))),INDEX(Parameters!$B$5:$B$14,MATCH(L111,Parameters!$A$5:$A$14,0)),""),"")</f>
        <v/>
      </c>
      <c r="AD111" s="12" t="str">
        <f>IFERROR(IF(ISNUMBER(INDEX(Parameters!$B$5:$B$14,MATCH(M111,Parameters!$A$5:$A$14,0))),INDEX(Parameters!$B$5:$B$14,MATCH(M111,Parameters!$A$5:$A$14,0)),""),"")</f>
        <v/>
      </c>
      <c r="AE111" s="12">
        <f>IF(N111&lt;&gt;"",1,IF(ISNUMBER(Parameters!$B$19),Parameters!$B$19,""))</f>
        <v>0</v>
      </c>
      <c r="AF111" s="12">
        <f>IF((Parameters!$I$5*ISNUMBER(V111)+Parameters!$I$6*ISNUMBER(W111)+Parameters!$I$7*ISNUMBER(X111)+Parameters!$I$8*ISNUMBER(Y111))=0,"",(Parameters!$I$5*N(V111)+Parameters!$I$6*N(W111)+Parameters!$I$7*N(X111)+Parameters!$I$8*N(Y111))/(Parameters!$I$5*ISNUMBER(V111)+Parameters!$I$6*ISNUMBER(W111)+Parameters!$I$7*ISNUMBER(X111)+Parameters!$I$8*ISNUMBER(Y111)))</f>
        <v>0</v>
      </c>
      <c r="AG111" s="12">
        <f>IF((Parameters!$I$9*ISNUMBER(Z111))=0,"",(Parameters!$I$9*N(Z111))/(Parameters!$I$9*ISNUMBER(Z111)))</f>
        <v>0</v>
      </c>
      <c r="AH111" s="12">
        <f>IF((Parameters!$I$11*ISNUMBER(AA111)+Parameters!$I$12*ISNUMBER(AB111)+Parameters!$I$13*ISNUMBER(AC111)+Parameters!$I$14*ISNUMBER(AD111)+Parameters!$I$15*ISNUMBER(AE111))=0,"",(Parameters!$I$11*N(AA111)+Parameters!$I$12*N(AB111)+Parameters!$I$13*N(AC111)+Parameters!$I$14*N(AD111)+Parameters!$I$15*N(AE111))/(Parameters!$I$11*ISNUMBER(AA111)+Parameters!$I$12*ISNUMBER(AB111)+Parameters!$I$13*ISNUMBER(AC111)+Parameters!$I$14*ISNUMBER(AD111)+Parameters!$I$15*ISNUMBER(AE111)))</f>
        <v>0</v>
      </c>
      <c r="AI111" s="13">
        <f>Parameters!$I$5*ISNUMBER(V111)+Parameters!$I$6*ISNUMBER(W111)+Parameters!$I$7*ISNUMBER(X111)+Parameters!$I$8*ISNUMBER(Y111)+Parameters!$I$9*ISNUMBER(Z111)+Parameters!$I$11*ISNUMBER(AA111)+Parameters!$I$12*ISNUMBER(AB111)+Parameters!$I$13*ISNUMBER(AC111)+Parameters!$I$14*ISNUMBER(AD111)+Parameters!$I$15*ISNUMBER(AE111)</f>
        <v>62</v>
      </c>
      <c r="AJ111" s="14">
        <f>IF((Parameters!$I$5+Parameters!$I$6+Parameters!$I$7+Parameters!$I$8+Parameters!$I$9+Parameters!$I$11+Parameters!$I$12+Parameters!$I$13+Parameters!$I$14+Parameters!$I$15)=0,"",AI111/(Parameters!$I$5+Parameters!$I$6+Parameters!$I$7+Parameters!$I$8+Parameters!$I$9+Parameters!$I$11+Parameters!$I$12+Parameters!$I$13+Parameters!$I$14+Parameters!$I$15))</f>
        <v>0.65263157894736845</v>
      </c>
      <c r="AK111" s="15" t="str">
        <f>IF(AND(ISNUMBER(AF111),ISNUMBER(AH111),OR(NOT((Parameters!$I$9)&gt;0),ISNUMBER(AG111)),AJ111&gt;=Parameters!$B$20),100*(Parameters!$F$18*N(AF111)+Parameters!$F$19*N(AG111)+Parameters!$F$20*N(AH111))/(Parameters!$F$18*ISNUMBER(AF111)+Parameters!$F$19*ISNUMBER(AG111)+Parameters!$F$20*ISNUMBER(AH111)),"")</f>
        <v/>
      </c>
      <c r="AL111" s="16" t="str">
        <f>IF(ISNUMBER(AK111),RANK(AK111,$AK$2:$AK$113),"")</f>
        <v/>
      </c>
      <c r="AM111" s="14" t="str">
        <f>IF(((D111="Implemented/available")+(E111="Implemented/available")+(J111="Implemented/available")+(K111="Implemented/available")+(L111="Implemented/available")+(M111="Implemented/available"))=0,"",(AND(D111="Implemented/available",O111&lt;&gt;"")+AND(E111="Implemented/available",P111&lt;&gt;"")+AND(J111="Implemented/available",Q111&lt;&gt;"")+AND(K111="Implemented/available",R111&lt;&gt;"")+AND(L111="Implemented/available",S111&lt;&gt;"")+AND(M111="Implemented/available",T111&lt;&gt;""))/((D111="Implemented/available")+(E111="Implemented/available")+(J111="Implemented/available")+(K111="Implemented/available")+(L111="Implemented/available")+(M111="Implemented/available")))</f>
        <v/>
      </c>
    </row>
    <row r="112" spans="1:39" x14ac:dyDescent="0.25">
      <c r="A112" s="6" t="s">
        <v>405</v>
      </c>
      <c r="B112" s="6" t="s">
        <v>406</v>
      </c>
      <c r="C112" s="6" t="s">
        <v>407</v>
      </c>
      <c r="D112" s="6" t="s">
        <v>48</v>
      </c>
      <c r="E112" s="6" t="s">
        <v>48</v>
      </c>
      <c r="F112" s="6" t="s">
        <v>48</v>
      </c>
      <c r="G112" s="6"/>
      <c r="H112" s="6"/>
      <c r="I112" s="6"/>
      <c r="J112" s="6" t="s">
        <v>48</v>
      </c>
      <c r="K112" s="6" t="s">
        <v>34</v>
      </c>
      <c r="L112" s="6" t="s">
        <v>48</v>
      </c>
      <c r="M112" s="6" t="s">
        <v>48</v>
      </c>
      <c r="N112" s="6"/>
      <c r="O112" s="6"/>
      <c r="P112" s="6"/>
      <c r="Q112" s="6"/>
      <c r="R112" s="6"/>
      <c r="S112" s="6"/>
      <c r="T112" s="6"/>
      <c r="U112" s="6"/>
      <c r="V112" s="12" t="str">
        <f>IFERROR(IF(ISNUMBER(INDEX(Parameters!$B$5:$B$14,MATCH(D112,Parameters!$A$5:$A$14,0))),INDEX(Parameters!$B$5:$B$14,MATCH(D112,Parameters!$A$5:$A$14,0)),""),"")</f>
        <v/>
      </c>
      <c r="W112" s="12" t="str">
        <f>IFERROR(IF(ISNUMBER(INDEX(Parameters!$B$5:$B$14,MATCH(E112,Parameters!$A$5:$A$14,0))),INDEX(Parameters!$B$5:$B$14,MATCH(E112,Parameters!$A$5:$A$14,0)),""),"")</f>
        <v/>
      </c>
      <c r="X112" s="12" t="str">
        <f>IFERROR(IF(ISNUMBER(INDEX(Parameters!$B$5:$B$14,MATCH(F112,Parameters!$A$5:$A$14,0))),INDEX(Parameters!$B$5:$B$14,MATCH(F112,Parameters!$A$5:$A$14,0)),""),"")</f>
        <v/>
      </c>
      <c r="Y112" s="12">
        <f>IF(G112&lt;&gt;"",1,IF(ISNUMBER(Parameters!$B$18),Parameters!$B$18,""))</f>
        <v>0</v>
      </c>
      <c r="Z112" s="12">
        <f>IF(I112&lt;&gt;"",IFERROR(IF(ISNUMBER(INDEX(Parameters!$B$5:$B$14,MATCH(I112,Parameters!$A$5:$A$14,0))),INDEX(Parameters!$B$5:$B$14,MATCH(I112,Parameters!$A$5:$A$14,0)),""),""),IF(ISNUMBER(Parameters!$B$21),Parameters!$B$21,""))</f>
        <v>0</v>
      </c>
      <c r="AA112" s="12" t="str">
        <f>IFERROR(IF(ISNUMBER(INDEX(Parameters!$B$5:$B$14,MATCH(J112,Parameters!$A$5:$A$14,0))),INDEX(Parameters!$B$5:$B$14,MATCH(J112,Parameters!$A$5:$A$14,0)),""),"")</f>
        <v/>
      </c>
      <c r="AB112" s="12">
        <f>IFERROR(IF(ISNUMBER(INDEX(Parameters!$B$5:$B$14,MATCH(K112,Parameters!$A$5:$A$14,0))),INDEX(Parameters!$B$5:$B$14,MATCH(K112,Parameters!$A$5:$A$14,0)),""),"")</f>
        <v>1</v>
      </c>
      <c r="AC112" s="12" t="str">
        <f>IFERROR(IF(ISNUMBER(INDEX(Parameters!$B$5:$B$14,MATCH(L112,Parameters!$A$5:$A$14,0))),INDEX(Parameters!$B$5:$B$14,MATCH(L112,Parameters!$A$5:$A$14,0)),""),"")</f>
        <v/>
      </c>
      <c r="AD112" s="12" t="str">
        <f>IFERROR(IF(ISNUMBER(INDEX(Parameters!$B$5:$B$14,MATCH(M112,Parameters!$A$5:$A$14,0))),INDEX(Parameters!$B$5:$B$14,MATCH(M112,Parameters!$A$5:$A$14,0)),""),"")</f>
        <v/>
      </c>
      <c r="AE112" s="12">
        <f>IF(N112&lt;&gt;"",1,IF(ISNUMBER(Parameters!$B$19),Parameters!$B$19,""))</f>
        <v>0</v>
      </c>
      <c r="AF112" s="12">
        <f>IF((Parameters!$I$5*ISNUMBER(V112)+Parameters!$I$6*ISNUMBER(W112)+Parameters!$I$7*ISNUMBER(X112)+Parameters!$I$8*ISNUMBER(Y112))=0,"",(Parameters!$I$5*N(V112)+Parameters!$I$6*N(W112)+Parameters!$I$7*N(X112)+Parameters!$I$8*N(Y112))/(Parameters!$I$5*ISNUMBER(V112)+Parameters!$I$6*ISNUMBER(W112)+Parameters!$I$7*ISNUMBER(X112)+Parameters!$I$8*ISNUMBER(Y112)))</f>
        <v>0</v>
      </c>
      <c r="AG112" s="12">
        <f>IF((Parameters!$I$9*ISNUMBER(Z112))=0,"",(Parameters!$I$9*N(Z112))/(Parameters!$I$9*ISNUMBER(Z112)))</f>
        <v>0</v>
      </c>
      <c r="AH112" s="12">
        <f>IF((Parameters!$I$11*ISNUMBER(AA112)+Parameters!$I$12*ISNUMBER(AB112)+Parameters!$I$13*ISNUMBER(AC112)+Parameters!$I$14*ISNUMBER(AD112)+Parameters!$I$15*ISNUMBER(AE112))=0,"",(Parameters!$I$11*N(AA112)+Parameters!$I$12*N(AB112)+Parameters!$I$13*N(AC112)+Parameters!$I$14*N(AD112)+Parameters!$I$15*N(AE112))/(Parameters!$I$11*ISNUMBER(AA112)+Parameters!$I$12*ISNUMBER(AB112)+Parameters!$I$13*ISNUMBER(AC112)+Parameters!$I$14*ISNUMBER(AD112)+Parameters!$I$15*ISNUMBER(AE112)))</f>
        <v>0.5</v>
      </c>
      <c r="AI112" s="13">
        <f>Parameters!$I$5*ISNUMBER(V112)+Parameters!$I$6*ISNUMBER(W112)+Parameters!$I$7*ISNUMBER(X112)+Parameters!$I$8*ISNUMBER(Y112)+Parameters!$I$9*ISNUMBER(Z112)+Parameters!$I$11*ISNUMBER(AA112)+Parameters!$I$12*ISNUMBER(AB112)+Parameters!$I$13*ISNUMBER(AC112)+Parameters!$I$14*ISNUMBER(AD112)+Parameters!$I$15*ISNUMBER(AE112)</f>
        <v>42</v>
      </c>
      <c r="AJ112" s="14">
        <f>IF((Parameters!$I$5+Parameters!$I$6+Parameters!$I$7+Parameters!$I$8+Parameters!$I$9+Parameters!$I$11+Parameters!$I$12+Parameters!$I$13+Parameters!$I$14+Parameters!$I$15)=0,"",AI112/(Parameters!$I$5+Parameters!$I$6+Parameters!$I$7+Parameters!$I$8+Parameters!$I$9+Parameters!$I$11+Parameters!$I$12+Parameters!$I$13+Parameters!$I$14+Parameters!$I$15))</f>
        <v>0.44210526315789472</v>
      </c>
      <c r="AK112" s="15" t="str">
        <f>IF(AND(ISNUMBER(AF112),ISNUMBER(AH112),OR(NOT((Parameters!$I$9)&gt;0),ISNUMBER(AG112)),AJ112&gt;=Parameters!$B$20),100*(Parameters!$F$18*N(AF112)+Parameters!$F$19*N(AG112)+Parameters!$F$20*N(AH112))/(Parameters!$F$18*ISNUMBER(AF112)+Parameters!$F$19*ISNUMBER(AG112)+Parameters!$F$20*ISNUMBER(AH112)),"")</f>
        <v/>
      </c>
      <c r="AL112" s="16" t="str">
        <f>IF(ISNUMBER(AK112),RANK(AK112,$AK$2:$AK$113),"")</f>
        <v/>
      </c>
      <c r="AM112" s="14" t="str">
        <f>IF(((D112="Implemented/available")+(E112="Implemented/available")+(J112="Implemented/available")+(K112="Implemented/available")+(L112="Implemented/available")+(M112="Implemented/available"))=0,"",(AND(D112="Implemented/available",O112&lt;&gt;"")+AND(E112="Implemented/available",P112&lt;&gt;"")+AND(J112="Implemented/available",Q112&lt;&gt;"")+AND(K112="Implemented/available",R112&lt;&gt;"")+AND(L112="Implemented/available",S112&lt;&gt;"")+AND(M112="Implemented/available",T112&lt;&gt;""))/((D112="Implemented/available")+(E112="Implemented/available")+(J112="Implemented/available")+(K112="Implemented/available")+(L112="Implemented/available")+(M112="Implemented/available")))</f>
        <v/>
      </c>
    </row>
    <row r="113" spans="1:39" x14ac:dyDescent="0.25">
      <c r="A113" s="6" t="s">
        <v>438</v>
      </c>
      <c r="B113" s="6" t="s">
        <v>439</v>
      </c>
      <c r="C113" s="6" t="s">
        <v>371</v>
      </c>
      <c r="D113" s="6" t="s">
        <v>48</v>
      </c>
      <c r="E113" s="6" t="s">
        <v>48</v>
      </c>
      <c r="F113" s="6" t="s">
        <v>48</v>
      </c>
      <c r="G113" s="6" t="s">
        <v>117</v>
      </c>
      <c r="H113" s="6"/>
      <c r="I113" s="6"/>
      <c r="J113" s="6" t="s">
        <v>29</v>
      </c>
      <c r="K113" s="6" t="s">
        <v>29</v>
      </c>
      <c r="L113" s="6" t="s">
        <v>38</v>
      </c>
      <c r="M113" s="6" t="s">
        <v>48</v>
      </c>
      <c r="N113" s="6"/>
      <c r="O113" s="6"/>
      <c r="P113" s="6"/>
      <c r="Q113" s="6"/>
      <c r="R113" s="6" t="s">
        <v>440</v>
      </c>
      <c r="S113" s="6"/>
      <c r="T113" s="6"/>
      <c r="U113" s="6"/>
      <c r="V113" s="12" t="str">
        <f>IFERROR(IF(ISNUMBER(INDEX(Parameters!$B$5:$B$14,MATCH(D113,Parameters!$A$5:$A$14,0))),INDEX(Parameters!$B$5:$B$14,MATCH(D113,Parameters!$A$5:$A$14,0)),""),"")</f>
        <v/>
      </c>
      <c r="W113" s="12" t="str">
        <f>IFERROR(IF(ISNUMBER(INDEX(Parameters!$B$5:$B$14,MATCH(E113,Parameters!$A$5:$A$14,0))),INDEX(Parameters!$B$5:$B$14,MATCH(E113,Parameters!$A$5:$A$14,0)),""),"")</f>
        <v/>
      </c>
      <c r="X113" s="12" t="str">
        <f>IFERROR(IF(ISNUMBER(INDEX(Parameters!$B$5:$B$14,MATCH(F113,Parameters!$A$5:$A$14,0))),INDEX(Parameters!$B$5:$B$14,MATCH(F113,Parameters!$A$5:$A$14,0)),""),"")</f>
        <v/>
      </c>
      <c r="Y113" s="12">
        <f>IF(G113&lt;&gt;"",1,IF(ISNUMBER(Parameters!$B$18),Parameters!$B$18,""))</f>
        <v>1</v>
      </c>
      <c r="Z113" s="12">
        <f>IF(I113&lt;&gt;"",IFERROR(IF(ISNUMBER(INDEX(Parameters!$B$5:$B$14,MATCH(I113,Parameters!$A$5:$A$14,0))),INDEX(Parameters!$B$5:$B$14,MATCH(I113,Parameters!$A$5:$A$14,0)),""),""),IF(ISNUMBER(Parameters!$B$21),Parameters!$B$21,""))</f>
        <v>0</v>
      </c>
      <c r="AA113" s="12">
        <f>IFERROR(IF(ISNUMBER(INDEX(Parameters!$B$5:$B$14,MATCH(J113,Parameters!$A$5:$A$14,0))),INDEX(Parameters!$B$5:$B$14,MATCH(J113,Parameters!$A$5:$A$14,0)),""),"")</f>
        <v>1</v>
      </c>
      <c r="AB113" s="12">
        <f>IFERROR(IF(ISNUMBER(INDEX(Parameters!$B$5:$B$14,MATCH(K113,Parameters!$A$5:$A$14,0))),INDEX(Parameters!$B$5:$B$14,MATCH(K113,Parameters!$A$5:$A$14,0)),""),"")</f>
        <v>1</v>
      </c>
      <c r="AC113" s="12">
        <f>IFERROR(IF(ISNUMBER(INDEX(Parameters!$B$5:$B$14,MATCH(L113,Parameters!$A$5:$A$14,0))),INDEX(Parameters!$B$5:$B$14,MATCH(L113,Parameters!$A$5:$A$14,0)),""),"")</f>
        <v>0.67</v>
      </c>
      <c r="AD113" s="12" t="str">
        <f>IFERROR(IF(ISNUMBER(INDEX(Parameters!$B$5:$B$14,MATCH(M113,Parameters!$A$5:$A$14,0))),INDEX(Parameters!$B$5:$B$14,MATCH(M113,Parameters!$A$5:$A$14,0)),""),"")</f>
        <v/>
      </c>
      <c r="AE113" s="12">
        <f>IF(N113&lt;&gt;"",1,IF(ISNUMBER(Parameters!$B$19),Parameters!$B$19,""))</f>
        <v>0</v>
      </c>
      <c r="AF113" s="12">
        <f>IF((Parameters!$I$5*ISNUMBER(V113)+Parameters!$I$6*ISNUMBER(W113)+Parameters!$I$7*ISNUMBER(X113)+Parameters!$I$8*ISNUMBER(Y113))=0,"",(Parameters!$I$5*N(V113)+Parameters!$I$6*N(W113)+Parameters!$I$7*N(X113)+Parameters!$I$8*N(Y113))/(Parameters!$I$5*ISNUMBER(V113)+Parameters!$I$6*ISNUMBER(W113)+Parameters!$I$7*ISNUMBER(X113)+Parameters!$I$8*ISNUMBER(Y113)))</f>
        <v>1</v>
      </c>
      <c r="AG113" s="12">
        <f>IF((Parameters!$I$9*ISNUMBER(Z113))=0,"",(Parameters!$I$9*N(Z113))/(Parameters!$I$9*ISNUMBER(Z113)))</f>
        <v>0</v>
      </c>
      <c r="AH113" s="12">
        <f>IF((Parameters!$I$11*ISNUMBER(AA113)+Parameters!$I$12*ISNUMBER(AB113)+Parameters!$I$13*ISNUMBER(AC113)+Parameters!$I$14*ISNUMBER(AD113)+Parameters!$I$15*ISNUMBER(AE113))=0,"",(Parameters!$I$11*N(AA113)+Parameters!$I$12*N(AB113)+Parameters!$I$13*N(AC113)+Parameters!$I$14*N(AD113)+Parameters!$I$15*N(AE113))/(Parameters!$I$11*ISNUMBER(AA113)+Parameters!$I$12*ISNUMBER(AB113)+Parameters!$I$13*ISNUMBER(AC113)+Parameters!$I$14*ISNUMBER(AD113)+Parameters!$I$15*ISNUMBER(AE113)))</f>
        <v>0.66750000000000009</v>
      </c>
      <c r="AI113" s="13">
        <f>Parameters!$I$5*ISNUMBER(V113)+Parameters!$I$6*ISNUMBER(W113)+Parameters!$I$7*ISNUMBER(X113)+Parameters!$I$8*ISNUMBER(Y113)+Parameters!$I$9*ISNUMBER(Z113)+Parameters!$I$11*ISNUMBER(AA113)+Parameters!$I$12*ISNUMBER(AB113)+Parameters!$I$13*ISNUMBER(AC113)+Parameters!$I$14*ISNUMBER(AD113)+Parameters!$I$15*ISNUMBER(AE113)</f>
        <v>56</v>
      </c>
      <c r="AJ113" s="14">
        <f>IF((Parameters!$I$5+Parameters!$I$6+Parameters!$I$7+Parameters!$I$8+Parameters!$I$9+Parameters!$I$11+Parameters!$I$12+Parameters!$I$13+Parameters!$I$14+Parameters!$I$15)=0,"",AI113/(Parameters!$I$5+Parameters!$I$6+Parameters!$I$7+Parameters!$I$8+Parameters!$I$9+Parameters!$I$11+Parameters!$I$12+Parameters!$I$13+Parameters!$I$14+Parameters!$I$15))</f>
        <v>0.58947368421052626</v>
      </c>
      <c r="AK113" s="15" t="str">
        <f>IF(AND(ISNUMBER(AF113),ISNUMBER(AH113),OR(NOT((Parameters!$I$9)&gt;0),ISNUMBER(AG113)),AJ113&gt;=Parameters!$B$20),100*(Parameters!$F$18*N(AF113)+Parameters!$F$19*N(AG113)+Parameters!$F$20*N(AH113))/(Parameters!$F$18*ISNUMBER(AF113)+Parameters!$F$19*ISNUMBER(AG113)+Parameters!$F$20*ISNUMBER(AH113)),"")</f>
        <v/>
      </c>
      <c r="AL113" s="16" t="str">
        <f>IF(ISNUMBER(AK113),RANK(AK113,$AK$2:$AK$113),"")</f>
        <v/>
      </c>
      <c r="AM113" s="14">
        <f>IF(((D113="Implemented/available")+(E113="Implemented/available")+(J113="Implemented/available")+(K113="Implemented/available")+(L113="Implemented/available")+(M113="Implemented/available"))=0,"",(AND(D113="Implemented/available",O113&lt;&gt;"")+AND(E113="Implemented/available",P113&lt;&gt;"")+AND(J113="Implemented/available",Q113&lt;&gt;"")+AND(K113="Implemented/available",R113&lt;&gt;"")+AND(L113="Implemented/available",S113&lt;&gt;"")+AND(M113="Implemented/available",T113&lt;&gt;""))/((D113="Implemented/available")+(E113="Implemented/available")+(J113="Implemented/available")+(K113="Implemented/available")+(L113="Implemented/available")+(M113="Implemented/available")))</f>
        <v>0.5</v>
      </c>
    </row>
  </sheetData>
  <autoFilter ref="A1:AM113" xr:uid="{00000000-0009-0000-0000-000002000000}">
    <sortState xmlns:xlrd2="http://schemas.microsoft.com/office/spreadsheetml/2017/richdata2" ref="A2:AM113">
      <sortCondition ref="AL1:AL113"/>
    </sortState>
  </autoFilter>
  <conditionalFormatting sqref="AK2:AK113">
    <cfRule type="colorScale" priority="2">
      <colorScale>
        <cfvo type="num" val="0"/>
        <cfvo type="num" val="50"/>
        <cfvo type="num" val="100"/>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6"/>
  <sheetViews>
    <sheetView zoomScaleNormal="100" workbookViewId="0"/>
  </sheetViews>
  <sheetFormatPr defaultColWidth="8.7109375" defaultRowHeight="15" x14ac:dyDescent="0.25"/>
  <cols>
    <col min="1" max="1" width="52" customWidth="1"/>
    <col min="2" max="7" width="16" customWidth="1"/>
    <col min="8" max="8" width="70" customWidth="1"/>
    <col min="9" max="10" width="16" customWidth="1"/>
  </cols>
  <sheetData>
    <row r="1" spans="1:11" ht="15.75" x14ac:dyDescent="0.25">
      <c r="A1" s="5" t="s">
        <v>685</v>
      </c>
      <c r="B1" s="6"/>
      <c r="C1" s="6"/>
      <c r="D1" s="6"/>
      <c r="E1" s="6"/>
      <c r="F1" s="6"/>
      <c r="G1" s="6"/>
      <c r="H1" s="6"/>
      <c r="I1" s="6"/>
      <c r="J1" s="6"/>
      <c r="K1" s="6"/>
    </row>
    <row r="2" spans="1:11" x14ac:dyDescent="0.25">
      <c r="A2" s="6"/>
      <c r="B2" s="6"/>
      <c r="C2" s="6"/>
      <c r="D2" s="6"/>
      <c r="E2" s="6"/>
      <c r="F2" s="6"/>
      <c r="G2" s="6"/>
      <c r="H2" s="6"/>
      <c r="I2" s="6"/>
      <c r="J2" s="6"/>
      <c r="K2" s="6"/>
    </row>
    <row r="3" spans="1:11" ht="25.5" x14ac:dyDescent="0.25">
      <c r="A3" s="7" t="s">
        <v>686</v>
      </c>
      <c r="B3" s="7" t="s">
        <v>687</v>
      </c>
      <c r="C3" s="7" t="s">
        <v>688</v>
      </c>
      <c r="D3" s="7" t="s">
        <v>689</v>
      </c>
      <c r="E3" s="7" t="s">
        <v>690</v>
      </c>
      <c r="F3" s="7" t="s">
        <v>691</v>
      </c>
      <c r="G3" s="7" t="s">
        <v>692</v>
      </c>
      <c r="H3" s="7" t="s">
        <v>693</v>
      </c>
      <c r="I3" s="6"/>
      <c r="J3" s="6"/>
      <c r="K3" s="6"/>
    </row>
    <row r="4" spans="1:11" x14ac:dyDescent="0.25">
      <c r="A4" s="6" t="s">
        <v>78</v>
      </c>
      <c r="B4" s="6">
        <f>COUNT(Scores!$V$2:$V$113)</f>
        <v>107</v>
      </c>
      <c r="C4" s="10">
        <f t="shared" ref="C4:C13" si="0">B4/112</f>
        <v>0.9553571428571429</v>
      </c>
      <c r="D4" s="17">
        <f>IFERROR(AVERAGE(Scores!$V$2:$V$113),"")</f>
        <v>0.82570093457943938</v>
      </c>
      <c r="E4" s="17">
        <f>IFERROR(STDEV(Scores!$V$2:$V$113),"")</f>
        <v>0.30517273843208387</v>
      </c>
      <c r="F4" s="10">
        <f>IF(B4=0,"",COUNTIF(Scores!$V$2:$V$113,1)/B4)</f>
        <v>0.7009345794392523</v>
      </c>
      <c r="G4" s="10">
        <f>IF(B4=0,"",COUNTIF(Scores!$V$2:$V$113,0)/B4)</f>
        <v>6.5420560747663545E-2</v>
      </c>
      <c r="H4" s="6" t="s">
        <v>694</v>
      </c>
      <c r="I4" s="6"/>
      <c r="J4" s="6"/>
      <c r="K4" s="6"/>
    </row>
    <row r="5" spans="1:11" x14ac:dyDescent="0.25">
      <c r="A5" s="6" t="s">
        <v>79</v>
      </c>
      <c r="B5" s="6">
        <f>COUNT(Scores!$W$2:$W$113)</f>
        <v>105</v>
      </c>
      <c r="C5" s="10">
        <f t="shared" si="0"/>
        <v>0.9375</v>
      </c>
      <c r="D5" s="17">
        <f>IFERROR(AVERAGE(Scores!$W$2:$W$113),"")</f>
        <v>0.59704761904761916</v>
      </c>
      <c r="E5" s="17">
        <f>IFERROR(STDEV(Scores!$W$2:$W$113),"")</f>
        <v>0.3999781816393812</v>
      </c>
      <c r="F5" s="10">
        <f>IF(B5=0,"",COUNTIF(Scores!$W$2:$W$113,1)/B5)</f>
        <v>0.4</v>
      </c>
      <c r="G5" s="10">
        <f>IF(B5=0,"",COUNTIF(Scores!$W$2:$W$113,0)/B5)</f>
        <v>0.22857142857142856</v>
      </c>
      <c r="H5" s="6" t="s">
        <v>695</v>
      </c>
      <c r="I5" s="6"/>
      <c r="J5" s="6"/>
      <c r="K5" s="6"/>
    </row>
    <row r="6" spans="1:11" x14ac:dyDescent="0.25">
      <c r="A6" s="6" t="s">
        <v>80</v>
      </c>
      <c r="B6" s="6">
        <f>COUNT(Scores!$X$2:$X$113)</f>
        <v>83</v>
      </c>
      <c r="C6" s="10">
        <f t="shared" si="0"/>
        <v>0.7410714285714286</v>
      </c>
      <c r="D6" s="17">
        <f>IFERROR(AVERAGE(Scores!$X$2:$X$113),"")</f>
        <v>0.69469879518072286</v>
      </c>
      <c r="E6" s="17">
        <f>IFERROR(STDEV(Scores!$X$2:$X$113),"")</f>
        <v>0.44553431158936435</v>
      </c>
      <c r="F6" s="10">
        <f>IF(B6=0,"",COUNTIF(Scores!$X$2:$X$113,1)/B6)</f>
        <v>0.66265060240963858</v>
      </c>
      <c r="G6" s="10">
        <f>IF(B6=0,"",COUNTIF(Scores!$X$2:$X$113,0)/B6)</f>
        <v>0.26506024096385544</v>
      </c>
      <c r="H6" s="6" t="s">
        <v>696</v>
      </c>
      <c r="I6" s="6"/>
      <c r="J6" s="6"/>
      <c r="K6" s="6"/>
    </row>
    <row r="7" spans="1:11" x14ac:dyDescent="0.25">
      <c r="A7" s="6" t="s">
        <v>81</v>
      </c>
      <c r="B7" s="6">
        <f>COUNT(Scores!$Y$2:$Y$113)</f>
        <v>112</v>
      </c>
      <c r="C7" s="10">
        <f t="shared" si="0"/>
        <v>1</v>
      </c>
      <c r="D7" s="17">
        <f>IFERROR(AVERAGE(Scores!$Y$2:$Y$113),"")</f>
        <v>0.7678571428571429</v>
      </c>
      <c r="E7" s="17">
        <f>IFERROR(STDEV(Scores!$Y$2:$Y$113),"")</f>
        <v>0.42409719388181505</v>
      </c>
      <c r="F7" s="10">
        <f>IF(B7=0,"",COUNTIF(Scores!$Y$2:$Y$113,1)/B7)</f>
        <v>0.7678571428571429</v>
      </c>
      <c r="G7" s="10">
        <f>IF(B7=0,"",COUNTIF(Scores!$Y$2:$Y$113,0)/B7)</f>
        <v>0.23214285714285715</v>
      </c>
      <c r="H7" s="6" t="s">
        <v>697</v>
      </c>
      <c r="I7" s="6"/>
      <c r="J7" s="6"/>
      <c r="K7" s="6"/>
    </row>
    <row r="8" spans="1:11" x14ac:dyDescent="0.25">
      <c r="A8" s="6" t="s">
        <v>83</v>
      </c>
      <c r="B8" s="6">
        <f>COUNT(Scores!$Z$2:$Z$113)</f>
        <v>112</v>
      </c>
      <c r="C8" s="10">
        <f t="shared" si="0"/>
        <v>1</v>
      </c>
      <c r="D8" s="17">
        <f>IFERROR(AVERAGE(Scores!$Z$2:$Z$113),"")</f>
        <v>0.6205357142857143</v>
      </c>
      <c r="E8" s="17">
        <f>IFERROR(STDEV(Scores!$Z$2:$Z$113),"")</f>
        <v>0.39845159604232278</v>
      </c>
      <c r="F8" s="10">
        <f>IF(B8=0,"",COUNTIF(Scores!$Z$2:$Z$113,1)/B8)</f>
        <v>0.4642857142857143</v>
      </c>
      <c r="G8" s="10">
        <f>IF(B8=0,"",COUNTIF(Scores!$Z$2:$Z$113,0)/B8)</f>
        <v>0.22321428571428573</v>
      </c>
      <c r="H8" s="6" t="s">
        <v>698</v>
      </c>
      <c r="I8" s="6"/>
      <c r="J8" s="6"/>
      <c r="K8" s="6"/>
    </row>
    <row r="9" spans="1:11" x14ac:dyDescent="0.25">
      <c r="A9" s="6" t="s">
        <v>84</v>
      </c>
      <c r="B9" s="6">
        <f>COUNT(Scores!$AA$2:$AA$113)</f>
        <v>102</v>
      </c>
      <c r="C9" s="10">
        <f t="shared" si="0"/>
        <v>0.9107142857142857</v>
      </c>
      <c r="D9" s="17">
        <f>IFERROR(AVERAGE(Scores!$AA$2:$AA$113),"")</f>
        <v>0.62754901960784315</v>
      </c>
      <c r="E9" s="17">
        <f>IFERROR(STDEV(Scores!$AA$2:$AA$113),"")</f>
        <v>0.32693729157560425</v>
      </c>
      <c r="F9" s="10">
        <f>IF(B9=0,"",COUNTIF(Scores!$AA$2:$AA$113,1)/B9)</f>
        <v>0.33333333333333331</v>
      </c>
      <c r="G9" s="10">
        <f>IF(B9=0,"",COUNTIF(Scores!$AA$2:$AA$113,0)/B9)</f>
        <v>8.8235294117647065E-2</v>
      </c>
      <c r="H9" s="6" t="s">
        <v>694</v>
      </c>
      <c r="I9" s="6"/>
      <c r="J9" s="6"/>
      <c r="K9" s="6"/>
    </row>
    <row r="10" spans="1:11" x14ac:dyDescent="0.25">
      <c r="A10" s="6" t="s">
        <v>85</v>
      </c>
      <c r="B10" s="6">
        <f>COUNT(Scores!$AB$2:$AB$113)</f>
        <v>112</v>
      </c>
      <c r="C10" s="10">
        <f t="shared" si="0"/>
        <v>1</v>
      </c>
      <c r="D10" s="17">
        <f>IFERROR(AVERAGE(Scores!$AB$2:$AB$113),"")</f>
        <v>0.97330357142857149</v>
      </c>
      <c r="E10" s="17">
        <f>IFERROR(STDEV(Scores!$AB$2:$AB$113),"")</f>
        <v>0.12750826429924958</v>
      </c>
      <c r="F10" s="10">
        <f>IF(B10=0,"",COUNTIF(Scores!$AB$2:$AB$113,1)/B10)</f>
        <v>0.9464285714285714</v>
      </c>
      <c r="G10" s="10">
        <f>IF(B10=0,"",COUNTIF(Scores!$AB$2:$AB$113,0)/B10)</f>
        <v>8.9285714285714281E-3</v>
      </c>
      <c r="H10" s="6" t="s">
        <v>699</v>
      </c>
      <c r="I10" s="6"/>
      <c r="J10" s="6"/>
      <c r="K10" s="6"/>
    </row>
    <row r="11" spans="1:11" x14ac:dyDescent="0.25">
      <c r="A11" s="6" t="s">
        <v>86</v>
      </c>
      <c r="B11" s="6">
        <f>COUNT(Scores!$AC$2:$AC$113)</f>
        <v>103</v>
      </c>
      <c r="C11" s="10">
        <f t="shared" si="0"/>
        <v>0.9196428571428571</v>
      </c>
      <c r="D11" s="17">
        <f>IFERROR(AVERAGE(Scores!$AC$2:$AC$113),"")</f>
        <v>0.62106796116504837</v>
      </c>
      <c r="E11" s="17">
        <f>IFERROR(STDEV(Scores!$AC$2:$AC$113),"")</f>
        <v>0.35651062911129572</v>
      </c>
      <c r="F11" s="10">
        <f>IF(B11=0,"",COUNTIF(Scores!$AC$2:$AC$113,1)/B11)</f>
        <v>0.38834951456310679</v>
      </c>
      <c r="G11" s="10">
        <f>IF(B11=0,"",COUNTIF(Scores!$AC$2:$AC$113,0)/B11)</f>
        <v>0.11650485436893204</v>
      </c>
      <c r="H11" s="6" t="s">
        <v>694</v>
      </c>
      <c r="I11" s="6"/>
      <c r="J11" s="6"/>
      <c r="K11" s="6"/>
    </row>
    <row r="12" spans="1:11" x14ac:dyDescent="0.25">
      <c r="A12" s="6" t="s">
        <v>87</v>
      </c>
      <c r="B12" s="6">
        <f>COUNT(Scores!$AD$2:$AD$113)</f>
        <v>99</v>
      </c>
      <c r="C12" s="10">
        <f t="shared" si="0"/>
        <v>0.8839285714285714</v>
      </c>
      <c r="D12" s="17">
        <f>IFERROR(AVERAGE(Scores!$AD$2:$AD$113),"")</f>
        <v>0.79454545454545455</v>
      </c>
      <c r="E12" s="17">
        <f>IFERROR(STDEV(Scores!$AD$2:$AD$113),"")</f>
        <v>0.37126170077698833</v>
      </c>
      <c r="F12" s="10">
        <f>IF(B12=0,"",COUNTIF(Scores!$AD$2:$AD$113,1)/B12)</f>
        <v>0.73737373737373735</v>
      </c>
      <c r="G12" s="10">
        <f>IF(B12=0,"",COUNTIF(Scores!$AD$2:$AD$113,0)/B12)</f>
        <v>0.14141414141414141</v>
      </c>
      <c r="H12" s="6" t="s">
        <v>700</v>
      </c>
      <c r="I12" s="6"/>
      <c r="J12" s="6"/>
      <c r="K12" s="6"/>
    </row>
    <row r="13" spans="1:11" x14ac:dyDescent="0.25">
      <c r="A13" s="6" t="s">
        <v>88</v>
      </c>
      <c r="B13" s="6">
        <f>COUNT(Scores!$AE$2:$AE$113)</f>
        <v>112</v>
      </c>
      <c r="C13" s="10">
        <f t="shared" si="0"/>
        <v>1</v>
      </c>
      <c r="D13" s="17">
        <f>IFERROR(AVERAGE(Scores!$AE$2:$AE$113),"")</f>
        <v>0.32142857142857145</v>
      </c>
      <c r="E13" s="17">
        <f>IFERROR(STDEV(Scores!$AE$2:$AE$113),"")</f>
        <v>0.46912388563919882</v>
      </c>
      <c r="F13" s="10">
        <f>IF(B13=0,"",COUNTIF(Scores!$AE$2:$AE$113,1)/B13)</f>
        <v>0.32142857142857145</v>
      </c>
      <c r="G13" s="10">
        <f>IF(B13=0,"",COUNTIF(Scores!$AE$2:$AE$113,0)/B13)</f>
        <v>0.6785714285714286</v>
      </c>
      <c r="H13" s="6" t="s">
        <v>701</v>
      </c>
      <c r="I13" s="6"/>
      <c r="J13" s="6"/>
      <c r="K13" s="6"/>
    </row>
    <row r="14" spans="1:11" x14ac:dyDescent="0.25">
      <c r="A14" s="6"/>
      <c r="B14" s="6"/>
      <c r="C14" s="6"/>
      <c r="D14" s="6"/>
      <c r="E14" s="6"/>
      <c r="F14" s="6"/>
      <c r="G14" s="6"/>
      <c r="H14" s="6"/>
      <c r="I14" s="6"/>
      <c r="J14" s="6"/>
      <c r="K14" s="6"/>
    </row>
    <row r="15" spans="1:11" x14ac:dyDescent="0.25">
      <c r="A15" s="6"/>
      <c r="B15" s="6"/>
      <c r="C15" s="6"/>
      <c r="D15" s="6"/>
      <c r="E15" s="6"/>
      <c r="F15" s="6"/>
      <c r="G15" s="6"/>
      <c r="H15" s="6"/>
      <c r="I15" s="6"/>
      <c r="J15" s="6"/>
      <c r="K15" s="6"/>
    </row>
    <row r="16" spans="1:11" x14ac:dyDescent="0.25">
      <c r="A16" s="18" t="s">
        <v>702</v>
      </c>
      <c r="B16" s="6"/>
      <c r="C16" s="6"/>
      <c r="D16" s="6"/>
      <c r="E16" s="6"/>
      <c r="F16" s="6"/>
      <c r="G16" s="6"/>
      <c r="H16" s="6"/>
      <c r="I16" s="6"/>
      <c r="J16" s="6"/>
      <c r="K16" s="6"/>
    </row>
    <row r="17" spans="1:11" x14ac:dyDescent="0.25">
      <c r="A17" s="6" t="s">
        <v>703</v>
      </c>
      <c r="B17" s="19">
        <f>COUNTA(Scores!$A$2:$A$113)</f>
        <v>112</v>
      </c>
      <c r="C17" s="6"/>
      <c r="D17" s="6"/>
      <c r="E17" s="6"/>
      <c r="F17" s="6"/>
      <c r="G17" s="6"/>
      <c r="H17" s="6"/>
      <c r="I17" s="6"/>
      <c r="J17" s="6"/>
      <c r="K17" s="6"/>
    </row>
    <row r="18" spans="1:11" x14ac:dyDescent="0.25">
      <c r="A18" s="6" t="s">
        <v>704</v>
      </c>
      <c r="B18" s="19">
        <f>COUNT(Scores!$AK$2:$AK$113)</f>
        <v>108</v>
      </c>
      <c r="C18" s="6"/>
      <c r="D18" s="6"/>
      <c r="E18" s="6"/>
      <c r="F18" s="6"/>
      <c r="G18" s="6"/>
      <c r="H18" s="6"/>
      <c r="I18" s="6"/>
      <c r="J18" s="6"/>
      <c r="K18" s="6"/>
    </row>
    <row r="19" spans="1:11" x14ac:dyDescent="0.25">
      <c r="A19" s="6" t="s">
        <v>705</v>
      </c>
      <c r="B19" s="10">
        <f>B18/B17</f>
        <v>0.9642857142857143</v>
      </c>
      <c r="C19" s="6"/>
      <c r="D19" s="6"/>
      <c r="E19" s="6"/>
      <c r="F19" s="6"/>
      <c r="G19" s="6"/>
      <c r="H19" s="6"/>
      <c r="I19" s="6"/>
      <c r="J19" s="6"/>
      <c r="K19" s="6"/>
    </row>
    <row r="20" spans="1:11" x14ac:dyDescent="0.25">
      <c r="A20" s="6" t="s">
        <v>706</v>
      </c>
      <c r="B20" s="10">
        <f>AVERAGE(Scores!$AJ$2:$AJ$113)</f>
        <v>0.94360902255639156</v>
      </c>
      <c r="C20" s="6"/>
      <c r="D20" s="6"/>
      <c r="E20" s="6"/>
      <c r="F20" s="6"/>
      <c r="G20" s="6"/>
      <c r="H20" s="6"/>
      <c r="I20" s="6"/>
      <c r="J20" s="6"/>
      <c r="K20" s="6"/>
    </row>
    <row r="21" spans="1:11" x14ac:dyDescent="0.25">
      <c r="A21" s="6" t="s">
        <v>707</v>
      </c>
      <c r="B21" s="10">
        <f>MIN(Scores!$AJ$2:$AJ$113)</f>
        <v>0.44210526315789472</v>
      </c>
      <c r="C21" s="6"/>
      <c r="D21" s="6"/>
      <c r="E21" s="6"/>
      <c r="F21" s="6"/>
      <c r="G21" s="6"/>
      <c r="H21" s="6"/>
      <c r="I21" s="6"/>
      <c r="J21" s="6"/>
      <c r="K21" s="6"/>
    </row>
    <row r="22" spans="1:11" x14ac:dyDescent="0.25">
      <c r="A22" s="6" t="s">
        <v>708</v>
      </c>
      <c r="B22" s="20">
        <f>AVERAGE(Scores!$AK$2:$AK$113)</f>
        <v>68.619593253968247</v>
      </c>
      <c r="C22" s="6"/>
      <c r="D22" s="6"/>
      <c r="E22" s="6"/>
      <c r="F22" s="6"/>
      <c r="G22" s="6"/>
      <c r="H22" s="6"/>
      <c r="I22" s="6"/>
      <c r="J22" s="6"/>
      <c r="K22" s="6"/>
    </row>
    <row r="23" spans="1:11" x14ac:dyDescent="0.25">
      <c r="A23" s="6" t="s">
        <v>709</v>
      </c>
      <c r="B23" s="20">
        <f>MEDIAN(Scores!$AK$2:$AK$113)</f>
        <v>73.77</v>
      </c>
      <c r="C23" s="6"/>
      <c r="D23" s="6"/>
      <c r="E23" s="6"/>
      <c r="F23" s="6"/>
      <c r="G23" s="6"/>
      <c r="H23" s="6"/>
      <c r="I23" s="6"/>
      <c r="J23" s="6"/>
      <c r="K23" s="6"/>
    </row>
    <row r="24" spans="1:11" x14ac:dyDescent="0.25">
      <c r="A24" s="6" t="s">
        <v>710</v>
      </c>
      <c r="B24" s="20">
        <f>STDEV(Scores!$AK$2:$AK$113)</f>
        <v>22.37615516608999</v>
      </c>
      <c r="C24" s="6"/>
      <c r="D24" s="6"/>
      <c r="E24" s="6"/>
      <c r="F24" s="6"/>
      <c r="G24" s="6"/>
      <c r="H24" s="6"/>
      <c r="I24" s="6"/>
      <c r="J24" s="6"/>
      <c r="K24" s="6"/>
    </row>
    <row r="25" spans="1:11" x14ac:dyDescent="0.25">
      <c r="A25" s="6"/>
      <c r="B25" s="6"/>
      <c r="C25" s="6"/>
      <c r="D25" s="6"/>
      <c r="E25" s="6"/>
      <c r="F25" s="6"/>
      <c r="G25" s="6"/>
      <c r="H25" s="6"/>
      <c r="I25" s="6"/>
      <c r="J25" s="6"/>
      <c r="K25" s="6"/>
    </row>
    <row r="26" spans="1:11" x14ac:dyDescent="0.25">
      <c r="A26" s="6"/>
      <c r="B26" s="6"/>
      <c r="C26" s="6"/>
      <c r="D26" s="6"/>
      <c r="E26" s="6"/>
      <c r="F26" s="6"/>
      <c r="G26" s="6"/>
      <c r="H26" s="6"/>
      <c r="I26" s="6"/>
      <c r="J26" s="6"/>
      <c r="K26" s="6"/>
    </row>
    <row r="27" spans="1:11" x14ac:dyDescent="0.25">
      <c r="A27" s="18" t="s">
        <v>711</v>
      </c>
      <c r="B27" s="6"/>
      <c r="C27" s="6"/>
      <c r="D27" s="6"/>
      <c r="E27" s="6"/>
      <c r="F27" s="6"/>
      <c r="G27" s="6"/>
      <c r="H27" s="6"/>
      <c r="I27" s="6"/>
      <c r="J27" s="6"/>
      <c r="K27" s="6"/>
    </row>
    <row r="28" spans="1:11" x14ac:dyDescent="0.25">
      <c r="A28" s="21" t="s">
        <v>686</v>
      </c>
      <c r="B28" s="21" t="s">
        <v>712</v>
      </c>
      <c r="C28" s="21" t="s">
        <v>713</v>
      </c>
      <c r="D28" s="21" t="s">
        <v>714</v>
      </c>
      <c r="E28" s="6"/>
      <c r="F28" s="6"/>
      <c r="G28" s="6"/>
      <c r="H28" s="6"/>
      <c r="I28" s="6"/>
      <c r="J28" s="6"/>
      <c r="K28" s="6"/>
    </row>
    <row r="29" spans="1:11" x14ac:dyDescent="0.25">
      <c r="A29" s="6" t="s">
        <v>78</v>
      </c>
      <c r="B29" s="6">
        <f>COUNTIF(Scores!$D$2:$D$113,"Implemented/available")</f>
        <v>75</v>
      </c>
      <c r="C29" s="6">
        <f>COUNTIFS(Scores!$D$2:$D$113,"Implemented/available",Scores!$O$2:$O$113,"&lt;&gt;")</f>
        <v>74</v>
      </c>
      <c r="D29" s="10">
        <f t="shared" ref="D29:D35" si="1">IF(B29=0,"",C29/B29)</f>
        <v>0.98666666666666669</v>
      </c>
      <c r="E29" s="6"/>
      <c r="F29" s="6"/>
      <c r="G29" s="6"/>
      <c r="H29" s="6"/>
      <c r="I29" s="6"/>
      <c r="J29" s="6"/>
      <c r="K29" s="6"/>
    </row>
    <row r="30" spans="1:11" x14ac:dyDescent="0.25">
      <c r="A30" s="6" t="s">
        <v>79</v>
      </c>
      <c r="B30" s="6">
        <f>COUNTIF(Scores!$E$2:$E$113,"Implemented/available")</f>
        <v>42</v>
      </c>
      <c r="C30" s="6">
        <f>COUNTIFS(Scores!$E$2:$E$113,"Implemented/available",Scores!$P$2:$P$113,"&lt;&gt;")</f>
        <v>40</v>
      </c>
      <c r="D30" s="10">
        <f t="shared" si="1"/>
        <v>0.95238095238095233</v>
      </c>
      <c r="E30" s="6"/>
      <c r="F30" s="6"/>
      <c r="G30" s="6"/>
      <c r="H30" s="6"/>
      <c r="I30" s="6"/>
      <c r="J30" s="6"/>
      <c r="K30" s="6"/>
    </row>
    <row r="31" spans="1:11" x14ac:dyDescent="0.25">
      <c r="A31" s="6" t="s">
        <v>84</v>
      </c>
      <c r="B31" s="6">
        <f>COUNTIF(Scores!$J$2:$J$113,"Implemented/available")</f>
        <v>34</v>
      </c>
      <c r="C31" s="6">
        <f>COUNTIFS(Scores!$J$2:$J$113,"Implemented/available",Scores!$Q$2:$Q$113,"&lt;&gt;")</f>
        <v>28</v>
      </c>
      <c r="D31" s="10">
        <f t="shared" si="1"/>
        <v>0.82352941176470584</v>
      </c>
      <c r="E31" s="6"/>
      <c r="F31" s="6"/>
      <c r="G31" s="6"/>
      <c r="H31" s="6"/>
      <c r="I31" s="6"/>
      <c r="J31" s="6"/>
      <c r="K31" s="6"/>
    </row>
    <row r="32" spans="1:11" x14ac:dyDescent="0.25">
      <c r="A32" s="6" t="s">
        <v>85</v>
      </c>
      <c r="B32" s="6">
        <f>COUNTIF(Scores!$K$2:$K$113,"Implemented/available")</f>
        <v>47</v>
      </c>
      <c r="C32" s="6">
        <f>COUNTIFS(Scores!$K$2:$K$113,"Implemented/available",Scores!$R$2:$R$113,"&lt;&gt;")</f>
        <v>46</v>
      </c>
      <c r="D32" s="10">
        <f t="shared" si="1"/>
        <v>0.97872340425531912</v>
      </c>
      <c r="E32" s="6"/>
      <c r="F32" s="6"/>
      <c r="G32" s="6"/>
      <c r="H32" s="6"/>
      <c r="I32" s="6"/>
      <c r="J32" s="6"/>
      <c r="K32" s="6"/>
    </row>
    <row r="33" spans="1:11" x14ac:dyDescent="0.25">
      <c r="A33" s="6" t="s">
        <v>86</v>
      </c>
      <c r="B33" s="6">
        <f>COUNTIF(Scores!$L$2:$L$113,"Implemented/available")</f>
        <v>40</v>
      </c>
      <c r="C33" s="6">
        <f>COUNTIFS(Scores!$L$2:$L$113,"Implemented/available",Scores!$S$2:$S$113,"&lt;&gt;")</f>
        <v>40</v>
      </c>
      <c r="D33" s="10">
        <f t="shared" si="1"/>
        <v>1</v>
      </c>
      <c r="E33" s="6"/>
      <c r="F33" s="6"/>
      <c r="G33" s="6"/>
      <c r="H33" s="6"/>
      <c r="I33" s="6"/>
      <c r="J33" s="6"/>
      <c r="K33" s="6"/>
    </row>
    <row r="34" spans="1:11" x14ac:dyDescent="0.25">
      <c r="A34" s="6" t="s">
        <v>87</v>
      </c>
      <c r="B34" s="6">
        <f>COUNTIF(Scores!$M$2:$M$113,"Implemented/available")</f>
        <v>73</v>
      </c>
      <c r="C34" s="6">
        <f>COUNTIFS(Scores!$M$2:$M$113,"Implemented/available",Scores!$T$2:$T$113,"&lt;&gt;")</f>
        <v>73</v>
      </c>
      <c r="D34" s="10">
        <f t="shared" si="1"/>
        <v>1</v>
      </c>
      <c r="E34" s="6"/>
      <c r="F34" s="6"/>
      <c r="G34" s="6"/>
      <c r="H34" s="6"/>
      <c r="I34" s="6"/>
      <c r="J34" s="6"/>
      <c r="K34" s="6"/>
    </row>
    <row r="35" spans="1:11" x14ac:dyDescent="0.25">
      <c r="A35" s="6" t="s">
        <v>715</v>
      </c>
      <c r="B35" s="6">
        <f>COUNTIF(Scores!$I$2:$I$113,"Formal")</f>
        <v>52</v>
      </c>
      <c r="C35" s="6">
        <f>COUNTIFS(Scores!$I$2:$I$113,"Formal",Scores!$U$2:$U$113,"&lt;&gt;")</f>
        <v>45</v>
      </c>
      <c r="D35" s="10">
        <f t="shared" si="1"/>
        <v>0.86538461538461542</v>
      </c>
      <c r="E35" s="6"/>
      <c r="F35" s="6"/>
      <c r="G35" s="6"/>
      <c r="H35" s="6"/>
      <c r="I35" s="6"/>
      <c r="J35" s="6"/>
      <c r="K35" s="6"/>
    </row>
    <row r="36" spans="1:11" x14ac:dyDescent="0.25">
      <c r="A36" s="6"/>
      <c r="B36" s="6"/>
      <c r="C36" s="6"/>
      <c r="D36" s="6"/>
      <c r="E36" s="6"/>
      <c r="F36" s="6"/>
      <c r="G36" s="6"/>
      <c r="H36" s="6"/>
      <c r="I36" s="6"/>
      <c r="J36" s="6"/>
      <c r="K36" s="6"/>
    </row>
    <row r="37" spans="1:11" ht="15" customHeight="1" x14ac:dyDescent="0.25">
      <c r="A37" s="1" t="s">
        <v>716</v>
      </c>
      <c r="B37" s="1"/>
      <c r="C37" s="1"/>
      <c r="D37" s="1"/>
      <c r="E37" s="1"/>
      <c r="F37" s="1"/>
      <c r="G37" s="1"/>
      <c r="H37" s="1"/>
      <c r="I37" s="6"/>
      <c r="J37" s="6"/>
      <c r="K37" s="6"/>
    </row>
    <row r="38" spans="1:11" x14ac:dyDescent="0.25">
      <c r="A38" s="1"/>
      <c r="B38" s="1"/>
      <c r="C38" s="1"/>
      <c r="D38" s="1"/>
      <c r="E38" s="1"/>
      <c r="F38" s="1"/>
      <c r="G38" s="1"/>
      <c r="H38" s="1"/>
      <c r="I38" s="6"/>
      <c r="J38" s="6"/>
      <c r="K38" s="6"/>
    </row>
    <row r="39" spans="1:11" x14ac:dyDescent="0.25">
      <c r="A39" s="1"/>
      <c r="B39" s="1"/>
      <c r="C39" s="1"/>
      <c r="D39" s="1"/>
      <c r="E39" s="1"/>
      <c r="F39" s="1"/>
      <c r="G39" s="1"/>
      <c r="H39" s="1"/>
      <c r="I39" s="6"/>
      <c r="J39" s="6"/>
      <c r="K39" s="6"/>
    </row>
    <row r="40" spans="1:11" x14ac:dyDescent="0.25">
      <c r="A40" s="6"/>
      <c r="B40" s="6"/>
      <c r="C40" s="6"/>
      <c r="D40" s="6"/>
      <c r="E40" s="6"/>
      <c r="F40" s="6"/>
      <c r="G40" s="6"/>
      <c r="H40" s="6"/>
      <c r="I40" s="6"/>
      <c r="J40" s="6"/>
      <c r="K40" s="6"/>
    </row>
    <row r="41" spans="1:11" x14ac:dyDescent="0.25">
      <c r="A41" s="6"/>
      <c r="B41" s="6"/>
      <c r="C41" s="6"/>
      <c r="D41" s="6"/>
      <c r="E41" s="6"/>
      <c r="F41" s="6"/>
      <c r="G41" s="6"/>
      <c r="H41" s="6"/>
      <c r="I41" s="6"/>
      <c r="J41" s="6"/>
      <c r="K41" s="6"/>
    </row>
    <row r="42" spans="1:11" x14ac:dyDescent="0.25">
      <c r="A42" s="18" t="s">
        <v>717</v>
      </c>
      <c r="B42" s="6"/>
      <c r="C42" s="6"/>
      <c r="D42" s="6"/>
      <c r="E42" s="6"/>
      <c r="F42" s="6"/>
      <c r="G42" s="6"/>
      <c r="H42" s="6"/>
      <c r="I42" s="6"/>
      <c r="J42" s="6"/>
      <c r="K42" s="6"/>
    </row>
    <row r="43" spans="1:11" x14ac:dyDescent="0.25">
      <c r="A43" s="6"/>
      <c r="B43" s="21" t="s">
        <v>718</v>
      </c>
      <c r="C43" s="21" t="s">
        <v>719</v>
      </c>
      <c r="D43" s="21" t="s">
        <v>720</v>
      </c>
      <c r="E43" s="21" t="s">
        <v>721</v>
      </c>
      <c r="F43" s="21" t="s">
        <v>722</v>
      </c>
      <c r="G43" s="21" t="s">
        <v>723</v>
      </c>
      <c r="H43" s="21" t="s">
        <v>724</v>
      </c>
      <c r="I43" s="21" t="s">
        <v>725</v>
      </c>
      <c r="J43" s="21" t="s">
        <v>726</v>
      </c>
      <c r="K43" s="21" t="s">
        <v>727</v>
      </c>
    </row>
    <row r="44" spans="1:11" x14ac:dyDescent="0.25">
      <c r="A44" s="18" t="s">
        <v>718</v>
      </c>
      <c r="B44" s="17">
        <v>1</v>
      </c>
      <c r="C44" s="17">
        <v>0.45</v>
      </c>
      <c r="D44" s="17">
        <v>0.7</v>
      </c>
      <c r="E44" s="17">
        <v>0.68</v>
      </c>
      <c r="F44" s="17">
        <v>0.64</v>
      </c>
      <c r="G44" s="17">
        <v>0.13</v>
      </c>
      <c r="H44" s="17">
        <v>-0.14000000000000001</v>
      </c>
      <c r="I44" s="17">
        <v>0.23</v>
      </c>
      <c r="J44" s="17">
        <v>-0.03</v>
      </c>
      <c r="K44" s="17">
        <v>0.15</v>
      </c>
    </row>
    <row r="45" spans="1:11" x14ac:dyDescent="0.25">
      <c r="A45" s="18" t="s">
        <v>719</v>
      </c>
      <c r="B45" s="17">
        <v>0.45</v>
      </c>
      <c r="C45" s="17">
        <v>1</v>
      </c>
      <c r="D45" s="17">
        <v>0.74</v>
      </c>
      <c r="E45" s="17">
        <v>0.36</v>
      </c>
      <c r="F45" s="17">
        <v>0.48</v>
      </c>
      <c r="G45" s="17">
        <v>0.31</v>
      </c>
      <c r="H45" s="17">
        <v>0.03</v>
      </c>
      <c r="I45" s="17">
        <v>0.25</v>
      </c>
      <c r="J45" s="17">
        <v>0.13</v>
      </c>
      <c r="K45" s="17">
        <v>-7.0000000000000007E-2</v>
      </c>
    </row>
    <row r="46" spans="1:11" x14ac:dyDescent="0.25">
      <c r="A46" s="18" t="s">
        <v>720</v>
      </c>
      <c r="B46" s="17">
        <v>0.7</v>
      </c>
      <c r="C46" s="17">
        <v>0.74</v>
      </c>
      <c r="D46" s="17">
        <v>1</v>
      </c>
      <c r="E46" s="17">
        <v>0.69</v>
      </c>
      <c r="F46" s="17">
        <v>0.74</v>
      </c>
      <c r="G46" s="17">
        <v>0.3</v>
      </c>
      <c r="H46" s="17">
        <v>0.05</v>
      </c>
      <c r="I46" s="17">
        <v>0.28999999999999998</v>
      </c>
      <c r="J46" s="17">
        <v>0.12</v>
      </c>
      <c r="K46" s="17">
        <v>0</v>
      </c>
    </row>
    <row r="47" spans="1:11" x14ac:dyDescent="0.25">
      <c r="A47" s="18" t="s">
        <v>721</v>
      </c>
      <c r="B47" s="17">
        <v>0.68</v>
      </c>
      <c r="C47" s="17">
        <v>0.36</v>
      </c>
      <c r="D47" s="17">
        <v>0.69</v>
      </c>
      <c r="E47" s="17">
        <v>1</v>
      </c>
      <c r="F47" s="17">
        <v>0.48</v>
      </c>
      <c r="G47" s="17">
        <v>0.03</v>
      </c>
      <c r="H47" s="17">
        <v>-0.03</v>
      </c>
      <c r="I47" s="17">
        <v>0.16</v>
      </c>
      <c r="J47" s="17">
        <v>0.02</v>
      </c>
      <c r="K47" s="17">
        <v>0.15</v>
      </c>
    </row>
    <row r="48" spans="1:11" x14ac:dyDescent="0.25">
      <c r="A48" s="18" t="s">
        <v>722</v>
      </c>
      <c r="B48" s="17">
        <v>0.64</v>
      </c>
      <c r="C48" s="17">
        <v>0.48</v>
      </c>
      <c r="D48" s="17">
        <v>0.74</v>
      </c>
      <c r="E48" s="17">
        <v>0.48</v>
      </c>
      <c r="F48" s="17">
        <v>1</v>
      </c>
      <c r="G48" s="17">
        <v>0.2</v>
      </c>
      <c r="H48" s="17">
        <v>-0.02</v>
      </c>
      <c r="I48" s="17">
        <v>0.26</v>
      </c>
      <c r="J48" s="17">
        <v>0.12</v>
      </c>
      <c r="K48" s="17">
        <v>0.18</v>
      </c>
    </row>
    <row r="49" spans="1:11" x14ac:dyDescent="0.25">
      <c r="A49" s="18" t="s">
        <v>723</v>
      </c>
      <c r="B49" s="17">
        <v>0.13</v>
      </c>
      <c r="C49" s="17">
        <v>0.31</v>
      </c>
      <c r="D49" s="17">
        <v>0.3</v>
      </c>
      <c r="E49" s="17">
        <v>0.03</v>
      </c>
      <c r="F49" s="17">
        <v>0.2</v>
      </c>
      <c r="G49" s="17">
        <v>1</v>
      </c>
      <c r="H49" s="17">
        <v>-7.0000000000000007E-2</v>
      </c>
      <c r="I49" s="17">
        <v>0.3</v>
      </c>
      <c r="J49" s="17">
        <v>0.36</v>
      </c>
      <c r="K49" s="17">
        <v>-0.12</v>
      </c>
    </row>
    <row r="50" spans="1:11" x14ac:dyDescent="0.25">
      <c r="A50" s="18" t="s">
        <v>724</v>
      </c>
      <c r="B50" s="17">
        <v>-0.14000000000000001</v>
      </c>
      <c r="C50" s="17">
        <v>0.03</v>
      </c>
      <c r="D50" s="17">
        <v>0.05</v>
      </c>
      <c r="E50" s="17">
        <v>-0.03</v>
      </c>
      <c r="F50" s="17">
        <v>-0.02</v>
      </c>
      <c r="G50" s="17">
        <v>-7.0000000000000007E-2</v>
      </c>
      <c r="H50" s="17">
        <v>1</v>
      </c>
      <c r="I50" s="17">
        <v>-7.0000000000000007E-2</v>
      </c>
      <c r="J50" s="17">
        <v>-0.02</v>
      </c>
      <c r="K50" s="17">
        <v>-0.09</v>
      </c>
    </row>
    <row r="51" spans="1:11" x14ac:dyDescent="0.25">
      <c r="A51" s="18" t="s">
        <v>725</v>
      </c>
      <c r="B51" s="17">
        <v>0.23</v>
      </c>
      <c r="C51" s="17">
        <v>0.25</v>
      </c>
      <c r="D51" s="17">
        <v>0.28999999999999998</v>
      </c>
      <c r="E51" s="17">
        <v>0.16</v>
      </c>
      <c r="F51" s="17">
        <v>0.26</v>
      </c>
      <c r="G51" s="17">
        <v>0.3</v>
      </c>
      <c r="H51" s="17">
        <v>-7.0000000000000007E-2</v>
      </c>
      <c r="I51" s="17">
        <v>1</v>
      </c>
      <c r="J51" s="17">
        <v>0.23</v>
      </c>
      <c r="K51" s="17">
        <v>-0.2</v>
      </c>
    </row>
    <row r="52" spans="1:11" x14ac:dyDescent="0.25">
      <c r="A52" s="18" t="s">
        <v>726</v>
      </c>
      <c r="B52" s="17">
        <v>-0.03</v>
      </c>
      <c r="C52" s="17">
        <v>0.13</v>
      </c>
      <c r="D52" s="17">
        <v>0.12</v>
      </c>
      <c r="E52" s="17">
        <v>0.02</v>
      </c>
      <c r="F52" s="17">
        <v>0.12</v>
      </c>
      <c r="G52" s="17">
        <v>0.36</v>
      </c>
      <c r="H52" s="17">
        <v>-0.02</v>
      </c>
      <c r="I52" s="17">
        <v>0.23</v>
      </c>
      <c r="J52" s="17">
        <v>1</v>
      </c>
      <c r="K52" s="17">
        <v>-0.13</v>
      </c>
    </row>
    <row r="53" spans="1:11" x14ac:dyDescent="0.25">
      <c r="A53" s="18" t="s">
        <v>727</v>
      </c>
      <c r="B53" s="17">
        <v>0.15</v>
      </c>
      <c r="C53" s="17">
        <v>-7.0000000000000007E-2</v>
      </c>
      <c r="D53" s="17">
        <v>0</v>
      </c>
      <c r="E53" s="17">
        <v>0.15</v>
      </c>
      <c r="F53" s="17">
        <v>0.18</v>
      </c>
      <c r="G53" s="17">
        <v>-0.12</v>
      </c>
      <c r="H53" s="17">
        <v>-0.09</v>
      </c>
      <c r="I53" s="17">
        <v>-0.2</v>
      </c>
      <c r="J53" s="17">
        <v>-0.13</v>
      </c>
      <c r="K53" s="17">
        <v>1</v>
      </c>
    </row>
    <row r="54" spans="1:11" ht="15" customHeight="1" x14ac:dyDescent="0.25">
      <c r="A54" s="1" t="s">
        <v>728</v>
      </c>
      <c r="B54" s="1"/>
      <c r="C54" s="1"/>
      <c r="D54" s="1"/>
      <c r="E54" s="1"/>
      <c r="F54" s="1"/>
      <c r="G54" s="1"/>
      <c r="H54" s="1"/>
      <c r="I54" s="1"/>
      <c r="J54" s="1"/>
      <c r="K54" s="6"/>
    </row>
    <row r="55" spans="1:11" x14ac:dyDescent="0.25">
      <c r="A55" s="1"/>
      <c r="B55" s="1"/>
      <c r="C55" s="1"/>
      <c r="D55" s="1"/>
      <c r="E55" s="1"/>
      <c r="F55" s="1"/>
      <c r="G55" s="1"/>
      <c r="H55" s="1"/>
      <c r="I55" s="1"/>
      <c r="J55" s="1"/>
      <c r="K55" s="6"/>
    </row>
    <row r="56" spans="1:11" x14ac:dyDescent="0.25">
      <c r="A56" s="1"/>
      <c r="B56" s="1"/>
      <c r="C56" s="1"/>
      <c r="D56" s="1"/>
      <c r="E56" s="1"/>
      <c r="F56" s="1"/>
      <c r="G56" s="1"/>
      <c r="H56" s="1"/>
      <c r="I56" s="1"/>
      <c r="J56" s="1"/>
      <c r="K56" s="6"/>
    </row>
  </sheetData>
  <mergeCells count="2">
    <mergeCell ref="A37:H39"/>
    <mergeCell ref="A54:J5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zoomScaleNormal="100" workbookViewId="0"/>
  </sheetViews>
  <sheetFormatPr defaultColWidth="8.7109375" defaultRowHeight="15" x14ac:dyDescent="0.25"/>
  <cols>
    <col min="1" max="1" width="52" customWidth="1"/>
    <col min="2" max="3" width="18" customWidth="1"/>
    <col min="4" max="4" width="16" customWidth="1"/>
    <col min="5" max="5" width="18" customWidth="1"/>
    <col min="6" max="6" width="60" customWidth="1"/>
  </cols>
  <sheetData>
    <row r="1" spans="1:6" ht="15.75" x14ac:dyDescent="0.25">
      <c r="A1" s="5" t="s">
        <v>729</v>
      </c>
      <c r="B1" s="6"/>
      <c r="C1" s="6"/>
      <c r="D1" s="6"/>
      <c r="E1" s="6"/>
      <c r="F1" s="6"/>
    </row>
    <row r="2" spans="1:6" x14ac:dyDescent="0.25">
      <c r="A2" s="6" t="s">
        <v>730</v>
      </c>
      <c r="B2" s="6"/>
      <c r="C2" s="6"/>
      <c r="D2" s="6"/>
      <c r="E2" s="6"/>
      <c r="F2" s="6"/>
    </row>
    <row r="3" spans="1:6" x14ac:dyDescent="0.25">
      <c r="A3" s="6"/>
      <c r="B3" s="6"/>
      <c r="C3" s="6"/>
      <c r="D3" s="6"/>
      <c r="E3" s="6"/>
      <c r="F3" s="6"/>
    </row>
    <row r="4" spans="1:6" ht="25.5" x14ac:dyDescent="0.25">
      <c r="A4" s="7" t="s">
        <v>731</v>
      </c>
      <c r="B4" s="7" t="s">
        <v>732</v>
      </c>
      <c r="C4" s="7" t="s">
        <v>733</v>
      </c>
      <c r="D4" s="7" t="s">
        <v>734</v>
      </c>
      <c r="E4" s="7" t="s">
        <v>735</v>
      </c>
      <c r="F4" s="7" t="s">
        <v>736</v>
      </c>
    </row>
    <row r="5" spans="1:6" x14ac:dyDescent="0.25">
      <c r="A5" s="6" t="s">
        <v>737</v>
      </c>
      <c r="B5" s="22">
        <v>1</v>
      </c>
      <c r="C5" s="6">
        <v>0</v>
      </c>
      <c r="D5" s="6">
        <v>0</v>
      </c>
      <c r="E5" s="6">
        <v>0</v>
      </c>
      <c r="F5" s="6" t="s">
        <v>738</v>
      </c>
    </row>
    <row r="6" spans="1:6" x14ac:dyDescent="0.25">
      <c r="A6" s="6" t="s">
        <v>739</v>
      </c>
      <c r="B6" s="22">
        <v>0.998</v>
      </c>
      <c r="C6" s="6">
        <v>0.68</v>
      </c>
      <c r="D6" s="6">
        <v>4</v>
      </c>
      <c r="E6" s="6">
        <v>0</v>
      </c>
      <c r="F6" s="6" t="s">
        <v>740</v>
      </c>
    </row>
    <row r="7" spans="1:6" x14ac:dyDescent="0.25">
      <c r="A7" s="6" t="s">
        <v>741</v>
      </c>
      <c r="B7" s="22">
        <v>0.996</v>
      </c>
      <c r="C7" s="6">
        <v>1.8</v>
      </c>
      <c r="D7" s="6">
        <v>7.9</v>
      </c>
      <c r="E7" s="6">
        <v>2</v>
      </c>
      <c r="F7" s="6" t="s">
        <v>742</v>
      </c>
    </row>
    <row r="8" spans="1:6" x14ac:dyDescent="0.25">
      <c r="A8" s="6" t="s">
        <v>743</v>
      </c>
      <c r="B8" s="22">
        <v>0.93899999999999995</v>
      </c>
      <c r="C8" s="6">
        <v>6.01</v>
      </c>
      <c r="D8" s="6">
        <v>22.1</v>
      </c>
      <c r="E8" s="6">
        <v>39</v>
      </c>
      <c r="F8" s="6" t="s">
        <v>744</v>
      </c>
    </row>
    <row r="9" spans="1:6" x14ac:dyDescent="0.25">
      <c r="A9" s="6" t="s">
        <v>745</v>
      </c>
      <c r="B9" s="22">
        <v>0.996</v>
      </c>
      <c r="C9" s="6">
        <v>3.24</v>
      </c>
      <c r="D9" s="6">
        <v>17.5</v>
      </c>
      <c r="E9" s="6">
        <v>1</v>
      </c>
      <c r="F9" s="6" t="s">
        <v>746</v>
      </c>
    </row>
    <row r="10" spans="1:6" x14ac:dyDescent="0.25">
      <c r="A10" s="6" t="s">
        <v>747</v>
      </c>
      <c r="B10" s="22">
        <v>0.996</v>
      </c>
      <c r="C10" s="6">
        <v>0.7</v>
      </c>
      <c r="D10" s="6">
        <v>8.8000000000000007</v>
      </c>
      <c r="E10" s="6">
        <v>2</v>
      </c>
      <c r="F10" s="6" t="s">
        <v>748</v>
      </c>
    </row>
    <row r="11" spans="1:6" x14ac:dyDescent="0.25">
      <c r="A11" s="6" t="s">
        <v>749</v>
      </c>
      <c r="B11" s="22">
        <v>0.97699999999999998</v>
      </c>
      <c r="C11" s="6">
        <v>3.16</v>
      </c>
      <c r="D11" s="6">
        <v>36.700000000000003</v>
      </c>
      <c r="E11" s="6">
        <v>9</v>
      </c>
      <c r="F11" s="6" t="s">
        <v>750</v>
      </c>
    </row>
    <row r="12" spans="1:6" x14ac:dyDescent="0.25">
      <c r="A12" s="6" t="s">
        <v>751</v>
      </c>
      <c r="B12" s="22">
        <v>0.97699999999999998</v>
      </c>
      <c r="C12" s="6">
        <v>2.59</v>
      </c>
      <c r="D12" s="6">
        <v>22.1</v>
      </c>
      <c r="E12" s="6">
        <v>6</v>
      </c>
      <c r="F12" s="6" t="s">
        <v>752</v>
      </c>
    </row>
    <row r="13" spans="1:6" x14ac:dyDescent="0.25">
      <c r="A13" s="6" t="s">
        <v>753</v>
      </c>
      <c r="B13" s="22">
        <v>0.84699999999999998</v>
      </c>
      <c r="C13" s="6">
        <v>8.98</v>
      </c>
      <c r="D13" s="6">
        <v>82.5</v>
      </c>
      <c r="E13" s="6">
        <v>41</v>
      </c>
      <c r="F13" s="6" t="s">
        <v>754</v>
      </c>
    </row>
    <row r="14" spans="1:6" x14ac:dyDescent="0.25">
      <c r="A14" s="6" t="s">
        <v>755</v>
      </c>
      <c r="B14" s="22">
        <v>0.91400000000000003</v>
      </c>
      <c r="C14" s="6">
        <v>9.6199999999999992</v>
      </c>
      <c r="D14" s="6">
        <v>40.299999999999997</v>
      </c>
      <c r="E14" s="6">
        <v>53</v>
      </c>
      <c r="F14" s="6" t="s">
        <v>756</v>
      </c>
    </row>
    <row r="15" spans="1:6" x14ac:dyDescent="0.25">
      <c r="A15" s="18" t="s">
        <v>757</v>
      </c>
      <c r="B15" s="6"/>
      <c r="C15" s="6"/>
      <c r="D15" s="6"/>
      <c r="E15" s="6"/>
      <c r="F15" s="6"/>
    </row>
    <row r="16" spans="1:6" x14ac:dyDescent="0.25">
      <c r="A16" s="6" t="s">
        <v>758</v>
      </c>
      <c r="B16" s="22">
        <v>0.99</v>
      </c>
      <c r="C16" s="6"/>
      <c r="D16" s="6"/>
      <c r="E16" s="6"/>
      <c r="F16" s="6"/>
    </row>
    <row r="17" spans="1:6" x14ac:dyDescent="0.25">
      <c r="A17" s="6" t="s">
        <v>759</v>
      </c>
      <c r="B17" s="22">
        <v>0.97699999999999998</v>
      </c>
      <c r="C17" s="6"/>
      <c r="D17" s="6"/>
      <c r="E17" s="6"/>
      <c r="F17" s="6"/>
    </row>
    <row r="18" spans="1:6" x14ac:dyDescent="0.25">
      <c r="A18" s="6" t="s">
        <v>760</v>
      </c>
      <c r="B18" s="22">
        <v>0.94699999999999995</v>
      </c>
      <c r="C18" s="6"/>
      <c r="D18" s="6"/>
      <c r="E18" s="6"/>
      <c r="F18" s="6"/>
    </row>
    <row r="19" spans="1:6" x14ac:dyDescent="0.25">
      <c r="A19" s="6"/>
      <c r="B19" s="6"/>
      <c r="C19" s="6"/>
      <c r="D19" s="6"/>
      <c r="E19" s="6"/>
      <c r="F19" s="6"/>
    </row>
    <row r="20" spans="1:6" ht="15" customHeight="1" x14ac:dyDescent="0.25">
      <c r="A20" s="1" t="s">
        <v>761</v>
      </c>
      <c r="B20" s="1"/>
      <c r="C20" s="1"/>
      <c r="D20" s="1"/>
      <c r="E20" s="1"/>
      <c r="F20" s="1"/>
    </row>
    <row r="21" spans="1:6" x14ac:dyDescent="0.25">
      <c r="A21" s="1"/>
      <c r="B21" s="1"/>
      <c r="C21" s="1"/>
      <c r="D21" s="1"/>
      <c r="E21" s="1"/>
      <c r="F21" s="1"/>
    </row>
    <row r="22" spans="1:6" x14ac:dyDescent="0.25">
      <c r="A22" s="1"/>
      <c r="B22" s="1"/>
      <c r="C22" s="1"/>
      <c r="D22" s="1"/>
      <c r="E22" s="1"/>
      <c r="F22" s="1"/>
    </row>
    <row r="23" spans="1:6" x14ac:dyDescent="0.25">
      <c r="A23" s="1"/>
      <c r="B23" s="1"/>
      <c r="C23" s="1"/>
      <c r="D23" s="1"/>
      <c r="E23" s="1"/>
      <c r="F23" s="1"/>
    </row>
  </sheetData>
  <mergeCells count="1">
    <mergeCell ref="A20:F2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4C140-5E90-4BBE-BF0E-3F0A60913B5C}">
  <dimension ref="A1:AC1000"/>
  <sheetViews>
    <sheetView tabSelected="1" zoomScale="55" zoomScaleNormal="55" workbookViewId="0">
      <selection activeCell="AC5" sqref="AC5"/>
    </sheetView>
  </sheetViews>
  <sheetFormatPr defaultColWidth="14.42578125" defaultRowHeight="15" x14ac:dyDescent="0.25"/>
  <cols>
    <col min="1" max="2" width="32" customWidth="1"/>
    <col min="3" max="5" width="20.5703125" customWidth="1"/>
    <col min="6" max="6" width="45.7109375" customWidth="1"/>
    <col min="7" max="7" width="32" customWidth="1"/>
    <col min="8" max="8" width="45.7109375" customWidth="1"/>
    <col min="9" max="9" width="24" customWidth="1"/>
    <col min="10" max="10" width="48" customWidth="1"/>
    <col min="11" max="11" width="45.7109375" customWidth="1"/>
    <col min="12" max="13" width="32" customWidth="1"/>
    <col min="14" max="17" width="20.5703125" customWidth="1"/>
    <col min="18" max="18" width="45.7109375" customWidth="1"/>
    <col min="19" max="20" width="20.5703125" customWidth="1"/>
    <col min="21" max="21" width="45.7109375" customWidth="1"/>
    <col min="22" max="22" width="20.5703125" customWidth="1"/>
    <col min="23" max="23" width="45.7109375" customWidth="1"/>
    <col min="24" max="24" width="20.5703125" customWidth="1"/>
    <col min="25" max="25" width="45.7109375" customWidth="1"/>
    <col min="26" max="26" width="32" customWidth="1"/>
    <col min="27" max="27" width="20.5703125" customWidth="1"/>
    <col min="28" max="28" width="43.42578125" customWidth="1"/>
  </cols>
  <sheetData>
    <row r="1" spans="1:29" ht="30" x14ac:dyDescent="0.25">
      <c r="A1" s="23" t="s">
        <v>762</v>
      </c>
      <c r="B1" s="23" t="s">
        <v>762</v>
      </c>
      <c r="C1" s="23" t="s">
        <v>762</v>
      </c>
      <c r="D1" s="23" t="s">
        <v>762</v>
      </c>
      <c r="E1" s="23" t="s">
        <v>762</v>
      </c>
      <c r="F1" s="23" t="s">
        <v>762</v>
      </c>
      <c r="G1" s="24" t="s">
        <v>763</v>
      </c>
      <c r="H1" s="24" t="s">
        <v>763</v>
      </c>
      <c r="I1" s="24" t="s">
        <v>763</v>
      </c>
      <c r="J1" s="24" t="s">
        <v>763</v>
      </c>
      <c r="K1" s="24" t="s">
        <v>763</v>
      </c>
      <c r="L1" s="24" t="s">
        <v>763</v>
      </c>
      <c r="M1" s="24" t="s">
        <v>763</v>
      </c>
      <c r="N1" s="24" t="s">
        <v>763</v>
      </c>
      <c r="O1" s="24" t="s">
        <v>763</v>
      </c>
      <c r="P1" s="24" t="s">
        <v>763</v>
      </c>
      <c r="Q1" s="24" t="s">
        <v>763</v>
      </c>
      <c r="R1" s="24" t="s">
        <v>763</v>
      </c>
      <c r="S1" s="24" t="s">
        <v>763</v>
      </c>
      <c r="T1" s="24" t="s">
        <v>763</v>
      </c>
      <c r="U1" s="24" t="s">
        <v>763</v>
      </c>
      <c r="V1" s="24" t="s">
        <v>763</v>
      </c>
      <c r="W1" s="24" t="s">
        <v>763</v>
      </c>
      <c r="X1" s="24" t="s">
        <v>763</v>
      </c>
      <c r="Y1" s="24" t="s">
        <v>763</v>
      </c>
      <c r="Z1" s="24" t="s">
        <v>763</v>
      </c>
      <c r="AA1" s="25" t="s">
        <v>764</v>
      </c>
      <c r="AB1" s="25" t="s">
        <v>764</v>
      </c>
    </row>
    <row r="2" spans="1:29" ht="30" x14ac:dyDescent="0.25">
      <c r="A2" s="23" t="s">
        <v>765</v>
      </c>
      <c r="B2" s="23" t="s">
        <v>766</v>
      </c>
      <c r="C2" s="23" t="s">
        <v>767</v>
      </c>
      <c r="D2" s="23" t="s">
        <v>768</v>
      </c>
      <c r="E2" s="23" t="s">
        <v>769</v>
      </c>
      <c r="F2" s="23" t="s">
        <v>770</v>
      </c>
      <c r="G2" s="24" t="s">
        <v>31</v>
      </c>
      <c r="H2" s="24" t="s">
        <v>771</v>
      </c>
      <c r="I2" s="24" t="s">
        <v>36</v>
      </c>
      <c r="J2" s="24" t="s">
        <v>772</v>
      </c>
      <c r="K2" s="24" t="s">
        <v>773</v>
      </c>
      <c r="L2" s="24" t="s">
        <v>42</v>
      </c>
      <c r="M2" s="24" t="s">
        <v>774</v>
      </c>
      <c r="N2" s="24" t="s">
        <v>51</v>
      </c>
      <c r="O2" s="24" t="s">
        <v>775</v>
      </c>
      <c r="P2" s="24" t="s">
        <v>39</v>
      </c>
      <c r="Q2" s="24" t="s">
        <v>54</v>
      </c>
      <c r="R2" s="24" t="s">
        <v>776</v>
      </c>
      <c r="S2" s="24" t="s">
        <v>777</v>
      </c>
      <c r="T2" s="24" t="s">
        <v>58</v>
      </c>
      <c r="U2" s="24" t="s">
        <v>778</v>
      </c>
      <c r="V2" s="24" t="s">
        <v>61</v>
      </c>
      <c r="W2" s="24" t="s">
        <v>779</v>
      </c>
      <c r="X2" s="24" t="s">
        <v>64</v>
      </c>
      <c r="Y2" s="24" t="s">
        <v>780</v>
      </c>
      <c r="Z2" s="24" t="s">
        <v>65</v>
      </c>
      <c r="AA2" s="25" t="s">
        <v>781</v>
      </c>
      <c r="AB2" s="25" t="s">
        <v>782</v>
      </c>
    </row>
    <row r="3" spans="1:29" ht="30" x14ac:dyDescent="0.25">
      <c r="A3" s="23" t="s">
        <v>783</v>
      </c>
      <c r="B3" s="23" t="s">
        <v>784</v>
      </c>
      <c r="C3" s="23" t="s">
        <v>785</v>
      </c>
      <c r="D3" s="23" t="s">
        <v>786</v>
      </c>
      <c r="E3" s="23" t="s">
        <v>787</v>
      </c>
      <c r="F3" s="23" t="s">
        <v>788</v>
      </c>
      <c r="G3" s="24" t="s">
        <v>789</v>
      </c>
      <c r="H3" s="24" t="s">
        <v>790</v>
      </c>
      <c r="I3" s="24" t="s">
        <v>791</v>
      </c>
      <c r="J3" s="24" t="s">
        <v>792</v>
      </c>
      <c r="K3" s="24" t="s">
        <v>793</v>
      </c>
      <c r="L3" s="24" t="s">
        <v>794</v>
      </c>
      <c r="M3" s="24" t="s">
        <v>795</v>
      </c>
      <c r="N3" s="24" t="s">
        <v>796</v>
      </c>
      <c r="O3" s="24" t="s">
        <v>797</v>
      </c>
      <c r="P3" s="24" t="s">
        <v>798</v>
      </c>
      <c r="Q3" s="24" t="s">
        <v>799</v>
      </c>
      <c r="R3" s="24" t="s">
        <v>800</v>
      </c>
      <c r="S3" s="24" t="s">
        <v>801</v>
      </c>
      <c r="T3" s="24" t="s">
        <v>802</v>
      </c>
      <c r="U3" s="24" t="s">
        <v>803</v>
      </c>
      <c r="V3" s="24" t="s">
        <v>804</v>
      </c>
      <c r="W3" s="24" t="s">
        <v>805</v>
      </c>
      <c r="X3" s="24" t="s">
        <v>806</v>
      </c>
      <c r="Y3" s="24" t="s">
        <v>807</v>
      </c>
      <c r="Z3" s="24" t="s">
        <v>808</v>
      </c>
      <c r="AA3" s="25" t="s">
        <v>809</v>
      </c>
      <c r="AB3" s="25" t="s">
        <v>810</v>
      </c>
    </row>
    <row r="4" spans="1:29" ht="114.75" x14ac:dyDescent="0.25">
      <c r="A4" s="26" t="s">
        <v>114</v>
      </c>
      <c r="B4" s="26" t="s">
        <v>115</v>
      </c>
      <c r="C4" s="26" t="s">
        <v>811</v>
      </c>
      <c r="D4" s="26" t="s">
        <v>812</v>
      </c>
      <c r="E4" s="26" t="s">
        <v>116</v>
      </c>
      <c r="F4" s="26" t="s">
        <v>813</v>
      </c>
      <c r="G4" s="26" t="s">
        <v>38</v>
      </c>
      <c r="H4" s="26" t="s">
        <v>118</v>
      </c>
      <c r="I4" s="26" t="s">
        <v>38</v>
      </c>
      <c r="J4" s="26" t="s">
        <v>814</v>
      </c>
      <c r="K4" s="26"/>
      <c r="L4" s="26" t="s">
        <v>117</v>
      </c>
      <c r="M4" s="26"/>
      <c r="N4" s="26"/>
      <c r="O4" s="26"/>
      <c r="P4" s="26" t="s">
        <v>48</v>
      </c>
      <c r="Q4" s="26" t="s">
        <v>41</v>
      </c>
      <c r="R4" s="26"/>
      <c r="S4" s="26"/>
      <c r="T4" s="26" t="s">
        <v>29</v>
      </c>
      <c r="U4" s="26" t="s">
        <v>119</v>
      </c>
      <c r="V4" s="26" t="s">
        <v>41</v>
      </c>
      <c r="W4" s="26"/>
      <c r="X4" s="26" t="s">
        <v>29</v>
      </c>
      <c r="Y4" s="26" t="s">
        <v>120</v>
      </c>
      <c r="Z4" s="26"/>
      <c r="AA4" s="26"/>
      <c r="AB4" s="26"/>
    </row>
    <row r="5" spans="1:29" ht="409.6" x14ac:dyDescent="0.25">
      <c r="A5" s="26" t="s">
        <v>121</v>
      </c>
      <c r="B5" s="26" t="s">
        <v>121</v>
      </c>
      <c r="C5" s="26" t="s">
        <v>815</v>
      </c>
      <c r="D5" s="26" t="s">
        <v>812</v>
      </c>
      <c r="E5" s="26" t="s">
        <v>122</v>
      </c>
      <c r="F5" s="26" t="s">
        <v>816</v>
      </c>
      <c r="G5" s="26" t="s">
        <v>29</v>
      </c>
      <c r="H5" s="26" t="s">
        <v>125</v>
      </c>
      <c r="I5" s="26" t="s">
        <v>29</v>
      </c>
      <c r="J5" s="26" t="s">
        <v>817</v>
      </c>
      <c r="K5" s="26" t="s">
        <v>126</v>
      </c>
      <c r="L5" s="26" t="s">
        <v>123</v>
      </c>
      <c r="M5" s="26"/>
      <c r="N5" s="26"/>
      <c r="O5" s="26" t="s">
        <v>818</v>
      </c>
      <c r="P5" s="26" t="s">
        <v>29</v>
      </c>
      <c r="Q5" s="26" t="s">
        <v>41</v>
      </c>
      <c r="R5" s="26"/>
      <c r="S5" s="26"/>
      <c r="T5" s="26" t="s">
        <v>29</v>
      </c>
      <c r="U5" s="26" t="s">
        <v>127</v>
      </c>
      <c r="V5" s="26" t="s">
        <v>29</v>
      </c>
      <c r="W5" s="26" t="s">
        <v>128</v>
      </c>
      <c r="X5" s="26" t="s">
        <v>44</v>
      </c>
      <c r="Y5" s="26"/>
      <c r="Z5" s="26" t="s">
        <v>124</v>
      </c>
      <c r="AA5" s="26"/>
      <c r="AB5" s="26"/>
      <c r="AC5" s="6" t="s">
        <v>32</v>
      </c>
    </row>
    <row r="6" spans="1:29" ht="29.25" x14ac:dyDescent="0.25">
      <c r="A6" s="26" t="s">
        <v>130</v>
      </c>
      <c r="B6" s="26" t="s">
        <v>131</v>
      </c>
      <c r="C6" s="26" t="s">
        <v>819</v>
      </c>
      <c r="D6" s="26" t="s">
        <v>820</v>
      </c>
      <c r="E6" s="26" t="s">
        <v>132</v>
      </c>
      <c r="F6" s="26"/>
      <c r="G6" s="26" t="s">
        <v>29</v>
      </c>
      <c r="H6" s="26" t="s">
        <v>134</v>
      </c>
      <c r="I6" s="26" t="s">
        <v>44</v>
      </c>
      <c r="J6" s="26"/>
      <c r="K6" s="26"/>
      <c r="L6" s="26" t="s">
        <v>117</v>
      </c>
      <c r="M6" s="26"/>
      <c r="N6" s="26"/>
      <c r="O6" s="26" t="s">
        <v>821</v>
      </c>
      <c r="P6" s="26" t="s">
        <v>44</v>
      </c>
      <c r="Q6" s="26" t="s">
        <v>38</v>
      </c>
      <c r="R6" s="26"/>
      <c r="S6" s="26"/>
      <c r="T6" s="26" t="s">
        <v>38</v>
      </c>
      <c r="U6" s="26"/>
      <c r="V6" s="26" t="s">
        <v>38</v>
      </c>
      <c r="W6" s="26"/>
      <c r="X6" s="26" t="s">
        <v>29</v>
      </c>
      <c r="Y6" s="26" t="s">
        <v>135</v>
      </c>
      <c r="Z6" s="26" t="s">
        <v>133</v>
      </c>
      <c r="AA6" s="26"/>
      <c r="AB6" s="26"/>
      <c r="AC6" s="6" t="s">
        <v>60</v>
      </c>
    </row>
    <row r="7" spans="1:29" ht="86.25" x14ac:dyDescent="0.25">
      <c r="A7" s="26" t="s">
        <v>136</v>
      </c>
      <c r="B7" s="26" t="s">
        <v>137</v>
      </c>
      <c r="C7" s="26" t="s">
        <v>822</v>
      </c>
      <c r="D7" s="26" t="s">
        <v>812</v>
      </c>
      <c r="E7" s="26" t="s">
        <v>138</v>
      </c>
      <c r="F7" s="26" t="s">
        <v>823</v>
      </c>
      <c r="G7" s="26" t="s">
        <v>29</v>
      </c>
      <c r="H7" s="26" t="s">
        <v>140</v>
      </c>
      <c r="I7" s="26" t="s">
        <v>38</v>
      </c>
      <c r="J7" s="26"/>
      <c r="K7" s="26"/>
      <c r="L7" s="26" t="s">
        <v>117</v>
      </c>
      <c r="M7" s="26"/>
      <c r="N7" s="26"/>
      <c r="O7" s="26" t="s">
        <v>824</v>
      </c>
      <c r="P7" s="26" t="s">
        <v>29</v>
      </c>
      <c r="Q7" s="26" t="s">
        <v>29</v>
      </c>
      <c r="R7" s="26" t="s">
        <v>141</v>
      </c>
      <c r="S7" s="26" t="s">
        <v>825</v>
      </c>
      <c r="T7" s="26" t="s">
        <v>34</v>
      </c>
      <c r="U7" s="26"/>
      <c r="V7" s="26" t="s">
        <v>44</v>
      </c>
      <c r="W7" s="26"/>
      <c r="X7" s="26" t="s">
        <v>44</v>
      </c>
      <c r="Y7" s="26"/>
      <c r="Z7" s="26" t="s">
        <v>139</v>
      </c>
      <c r="AA7" s="26"/>
      <c r="AB7" s="26"/>
      <c r="AC7" s="6" t="s">
        <v>32</v>
      </c>
    </row>
    <row r="8" spans="1:29" ht="86.25" x14ac:dyDescent="0.25">
      <c r="A8" s="26" t="s">
        <v>142</v>
      </c>
      <c r="B8" s="26" t="s">
        <v>143</v>
      </c>
      <c r="C8" s="26" t="s">
        <v>826</v>
      </c>
      <c r="D8" s="26" t="s">
        <v>812</v>
      </c>
      <c r="E8" s="26" t="s">
        <v>144</v>
      </c>
      <c r="F8" s="26" t="s">
        <v>827</v>
      </c>
      <c r="G8" s="26" t="s">
        <v>29</v>
      </c>
      <c r="H8" s="26"/>
      <c r="I8" s="26" t="s">
        <v>38</v>
      </c>
      <c r="J8" s="26" t="s">
        <v>828</v>
      </c>
      <c r="K8" s="26"/>
      <c r="L8" s="26" t="s">
        <v>117</v>
      </c>
      <c r="M8" s="26"/>
      <c r="N8" s="26"/>
      <c r="O8" s="26"/>
      <c r="P8" s="26" t="s">
        <v>29</v>
      </c>
      <c r="Q8" s="26" t="s">
        <v>29</v>
      </c>
      <c r="R8" s="26" t="s">
        <v>146</v>
      </c>
      <c r="S8" s="26" t="s">
        <v>825</v>
      </c>
      <c r="T8" s="26" t="s">
        <v>38</v>
      </c>
      <c r="U8" s="26"/>
      <c r="V8" s="26" t="s">
        <v>29</v>
      </c>
      <c r="W8" s="26" t="s">
        <v>147</v>
      </c>
      <c r="X8" s="26" t="s">
        <v>41</v>
      </c>
      <c r="Y8" s="26"/>
      <c r="Z8" s="26" t="s">
        <v>145</v>
      </c>
      <c r="AA8" s="26"/>
      <c r="AB8" s="26"/>
      <c r="AC8" s="6" t="s">
        <v>32</v>
      </c>
    </row>
    <row r="9" spans="1:29" ht="129" x14ac:dyDescent="0.25">
      <c r="A9" s="26" t="s">
        <v>149</v>
      </c>
      <c r="B9" s="26" t="s">
        <v>150</v>
      </c>
      <c r="C9" s="26" t="s">
        <v>829</v>
      </c>
      <c r="D9" s="26" t="s">
        <v>812</v>
      </c>
      <c r="E9" s="26" t="s">
        <v>151</v>
      </c>
      <c r="F9" s="26" t="s">
        <v>830</v>
      </c>
      <c r="G9" s="26" t="s">
        <v>38</v>
      </c>
      <c r="H9" s="26"/>
      <c r="I9" s="26" t="s">
        <v>38</v>
      </c>
      <c r="J9" s="26" t="s">
        <v>831</v>
      </c>
      <c r="K9" s="26"/>
      <c r="L9" s="26" t="s">
        <v>117</v>
      </c>
      <c r="M9" s="26"/>
      <c r="N9" s="26"/>
      <c r="O9" s="26"/>
      <c r="P9" s="26" t="s">
        <v>48</v>
      </c>
      <c r="Q9" s="26" t="s">
        <v>38</v>
      </c>
      <c r="R9" s="26"/>
      <c r="S9" s="26"/>
      <c r="T9" s="26" t="s">
        <v>34</v>
      </c>
      <c r="U9" s="26"/>
      <c r="V9" s="26" t="s">
        <v>41</v>
      </c>
      <c r="W9" s="26"/>
      <c r="X9" s="26" t="s">
        <v>53</v>
      </c>
      <c r="Y9" s="26"/>
      <c r="Z9" s="26"/>
      <c r="AA9" s="26"/>
      <c r="AB9" s="26"/>
      <c r="AC9" s="6" t="s">
        <v>60</v>
      </c>
    </row>
    <row r="10" spans="1:29" ht="86.25" x14ac:dyDescent="0.25">
      <c r="A10" s="26" t="s">
        <v>152</v>
      </c>
      <c r="B10" s="26" t="s">
        <v>153</v>
      </c>
      <c r="C10" s="26" t="s">
        <v>832</v>
      </c>
      <c r="D10" s="26" t="s">
        <v>833</v>
      </c>
      <c r="E10" s="26" t="s">
        <v>154</v>
      </c>
      <c r="F10" s="26" t="s">
        <v>834</v>
      </c>
      <c r="G10" s="26" t="s">
        <v>41</v>
      </c>
      <c r="H10" s="26"/>
      <c r="I10" s="26" t="s">
        <v>41</v>
      </c>
      <c r="J10" s="26"/>
      <c r="K10" s="26"/>
      <c r="L10" s="26" t="s">
        <v>63</v>
      </c>
      <c r="M10" s="26"/>
      <c r="N10" s="26"/>
      <c r="O10" s="26" t="s">
        <v>835</v>
      </c>
      <c r="P10" s="26" t="s">
        <v>41</v>
      </c>
      <c r="Q10" s="26" t="s">
        <v>41</v>
      </c>
      <c r="R10" s="26"/>
      <c r="S10" s="26"/>
      <c r="T10" s="26" t="s">
        <v>29</v>
      </c>
      <c r="U10" s="26" t="s">
        <v>155</v>
      </c>
      <c r="V10" s="26" t="s">
        <v>41</v>
      </c>
      <c r="W10" s="26"/>
      <c r="X10" s="26" t="s">
        <v>29</v>
      </c>
      <c r="Y10" s="26" t="s">
        <v>156</v>
      </c>
      <c r="Z10" s="26"/>
      <c r="AA10" s="26"/>
      <c r="AB10" s="26"/>
    </row>
    <row r="11" spans="1:29" ht="228.75" x14ac:dyDescent="0.25">
      <c r="A11" s="26" t="s">
        <v>157</v>
      </c>
      <c r="B11" s="26" t="s">
        <v>157</v>
      </c>
      <c r="C11" s="26" t="s">
        <v>836</v>
      </c>
      <c r="D11" s="26" t="s">
        <v>812</v>
      </c>
      <c r="E11" s="26" t="s">
        <v>158</v>
      </c>
      <c r="F11" s="26" t="s">
        <v>837</v>
      </c>
      <c r="G11" s="26" t="s">
        <v>29</v>
      </c>
      <c r="H11" s="26" t="s">
        <v>159</v>
      </c>
      <c r="I11" s="26" t="s">
        <v>29</v>
      </c>
      <c r="J11" s="26"/>
      <c r="K11" s="26" t="s">
        <v>160</v>
      </c>
      <c r="L11" s="26" t="s">
        <v>117</v>
      </c>
      <c r="M11" s="26"/>
      <c r="N11" s="26"/>
      <c r="O11" s="26" t="s">
        <v>838</v>
      </c>
      <c r="P11" s="26" t="s">
        <v>29</v>
      </c>
      <c r="Q11" s="26" t="s">
        <v>29</v>
      </c>
      <c r="R11" s="26" t="s">
        <v>161</v>
      </c>
      <c r="S11" s="26" t="s">
        <v>825</v>
      </c>
      <c r="T11" s="26" t="s">
        <v>29</v>
      </c>
      <c r="U11" s="26" t="s">
        <v>162</v>
      </c>
      <c r="V11" s="26" t="s">
        <v>29</v>
      </c>
      <c r="W11" s="26" t="s">
        <v>163</v>
      </c>
      <c r="X11" s="26" t="s">
        <v>29</v>
      </c>
      <c r="Y11" s="26" t="s">
        <v>164</v>
      </c>
      <c r="Z11" s="26" t="s">
        <v>124</v>
      </c>
      <c r="AA11" s="26"/>
      <c r="AB11" s="26"/>
      <c r="AC11" s="6" t="s">
        <v>32</v>
      </c>
    </row>
    <row r="12" spans="1:29" ht="157.5" x14ac:dyDescent="0.25">
      <c r="A12" s="26" t="s">
        <v>165</v>
      </c>
      <c r="B12" s="26" t="s">
        <v>166</v>
      </c>
      <c r="C12" s="26" t="s">
        <v>839</v>
      </c>
      <c r="D12" s="26"/>
      <c r="E12" s="26" t="s">
        <v>138</v>
      </c>
      <c r="F12" s="26" t="s">
        <v>840</v>
      </c>
      <c r="G12" s="26" t="s">
        <v>29</v>
      </c>
      <c r="H12" s="26" t="s">
        <v>167</v>
      </c>
      <c r="I12" s="26" t="s">
        <v>44</v>
      </c>
      <c r="J12" s="26"/>
      <c r="K12" s="26"/>
      <c r="L12" s="26" t="s">
        <v>117</v>
      </c>
      <c r="M12" s="26"/>
      <c r="N12" s="26"/>
      <c r="O12" s="26" t="s">
        <v>841</v>
      </c>
      <c r="P12" s="26" t="s">
        <v>29</v>
      </c>
      <c r="Q12" s="26" t="s">
        <v>38</v>
      </c>
      <c r="R12" s="26"/>
      <c r="S12" s="26"/>
      <c r="T12" s="26" t="s">
        <v>29</v>
      </c>
      <c r="U12" s="26" t="s">
        <v>168</v>
      </c>
      <c r="V12" s="26" t="s">
        <v>29</v>
      </c>
      <c r="W12" s="26" t="s">
        <v>169</v>
      </c>
      <c r="X12" s="26" t="s">
        <v>29</v>
      </c>
      <c r="Y12" s="26" t="s">
        <v>170</v>
      </c>
      <c r="Z12" s="26" t="s">
        <v>139</v>
      </c>
      <c r="AA12" s="26"/>
      <c r="AB12" s="26"/>
      <c r="AC12" s="6" t="s">
        <v>32</v>
      </c>
    </row>
    <row r="13" spans="1:29" ht="271.5" x14ac:dyDescent="0.25">
      <c r="A13" s="26" t="s">
        <v>172</v>
      </c>
      <c r="B13" s="26" t="s">
        <v>173</v>
      </c>
      <c r="C13" s="26" t="s">
        <v>842</v>
      </c>
      <c r="D13" s="26" t="s">
        <v>812</v>
      </c>
      <c r="E13" s="26" t="s">
        <v>132</v>
      </c>
      <c r="F13" s="26" t="s">
        <v>843</v>
      </c>
      <c r="G13" s="26" t="s">
        <v>29</v>
      </c>
      <c r="H13" s="26" t="s">
        <v>174</v>
      </c>
      <c r="I13" s="26" t="s">
        <v>29</v>
      </c>
      <c r="J13" s="26" t="s">
        <v>844</v>
      </c>
      <c r="K13" s="26" t="s">
        <v>175</v>
      </c>
      <c r="L13" s="26" t="s">
        <v>123</v>
      </c>
      <c r="M13" s="26"/>
      <c r="N13" s="26"/>
      <c r="O13" s="26"/>
      <c r="P13" s="26" t="s">
        <v>29</v>
      </c>
      <c r="Q13" s="26" t="s">
        <v>29</v>
      </c>
      <c r="R13" s="26" t="s">
        <v>176</v>
      </c>
      <c r="S13" s="26" t="s">
        <v>845</v>
      </c>
      <c r="T13" s="26" t="s">
        <v>29</v>
      </c>
      <c r="U13" s="26" t="s">
        <v>177</v>
      </c>
      <c r="V13" s="26" t="s">
        <v>48</v>
      </c>
      <c r="W13" s="26"/>
      <c r="X13" s="26" t="s">
        <v>29</v>
      </c>
      <c r="Y13" s="26" t="s">
        <v>178</v>
      </c>
      <c r="Z13" s="26"/>
      <c r="AA13" s="26"/>
      <c r="AB13" s="26"/>
      <c r="AC13" s="6" t="s">
        <v>32</v>
      </c>
    </row>
    <row r="14" spans="1:29" ht="314.25" x14ac:dyDescent="0.25">
      <c r="A14" s="26" t="s">
        <v>180</v>
      </c>
      <c r="B14" s="26" t="s">
        <v>153</v>
      </c>
      <c r="C14" s="26" t="s">
        <v>846</v>
      </c>
      <c r="D14" s="26" t="s">
        <v>833</v>
      </c>
      <c r="E14" s="26" t="s">
        <v>181</v>
      </c>
      <c r="F14" s="26" t="s">
        <v>847</v>
      </c>
      <c r="G14" s="26" t="s">
        <v>41</v>
      </c>
      <c r="H14" s="26"/>
      <c r="I14" s="26" t="s">
        <v>41</v>
      </c>
      <c r="J14" s="26"/>
      <c r="K14" s="26"/>
      <c r="L14" s="26"/>
      <c r="M14" s="26"/>
      <c r="N14" s="26"/>
      <c r="O14" s="26" t="s">
        <v>848</v>
      </c>
      <c r="P14" s="26" t="s">
        <v>41</v>
      </c>
      <c r="Q14" s="26" t="s">
        <v>38</v>
      </c>
      <c r="R14" s="26"/>
      <c r="S14" s="26"/>
      <c r="T14" s="26" t="s">
        <v>29</v>
      </c>
      <c r="U14" s="26" t="s">
        <v>155</v>
      </c>
      <c r="V14" s="26" t="s">
        <v>41</v>
      </c>
      <c r="W14" s="26"/>
      <c r="X14" s="26" t="s">
        <v>29</v>
      </c>
      <c r="Y14" s="26" t="s">
        <v>156</v>
      </c>
      <c r="Z14" s="26"/>
      <c r="AA14" s="26"/>
      <c r="AB14" s="26"/>
    </row>
    <row r="15" spans="1:29" ht="100.5" x14ac:dyDescent="0.25">
      <c r="A15" s="26" t="s">
        <v>182</v>
      </c>
      <c r="B15" s="26" t="s">
        <v>183</v>
      </c>
      <c r="C15" s="26" t="s">
        <v>849</v>
      </c>
      <c r="D15" s="26" t="s">
        <v>812</v>
      </c>
      <c r="E15" s="26" t="s">
        <v>144</v>
      </c>
      <c r="F15" s="26" t="s">
        <v>850</v>
      </c>
      <c r="G15" s="26" t="s">
        <v>29</v>
      </c>
      <c r="H15" s="26" t="s">
        <v>185</v>
      </c>
      <c r="I15" s="26" t="s">
        <v>29</v>
      </c>
      <c r="J15" s="26" t="s">
        <v>851</v>
      </c>
      <c r="K15" s="26" t="s">
        <v>186</v>
      </c>
      <c r="L15" s="26" t="s">
        <v>117</v>
      </c>
      <c r="M15" s="26"/>
      <c r="N15" s="26" t="s">
        <v>184</v>
      </c>
      <c r="O15" s="26" t="s">
        <v>851</v>
      </c>
      <c r="P15" s="26" t="s">
        <v>29</v>
      </c>
      <c r="Q15" s="26" t="s">
        <v>38</v>
      </c>
      <c r="R15" s="26"/>
      <c r="S15" s="26"/>
      <c r="T15" s="26" t="s">
        <v>34</v>
      </c>
      <c r="U15" s="26"/>
      <c r="V15" s="26" t="s">
        <v>41</v>
      </c>
      <c r="W15" s="26"/>
      <c r="X15" s="26" t="s">
        <v>44</v>
      </c>
      <c r="Y15" s="26"/>
      <c r="Z15" s="26"/>
      <c r="AA15" s="26"/>
      <c r="AB15" s="26"/>
      <c r="AC15" s="6" t="s">
        <v>32</v>
      </c>
    </row>
    <row r="16" spans="1:29" ht="72" x14ac:dyDescent="0.25">
      <c r="A16" s="26" t="s">
        <v>187</v>
      </c>
      <c r="B16" s="26" t="s">
        <v>188</v>
      </c>
      <c r="C16" s="26" t="s">
        <v>852</v>
      </c>
      <c r="D16" s="26" t="s">
        <v>812</v>
      </c>
      <c r="E16" s="26" t="s">
        <v>189</v>
      </c>
      <c r="F16" s="26" t="s">
        <v>853</v>
      </c>
      <c r="G16" s="26" t="s">
        <v>29</v>
      </c>
      <c r="H16" s="26" t="s">
        <v>191</v>
      </c>
      <c r="I16" s="26" t="s">
        <v>29</v>
      </c>
      <c r="J16" s="26" t="s">
        <v>854</v>
      </c>
      <c r="K16" s="26" t="s">
        <v>192</v>
      </c>
      <c r="L16" s="26" t="s">
        <v>117</v>
      </c>
      <c r="M16" s="26"/>
      <c r="N16" s="26" t="s">
        <v>190</v>
      </c>
      <c r="O16" s="26"/>
      <c r="P16" s="26" t="s">
        <v>29</v>
      </c>
      <c r="Q16" s="26" t="s">
        <v>41</v>
      </c>
      <c r="R16" s="26"/>
      <c r="S16" s="26"/>
      <c r="T16" s="26" t="s">
        <v>34</v>
      </c>
      <c r="U16" s="26"/>
      <c r="V16" s="26" t="s">
        <v>41</v>
      </c>
      <c r="W16" s="26"/>
      <c r="X16" s="26" t="s">
        <v>29</v>
      </c>
      <c r="Y16" s="26" t="s">
        <v>193</v>
      </c>
      <c r="Z16" s="26"/>
      <c r="AA16" s="26"/>
      <c r="AB16" s="26"/>
      <c r="AC16" s="6" t="s">
        <v>32</v>
      </c>
    </row>
    <row r="17" spans="1:29" ht="157.5" x14ac:dyDescent="0.25">
      <c r="A17" s="26" t="s">
        <v>195</v>
      </c>
      <c r="B17" s="26" t="s">
        <v>196</v>
      </c>
      <c r="C17" s="26" t="s">
        <v>855</v>
      </c>
      <c r="D17" s="26" t="s">
        <v>812</v>
      </c>
      <c r="E17" s="26" t="s">
        <v>132</v>
      </c>
      <c r="F17" s="26"/>
      <c r="G17" s="26" t="s">
        <v>38</v>
      </c>
      <c r="H17" s="26" t="s">
        <v>197</v>
      </c>
      <c r="I17" s="26" t="s">
        <v>44</v>
      </c>
      <c r="J17" s="26" t="s">
        <v>856</v>
      </c>
      <c r="K17" s="26"/>
      <c r="L17" s="26" t="s">
        <v>117</v>
      </c>
      <c r="M17" s="26"/>
      <c r="N17" s="26"/>
      <c r="O17" s="26"/>
      <c r="P17" s="26" t="s">
        <v>48</v>
      </c>
      <c r="Q17" s="26" t="s">
        <v>41</v>
      </c>
      <c r="R17" s="26"/>
      <c r="S17" s="26"/>
      <c r="T17" s="26" t="s">
        <v>34</v>
      </c>
      <c r="U17" s="26"/>
      <c r="V17" s="26" t="s">
        <v>38</v>
      </c>
      <c r="W17" s="26"/>
      <c r="X17" s="26" t="s">
        <v>29</v>
      </c>
      <c r="Y17" s="26" t="s">
        <v>198</v>
      </c>
      <c r="Z17" s="26"/>
      <c r="AA17" s="26"/>
      <c r="AB17" s="26"/>
      <c r="AC17" s="6" t="s">
        <v>60</v>
      </c>
    </row>
    <row r="18" spans="1:29" ht="72" x14ac:dyDescent="0.25">
      <c r="A18" s="26" t="s">
        <v>199</v>
      </c>
      <c r="B18" s="26" t="s">
        <v>200</v>
      </c>
      <c r="C18" s="26" t="s">
        <v>857</v>
      </c>
      <c r="D18" s="26"/>
      <c r="E18" s="26" t="s">
        <v>201</v>
      </c>
      <c r="F18" s="26" t="s">
        <v>858</v>
      </c>
      <c r="G18" s="26" t="s">
        <v>29</v>
      </c>
      <c r="H18" s="26" t="s">
        <v>202</v>
      </c>
      <c r="I18" s="26" t="s">
        <v>38</v>
      </c>
      <c r="J18" s="26" t="s">
        <v>859</v>
      </c>
      <c r="K18" s="26"/>
      <c r="L18" s="26" t="s">
        <v>117</v>
      </c>
      <c r="M18" s="26"/>
      <c r="N18" s="26" t="s">
        <v>190</v>
      </c>
      <c r="O18" s="26"/>
      <c r="P18" s="26" t="s">
        <v>29</v>
      </c>
      <c r="Q18" s="26" t="s">
        <v>41</v>
      </c>
      <c r="R18" s="26"/>
      <c r="S18" s="26"/>
      <c r="T18" s="26" t="s">
        <v>34</v>
      </c>
      <c r="U18" s="26"/>
      <c r="V18" s="26" t="s">
        <v>29</v>
      </c>
      <c r="W18" s="26" t="s">
        <v>203</v>
      </c>
      <c r="X18" s="26" t="s">
        <v>29</v>
      </c>
      <c r="Y18" s="26" t="s">
        <v>204</v>
      </c>
      <c r="Z18" s="26"/>
      <c r="AA18" s="26"/>
      <c r="AB18" s="26"/>
      <c r="AC18" s="6" t="s">
        <v>32</v>
      </c>
    </row>
    <row r="19" spans="1:29" ht="86.25" x14ac:dyDescent="0.25">
      <c r="A19" s="26" t="s">
        <v>206</v>
      </c>
      <c r="B19" s="26" t="s">
        <v>206</v>
      </c>
      <c r="C19" s="26" t="s">
        <v>860</v>
      </c>
      <c r="D19" s="26" t="s">
        <v>812</v>
      </c>
      <c r="E19" s="26" t="s">
        <v>207</v>
      </c>
      <c r="F19" s="26" t="s">
        <v>861</v>
      </c>
      <c r="G19" s="26" t="s">
        <v>38</v>
      </c>
      <c r="H19" s="26"/>
      <c r="I19" s="26" t="s">
        <v>38</v>
      </c>
      <c r="J19" s="26" t="s">
        <v>862</v>
      </c>
      <c r="K19" s="26"/>
      <c r="L19" s="26" t="s">
        <v>63</v>
      </c>
      <c r="M19" s="26"/>
      <c r="N19" s="26"/>
      <c r="O19" s="26"/>
      <c r="P19" s="26" t="s">
        <v>38</v>
      </c>
      <c r="Q19" s="26" t="s">
        <v>38</v>
      </c>
      <c r="R19" s="26"/>
      <c r="S19" s="26"/>
      <c r="T19" s="26" t="s">
        <v>34</v>
      </c>
      <c r="U19" s="26"/>
      <c r="V19" s="26" t="s">
        <v>38</v>
      </c>
      <c r="W19" s="26"/>
      <c r="X19" s="26" t="s">
        <v>38</v>
      </c>
      <c r="Y19" s="26"/>
      <c r="Z19" s="26"/>
      <c r="AA19" s="26"/>
      <c r="AB19" s="26"/>
      <c r="AC19" s="6" t="s">
        <v>60</v>
      </c>
    </row>
    <row r="20" spans="1:29" ht="129" x14ac:dyDescent="0.25">
      <c r="A20" s="26" t="s">
        <v>208</v>
      </c>
      <c r="B20" s="26" t="s">
        <v>209</v>
      </c>
      <c r="C20" s="26" t="s">
        <v>863</v>
      </c>
      <c r="D20" s="26" t="s">
        <v>864</v>
      </c>
      <c r="E20" s="26" t="s">
        <v>210</v>
      </c>
      <c r="F20" s="26" t="s">
        <v>865</v>
      </c>
      <c r="G20" s="26" t="s">
        <v>48</v>
      </c>
      <c r="H20" s="26"/>
      <c r="I20" s="26" t="s">
        <v>38</v>
      </c>
      <c r="J20" s="26" t="s">
        <v>866</v>
      </c>
      <c r="K20" s="26" t="s">
        <v>211</v>
      </c>
      <c r="L20" s="26" t="s">
        <v>117</v>
      </c>
      <c r="M20" s="26"/>
      <c r="N20" s="26"/>
      <c r="O20" s="26"/>
      <c r="P20" s="26" t="s">
        <v>48</v>
      </c>
      <c r="Q20" s="26" t="s">
        <v>38</v>
      </c>
      <c r="R20" s="26"/>
      <c r="S20" s="26"/>
      <c r="T20" s="26" t="s">
        <v>29</v>
      </c>
      <c r="U20" s="26" t="s">
        <v>211</v>
      </c>
      <c r="V20" s="26" t="s">
        <v>41</v>
      </c>
      <c r="W20" s="26"/>
      <c r="X20" s="26" t="s">
        <v>29</v>
      </c>
      <c r="Y20" s="26" t="s">
        <v>211</v>
      </c>
      <c r="Z20" s="26"/>
      <c r="AA20" s="26"/>
      <c r="AB20" s="26"/>
      <c r="AC20" s="6" t="s">
        <v>60</v>
      </c>
    </row>
    <row r="21" spans="1:29" ht="15.75" customHeight="1" x14ac:dyDescent="0.25">
      <c r="A21" s="26" t="s">
        <v>212</v>
      </c>
      <c r="B21" s="26" t="s">
        <v>213</v>
      </c>
      <c r="C21" s="26" t="s">
        <v>867</v>
      </c>
      <c r="D21" s="26" t="s">
        <v>812</v>
      </c>
      <c r="E21" s="26" t="s">
        <v>214</v>
      </c>
      <c r="F21" s="26" t="s">
        <v>868</v>
      </c>
      <c r="G21" s="26" t="s">
        <v>44</v>
      </c>
      <c r="H21" s="26"/>
      <c r="I21" s="26" t="s">
        <v>44</v>
      </c>
      <c r="J21" s="26" t="s">
        <v>869</v>
      </c>
      <c r="K21" s="26"/>
      <c r="L21" s="26" t="s">
        <v>63</v>
      </c>
      <c r="M21" s="26"/>
      <c r="N21" s="26"/>
      <c r="O21" s="26" t="s">
        <v>870</v>
      </c>
      <c r="P21" s="26" t="s">
        <v>44</v>
      </c>
      <c r="Q21" s="26" t="s">
        <v>48</v>
      </c>
      <c r="R21" s="26"/>
      <c r="S21" s="26"/>
      <c r="T21" s="26" t="s">
        <v>29</v>
      </c>
      <c r="U21" s="26" t="s">
        <v>215</v>
      </c>
      <c r="V21" s="26" t="s">
        <v>48</v>
      </c>
      <c r="W21" s="26"/>
      <c r="X21" s="26" t="s">
        <v>29</v>
      </c>
      <c r="Y21" s="26" t="s">
        <v>216</v>
      </c>
      <c r="Z21" s="26"/>
      <c r="AA21" s="26"/>
      <c r="AB21" s="26"/>
    </row>
    <row r="22" spans="1:29" ht="15.75" customHeight="1" x14ac:dyDescent="0.25">
      <c r="A22" s="26" t="s">
        <v>217</v>
      </c>
      <c r="B22" s="26" t="s">
        <v>217</v>
      </c>
      <c r="C22" s="26" t="s">
        <v>871</v>
      </c>
      <c r="D22" s="26" t="s">
        <v>812</v>
      </c>
      <c r="E22" s="26" t="s">
        <v>122</v>
      </c>
      <c r="F22" s="26" t="s">
        <v>872</v>
      </c>
      <c r="G22" s="26" t="s">
        <v>29</v>
      </c>
      <c r="H22" s="26" t="s">
        <v>218</v>
      </c>
      <c r="I22" s="26" t="s">
        <v>41</v>
      </c>
      <c r="J22" s="26"/>
      <c r="K22" s="26"/>
      <c r="L22" s="26" t="s">
        <v>117</v>
      </c>
      <c r="M22" s="26"/>
      <c r="N22" s="26"/>
      <c r="O22" s="26" t="s">
        <v>873</v>
      </c>
      <c r="P22" s="26" t="s">
        <v>29</v>
      </c>
      <c r="Q22" s="26" t="s">
        <v>38</v>
      </c>
      <c r="R22" s="26"/>
      <c r="S22" s="26"/>
      <c r="T22" s="26" t="s">
        <v>29</v>
      </c>
      <c r="U22" s="26" t="s">
        <v>219</v>
      </c>
      <c r="V22" s="26" t="s">
        <v>29</v>
      </c>
      <c r="W22" s="26" t="s">
        <v>220</v>
      </c>
      <c r="X22" s="26" t="s">
        <v>29</v>
      </c>
      <c r="Y22" s="26" t="s">
        <v>221</v>
      </c>
      <c r="Z22" s="26"/>
      <c r="AA22" s="26"/>
      <c r="AB22" s="26"/>
      <c r="AC22" s="6" t="s">
        <v>32</v>
      </c>
    </row>
    <row r="23" spans="1:29" ht="15.75" customHeight="1" x14ac:dyDescent="0.25">
      <c r="A23" s="26" t="s">
        <v>223</v>
      </c>
      <c r="B23" s="26" t="s">
        <v>224</v>
      </c>
      <c r="C23" s="26" t="s">
        <v>874</v>
      </c>
      <c r="D23" s="26"/>
      <c r="E23" s="26" t="s">
        <v>225</v>
      </c>
      <c r="F23" s="26" t="s">
        <v>875</v>
      </c>
      <c r="G23" s="26" t="s">
        <v>29</v>
      </c>
      <c r="H23" s="26" t="s">
        <v>226</v>
      </c>
      <c r="I23" s="26" t="s">
        <v>41</v>
      </c>
      <c r="J23" s="26" t="s">
        <v>876</v>
      </c>
      <c r="K23" s="26"/>
      <c r="L23" s="26" t="s">
        <v>117</v>
      </c>
      <c r="M23" s="26"/>
      <c r="N23" s="26" t="s">
        <v>76</v>
      </c>
      <c r="O23" s="26"/>
      <c r="P23" s="26" t="s">
        <v>38</v>
      </c>
      <c r="Q23" s="26" t="s">
        <v>41</v>
      </c>
      <c r="R23" s="26"/>
      <c r="S23" s="26"/>
      <c r="T23" s="26" t="s">
        <v>34</v>
      </c>
      <c r="U23" s="26"/>
      <c r="V23" s="26" t="s">
        <v>29</v>
      </c>
      <c r="W23" s="26" t="s">
        <v>227</v>
      </c>
      <c r="X23" s="26" t="s">
        <v>44</v>
      </c>
      <c r="Y23" s="26"/>
      <c r="Z23" s="26"/>
      <c r="AA23" s="26"/>
      <c r="AB23" s="26"/>
      <c r="AC23" s="6" t="s">
        <v>60</v>
      </c>
    </row>
    <row r="24" spans="1:29" ht="15.75" customHeight="1" x14ac:dyDescent="0.25">
      <c r="A24" s="26" t="s">
        <v>228</v>
      </c>
      <c r="B24" s="26" t="s">
        <v>224</v>
      </c>
      <c r="C24" s="26" t="s">
        <v>877</v>
      </c>
      <c r="D24" s="26"/>
      <c r="E24" s="26" t="s">
        <v>151</v>
      </c>
      <c r="F24" s="26" t="s">
        <v>878</v>
      </c>
      <c r="G24" s="26" t="s">
        <v>29</v>
      </c>
      <c r="H24" s="26" t="s">
        <v>229</v>
      </c>
      <c r="I24" s="26" t="s">
        <v>41</v>
      </c>
      <c r="J24" s="26" t="s">
        <v>876</v>
      </c>
      <c r="K24" s="26"/>
      <c r="L24" s="26" t="s">
        <v>184</v>
      </c>
      <c r="M24" s="26" t="s">
        <v>879</v>
      </c>
      <c r="N24" s="26"/>
      <c r="O24" s="26"/>
      <c r="P24" s="26" t="s">
        <v>44</v>
      </c>
      <c r="Q24" s="26" t="s">
        <v>41</v>
      </c>
      <c r="R24" s="26"/>
      <c r="S24" s="26"/>
      <c r="T24" s="26" t="s">
        <v>34</v>
      </c>
      <c r="U24" s="26"/>
      <c r="V24" s="26" t="s">
        <v>29</v>
      </c>
      <c r="W24" s="26" t="s">
        <v>227</v>
      </c>
      <c r="X24" s="26" t="s">
        <v>44</v>
      </c>
      <c r="Y24" s="26"/>
      <c r="Z24" s="26"/>
      <c r="AA24" s="26"/>
      <c r="AB24" s="26"/>
      <c r="AC24" s="6" t="s">
        <v>60</v>
      </c>
    </row>
    <row r="25" spans="1:29" ht="15.75" customHeight="1" x14ac:dyDescent="0.25">
      <c r="A25" s="26" t="s">
        <v>230</v>
      </c>
      <c r="B25" s="26" t="s">
        <v>231</v>
      </c>
      <c r="C25" s="26" t="s">
        <v>880</v>
      </c>
      <c r="D25" s="26" t="s">
        <v>812</v>
      </c>
      <c r="E25" s="26" t="s">
        <v>232</v>
      </c>
      <c r="F25" s="26" t="s">
        <v>881</v>
      </c>
      <c r="G25" s="26" t="s">
        <v>44</v>
      </c>
      <c r="H25" s="26"/>
      <c r="I25" s="26" t="s">
        <v>44</v>
      </c>
      <c r="J25" s="26"/>
      <c r="K25" s="26"/>
      <c r="L25" s="26" t="s">
        <v>63</v>
      </c>
      <c r="M25" s="26"/>
      <c r="N25" s="26"/>
      <c r="O25" s="26" t="s">
        <v>882</v>
      </c>
      <c r="P25" s="26" t="s">
        <v>44</v>
      </c>
      <c r="Q25" s="26" t="s">
        <v>38</v>
      </c>
      <c r="R25" s="26"/>
      <c r="S25" s="26"/>
      <c r="T25" s="26" t="s">
        <v>34</v>
      </c>
      <c r="U25" s="26"/>
      <c r="V25" s="26" t="s">
        <v>44</v>
      </c>
      <c r="W25" s="26"/>
      <c r="X25" s="26" t="s">
        <v>44</v>
      </c>
      <c r="Y25" s="26"/>
      <c r="Z25" s="26" t="s">
        <v>124</v>
      </c>
      <c r="AA25" s="26"/>
      <c r="AB25" s="26"/>
      <c r="AC25" s="6" t="s">
        <v>60</v>
      </c>
    </row>
    <row r="26" spans="1:29" ht="15.75" customHeight="1" x14ac:dyDescent="0.25">
      <c r="A26" s="26" t="s">
        <v>233</v>
      </c>
      <c r="B26" s="26" t="s">
        <v>234</v>
      </c>
      <c r="C26" s="26" t="s">
        <v>883</v>
      </c>
      <c r="D26" s="26" t="s">
        <v>884</v>
      </c>
      <c r="E26" s="26" t="s">
        <v>235</v>
      </c>
      <c r="F26" s="26" t="s">
        <v>885</v>
      </c>
      <c r="G26" s="26" t="s">
        <v>29</v>
      </c>
      <c r="H26" s="26" t="s">
        <v>236</v>
      </c>
      <c r="I26" s="26" t="s">
        <v>38</v>
      </c>
      <c r="J26" s="26" t="s">
        <v>886</v>
      </c>
      <c r="K26" s="26"/>
      <c r="L26" s="26" t="s">
        <v>123</v>
      </c>
      <c r="M26" s="26"/>
      <c r="N26" s="26"/>
      <c r="O26" s="26"/>
      <c r="P26" s="26" t="s">
        <v>29</v>
      </c>
      <c r="Q26" s="26" t="s">
        <v>29</v>
      </c>
      <c r="R26" s="26" t="s">
        <v>237</v>
      </c>
      <c r="S26" s="26" t="s">
        <v>845</v>
      </c>
      <c r="T26" s="26" t="s">
        <v>29</v>
      </c>
      <c r="U26" s="26" t="s">
        <v>238</v>
      </c>
      <c r="V26" s="26" t="s">
        <v>41</v>
      </c>
      <c r="W26" s="26"/>
      <c r="X26" s="26" t="s">
        <v>29</v>
      </c>
      <c r="Y26" s="26" t="s">
        <v>239</v>
      </c>
      <c r="Z26" s="26"/>
      <c r="AA26" s="26"/>
      <c r="AB26" s="26"/>
      <c r="AC26" s="6" t="s">
        <v>32</v>
      </c>
    </row>
    <row r="27" spans="1:29" ht="15.75" customHeight="1" x14ac:dyDescent="0.25">
      <c r="A27" s="26" t="s">
        <v>240</v>
      </c>
      <c r="B27" s="26" t="s">
        <v>241</v>
      </c>
      <c r="C27" s="26" t="s">
        <v>887</v>
      </c>
      <c r="D27" s="26" t="s">
        <v>884</v>
      </c>
      <c r="E27" s="26" t="s">
        <v>151</v>
      </c>
      <c r="F27" s="26" t="s">
        <v>888</v>
      </c>
      <c r="G27" s="26" t="s">
        <v>29</v>
      </c>
      <c r="H27" s="26" t="s">
        <v>243</v>
      </c>
      <c r="I27" s="26" t="s">
        <v>29</v>
      </c>
      <c r="J27" s="26" t="s">
        <v>889</v>
      </c>
      <c r="K27" s="26" t="s">
        <v>244</v>
      </c>
      <c r="L27" s="26" t="s">
        <v>123</v>
      </c>
      <c r="M27" s="26"/>
      <c r="N27" s="26"/>
      <c r="O27" s="26"/>
      <c r="P27" s="26" t="s">
        <v>29</v>
      </c>
      <c r="Q27" s="26" t="s">
        <v>29</v>
      </c>
      <c r="R27" s="26" t="s">
        <v>245</v>
      </c>
      <c r="S27" s="26" t="s">
        <v>890</v>
      </c>
      <c r="T27" s="26" t="s">
        <v>29</v>
      </c>
      <c r="U27" s="26" t="s">
        <v>246</v>
      </c>
      <c r="V27" s="26" t="s">
        <v>38</v>
      </c>
      <c r="W27" s="26"/>
      <c r="X27" s="26" t="s">
        <v>29</v>
      </c>
      <c r="Y27" s="26" t="s">
        <v>247</v>
      </c>
      <c r="Z27" s="26" t="s">
        <v>242</v>
      </c>
      <c r="AA27" s="26"/>
      <c r="AB27" s="26"/>
      <c r="AC27" s="6" t="s">
        <v>32</v>
      </c>
    </row>
    <row r="28" spans="1:29" ht="15.75" customHeight="1" x14ac:dyDescent="0.25">
      <c r="A28" s="26" t="s">
        <v>249</v>
      </c>
      <c r="B28" s="26" t="s">
        <v>250</v>
      </c>
      <c r="C28" s="26" t="s">
        <v>891</v>
      </c>
      <c r="D28" s="26" t="s">
        <v>812</v>
      </c>
      <c r="E28" s="26" t="s">
        <v>151</v>
      </c>
      <c r="F28" s="26" t="s">
        <v>892</v>
      </c>
      <c r="G28" s="26" t="s">
        <v>29</v>
      </c>
      <c r="H28" s="26" t="s">
        <v>251</v>
      </c>
      <c r="I28" s="26" t="s">
        <v>29</v>
      </c>
      <c r="J28" s="26" t="s">
        <v>893</v>
      </c>
      <c r="K28" s="26" t="s">
        <v>252</v>
      </c>
      <c r="L28" s="26" t="s">
        <v>117</v>
      </c>
      <c r="M28" s="26"/>
      <c r="N28" s="26"/>
      <c r="O28" s="26"/>
      <c r="P28" s="26" t="s">
        <v>48</v>
      </c>
      <c r="Q28" s="26" t="s">
        <v>41</v>
      </c>
      <c r="R28" s="26"/>
      <c r="S28" s="26"/>
      <c r="T28" s="26" t="s">
        <v>34</v>
      </c>
      <c r="U28" s="26"/>
      <c r="V28" s="26" t="s">
        <v>38</v>
      </c>
      <c r="W28" s="26"/>
      <c r="X28" s="26" t="s">
        <v>29</v>
      </c>
      <c r="Y28" s="26" t="s">
        <v>253</v>
      </c>
      <c r="Z28" s="26"/>
      <c r="AA28" s="26"/>
      <c r="AB28" s="26"/>
    </row>
    <row r="29" spans="1:29" ht="15.75" customHeight="1" x14ac:dyDescent="0.25">
      <c r="A29" s="26" t="s">
        <v>254</v>
      </c>
      <c r="B29" s="26" t="s">
        <v>255</v>
      </c>
      <c r="C29" s="26" t="s">
        <v>894</v>
      </c>
      <c r="D29" s="26" t="s">
        <v>812</v>
      </c>
      <c r="E29" s="26" t="s">
        <v>256</v>
      </c>
      <c r="F29" s="26" t="s">
        <v>895</v>
      </c>
      <c r="G29" s="26" t="s">
        <v>29</v>
      </c>
      <c r="H29" s="26" t="s">
        <v>257</v>
      </c>
      <c r="I29" s="26" t="s">
        <v>29</v>
      </c>
      <c r="J29" s="26" t="s">
        <v>896</v>
      </c>
      <c r="K29" s="26" t="s">
        <v>257</v>
      </c>
      <c r="L29" s="26" t="s">
        <v>123</v>
      </c>
      <c r="M29" s="26"/>
      <c r="N29" s="26"/>
      <c r="O29" s="26"/>
      <c r="P29" s="26" t="s">
        <v>29</v>
      </c>
      <c r="Q29" s="26" t="s">
        <v>38</v>
      </c>
      <c r="R29" s="26"/>
      <c r="S29" s="26"/>
      <c r="T29" s="26" t="s">
        <v>29</v>
      </c>
      <c r="U29" s="26" t="s">
        <v>258</v>
      </c>
      <c r="V29" s="26" t="s">
        <v>29</v>
      </c>
      <c r="W29" s="26" t="s">
        <v>259</v>
      </c>
      <c r="X29" s="26" t="s">
        <v>29</v>
      </c>
      <c r="Y29" s="26" t="s">
        <v>260</v>
      </c>
      <c r="Z29" s="26" t="s">
        <v>242</v>
      </c>
      <c r="AA29" s="26"/>
      <c r="AB29" s="26"/>
      <c r="AC29" s="6" t="s">
        <v>32</v>
      </c>
    </row>
    <row r="30" spans="1:29" ht="15.75" customHeight="1" x14ac:dyDescent="0.25">
      <c r="A30" s="26" t="s">
        <v>262</v>
      </c>
      <c r="B30" s="26" t="s">
        <v>263</v>
      </c>
      <c r="C30" s="26" t="s">
        <v>897</v>
      </c>
      <c r="D30" s="26" t="s">
        <v>898</v>
      </c>
      <c r="E30" s="26" t="s">
        <v>264</v>
      </c>
      <c r="F30" s="26" t="s">
        <v>899</v>
      </c>
      <c r="G30" s="26" t="s">
        <v>38</v>
      </c>
      <c r="H30" s="26"/>
      <c r="I30" s="26" t="s">
        <v>41</v>
      </c>
      <c r="J30" s="26"/>
      <c r="K30" s="26"/>
      <c r="L30" s="26"/>
      <c r="M30" s="26"/>
      <c r="N30" s="26"/>
      <c r="O30" s="26"/>
      <c r="P30" s="26" t="s">
        <v>44</v>
      </c>
      <c r="Q30" s="26" t="s">
        <v>41</v>
      </c>
      <c r="R30" s="26"/>
      <c r="S30" s="26"/>
      <c r="T30" s="26" t="s">
        <v>29</v>
      </c>
      <c r="U30" s="26" t="s">
        <v>265</v>
      </c>
      <c r="V30" s="26" t="s">
        <v>41</v>
      </c>
      <c r="W30" s="26"/>
      <c r="X30" s="26" t="s">
        <v>29</v>
      </c>
      <c r="Y30" s="26" t="s">
        <v>266</v>
      </c>
      <c r="Z30" s="26"/>
      <c r="AA30" s="26"/>
      <c r="AB30" s="26"/>
    </row>
    <row r="31" spans="1:29" ht="15.75" customHeight="1" x14ac:dyDescent="0.25">
      <c r="A31" s="26" t="s">
        <v>267</v>
      </c>
      <c r="B31" s="26" t="s">
        <v>121</v>
      </c>
      <c r="C31" s="26" t="s">
        <v>900</v>
      </c>
      <c r="D31" s="26" t="s">
        <v>812</v>
      </c>
      <c r="E31" s="26" t="s">
        <v>201</v>
      </c>
      <c r="F31" s="26" t="s">
        <v>901</v>
      </c>
      <c r="G31" s="26" t="s">
        <v>29</v>
      </c>
      <c r="H31" s="26" t="s">
        <v>125</v>
      </c>
      <c r="I31" s="26" t="s">
        <v>41</v>
      </c>
      <c r="J31" s="26" t="s">
        <v>902</v>
      </c>
      <c r="K31" s="26"/>
      <c r="L31" s="26" t="s">
        <v>117</v>
      </c>
      <c r="M31" s="26"/>
      <c r="N31" s="26"/>
      <c r="O31" s="26" t="s">
        <v>903</v>
      </c>
      <c r="P31" s="26" t="s">
        <v>29</v>
      </c>
      <c r="Q31" s="26" t="s">
        <v>38</v>
      </c>
      <c r="R31" s="26"/>
      <c r="S31" s="26"/>
      <c r="T31" s="26" t="s">
        <v>34</v>
      </c>
      <c r="U31" s="26"/>
      <c r="V31" s="26" t="s">
        <v>29</v>
      </c>
      <c r="W31" s="26" t="s">
        <v>128</v>
      </c>
      <c r="X31" s="26" t="s">
        <v>44</v>
      </c>
      <c r="Y31" s="26"/>
      <c r="Z31" s="26"/>
      <c r="AA31" s="26"/>
      <c r="AB31" s="26"/>
      <c r="AC31" s="6" t="s">
        <v>32</v>
      </c>
    </row>
    <row r="32" spans="1:29" ht="15.75" customHeight="1" x14ac:dyDescent="0.25">
      <c r="A32" s="26" t="s">
        <v>268</v>
      </c>
      <c r="B32" s="26" t="s">
        <v>269</v>
      </c>
      <c r="C32" s="26" t="s">
        <v>904</v>
      </c>
      <c r="D32" s="26" t="s">
        <v>905</v>
      </c>
      <c r="E32" s="26" t="s">
        <v>270</v>
      </c>
      <c r="F32" s="26" t="s">
        <v>906</v>
      </c>
      <c r="G32" s="26" t="s">
        <v>29</v>
      </c>
      <c r="H32" s="26" t="s">
        <v>271</v>
      </c>
      <c r="I32" s="26" t="s">
        <v>29</v>
      </c>
      <c r="J32" s="26" t="s">
        <v>907</v>
      </c>
      <c r="K32" s="26" t="s">
        <v>271</v>
      </c>
      <c r="L32" s="26" t="s">
        <v>117</v>
      </c>
      <c r="M32" s="26"/>
      <c r="N32" s="26"/>
      <c r="O32" s="26"/>
      <c r="P32" s="26" t="s">
        <v>48</v>
      </c>
      <c r="Q32" s="26" t="s">
        <v>48</v>
      </c>
      <c r="R32" s="26"/>
      <c r="S32" s="26"/>
      <c r="T32" s="26" t="s">
        <v>34</v>
      </c>
      <c r="U32" s="26"/>
      <c r="V32" s="26" t="s">
        <v>48</v>
      </c>
      <c r="W32" s="26"/>
      <c r="X32" s="26" t="s">
        <v>29</v>
      </c>
      <c r="Y32" s="26" t="s">
        <v>272</v>
      </c>
      <c r="Z32" s="26"/>
      <c r="AA32" s="26"/>
      <c r="AB32" s="26"/>
      <c r="AC32" s="6" t="s">
        <v>60</v>
      </c>
    </row>
    <row r="33" spans="1:29" ht="15.75" customHeight="1" x14ac:dyDescent="0.25">
      <c r="A33" s="26" t="s">
        <v>273</v>
      </c>
      <c r="B33" s="26" t="s">
        <v>274</v>
      </c>
      <c r="C33" s="26" t="s">
        <v>908</v>
      </c>
      <c r="D33" s="26"/>
      <c r="E33" s="26" t="s">
        <v>275</v>
      </c>
      <c r="F33" s="26" t="s">
        <v>909</v>
      </c>
      <c r="G33" s="26" t="s">
        <v>29</v>
      </c>
      <c r="H33" s="26" t="s">
        <v>276</v>
      </c>
      <c r="I33" s="26" t="s">
        <v>44</v>
      </c>
      <c r="J33" s="26" t="s">
        <v>910</v>
      </c>
      <c r="K33" s="26"/>
      <c r="L33" s="26" t="s">
        <v>63</v>
      </c>
      <c r="M33" s="26"/>
      <c r="N33" s="26"/>
      <c r="O33" s="26"/>
      <c r="P33" s="26" t="s">
        <v>44</v>
      </c>
      <c r="Q33" s="26" t="s">
        <v>41</v>
      </c>
      <c r="R33" s="26"/>
      <c r="S33" s="26"/>
      <c r="T33" s="26" t="s">
        <v>34</v>
      </c>
      <c r="U33" s="26"/>
      <c r="V33" s="26" t="s">
        <v>44</v>
      </c>
      <c r="W33" s="26"/>
      <c r="X33" s="26" t="s">
        <v>29</v>
      </c>
      <c r="Y33" s="26" t="s">
        <v>277</v>
      </c>
      <c r="Z33" s="26" t="s">
        <v>242</v>
      </c>
      <c r="AA33" s="26"/>
      <c r="AB33" s="26"/>
      <c r="AC33" s="6" t="s">
        <v>60</v>
      </c>
    </row>
    <row r="34" spans="1:29" ht="15.75" customHeight="1" x14ac:dyDescent="0.25">
      <c r="A34" s="26" t="s">
        <v>278</v>
      </c>
      <c r="B34" s="26" t="s">
        <v>278</v>
      </c>
      <c r="C34" s="26" t="s">
        <v>911</v>
      </c>
      <c r="D34" s="26" t="s">
        <v>905</v>
      </c>
      <c r="E34" s="26" t="s">
        <v>279</v>
      </c>
      <c r="F34" s="26" t="s">
        <v>912</v>
      </c>
      <c r="G34" s="26" t="s">
        <v>29</v>
      </c>
      <c r="H34" s="26" t="s">
        <v>280</v>
      </c>
      <c r="I34" s="26" t="s">
        <v>29</v>
      </c>
      <c r="J34" s="26" t="s">
        <v>913</v>
      </c>
      <c r="K34" s="26" t="s">
        <v>280</v>
      </c>
      <c r="L34" s="26" t="s">
        <v>117</v>
      </c>
      <c r="M34" s="26"/>
      <c r="N34" s="26"/>
      <c r="O34" s="26"/>
      <c r="P34" s="26" t="s">
        <v>29</v>
      </c>
      <c r="Q34" s="26" t="s">
        <v>38</v>
      </c>
      <c r="R34" s="26"/>
      <c r="S34" s="26"/>
      <c r="T34" s="26" t="s">
        <v>29</v>
      </c>
      <c r="U34" s="26" t="s">
        <v>281</v>
      </c>
      <c r="V34" s="26" t="s">
        <v>29</v>
      </c>
      <c r="W34" s="26" t="s">
        <v>282</v>
      </c>
      <c r="X34" s="26" t="s">
        <v>29</v>
      </c>
      <c r="Y34" s="26" t="s">
        <v>283</v>
      </c>
      <c r="Z34" s="26"/>
      <c r="AA34" s="26"/>
      <c r="AB34" s="26"/>
      <c r="AC34" s="6" t="s">
        <v>32</v>
      </c>
    </row>
    <row r="35" spans="1:29" ht="15.75" customHeight="1" x14ac:dyDescent="0.25">
      <c r="A35" s="26" t="s">
        <v>285</v>
      </c>
      <c r="B35" s="26" t="s">
        <v>286</v>
      </c>
      <c r="C35" s="26" t="s">
        <v>914</v>
      </c>
      <c r="D35" s="26" t="s">
        <v>915</v>
      </c>
      <c r="E35" s="26" t="s">
        <v>138</v>
      </c>
      <c r="F35" s="26" t="s">
        <v>916</v>
      </c>
      <c r="G35" s="26" t="s">
        <v>29</v>
      </c>
      <c r="H35" s="26" t="s">
        <v>287</v>
      </c>
      <c r="I35" s="26" t="s">
        <v>44</v>
      </c>
      <c r="J35" s="26" t="s">
        <v>917</v>
      </c>
      <c r="K35" s="26"/>
      <c r="L35" s="26" t="s">
        <v>117</v>
      </c>
      <c r="M35" s="26"/>
      <c r="N35" s="26"/>
      <c r="O35" s="26"/>
      <c r="P35" s="26" t="s">
        <v>44</v>
      </c>
      <c r="Q35" s="26" t="s">
        <v>38</v>
      </c>
      <c r="R35" s="26"/>
      <c r="S35" s="26"/>
      <c r="T35" s="26" t="s">
        <v>34</v>
      </c>
      <c r="U35" s="26"/>
      <c r="V35" s="26" t="s">
        <v>29</v>
      </c>
      <c r="W35" s="26" t="s">
        <v>288</v>
      </c>
      <c r="X35" s="26" t="s">
        <v>44</v>
      </c>
      <c r="Y35" s="26"/>
      <c r="Z35" s="26" t="s">
        <v>139</v>
      </c>
      <c r="AA35" s="26"/>
      <c r="AB35" s="26"/>
      <c r="AC35" s="6" t="s">
        <v>60</v>
      </c>
    </row>
    <row r="36" spans="1:29" ht="15.75" customHeight="1" x14ac:dyDescent="0.25">
      <c r="A36" s="26" t="s">
        <v>289</v>
      </c>
      <c r="B36" s="26" t="s">
        <v>290</v>
      </c>
      <c r="C36" s="26" t="s">
        <v>918</v>
      </c>
      <c r="D36" s="26" t="s">
        <v>812</v>
      </c>
      <c r="E36" s="26" t="s">
        <v>291</v>
      </c>
      <c r="F36" s="26" t="s">
        <v>919</v>
      </c>
      <c r="G36" s="26" t="s">
        <v>29</v>
      </c>
      <c r="H36" s="26" t="s">
        <v>292</v>
      </c>
      <c r="I36" s="26" t="s">
        <v>48</v>
      </c>
      <c r="J36" s="26" t="s">
        <v>920</v>
      </c>
      <c r="K36" s="26"/>
      <c r="L36" s="26" t="s">
        <v>63</v>
      </c>
      <c r="M36" s="26"/>
      <c r="N36" s="26"/>
      <c r="O36" s="26"/>
      <c r="P36" s="26" t="s">
        <v>48</v>
      </c>
      <c r="Q36" s="26" t="s">
        <v>38</v>
      </c>
      <c r="R36" s="26"/>
      <c r="S36" s="26"/>
      <c r="T36" s="26" t="s">
        <v>34</v>
      </c>
      <c r="U36" s="26"/>
      <c r="V36" s="26" t="s">
        <v>29</v>
      </c>
      <c r="W36" s="26" t="s">
        <v>293</v>
      </c>
      <c r="X36" s="26" t="s">
        <v>29</v>
      </c>
      <c r="Y36" s="26" t="s">
        <v>294</v>
      </c>
      <c r="Z36" s="26"/>
      <c r="AA36" s="26"/>
      <c r="AB36" s="26"/>
      <c r="AC36" s="6" t="s">
        <v>60</v>
      </c>
    </row>
    <row r="37" spans="1:29" ht="15.75" customHeight="1" x14ac:dyDescent="0.25">
      <c r="A37" s="26" t="s">
        <v>295</v>
      </c>
      <c r="B37" s="26" t="s">
        <v>296</v>
      </c>
      <c r="C37" s="26" t="s">
        <v>921</v>
      </c>
      <c r="D37" s="26" t="s">
        <v>922</v>
      </c>
      <c r="E37" s="26" t="s">
        <v>297</v>
      </c>
      <c r="F37" s="26" t="s">
        <v>921</v>
      </c>
      <c r="G37" s="26" t="s">
        <v>29</v>
      </c>
      <c r="H37" s="26" t="s">
        <v>298</v>
      </c>
      <c r="I37" s="26" t="s">
        <v>44</v>
      </c>
      <c r="J37" s="26"/>
      <c r="K37" s="26"/>
      <c r="L37" s="26" t="s">
        <v>117</v>
      </c>
      <c r="M37" s="26"/>
      <c r="N37" s="26"/>
      <c r="O37" s="26" t="s">
        <v>923</v>
      </c>
      <c r="P37" s="26" t="s">
        <v>44</v>
      </c>
      <c r="Q37" s="26" t="s">
        <v>41</v>
      </c>
      <c r="R37" s="26"/>
      <c r="S37" s="26"/>
      <c r="T37" s="26" t="s">
        <v>29</v>
      </c>
      <c r="U37" s="26" t="s">
        <v>299</v>
      </c>
      <c r="V37" s="26" t="s">
        <v>44</v>
      </c>
      <c r="W37" s="26"/>
      <c r="X37" s="26" t="s">
        <v>41</v>
      </c>
      <c r="Y37" s="26"/>
      <c r="Z37" s="26" t="s">
        <v>139</v>
      </c>
      <c r="AA37" s="26"/>
      <c r="AB37" s="26"/>
    </row>
    <row r="38" spans="1:29" ht="15.75" customHeight="1" x14ac:dyDescent="0.25">
      <c r="A38" s="26" t="s">
        <v>300</v>
      </c>
      <c r="B38" s="26" t="s">
        <v>296</v>
      </c>
      <c r="C38" s="26" t="s">
        <v>924</v>
      </c>
      <c r="D38" s="26" t="s">
        <v>922</v>
      </c>
      <c r="E38" s="26" t="s">
        <v>301</v>
      </c>
      <c r="F38" s="26" t="s">
        <v>924</v>
      </c>
      <c r="G38" s="26" t="s">
        <v>29</v>
      </c>
      <c r="H38" s="26" t="s">
        <v>298</v>
      </c>
      <c r="I38" s="26" t="s">
        <v>44</v>
      </c>
      <c r="J38" s="26"/>
      <c r="K38" s="26"/>
      <c r="L38" s="26" t="s">
        <v>117</v>
      </c>
      <c r="M38" s="26"/>
      <c r="N38" s="26"/>
      <c r="O38" s="26" t="s">
        <v>923</v>
      </c>
      <c r="P38" s="26" t="s">
        <v>44</v>
      </c>
      <c r="Q38" s="26" t="s">
        <v>41</v>
      </c>
      <c r="R38" s="26"/>
      <c r="S38" s="26"/>
      <c r="T38" s="26" t="s">
        <v>29</v>
      </c>
      <c r="U38" s="26" t="s">
        <v>299</v>
      </c>
      <c r="V38" s="26" t="s">
        <v>44</v>
      </c>
      <c r="W38" s="26"/>
      <c r="X38" s="26" t="s">
        <v>41</v>
      </c>
      <c r="Y38" s="26"/>
      <c r="Z38" s="26" t="s">
        <v>139</v>
      </c>
      <c r="AA38" s="26"/>
      <c r="AB38" s="26"/>
    </row>
    <row r="39" spans="1:29" ht="15.75" customHeight="1" x14ac:dyDescent="0.25">
      <c r="A39" s="26" t="s">
        <v>302</v>
      </c>
      <c r="B39" s="26" t="s">
        <v>303</v>
      </c>
      <c r="C39" s="26" t="s">
        <v>925</v>
      </c>
      <c r="D39" s="26" t="s">
        <v>812</v>
      </c>
      <c r="E39" s="26" t="s">
        <v>138</v>
      </c>
      <c r="F39" s="26" t="s">
        <v>926</v>
      </c>
      <c r="G39" s="26" t="s">
        <v>44</v>
      </c>
      <c r="H39" s="26"/>
      <c r="I39" s="26" t="s">
        <v>44</v>
      </c>
      <c r="J39" s="26" t="s">
        <v>927</v>
      </c>
      <c r="K39" s="26"/>
      <c r="L39" s="26" t="s">
        <v>63</v>
      </c>
      <c r="M39" s="26"/>
      <c r="N39" s="26"/>
      <c r="O39" s="26"/>
      <c r="P39" s="26" t="s">
        <v>44</v>
      </c>
      <c r="Q39" s="26" t="s">
        <v>29</v>
      </c>
      <c r="R39" s="26"/>
      <c r="S39" s="26" t="s">
        <v>825</v>
      </c>
      <c r="T39" s="26" t="s">
        <v>34</v>
      </c>
      <c r="U39" s="26"/>
      <c r="V39" s="26" t="s">
        <v>44</v>
      </c>
      <c r="W39" s="26"/>
      <c r="X39" s="26" t="s">
        <v>29</v>
      </c>
      <c r="Y39" s="26" t="s">
        <v>304</v>
      </c>
      <c r="Z39" s="26"/>
      <c r="AA39" s="26"/>
      <c r="AB39" s="26"/>
    </row>
    <row r="40" spans="1:29" ht="15.75" customHeight="1" x14ac:dyDescent="0.25">
      <c r="A40" s="26" t="s">
        <v>305</v>
      </c>
      <c r="B40" s="26" t="s">
        <v>306</v>
      </c>
      <c r="C40" s="26" t="s">
        <v>928</v>
      </c>
      <c r="D40" s="26" t="s">
        <v>929</v>
      </c>
      <c r="E40" s="26" t="s">
        <v>307</v>
      </c>
      <c r="F40" s="26" t="s">
        <v>930</v>
      </c>
      <c r="G40" s="26" t="s">
        <v>29</v>
      </c>
      <c r="H40" s="26" t="s">
        <v>310</v>
      </c>
      <c r="I40" s="26" t="s">
        <v>29</v>
      </c>
      <c r="J40" s="26" t="s">
        <v>931</v>
      </c>
      <c r="K40" s="26" t="s">
        <v>310</v>
      </c>
      <c r="L40" s="26" t="s">
        <v>308</v>
      </c>
      <c r="M40" s="26" t="s">
        <v>932</v>
      </c>
      <c r="N40" s="26"/>
      <c r="O40" s="26"/>
      <c r="P40" s="26" t="s">
        <v>29</v>
      </c>
      <c r="Q40" s="26" t="s">
        <v>29</v>
      </c>
      <c r="R40" s="26"/>
      <c r="S40" s="26" t="s">
        <v>845</v>
      </c>
      <c r="T40" s="26" t="s">
        <v>29</v>
      </c>
      <c r="U40" s="26" t="s">
        <v>311</v>
      </c>
      <c r="V40" s="26" t="s">
        <v>29</v>
      </c>
      <c r="W40" s="26" t="s">
        <v>312</v>
      </c>
      <c r="X40" s="26" t="s">
        <v>29</v>
      </c>
      <c r="Y40" s="26" t="s">
        <v>313</v>
      </c>
      <c r="Z40" s="26" t="s">
        <v>309</v>
      </c>
      <c r="AA40" s="26"/>
      <c r="AB40" s="26"/>
      <c r="AC40" s="6" t="s">
        <v>32</v>
      </c>
    </row>
    <row r="41" spans="1:29" ht="15.75" customHeight="1" x14ac:dyDescent="0.25">
      <c r="A41" s="26" t="s">
        <v>314</v>
      </c>
      <c r="B41" s="26" t="s">
        <v>314</v>
      </c>
      <c r="C41" s="26" t="s">
        <v>933</v>
      </c>
      <c r="D41" s="26"/>
      <c r="E41" s="26" t="s">
        <v>315</v>
      </c>
      <c r="F41" s="26" t="s">
        <v>934</v>
      </c>
      <c r="G41" s="26" t="s">
        <v>48</v>
      </c>
      <c r="H41" s="26"/>
      <c r="I41" s="26" t="s">
        <v>48</v>
      </c>
      <c r="J41" s="26" t="s">
        <v>935</v>
      </c>
      <c r="K41" s="26"/>
      <c r="L41" s="26"/>
      <c r="M41" s="26"/>
      <c r="N41" s="26"/>
      <c r="O41" s="26"/>
      <c r="P41" s="26" t="s">
        <v>48</v>
      </c>
      <c r="Q41" s="26" t="s">
        <v>29</v>
      </c>
      <c r="R41" s="26" t="s">
        <v>316</v>
      </c>
      <c r="S41" s="26"/>
      <c r="T41" s="26" t="s">
        <v>34</v>
      </c>
      <c r="U41" s="26"/>
      <c r="V41" s="26" t="s">
        <v>48</v>
      </c>
      <c r="W41" s="26"/>
      <c r="X41" s="26" t="s">
        <v>53</v>
      </c>
      <c r="Y41" s="26"/>
      <c r="Z41" s="26"/>
      <c r="AA41" s="26"/>
      <c r="AB41" s="26"/>
    </row>
    <row r="42" spans="1:29" ht="15.75" customHeight="1" x14ac:dyDescent="0.25">
      <c r="A42" s="26" t="s">
        <v>317</v>
      </c>
      <c r="B42" s="26" t="s">
        <v>317</v>
      </c>
      <c r="C42" s="26" t="s">
        <v>936</v>
      </c>
      <c r="D42" s="26" t="s">
        <v>812</v>
      </c>
      <c r="E42" s="26" t="s">
        <v>132</v>
      </c>
      <c r="F42" s="26" t="s">
        <v>937</v>
      </c>
      <c r="G42" s="26" t="s">
        <v>29</v>
      </c>
      <c r="H42" s="26" t="s">
        <v>318</v>
      </c>
      <c r="I42" s="26" t="s">
        <v>29</v>
      </c>
      <c r="J42" s="26" t="s">
        <v>938</v>
      </c>
      <c r="K42" s="26" t="s">
        <v>319</v>
      </c>
      <c r="L42" s="26" t="s">
        <v>184</v>
      </c>
      <c r="M42" s="26"/>
      <c r="N42" s="26"/>
      <c r="O42" s="26"/>
      <c r="P42" s="26" t="s">
        <v>29</v>
      </c>
      <c r="Q42" s="26" t="s">
        <v>29</v>
      </c>
      <c r="R42" s="26"/>
      <c r="S42" s="26" t="s">
        <v>845</v>
      </c>
      <c r="T42" s="26" t="s">
        <v>29</v>
      </c>
      <c r="U42" s="26" t="s">
        <v>320</v>
      </c>
      <c r="V42" s="26" t="s">
        <v>38</v>
      </c>
      <c r="W42" s="26"/>
      <c r="X42" s="26" t="s">
        <v>29</v>
      </c>
      <c r="Y42" s="26" t="s">
        <v>321</v>
      </c>
      <c r="Z42" s="26"/>
      <c r="AA42" s="26"/>
      <c r="AB42" s="26"/>
      <c r="AC42" s="6" t="s">
        <v>32</v>
      </c>
    </row>
    <row r="43" spans="1:29" ht="15.75" customHeight="1" x14ac:dyDescent="0.25">
      <c r="A43" s="26" t="s">
        <v>323</v>
      </c>
      <c r="B43" s="26" t="s">
        <v>324</v>
      </c>
      <c r="C43" s="26" t="s">
        <v>939</v>
      </c>
      <c r="D43" s="26" t="s">
        <v>812</v>
      </c>
      <c r="E43" s="26" t="s">
        <v>291</v>
      </c>
      <c r="F43" s="26" t="s">
        <v>940</v>
      </c>
      <c r="G43" s="26" t="s">
        <v>29</v>
      </c>
      <c r="H43" s="26" t="s">
        <v>325</v>
      </c>
      <c r="I43" s="26" t="s">
        <v>29</v>
      </c>
      <c r="J43" s="26" t="s">
        <v>941</v>
      </c>
      <c r="K43" s="26" t="s">
        <v>326</v>
      </c>
      <c r="L43" s="26" t="s">
        <v>117</v>
      </c>
      <c r="M43" s="26"/>
      <c r="N43" s="26"/>
      <c r="O43" s="26"/>
      <c r="P43" s="26" t="s">
        <v>29</v>
      </c>
      <c r="Q43" s="26" t="s">
        <v>29</v>
      </c>
      <c r="R43" s="26" t="s">
        <v>327</v>
      </c>
      <c r="S43" s="26" t="s">
        <v>825</v>
      </c>
      <c r="T43" s="26" t="s">
        <v>29</v>
      </c>
      <c r="U43" s="26" t="s">
        <v>328</v>
      </c>
      <c r="V43" s="26" t="s">
        <v>29</v>
      </c>
      <c r="W43" s="26" t="s">
        <v>329</v>
      </c>
      <c r="X43" s="26" t="s">
        <v>29</v>
      </c>
      <c r="Y43" s="26" t="s">
        <v>330</v>
      </c>
      <c r="Z43" s="26" t="s">
        <v>124</v>
      </c>
      <c r="AA43" s="26"/>
      <c r="AB43" s="26"/>
      <c r="AC43" s="6" t="s">
        <v>32</v>
      </c>
    </row>
    <row r="44" spans="1:29" ht="15.75" customHeight="1" x14ac:dyDescent="0.25">
      <c r="A44" s="26" t="s">
        <v>332</v>
      </c>
      <c r="B44" s="26" t="s">
        <v>324</v>
      </c>
      <c r="C44" s="26" t="s">
        <v>942</v>
      </c>
      <c r="D44" s="26" t="s">
        <v>812</v>
      </c>
      <c r="E44" s="26" t="s">
        <v>333</v>
      </c>
      <c r="F44" s="26" t="s">
        <v>943</v>
      </c>
      <c r="G44" s="26" t="s">
        <v>48</v>
      </c>
      <c r="H44" s="26"/>
      <c r="I44" s="26" t="s">
        <v>44</v>
      </c>
      <c r="J44" s="26"/>
      <c r="K44" s="26"/>
      <c r="L44" s="26" t="s">
        <v>63</v>
      </c>
      <c r="M44" s="26"/>
      <c r="N44" s="26"/>
      <c r="O44" s="26" t="s">
        <v>944</v>
      </c>
      <c r="P44" s="26" t="s">
        <v>44</v>
      </c>
      <c r="Q44" s="26" t="s">
        <v>48</v>
      </c>
      <c r="R44" s="26"/>
      <c r="S44" s="26"/>
      <c r="T44" s="26" t="s">
        <v>44</v>
      </c>
      <c r="U44" s="26"/>
      <c r="V44" s="26" t="s">
        <v>48</v>
      </c>
      <c r="W44" s="26"/>
      <c r="X44" s="26" t="s">
        <v>48</v>
      </c>
      <c r="Y44" s="26"/>
      <c r="Z44" s="26"/>
      <c r="AA44" s="26"/>
      <c r="AB44" s="26"/>
    </row>
    <row r="45" spans="1:29" ht="15.75" customHeight="1" x14ac:dyDescent="0.25">
      <c r="A45" s="26" t="s">
        <v>334</v>
      </c>
      <c r="B45" s="26" t="s">
        <v>335</v>
      </c>
      <c r="C45" s="26" t="s">
        <v>945</v>
      </c>
      <c r="D45" s="26" t="s">
        <v>946</v>
      </c>
      <c r="E45" s="26" t="s">
        <v>336</v>
      </c>
      <c r="F45" s="26" t="s">
        <v>947</v>
      </c>
      <c r="G45" s="26" t="s">
        <v>29</v>
      </c>
      <c r="H45" s="26" t="s">
        <v>337</v>
      </c>
      <c r="I45" s="26" t="s">
        <v>41</v>
      </c>
      <c r="J45" s="26"/>
      <c r="K45" s="26"/>
      <c r="L45" s="26" t="s">
        <v>123</v>
      </c>
      <c r="M45" s="26"/>
      <c r="N45" s="26"/>
      <c r="O45" s="26" t="s">
        <v>948</v>
      </c>
      <c r="P45" s="26" t="s">
        <v>29</v>
      </c>
      <c r="Q45" s="26" t="s">
        <v>38</v>
      </c>
      <c r="R45" s="26"/>
      <c r="S45" s="26"/>
      <c r="T45" s="26" t="s">
        <v>34</v>
      </c>
      <c r="U45" s="26"/>
      <c r="V45" s="26" t="s">
        <v>41</v>
      </c>
      <c r="W45" s="26"/>
      <c r="X45" s="26" t="s">
        <v>29</v>
      </c>
      <c r="Y45" s="26" t="s">
        <v>338</v>
      </c>
      <c r="Z45" s="26" t="s">
        <v>139</v>
      </c>
      <c r="AA45" s="26"/>
      <c r="AB45" s="26"/>
      <c r="AC45" s="6" t="s">
        <v>60</v>
      </c>
    </row>
    <row r="46" spans="1:29" ht="15.75" customHeight="1" x14ac:dyDescent="0.25">
      <c r="A46" s="26" t="s">
        <v>340</v>
      </c>
      <c r="B46" s="26" t="s">
        <v>341</v>
      </c>
      <c r="C46" s="26" t="s">
        <v>949</v>
      </c>
      <c r="D46" s="26" t="s">
        <v>884</v>
      </c>
      <c r="E46" s="26" t="s">
        <v>291</v>
      </c>
      <c r="F46" s="26" t="s">
        <v>950</v>
      </c>
      <c r="G46" s="26" t="s">
        <v>38</v>
      </c>
      <c r="H46" s="26"/>
      <c r="I46" s="26" t="s">
        <v>38</v>
      </c>
      <c r="J46" s="26"/>
      <c r="K46" s="26"/>
      <c r="L46" s="26"/>
      <c r="M46" s="26"/>
      <c r="N46" s="26"/>
      <c r="O46" s="26" t="s">
        <v>48</v>
      </c>
      <c r="P46" s="26" t="s">
        <v>48</v>
      </c>
      <c r="Q46" s="26" t="s">
        <v>38</v>
      </c>
      <c r="R46" s="26"/>
      <c r="S46" s="26"/>
      <c r="T46" s="26" t="s">
        <v>34</v>
      </c>
      <c r="U46" s="26"/>
      <c r="V46" s="26" t="s">
        <v>48</v>
      </c>
      <c r="W46" s="26"/>
      <c r="X46" s="26" t="s">
        <v>48</v>
      </c>
      <c r="Y46" s="26"/>
      <c r="Z46" s="26"/>
      <c r="AA46" s="26"/>
      <c r="AB46" s="26"/>
    </row>
    <row r="47" spans="1:29" ht="15.75" customHeight="1" x14ac:dyDescent="0.25">
      <c r="A47" s="26" t="s">
        <v>342</v>
      </c>
      <c r="B47" s="26" t="s">
        <v>342</v>
      </c>
      <c r="C47" s="26" t="s">
        <v>951</v>
      </c>
      <c r="D47" s="26" t="s">
        <v>833</v>
      </c>
      <c r="E47" s="26" t="s">
        <v>343</v>
      </c>
      <c r="F47" s="26" t="s">
        <v>952</v>
      </c>
      <c r="G47" s="26" t="s">
        <v>29</v>
      </c>
      <c r="H47" s="26" t="s">
        <v>344</v>
      </c>
      <c r="I47" s="26" t="s">
        <v>29</v>
      </c>
      <c r="J47" s="26" t="s">
        <v>953</v>
      </c>
      <c r="K47" s="26" t="s">
        <v>345</v>
      </c>
      <c r="L47" s="26" t="s">
        <v>123</v>
      </c>
      <c r="M47" s="26"/>
      <c r="N47" s="26"/>
      <c r="O47" s="26"/>
      <c r="P47" s="26" t="s">
        <v>29</v>
      </c>
      <c r="Q47" s="26" t="s">
        <v>29</v>
      </c>
      <c r="R47" s="26" t="s">
        <v>346</v>
      </c>
      <c r="S47" s="26" t="s">
        <v>845</v>
      </c>
      <c r="T47" s="26" t="s">
        <v>34</v>
      </c>
      <c r="U47" s="26"/>
      <c r="V47" s="26" t="s">
        <v>29</v>
      </c>
      <c r="W47" s="26" t="s">
        <v>347</v>
      </c>
      <c r="X47" s="26" t="s">
        <v>29</v>
      </c>
      <c r="Y47" s="26" t="s">
        <v>348</v>
      </c>
      <c r="Z47" s="26"/>
      <c r="AA47" s="26"/>
      <c r="AB47" s="26"/>
      <c r="AC47" s="6" t="s">
        <v>32</v>
      </c>
    </row>
    <row r="48" spans="1:29" ht="15.75" customHeight="1" x14ac:dyDescent="0.25">
      <c r="A48" s="26" t="s">
        <v>349</v>
      </c>
      <c r="B48" s="26" t="s">
        <v>350</v>
      </c>
      <c r="C48" s="26" t="s">
        <v>954</v>
      </c>
      <c r="D48" s="26" t="s">
        <v>884</v>
      </c>
      <c r="E48" s="26" t="s">
        <v>351</v>
      </c>
      <c r="F48" s="26" t="s">
        <v>955</v>
      </c>
      <c r="G48" s="26" t="s">
        <v>29</v>
      </c>
      <c r="H48" s="26" t="s">
        <v>352</v>
      </c>
      <c r="I48" s="26" t="s">
        <v>29</v>
      </c>
      <c r="J48" s="26" t="s">
        <v>956</v>
      </c>
      <c r="K48" s="26" t="s">
        <v>352</v>
      </c>
      <c r="L48" s="26" t="s">
        <v>117</v>
      </c>
      <c r="M48" s="26"/>
      <c r="N48" s="26"/>
      <c r="O48" s="26"/>
      <c r="P48" s="26" t="s">
        <v>29</v>
      </c>
      <c r="Q48" s="26" t="s">
        <v>29</v>
      </c>
      <c r="R48" s="26" t="s">
        <v>353</v>
      </c>
      <c r="S48" s="26" t="s">
        <v>845</v>
      </c>
      <c r="T48" s="26" t="s">
        <v>34</v>
      </c>
      <c r="U48" s="26"/>
      <c r="V48" s="26" t="s">
        <v>29</v>
      </c>
      <c r="W48" s="26" t="s">
        <v>354</v>
      </c>
      <c r="X48" s="26" t="s">
        <v>29</v>
      </c>
      <c r="Y48" s="26" t="s">
        <v>355</v>
      </c>
      <c r="Z48" s="26"/>
      <c r="AA48" s="26"/>
      <c r="AB48" s="26"/>
      <c r="AC48" s="6" t="s">
        <v>32</v>
      </c>
    </row>
    <row r="49" spans="1:29" ht="15.75" customHeight="1" x14ac:dyDescent="0.25">
      <c r="A49" s="26" t="s">
        <v>356</v>
      </c>
      <c r="B49" s="26" t="s">
        <v>357</v>
      </c>
      <c r="C49" s="26" t="s">
        <v>957</v>
      </c>
      <c r="D49" s="26" t="s">
        <v>915</v>
      </c>
      <c r="E49" s="26" t="s">
        <v>138</v>
      </c>
      <c r="F49" s="26"/>
      <c r="G49" s="26" t="s">
        <v>38</v>
      </c>
      <c r="H49" s="26"/>
      <c r="I49" s="26" t="s">
        <v>44</v>
      </c>
      <c r="J49" s="26" t="s">
        <v>958</v>
      </c>
      <c r="K49" s="26"/>
      <c r="L49" s="26" t="s">
        <v>63</v>
      </c>
      <c r="M49" s="26"/>
      <c r="N49" s="26" t="s">
        <v>76</v>
      </c>
      <c r="O49" s="26"/>
      <c r="P49" s="26" t="s">
        <v>44</v>
      </c>
      <c r="Q49" s="26" t="s">
        <v>38</v>
      </c>
      <c r="R49" s="26"/>
      <c r="S49" s="26"/>
      <c r="T49" s="26" t="s">
        <v>29</v>
      </c>
      <c r="U49" s="26" t="s">
        <v>358</v>
      </c>
      <c r="V49" s="26" t="s">
        <v>41</v>
      </c>
      <c r="W49" s="26"/>
      <c r="X49" s="26" t="s">
        <v>29</v>
      </c>
      <c r="Y49" s="26" t="s">
        <v>359</v>
      </c>
      <c r="Z49" s="26" t="s">
        <v>139</v>
      </c>
      <c r="AA49" s="26"/>
      <c r="AB49" s="26"/>
      <c r="AC49" s="6" t="s">
        <v>60</v>
      </c>
    </row>
    <row r="50" spans="1:29" ht="15.75" customHeight="1" x14ac:dyDescent="0.25">
      <c r="A50" s="26" t="s">
        <v>360</v>
      </c>
      <c r="B50" s="26" t="s">
        <v>324</v>
      </c>
      <c r="C50" s="26" t="s">
        <v>959</v>
      </c>
      <c r="D50" s="26" t="s">
        <v>812</v>
      </c>
      <c r="E50" s="26" t="s">
        <v>291</v>
      </c>
      <c r="F50" s="26" t="s">
        <v>960</v>
      </c>
      <c r="G50" s="26" t="s">
        <v>29</v>
      </c>
      <c r="H50" s="26" t="s">
        <v>361</v>
      </c>
      <c r="I50" s="26" t="s">
        <v>29</v>
      </c>
      <c r="J50" s="26" t="s">
        <v>961</v>
      </c>
      <c r="K50" s="26" t="s">
        <v>362</v>
      </c>
      <c r="L50" s="26" t="s">
        <v>117</v>
      </c>
      <c r="M50" s="26"/>
      <c r="N50" s="26" t="s">
        <v>184</v>
      </c>
      <c r="O50" s="26" t="s">
        <v>962</v>
      </c>
      <c r="P50" s="26" t="s">
        <v>29</v>
      </c>
      <c r="Q50" s="26" t="s">
        <v>41</v>
      </c>
      <c r="R50" s="26"/>
      <c r="S50" s="26" t="s">
        <v>890</v>
      </c>
      <c r="T50" s="26" t="s">
        <v>29</v>
      </c>
      <c r="U50" s="26" t="s">
        <v>363</v>
      </c>
      <c r="V50" s="26" t="s">
        <v>29</v>
      </c>
      <c r="W50" s="26" t="s">
        <v>329</v>
      </c>
      <c r="X50" s="26" t="s">
        <v>29</v>
      </c>
      <c r="Y50" s="26" t="s">
        <v>364</v>
      </c>
      <c r="Z50" s="26" t="s">
        <v>124</v>
      </c>
      <c r="AA50" s="26"/>
      <c r="AB50" s="26"/>
      <c r="AC50" s="6" t="s">
        <v>32</v>
      </c>
    </row>
    <row r="51" spans="1:29" ht="15.75" customHeight="1" x14ac:dyDescent="0.25">
      <c r="A51" s="26" t="s">
        <v>365</v>
      </c>
      <c r="B51" s="26" t="s">
        <v>366</v>
      </c>
      <c r="C51" s="26" t="s">
        <v>963</v>
      </c>
      <c r="D51" s="26" t="s">
        <v>884</v>
      </c>
      <c r="E51" s="26" t="s">
        <v>201</v>
      </c>
      <c r="F51" s="26" t="s">
        <v>964</v>
      </c>
      <c r="G51" s="26" t="s">
        <v>29</v>
      </c>
      <c r="H51" s="26" t="s">
        <v>367</v>
      </c>
      <c r="I51" s="26" t="s">
        <v>41</v>
      </c>
      <c r="J51" s="26" t="s">
        <v>965</v>
      </c>
      <c r="K51" s="26"/>
      <c r="L51" s="26" t="s">
        <v>117</v>
      </c>
      <c r="M51" s="26"/>
      <c r="N51" s="26" t="s">
        <v>76</v>
      </c>
      <c r="O51" s="26"/>
      <c r="P51" s="26" t="s">
        <v>48</v>
      </c>
      <c r="Q51" s="26" t="s">
        <v>41</v>
      </c>
      <c r="R51" s="26"/>
      <c r="S51" s="26"/>
      <c r="T51" s="26" t="s">
        <v>34</v>
      </c>
      <c r="U51" s="26"/>
      <c r="V51" s="26" t="s">
        <v>38</v>
      </c>
      <c r="W51" s="26"/>
      <c r="X51" s="26" t="s">
        <v>29</v>
      </c>
      <c r="Y51" s="26" t="s">
        <v>368</v>
      </c>
      <c r="Z51" s="26"/>
      <c r="AA51" s="26"/>
      <c r="AB51" s="26"/>
      <c r="AC51" s="6" t="s">
        <v>32</v>
      </c>
    </row>
    <row r="52" spans="1:29" ht="15.75" customHeight="1" x14ac:dyDescent="0.25">
      <c r="A52" s="26" t="s">
        <v>369</v>
      </c>
      <c r="B52" s="26" t="s">
        <v>370</v>
      </c>
      <c r="C52" s="26" t="s">
        <v>966</v>
      </c>
      <c r="D52" s="26" t="s">
        <v>812</v>
      </c>
      <c r="E52" s="26" t="s">
        <v>371</v>
      </c>
      <c r="F52" s="26" t="s">
        <v>967</v>
      </c>
      <c r="G52" s="26" t="s">
        <v>29</v>
      </c>
      <c r="H52" s="26" t="s">
        <v>372</v>
      </c>
      <c r="I52" s="26" t="s">
        <v>38</v>
      </c>
      <c r="J52" s="26" t="s">
        <v>968</v>
      </c>
      <c r="K52" s="26"/>
      <c r="L52" s="26" t="s">
        <v>184</v>
      </c>
      <c r="M52" s="26"/>
      <c r="N52" s="26"/>
      <c r="O52" s="26"/>
      <c r="P52" s="26" t="s">
        <v>48</v>
      </c>
      <c r="Q52" s="26" t="s">
        <v>29</v>
      </c>
      <c r="R52" s="26" t="s">
        <v>373</v>
      </c>
      <c r="S52" s="26"/>
      <c r="T52" s="26" t="s">
        <v>29</v>
      </c>
      <c r="U52" s="26" t="s">
        <v>374</v>
      </c>
      <c r="V52" s="26" t="s">
        <v>29</v>
      </c>
      <c r="W52" s="26" t="s">
        <v>375</v>
      </c>
      <c r="X52" s="26" t="s">
        <v>29</v>
      </c>
      <c r="Y52" s="26" t="s">
        <v>376</v>
      </c>
      <c r="Z52" s="26"/>
      <c r="AA52" s="26"/>
      <c r="AB52" s="26"/>
      <c r="AC52" s="6" t="s">
        <v>60</v>
      </c>
    </row>
    <row r="53" spans="1:29" ht="15.75" customHeight="1" x14ac:dyDescent="0.25">
      <c r="A53" s="26" t="s">
        <v>377</v>
      </c>
      <c r="B53" s="26" t="s">
        <v>378</v>
      </c>
      <c r="C53" s="26" t="s">
        <v>969</v>
      </c>
      <c r="D53" s="26"/>
      <c r="E53" s="26" t="s">
        <v>379</v>
      </c>
      <c r="F53" s="26" t="s">
        <v>970</v>
      </c>
      <c r="G53" s="26" t="s">
        <v>29</v>
      </c>
      <c r="H53" s="26" t="s">
        <v>380</v>
      </c>
      <c r="I53" s="26" t="s">
        <v>29</v>
      </c>
      <c r="J53" s="26"/>
      <c r="K53" s="26" t="s">
        <v>381</v>
      </c>
      <c r="L53" s="26" t="s">
        <v>123</v>
      </c>
      <c r="M53" s="26"/>
      <c r="N53" s="26"/>
      <c r="O53" s="26" t="s">
        <v>971</v>
      </c>
      <c r="P53" s="26" t="s">
        <v>29</v>
      </c>
      <c r="Q53" s="26" t="s">
        <v>38</v>
      </c>
      <c r="R53" s="26"/>
      <c r="S53" s="26"/>
      <c r="T53" s="26" t="s">
        <v>34</v>
      </c>
      <c r="U53" s="26"/>
      <c r="V53" s="26" t="s">
        <v>29</v>
      </c>
      <c r="W53" s="26" t="s">
        <v>382</v>
      </c>
      <c r="X53" s="26" t="s">
        <v>29</v>
      </c>
      <c r="Y53" s="26" t="s">
        <v>383</v>
      </c>
      <c r="Z53" s="26"/>
      <c r="AA53" s="26"/>
      <c r="AB53" s="26"/>
      <c r="AC53" s="6" t="s">
        <v>32</v>
      </c>
    </row>
    <row r="54" spans="1:29" ht="15.75" customHeight="1" x14ac:dyDescent="0.25">
      <c r="A54" s="26" t="s">
        <v>384</v>
      </c>
      <c r="B54" s="26" t="s">
        <v>385</v>
      </c>
      <c r="C54" s="26" t="s">
        <v>972</v>
      </c>
      <c r="D54" s="26"/>
      <c r="E54" s="26" t="s">
        <v>386</v>
      </c>
      <c r="F54" s="26" t="s">
        <v>973</v>
      </c>
      <c r="G54" s="26" t="s">
        <v>29</v>
      </c>
      <c r="H54" s="26" t="s">
        <v>388</v>
      </c>
      <c r="I54" s="26" t="s">
        <v>29</v>
      </c>
      <c r="J54" s="26" t="s">
        <v>974</v>
      </c>
      <c r="K54" s="26" t="s">
        <v>389</v>
      </c>
      <c r="L54" s="26" t="s">
        <v>117</v>
      </c>
      <c r="M54" s="26"/>
      <c r="N54" s="26" t="s">
        <v>76</v>
      </c>
      <c r="O54" s="26"/>
      <c r="P54" s="26" t="s">
        <v>29</v>
      </c>
      <c r="Q54" s="26" t="s">
        <v>44</v>
      </c>
      <c r="R54" s="26"/>
      <c r="S54" s="26"/>
      <c r="T54" s="26" t="s">
        <v>34</v>
      </c>
      <c r="U54" s="26"/>
      <c r="V54" s="26" t="s">
        <v>44</v>
      </c>
      <c r="W54" s="26"/>
      <c r="X54" s="26" t="s">
        <v>44</v>
      </c>
      <c r="Y54" s="26"/>
      <c r="Z54" s="26" t="s">
        <v>387</v>
      </c>
      <c r="AA54" s="26"/>
      <c r="AB54" s="26"/>
      <c r="AC54" s="6" t="s">
        <v>32</v>
      </c>
    </row>
    <row r="55" spans="1:29" ht="15.75" customHeight="1" x14ac:dyDescent="0.25">
      <c r="A55" s="26" t="s">
        <v>391</v>
      </c>
      <c r="B55" s="26" t="s">
        <v>392</v>
      </c>
      <c r="C55" s="26" t="s">
        <v>975</v>
      </c>
      <c r="D55" s="26" t="s">
        <v>812</v>
      </c>
      <c r="E55" s="26" t="s">
        <v>291</v>
      </c>
      <c r="F55" s="26" t="s">
        <v>976</v>
      </c>
      <c r="G55" s="26" t="s">
        <v>29</v>
      </c>
      <c r="H55" s="26" t="s">
        <v>185</v>
      </c>
      <c r="I55" s="26" t="s">
        <v>29</v>
      </c>
      <c r="J55" s="26" t="s">
        <v>977</v>
      </c>
      <c r="K55" s="26" t="s">
        <v>186</v>
      </c>
      <c r="L55" s="26" t="s">
        <v>117</v>
      </c>
      <c r="M55" s="26"/>
      <c r="N55" s="26"/>
      <c r="O55" s="26"/>
      <c r="P55" s="26" t="s">
        <v>29</v>
      </c>
      <c r="Q55" s="26" t="s">
        <v>29</v>
      </c>
      <c r="R55" s="26" t="s">
        <v>394</v>
      </c>
      <c r="S55" s="26" t="s">
        <v>825</v>
      </c>
      <c r="T55" s="26" t="s">
        <v>34</v>
      </c>
      <c r="U55" s="26"/>
      <c r="V55" s="26" t="s">
        <v>41</v>
      </c>
      <c r="W55" s="26"/>
      <c r="X55" s="26" t="s">
        <v>29</v>
      </c>
      <c r="Y55" s="26" t="s">
        <v>395</v>
      </c>
      <c r="Z55" s="26" t="s">
        <v>393</v>
      </c>
      <c r="AA55" s="26"/>
      <c r="AB55" s="26"/>
      <c r="AC55" s="6" t="s">
        <v>32</v>
      </c>
    </row>
    <row r="56" spans="1:29" ht="15.75" customHeight="1" x14ac:dyDescent="0.25">
      <c r="A56" s="26" t="s">
        <v>396</v>
      </c>
      <c r="B56" s="26" t="s">
        <v>392</v>
      </c>
      <c r="C56" s="26" t="s">
        <v>978</v>
      </c>
      <c r="D56" s="26" t="s">
        <v>812</v>
      </c>
      <c r="E56" s="26" t="s">
        <v>291</v>
      </c>
      <c r="F56" s="26" t="s">
        <v>979</v>
      </c>
      <c r="G56" s="26" t="s">
        <v>29</v>
      </c>
      <c r="H56" s="26" t="s">
        <v>185</v>
      </c>
      <c r="I56" s="26" t="s">
        <v>29</v>
      </c>
      <c r="J56" s="26" t="s">
        <v>980</v>
      </c>
      <c r="K56" s="26" t="s">
        <v>186</v>
      </c>
      <c r="L56" s="26" t="s">
        <v>117</v>
      </c>
      <c r="M56" s="26"/>
      <c r="N56" s="26" t="s">
        <v>76</v>
      </c>
      <c r="O56" s="26"/>
      <c r="P56" s="26" t="s">
        <v>29</v>
      </c>
      <c r="Q56" s="26" t="s">
        <v>38</v>
      </c>
      <c r="R56" s="26"/>
      <c r="S56" s="26"/>
      <c r="T56" s="26" t="s">
        <v>34</v>
      </c>
      <c r="U56" s="26"/>
      <c r="V56" s="26" t="s">
        <v>38</v>
      </c>
      <c r="W56" s="26"/>
      <c r="X56" s="26" t="s">
        <v>38</v>
      </c>
      <c r="Y56" s="26"/>
      <c r="Z56" s="26" t="s">
        <v>124</v>
      </c>
      <c r="AA56" s="26"/>
      <c r="AB56" s="26"/>
      <c r="AC56" s="6" t="s">
        <v>32</v>
      </c>
    </row>
    <row r="57" spans="1:29" ht="15.75" customHeight="1" x14ac:dyDescent="0.25">
      <c r="A57" s="26" t="s">
        <v>397</v>
      </c>
      <c r="B57" s="26" t="s">
        <v>398</v>
      </c>
      <c r="C57" s="26" t="s">
        <v>981</v>
      </c>
      <c r="D57" s="26" t="s">
        <v>812</v>
      </c>
      <c r="E57" s="26" t="s">
        <v>151</v>
      </c>
      <c r="F57" s="26" t="s">
        <v>982</v>
      </c>
      <c r="G57" s="26" t="s">
        <v>29</v>
      </c>
      <c r="H57" s="26" t="s">
        <v>399</v>
      </c>
      <c r="I57" s="26" t="s">
        <v>29</v>
      </c>
      <c r="J57" s="26" t="s">
        <v>983</v>
      </c>
      <c r="K57" s="26" t="s">
        <v>400</v>
      </c>
      <c r="L57" s="26" t="s">
        <v>117</v>
      </c>
      <c r="M57" s="26"/>
      <c r="N57" s="26"/>
      <c r="O57" s="26"/>
      <c r="P57" s="26" t="s">
        <v>29</v>
      </c>
      <c r="Q57" s="26" t="s">
        <v>53</v>
      </c>
      <c r="R57" s="26"/>
      <c r="S57" s="26"/>
      <c r="T57" s="26" t="s">
        <v>29</v>
      </c>
      <c r="U57" s="26" t="s">
        <v>401</v>
      </c>
      <c r="V57" s="26" t="s">
        <v>29</v>
      </c>
      <c r="W57" s="26" t="s">
        <v>402</v>
      </c>
      <c r="X57" s="26" t="s">
        <v>29</v>
      </c>
      <c r="Y57" s="26" t="s">
        <v>403</v>
      </c>
      <c r="Z57" s="26"/>
      <c r="AA57" s="26"/>
      <c r="AB57" s="26"/>
      <c r="AC57" s="6" t="s">
        <v>32</v>
      </c>
    </row>
    <row r="58" spans="1:29" ht="15.75" customHeight="1" x14ac:dyDescent="0.25">
      <c r="A58" s="26" t="s">
        <v>405</v>
      </c>
      <c r="B58" s="26" t="s">
        <v>406</v>
      </c>
      <c r="C58" s="26" t="s">
        <v>984</v>
      </c>
      <c r="D58" s="26" t="s">
        <v>985</v>
      </c>
      <c r="E58" s="26" t="s">
        <v>407</v>
      </c>
      <c r="F58" s="26" t="s">
        <v>986</v>
      </c>
      <c r="G58" s="26" t="s">
        <v>48</v>
      </c>
      <c r="H58" s="26"/>
      <c r="I58" s="26" t="s">
        <v>48</v>
      </c>
      <c r="J58" s="26" t="s">
        <v>987</v>
      </c>
      <c r="K58" s="26"/>
      <c r="L58" s="26" t="s">
        <v>63</v>
      </c>
      <c r="M58" s="26"/>
      <c r="N58" s="26"/>
      <c r="O58" s="26"/>
      <c r="P58" s="26" t="s">
        <v>48</v>
      </c>
      <c r="Q58" s="26" t="s">
        <v>48</v>
      </c>
      <c r="R58" s="26"/>
      <c r="S58" s="26"/>
      <c r="T58" s="26" t="s">
        <v>34</v>
      </c>
      <c r="U58" s="26"/>
      <c r="V58" s="26" t="s">
        <v>48</v>
      </c>
      <c r="W58" s="26"/>
      <c r="X58" s="26" t="s">
        <v>48</v>
      </c>
      <c r="Y58" s="26"/>
      <c r="Z58" s="26"/>
      <c r="AA58" s="26"/>
      <c r="AB58" s="26"/>
    </row>
    <row r="59" spans="1:29" ht="15.75" customHeight="1" x14ac:dyDescent="0.25">
      <c r="A59" s="26" t="s">
        <v>408</v>
      </c>
      <c r="B59" s="26" t="s">
        <v>409</v>
      </c>
      <c r="C59" s="26" t="s">
        <v>988</v>
      </c>
      <c r="D59" s="26" t="s">
        <v>905</v>
      </c>
      <c r="E59" s="26" t="s">
        <v>410</v>
      </c>
      <c r="F59" s="26" t="s">
        <v>989</v>
      </c>
      <c r="G59" s="26" t="s">
        <v>29</v>
      </c>
      <c r="H59" s="26" t="s">
        <v>411</v>
      </c>
      <c r="I59" s="26" t="s">
        <v>38</v>
      </c>
      <c r="J59" s="26"/>
      <c r="K59" s="26"/>
      <c r="L59" s="26" t="s">
        <v>117</v>
      </c>
      <c r="M59" s="26"/>
      <c r="N59" s="26"/>
      <c r="O59" s="26" t="s">
        <v>990</v>
      </c>
      <c r="P59" s="26" t="s">
        <v>29</v>
      </c>
      <c r="Q59" s="26" t="s">
        <v>38</v>
      </c>
      <c r="R59" s="26"/>
      <c r="S59" s="26"/>
      <c r="T59" s="26" t="s">
        <v>29</v>
      </c>
      <c r="U59" s="26" t="s">
        <v>281</v>
      </c>
      <c r="V59" s="26" t="s">
        <v>41</v>
      </c>
      <c r="W59" s="26"/>
      <c r="X59" s="26" t="s">
        <v>41</v>
      </c>
      <c r="Y59" s="26"/>
      <c r="Z59" s="26"/>
      <c r="AA59" s="26"/>
      <c r="AB59" s="26"/>
    </row>
    <row r="60" spans="1:29" ht="15.75" customHeight="1" x14ac:dyDescent="0.25">
      <c r="A60" s="26" t="s">
        <v>412</v>
      </c>
      <c r="B60" s="26" t="s">
        <v>413</v>
      </c>
      <c r="C60" s="26" t="s">
        <v>991</v>
      </c>
      <c r="D60" s="26"/>
      <c r="E60" s="26" t="s">
        <v>291</v>
      </c>
      <c r="F60" s="26" t="s">
        <v>992</v>
      </c>
      <c r="G60" s="26" t="s">
        <v>29</v>
      </c>
      <c r="H60" s="26" t="s">
        <v>414</v>
      </c>
      <c r="I60" s="26" t="s">
        <v>38</v>
      </c>
      <c r="J60" s="26" t="s">
        <v>993</v>
      </c>
      <c r="K60" s="26"/>
      <c r="L60" s="26" t="s">
        <v>117</v>
      </c>
      <c r="M60" s="26"/>
      <c r="N60" s="26"/>
      <c r="O60" s="26"/>
      <c r="P60" s="26" t="s">
        <v>29</v>
      </c>
      <c r="Q60" s="26" t="s">
        <v>38</v>
      </c>
      <c r="R60" s="26"/>
      <c r="S60" s="26"/>
      <c r="T60" s="26" t="s">
        <v>34</v>
      </c>
      <c r="U60" s="26"/>
      <c r="V60" s="26" t="s">
        <v>29</v>
      </c>
      <c r="W60" s="26" t="s">
        <v>414</v>
      </c>
      <c r="X60" s="26" t="s">
        <v>53</v>
      </c>
      <c r="Y60" s="26"/>
      <c r="Z60" s="26"/>
      <c r="AA60" s="26"/>
      <c r="AB60" s="26"/>
      <c r="AC60" s="6" t="s">
        <v>32</v>
      </c>
    </row>
    <row r="61" spans="1:29" ht="15.75" customHeight="1" x14ac:dyDescent="0.25">
      <c r="A61" s="26" t="s">
        <v>415</v>
      </c>
      <c r="B61" s="26" t="s">
        <v>416</v>
      </c>
      <c r="C61" s="26" t="s">
        <v>994</v>
      </c>
      <c r="D61" s="26" t="s">
        <v>812</v>
      </c>
      <c r="E61" s="26" t="s">
        <v>417</v>
      </c>
      <c r="F61" s="26" t="s">
        <v>995</v>
      </c>
      <c r="G61" s="26" t="s">
        <v>29</v>
      </c>
      <c r="H61" s="26" t="s">
        <v>418</v>
      </c>
      <c r="I61" s="26" t="s">
        <v>44</v>
      </c>
      <c r="J61" s="26" t="s">
        <v>996</v>
      </c>
      <c r="K61" s="26"/>
      <c r="L61" s="26" t="s">
        <v>117</v>
      </c>
      <c r="M61" s="26" t="s">
        <v>997</v>
      </c>
      <c r="N61" s="26" t="s">
        <v>184</v>
      </c>
      <c r="O61" s="26" t="s">
        <v>998</v>
      </c>
      <c r="P61" s="26" t="s">
        <v>29</v>
      </c>
      <c r="Q61" s="26" t="s">
        <v>44</v>
      </c>
      <c r="R61" s="26"/>
      <c r="S61" s="26"/>
      <c r="T61" s="26" t="s">
        <v>29</v>
      </c>
      <c r="U61" s="26" t="s">
        <v>419</v>
      </c>
      <c r="V61" s="26" t="s">
        <v>44</v>
      </c>
      <c r="W61" s="26"/>
      <c r="X61" s="26" t="s">
        <v>44</v>
      </c>
      <c r="Y61" s="26"/>
      <c r="Z61" s="26" t="s">
        <v>139</v>
      </c>
      <c r="AA61" s="26"/>
      <c r="AB61" s="26"/>
      <c r="AC61" s="6" t="s">
        <v>60</v>
      </c>
    </row>
    <row r="62" spans="1:29" ht="15.75" customHeight="1" x14ac:dyDescent="0.25">
      <c r="A62" s="26" t="s">
        <v>420</v>
      </c>
      <c r="B62" s="26" t="s">
        <v>421</v>
      </c>
      <c r="C62" s="26" t="s">
        <v>999</v>
      </c>
      <c r="D62" s="26" t="s">
        <v>833</v>
      </c>
      <c r="E62" s="26" t="s">
        <v>422</v>
      </c>
      <c r="F62" s="26" t="s">
        <v>1000</v>
      </c>
      <c r="G62" s="26" t="s">
        <v>29</v>
      </c>
      <c r="H62" s="26" t="s">
        <v>423</v>
      </c>
      <c r="I62" s="26" t="s">
        <v>29</v>
      </c>
      <c r="J62" s="26" t="s">
        <v>1001</v>
      </c>
      <c r="K62" s="26" t="s">
        <v>424</v>
      </c>
      <c r="L62" s="26" t="s">
        <v>117</v>
      </c>
      <c r="M62" s="26"/>
      <c r="N62" s="26"/>
      <c r="O62" s="26"/>
      <c r="P62" s="26" t="s">
        <v>29</v>
      </c>
      <c r="Q62" s="26" t="s">
        <v>29</v>
      </c>
      <c r="R62" s="26" t="s">
        <v>425</v>
      </c>
      <c r="S62" s="26" t="s">
        <v>825</v>
      </c>
      <c r="T62" s="26" t="s">
        <v>34</v>
      </c>
      <c r="U62" s="26"/>
      <c r="V62" s="26" t="s">
        <v>29</v>
      </c>
      <c r="W62" s="26" t="s">
        <v>426</v>
      </c>
      <c r="X62" s="26" t="s">
        <v>48</v>
      </c>
      <c r="Y62" s="26"/>
      <c r="Z62" s="26"/>
      <c r="AA62" s="26"/>
      <c r="AB62" s="26"/>
    </row>
    <row r="63" spans="1:29" ht="15.75" customHeight="1" x14ac:dyDescent="0.25">
      <c r="A63" s="26" t="s">
        <v>427</v>
      </c>
      <c r="B63" s="26" t="s">
        <v>428</v>
      </c>
      <c r="C63" s="26" t="s">
        <v>1002</v>
      </c>
      <c r="D63" s="26" t="s">
        <v>884</v>
      </c>
      <c r="E63" s="26" t="s">
        <v>371</v>
      </c>
      <c r="F63" s="26" t="s">
        <v>1003</v>
      </c>
      <c r="G63" s="26" t="s">
        <v>38</v>
      </c>
      <c r="H63" s="26"/>
      <c r="I63" s="26" t="s">
        <v>38</v>
      </c>
      <c r="J63" s="26" t="s">
        <v>1004</v>
      </c>
      <c r="K63" s="26"/>
      <c r="L63" s="26" t="s">
        <v>117</v>
      </c>
      <c r="M63" s="26"/>
      <c r="N63" s="26"/>
      <c r="O63" s="26"/>
      <c r="P63" s="26" t="s">
        <v>48</v>
      </c>
      <c r="Q63" s="26" t="s">
        <v>29</v>
      </c>
      <c r="R63" s="26"/>
      <c r="S63" s="26" t="s">
        <v>845</v>
      </c>
      <c r="T63" s="26" t="s">
        <v>29</v>
      </c>
      <c r="U63" s="26" t="s">
        <v>429</v>
      </c>
      <c r="V63" s="26" t="s">
        <v>29</v>
      </c>
      <c r="W63" s="26" t="s">
        <v>430</v>
      </c>
      <c r="X63" s="26" t="s">
        <v>29</v>
      </c>
      <c r="Y63" s="26" t="s">
        <v>431</v>
      </c>
      <c r="Z63" s="26"/>
      <c r="AA63" s="26"/>
      <c r="AB63" s="26"/>
      <c r="AC63" s="6" t="s">
        <v>60</v>
      </c>
    </row>
    <row r="64" spans="1:29" ht="15.75" customHeight="1" x14ac:dyDescent="0.25">
      <c r="A64" s="26" t="s">
        <v>432</v>
      </c>
      <c r="B64" s="26" t="s">
        <v>366</v>
      </c>
      <c r="C64" s="26" t="s">
        <v>1005</v>
      </c>
      <c r="D64" s="26" t="s">
        <v>884</v>
      </c>
      <c r="E64" s="26" t="s">
        <v>433</v>
      </c>
      <c r="F64" s="26" t="s">
        <v>1006</v>
      </c>
      <c r="G64" s="26" t="s">
        <v>29</v>
      </c>
      <c r="H64" s="26" t="s">
        <v>434</v>
      </c>
      <c r="I64" s="26" t="s">
        <v>44</v>
      </c>
      <c r="J64" s="26" t="s">
        <v>1007</v>
      </c>
      <c r="K64" s="26"/>
      <c r="L64" s="26" t="s">
        <v>117</v>
      </c>
      <c r="M64" s="26"/>
      <c r="N64" s="26"/>
      <c r="O64" s="26" t="s">
        <v>1008</v>
      </c>
      <c r="P64" s="26" t="s">
        <v>44</v>
      </c>
      <c r="Q64" s="26" t="s">
        <v>38</v>
      </c>
      <c r="R64" s="26"/>
      <c r="S64" s="26"/>
      <c r="T64" s="26" t="s">
        <v>34</v>
      </c>
      <c r="U64" s="26"/>
      <c r="V64" s="26" t="s">
        <v>38</v>
      </c>
      <c r="W64" s="26"/>
      <c r="X64" s="26" t="s">
        <v>29</v>
      </c>
      <c r="Y64" s="26" t="s">
        <v>368</v>
      </c>
      <c r="Z64" s="26"/>
      <c r="AA64" s="26"/>
      <c r="AB64" s="26"/>
      <c r="AC64" s="6" t="s">
        <v>60</v>
      </c>
    </row>
    <row r="65" spans="1:29" ht="15.75" customHeight="1" x14ac:dyDescent="0.25">
      <c r="A65" s="26" t="s">
        <v>435</v>
      </c>
      <c r="B65" s="26" t="s">
        <v>435</v>
      </c>
      <c r="C65" s="26" t="s">
        <v>1009</v>
      </c>
      <c r="D65" s="26" t="s">
        <v>1010</v>
      </c>
      <c r="E65" s="26" t="s">
        <v>235</v>
      </c>
      <c r="F65" s="26" t="s">
        <v>1011</v>
      </c>
      <c r="G65" s="26" t="s">
        <v>29</v>
      </c>
      <c r="H65" s="26" t="s">
        <v>436</v>
      </c>
      <c r="I65" s="26" t="s">
        <v>29</v>
      </c>
      <c r="J65" s="26" t="s">
        <v>1012</v>
      </c>
      <c r="K65" s="26" t="s">
        <v>437</v>
      </c>
      <c r="L65" s="26" t="s">
        <v>123</v>
      </c>
      <c r="M65" s="26"/>
      <c r="N65" s="26"/>
      <c r="O65" s="26"/>
      <c r="P65" s="26" t="s">
        <v>48</v>
      </c>
      <c r="Q65" s="26" t="s">
        <v>41</v>
      </c>
      <c r="R65" s="26"/>
      <c r="S65" s="26"/>
      <c r="T65" s="26" t="s">
        <v>34</v>
      </c>
      <c r="U65" s="26"/>
      <c r="V65" s="26" t="s">
        <v>41</v>
      </c>
      <c r="W65" s="26"/>
      <c r="X65" s="26" t="s">
        <v>38</v>
      </c>
      <c r="Y65" s="26"/>
      <c r="Z65" s="26"/>
      <c r="AA65" s="26"/>
      <c r="AB65" s="26"/>
      <c r="AC65" s="6" t="s">
        <v>32</v>
      </c>
    </row>
    <row r="66" spans="1:29" ht="15.75" customHeight="1" x14ac:dyDescent="0.25">
      <c r="A66" s="26" t="s">
        <v>438</v>
      </c>
      <c r="B66" s="26" t="s">
        <v>439</v>
      </c>
      <c r="C66" s="26" t="s">
        <v>1013</v>
      </c>
      <c r="D66" s="26" t="s">
        <v>812</v>
      </c>
      <c r="E66" s="26" t="s">
        <v>371</v>
      </c>
      <c r="F66" s="26" t="s">
        <v>1014</v>
      </c>
      <c r="G66" s="26" t="s">
        <v>48</v>
      </c>
      <c r="H66" s="26"/>
      <c r="I66" s="26" t="s">
        <v>48</v>
      </c>
      <c r="J66" s="26" t="s">
        <v>1015</v>
      </c>
      <c r="K66" s="26"/>
      <c r="L66" s="26" t="s">
        <v>117</v>
      </c>
      <c r="M66" s="26"/>
      <c r="N66" s="26"/>
      <c r="O66" s="26"/>
      <c r="P66" s="26" t="s">
        <v>48</v>
      </c>
      <c r="Q66" s="26" t="s">
        <v>29</v>
      </c>
      <c r="R66" s="26"/>
      <c r="S66" s="26" t="s">
        <v>825</v>
      </c>
      <c r="T66" s="26" t="s">
        <v>29</v>
      </c>
      <c r="U66" s="26" t="s">
        <v>440</v>
      </c>
      <c r="V66" s="26" t="s">
        <v>38</v>
      </c>
      <c r="W66" s="26"/>
      <c r="X66" s="26" t="s">
        <v>48</v>
      </c>
      <c r="Y66" s="26"/>
      <c r="Z66" s="26"/>
      <c r="AA66" s="26"/>
      <c r="AB66" s="26"/>
    </row>
    <row r="67" spans="1:29" ht="15.75" customHeight="1" x14ac:dyDescent="0.25">
      <c r="A67" s="26" t="s">
        <v>441</v>
      </c>
      <c r="B67" s="26" t="s">
        <v>196</v>
      </c>
      <c r="C67" s="26" t="s">
        <v>1016</v>
      </c>
      <c r="D67" s="26" t="s">
        <v>812</v>
      </c>
      <c r="E67" s="26" t="s">
        <v>132</v>
      </c>
      <c r="F67" s="26"/>
      <c r="G67" s="26" t="s">
        <v>38</v>
      </c>
      <c r="H67" s="26"/>
      <c r="I67" s="26" t="s">
        <v>44</v>
      </c>
      <c r="J67" s="26" t="s">
        <v>1017</v>
      </c>
      <c r="K67" s="26"/>
      <c r="L67" s="26" t="s">
        <v>117</v>
      </c>
      <c r="M67" s="26"/>
      <c r="N67" s="26"/>
      <c r="O67" s="26"/>
      <c r="P67" s="26" t="s">
        <v>48</v>
      </c>
      <c r="Q67" s="26" t="s">
        <v>41</v>
      </c>
      <c r="R67" s="26"/>
      <c r="S67" s="26"/>
      <c r="T67" s="26" t="s">
        <v>34</v>
      </c>
      <c r="U67" s="26"/>
      <c r="V67" s="26" t="s">
        <v>38</v>
      </c>
      <c r="W67" s="26"/>
      <c r="X67" s="26" t="s">
        <v>29</v>
      </c>
      <c r="Y67" s="26" t="s">
        <v>443</v>
      </c>
      <c r="Z67" s="26" t="s">
        <v>442</v>
      </c>
      <c r="AA67" s="26"/>
      <c r="AB67" s="26"/>
      <c r="AC67" s="6" t="s">
        <v>60</v>
      </c>
    </row>
    <row r="68" spans="1:29" ht="15.75" customHeight="1" x14ac:dyDescent="0.25">
      <c r="A68" s="26" t="s">
        <v>444</v>
      </c>
      <c r="B68" s="26" t="s">
        <v>445</v>
      </c>
      <c r="C68" s="26" t="s">
        <v>1018</v>
      </c>
      <c r="D68" s="26" t="s">
        <v>812</v>
      </c>
      <c r="E68" s="26" t="s">
        <v>151</v>
      </c>
      <c r="F68" s="26" t="s">
        <v>1019</v>
      </c>
      <c r="G68" s="26" t="s">
        <v>29</v>
      </c>
      <c r="H68" s="26" t="s">
        <v>446</v>
      </c>
      <c r="I68" s="26" t="s">
        <v>29</v>
      </c>
      <c r="J68" s="26" t="s">
        <v>1020</v>
      </c>
      <c r="K68" s="26" t="s">
        <v>447</v>
      </c>
      <c r="L68" s="26" t="s">
        <v>117</v>
      </c>
      <c r="M68" s="26"/>
      <c r="N68" s="26"/>
      <c r="O68" s="26" t="s">
        <v>1021</v>
      </c>
      <c r="P68" s="26" t="s">
        <v>29</v>
      </c>
      <c r="Q68" s="26" t="s">
        <v>44</v>
      </c>
      <c r="R68" s="26"/>
      <c r="S68" s="26"/>
      <c r="T68" s="26" t="s">
        <v>34</v>
      </c>
      <c r="U68" s="26"/>
      <c r="V68" s="26" t="s">
        <v>44</v>
      </c>
      <c r="W68" s="26"/>
      <c r="X68" s="26" t="s">
        <v>44</v>
      </c>
      <c r="Y68" s="26"/>
      <c r="Z68" s="26"/>
      <c r="AA68" s="26"/>
      <c r="AB68" s="26"/>
      <c r="AC68" s="6" t="s">
        <v>60</v>
      </c>
    </row>
    <row r="69" spans="1:29" ht="15.75" customHeight="1" x14ac:dyDescent="0.25">
      <c r="A69" s="26" t="s">
        <v>449</v>
      </c>
      <c r="B69" s="26" t="s">
        <v>450</v>
      </c>
      <c r="C69" s="26" t="s">
        <v>1022</v>
      </c>
      <c r="D69" s="26"/>
      <c r="E69" s="26" t="s">
        <v>451</v>
      </c>
      <c r="F69" s="26" t="s">
        <v>1023</v>
      </c>
      <c r="G69" s="26" t="s">
        <v>41</v>
      </c>
      <c r="H69" s="26"/>
      <c r="I69" s="26" t="s">
        <v>29</v>
      </c>
      <c r="J69" s="26" t="s">
        <v>1024</v>
      </c>
      <c r="K69" s="26" t="s">
        <v>452</v>
      </c>
      <c r="L69" s="26" t="s">
        <v>63</v>
      </c>
      <c r="M69" s="26"/>
      <c r="N69" s="26"/>
      <c r="O69" s="26"/>
      <c r="P69" s="26" t="s">
        <v>48</v>
      </c>
      <c r="Q69" s="26" t="s">
        <v>29</v>
      </c>
      <c r="R69" s="26" t="s">
        <v>453</v>
      </c>
      <c r="S69" s="26" t="s">
        <v>825</v>
      </c>
      <c r="T69" s="26" t="s">
        <v>29</v>
      </c>
      <c r="U69" s="26"/>
      <c r="V69" s="26" t="s">
        <v>29</v>
      </c>
      <c r="W69" s="26" t="s">
        <v>454</v>
      </c>
      <c r="X69" s="26" t="s">
        <v>48</v>
      </c>
      <c r="Y69" s="26"/>
      <c r="Z69" s="26"/>
      <c r="AA69" s="26"/>
      <c r="AB69" s="26"/>
      <c r="AC69" s="6" t="s">
        <v>60</v>
      </c>
    </row>
    <row r="70" spans="1:29" ht="15.75" customHeight="1" x14ac:dyDescent="0.25">
      <c r="A70" s="26" t="s">
        <v>455</v>
      </c>
      <c r="B70" s="26" t="s">
        <v>456</v>
      </c>
      <c r="C70" s="26" t="s">
        <v>1025</v>
      </c>
      <c r="D70" s="26" t="s">
        <v>812</v>
      </c>
      <c r="E70" s="26" t="s">
        <v>457</v>
      </c>
      <c r="F70" s="26" t="s">
        <v>1026</v>
      </c>
      <c r="G70" s="26" t="s">
        <v>38</v>
      </c>
      <c r="H70" s="26"/>
      <c r="I70" s="26" t="s">
        <v>38</v>
      </c>
      <c r="J70" s="26" t="s">
        <v>1027</v>
      </c>
      <c r="K70" s="26"/>
      <c r="L70" s="26" t="s">
        <v>117</v>
      </c>
      <c r="M70" s="26"/>
      <c r="N70" s="26"/>
      <c r="O70" s="26"/>
      <c r="P70" s="26" t="s">
        <v>48</v>
      </c>
      <c r="Q70" s="26" t="s">
        <v>38</v>
      </c>
      <c r="R70" s="26"/>
      <c r="S70" s="26"/>
      <c r="T70" s="26" t="s">
        <v>29</v>
      </c>
      <c r="U70" s="26" t="s">
        <v>458</v>
      </c>
      <c r="V70" s="26" t="s">
        <v>29</v>
      </c>
      <c r="W70" s="26" t="s">
        <v>459</v>
      </c>
      <c r="X70" s="26" t="s">
        <v>29</v>
      </c>
      <c r="Y70" s="26" t="s">
        <v>460</v>
      </c>
      <c r="Z70" s="26"/>
      <c r="AA70" s="26"/>
      <c r="AB70" s="26"/>
      <c r="AC70" s="6" t="s">
        <v>60</v>
      </c>
    </row>
    <row r="71" spans="1:29" ht="15.75" customHeight="1" x14ac:dyDescent="0.25">
      <c r="A71" s="26" t="s">
        <v>461</v>
      </c>
      <c r="B71" s="26" t="s">
        <v>462</v>
      </c>
      <c r="C71" s="26" t="s">
        <v>1028</v>
      </c>
      <c r="D71" s="26" t="s">
        <v>905</v>
      </c>
      <c r="E71" s="26" t="s">
        <v>463</v>
      </c>
      <c r="F71" s="26" t="s">
        <v>1029</v>
      </c>
      <c r="G71" s="26" t="s">
        <v>44</v>
      </c>
      <c r="H71" s="26"/>
      <c r="I71" s="26" t="s">
        <v>44</v>
      </c>
      <c r="J71" s="26"/>
      <c r="K71" s="26"/>
      <c r="L71" s="26" t="s">
        <v>63</v>
      </c>
      <c r="M71" s="26"/>
      <c r="N71" s="26"/>
      <c r="O71" s="26" t="s">
        <v>1030</v>
      </c>
      <c r="P71" s="26" t="s">
        <v>44</v>
      </c>
      <c r="Q71" s="26" t="s">
        <v>29</v>
      </c>
      <c r="R71" s="26" t="s">
        <v>464</v>
      </c>
      <c r="S71" s="26" t="s">
        <v>845</v>
      </c>
      <c r="T71" s="26" t="s">
        <v>34</v>
      </c>
      <c r="U71" s="26"/>
      <c r="V71" s="26" t="s">
        <v>48</v>
      </c>
      <c r="W71" s="26"/>
      <c r="X71" s="26" t="s">
        <v>29</v>
      </c>
      <c r="Y71" s="26" t="s">
        <v>465</v>
      </c>
      <c r="Z71" s="26"/>
      <c r="AA71" s="26"/>
      <c r="AB71" s="26"/>
      <c r="AC71" s="6" t="s">
        <v>60</v>
      </c>
    </row>
    <row r="72" spans="1:29" ht="15.75" customHeight="1" x14ac:dyDescent="0.25">
      <c r="A72" s="26" t="s">
        <v>466</v>
      </c>
      <c r="B72" s="26" t="s">
        <v>467</v>
      </c>
      <c r="C72" s="26" t="s">
        <v>1031</v>
      </c>
      <c r="D72" s="26"/>
      <c r="E72" s="26" t="s">
        <v>468</v>
      </c>
      <c r="F72" s="26" t="s">
        <v>1032</v>
      </c>
      <c r="G72" s="26" t="s">
        <v>29</v>
      </c>
      <c r="H72" s="26" t="s">
        <v>469</v>
      </c>
      <c r="I72" s="26" t="s">
        <v>29</v>
      </c>
      <c r="J72" s="26"/>
      <c r="K72" s="26" t="s">
        <v>470</v>
      </c>
      <c r="L72" s="26" t="s">
        <v>117</v>
      </c>
      <c r="M72" s="26"/>
      <c r="N72" s="26"/>
      <c r="O72" s="26" t="s">
        <v>1033</v>
      </c>
      <c r="P72" s="26" t="s">
        <v>29</v>
      </c>
      <c r="Q72" s="26" t="s">
        <v>38</v>
      </c>
      <c r="R72" s="26"/>
      <c r="S72" s="26"/>
      <c r="T72" s="26" t="s">
        <v>34</v>
      </c>
      <c r="U72" s="26"/>
      <c r="V72" s="26" t="s">
        <v>38</v>
      </c>
      <c r="W72" s="26"/>
      <c r="X72" s="26" t="s">
        <v>44</v>
      </c>
      <c r="Y72" s="26"/>
      <c r="Z72" s="26"/>
      <c r="AA72" s="26"/>
      <c r="AB72" s="26"/>
      <c r="AC72" s="6" t="s">
        <v>32</v>
      </c>
    </row>
    <row r="73" spans="1:29" ht="15.75" customHeight="1" x14ac:dyDescent="0.25">
      <c r="A73" s="26" t="s">
        <v>472</v>
      </c>
      <c r="B73" s="26" t="s">
        <v>473</v>
      </c>
      <c r="C73" s="26" t="s">
        <v>1034</v>
      </c>
      <c r="D73" s="26" t="s">
        <v>812</v>
      </c>
      <c r="E73" s="26" t="s">
        <v>474</v>
      </c>
      <c r="F73" s="26" t="s">
        <v>1035</v>
      </c>
      <c r="G73" s="26" t="s">
        <v>29</v>
      </c>
      <c r="H73" s="26" t="s">
        <v>475</v>
      </c>
      <c r="I73" s="26" t="s">
        <v>29</v>
      </c>
      <c r="J73" s="26"/>
      <c r="K73" s="26" t="s">
        <v>476</v>
      </c>
      <c r="L73" s="26" t="s">
        <v>117</v>
      </c>
      <c r="M73" s="26"/>
      <c r="N73" s="26"/>
      <c r="O73" s="26" t="s">
        <v>1036</v>
      </c>
      <c r="P73" s="26" t="s">
        <v>29</v>
      </c>
      <c r="Q73" s="26" t="s">
        <v>29</v>
      </c>
      <c r="R73" s="26" t="s">
        <v>477</v>
      </c>
      <c r="S73" s="26"/>
      <c r="T73" s="26" t="s">
        <v>38</v>
      </c>
      <c r="U73" s="26"/>
      <c r="V73" s="26" t="s">
        <v>41</v>
      </c>
      <c r="W73" s="26"/>
      <c r="X73" s="26" t="s">
        <v>29</v>
      </c>
      <c r="Y73" s="26" t="s">
        <v>478</v>
      </c>
      <c r="Z73" s="26" t="s">
        <v>242</v>
      </c>
      <c r="AA73" s="26"/>
      <c r="AB73" s="26"/>
      <c r="AC73" s="6" t="s">
        <v>32</v>
      </c>
    </row>
    <row r="74" spans="1:29" ht="15.75" customHeight="1" x14ac:dyDescent="0.25">
      <c r="A74" s="26" t="s">
        <v>480</v>
      </c>
      <c r="B74" s="26" t="s">
        <v>481</v>
      </c>
      <c r="C74" s="26" t="s">
        <v>1037</v>
      </c>
      <c r="D74" s="26" t="s">
        <v>1038</v>
      </c>
      <c r="E74" s="26" t="s">
        <v>482</v>
      </c>
      <c r="F74" s="26" t="s">
        <v>1039</v>
      </c>
      <c r="G74" s="26" t="s">
        <v>29</v>
      </c>
      <c r="H74" s="26" t="s">
        <v>483</v>
      </c>
      <c r="I74" s="26" t="s">
        <v>29</v>
      </c>
      <c r="J74" s="26" t="s">
        <v>1040</v>
      </c>
      <c r="K74" s="26" t="s">
        <v>483</v>
      </c>
      <c r="L74" s="26"/>
      <c r="M74" s="26"/>
      <c r="N74" s="26"/>
      <c r="O74" s="26"/>
      <c r="P74" s="26" t="s">
        <v>29</v>
      </c>
      <c r="Q74" s="26" t="s">
        <v>48</v>
      </c>
      <c r="R74" s="26"/>
      <c r="S74" s="26"/>
      <c r="T74" s="26" t="s">
        <v>29</v>
      </c>
      <c r="U74" s="26" t="s">
        <v>484</v>
      </c>
      <c r="V74" s="26" t="s">
        <v>29</v>
      </c>
      <c r="W74" s="26" t="s">
        <v>483</v>
      </c>
      <c r="X74" s="26" t="s">
        <v>29</v>
      </c>
      <c r="Y74" s="26" t="s">
        <v>485</v>
      </c>
      <c r="Z74" s="26"/>
      <c r="AA74" s="26"/>
      <c r="AB74" s="26"/>
      <c r="AC74" s="6" t="s">
        <v>32</v>
      </c>
    </row>
    <row r="75" spans="1:29" ht="15.75" customHeight="1" x14ac:dyDescent="0.25">
      <c r="A75" s="26" t="s">
        <v>486</v>
      </c>
      <c r="B75" s="26" t="s">
        <v>487</v>
      </c>
      <c r="C75" s="26" t="s">
        <v>1041</v>
      </c>
      <c r="D75" s="26" t="s">
        <v>812</v>
      </c>
      <c r="E75" s="26" t="s">
        <v>488</v>
      </c>
      <c r="F75" s="26" t="s">
        <v>1042</v>
      </c>
      <c r="G75" s="26" t="s">
        <v>29</v>
      </c>
      <c r="H75" s="26" t="s">
        <v>489</v>
      </c>
      <c r="I75" s="26" t="s">
        <v>38</v>
      </c>
      <c r="J75" s="26" t="s">
        <v>1043</v>
      </c>
      <c r="K75" s="26"/>
      <c r="L75" s="26" t="s">
        <v>117</v>
      </c>
      <c r="M75" s="26"/>
      <c r="N75" s="26"/>
      <c r="O75" s="26"/>
      <c r="P75" s="26" t="s">
        <v>29</v>
      </c>
      <c r="Q75" s="26" t="s">
        <v>29</v>
      </c>
      <c r="R75" s="26"/>
      <c r="S75" s="26" t="s">
        <v>825</v>
      </c>
      <c r="T75" s="26" t="s">
        <v>29</v>
      </c>
      <c r="U75" s="26" t="s">
        <v>490</v>
      </c>
      <c r="V75" s="26" t="s">
        <v>38</v>
      </c>
      <c r="W75" s="26" t="s">
        <v>491</v>
      </c>
      <c r="X75" s="26" t="s">
        <v>29</v>
      </c>
      <c r="Y75" s="26" t="s">
        <v>492</v>
      </c>
      <c r="Z75" s="26"/>
      <c r="AA75" s="26"/>
      <c r="AB75" s="26"/>
      <c r="AC75" s="6" t="s">
        <v>60</v>
      </c>
    </row>
    <row r="76" spans="1:29" ht="15.75" customHeight="1" x14ac:dyDescent="0.25">
      <c r="A76" s="26" t="s">
        <v>493</v>
      </c>
      <c r="B76" s="26" t="s">
        <v>166</v>
      </c>
      <c r="C76" s="26" t="s">
        <v>1044</v>
      </c>
      <c r="D76" s="26"/>
      <c r="E76" s="26" t="s">
        <v>275</v>
      </c>
      <c r="F76" s="26" t="s">
        <v>1045</v>
      </c>
      <c r="G76" s="26" t="s">
        <v>29</v>
      </c>
      <c r="H76" s="26" t="s">
        <v>171</v>
      </c>
      <c r="I76" s="26" t="s">
        <v>48</v>
      </c>
      <c r="J76" s="26"/>
      <c r="K76" s="26"/>
      <c r="L76" s="26" t="s">
        <v>117</v>
      </c>
      <c r="M76" s="26"/>
      <c r="N76" s="26"/>
      <c r="O76" s="26" t="s">
        <v>1046</v>
      </c>
      <c r="P76" s="26" t="s">
        <v>29</v>
      </c>
      <c r="Q76" s="26" t="s">
        <v>41</v>
      </c>
      <c r="R76" s="26"/>
      <c r="S76" s="26"/>
      <c r="T76" s="26" t="s">
        <v>34</v>
      </c>
      <c r="U76" s="26"/>
      <c r="V76" s="26" t="s">
        <v>29</v>
      </c>
      <c r="W76" s="26" t="s">
        <v>169</v>
      </c>
      <c r="X76" s="26" t="s">
        <v>29</v>
      </c>
      <c r="Y76" s="26" t="s">
        <v>170</v>
      </c>
      <c r="Z76" s="26" t="s">
        <v>242</v>
      </c>
      <c r="AA76" s="26"/>
      <c r="AB76" s="26"/>
      <c r="AC76" s="6" t="s">
        <v>32</v>
      </c>
    </row>
    <row r="77" spans="1:29" ht="15.75" customHeight="1" x14ac:dyDescent="0.25">
      <c r="A77" s="26" t="s">
        <v>494</v>
      </c>
      <c r="B77" s="26" t="s">
        <v>495</v>
      </c>
      <c r="C77" s="26" t="s">
        <v>1047</v>
      </c>
      <c r="D77" s="26" t="s">
        <v>812</v>
      </c>
      <c r="E77" s="26" t="s">
        <v>256</v>
      </c>
      <c r="F77" s="26" t="s">
        <v>1048</v>
      </c>
      <c r="G77" s="26" t="s">
        <v>29</v>
      </c>
      <c r="H77" s="26" t="s">
        <v>496</v>
      </c>
      <c r="I77" s="26" t="s">
        <v>44</v>
      </c>
      <c r="J77" s="26" t="s">
        <v>1049</v>
      </c>
      <c r="K77" s="26"/>
      <c r="L77" s="26" t="s">
        <v>117</v>
      </c>
      <c r="M77" s="26"/>
      <c r="N77" s="26"/>
      <c r="O77" s="26"/>
      <c r="P77" s="26" t="s">
        <v>48</v>
      </c>
      <c r="Q77" s="26" t="s">
        <v>29</v>
      </c>
      <c r="R77" s="26" t="s">
        <v>497</v>
      </c>
      <c r="S77" s="26" t="s">
        <v>845</v>
      </c>
      <c r="T77" s="26" t="s">
        <v>29</v>
      </c>
      <c r="U77" s="26" t="s">
        <v>498</v>
      </c>
      <c r="V77" s="26" t="s">
        <v>41</v>
      </c>
      <c r="W77" s="26"/>
      <c r="X77" s="26" t="s">
        <v>29</v>
      </c>
      <c r="Y77" s="26" t="s">
        <v>499</v>
      </c>
      <c r="Z77" s="26"/>
      <c r="AA77" s="26"/>
      <c r="AB77" s="26"/>
      <c r="AC77" s="6" t="s">
        <v>32</v>
      </c>
    </row>
    <row r="78" spans="1:29" ht="15.75" customHeight="1" x14ac:dyDescent="0.25">
      <c r="A78" s="26" t="s">
        <v>500</v>
      </c>
      <c r="B78" s="26" t="s">
        <v>501</v>
      </c>
      <c r="C78" s="26" t="s">
        <v>1050</v>
      </c>
      <c r="D78" s="26" t="s">
        <v>905</v>
      </c>
      <c r="E78" s="26" t="s">
        <v>256</v>
      </c>
      <c r="F78" s="26" t="s">
        <v>1051</v>
      </c>
      <c r="G78" s="26" t="s">
        <v>44</v>
      </c>
      <c r="H78" s="26"/>
      <c r="I78" s="26" t="s">
        <v>44</v>
      </c>
      <c r="J78" s="26"/>
      <c r="K78" s="26"/>
      <c r="L78" s="26" t="s">
        <v>63</v>
      </c>
      <c r="M78" s="26"/>
      <c r="N78" s="26"/>
      <c r="O78" s="26" t="s">
        <v>1052</v>
      </c>
      <c r="P78" s="26" t="s">
        <v>44</v>
      </c>
      <c r="Q78" s="26" t="s">
        <v>44</v>
      </c>
      <c r="R78" s="26"/>
      <c r="S78" s="26"/>
      <c r="T78" s="26" t="s">
        <v>34</v>
      </c>
      <c r="U78" s="26"/>
      <c r="V78" s="26" t="s">
        <v>29</v>
      </c>
      <c r="W78" s="26" t="s">
        <v>502</v>
      </c>
      <c r="X78" s="26" t="s">
        <v>44</v>
      </c>
      <c r="Y78" s="26"/>
      <c r="Z78" s="26"/>
      <c r="AA78" s="26"/>
      <c r="AB78" s="26"/>
    </row>
    <row r="79" spans="1:29" ht="15.75" customHeight="1" x14ac:dyDescent="0.25">
      <c r="A79" s="26" t="s">
        <v>503</v>
      </c>
      <c r="B79" s="26" t="s">
        <v>504</v>
      </c>
      <c r="C79" s="26" t="s">
        <v>1053</v>
      </c>
      <c r="D79" s="26" t="s">
        <v>898</v>
      </c>
      <c r="E79" s="26" t="s">
        <v>256</v>
      </c>
      <c r="F79" s="26" t="s">
        <v>1054</v>
      </c>
      <c r="G79" s="26" t="s">
        <v>29</v>
      </c>
      <c r="H79" s="26" t="s">
        <v>506</v>
      </c>
      <c r="I79" s="26" t="s">
        <v>38</v>
      </c>
      <c r="J79" s="26" t="s">
        <v>1055</v>
      </c>
      <c r="K79" s="26"/>
      <c r="L79" s="26" t="s">
        <v>117</v>
      </c>
      <c r="M79" s="26"/>
      <c r="N79" s="26"/>
      <c r="O79" s="26"/>
      <c r="P79" s="26" t="s">
        <v>29</v>
      </c>
      <c r="Q79" s="26" t="s">
        <v>41</v>
      </c>
      <c r="R79" s="26"/>
      <c r="S79" s="26"/>
      <c r="T79" s="26" t="s">
        <v>34</v>
      </c>
      <c r="U79" s="26"/>
      <c r="V79" s="26" t="s">
        <v>41</v>
      </c>
      <c r="W79" s="26"/>
      <c r="X79" s="26" t="s">
        <v>29</v>
      </c>
      <c r="Y79" s="26" t="s">
        <v>507</v>
      </c>
      <c r="Z79" s="26" t="s">
        <v>505</v>
      </c>
      <c r="AA79" s="26"/>
      <c r="AB79" s="26"/>
      <c r="AC79" s="6" t="s">
        <v>32</v>
      </c>
    </row>
    <row r="80" spans="1:29" ht="15.75" customHeight="1" x14ac:dyDescent="0.25">
      <c r="A80" s="26" t="s">
        <v>509</v>
      </c>
      <c r="B80" s="26" t="s">
        <v>509</v>
      </c>
      <c r="C80" s="26" t="s">
        <v>1056</v>
      </c>
      <c r="D80" s="26" t="s">
        <v>905</v>
      </c>
      <c r="E80" s="26" t="s">
        <v>510</v>
      </c>
      <c r="F80" s="26" t="s">
        <v>1057</v>
      </c>
      <c r="G80" s="26" t="s">
        <v>44</v>
      </c>
      <c r="H80" s="26"/>
      <c r="I80" s="26" t="s">
        <v>44</v>
      </c>
      <c r="J80" s="26"/>
      <c r="K80" s="26"/>
      <c r="L80" s="26" t="s">
        <v>63</v>
      </c>
      <c r="M80" s="26"/>
      <c r="N80" s="26"/>
      <c r="O80" s="26" t="s">
        <v>1058</v>
      </c>
      <c r="P80" s="26" t="s">
        <v>44</v>
      </c>
      <c r="Q80" s="26" t="s">
        <v>44</v>
      </c>
      <c r="R80" s="26"/>
      <c r="S80" s="26"/>
      <c r="T80" s="26" t="s">
        <v>34</v>
      </c>
      <c r="U80" s="26"/>
      <c r="V80" s="26" t="s">
        <v>44</v>
      </c>
      <c r="W80" s="26"/>
      <c r="X80" s="26" t="s">
        <v>44</v>
      </c>
      <c r="Y80" s="26"/>
      <c r="Z80" s="26" t="s">
        <v>139</v>
      </c>
      <c r="AA80" s="26"/>
      <c r="AB80" s="26"/>
    </row>
    <row r="81" spans="1:29" ht="15.75" customHeight="1" x14ac:dyDescent="0.25">
      <c r="A81" s="26" t="s">
        <v>511</v>
      </c>
      <c r="B81" s="26" t="s">
        <v>512</v>
      </c>
      <c r="C81" s="26" t="s">
        <v>1059</v>
      </c>
      <c r="D81" s="26" t="s">
        <v>884</v>
      </c>
      <c r="E81" s="26" t="s">
        <v>513</v>
      </c>
      <c r="F81" s="26" t="s">
        <v>1060</v>
      </c>
      <c r="G81" s="26" t="s">
        <v>29</v>
      </c>
      <c r="H81" s="26" t="s">
        <v>514</v>
      </c>
      <c r="I81" s="26" t="s">
        <v>29</v>
      </c>
      <c r="J81" s="26" t="s">
        <v>1061</v>
      </c>
      <c r="K81" s="26" t="s">
        <v>515</v>
      </c>
      <c r="L81" s="26" t="s">
        <v>117</v>
      </c>
      <c r="M81" s="26"/>
      <c r="N81" s="26" t="s">
        <v>76</v>
      </c>
      <c r="O81" s="26"/>
      <c r="P81" s="26" t="s">
        <v>29</v>
      </c>
      <c r="Q81" s="26" t="s">
        <v>41</v>
      </c>
      <c r="R81" s="26"/>
      <c r="S81" s="26"/>
      <c r="T81" s="26" t="s">
        <v>34</v>
      </c>
      <c r="U81" s="26"/>
      <c r="V81" s="26" t="s">
        <v>41</v>
      </c>
      <c r="W81" s="26"/>
      <c r="X81" s="26" t="s">
        <v>29</v>
      </c>
      <c r="Y81" s="26" t="s">
        <v>516</v>
      </c>
      <c r="Z81" s="26"/>
      <c r="AA81" s="26"/>
      <c r="AB81" s="26"/>
      <c r="AC81" s="6" t="s">
        <v>32</v>
      </c>
    </row>
    <row r="82" spans="1:29" ht="15.75" customHeight="1" x14ac:dyDescent="0.25">
      <c r="A82" s="26" t="s">
        <v>517</v>
      </c>
      <c r="B82" s="26" t="s">
        <v>518</v>
      </c>
      <c r="C82" s="26" t="s">
        <v>1062</v>
      </c>
      <c r="D82" s="26" t="s">
        <v>946</v>
      </c>
      <c r="E82" s="26" t="s">
        <v>235</v>
      </c>
      <c r="F82" s="26" t="s">
        <v>1063</v>
      </c>
      <c r="G82" s="26" t="s">
        <v>29</v>
      </c>
      <c r="H82" s="26" t="s">
        <v>519</v>
      </c>
      <c r="I82" s="26" t="s">
        <v>38</v>
      </c>
      <c r="J82" s="26"/>
      <c r="K82" s="26"/>
      <c r="L82" s="26" t="s">
        <v>123</v>
      </c>
      <c r="M82" s="26"/>
      <c r="N82" s="26"/>
      <c r="O82" s="26"/>
      <c r="P82" s="26" t="s">
        <v>29</v>
      </c>
      <c r="Q82" s="26" t="s">
        <v>41</v>
      </c>
      <c r="R82" s="26" t="s">
        <v>520</v>
      </c>
      <c r="S82" s="26"/>
      <c r="T82" s="26" t="s">
        <v>34</v>
      </c>
      <c r="U82" s="26"/>
      <c r="V82" s="26" t="s">
        <v>41</v>
      </c>
      <c r="W82" s="26"/>
      <c r="X82" s="26" t="s">
        <v>29</v>
      </c>
      <c r="Y82" s="26" t="s">
        <v>521</v>
      </c>
      <c r="Z82" s="26"/>
      <c r="AA82" s="26"/>
      <c r="AB82" s="26"/>
      <c r="AC82" s="6" t="s">
        <v>32</v>
      </c>
    </row>
    <row r="83" spans="1:29" ht="15.75" customHeight="1" x14ac:dyDescent="0.25">
      <c r="A83" s="26" t="s">
        <v>522</v>
      </c>
      <c r="B83" s="26" t="s">
        <v>523</v>
      </c>
      <c r="C83" s="26" t="s">
        <v>1064</v>
      </c>
      <c r="D83" s="26" t="s">
        <v>833</v>
      </c>
      <c r="E83" s="26" t="s">
        <v>371</v>
      </c>
      <c r="F83" s="26" t="s">
        <v>1065</v>
      </c>
      <c r="G83" s="26" t="s">
        <v>29</v>
      </c>
      <c r="H83" s="26" t="s">
        <v>524</v>
      </c>
      <c r="I83" s="26" t="s">
        <v>29</v>
      </c>
      <c r="J83" s="26" t="s">
        <v>1066</v>
      </c>
      <c r="K83" s="26" t="s">
        <v>525</v>
      </c>
      <c r="L83" s="26" t="s">
        <v>123</v>
      </c>
      <c r="M83" s="26"/>
      <c r="N83" s="26"/>
      <c r="O83" s="26"/>
      <c r="P83" s="26" t="s">
        <v>29</v>
      </c>
      <c r="Q83" s="26" t="s">
        <v>29</v>
      </c>
      <c r="R83" s="26" t="s">
        <v>526</v>
      </c>
      <c r="S83" s="26" t="s">
        <v>825</v>
      </c>
      <c r="T83" s="26" t="s">
        <v>29</v>
      </c>
      <c r="U83" s="26" t="s">
        <v>527</v>
      </c>
      <c r="V83" s="26" t="s">
        <v>38</v>
      </c>
      <c r="W83" s="26" t="s">
        <v>528</v>
      </c>
      <c r="X83" s="26" t="s">
        <v>29</v>
      </c>
      <c r="Y83" s="26" t="s">
        <v>529</v>
      </c>
      <c r="Z83" s="26"/>
      <c r="AA83" s="26"/>
      <c r="AB83" s="26"/>
      <c r="AC83" s="6" t="s">
        <v>32</v>
      </c>
    </row>
    <row r="84" spans="1:29" ht="15.75" customHeight="1" x14ac:dyDescent="0.25">
      <c r="A84" s="26" t="s">
        <v>531</v>
      </c>
      <c r="B84" s="26" t="s">
        <v>523</v>
      </c>
      <c r="C84" s="26" t="s">
        <v>1067</v>
      </c>
      <c r="D84" s="26" t="s">
        <v>833</v>
      </c>
      <c r="E84" s="26" t="s">
        <v>371</v>
      </c>
      <c r="F84" s="26" t="s">
        <v>1068</v>
      </c>
      <c r="G84" s="26" t="s">
        <v>29</v>
      </c>
      <c r="H84" s="26" t="s">
        <v>524</v>
      </c>
      <c r="I84" s="26" t="s">
        <v>29</v>
      </c>
      <c r="J84" s="26" t="s">
        <v>1066</v>
      </c>
      <c r="K84" s="26" t="s">
        <v>525</v>
      </c>
      <c r="L84" s="26" t="s">
        <v>123</v>
      </c>
      <c r="M84" s="26"/>
      <c r="N84" s="26"/>
      <c r="O84" s="26"/>
      <c r="P84" s="26" t="s">
        <v>29</v>
      </c>
      <c r="Q84" s="26" t="s">
        <v>29</v>
      </c>
      <c r="R84" s="26" t="s">
        <v>526</v>
      </c>
      <c r="S84" s="26" t="s">
        <v>825</v>
      </c>
      <c r="T84" s="26" t="s">
        <v>29</v>
      </c>
      <c r="U84" s="26" t="s">
        <v>532</v>
      </c>
      <c r="V84" s="26" t="s">
        <v>38</v>
      </c>
      <c r="W84" s="26" t="s">
        <v>528</v>
      </c>
      <c r="X84" s="26" t="s">
        <v>29</v>
      </c>
      <c r="Y84" s="26" t="s">
        <v>529</v>
      </c>
      <c r="Z84" s="26"/>
      <c r="AA84" s="26"/>
      <c r="AB84" s="26"/>
      <c r="AC84" s="6" t="s">
        <v>32</v>
      </c>
    </row>
    <row r="85" spans="1:29" ht="15.75" customHeight="1" x14ac:dyDescent="0.25">
      <c r="A85" s="26" t="s">
        <v>533</v>
      </c>
      <c r="B85" s="26" t="s">
        <v>523</v>
      </c>
      <c r="C85" s="26" t="s">
        <v>1069</v>
      </c>
      <c r="D85" s="26" t="s">
        <v>833</v>
      </c>
      <c r="E85" s="26" t="s">
        <v>371</v>
      </c>
      <c r="F85" s="26" t="s">
        <v>1070</v>
      </c>
      <c r="G85" s="26" t="s">
        <v>29</v>
      </c>
      <c r="H85" s="26" t="s">
        <v>524</v>
      </c>
      <c r="I85" s="26" t="s">
        <v>29</v>
      </c>
      <c r="J85" s="26" t="s">
        <v>1066</v>
      </c>
      <c r="K85" s="26" t="s">
        <v>534</v>
      </c>
      <c r="L85" s="26" t="s">
        <v>123</v>
      </c>
      <c r="M85" s="26"/>
      <c r="N85" s="26"/>
      <c r="O85" s="26"/>
      <c r="P85" s="26" t="s">
        <v>29</v>
      </c>
      <c r="Q85" s="26" t="s">
        <v>29</v>
      </c>
      <c r="R85" s="26" t="s">
        <v>526</v>
      </c>
      <c r="S85" s="26" t="s">
        <v>825</v>
      </c>
      <c r="T85" s="26" t="s">
        <v>29</v>
      </c>
      <c r="U85" s="26" t="s">
        <v>535</v>
      </c>
      <c r="V85" s="26" t="s">
        <v>38</v>
      </c>
      <c r="W85" s="26" t="s">
        <v>528</v>
      </c>
      <c r="X85" s="26" t="s">
        <v>29</v>
      </c>
      <c r="Y85" s="26" t="s">
        <v>529</v>
      </c>
      <c r="Z85" s="26"/>
      <c r="AA85" s="26"/>
      <c r="AB85" s="26"/>
      <c r="AC85" s="6" t="s">
        <v>32</v>
      </c>
    </row>
    <row r="86" spans="1:29" ht="15.75" customHeight="1" x14ac:dyDescent="0.25">
      <c r="A86" s="26" t="s">
        <v>536</v>
      </c>
      <c r="B86" s="26" t="s">
        <v>537</v>
      </c>
      <c r="C86" s="26" t="s">
        <v>1071</v>
      </c>
      <c r="D86" s="26" t="s">
        <v>812</v>
      </c>
      <c r="E86" s="26" t="s">
        <v>235</v>
      </c>
      <c r="F86" s="26" t="s">
        <v>1072</v>
      </c>
      <c r="G86" s="26" t="s">
        <v>38</v>
      </c>
      <c r="H86" s="26" t="s">
        <v>538</v>
      </c>
      <c r="I86" s="26" t="s">
        <v>29</v>
      </c>
      <c r="J86" s="26"/>
      <c r="K86" s="26" t="s">
        <v>539</v>
      </c>
      <c r="L86" s="26" t="s">
        <v>63</v>
      </c>
      <c r="M86" s="26"/>
      <c r="N86" s="26"/>
      <c r="O86" s="26" t="s">
        <v>1073</v>
      </c>
      <c r="P86" s="26" t="s">
        <v>41</v>
      </c>
      <c r="Q86" s="26" t="s">
        <v>29</v>
      </c>
      <c r="R86" s="26" t="s">
        <v>540</v>
      </c>
      <c r="S86" s="26"/>
      <c r="T86" s="26" t="s">
        <v>34</v>
      </c>
      <c r="U86" s="26"/>
      <c r="V86" s="26" t="s">
        <v>29</v>
      </c>
      <c r="W86" s="26" t="s">
        <v>541</v>
      </c>
      <c r="X86" s="26" t="s">
        <v>29</v>
      </c>
      <c r="Y86" s="26" t="s">
        <v>542</v>
      </c>
      <c r="Z86" s="26"/>
      <c r="AA86" s="26"/>
      <c r="AB86" s="26"/>
      <c r="AC86" s="6" t="s">
        <v>60</v>
      </c>
    </row>
    <row r="87" spans="1:29" ht="15.75" customHeight="1" x14ac:dyDescent="0.25">
      <c r="A87" s="26" t="s">
        <v>544</v>
      </c>
      <c r="B87" s="26" t="s">
        <v>545</v>
      </c>
      <c r="C87" s="26" t="s">
        <v>1074</v>
      </c>
      <c r="D87" s="26" t="s">
        <v>864</v>
      </c>
      <c r="E87" s="26" t="s">
        <v>132</v>
      </c>
      <c r="F87" s="26" t="s">
        <v>1075</v>
      </c>
      <c r="G87" s="26" t="s">
        <v>29</v>
      </c>
      <c r="H87" s="26" t="s">
        <v>546</v>
      </c>
      <c r="I87" s="26" t="s">
        <v>29</v>
      </c>
      <c r="J87" s="26" t="s">
        <v>1076</v>
      </c>
      <c r="K87" s="26"/>
      <c r="L87" s="26" t="s">
        <v>184</v>
      </c>
      <c r="M87" s="26"/>
      <c r="N87" s="26"/>
      <c r="O87" s="26"/>
      <c r="P87" s="26" t="s">
        <v>48</v>
      </c>
      <c r="Q87" s="26" t="s">
        <v>41</v>
      </c>
      <c r="R87" s="26"/>
      <c r="S87" s="26"/>
      <c r="T87" s="26" t="s">
        <v>34</v>
      </c>
      <c r="U87" s="26"/>
      <c r="V87" s="26" t="s">
        <v>41</v>
      </c>
      <c r="W87" s="26"/>
      <c r="X87" s="26" t="s">
        <v>41</v>
      </c>
      <c r="Y87" s="26"/>
      <c r="Z87" s="26"/>
      <c r="AA87" s="26"/>
      <c r="AB87" s="26"/>
    </row>
    <row r="88" spans="1:29" ht="15.75" customHeight="1" x14ac:dyDescent="0.25">
      <c r="A88" s="26" t="s">
        <v>547</v>
      </c>
      <c r="B88" s="26" t="s">
        <v>548</v>
      </c>
      <c r="C88" s="26" t="s">
        <v>1077</v>
      </c>
      <c r="D88" s="26" t="s">
        <v>812</v>
      </c>
      <c r="E88" s="26" t="s">
        <v>549</v>
      </c>
      <c r="F88" s="26" t="s">
        <v>1078</v>
      </c>
      <c r="G88" s="26" t="s">
        <v>29</v>
      </c>
      <c r="H88" s="26" t="s">
        <v>550</v>
      </c>
      <c r="I88" s="26" t="s">
        <v>38</v>
      </c>
      <c r="J88" s="26" t="s">
        <v>1079</v>
      </c>
      <c r="K88" s="26"/>
      <c r="L88" s="26" t="s">
        <v>117</v>
      </c>
      <c r="M88" s="26"/>
      <c r="N88" s="26"/>
      <c r="O88" s="26"/>
      <c r="P88" s="26" t="s">
        <v>29</v>
      </c>
      <c r="Q88" s="26" t="s">
        <v>29</v>
      </c>
      <c r="R88" s="26" t="s">
        <v>551</v>
      </c>
      <c r="S88" s="26" t="s">
        <v>825</v>
      </c>
      <c r="T88" s="26" t="s">
        <v>29</v>
      </c>
      <c r="U88" s="26" t="s">
        <v>552</v>
      </c>
      <c r="V88" s="26" t="s">
        <v>29</v>
      </c>
      <c r="W88" s="26" t="s">
        <v>553</v>
      </c>
      <c r="X88" s="26" t="s">
        <v>29</v>
      </c>
      <c r="Y88" s="26" t="s">
        <v>554</v>
      </c>
      <c r="Z88" s="26"/>
      <c r="AA88" s="26"/>
      <c r="AB88" s="26"/>
      <c r="AC88" s="6" t="s">
        <v>32</v>
      </c>
    </row>
    <row r="89" spans="1:29" ht="15.75" customHeight="1" x14ac:dyDescent="0.25">
      <c r="A89" s="26" t="s">
        <v>556</v>
      </c>
      <c r="B89" s="26" t="s">
        <v>557</v>
      </c>
      <c r="C89" s="26" t="s">
        <v>1080</v>
      </c>
      <c r="D89" s="26"/>
      <c r="E89" s="26" t="s">
        <v>151</v>
      </c>
      <c r="F89" s="26" t="s">
        <v>1081</v>
      </c>
      <c r="G89" s="26" t="s">
        <v>41</v>
      </c>
      <c r="H89" s="26"/>
      <c r="I89" s="26" t="s">
        <v>41</v>
      </c>
      <c r="J89" s="26" t="s">
        <v>1082</v>
      </c>
      <c r="K89" s="26"/>
      <c r="L89" s="26" t="s">
        <v>117</v>
      </c>
      <c r="M89" s="26"/>
      <c r="N89" s="26"/>
      <c r="O89" s="26"/>
      <c r="P89" s="26" t="s">
        <v>48</v>
      </c>
      <c r="Q89" s="26" t="s">
        <v>48</v>
      </c>
      <c r="R89" s="26"/>
      <c r="S89" s="26"/>
      <c r="T89" s="26" t="s">
        <v>34</v>
      </c>
      <c r="U89" s="26"/>
      <c r="V89" s="26" t="s">
        <v>41</v>
      </c>
      <c r="W89" s="26"/>
      <c r="X89" s="26" t="s">
        <v>53</v>
      </c>
      <c r="Y89" s="26"/>
      <c r="Z89" s="26"/>
      <c r="AA89" s="26"/>
      <c r="AB89" s="26"/>
    </row>
    <row r="90" spans="1:29" ht="15.75" customHeight="1" x14ac:dyDescent="0.25">
      <c r="A90" s="26" t="s">
        <v>558</v>
      </c>
      <c r="B90" s="26" t="s">
        <v>559</v>
      </c>
      <c r="C90" s="26" t="s">
        <v>563</v>
      </c>
      <c r="D90" s="26" t="s">
        <v>946</v>
      </c>
      <c r="E90" s="26" t="s">
        <v>560</v>
      </c>
      <c r="F90" s="26" t="s">
        <v>1083</v>
      </c>
      <c r="G90" s="26" t="s">
        <v>29</v>
      </c>
      <c r="H90" s="26" t="s">
        <v>561</v>
      </c>
      <c r="I90" s="26" t="s">
        <v>29</v>
      </c>
      <c r="J90" s="26" t="s">
        <v>1084</v>
      </c>
      <c r="K90" s="26"/>
      <c r="L90" s="26" t="s">
        <v>117</v>
      </c>
      <c r="M90" s="26"/>
      <c r="N90" s="26"/>
      <c r="O90" s="26"/>
      <c r="P90" s="26" t="s">
        <v>48</v>
      </c>
      <c r="Q90" s="26" t="s">
        <v>44</v>
      </c>
      <c r="R90" s="26"/>
      <c r="S90" s="26"/>
      <c r="T90" s="26" t="s">
        <v>29</v>
      </c>
      <c r="U90" s="26" t="s">
        <v>562</v>
      </c>
      <c r="V90" s="26" t="s">
        <v>29</v>
      </c>
      <c r="W90" s="26" t="s">
        <v>563</v>
      </c>
      <c r="X90" s="26" t="s">
        <v>53</v>
      </c>
      <c r="Y90" s="26"/>
      <c r="Z90" s="26"/>
      <c r="AA90" s="26"/>
      <c r="AB90" s="26"/>
      <c r="AC90" s="6" t="s">
        <v>32</v>
      </c>
    </row>
    <row r="91" spans="1:29" ht="15.75" customHeight="1" x14ac:dyDescent="0.25">
      <c r="A91" s="26" t="s">
        <v>564</v>
      </c>
      <c r="B91" s="26" t="s">
        <v>523</v>
      </c>
      <c r="C91" s="26" t="s">
        <v>1085</v>
      </c>
      <c r="D91" s="26" t="s">
        <v>833</v>
      </c>
      <c r="E91" s="26" t="s">
        <v>122</v>
      </c>
      <c r="F91" s="26" t="s">
        <v>1086</v>
      </c>
      <c r="G91" s="26" t="s">
        <v>29</v>
      </c>
      <c r="H91" s="26" t="s">
        <v>524</v>
      </c>
      <c r="I91" s="26" t="s">
        <v>29</v>
      </c>
      <c r="J91" s="26"/>
      <c r="K91" s="26" t="s">
        <v>525</v>
      </c>
      <c r="L91" s="26" t="s">
        <v>123</v>
      </c>
      <c r="M91" s="26"/>
      <c r="N91" s="26"/>
      <c r="O91" s="26" t="s">
        <v>1087</v>
      </c>
      <c r="P91" s="26" t="s">
        <v>29</v>
      </c>
      <c r="Q91" s="26" t="s">
        <v>29</v>
      </c>
      <c r="R91" s="26" t="s">
        <v>526</v>
      </c>
      <c r="S91" s="26" t="s">
        <v>845</v>
      </c>
      <c r="T91" s="26" t="s">
        <v>34</v>
      </c>
      <c r="U91" s="26"/>
      <c r="V91" s="26" t="s">
        <v>38</v>
      </c>
      <c r="W91" s="26"/>
      <c r="X91" s="26" t="s">
        <v>29</v>
      </c>
      <c r="Y91" s="26" t="s">
        <v>529</v>
      </c>
      <c r="Z91" s="26" t="s">
        <v>242</v>
      </c>
      <c r="AA91" s="26"/>
      <c r="AB91" s="26"/>
      <c r="AC91" s="6" t="s">
        <v>32</v>
      </c>
    </row>
    <row r="92" spans="1:29" ht="15.75" customHeight="1" x14ac:dyDescent="0.25">
      <c r="A92" s="26" t="s">
        <v>565</v>
      </c>
      <c r="B92" s="26" t="s">
        <v>115</v>
      </c>
      <c r="C92" s="26" t="s">
        <v>1088</v>
      </c>
      <c r="D92" s="26" t="s">
        <v>812</v>
      </c>
      <c r="E92" s="26" t="s">
        <v>566</v>
      </c>
      <c r="F92" s="26" t="s">
        <v>1089</v>
      </c>
      <c r="G92" s="26" t="s">
        <v>29</v>
      </c>
      <c r="H92" s="26" t="s">
        <v>568</v>
      </c>
      <c r="I92" s="26" t="s">
        <v>41</v>
      </c>
      <c r="J92" s="26" t="s">
        <v>1090</v>
      </c>
      <c r="K92" s="26"/>
      <c r="L92" s="26" t="s">
        <v>117</v>
      </c>
      <c r="M92" s="26"/>
      <c r="N92" s="26"/>
      <c r="O92" s="26"/>
      <c r="P92" s="26" t="s">
        <v>48</v>
      </c>
      <c r="Q92" s="26" t="s">
        <v>38</v>
      </c>
      <c r="R92" s="26" t="s">
        <v>569</v>
      </c>
      <c r="S92" s="26"/>
      <c r="T92" s="26" t="s">
        <v>29</v>
      </c>
      <c r="U92" s="26" t="s">
        <v>570</v>
      </c>
      <c r="V92" s="26" t="s">
        <v>29</v>
      </c>
      <c r="W92" s="26" t="s">
        <v>569</v>
      </c>
      <c r="X92" s="26" t="s">
        <v>29</v>
      </c>
      <c r="Y92" s="26" t="s">
        <v>571</v>
      </c>
      <c r="Z92" s="26" t="s">
        <v>567</v>
      </c>
      <c r="AA92" s="26"/>
      <c r="AB92" s="26"/>
      <c r="AC92" s="6" t="s">
        <v>60</v>
      </c>
    </row>
    <row r="93" spans="1:29" ht="15.75" customHeight="1" x14ac:dyDescent="0.25">
      <c r="A93" s="26" t="s">
        <v>572</v>
      </c>
      <c r="B93" s="26" t="s">
        <v>573</v>
      </c>
      <c r="C93" s="26" t="s">
        <v>1091</v>
      </c>
      <c r="D93" s="26" t="s">
        <v>833</v>
      </c>
      <c r="E93" s="26" t="s">
        <v>371</v>
      </c>
      <c r="F93" s="26" t="s">
        <v>1092</v>
      </c>
      <c r="G93" s="26" t="s">
        <v>41</v>
      </c>
      <c r="H93" s="26"/>
      <c r="I93" s="26" t="s">
        <v>41</v>
      </c>
      <c r="J93" s="26" t="s">
        <v>1093</v>
      </c>
      <c r="K93" s="26"/>
      <c r="L93" s="26" t="s">
        <v>63</v>
      </c>
      <c r="M93" s="26"/>
      <c r="N93" s="26"/>
      <c r="O93" s="26"/>
      <c r="P93" s="26" t="s">
        <v>48</v>
      </c>
      <c r="Q93" s="26" t="s">
        <v>29</v>
      </c>
      <c r="R93" s="26" t="s">
        <v>574</v>
      </c>
      <c r="S93" s="26" t="s">
        <v>825</v>
      </c>
      <c r="T93" s="26" t="s">
        <v>29</v>
      </c>
      <c r="U93" s="26" t="s">
        <v>575</v>
      </c>
      <c r="V93" s="26" t="s">
        <v>38</v>
      </c>
      <c r="W93" s="26"/>
      <c r="X93" s="26" t="s">
        <v>29</v>
      </c>
      <c r="Y93" s="26" t="s">
        <v>576</v>
      </c>
      <c r="Z93" s="26"/>
      <c r="AA93" s="26"/>
      <c r="AB93" s="26"/>
    </row>
    <row r="94" spans="1:29" ht="15.75" customHeight="1" x14ac:dyDescent="0.25">
      <c r="A94" s="26" t="s">
        <v>577</v>
      </c>
      <c r="B94" s="26" t="s">
        <v>578</v>
      </c>
      <c r="C94" s="26" t="s">
        <v>1094</v>
      </c>
      <c r="D94" s="26" t="s">
        <v>833</v>
      </c>
      <c r="E94" s="26" t="s">
        <v>579</v>
      </c>
      <c r="F94" s="26" t="s">
        <v>1095</v>
      </c>
      <c r="G94" s="26" t="s">
        <v>29</v>
      </c>
      <c r="H94" s="26" t="s">
        <v>580</v>
      </c>
      <c r="I94" s="26" t="s">
        <v>38</v>
      </c>
      <c r="J94" s="26" t="s">
        <v>1096</v>
      </c>
      <c r="K94" s="26"/>
      <c r="L94" s="26" t="s">
        <v>184</v>
      </c>
      <c r="M94" s="26"/>
      <c r="N94" s="26"/>
      <c r="O94" s="26"/>
      <c r="P94" s="26" t="s">
        <v>29</v>
      </c>
      <c r="Q94" s="26" t="s">
        <v>41</v>
      </c>
      <c r="R94" s="26"/>
      <c r="S94" s="26"/>
      <c r="T94" s="26" t="s">
        <v>41</v>
      </c>
      <c r="U94" s="26"/>
      <c r="V94" s="26" t="s">
        <v>29</v>
      </c>
      <c r="W94" s="26" t="s">
        <v>581</v>
      </c>
      <c r="X94" s="26" t="s">
        <v>29</v>
      </c>
      <c r="Y94" s="26" t="s">
        <v>582</v>
      </c>
      <c r="Z94" s="26"/>
      <c r="AA94" s="26"/>
      <c r="AB94" s="26"/>
      <c r="AC94" s="6" t="s">
        <v>32</v>
      </c>
    </row>
    <row r="95" spans="1:29" ht="15.75" customHeight="1" x14ac:dyDescent="0.25">
      <c r="A95" s="26" t="s">
        <v>584</v>
      </c>
      <c r="B95" s="26" t="s">
        <v>585</v>
      </c>
      <c r="C95" s="26" t="s">
        <v>1097</v>
      </c>
      <c r="D95" s="26" t="s">
        <v>812</v>
      </c>
      <c r="E95" s="26" t="s">
        <v>586</v>
      </c>
      <c r="F95" s="26" t="s">
        <v>1098</v>
      </c>
      <c r="G95" s="26" t="s">
        <v>38</v>
      </c>
      <c r="H95" s="26"/>
      <c r="I95" s="26" t="s">
        <v>44</v>
      </c>
      <c r="J95" s="26"/>
      <c r="K95" s="26"/>
      <c r="L95" s="26" t="s">
        <v>184</v>
      </c>
      <c r="M95" s="26" t="s">
        <v>1099</v>
      </c>
      <c r="N95" s="26"/>
      <c r="O95" s="26" t="s">
        <v>1100</v>
      </c>
      <c r="P95" s="26" t="s">
        <v>29</v>
      </c>
      <c r="Q95" s="26" t="s">
        <v>44</v>
      </c>
      <c r="R95" s="26"/>
      <c r="S95" s="26"/>
      <c r="T95" s="26" t="s">
        <v>34</v>
      </c>
      <c r="U95" s="26"/>
      <c r="V95" s="26" t="s">
        <v>44</v>
      </c>
      <c r="W95" s="26"/>
      <c r="X95" s="26" t="s">
        <v>38</v>
      </c>
      <c r="Y95" s="26"/>
      <c r="Z95" s="26" t="s">
        <v>387</v>
      </c>
      <c r="AA95" s="26"/>
      <c r="AB95" s="26"/>
      <c r="AC95" s="6" t="s">
        <v>60</v>
      </c>
    </row>
    <row r="96" spans="1:29" ht="15.75" customHeight="1" x14ac:dyDescent="0.25">
      <c r="A96" s="26" t="s">
        <v>588</v>
      </c>
      <c r="B96" s="26" t="s">
        <v>589</v>
      </c>
      <c r="C96" s="26" t="s">
        <v>1101</v>
      </c>
      <c r="D96" s="26" t="s">
        <v>812</v>
      </c>
      <c r="E96" s="26" t="s">
        <v>371</v>
      </c>
      <c r="F96" s="26" t="s">
        <v>1102</v>
      </c>
      <c r="G96" s="26" t="s">
        <v>29</v>
      </c>
      <c r="H96" s="26" t="s">
        <v>590</v>
      </c>
      <c r="I96" s="26" t="s">
        <v>48</v>
      </c>
      <c r="J96" s="26" t="s">
        <v>1103</v>
      </c>
      <c r="K96" s="26"/>
      <c r="L96" s="26" t="s">
        <v>117</v>
      </c>
      <c r="M96" s="26"/>
      <c r="N96" s="26"/>
      <c r="O96" s="26"/>
      <c r="P96" s="26" t="s">
        <v>48</v>
      </c>
      <c r="Q96" s="26" t="s">
        <v>29</v>
      </c>
      <c r="R96" s="26" t="s">
        <v>591</v>
      </c>
      <c r="S96" s="26" t="s">
        <v>825</v>
      </c>
      <c r="T96" s="26" t="s">
        <v>29</v>
      </c>
      <c r="U96" s="26" t="s">
        <v>592</v>
      </c>
      <c r="V96" s="26" t="s">
        <v>29</v>
      </c>
      <c r="W96" s="26" t="s">
        <v>593</v>
      </c>
      <c r="X96" s="26" t="s">
        <v>29</v>
      </c>
      <c r="Y96" s="26" t="s">
        <v>594</v>
      </c>
      <c r="Z96" s="26"/>
      <c r="AA96" s="26"/>
      <c r="AB96" s="26"/>
      <c r="AC96" s="6" t="s">
        <v>60</v>
      </c>
    </row>
    <row r="97" spans="1:29" ht="15.75" customHeight="1" x14ac:dyDescent="0.25">
      <c r="A97" s="26" t="s">
        <v>595</v>
      </c>
      <c r="B97" s="26" t="s">
        <v>596</v>
      </c>
      <c r="C97" s="26" t="s">
        <v>1104</v>
      </c>
      <c r="D97" s="26" t="s">
        <v>898</v>
      </c>
      <c r="E97" s="26" t="s">
        <v>597</v>
      </c>
      <c r="F97" s="26" t="s">
        <v>1105</v>
      </c>
      <c r="G97" s="26" t="s">
        <v>41</v>
      </c>
      <c r="H97" s="26"/>
      <c r="I97" s="26" t="s">
        <v>44</v>
      </c>
      <c r="J97" s="26" t="s">
        <v>1106</v>
      </c>
      <c r="K97" s="26"/>
      <c r="L97" s="26" t="s">
        <v>63</v>
      </c>
      <c r="M97" s="26"/>
      <c r="N97" s="26" t="s">
        <v>76</v>
      </c>
      <c r="O97" s="26"/>
      <c r="P97" s="26" t="s">
        <v>44</v>
      </c>
      <c r="Q97" s="26" t="s">
        <v>44</v>
      </c>
      <c r="R97" s="26"/>
      <c r="S97" s="26"/>
      <c r="T97" s="26" t="s">
        <v>34</v>
      </c>
      <c r="U97" s="26"/>
      <c r="V97" s="26" t="s">
        <v>41</v>
      </c>
      <c r="W97" s="26"/>
      <c r="X97" s="26" t="s">
        <v>29</v>
      </c>
      <c r="Y97" s="26" t="s">
        <v>598</v>
      </c>
      <c r="Z97" s="26"/>
      <c r="AA97" s="26"/>
      <c r="AB97" s="26"/>
    </row>
    <row r="98" spans="1:29" ht="15.75" customHeight="1" x14ac:dyDescent="0.25">
      <c r="A98" s="26" t="s">
        <v>599</v>
      </c>
      <c r="B98" s="26" t="s">
        <v>600</v>
      </c>
      <c r="C98" s="26" t="s">
        <v>1107</v>
      </c>
      <c r="D98" s="26" t="s">
        <v>812</v>
      </c>
      <c r="E98" s="26" t="s">
        <v>601</v>
      </c>
      <c r="F98" s="26" t="s">
        <v>1108</v>
      </c>
      <c r="G98" s="26" t="s">
        <v>29</v>
      </c>
      <c r="H98" s="26" t="s">
        <v>602</v>
      </c>
      <c r="I98" s="26" t="s">
        <v>29</v>
      </c>
      <c r="J98" s="26"/>
      <c r="K98" s="26" t="s">
        <v>603</v>
      </c>
      <c r="L98" s="26" t="s">
        <v>117</v>
      </c>
      <c r="M98" s="26"/>
      <c r="N98" s="26"/>
      <c r="O98" s="26" t="s">
        <v>1109</v>
      </c>
      <c r="P98" s="26" t="s">
        <v>48</v>
      </c>
      <c r="Q98" s="26" t="s">
        <v>38</v>
      </c>
      <c r="R98" s="26"/>
      <c r="S98" s="26"/>
      <c r="T98" s="26" t="s">
        <v>38</v>
      </c>
      <c r="U98" s="26"/>
      <c r="V98" s="26" t="s">
        <v>38</v>
      </c>
      <c r="W98" s="26"/>
      <c r="X98" s="26" t="s">
        <v>48</v>
      </c>
      <c r="Y98" s="26"/>
      <c r="Z98" s="26"/>
      <c r="AA98" s="26"/>
      <c r="AB98" s="26"/>
      <c r="AC98" s="6" t="s">
        <v>60</v>
      </c>
    </row>
    <row r="99" spans="1:29" ht="15.75" customHeight="1" x14ac:dyDescent="0.25">
      <c r="A99" s="26" t="s">
        <v>605</v>
      </c>
      <c r="B99" s="26" t="s">
        <v>606</v>
      </c>
      <c r="C99" s="26" t="s">
        <v>1110</v>
      </c>
      <c r="D99" s="26" t="s">
        <v>922</v>
      </c>
      <c r="E99" s="26" t="s">
        <v>607</v>
      </c>
      <c r="F99" s="26" t="s">
        <v>1111</v>
      </c>
      <c r="G99" s="26" t="s">
        <v>41</v>
      </c>
      <c r="H99" s="26"/>
      <c r="I99" s="26" t="s">
        <v>38</v>
      </c>
      <c r="J99" s="26" t="s">
        <v>1112</v>
      </c>
      <c r="K99" s="26"/>
      <c r="L99" s="26" t="s">
        <v>63</v>
      </c>
      <c r="M99" s="26"/>
      <c r="N99" s="26"/>
      <c r="O99" s="26" t="s">
        <v>1113</v>
      </c>
      <c r="P99" s="26" t="s">
        <v>44</v>
      </c>
      <c r="Q99" s="26" t="s">
        <v>48</v>
      </c>
      <c r="R99" s="26"/>
      <c r="S99" s="26"/>
      <c r="T99" s="26" t="s">
        <v>34</v>
      </c>
      <c r="U99" s="26"/>
      <c r="V99" s="26" t="s">
        <v>41</v>
      </c>
      <c r="W99" s="26"/>
      <c r="X99" s="26" t="s">
        <v>29</v>
      </c>
      <c r="Y99" s="26" t="s">
        <v>608</v>
      </c>
      <c r="Z99" s="26" t="s">
        <v>139</v>
      </c>
      <c r="AA99" s="26"/>
      <c r="AB99" s="26"/>
    </row>
    <row r="100" spans="1:29" ht="15.75" customHeight="1" x14ac:dyDescent="0.25">
      <c r="A100" s="26" t="s">
        <v>609</v>
      </c>
      <c r="B100" s="26" t="s">
        <v>609</v>
      </c>
      <c r="C100" s="26" t="s">
        <v>1114</v>
      </c>
      <c r="D100" s="26"/>
      <c r="E100" s="26" t="s">
        <v>270</v>
      </c>
      <c r="F100" s="26" t="s">
        <v>1115</v>
      </c>
      <c r="G100" s="26" t="s">
        <v>38</v>
      </c>
      <c r="H100" s="26" t="s">
        <v>610</v>
      </c>
      <c r="I100" s="26" t="s">
        <v>29</v>
      </c>
      <c r="J100" s="26" t="s">
        <v>1116</v>
      </c>
      <c r="K100" s="26" t="s">
        <v>611</v>
      </c>
      <c r="L100" s="26" t="s">
        <v>117</v>
      </c>
      <c r="M100" s="26"/>
      <c r="N100" s="26"/>
      <c r="O100" s="26" t="s">
        <v>1117</v>
      </c>
      <c r="P100" s="26" t="s">
        <v>29</v>
      </c>
      <c r="Q100" s="26" t="s">
        <v>48</v>
      </c>
      <c r="R100" s="26"/>
      <c r="S100" s="26"/>
      <c r="T100" s="26" t="s">
        <v>34</v>
      </c>
      <c r="U100" s="26"/>
      <c r="V100" s="26" t="s">
        <v>48</v>
      </c>
      <c r="W100" s="26"/>
      <c r="X100" s="26" t="s">
        <v>29</v>
      </c>
      <c r="Y100" s="26" t="s">
        <v>612</v>
      </c>
      <c r="Z100" s="26"/>
      <c r="AA100" s="26"/>
      <c r="AB100" s="26"/>
      <c r="AC100" s="6" t="s">
        <v>60</v>
      </c>
    </row>
    <row r="101" spans="1:29" ht="15.75" customHeight="1" x14ac:dyDescent="0.25">
      <c r="A101" s="26" t="s">
        <v>614</v>
      </c>
      <c r="B101" s="26" t="s">
        <v>615</v>
      </c>
      <c r="C101" s="26" t="s">
        <v>1118</v>
      </c>
      <c r="D101" s="26"/>
      <c r="E101" s="26" t="s">
        <v>410</v>
      </c>
      <c r="F101" s="26" t="s">
        <v>1119</v>
      </c>
      <c r="G101" s="26" t="s">
        <v>29</v>
      </c>
      <c r="H101" s="26" t="s">
        <v>616</v>
      </c>
      <c r="I101" s="26" t="s">
        <v>29</v>
      </c>
      <c r="J101" s="26" t="s">
        <v>1120</v>
      </c>
      <c r="K101" s="26" t="s">
        <v>616</v>
      </c>
      <c r="L101" s="26" t="s">
        <v>117</v>
      </c>
      <c r="M101" s="26"/>
      <c r="N101" s="26"/>
      <c r="O101" s="26"/>
      <c r="P101" s="26" t="s">
        <v>29</v>
      </c>
      <c r="Q101" s="26" t="s">
        <v>41</v>
      </c>
      <c r="R101" s="26"/>
      <c r="S101" s="26"/>
      <c r="T101" s="26" t="s">
        <v>34</v>
      </c>
      <c r="U101" s="26" t="s">
        <v>617</v>
      </c>
      <c r="V101" s="26" t="s">
        <v>41</v>
      </c>
      <c r="W101" s="26"/>
      <c r="X101" s="26" t="s">
        <v>29</v>
      </c>
      <c r="Y101" s="26" t="s">
        <v>618</v>
      </c>
      <c r="Z101" s="26" t="s">
        <v>242</v>
      </c>
      <c r="AA101" s="26"/>
      <c r="AB101" s="26"/>
      <c r="AC101" s="6" t="s">
        <v>32</v>
      </c>
    </row>
    <row r="102" spans="1:29" ht="15.75" customHeight="1" x14ac:dyDescent="0.25">
      <c r="A102" s="26" t="s">
        <v>620</v>
      </c>
      <c r="B102" s="26" t="s">
        <v>621</v>
      </c>
      <c r="C102" s="26" t="s">
        <v>1121</v>
      </c>
      <c r="D102" s="26" t="s">
        <v>905</v>
      </c>
      <c r="E102" s="26" t="s">
        <v>622</v>
      </c>
      <c r="F102" s="26" t="s">
        <v>1122</v>
      </c>
      <c r="G102" s="26" t="s">
        <v>38</v>
      </c>
      <c r="H102" s="26"/>
      <c r="I102" s="26" t="s">
        <v>38</v>
      </c>
      <c r="J102" s="26" t="s">
        <v>1123</v>
      </c>
      <c r="K102" s="26"/>
      <c r="L102" s="26" t="s">
        <v>63</v>
      </c>
      <c r="M102" s="26"/>
      <c r="N102" s="26"/>
      <c r="O102" s="26"/>
      <c r="P102" s="26" t="s">
        <v>48</v>
      </c>
      <c r="Q102" s="26" t="s">
        <v>41</v>
      </c>
      <c r="R102" s="26"/>
      <c r="S102" s="26"/>
      <c r="T102" s="26" t="s">
        <v>29</v>
      </c>
      <c r="U102" s="26" t="s">
        <v>623</v>
      </c>
      <c r="V102" s="26" t="s">
        <v>41</v>
      </c>
      <c r="W102" s="26"/>
      <c r="X102" s="26" t="s">
        <v>38</v>
      </c>
      <c r="Y102" s="26"/>
      <c r="Z102" s="26"/>
      <c r="AA102" s="26"/>
      <c r="AB102" s="26"/>
      <c r="AC102" s="6" t="s">
        <v>60</v>
      </c>
    </row>
    <row r="103" spans="1:29" ht="15.75" customHeight="1" x14ac:dyDescent="0.25">
      <c r="A103" s="26" t="s">
        <v>624</v>
      </c>
      <c r="B103" s="26" t="s">
        <v>625</v>
      </c>
      <c r="C103" s="26" t="s">
        <v>1124</v>
      </c>
      <c r="D103" s="26" t="s">
        <v>884</v>
      </c>
      <c r="E103" s="26" t="s">
        <v>422</v>
      </c>
      <c r="F103" s="26" t="s">
        <v>1125</v>
      </c>
      <c r="G103" s="26" t="s">
        <v>41</v>
      </c>
      <c r="H103" s="26"/>
      <c r="I103" s="26" t="s">
        <v>41</v>
      </c>
      <c r="J103" s="26" t="s">
        <v>1126</v>
      </c>
      <c r="K103" s="26"/>
      <c r="L103" s="26" t="s">
        <v>184</v>
      </c>
      <c r="M103" s="26" t="s">
        <v>1127</v>
      </c>
      <c r="N103" s="26"/>
      <c r="O103" s="26" t="s">
        <v>1128</v>
      </c>
      <c r="P103" s="26" t="s">
        <v>44</v>
      </c>
      <c r="Q103" s="26" t="s">
        <v>38</v>
      </c>
      <c r="R103" s="26"/>
      <c r="S103" s="26"/>
      <c r="T103" s="26" t="s">
        <v>29</v>
      </c>
      <c r="U103" s="26" t="s">
        <v>626</v>
      </c>
      <c r="V103" s="26" t="s">
        <v>41</v>
      </c>
      <c r="W103" s="26"/>
      <c r="X103" s="26" t="s">
        <v>29</v>
      </c>
      <c r="Y103" s="26" t="s">
        <v>627</v>
      </c>
      <c r="Z103" s="26"/>
      <c r="AA103" s="26"/>
      <c r="AB103" s="26"/>
    </row>
    <row r="104" spans="1:29" ht="15.75" customHeight="1" x14ac:dyDescent="0.25">
      <c r="A104" s="26" t="s">
        <v>628</v>
      </c>
      <c r="B104" s="26" t="s">
        <v>629</v>
      </c>
      <c r="C104" s="26" t="s">
        <v>1129</v>
      </c>
      <c r="D104" s="26" t="s">
        <v>884</v>
      </c>
      <c r="E104" s="26" t="s">
        <v>566</v>
      </c>
      <c r="F104" s="26" t="s">
        <v>1130</v>
      </c>
      <c r="G104" s="26" t="s">
        <v>29</v>
      </c>
      <c r="H104" s="26" t="s">
        <v>630</v>
      </c>
      <c r="I104" s="26" t="s">
        <v>44</v>
      </c>
      <c r="J104" s="26"/>
      <c r="K104" s="26"/>
      <c r="L104" s="26" t="s">
        <v>123</v>
      </c>
      <c r="M104" s="26"/>
      <c r="N104" s="26"/>
      <c r="O104" s="26" t="s">
        <v>1131</v>
      </c>
      <c r="P104" s="26" t="s">
        <v>41</v>
      </c>
      <c r="Q104" s="26" t="s">
        <v>41</v>
      </c>
      <c r="R104" s="26"/>
      <c r="S104" s="26"/>
      <c r="T104" s="26" t="s">
        <v>34</v>
      </c>
      <c r="U104" s="26"/>
      <c r="V104" s="26" t="s">
        <v>41</v>
      </c>
      <c r="W104" s="26"/>
      <c r="X104" s="26" t="s">
        <v>29</v>
      </c>
      <c r="Y104" s="26" t="s">
        <v>631</v>
      </c>
      <c r="Z104" s="26" t="s">
        <v>242</v>
      </c>
      <c r="AA104" s="26"/>
      <c r="AB104" s="26"/>
      <c r="AC104" s="6" t="s">
        <v>32</v>
      </c>
    </row>
    <row r="105" spans="1:29" ht="15.75" customHeight="1" x14ac:dyDescent="0.25">
      <c r="A105" s="26" t="s">
        <v>632</v>
      </c>
      <c r="B105" s="26" t="s">
        <v>633</v>
      </c>
      <c r="C105" s="26" t="s">
        <v>1132</v>
      </c>
      <c r="D105" s="26" t="s">
        <v>812</v>
      </c>
      <c r="E105" s="26" t="s">
        <v>634</v>
      </c>
      <c r="F105" s="26" t="s">
        <v>1133</v>
      </c>
      <c r="G105" s="26" t="s">
        <v>44</v>
      </c>
      <c r="H105" s="26"/>
      <c r="I105" s="26" t="s">
        <v>48</v>
      </c>
      <c r="J105" s="26"/>
      <c r="K105" s="26"/>
      <c r="L105" s="26" t="s">
        <v>117</v>
      </c>
      <c r="M105" s="26"/>
      <c r="N105" s="26"/>
      <c r="O105" s="26" t="s">
        <v>1134</v>
      </c>
      <c r="P105" s="26" t="s">
        <v>44</v>
      </c>
      <c r="Q105" s="26" t="s">
        <v>44</v>
      </c>
      <c r="R105" s="26"/>
      <c r="S105" s="26"/>
      <c r="T105" s="26" t="s">
        <v>29</v>
      </c>
      <c r="U105" s="26" t="s">
        <v>635</v>
      </c>
      <c r="V105" s="26" t="s">
        <v>41</v>
      </c>
      <c r="W105" s="26"/>
      <c r="X105" s="26" t="s">
        <v>29</v>
      </c>
      <c r="Y105" s="26" t="s">
        <v>636</v>
      </c>
      <c r="Z105" s="26" t="s">
        <v>139</v>
      </c>
      <c r="AA105" s="26"/>
      <c r="AB105" s="26"/>
    </row>
    <row r="106" spans="1:29" ht="15.75" customHeight="1" x14ac:dyDescent="0.25">
      <c r="A106" s="26" t="s">
        <v>637</v>
      </c>
      <c r="B106" s="26" t="s">
        <v>638</v>
      </c>
      <c r="C106" s="26" t="s">
        <v>1135</v>
      </c>
      <c r="D106" s="26" t="s">
        <v>812</v>
      </c>
      <c r="E106" s="26" t="s">
        <v>639</v>
      </c>
      <c r="F106" s="26" t="s">
        <v>1136</v>
      </c>
      <c r="G106" s="26" t="s">
        <v>41</v>
      </c>
      <c r="H106" s="26"/>
      <c r="I106" s="26" t="s">
        <v>41</v>
      </c>
      <c r="J106" s="26"/>
      <c r="K106" s="26"/>
      <c r="L106" s="26" t="s">
        <v>63</v>
      </c>
      <c r="M106" s="26"/>
      <c r="N106" s="26"/>
      <c r="O106" s="26" t="s">
        <v>1137</v>
      </c>
      <c r="P106" s="26" t="s">
        <v>44</v>
      </c>
      <c r="Q106" s="26" t="s">
        <v>38</v>
      </c>
      <c r="R106" s="26"/>
      <c r="S106" s="26"/>
      <c r="T106" s="26" t="s">
        <v>34</v>
      </c>
      <c r="U106" s="26"/>
      <c r="V106" s="26" t="s">
        <v>29</v>
      </c>
      <c r="W106" s="26" t="s">
        <v>640</v>
      </c>
      <c r="X106" s="26" t="s">
        <v>29</v>
      </c>
      <c r="Y106" s="26" t="s">
        <v>641</v>
      </c>
      <c r="Z106" s="26"/>
      <c r="AA106" s="26"/>
      <c r="AB106" s="26"/>
      <c r="AC106" s="6" t="s">
        <v>60</v>
      </c>
    </row>
    <row r="107" spans="1:29" ht="15.75" customHeight="1" x14ac:dyDescent="0.25">
      <c r="A107" s="26" t="s">
        <v>642</v>
      </c>
      <c r="B107" s="26" t="s">
        <v>642</v>
      </c>
      <c r="C107" s="26" t="s">
        <v>1138</v>
      </c>
      <c r="D107" s="26" t="s">
        <v>884</v>
      </c>
      <c r="E107" s="26" t="s">
        <v>643</v>
      </c>
      <c r="F107" s="26" t="s">
        <v>1139</v>
      </c>
      <c r="G107" s="26" t="s">
        <v>29</v>
      </c>
      <c r="H107" s="26" t="s">
        <v>644</v>
      </c>
      <c r="I107" s="26" t="s">
        <v>41</v>
      </c>
      <c r="J107" s="26" t="s">
        <v>1140</v>
      </c>
      <c r="K107" s="26"/>
      <c r="L107" s="26" t="s">
        <v>184</v>
      </c>
      <c r="M107" s="26" t="s">
        <v>1141</v>
      </c>
      <c r="N107" s="26"/>
      <c r="O107" s="26" t="s">
        <v>1142</v>
      </c>
      <c r="P107" s="26" t="s">
        <v>29</v>
      </c>
      <c r="Q107" s="26" t="s">
        <v>38</v>
      </c>
      <c r="R107" s="26"/>
      <c r="S107" s="26"/>
      <c r="T107" s="26" t="s">
        <v>29</v>
      </c>
      <c r="U107" s="26" t="s">
        <v>645</v>
      </c>
      <c r="V107" s="26" t="s">
        <v>38</v>
      </c>
      <c r="W107" s="26"/>
      <c r="X107" s="26" t="s">
        <v>29</v>
      </c>
      <c r="Y107" s="26" t="s">
        <v>646</v>
      </c>
      <c r="Z107" s="26"/>
      <c r="AA107" s="26"/>
      <c r="AB107" s="26"/>
      <c r="AC107" s="6" t="s">
        <v>32</v>
      </c>
    </row>
    <row r="108" spans="1:29" ht="15.75" customHeight="1" x14ac:dyDescent="0.25">
      <c r="A108" s="26" t="s">
        <v>648</v>
      </c>
      <c r="B108" s="26" t="s">
        <v>487</v>
      </c>
      <c r="C108" s="26" t="s">
        <v>1143</v>
      </c>
      <c r="D108" s="26" t="s">
        <v>812</v>
      </c>
      <c r="E108" s="26" t="s">
        <v>649</v>
      </c>
      <c r="F108" s="26" t="s">
        <v>1144</v>
      </c>
      <c r="G108" s="26" t="s">
        <v>29</v>
      </c>
      <c r="H108" s="26" t="s">
        <v>650</v>
      </c>
      <c r="I108" s="26" t="s">
        <v>38</v>
      </c>
      <c r="J108" s="26" t="s">
        <v>1145</v>
      </c>
      <c r="K108" s="26"/>
      <c r="L108" s="26" t="s">
        <v>117</v>
      </c>
      <c r="M108" s="26"/>
      <c r="N108" s="26" t="s">
        <v>76</v>
      </c>
      <c r="O108" s="26"/>
      <c r="P108" s="26" t="s">
        <v>29</v>
      </c>
      <c r="Q108" s="26" t="s">
        <v>41</v>
      </c>
      <c r="R108" s="26"/>
      <c r="S108" s="26"/>
      <c r="T108" s="26" t="s">
        <v>34</v>
      </c>
      <c r="U108" s="26"/>
      <c r="V108" s="26" t="s">
        <v>29</v>
      </c>
      <c r="W108" s="26" t="s">
        <v>651</v>
      </c>
      <c r="X108" s="26" t="s">
        <v>41</v>
      </c>
      <c r="Y108" s="26"/>
      <c r="Z108" s="26"/>
      <c r="AA108" s="26"/>
      <c r="AB108" s="26"/>
      <c r="AC108" s="6" t="s">
        <v>60</v>
      </c>
    </row>
    <row r="109" spans="1:29" ht="15.75" customHeight="1" x14ac:dyDescent="0.25">
      <c r="A109" s="26" t="s">
        <v>653</v>
      </c>
      <c r="B109" s="26" t="s">
        <v>654</v>
      </c>
      <c r="C109" s="26" t="s">
        <v>1146</v>
      </c>
      <c r="D109" s="26" t="s">
        <v>884</v>
      </c>
      <c r="E109" s="26" t="s">
        <v>655</v>
      </c>
      <c r="F109" s="26" t="s">
        <v>1147</v>
      </c>
      <c r="G109" s="26" t="s">
        <v>38</v>
      </c>
      <c r="H109" s="26"/>
      <c r="I109" s="26" t="s">
        <v>44</v>
      </c>
      <c r="J109" s="26"/>
      <c r="K109" s="26"/>
      <c r="L109" s="26" t="s">
        <v>63</v>
      </c>
      <c r="M109" s="26"/>
      <c r="N109" s="26"/>
      <c r="O109" s="26"/>
      <c r="P109" s="26" t="s">
        <v>44</v>
      </c>
      <c r="Q109" s="26" t="s">
        <v>38</v>
      </c>
      <c r="R109" s="26"/>
      <c r="S109" s="26"/>
      <c r="T109" s="26" t="s">
        <v>34</v>
      </c>
      <c r="U109" s="26"/>
      <c r="V109" s="26" t="s">
        <v>41</v>
      </c>
      <c r="W109" s="26"/>
      <c r="X109" s="26" t="s">
        <v>41</v>
      </c>
      <c r="Y109" s="26"/>
      <c r="Z109" s="26"/>
      <c r="AA109" s="26"/>
      <c r="AB109" s="26"/>
      <c r="AC109" s="6" t="s">
        <v>32</v>
      </c>
    </row>
    <row r="110" spans="1:29" ht="15.75" customHeight="1" x14ac:dyDescent="0.25">
      <c r="A110" s="26" t="s">
        <v>656</v>
      </c>
      <c r="B110" s="26" t="s">
        <v>366</v>
      </c>
      <c r="C110" s="26" t="s">
        <v>1148</v>
      </c>
      <c r="D110" s="26" t="s">
        <v>884</v>
      </c>
      <c r="E110" s="26" t="s">
        <v>201</v>
      </c>
      <c r="F110" s="26" t="s">
        <v>1149</v>
      </c>
      <c r="G110" s="26" t="s">
        <v>29</v>
      </c>
      <c r="H110" s="26" t="s">
        <v>367</v>
      </c>
      <c r="I110" s="26" t="s">
        <v>44</v>
      </c>
      <c r="J110" s="26" t="s">
        <v>1150</v>
      </c>
      <c r="K110" s="26"/>
      <c r="L110" s="26" t="s">
        <v>117</v>
      </c>
      <c r="M110" s="26"/>
      <c r="N110" s="26" t="s">
        <v>76</v>
      </c>
      <c r="O110" s="26"/>
      <c r="P110" s="26" t="s">
        <v>48</v>
      </c>
      <c r="Q110" s="26" t="s">
        <v>41</v>
      </c>
      <c r="R110" s="26"/>
      <c r="S110" s="26"/>
      <c r="T110" s="26" t="s">
        <v>34</v>
      </c>
      <c r="U110" s="26"/>
      <c r="V110" s="26" t="s">
        <v>38</v>
      </c>
      <c r="W110" s="26"/>
      <c r="X110" s="26" t="s">
        <v>29</v>
      </c>
      <c r="Y110" s="26" t="s">
        <v>368</v>
      </c>
      <c r="Z110" s="26"/>
      <c r="AA110" s="26"/>
      <c r="AB110" s="26"/>
      <c r="AC110" s="6" t="s">
        <v>32</v>
      </c>
    </row>
    <row r="111" spans="1:29" ht="15.75" customHeight="1" x14ac:dyDescent="0.25">
      <c r="A111" s="26" t="s">
        <v>657</v>
      </c>
      <c r="B111" s="26" t="s">
        <v>658</v>
      </c>
      <c r="C111" s="26" t="s">
        <v>1151</v>
      </c>
      <c r="D111" s="26" t="s">
        <v>812</v>
      </c>
      <c r="E111" s="26" t="s">
        <v>659</v>
      </c>
      <c r="F111" s="26" t="s">
        <v>1152</v>
      </c>
      <c r="G111" s="26" t="s">
        <v>29</v>
      </c>
      <c r="H111" s="26" t="s">
        <v>660</v>
      </c>
      <c r="I111" s="26" t="s">
        <v>29</v>
      </c>
      <c r="J111" s="26" t="s">
        <v>1153</v>
      </c>
      <c r="K111" s="26" t="s">
        <v>661</v>
      </c>
      <c r="L111" s="26" t="s">
        <v>117</v>
      </c>
      <c r="M111" s="26"/>
      <c r="N111" s="26"/>
      <c r="O111" s="26"/>
      <c r="P111" s="26" t="s">
        <v>29</v>
      </c>
      <c r="Q111" s="26" t="s">
        <v>29</v>
      </c>
      <c r="R111" s="26" t="s">
        <v>662</v>
      </c>
      <c r="S111" s="26" t="s">
        <v>825</v>
      </c>
      <c r="T111" s="26" t="s">
        <v>29</v>
      </c>
      <c r="U111" s="26" t="s">
        <v>663</v>
      </c>
      <c r="V111" s="26" t="s">
        <v>44</v>
      </c>
      <c r="W111" s="26"/>
      <c r="X111" s="26" t="s">
        <v>48</v>
      </c>
      <c r="Y111" s="26"/>
      <c r="Z111" s="26"/>
      <c r="AA111" s="26"/>
      <c r="AB111" s="26"/>
      <c r="AC111" s="6" t="s">
        <v>32</v>
      </c>
    </row>
    <row r="112" spans="1:29" ht="15.75" customHeight="1" x14ac:dyDescent="0.25">
      <c r="A112" s="26" t="s">
        <v>664</v>
      </c>
      <c r="B112" s="26" t="s">
        <v>324</v>
      </c>
      <c r="C112" s="26" t="s">
        <v>1154</v>
      </c>
      <c r="D112" s="26" t="s">
        <v>812</v>
      </c>
      <c r="E112" s="26" t="s">
        <v>665</v>
      </c>
      <c r="F112" s="26" t="s">
        <v>1155</v>
      </c>
      <c r="G112" s="26" t="s">
        <v>29</v>
      </c>
      <c r="H112" s="26" t="s">
        <v>666</v>
      </c>
      <c r="I112" s="26" t="s">
        <v>29</v>
      </c>
      <c r="J112" s="26" t="s">
        <v>1156</v>
      </c>
      <c r="K112" s="26" t="s">
        <v>667</v>
      </c>
      <c r="L112" s="26" t="s">
        <v>117</v>
      </c>
      <c r="M112" s="26"/>
      <c r="N112" s="26"/>
      <c r="O112" s="26" t="s">
        <v>1157</v>
      </c>
      <c r="P112" s="26" t="s">
        <v>29</v>
      </c>
      <c r="Q112" s="26" t="s">
        <v>38</v>
      </c>
      <c r="R112" s="26"/>
      <c r="S112" s="26"/>
      <c r="T112" s="26" t="s">
        <v>34</v>
      </c>
      <c r="U112" s="26"/>
      <c r="V112" s="26" t="s">
        <v>41</v>
      </c>
      <c r="W112" s="26"/>
      <c r="X112" s="26" t="s">
        <v>29</v>
      </c>
      <c r="Y112" s="26" t="s">
        <v>668</v>
      </c>
      <c r="Z112" s="26" t="s">
        <v>124</v>
      </c>
      <c r="AA112" s="26"/>
      <c r="AB112" s="26"/>
      <c r="AC112" s="6" t="s">
        <v>32</v>
      </c>
    </row>
    <row r="113" spans="1:29" ht="15.75" customHeight="1" x14ac:dyDescent="0.25">
      <c r="A113" s="26" t="s">
        <v>670</v>
      </c>
      <c r="B113" s="26" t="s">
        <v>671</v>
      </c>
      <c r="C113" s="26" t="s">
        <v>1158</v>
      </c>
      <c r="D113" s="26" t="s">
        <v>812</v>
      </c>
      <c r="E113" s="26" t="s">
        <v>235</v>
      </c>
      <c r="F113" s="26" t="s">
        <v>1159</v>
      </c>
      <c r="G113" s="26" t="s">
        <v>29</v>
      </c>
      <c r="H113" s="26" t="s">
        <v>672</v>
      </c>
      <c r="I113" s="26" t="s">
        <v>29</v>
      </c>
      <c r="J113" s="26" t="s">
        <v>1160</v>
      </c>
      <c r="K113" s="26" t="s">
        <v>673</v>
      </c>
      <c r="L113" s="26" t="s">
        <v>117</v>
      </c>
      <c r="M113" s="26"/>
      <c r="N113" s="26"/>
      <c r="O113" s="26"/>
      <c r="P113" s="26" t="s">
        <v>29</v>
      </c>
      <c r="Q113" s="26" t="s">
        <v>29</v>
      </c>
      <c r="R113" s="26" t="s">
        <v>674</v>
      </c>
      <c r="S113" s="26" t="s">
        <v>825</v>
      </c>
      <c r="T113" s="26" t="s">
        <v>34</v>
      </c>
      <c r="U113" s="26"/>
      <c r="V113" s="26" t="s">
        <v>29</v>
      </c>
      <c r="W113" s="26" t="s">
        <v>675</v>
      </c>
      <c r="X113" s="26" t="s">
        <v>29</v>
      </c>
      <c r="Y113" s="26" t="s">
        <v>676</v>
      </c>
      <c r="Z113" s="26" t="s">
        <v>124</v>
      </c>
      <c r="AA113" s="26"/>
      <c r="AB113" s="26"/>
      <c r="AC113" s="6" t="s">
        <v>32</v>
      </c>
    </row>
    <row r="114" spans="1:29" ht="15.75" customHeight="1" x14ac:dyDescent="0.25">
      <c r="A114" s="26" t="s">
        <v>677</v>
      </c>
      <c r="B114" s="26" t="s">
        <v>413</v>
      </c>
      <c r="C114" s="26" t="s">
        <v>1161</v>
      </c>
      <c r="D114" s="26" t="s">
        <v>922</v>
      </c>
      <c r="E114" s="26" t="s">
        <v>132</v>
      </c>
      <c r="F114" s="26" t="s">
        <v>1162</v>
      </c>
      <c r="G114" s="26" t="s">
        <v>41</v>
      </c>
      <c r="H114" s="26"/>
      <c r="I114" s="26" t="s">
        <v>41</v>
      </c>
      <c r="J114" s="26" t="s">
        <v>1163</v>
      </c>
      <c r="K114" s="26"/>
      <c r="L114" s="26" t="s">
        <v>117</v>
      </c>
      <c r="M114" s="26"/>
      <c r="N114" s="26"/>
      <c r="O114" s="26"/>
      <c r="P114" s="26" t="s">
        <v>48</v>
      </c>
      <c r="Q114" s="26" t="s">
        <v>48</v>
      </c>
      <c r="R114" s="26"/>
      <c r="S114" s="26"/>
      <c r="T114" s="26" t="s">
        <v>34</v>
      </c>
      <c r="U114" s="26" t="s">
        <v>678</v>
      </c>
      <c r="V114" s="26" t="s">
        <v>29</v>
      </c>
      <c r="W114" s="26" t="s">
        <v>679</v>
      </c>
      <c r="X114" s="26" t="s">
        <v>29</v>
      </c>
      <c r="Y114" s="26" t="s">
        <v>680</v>
      </c>
      <c r="Z114" s="26"/>
      <c r="AA114" s="26"/>
      <c r="AB114" s="26"/>
      <c r="AC114" s="6" t="s">
        <v>60</v>
      </c>
    </row>
    <row r="115" spans="1:29" ht="15.75" customHeight="1" x14ac:dyDescent="0.25">
      <c r="A115" s="26" t="s">
        <v>681</v>
      </c>
      <c r="B115" s="26" t="s">
        <v>487</v>
      </c>
      <c r="C115" s="26" t="s">
        <v>1164</v>
      </c>
      <c r="D115" s="26" t="s">
        <v>812</v>
      </c>
      <c r="E115" s="26" t="s">
        <v>597</v>
      </c>
      <c r="F115" s="26" t="s">
        <v>1165</v>
      </c>
      <c r="G115" s="26" t="s">
        <v>29</v>
      </c>
      <c r="H115" s="26" t="s">
        <v>650</v>
      </c>
      <c r="I115" s="26" t="s">
        <v>38</v>
      </c>
      <c r="J115" s="26" t="s">
        <v>1166</v>
      </c>
      <c r="K115" s="26"/>
      <c r="L115" s="26" t="s">
        <v>117</v>
      </c>
      <c r="M115" s="26"/>
      <c r="N115" s="26" t="s">
        <v>76</v>
      </c>
      <c r="O115" s="26"/>
      <c r="P115" s="26" t="s">
        <v>29</v>
      </c>
      <c r="Q115" s="26" t="s">
        <v>29</v>
      </c>
      <c r="R115" s="26" t="s">
        <v>682</v>
      </c>
      <c r="S115" s="26" t="s">
        <v>825</v>
      </c>
      <c r="T115" s="26" t="s">
        <v>29</v>
      </c>
      <c r="U115" s="26" t="s">
        <v>683</v>
      </c>
      <c r="V115" s="26" t="s">
        <v>29</v>
      </c>
      <c r="W115" s="26" t="s">
        <v>651</v>
      </c>
      <c r="X115" s="26" t="s">
        <v>29</v>
      </c>
      <c r="Y115" s="26" t="s">
        <v>684</v>
      </c>
      <c r="Z115" s="26"/>
      <c r="AA115" s="26"/>
      <c r="AB115" s="26"/>
      <c r="AC115" s="6" t="s">
        <v>60</v>
      </c>
    </row>
    <row r="116" spans="1:29" ht="15.75" customHeight="1" x14ac:dyDescent="0.25"/>
    <row r="117" spans="1:29" ht="15.75" customHeight="1" x14ac:dyDescent="0.25"/>
    <row r="118" spans="1:29" ht="15.75" customHeight="1" x14ac:dyDescent="0.25"/>
    <row r="119" spans="1:29" ht="15.75" customHeight="1" x14ac:dyDescent="0.25"/>
    <row r="120" spans="1:29" ht="15.75" customHeight="1" x14ac:dyDescent="0.25"/>
    <row r="121" spans="1:29" ht="15.75" customHeight="1" x14ac:dyDescent="0.25"/>
    <row r="122" spans="1:29" ht="15.75" customHeight="1" x14ac:dyDescent="0.25"/>
    <row r="123" spans="1:29" ht="15.75" customHeight="1" x14ac:dyDescent="0.25"/>
    <row r="124" spans="1:29" ht="15.75" customHeight="1" x14ac:dyDescent="0.25"/>
    <row r="125" spans="1:29" ht="15.75" customHeight="1" x14ac:dyDescent="0.25"/>
    <row r="126" spans="1:29" ht="15.75" customHeight="1" x14ac:dyDescent="0.25"/>
    <row r="127" spans="1:29" ht="15.75" customHeight="1" x14ac:dyDescent="0.25"/>
    <row r="128" spans="1:29" ht="15.75" customHeight="1" x14ac:dyDescent="0.25"/>
    <row r="129" customFormat="1" ht="15.75" customHeight="1" x14ac:dyDescent="0.25"/>
    <row r="130" customFormat="1" ht="15.75" customHeight="1" x14ac:dyDescent="0.25"/>
    <row r="131" customFormat="1" ht="15.75" customHeight="1" x14ac:dyDescent="0.25"/>
    <row r="132" customFormat="1" ht="15.75" customHeight="1" x14ac:dyDescent="0.25"/>
    <row r="133" customFormat="1" ht="15.75" customHeight="1" x14ac:dyDescent="0.25"/>
    <row r="134" customFormat="1" ht="15.75" customHeight="1" x14ac:dyDescent="0.25"/>
    <row r="135" customFormat="1" ht="15.75" customHeight="1" x14ac:dyDescent="0.25"/>
    <row r="136" customFormat="1" ht="15.75" customHeight="1" x14ac:dyDescent="0.25"/>
    <row r="137" customFormat="1" ht="15.75" customHeight="1" x14ac:dyDescent="0.25"/>
    <row r="138" customFormat="1" ht="15.75" customHeight="1" x14ac:dyDescent="0.25"/>
    <row r="139" customFormat="1" ht="15.75" customHeight="1" x14ac:dyDescent="0.25"/>
    <row r="140" customFormat="1" ht="15.75" customHeight="1" x14ac:dyDescent="0.25"/>
    <row r="141" customFormat="1" ht="15.75" customHeight="1" x14ac:dyDescent="0.25"/>
    <row r="142" customFormat="1" ht="15.75" customHeight="1" x14ac:dyDescent="0.25"/>
    <row r="143" customFormat="1" ht="15.75" customHeight="1" x14ac:dyDescent="0.25"/>
    <row r="144" customFormat="1" ht="15.75" customHeight="1" x14ac:dyDescent="0.25"/>
    <row r="145" customFormat="1" ht="15.75" customHeight="1" x14ac:dyDescent="0.25"/>
    <row r="146" customFormat="1" ht="15.75" customHeight="1" x14ac:dyDescent="0.25"/>
    <row r="147" customFormat="1" ht="15.75" customHeight="1" x14ac:dyDescent="0.25"/>
    <row r="148" customFormat="1" ht="15.75" customHeight="1" x14ac:dyDescent="0.25"/>
    <row r="149" customFormat="1" ht="15.75" customHeight="1" x14ac:dyDescent="0.25"/>
    <row r="150" customFormat="1" ht="15.75" customHeight="1" x14ac:dyDescent="0.25"/>
    <row r="151" customFormat="1" ht="15.75" customHeight="1" x14ac:dyDescent="0.25"/>
    <row r="152" customFormat="1" ht="15.75" customHeight="1" x14ac:dyDescent="0.25"/>
    <row r="153" customFormat="1" ht="15.75" customHeight="1" x14ac:dyDescent="0.25"/>
    <row r="154" customFormat="1" ht="15.75" customHeight="1" x14ac:dyDescent="0.25"/>
    <row r="155" customFormat="1" ht="15.75" customHeight="1" x14ac:dyDescent="0.25"/>
    <row r="156" customFormat="1" ht="15.75" customHeight="1" x14ac:dyDescent="0.25"/>
    <row r="157" customFormat="1" ht="15.75" customHeight="1" x14ac:dyDescent="0.25"/>
    <row r="158" customFormat="1" ht="15.75" customHeight="1" x14ac:dyDescent="0.25"/>
    <row r="159" customFormat="1" ht="15.75" customHeight="1" x14ac:dyDescent="0.25"/>
    <row r="160" customFormat="1" ht="15.75" customHeight="1" x14ac:dyDescent="0.25"/>
    <row r="161" customFormat="1" ht="15.75" customHeight="1" x14ac:dyDescent="0.25"/>
    <row r="162" customFormat="1" ht="15.75" customHeight="1" x14ac:dyDescent="0.25"/>
    <row r="163" customFormat="1" ht="15.75" customHeight="1" x14ac:dyDescent="0.25"/>
    <row r="164" customFormat="1" ht="15.75" customHeight="1" x14ac:dyDescent="0.25"/>
    <row r="165" customFormat="1" ht="15.75" customHeight="1" x14ac:dyDescent="0.25"/>
    <row r="166" customFormat="1" ht="15.75" customHeight="1" x14ac:dyDescent="0.25"/>
    <row r="167" customFormat="1" ht="15.75" customHeight="1" x14ac:dyDescent="0.25"/>
    <row r="168" customFormat="1" ht="15.75" customHeight="1" x14ac:dyDescent="0.25"/>
    <row r="169" customFormat="1" ht="15.75" customHeight="1" x14ac:dyDescent="0.25"/>
    <row r="170" customFormat="1" ht="15.75" customHeight="1" x14ac:dyDescent="0.25"/>
    <row r="171" customFormat="1" ht="15.75" customHeight="1" x14ac:dyDescent="0.25"/>
    <row r="172" customFormat="1" ht="15.75" customHeight="1" x14ac:dyDescent="0.25"/>
    <row r="173" customFormat="1" ht="15.75" customHeight="1" x14ac:dyDescent="0.25"/>
    <row r="174" customFormat="1" ht="15.75" customHeight="1" x14ac:dyDescent="0.25"/>
    <row r="175" customFormat="1" ht="15.75" customHeight="1" x14ac:dyDescent="0.25"/>
    <row r="176" customFormat="1" ht="15.75" customHeight="1" x14ac:dyDescent="0.25"/>
    <row r="177" customFormat="1" ht="15.75" customHeight="1" x14ac:dyDescent="0.25"/>
    <row r="178" customFormat="1" ht="15.75" customHeight="1" x14ac:dyDescent="0.25"/>
    <row r="179" customFormat="1" ht="15.75" customHeight="1" x14ac:dyDescent="0.25"/>
    <row r="180" customFormat="1" ht="15.75" customHeight="1" x14ac:dyDescent="0.25"/>
    <row r="181" customFormat="1" ht="15.75" customHeight="1" x14ac:dyDescent="0.25"/>
    <row r="182" customFormat="1" ht="15.75" customHeight="1" x14ac:dyDescent="0.25"/>
    <row r="183" customFormat="1" ht="15.75" customHeight="1" x14ac:dyDescent="0.25"/>
    <row r="184" customFormat="1" ht="15.75" customHeight="1" x14ac:dyDescent="0.25"/>
    <row r="185" customFormat="1" ht="15.75" customHeight="1" x14ac:dyDescent="0.25"/>
    <row r="186" customFormat="1" ht="15.75" customHeight="1" x14ac:dyDescent="0.25"/>
    <row r="187" customFormat="1" ht="15.75" customHeight="1" x14ac:dyDescent="0.25"/>
    <row r="188" customFormat="1" ht="15.75" customHeight="1" x14ac:dyDescent="0.25"/>
    <row r="189" customFormat="1" ht="15.75" customHeight="1" x14ac:dyDescent="0.25"/>
    <row r="190" customFormat="1" ht="15.75" customHeight="1" x14ac:dyDescent="0.25"/>
    <row r="191" customFormat="1" ht="15.75" customHeight="1" x14ac:dyDescent="0.25"/>
    <row r="192" customFormat="1" ht="15.75" customHeight="1" x14ac:dyDescent="0.25"/>
    <row r="193" customFormat="1" ht="15.75" customHeight="1" x14ac:dyDescent="0.25"/>
    <row r="194" customFormat="1" ht="15.75" customHeight="1" x14ac:dyDescent="0.25"/>
    <row r="195" customFormat="1" ht="15.75" customHeight="1" x14ac:dyDescent="0.25"/>
    <row r="196" customFormat="1" ht="15.75" customHeight="1" x14ac:dyDescent="0.25"/>
    <row r="197" customFormat="1" ht="15.75" customHeight="1" x14ac:dyDescent="0.25"/>
    <row r="198" customFormat="1" ht="15.75" customHeight="1" x14ac:dyDescent="0.25"/>
    <row r="199" customFormat="1" ht="15.75" customHeight="1" x14ac:dyDescent="0.25"/>
    <row r="200" customFormat="1" ht="15.75" customHeight="1" x14ac:dyDescent="0.25"/>
    <row r="201" customFormat="1" ht="15.75" customHeight="1" x14ac:dyDescent="0.25"/>
    <row r="202" customFormat="1" ht="15.75" customHeight="1" x14ac:dyDescent="0.25"/>
    <row r="203" customFormat="1" ht="15.75" customHeight="1" x14ac:dyDescent="0.25"/>
    <row r="204" customFormat="1" ht="15.75" customHeight="1" x14ac:dyDescent="0.25"/>
    <row r="205" customFormat="1" ht="15.75" customHeight="1" x14ac:dyDescent="0.25"/>
    <row r="206" customFormat="1" ht="15.75" customHeight="1" x14ac:dyDescent="0.25"/>
    <row r="207" customFormat="1" ht="15.75" customHeight="1" x14ac:dyDescent="0.25"/>
    <row r="208" customFormat="1" ht="15.75" customHeight="1" x14ac:dyDescent="0.25"/>
    <row r="209" customFormat="1" ht="15.75" customHeight="1" x14ac:dyDescent="0.25"/>
    <row r="210" customFormat="1" ht="15.75" customHeight="1" x14ac:dyDescent="0.25"/>
    <row r="211" customFormat="1" ht="15.75" customHeight="1" x14ac:dyDescent="0.25"/>
    <row r="212" customFormat="1" ht="15.75" customHeight="1" x14ac:dyDescent="0.25"/>
    <row r="213" customFormat="1" ht="15.75" customHeight="1" x14ac:dyDescent="0.25"/>
    <row r="214" customFormat="1" ht="15.75" customHeight="1" x14ac:dyDescent="0.25"/>
    <row r="215" customFormat="1" ht="15.75" customHeight="1" x14ac:dyDescent="0.25"/>
    <row r="216" customFormat="1" ht="15.75" customHeight="1" x14ac:dyDescent="0.25"/>
    <row r="217" customFormat="1" ht="15.75" customHeight="1" x14ac:dyDescent="0.25"/>
    <row r="218" customFormat="1" ht="15.75" customHeight="1" x14ac:dyDescent="0.25"/>
    <row r="219" customFormat="1" ht="15.75" customHeight="1" x14ac:dyDescent="0.25"/>
    <row r="220" customFormat="1" ht="15.75" customHeight="1" x14ac:dyDescent="0.25"/>
    <row r="221" customFormat="1" ht="15.75" customHeight="1" x14ac:dyDescent="0.25"/>
    <row r="222" customFormat="1" ht="15.75" customHeight="1" x14ac:dyDescent="0.25"/>
    <row r="223" customFormat="1" ht="15.75" customHeight="1" x14ac:dyDescent="0.25"/>
    <row r="224" customFormat="1" ht="15.75" customHeight="1" x14ac:dyDescent="0.25"/>
    <row r="225" customFormat="1" ht="15.75" customHeight="1" x14ac:dyDescent="0.25"/>
    <row r="226" customFormat="1" ht="15.75" customHeight="1" x14ac:dyDescent="0.25"/>
    <row r="227" customFormat="1" ht="15.75" customHeight="1" x14ac:dyDescent="0.25"/>
    <row r="228" customFormat="1" ht="15.75" customHeight="1" x14ac:dyDescent="0.25"/>
    <row r="229" customFormat="1" ht="15.75" customHeight="1" x14ac:dyDescent="0.25"/>
    <row r="230" customFormat="1" ht="15.75" customHeight="1" x14ac:dyDescent="0.25"/>
    <row r="231" customFormat="1" ht="15.75" customHeight="1" x14ac:dyDescent="0.25"/>
    <row r="232" customFormat="1" ht="15.75" customHeight="1" x14ac:dyDescent="0.25"/>
    <row r="233" customFormat="1" ht="15.75" customHeight="1" x14ac:dyDescent="0.25"/>
    <row r="234" customFormat="1" ht="15.75" customHeight="1" x14ac:dyDescent="0.25"/>
    <row r="235" customFormat="1" ht="15.75" customHeight="1" x14ac:dyDescent="0.25"/>
    <row r="236" customFormat="1" ht="15.75" customHeight="1" x14ac:dyDescent="0.25"/>
    <row r="237" customFormat="1" ht="15.75" customHeight="1" x14ac:dyDescent="0.25"/>
    <row r="238" customFormat="1" ht="15.75" customHeight="1" x14ac:dyDescent="0.25"/>
    <row r="239" customFormat="1" ht="15.75" customHeight="1" x14ac:dyDescent="0.25"/>
    <row r="240" customFormat="1" ht="15.75" customHeight="1" x14ac:dyDescent="0.25"/>
    <row r="241" customFormat="1" ht="15.75" customHeight="1" x14ac:dyDescent="0.25"/>
    <row r="242" customFormat="1" ht="15.75" customHeight="1" x14ac:dyDescent="0.25"/>
    <row r="243" customFormat="1" ht="15.75" customHeight="1" x14ac:dyDescent="0.25"/>
    <row r="244" customFormat="1" ht="15.75" customHeight="1" x14ac:dyDescent="0.25"/>
    <row r="245" customFormat="1" ht="15.75" customHeight="1" x14ac:dyDescent="0.25"/>
    <row r="246" customFormat="1" ht="15.75" customHeight="1" x14ac:dyDescent="0.25"/>
    <row r="247" customFormat="1" ht="15.75" customHeight="1" x14ac:dyDescent="0.25"/>
    <row r="248" customFormat="1" ht="15.75" customHeight="1" x14ac:dyDescent="0.25"/>
    <row r="249" customFormat="1" ht="15.75" customHeight="1" x14ac:dyDescent="0.25"/>
    <row r="250" customFormat="1" ht="15.75" customHeight="1" x14ac:dyDescent="0.25"/>
    <row r="251" customFormat="1" ht="15.75" customHeight="1" x14ac:dyDescent="0.25"/>
    <row r="252" customFormat="1" ht="15.75" customHeight="1" x14ac:dyDescent="0.25"/>
    <row r="253" customFormat="1" ht="15.75" customHeight="1" x14ac:dyDescent="0.25"/>
    <row r="254" customFormat="1" ht="15.75" customHeight="1" x14ac:dyDescent="0.25"/>
    <row r="255" customFormat="1" ht="15.75" customHeight="1" x14ac:dyDescent="0.25"/>
    <row r="256" customFormat="1" ht="15.75" customHeight="1" x14ac:dyDescent="0.25"/>
    <row r="257" customFormat="1" ht="15.75" customHeight="1" x14ac:dyDescent="0.25"/>
    <row r="258" customFormat="1" ht="15.75" customHeight="1" x14ac:dyDescent="0.25"/>
    <row r="259" customFormat="1" ht="15.75" customHeight="1" x14ac:dyDescent="0.25"/>
    <row r="260" customFormat="1" ht="15.75" customHeight="1" x14ac:dyDescent="0.25"/>
    <row r="261" customFormat="1" ht="15.75" customHeight="1" x14ac:dyDescent="0.25"/>
    <row r="262" customFormat="1" ht="15.75" customHeight="1" x14ac:dyDescent="0.25"/>
    <row r="263" customFormat="1" ht="15.75" customHeight="1" x14ac:dyDescent="0.25"/>
    <row r="264" customFormat="1" ht="15.75" customHeight="1" x14ac:dyDescent="0.25"/>
    <row r="265" customFormat="1" ht="15.75" customHeight="1" x14ac:dyDescent="0.25"/>
    <row r="266" customFormat="1" ht="15.75" customHeight="1" x14ac:dyDescent="0.25"/>
    <row r="267" customFormat="1" ht="15.75" customHeight="1" x14ac:dyDescent="0.25"/>
    <row r="268" customFormat="1" ht="15.75" customHeight="1" x14ac:dyDescent="0.25"/>
    <row r="269" customFormat="1" ht="15.75" customHeight="1" x14ac:dyDescent="0.25"/>
    <row r="270" customFormat="1" ht="15.75" customHeight="1" x14ac:dyDescent="0.25"/>
    <row r="271" customFormat="1" ht="15.75" customHeight="1" x14ac:dyDescent="0.25"/>
    <row r="272" customFormat="1" ht="15.75" customHeight="1" x14ac:dyDescent="0.25"/>
    <row r="273" customFormat="1" ht="15.75" customHeight="1" x14ac:dyDescent="0.25"/>
    <row r="274" customFormat="1" ht="15.75" customHeight="1" x14ac:dyDescent="0.25"/>
    <row r="275" customFormat="1" ht="15.75" customHeight="1" x14ac:dyDescent="0.25"/>
    <row r="276" customFormat="1" ht="15.75" customHeight="1" x14ac:dyDescent="0.25"/>
    <row r="277" customFormat="1" ht="15.75" customHeight="1" x14ac:dyDescent="0.25"/>
    <row r="278" customFormat="1" ht="15.75" customHeight="1" x14ac:dyDescent="0.25"/>
    <row r="279" customFormat="1" ht="15.75" customHeight="1" x14ac:dyDescent="0.25"/>
    <row r="280" customFormat="1" ht="15.75" customHeight="1" x14ac:dyDescent="0.25"/>
    <row r="281" customFormat="1" ht="15.75" customHeight="1" x14ac:dyDescent="0.25"/>
    <row r="282" customFormat="1" ht="15.75" customHeight="1" x14ac:dyDescent="0.25"/>
    <row r="283" customFormat="1" ht="15.75" customHeight="1" x14ac:dyDescent="0.25"/>
    <row r="284" customFormat="1" ht="15.75" customHeight="1" x14ac:dyDescent="0.25"/>
    <row r="285" customFormat="1" ht="15.75" customHeight="1" x14ac:dyDescent="0.25"/>
    <row r="286" customFormat="1" ht="15.75" customHeight="1" x14ac:dyDescent="0.25"/>
    <row r="287" customFormat="1" ht="15.75" customHeight="1" x14ac:dyDescent="0.25"/>
    <row r="288" customFormat="1" ht="15.75" customHeight="1" x14ac:dyDescent="0.25"/>
    <row r="289" customFormat="1" ht="15.75" customHeight="1" x14ac:dyDescent="0.25"/>
    <row r="290" customFormat="1" ht="15.75" customHeight="1" x14ac:dyDescent="0.25"/>
    <row r="291" customFormat="1" ht="15.75" customHeight="1" x14ac:dyDescent="0.25"/>
    <row r="292" customFormat="1" ht="15.75" customHeight="1" x14ac:dyDescent="0.25"/>
    <row r="293" customFormat="1" ht="15.75" customHeight="1" x14ac:dyDescent="0.25"/>
    <row r="294" customFormat="1" ht="15.75" customHeight="1" x14ac:dyDescent="0.25"/>
    <row r="295" customFormat="1" ht="15.75" customHeight="1" x14ac:dyDescent="0.25"/>
    <row r="296" customFormat="1" ht="15.75" customHeight="1" x14ac:dyDescent="0.25"/>
    <row r="297" customFormat="1" ht="15.75" customHeight="1" x14ac:dyDescent="0.25"/>
    <row r="298" customFormat="1" ht="15.75" customHeight="1" x14ac:dyDescent="0.25"/>
    <row r="299" customFormat="1" ht="15.75" customHeight="1" x14ac:dyDescent="0.25"/>
    <row r="300" customFormat="1" ht="15.75" customHeight="1" x14ac:dyDescent="0.25"/>
    <row r="301" customFormat="1" ht="15.75" customHeight="1" x14ac:dyDescent="0.25"/>
    <row r="302" customFormat="1" ht="15.75" customHeight="1" x14ac:dyDescent="0.25"/>
    <row r="303" customFormat="1" ht="15.75" customHeight="1" x14ac:dyDescent="0.25"/>
    <row r="304" customFormat="1" ht="15.75" customHeight="1" x14ac:dyDescent="0.25"/>
    <row r="305" customFormat="1" ht="15.75" customHeight="1" x14ac:dyDescent="0.25"/>
    <row r="306" customFormat="1" ht="15.75" customHeight="1" x14ac:dyDescent="0.25"/>
    <row r="307" customFormat="1" ht="15.75" customHeight="1" x14ac:dyDescent="0.25"/>
    <row r="308" customFormat="1" ht="15.75" customHeight="1" x14ac:dyDescent="0.25"/>
    <row r="309" customFormat="1" ht="15.75" customHeight="1" x14ac:dyDescent="0.25"/>
    <row r="310" customFormat="1" ht="15.75" customHeight="1" x14ac:dyDescent="0.25"/>
    <row r="311" customFormat="1" ht="15.75" customHeight="1" x14ac:dyDescent="0.25"/>
    <row r="312" customFormat="1" ht="15.75" customHeight="1" x14ac:dyDescent="0.25"/>
    <row r="313" customFormat="1" ht="15.75" customHeight="1" x14ac:dyDescent="0.25"/>
    <row r="314" customFormat="1" ht="15.75" customHeight="1" x14ac:dyDescent="0.25"/>
    <row r="315" customFormat="1" ht="15.75" customHeight="1" x14ac:dyDescent="0.25"/>
    <row r="316" customFormat="1" ht="15.75" customHeight="1" x14ac:dyDescent="0.25"/>
    <row r="317" customFormat="1" ht="15.75" customHeight="1" x14ac:dyDescent="0.25"/>
    <row r="318" customFormat="1" ht="15.75" customHeight="1" x14ac:dyDescent="0.25"/>
    <row r="319" customFormat="1" ht="15.75" customHeight="1" x14ac:dyDescent="0.25"/>
    <row r="320" customFormat="1" ht="15.75" customHeight="1" x14ac:dyDescent="0.25"/>
    <row r="321" customFormat="1" ht="15.75" customHeight="1" x14ac:dyDescent="0.25"/>
    <row r="322" customFormat="1" ht="15.75" customHeight="1" x14ac:dyDescent="0.25"/>
    <row r="323" customFormat="1" ht="15.75" customHeight="1" x14ac:dyDescent="0.25"/>
    <row r="324" customFormat="1" ht="15.75" customHeight="1" x14ac:dyDescent="0.25"/>
    <row r="325" customFormat="1" ht="15.75" customHeight="1" x14ac:dyDescent="0.25"/>
    <row r="326" customFormat="1" ht="15.75" customHeight="1" x14ac:dyDescent="0.25"/>
    <row r="327" customFormat="1" ht="15.75" customHeight="1" x14ac:dyDescent="0.25"/>
    <row r="328" customFormat="1" ht="15.75" customHeight="1" x14ac:dyDescent="0.25"/>
    <row r="329" customFormat="1" ht="15.75" customHeight="1" x14ac:dyDescent="0.25"/>
    <row r="330" customFormat="1" ht="15.75" customHeight="1" x14ac:dyDescent="0.25"/>
    <row r="331" customFormat="1" ht="15.75" customHeight="1" x14ac:dyDescent="0.25"/>
    <row r="332" customFormat="1" ht="15.75" customHeight="1" x14ac:dyDescent="0.25"/>
    <row r="333" customFormat="1" ht="15.75" customHeight="1" x14ac:dyDescent="0.25"/>
    <row r="334" customFormat="1" ht="15.75" customHeight="1" x14ac:dyDescent="0.25"/>
    <row r="335" customFormat="1" ht="15.75" customHeight="1" x14ac:dyDescent="0.25"/>
    <row r="336" customFormat="1" ht="15.75" customHeight="1" x14ac:dyDescent="0.25"/>
    <row r="337" customFormat="1" ht="15.75" customHeight="1" x14ac:dyDescent="0.25"/>
    <row r="338" customFormat="1" ht="15.75" customHeight="1" x14ac:dyDescent="0.25"/>
    <row r="339" customFormat="1" ht="15.75" customHeight="1" x14ac:dyDescent="0.25"/>
    <row r="340" customFormat="1" ht="15.75" customHeight="1" x14ac:dyDescent="0.25"/>
    <row r="341" customFormat="1" ht="15.75" customHeight="1" x14ac:dyDescent="0.25"/>
    <row r="342" customFormat="1" ht="15.75" customHeight="1" x14ac:dyDescent="0.25"/>
    <row r="343" customFormat="1" ht="15.75" customHeight="1" x14ac:dyDescent="0.25"/>
    <row r="344" customFormat="1" ht="15.75" customHeight="1" x14ac:dyDescent="0.25"/>
    <row r="345" customFormat="1" ht="15.75" customHeight="1" x14ac:dyDescent="0.25"/>
    <row r="346" customFormat="1" ht="15.75" customHeight="1" x14ac:dyDescent="0.25"/>
    <row r="347" customFormat="1" ht="15.75" customHeight="1" x14ac:dyDescent="0.25"/>
    <row r="348" customFormat="1" ht="15.75" customHeight="1" x14ac:dyDescent="0.25"/>
    <row r="349" customFormat="1" ht="15.75" customHeight="1" x14ac:dyDescent="0.25"/>
    <row r="350" customFormat="1" ht="15.75" customHeight="1" x14ac:dyDescent="0.25"/>
    <row r="351" customFormat="1" ht="15.75" customHeight="1" x14ac:dyDescent="0.25"/>
    <row r="352" customFormat="1" ht="15.75" customHeight="1" x14ac:dyDescent="0.25"/>
    <row r="353" customFormat="1" ht="15.75" customHeight="1" x14ac:dyDescent="0.25"/>
    <row r="354" customFormat="1" ht="15.75" customHeight="1" x14ac:dyDescent="0.25"/>
    <row r="355" customFormat="1" ht="15.75" customHeight="1" x14ac:dyDescent="0.25"/>
    <row r="356" customFormat="1" ht="15.75" customHeight="1" x14ac:dyDescent="0.25"/>
    <row r="357" customFormat="1" ht="15.75" customHeight="1" x14ac:dyDescent="0.25"/>
    <row r="358" customFormat="1" ht="15.75" customHeight="1" x14ac:dyDescent="0.25"/>
    <row r="359" customFormat="1" ht="15.75" customHeight="1" x14ac:dyDescent="0.25"/>
    <row r="360" customFormat="1" ht="15.75" customHeight="1" x14ac:dyDescent="0.25"/>
    <row r="361" customFormat="1" ht="15.75" customHeight="1" x14ac:dyDescent="0.25"/>
    <row r="362" customFormat="1" ht="15.75" customHeight="1" x14ac:dyDescent="0.25"/>
    <row r="363" customFormat="1" ht="15.75" customHeight="1" x14ac:dyDescent="0.25"/>
    <row r="364" customFormat="1" ht="15.75" customHeight="1" x14ac:dyDescent="0.25"/>
    <row r="365" customFormat="1" ht="15.75" customHeight="1" x14ac:dyDescent="0.25"/>
    <row r="366" customFormat="1" ht="15.75" customHeight="1" x14ac:dyDescent="0.25"/>
    <row r="367" customFormat="1" ht="15.75" customHeight="1" x14ac:dyDescent="0.25"/>
    <row r="368" customFormat="1" ht="15.75" customHeight="1" x14ac:dyDescent="0.25"/>
    <row r="369" customFormat="1" ht="15.75" customHeight="1" x14ac:dyDescent="0.25"/>
    <row r="370" customFormat="1" ht="15.75" customHeight="1" x14ac:dyDescent="0.25"/>
    <row r="371" customFormat="1" ht="15.75" customHeight="1" x14ac:dyDescent="0.25"/>
    <row r="372" customFormat="1" ht="15.75" customHeight="1" x14ac:dyDescent="0.25"/>
    <row r="373" customFormat="1" ht="15.75" customHeight="1" x14ac:dyDescent="0.25"/>
    <row r="374" customFormat="1" ht="15.75" customHeight="1" x14ac:dyDescent="0.25"/>
    <row r="375" customFormat="1" ht="15.75" customHeight="1" x14ac:dyDescent="0.25"/>
    <row r="376" customFormat="1" ht="15.75" customHeight="1" x14ac:dyDescent="0.25"/>
    <row r="377" customFormat="1" ht="15.75" customHeight="1" x14ac:dyDescent="0.25"/>
    <row r="378" customFormat="1" ht="15.75" customHeight="1" x14ac:dyDescent="0.25"/>
    <row r="379" customFormat="1" ht="15.75" customHeight="1" x14ac:dyDescent="0.25"/>
    <row r="380" customFormat="1" ht="15.75" customHeight="1" x14ac:dyDescent="0.25"/>
    <row r="381" customFormat="1" ht="15.75" customHeight="1" x14ac:dyDescent="0.25"/>
    <row r="382" customFormat="1" ht="15.75" customHeight="1" x14ac:dyDescent="0.25"/>
    <row r="383" customFormat="1" ht="15.75" customHeight="1" x14ac:dyDescent="0.25"/>
    <row r="384" customFormat="1" ht="15.75" customHeight="1" x14ac:dyDescent="0.25"/>
    <row r="385" customFormat="1" ht="15.75" customHeight="1" x14ac:dyDescent="0.25"/>
    <row r="386" customFormat="1" ht="15.75" customHeight="1" x14ac:dyDescent="0.25"/>
    <row r="387" customFormat="1" ht="15.75" customHeight="1" x14ac:dyDescent="0.25"/>
    <row r="388" customFormat="1" ht="15.75" customHeight="1" x14ac:dyDescent="0.25"/>
    <row r="389" customFormat="1" ht="15.75" customHeight="1" x14ac:dyDescent="0.25"/>
    <row r="390" customFormat="1" ht="15.75" customHeight="1" x14ac:dyDescent="0.25"/>
    <row r="391" customFormat="1" ht="15.75" customHeight="1" x14ac:dyDescent="0.25"/>
    <row r="392" customFormat="1" ht="15.75" customHeight="1" x14ac:dyDescent="0.25"/>
    <row r="393" customFormat="1" ht="15.75" customHeight="1" x14ac:dyDescent="0.25"/>
    <row r="394" customFormat="1" ht="15.75" customHeight="1" x14ac:dyDescent="0.25"/>
    <row r="395" customFormat="1" ht="15.75" customHeight="1" x14ac:dyDescent="0.25"/>
    <row r="396" customFormat="1" ht="15.75" customHeight="1" x14ac:dyDescent="0.25"/>
    <row r="397" customFormat="1" ht="15.75" customHeight="1" x14ac:dyDescent="0.25"/>
    <row r="398" customFormat="1" ht="15.75" customHeight="1" x14ac:dyDescent="0.25"/>
    <row r="399" customFormat="1" ht="15.75" customHeight="1" x14ac:dyDescent="0.25"/>
    <row r="400" customFormat="1" ht="15.75" customHeight="1" x14ac:dyDescent="0.25"/>
    <row r="401" customFormat="1" ht="15.75" customHeight="1" x14ac:dyDescent="0.25"/>
    <row r="402" customFormat="1" ht="15.75" customHeight="1" x14ac:dyDescent="0.25"/>
    <row r="403" customFormat="1" ht="15.75" customHeight="1" x14ac:dyDescent="0.25"/>
    <row r="404" customFormat="1" ht="15.75" customHeight="1" x14ac:dyDescent="0.25"/>
    <row r="405" customFormat="1" ht="15.75" customHeight="1" x14ac:dyDescent="0.25"/>
    <row r="406" customFormat="1" ht="15.75" customHeight="1" x14ac:dyDescent="0.25"/>
    <row r="407" customFormat="1" ht="15.75" customHeight="1" x14ac:dyDescent="0.25"/>
    <row r="408" customFormat="1" ht="15.75" customHeight="1" x14ac:dyDescent="0.25"/>
    <row r="409" customFormat="1" ht="15.75" customHeight="1" x14ac:dyDescent="0.25"/>
    <row r="410" customFormat="1" ht="15.75" customHeight="1" x14ac:dyDescent="0.25"/>
    <row r="411" customFormat="1" ht="15.75" customHeight="1" x14ac:dyDescent="0.25"/>
    <row r="412" customFormat="1" ht="15.75" customHeight="1" x14ac:dyDescent="0.25"/>
    <row r="413" customFormat="1" ht="15.75" customHeight="1" x14ac:dyDescent="0.25"/>
    <row r="414" customFormat="1" ht="15.75" customHeight="1" x14ac:dyDescent="0.25"/>
    <row r="415" customFormat="1" ht="15.75" customHeight="1" x14ac:dyDescent="0.25"/>
    <row r="416" customFormat="1" ht="15.75" customHeight="1" x14ac:dyDescent="0.25"/>
    <row r="417" customFormat="1" ht="15.75" customHeight="1" x14ac:dyDescent="0.25"/>
    <row r="418" customFormat="1" ht="15.75" customHeight="1" x14ac:dyDescent="0.25"/>
    <row r="419" customFormat="1" ht="15.75" customHeight="1" x14ac:dyDescent="0.25"/>
    <row r="420" customFormat="1" ht="15.75" customHeight="1" x14ac:dyDescent="0.25"/>
    <row r="421" customFormat="1" ht="15.75" customHeight="1" x14ac:dyDescent="0.25"/>
    <row r="422" customFormat="1" ht="15.75" customHeight="1" x14ac:dyDescent="0.25"/>
    <row r="423" customFormat="1" ht="15.75" customHeight="1" x14ac:dyDescent="0.25"/>
    <row r="424" customFormat="1" ht="15.75" customHeight="1" x14ac:dyDescent="0.25"/>
    <row r="425" customFormat="1" ht="15.75" customHeight="1" x14ac:dyDescent="0.25"/>
    <row r="426" customFormat="1" ht="15.75" customHeight="1" x14ac:dyDescent="0.25"/>
    <row r="427" customFormat="1" ht="15.75" customHeight="1" x14ac:dyDescent="0.25"/>
    <row r="428" customFormat="1" ht="15.75" customHeight="1" x14ac:dyDescent="0.25"/>
    <row r="429" customFormat="1" ht="15.75" customHeight="1" x14ac:dyDescent="0.25"/>
    <row r="430" customFormat="1" ht="15.75" customHeight="1" x14ac:dyDescent="0.25"/>
    <row r="431" customFormat="1" ht="15.75" customHeight="1" x14ac:dyDescent="0.25"/>
    <row r="432" customFormat="1" ht="15.75" customHeight="1" x14ac:dyDescent="0.25"/>
    <row r="433" customFormat="1" ht="15.75" customHeight="1" x14ac:dyDescent="0.25"/>
    <row r="434" customFormat="1" ht="15.75" customHeight="1" x14ac:dyDescent="0.25"/>
    <row r="435" customFormat="1" ht="15.75" customHeight="1" x14ac:dyDescent="0.25"/>
    <row r="436" customFormat="1" ht="15.75" customHeight="1" x14ac:dyDescent="0.25"/>
    <row r="437" customFormat="1" ht="15.75" customHeight="1" x14ac:dyDescent="0.25"/>
    <row r="438" customFormat="1" ht="15.75" customHeight="1" x14ac:dyDescent="0.25"/>
    <row r="439" customFormat="1" ht="15.75" customHeight="1" x14ac:dyDescent="0.25"/>
    <row r="440" customFormat="1" ht="15.75" customHeight="1" x14ac:dyDescent="0.25"/>
    <row r="441" customFormat="1" ht="15.75" customHeight="1" x14ac:dyDescent="0.25"/>
    <row r="442" customFormat="1" ht="15.75" customHeight="1" x14ac:dyDescent="0.25"/>
    <row r="443" customFormat="1" ht="15.75" customHeight="1" x14ac:dyDescent="0.25"/>
    <row r="444" customFormat="1" ht="15.75" customHeight="1" x14ac:dyDescent="0.25"/>
    <row r="445" customFormat="1" ht="15.75" customHeight="1" x14ac:dyDescent="0.25"/>
    <row r="446" customFormat="1" ht="15.75" customHeight="1" x14ac:dyDescent="0.25"/>
    <row r="447" customFormat="1" ht="15.75" customHeight="1" x14ac:dyDescent="0.25"/>
    <row r="448" customFormat="1" ht="15.75" customHeight="1" x14ac:dyDescent="0.25"/>
    <row r="449" customFormat="1" ht="15.75" customHeight="1" x14ac:dyDescent="0.25"/>
    <row r="450" customFormat="1" ht="15.75" customHeight="1" x14ac:dyDescent="0.25"/>
    <row r="451" customFormat="1" ht="15.75" customHeight="1" x14ac:dyDescent="0.25"/>
    <row r="452" customFormat="1" ht="15.75" customHeight="1" x14ac:dyDescent="0.25"/>
    <row r="453" customFormat="1" ht="15.75" customHeight="1" x14ac:dyDescent="0.25"/>
    <row r="454" customFormat="1" ht="15.75" customHeight="1" x14ac:dyDescent="0.25"/>
    <row r="455" customFormat="1" ht="15.75" customHeight="1" x14ac:dyDescent="0.25"/>
    <row r="456" customFormat="1" ht="15.75" customHeight="1" x14ac:dyDescent="0.25"/>
    <row r="457" customFormat="1" ht="15.75" customHeight="1" x14ac:dyDescent="0.25"/>
    <row r="458" customFormat="1" ht="15.75" customHeight="1" x14ac:dyDescent="0.25"/>
    <row r="459" customFormat="1" ht="15.75" customHeight="1" x14ac:dyDescent="0.25"/>
    <row r="460" customFormat="1" ht="15.75" customHeight="1" x14ac:dyDescent="0.25"/>
    <row r="461" customFormat="1" ht="15.75" customHeight="1" x14ac:dyDescent="0.25"/>
    <row r="462" customFormat="1" ht="15.75" customHeight="1" x14ac:dyDescent="0.25"/>
    <row r="463" customFormat="1" ht="15.75" customHeight="1" x14ac:dyDescent="0.25"/>
    <row r="464" customFormat="1" ht="15.75" customHeight="1" x14ac:dyDescent="0.25"/>
    <row r="465" customFormat="1" ht="15.75" customHeight="1" x14ac:dyDescent="0.25"/>
    <row r="466" customFormat="1" ht="15.75" customHeight="1" x14ac:dyDescent="0.25"/>
    <row r="467" customFormat="1" ht="15.75" customHeight="1" x14ac:dyDescent="0.25"/>
    <row r="468" customFormat="1" ht="15.75" customHeight="1" x14ac:dyDescent="0.25"/>
    <row r="469" customFormat="1" ht="15.75" customHeight="1" x14ac:dyDescent="0.25"/>
    <row r="470" customFormat="1" ht="15.75" customHeight="1" x14ac:dyDescent="0.25"/>
    <row r="471" customFormat="1" ht="15.75" customHeight="1" x14ac:dyDescent="0.25"/>
    <row r="472" customFormat="1" ht="15.75" customHeight="1" x14ac:dyDescent="0.25"/>
    <row r="473" customFormat="1" ht="15.75" customHeight="1" x14ac:dyDescent="0.25"/>
    <row r="474" customFormat="1" ht="15.75" customHeight="1" x14ac:dyDescent="0.25"/>
    <row r="475" customFormat="1" ht="15.75" customHeight="1" x14ac:dyDescent="0.25"/>
    <row r="476" customFormat="1" ht="15.75" customHeight="1" x14ac:dyDescent="0.25"/>
    <row r="477" customFormat="1" ht="15.75" customHeight="1" x14ac:dyDescent="0.25"/>
    <row r="478" customFormat="1" ht="15.75" customHeight="1" x14ac:dyDescent="0.25"/>
    <row r="479" customFormat="1" ht="15.75" customHeight="1" x14ac:dyDescent="0.25"/>
    <row r="480" customFormat="1" ht="15.75" customHeight="1" x14ac:dyDescent="0.25"/>
    <row r="481" customFormat="1" ht="15.75" customHeight="1" x14ac:dyDescent="0.25"/>
    <row r="482" customFormat="1" ht="15.75" customHeight="1" x14ac:dyDescent="0.25"/>
    <row r="483" customFormat="1" ht="15.75" customHeight="1" x14ac:dyDescent="0.25"/>
    <row r="484" customFormat="1" ht="15.75" customHeight="1" x14ac:dyDescent="0.25"/>
    <row r="485" customFormat="1" ht="15.75" customHeight="1" x14ac:dyDescent="0.25"/>
    <row r="486" customFormat="1" ht="15.75" customHeight="1" x14ac:dyDescent="0.25"/>
    <row r="487" customFormat="1" ht="15.75" customHeight="1" x14ac:dyDescent="0.25"/>
    <row r="488" customFormat="1" ht="15.75" customHeight="1" x14ac:dyDescent="0.25"/>
    <row r="489" customFormat="1" ht="15.75" customHeight="1" x14ac:dyDescent="0.25"/>
    <row r="490" customFormat="1" ht="15.75" customHeight="1" x14ac:dyDescent="0.25"/>
    <row r="491" customFormat="1" ht="15.75" customHeight="1" x14ac:dyDescent="0.25"/>
    <row r="492" customFormat="1" ht="15.75" customHeight="1" x14ac:dyDescent="0.25"/>
    <row r="493" customFormat="1" ht="15.75" customHeight="1" x14ac:dyDescent="0.25"/>
    <row r="494" customFormat="1" ht="15.75" customHeight="1" x14ac:dyDescent="0.25"/>
    <row r="495" customFormat="1" ht="15.75" customHeight="1" x14ac:dyDescent="0.25"/>
    <row r="496" customFormat="1" ht="15.75" customHeight="1" x14ac:dyDescent="0.25"/>
    <row r="497" customFormat="1" ht="15.75" customHeight="1" x14ac:dyDescent="0.25"/>
    <row r="498" customFormat="1" ht="15.75" customHeight="1" x14ac:dyDescent="0.25"/>
    <row r="499" customFormat="1" ht="15.75" customHeight="1" x14ac:dyDescent="0.25"/>
    <row r="500" customFormat="1" ht="15.75" customHeight="1" x14ac:dyDescent="0.25"/>
    <row r="501" customFormat="1" ht="15.75" customHeight="1" x14ac:dyDescent="0.25"/>
    <row r="502" customFormat="1" ht="15.75" customHeight="1" x14ac:dyDescent="0.25"/>
    <row r="503" customFormat="1" ht="15.75" customHeight="1" x14ac:dyDescent="0.25"/>
    <row r="504" customFormat="1" ht="15.75" customHeight="1" x14ac:dyDescent="0.25"/>
    <row r="505" customFormat="1" ht="15.75" customHeight="1" x14ac:dyDescent="0.25"/>
    <row r="506" customFormat="1" ht="15.75" customHeight="1" x14ac:dyDescent="0.25"/>
    <row r="507" customFormat="1" ht="15.75" customHeight="1" x14ac:dyDescent="0.25"/>
    <row r="508" customFormat="1" ht="15.75" customHeight="1" x14ac:dyDescent="0.25"/>
    <row r="509" customFormat="1" ht="15.75" customHeight="1" x14ac:dyDescent="0.25"/>
    <row r="510" customFormat="1" ht="15.75" customHeight="1" x14ac:dyDescent="0.25"/>
    <row r="511" customFormat="1" ht="15.75" customHeight="1" x14ac:dyDescent="0.25"/>
    <row r="512" customFormat="1" ht="15.75" customHeight="1" x14ac:dyDescent="0.25"/>
    <row r="513" customFormat="1" ht="15.75" customHeight="1" x14ac:dyDescent="0.25"/>
    <row r="514" customFormat="1" ht="15.75" customHeight="1" x14ac:dyDescent="0.25"/>
    <row r="515" customFormat="1" ht="15.75" customHeight="1" x14ac:dyDescent="0.25"/>
    <row r="516" customFormat="1" ht="15.75" customHeight="1" x14ac:dyDescent="0.25"/>
    <row r="517" customFormat="1" ht="15.75" customHeight="1" x14ac:dyDescent="0.25"/>
    <row r="518" customFormat="1" ht="15.75" customHeight="1" x14ac:dyDescent="0.25"/>
    <row r="519" customFormat="1" ht="15.75" customHeight="1" x14ac:dyDescent="0.25"/>
    <row r="520" customFormat="1" ht="15.75" customHeight="1" x14ac:dyDescent="0.25"/>
    <row r="521" customFormat="1" ht="15.75" customHeight="1" x14ac:dyDescent="0.25"/>
    <row r="522" customFormat="1" ht="15.75" customHeight="1" x14ac:dyDescent="0.25"/>
    <row r="523" customFormat="1" ht="15.75" customHeight="1" x14ac:dyDescent="0.25"/>
    <row r="524" customFormat="1" ht="15.75" customHeight="1" x14ac:dyDescent="0.25"/>
    <row r="525" customFormat="1" ht="15.75" customHeight="1" x14ac:dyDescent="0.25"/>
    <row r="526" customFormat="1" ht="15.75" customHeight="1" x14ac:dyDescent="0.25"/>
    <row r="527" customFormat="1" ht="15.75" customHeight="1" x14ac:dyDescent="0.25"/>
    <row r="528" customFormat="1" ht="15.75" customHeight="1" x14ac:dyDescent="0.25"/>
    <row r="529" customFormat="1" ht="15.75" customHeight="1" x14ac:dyDescent="0.25"/>
    <row r="530" customFormat="1" ht="15.75" customHeight="1" x14ac:dyDescent="0.25"/>
    <row r="531" customFormat="1" ht="15.75" customHeight="1" x14ac:dyDescent="0.25"/>
    <row r="532" customFormat="1" ht="15.75" customHeight="1" x14ac:dyDescent="0.25"/>
    <row r="533" customFormat="1" ht="15.75" customHeight="1" x14ac:dyDescent="0.25"/>
    <row r="534" customFormat="1" ht="15.75" customHeight="1" x14ac:dyDescent="0.25"/>
    <row r="535" customFormat="1" ht="15.75" customHeight="1" x14ac:dyDescent="0.25"/>
    <row r="536" customFormat="1" ht="15.75" customHeight="1" x14ac:dyDescent="0.25"/>
    <row r="537" customFormat="1" ht="15.75" customHeight="1" x14ac:dyDescent="0.25"/>
    <row r="538" customFormat="1" ht="15.75" customHeight="1" x14ac:dyDescent="0.25"/>
    <row r="539" customFormat="1" ht="15.75" customHeight="1" x14ac:dyDescent="0.25"/>
    <row r="540" customFormat="1" ht="15.75" customHeight="1" x14ac:dyDescent="0.25"/>
    <row r="541" customFormat="1" ht="15.75" customHeight="1" x14ac:dyDescent="0.25"/>
    <row r="542" customFormat="1" ht="15.75" customHeight="1" x14ac:dyDescent="0.25"/>
    <row r="543" customFormat="1" ht="15.75" customHeight="1" x14ac:dyDescent="0.25"/>
    <row r="544" customFormat="1" ht="15.75" customHeight="1" x14ac:dyDescent="0.25"/>
    <row r="545" customFormat="1" ht="15.75" customHeight="1" x14ac:dyDescent="0.25"/>
    <row r="546" customFormat="1" ht="15.75" customHeight="1" x14ac:dyDescent="0.25"/>
    <row r="547" customFormat="1" ht="15.75" customHeight="1" x14ac:dyDescent="0.25"/>
    <row r="548" customFormat="1" ht="15.75" customHeight="1" x14ac:dyDescent="0.25"/>
    <row r="549" customFormat="1" ht="15.75" customHeight="1" x14ac:dyDescent="0.25"/>
    <row r="550" customFormat="1" ht="15.75" customHeight="1" x14ac:dyDescent="0.25"/>
    <row r="551" customFormat="1" ht="15.75" customHeight="1" x14ac:dyDescent="0.25"/>
    <row r="552" customFormat="1" ht="15.75" customHeight="1" x14ac:dyDescent="0.25"/>
    <row r="553" customFormat="1" ht="15.75" customHeight="1" x14ac:dyDescent="0.25"/>
    <row r="554" customFormat="1" ht="15.75" customHeight="1" x14ac:dyDescent="0.25"/>
    <row r="555" customFormat="1" ht="15.75" customHeight="1" x14ac:dyDescent="0.25"/>
    <row r="556" customFormat="1" ht="15.75" customHeight="1" x14ac:dyDescent="0.25"/>
    <row r="557" customFormat="1" ht="15.75" customHeight="1" x14ac:dyDescent="0.25"/>
    <row r="558" customFormat="1" ht="15.75" customHeight="1" x14ac:dyDescent="0.25"/>
    <row r="559" customFormat="1" ht="15.75" customHeight="1" x14ac:dyDescent="0.25"/>
    <row r="560" customFormat="1" ht="15.75" customHeight="1" x14ac:dyDescent="0.25"/>
    <row r="561" customFormat="1" ht="15.75" customHeight="1" x14ac:dyDescent="0.25"/>
    <row r="562" customFormat="1" ht="15.75" customHeight="1" x14ac:dyDescent="0.25"/>
    <row r="563" customFormat="1" ht="15.75" customHeight="1" x14ac:dyDescent="0.25"/>
    <row r="564" customFormat="1" ht="15.75" customHeight="1" x14ac:dyDescent="0.25"/>
    <row r="565" customFormat="1" ht="15.75" customHeight="1" x14ac:dyDescent="0.25"/>
    <row r="566" customFormat="1" ht="15.75" customHeight="1" x14ac:dyDescent="0.25"/>
    <row r="567" customFormat="1" ht="15.75" customHeight="1" x14ac:dyDescent="0.25"/>
    <row r="568" customFormat="1" ht="15.75" customHeight="1" x14ac:dyDescent="0.25"/>
    <row r="569" customFormat="1" ht="15.75" customHeight="1" x14ac:dyDescent="0.25"/>
    <row r="570" customFormat="1" ht="15.75" customHeight="1" x14ac:dyDescent="0.25"/>
    <row r="571" customFormat="1" ht="15.75" customHeight="1" x14ac:dyDescent="0.25"/>
    <row r="572" customFormat="1" ht="15.75" customHeight="1" x14ac:dyDescent="0.25"/>
    <row r="573" customFormat="1" ht="15.75" customHeight="1" x14ac:dyDescent="0.25"/>
    <row r="574" customFormat="1" ht="15.75" customHeight="1" x14ac:dyDescent="0.25"/>
    <row r="575" customFormat="1" ht="15.75" customHeight="1" x14ac:dyDescent="0.25"/>
    <row r="576" customFormat="1" ht="15.75" customHeight="1" x14ac:dyDescent="0.25"/>
    <row r="577" customFormat="1" ht="15.75" customHeight="1" x14ac:dyDescent="0.25"/>
    <row r="578" customFormat="1" ht="15.75" customHeight="1" x14ac:dyDescent="0.25"/>
    <row r="579" customFormat="1" ht="15.75" customHeight="1" x14ac:dyDescent="0.25"/>
    <row r="580" customFormat="1" ht="15.75" customHeight="1" x14ac:dyDescent="0.25"/>
    <row r="581" customFormat="1" ht="15.75" customHeight="1" x14ac:dyDescent="0.25"/>
    <row r="582" customFormat="1" ht="15.75" customHeight="1" x14ac:dyDescent="0.25"/>
    <row r="583" customFormat="1" ht="15.75" customHeight="1" x14ac:dyDescent="0.25"/>
    <row r="584" customFormat="1" ht="15.75" customHeight="1" x14ac:dyDescent="0.25"/>
    <row r="585" customFormat="1" ht="15.75" customHeight="1" x14ac:dyDescent="0.25"/>
    <row r="586" customFormat="1" ht="15.75" customHeight="1" x14ac:dyDescent="0.25"/>
    <row r="587" customFormat="1" ht="15.75" customHeight="1" x14ac:dyDescent="0.25"/>
    <row r="588" customFormat="1" ht="15.75" customHeight="1" x14ac:dyDescent="0.25"/>
    <row r="589" customFormat="1" ht="15.75" customHeight="1" x14ac:dyDescent="0.25"/>
    <row r="590" customFormat="1" ht="15.75" customHeight="1" x14ac:dyDescent="0.25"/>
    <row r="591" customFormat="1" ht="15.75" customHeight="1" x14ac:dyDescent="0.25"/>
    <row r="592" customFormat="1" ht="15.75" customHeight="1" x14ac:dyDescent="0.25"/>
    <row r="593" customFormat="1" ht="15.75" customHeight="1" x14ac:dyDescent="0.25"/>
    <row r="594" customFormat="1" ht="15.75" customHeight="1" x14ac:dyDescent="0.25"/>
    <row r="595" customFormat="1" ht="15.75" customHeight="1" x14ac:dyDescent="0.25"/>
    <row r="596" customFormat="1" ht="15.75" customHeight="1" x14ac:dyDescent="0.25"/>
    <row r="597" customFormat="1" ht="15.75" customHeight="1" x14ac:dyDescent="0.25"/>
    <row r="598" customFormat="1" ht="15.75" customHeight="1" x14ac:dyDescent="0.25"/>
    <row r="599" customFormat="1" ht="15.75" customHeight="1" x14ac:dyDescent="0.25"/>
    <row r="600" customFormat="1" ht="15.75" customHeight="1" x14ac:dyDescent="0.25"/>
    <row r="601" customFormat="1" ht="15.75" customHeight="1" x14ac:dyDescent="0.25"/>
    <row r="602" customFormat="1" ht="15.75" customHeight="1" x14ac:dyDescent="0.25"/>
    <row r="603" customFormat="1" ht="15.75" customHeight="1" x14ac:dyDescent="0.25"/>
    <row r="604" customFormat="1" ht="15.75" customHeight="1" x14ac:dyDescent="0.25"/>
    <row r="605" customFormat="1" ht="15.75" customHeight="1" x14ac:dyDescent="0.25"/>
    <row r="606" customFormat="1" ht="15.75" customHeight="1" x14ac:dyDescent="0.25"/>
    <row r="607" customFormat="1" ht="15.75" customHeight="1" x14ac:dyDescent="0.25"/>
    <row r="608" customFormat="1" ht="15.75" customHeight="1" x14ac:dyDescent="0.25"/>
    <row r="609" customFormat="1" ht="15.75" customHeight="1" x14ac:dyDescent="0.25"/>
    <row r="610" customFormat="1" ht="15.75" customHeight="1" x14ac:dyDescent="0.25"/>
    <row r="611" customFormat="1" ht="15.75" customHeight="1" x14ac:dyDescent="0.25"/>
    <row r="612" customFormat="1" ht="15.75" customHeight="1" x14ac:dyDescent="0.25"/>
    <row r="613" customFormat="1" ht="15.75" customHeight="1" x14ac:dyDescent="0.25"/>
    <row r="614" customFormat="1" ht="15.75" customHeight="1" x14ac:dyDescent="0.25"/>
    <row r="615" customFormat="1" ht="15.75" customHeight="1" x14ac:dyDescent="0.25"/>
    <row r="616" customFormat="1" ht="15.75" customHeight="1" x14ac:dyDescent="0.25"/>
    <row r="617" customFormat="1" ht="15.75" customHeight="1" x14ac:dyDescent="0.25"/>
    <row r="618" customFormat="1" ht="15.75" customHeight="1" x14ac:dyDescent="0.25"/>
    <row r="619" customFormat="1" ht="15.75" customHeight="1" x14ac:dyDescent="0.25"/>
    <row r="620" customFormat="1" ht="15.75" customHeight="1" x14ac:dyDescent="0.25"/>
    <row r="621" customFormat="1" ht="15.75" customHeight="1" x14ac:dyDescent="0.25"/>
    <row r="622" customFormat="1" ht="15.75" customHeight="1" x14ac:dyDescent="0.25"/>
    <row r="623" customFormat="1" ht="15.75" customHeight="1" x14ac:dyDescent="0.25"/>
    <row r="624" customFormat="1" ht="15.75" customHeight="1" x14ac:dyDescent="0.25"/>
    <row r="625" customFormat="1" ht="15.75" customHeight="1" x14ac:dyDescent="0.25"/>
    <row r="626" customFormat="1" ht="15.75" customHeight="1" x14ac:dyDescent="0.25"/>
    <row r="627" customFormat="1" ht="15.75" customHeight="1" x14ac:dyDescent="0.25"/>
    <row r="628" customFormat="1" ht="15.75" customHeight="1" x14ac:dyDescent="0.25"/>
    <row r="629" customFormat="1" ht="15.75" customHeight="1" x14ac:dyDescent="0.25"/>
    <row r="630" customFormat="1" ht="15.75" customHeight="1" x14ac:dyDescent="0.25"/>
    <row r="631" customFormat="1" ht="15.75" customHeight="1" x14ac:dyDescent="0.25"/>
    <row r="632" customFormat="1" ht="15.75" customHeight="1" x14ac:dyDescent="0.25"/>
    <row r="633" customFormat="1" ht="15.75" customHeight="1" x14ac:dyDescent="0.25"/>
    <row r="634" customFormat="1" ht="15.75" customHeight="1" x14ac:dyDescent="0.25"/>
    <row r="635" customFormat="1" ht="15.75" customHeight="1" x14ac:dyDescent="0.25"/>
    <row r="636" customFormat="1" ht="15.75" customHeight="1" x14ac:dyDescent="0.25"/>
    <row r="637" customFormat="1" ht="15.75" customHeight="1" x14ac:dyDescent="0.25"/>
    <row r="638" customFormat="1" ht="15.75" customHeight="1" x14ac:dyDescent="0.25"/>
    <row r="639" customFormat="1" ht="15.75" customHeight="1" x14ac:dyDescent="0.25"/>
    <row r="640" customFormat="1" ht="15.75" customHeight="1" x14ac:dyDescent="0.25"/>
    <row r="641" customFormat="1" ht="15.75" customHeight="1" x14ac:dyDescent="0.25"/>
    <row r="642" customFormat="1" ht="15.75" customHeight="1" x14ac:dyDescent="0.25"/>
    <row r="643" customFormat="1" ht="15.75" customHeight="1" x14ac:dyDescent="0.25"/>
    <row r="644" customFormat="1" ht="15.75" customHeight="1" x14ac:dyDescent="0.25"/>
    <row r="645" customFormat="1" ht="15.75" customHeight="1" x14ac:dyDescent="0.25"/>
    <row r="646" customFormat="1" ht="15.75" customHeight="1" x14ac:dyDescent="0.25"/>
    <row r="647" customFormat="1" ht="15.75" customHeight="1" x14ac:dyDescent="0.25"/>
    <row r="648" customFormat="1" ht="15.75" customHeight="1" x14ac:dyDescent="0.25"/>
    <row r="649" customFormat="1" ht="15.75" customHeight="1" x14ac:dyDescent="0.25"/>
    <row r="650" customFormat="1" ht="15.75" customHeight="1" x14ac:dyDescent="0.25"/>
    <row r="651" customFormat="1" ht="15.75" customHeight="1" x14ac:dyDescent="0.25"/>
    <row r="652" customFormat="1" ht="15.75" customHeight="1" x14ac:dyDescent="0.25"/>
    <row r="653" customFormat="1" ht="15.75" customHeight="1" x14ac:dyDescent="0.25"/>
    <row r="654" customFormat="1" ht="15.75" customHeight="1" x14ac:dyDescent="0.25"/>
    <row r="655" customFormat="1" ht="15.75" customHeight="1" x14ac:dyDescent="0.25"/>
    <row r="656" customFormat="1" ht="15.75" customHeight="1" x14ac:dyDescent="0.25"/>
    <row r="657" customFormat="1" ht="15.75" customHeight="1" x14ac:dyDescent="0.25"/>
    <row r="658" customFormat="1" ht="15.75" customHeight="1" x14ac:dyDescent="0.25"/>
    <row r="659" customFormat="1" ht="15.75" customHeight="1" x14ac:dyDescent="0.25"/>
    <row r="660" customFormat="1" ht="15.75" customHeight="1" x14ac:dyDescent="0.25"/>
    <row r="661" customFormat="1" ht="15.75" customHeight="1" x14ac:dyDescent="0.25"/>
    <row r="662" customFormat="1" ht="15.75" customHeight="1" x14ac:dyDescent="0.25"/>
    <row r="663" customFormat="1" ht="15.75" customHeight="1" x14ac:dyDescent="0.25"/>
    <row r="664" customFormat="1" ht="15.75" customHeight="1" x14ac:dyDescent="0.25"/>
    <row r="665" customFormat="1" ht="15.75" customHeight="1" x14ac:dyDescent="0.25"/>
    <row r="666" customFormat="1" ht="15.75" customHeight="1" x14ac:dyDescent="0.25"/>
    <row r="667" customFormat="1" ht="15.75" customHeight="1" x14ac:dyDescent="0.25"/>
    <row r="668" customFormat="1" ht="15.75" customHeight="1" x14ac:dyDescent="0.25"/>
    <row r="669" customFormat="1" ht="15.75" customHeight="1" x14ac:dyDescent="0.25"/>
    <row r="670" customFormat="1" ht="15.75" customHeight="1" x14ac:dyDescent="0.25"/>
    <row r="671" customFormat="1" ht="15.75" customHeight="1" x14ac:dyDescent="0.25"/>
    <row r="672" customFormat="1" ht="15.75" customHeight="1" x14ac:dyDescent="0.25"/>
    <row r="673" customFormat="1" ht="15.75" customHeight="1" x14ac:dyDescent="0.25"/>
    <row r="674" customFormat="1" ht="15.75" customHeight="1" x14ac:dyDescent="0.25"/>
    <row r="675" customFormat="1" ht="15.75" customHeight="1" x14ac:dyDescent="0.25"/>
    <row r="676" customFormat="1" ht="15.75" customHeight="1" x14ac:dyDescent="0.25"/>
    <row r="677" customFormat="1" ht="15.75" customHeight="1" x14ac:dyDescent="0.25"/>
    <row r="678" customFormat="1" ht="15.75" customHeight="1" x14ac:dyDescent="0.25"/>
    <row r="679" customFormat="1" ht="15.75" customHeight="1" x14ac:dyDescent="0.25"/>
    <row r="680" customFormat="1" ht="15.75" customHeight="1" x14ac:dyDescent="0.25"/>
    <row r="681" customFormat="1" ht="15.75" customHeight="1" x14ac:dyDescent="0.25"/>
    <row r="682" customFormat="1" ht="15.75" customHeight="1" x14ac:dyDescent="0.25"/>
    <row r="683" customFormat="1" ht="15.75" customHeight="1" x14ac:dyDescent="0.25"/>
    <row r="684" customFormat="1" ht="15.75" customHeight="1" x14ac:dyDescent="0.25"/>
    <row r="685" customFormat="1" ht="15.75" customHeight="1" x14ac:dyDescent="0.25"/>
    <row r="686" customFormat="1" ht="15.75" customHeight="1" x14ac:dyDescent="0.25"/>
    <row r="687" customFormat="1" ht="15.75" customHeight="1" x14ac:dyDescent="0.25"/>
    <row r="688" customFormat="1" ht="15.75" customHeight="1" x14ac:dyDescent="0.25"/>
    <row r="689" customFormat="1" ht="15.75" customHeight="1" x14ac:dyDescent="0.25"/>
    <row r="690" customFormat="1" ht="15.75" customHeight="1" x14ac:dyDescent="0.25"/>
    <row r="691" customFormat="1" ht="15.75" customHeight="1" x14ac:dyDescent="0.25"/>
    <row r="692" customFormat="1" ht="15.75" customHeight="1" x14ac:dyDescent="0.25"/>
    <row r="693" customFormat="1" ht="15.75" customHeight="1" x14ac:dyDescent="0.25"/>
    <row r="694" customFormat="1" ht="15.75" customHeight="1" x14ac:dyDescent="0.25"/>
    <row r="695" customFormat="1" ht="15.75" customHeight="1" x14ac:dyDescent="0.25"/>
    <row r="696" customFormat="1" ht="15.75" customHeight="1" x14ac:dyDescent="0.25"/>
    <row r="697" customFormat="1" ht="15.75" customHeight="1" x14ac:dyDescent="0.25"/>
    <row r="698" customFormat="1" ht="15.75" customHeight="1" x14ac:dyDescent="0.25"/>
    <row r="699" customFormat="1" ht="15.75" customHeight="1" x14ac:dyDescent="0.25"/>
    <row r="700" customFormat="1" ht="15.75" customHeight="1" x14ac:dyDescent="0.25"/>
    <row r="701" customFormat="1" ht="15.75" customHeight="1" x14ac:dyDescent="0.25"/>
    <row r="702" customFormat="1" ht="15.75" customHeight="1" x14ac:dyDescent="0.25"/>
    <row r="703" customFormat="1" ht="15.75" customHeight="1" x14ac:dyDescent="0.25"/>
    <row r="704" customFormat="1" ht="15.75" customHeight="1" x14ac:dyDescent="0.25"/>
    <row r="705" customFormat="1" ht="15.75" customHeight="1" x14ac:dyDescent="0.25"/>
    <row r="706" customFormat="1" ht="15.75" customHeight="1" x14ac:dyDescent="0.25"/>
    <row r="707" customFormat="1" ht="15.75" customHeight="1" x14ac:dyDescent="0.25"/>
    <row r="708" customFormat="1" ht="15.75" customHeight="1" x14ac:dyDescent="0.25"/>
    <row r="709" customFormat="1" ht="15.75" customHeight="1" x14ac:dyDescent="0.25"/>
    <row r="710" customFormat="1" ht="15.75" customHeight="1" x14ac:dyDescent="0.25"/>
    <row r="711" customFormat="1" ht="15.75" customHeight="1" x14ac:dyDescent="0.25"/>
    <row r="712" customFormat="1" ht="15.75" customHeight="1" x14ac:dyDescent="0.25"/>
    <row r="713" customFormat="1" ht="15.75" customHeight="1" x14ac:dyDescent="0.25"/>
    <row r="714" customFormat="1" ht="15.75" customHeight="1" x14ac:dyDescent="0.25"/>
    <row r="715" customFormat="1" ht="15.75" customHeight="1" x14ac:dyDescent="0.25"/>
    <row r="716" customFormat="1" ht="15.75" customHeight="1" x14ac:dyDescent="0.25"/>
    <row r="717" customFormat="1" ht="15.75" customHeight="1" x14ac:dyDescent="0.25"/>
    <row r="718" customFormat="1" ht="15.75" customHeight="1" x14ac:dyDescent="0.25"/>
    <row r="719" customFormat="1" ht="15.75" customHeight="1" x14ac:dyDescent="0.25"/>
    <row r="720" customFormat="1" ht="15.75" customHeight="1" x14ac:dyDescent="0.25"/>
    <row r="721" customFormat="1" ht="15.75" customHeight="1" x14ac:dyDescent="0.25"/>
    <row r="722" customFormat="1" ht="15.75" customHeight="1" x14ac:dyDescent="0.25"/>
    <row r="723" customFormat="1" ht="15.75" customHeight="1" x14ac:dyDescent="0.25"/>
    <row r="724" customFormat="1" ht="15.75" customHeight="1" x14ac:dyDescent="0.25"/>
    <row r="725" customFormat="1" ht="15.75" customHeight="1" x14ac:dyDescent="0.25"/>
    <row r="726" customFormat="1" ht="15.75" customHeight="1" x14ac:dyDescent="0.25"/>
    <row r="727" customFormat="1" ht="15.75" customHeight="1" x14ac:dyDescent="0.25"/>
    <row r="728" customFormat="1" ht="15.75" customHeight="1" x14ac:dyDescent="0.25"/>
    <row r="729" customFormat="1" ht="15.75" customHeight="1" x14ac:dyDescent="0.25"/>
    <row r="730" customFormat="1" ht="15.75" customHeight="1" x14ac:dyDescent="0.25"/>
    <row r="731" customFormat="1" ht="15.75" customHeight="1" x14ac:dyDescent="0.25"/>
    <row r="732" customFormat="1" ht="15.75" customHeight="1" x14ac:dyDescent="0.25"/>
    <row r="733" customFormat="1" ht="15.75" customHeight="1" x14ac:dyDescent="0.25"/>
    <row r="734" customFormat="1" ht="15.75" customHeight="1" x14ac:dyDescent="0.25"/>
    <row r="735" customFormat="1" ht="15.75" customHeight="1" x14ac:dyDescent="0.25"/>
    <row r="736" customFormat="1" ht="15.75" customHeight="1" x14ac:dyDescent="0.25"/>
    <row r="737" customFormat="1" ht="15.75" customHeight="1" x14ac:dyDescent="0.25"/>
    <row r="738" customFormat="1" ht="15.75" customHeight="1" x14ac:dyDescent="0.25"/>
    <row r="739" customFormat="1" ht="15.75" customHeight="1" x14ac:dyDescent="0.25"/>
    <row r="740" customFormat="1" ht="15.75" customHeight="1" x14ac:dyDescent="0.25"/>
    <row r="741" customFormat="1" ht="15.75" customHeight="1" x14ac:dyDescent="0.25"/>
    <row r="742" customFormat="1" ht="15.75" customHeight="1" x14ac:dyDescent="0.25"/>
    <row r="743" customFormat="1" ht="15.75" customHeight="1" x14ac:dyDescent="0.25"/>
    <row r="744" customFormat="1" ht="15.75" customHeight="1" x14ac:dyDescent="0.25"/>
    <row r="745" customFormat="1" ht="15.75" customHeight="1" x14ac:dyDescent="0.25"/>
    <row r="746" customFormat="1" ht="15.75" customHeight="1" x14ac:dyDescent="0.25"/>
    <row r="747" customFormat="1" ht="15.75" customHeight="1" x14ac:dyDescent="0.25"/>
    <row r="748" customFormat="1" ht="15.75" customHeight="1" x14ac:dyDescent="0.25"/>
    <row r="749" customFormat="1" ht="15.75" customHeight="1" x14ac:dyDescent="0.25"/>
    <row r="750" customFormat="1" ht="15.75" customHeight="1" x14ac:dyDescent="0.25"/>
    <row r="751" customFormat="1" ht="15.75" customHeight="1" x14ac:dyDescent="0.25"/>
    <row r="752" customFormat="1" ht="15.75" customHeight="1" x14ac:dyDescent="0.25"/>
    <row r="753" customFormat="1" ht="15.75" customHeight="1" x14ac:dyDescent="0.25"/>
    <row r="754" customFormat="1" ht="15.75" customHeight="1" x14ac:dyDescent="0.25"/>
    <row r="755" customFormat="1" ht="15.75" customHeight="1" x14ac:dyDescent="0.25"/>
    <row r="756" customFormat="1" ht="15.75" customHeight="1" x14ac:dyDescent="0.25"/>
    <row r="757" customFormat="1" ht="15.75" customHeight="1" x14ac:dyDescent="0.25"/>
    <row r="758" customFormat="1" ht="15.75" customHeight="1" x14ac:dyDescent="0.25"/>
    <row r="759" customFormat="1" ht="15.75" customHeight="1" x14ac:dyDescent="0.25"/>
    <row r="760" customFormat="1" ht="15.75" customHeight="1" x14ac:dyDescent="0.25"/>
    <row r="761" customFormat="1" ht="15.75" customHeight="1" x14ac:dyDescent="0.25"/>
    <row r="762" customFormat="1" ht="15.75" customHeight="1" x14ac:dyDescent="0.25"/>
    <row r="763" customFormat="1" ht="15.75" customHeight="1" x14ac:dyDescent="0.25"/>
    <row r="764" customFormat="1" ht="15.75" customHeight="1" x14ac:dyDescent="0.25"/>
    <row r="765" customFormat="1" ht="15.75" customHeight="1" x14ac:dyDescent="0.25"/>
    <row r="766" customFormat="1" ht="15.75" customHeight="1" x14ac:dyDescent="0.25"/>
    <row r="767" customFormat="1" ht="15.75" customHeight="1" x14ac:dyDescent="0.25"/>
    <row r="768" customFormat="1" ht="15.75" customHeight="1" x14ac:dyDescent="0.25"/>
    <row r="769" customFormat="1" ht="15.75" customHeight="1" x14ac:dyDescent="0.25"/>
    <row r="770" customFormat="1" ht="15.75" customHeight="1" x14ac:dyDescent="0.25"/>
    <row r="771" customFormat="1" ht="15.75" customHeight="1" x14ac:dyDescent="0.25"/>
    <row r="772" customFormat="1" ht="15.75" customHeight="1" x14ac:dyDescent="0.25"/>
    <row r="773" customFormat="1" ht="15.75" customHeight="1" x14ac:dyDescent="0.25"/>
    <row r="774" customFormat="1" ht="15.75" customHeight="1" x14ac:dyDescent="0.25"/>
    <row r="775" customFormat="1" ht="15.75" customHeight="1" x14ac:dyDescent="0.25"/>
    <row r="776" customFormat="1" ht="15.75" customHeight="1" x14ac:dyDescent="0.25"/>
    <row r="777" customFormat="1" ht="15.75" customHeight="1" x14ac:dyDescent="0.25"/>
    <row r="778" customFormat="1" ht="15.75" customHeight="1" x14ac:dyDescent="0.25"/>
    <row r="779" customFormat="1" ht="15.75" customHeight="1" x14ac:dyDescent="0.25"/>
    <row r="780" customFormat="1" ht="15.75" customHeight="1" x14ac:dyDescent="0.25"/>
    <row r="781" customFormat="1" ht="15.75" customHeight="1" x14ac:dyDescent="0.25"/>
    <row r="782" customFormat="1" ht="15.75" customHeight="1" x14ac:dyDescent="0.25"/>
    <row r="783" customFormat="1" ht="15.75" customHeight="1" x14ac:dyDescent="0.25"/>
    <row r="784" customFormat="1" ht="15.75" customHeight="1" x14ac:dyDescent="0.25"/>
    <row r="785" customFormat="1" ht="15.75" customHeight="1" x14ac:dyDescent="0.25"/>
    <row r="786" customFormat="1" ht="15.75" customHeight="1" x14ac:dyDescent="0.25"/>
    <row r="787" customFormat="1" ht="15.75" customHeight="1" x14ac:dyDescent="0.25"/>
    <row r="788" customFormat="1" ht="15.75" customHeight="1" x14ac:dyDescent="0.25"/>
    <row r="789" customFormat="1" ht="15.75" customHeight="1" x14ac:dyDescent="0.25"/>
    <row r="790" customFormat="1" ht="15.75" customHeight="1" x14ac:dyDescent="0.25"/>
    <row r="791" customFormat="1" ht="15.75" customHeight="1" x14ac:dyDescent="0.25"/>
    <row r="792" customFormat="1" ht="15.75" customHeight="1" x14ac:dyDescent="0.25"/>
    <row r="793" customFormat="1" ht="15.75" customHeight="1" x14ac:dyDescent="0.25"/>
    <row r="794" customFormat="1" ht="15.75" customHeight="1" x14ac:dyDescent="0.25"/>
    <row r="795" customFormat="1" ht="15.75" customHeight="1" x14ac:dyDescent="0.25"/>
    <row r="796" customFormat="1" ht="15.75" customHeight="1" x14ac:dyDescent="0.25"/>
    <row r="797" customFormat="1" ht="15.75" customHeight="1" x14ac:dyDescent="0.25"/>
    <row r="798" customFormat="1" ht="15.75" customHeight="1" x14ac:dyDescent="0.25"/>
    <row r="799" customFormat="1" ht="15.75" customHeight="1" x14ac:dyDescent="0.25"/>
    <row r="800" customFormat="1" ht="15.75" customHeight="1" x14ac:dyDescent="0.25"/>
    <row r="801" customFormat="1" ht="15.75" customHeight="1" x14ac:dyDescent="0.25"/>
    <row r="802" customFormat="1" ht="15.75" customHeight="1" x14ac:dyDescent="0.25"/>
    <row r="803" customFormat="1" ht="15.75" customHeight="1" x14ac:dyDescent="0.25"/>
    <row r="804" customFormat="1" ht="15.75" customHeight="1" x14ac:dyDescent="0.25"/>
    <row r="805" customFormat="1" ht="15.75" customHeight="1" x14ac:dyDescent="0.25"/>
    <row r="806" customFormat="1" ht="15.75" customHeight="1" x14ac:dyDescent="0.25"/>
    <row r="807" customFormat="1" ht="15.75" customHeight="1" x14ac:dyDescent="0.25"/>
    <row r="808" customFormat="1" ht="15.75" customHeight="1" x14ac:dyDescent="0.25"/>
    <row r="809" customFormat="1" ht="15.75" customHeight="1" x14ac:dyDescent="0.25"/>
    <row r="810" customFormat="1" ht="15.75" customHeight="1" x14ac:dyDescent="0.25"/>
    <row r="811" customFormat="1" ht="15.75" customHeight="1" x14ac:dyDescent="0.25"/>
    <row r="812" customFormat="1" ht="15.75" customHeight="1" x14ac:dyDescent="0.25"/>
    <row r="813" customFormat="1" ht="15.75" customHeight="1" x14ac:dyDescent="0.25"/>
    <row r="814" customFormat="1" ht="15.75" customHeight="1" x14ac:dyDescent="0.25"/>
    <row r="815" customFormat="1" ht="15.75" customHeight="1" x14ac:dyDescent="0.25"/>
    <row r="816" customFormat="1" ht="15.75" customHeight="1" x14ac:dyDescent="0.25"/>
    <row r="817" customFormat="1" ht="15.75" customHeight="1" x14ac:dyDescent="0.25"/>
    <row r="818" customFormat="1" ht="15.75" customHeight="1" x14ac:dyDescent="0.25"/>
    <row r="819" customFormat="1" ht="15.75" customHeight="1" x14ac:dyDescent="0.25"/>
    <row r="820" customFormat="1" ht="15.75" customHeight="1" x14ac:dyDescent="0.25"/>
    <row r="821" customFormat="1" ht="15.75" customHeight="1" x14ac:dyDescent="0.25"/>
    <row r="822" customFormat="1" ht="15.75" customHeight="1" x14ac:dyDescent="0.25"/>
    <row r="823" customFormat="1" ht="15.75" customHeight="1" x14ac:dyDescent="0.25"/>
    <row r="824" customFormat="1" ht="15.75" customHeight="1" x14ac:dyDescent="0.25"/>
    <row r="825" customFormat="1" ht="15.75" customHeight="1" x14ac:dyDescent="0.25"/>
    <row r="826" customFormat="1" ht="15.75" customHeight="1" x14ac:dyDescent="0.25"/>
    <row r="827" customFormat="1" ht="15.75" customHeight="1" x14ac:dyDescent="0.25"/>
    <row r="828" customFormat="1" ht="15.75" customHeight="1" x14ac:dyDescent="0.25"/>
    <row r="829" customFormat="1" ht="15.75" customHeight="1" x14ac:dyDescent="0.25"/>
    <row r="830" customFormat="1" ht="15.75" customHeight="1" x14ac:dyDescent="0.25"/>
    <row r="831" customFormat="1" ht="15.75" customHeight="1" x14ac:dyDescent="0.25"/>
    <row r="832" customFormat="1" ht="15.75" customHeight="1" x14ac:dyDescent="0.25"/>
    <row r="833" customFormat="1" ht="15.75" customHeight="1" x14ac:dyDescent="0.25"/>
    <row r="834" customFormat="1" ht="15.75" customHeight="1" x14ac:dyDescent="0.25"/>
    <row r="835" customFormat="1" ht="15.75" customHeight="1" x14ac:dyDescent="0.25"/>
    <row r="836" customFormat="1" ht="15.75" customHeight="1" x14ac:dyDescent="0.25"/>
    <row r="837" customFormat="1" ht="15.75" customHeight="1" x14ac:dyDescent="0.25"/>
    <row r="838" customFormat="1" ht="15.75" customHeight="1" x14ac:dyDescent="0.25"/>
    <row r="839" customFormat="1" ht="15.75" customHeight="1" x14ac:dyDescent="0.25"/>
    <row r="840" customFormat="1" ht="15.75" customHeight="1" x14ac:dyDescent="0.25"/>
    <row r="841" customFormat="1" ht="15.75" customHeight="1" x14ac:dyDescent="0.25"/>
    <row r="842" customFormat="1" ht="15.75" customHeight="1" x14ac:dyDescent="0.25"/>
    <row r="843" customFormat="1" ht="15.75" customHeight="1" x14ac:dyDescent="0.25"/>
    <row r="844" customFormat="1" ht="15.75" customHeight="1" x14ac:dyDescent="0.25"/>
    <row r="845" customFormat="1" ht="15.75" customHeight="1" x14ac:dyDescent="0.25"/>
    <row r="846" customFormat="1" ht="15.75" customHeight="1" x14ac:dyDescent="0.25"/>
    <row r="847" customFormat="1" ht="15.75" customHeight="1" x14ac:dyDescent="0.25"/>
    <row r="848" customFormat="1" ht="15.75" customHeight="1" x14ac:dyDescent="0.25"/>
    <row r="849" customFormat="1" ht="15.75" customHeight="1" x14ac:dyDescent="0.25"/>
    <row r="850" customFormat="1" ht="15.75" customHeight="1" x14ac:dyDescent="0.25"/>
    <row r="851" customFormat="1" ht="15.75" customHeight="1" x14ac:dyDescent="0.25"/>
    <row r="852" customFormat="1" ht="15.75" customHeight="1" x14ac:dyDescent="0.25"/>
    <row r="853" customFormat="1" ht="15.75" customHeight="1" x14ac:dyDescent="0.25"/>
    <row r="854" customFormat="1" ht="15.75" customHeight="1" x14ac:dyDescent="0.25"/>
    <row r="855" customFormat="1" ht="15.75" customHeight="1" x14ac:dyDescent="0.25"/>
    <row r="856" customFormat="1" ht="15.75" customHeight="1" x14ac:dyDescent="0.25"/>
    <row r="857" customFormat="1" ht="15.75" customHeight="1" x14ac:dyDescent="0.25"/>
    <row r="858" customFormat="1" ht="15.75" customHeight="1" x14ac:dyDescent="0.25"/>
    <row r="859" customFormat="1" ht="15.75" customHeight="1" x14ac:dyDescent="0.25"/>
    <row r="860" customFormat="1" ht="15.75" customHeight="1" x14ac:dyDescent="0.25"/>
    <row r="861" customFormat="1" ht="15.75" customHeight="1" x14ac:dyDescent="0.25"/>
    <row r="862" customFormat="1" ht="15.75" customHeight="1" x14ac:dyDescent="0.25"/>
    <row r="863" customFormat="1" ht="15.75" customHeight="1" x14ac:dyDescent="0.25"/>
    <row r="864" customFormat="1" ht="15.75" customHeight="1" x14ac:dyDescent="0.25"/>
    <row r="865" customFormat="1" ht="15.75" customHeight="1" x14ac:dyDescent="0.25"/>
    <row r="866" customFormat="1" ht="15.75" customHeight="1" x14ac:dyDescent="0.25"/>
    <row r="867" customFormat="1" ht="15.75" customHeight="1" x14ac:dyDescent="0.25"/>
    <row r="868" customFormat="1" ht="15.75" customHeight="1" x14ac:dyDescent="0.25"/>
    <row r="869" customFormat="1" ht="15.75" customHeight="1" x14ac:dyDescent="0.25"/>
    <row r="870" customFormat="1" ht="15.75" customHeight="1" x14ac:dyDescent="0.25"/>
    <row r="871" customFormat="1" ht="15.75" customHeight="1" x14ac:dyDescent="0.25"/>
    <row r="872" customFormat="1" ht="15.75" customHeight="1" x14ac:dyDescent="0.25"/>
    <row r="873" customFormat="1" ht="15.75" customHeight="1" x14ac:dyDescent="0.25"/>
    <row r="874" customFormat="1" ht="15.75" customHeight="1" x14ac:dyDescent="0.25"/>
    <row r="875" customFormat="1" ht="15.75" customHeight="1" x14ac:dyDescent="0.25"/>
    <row r="876" customFormat="1" ht="15.75" customHeight="1" x14ac:dyDescent="0.25"/>
    <row r="877" customFormat="1" ht="15.75" customHeight="1" x14ac:dyDescent="0.25"/>
    <row r="878" customFormat="1" ht="15.75" customHeight="1" x14ac:dyDescent="0.25"/>
    <row r="879" customFormat="1" ht="15.75" customHeight="1" x14ac:dyDescent="0.25"/>
    <row r="880" customFormat="1" ht="15.75" customHeight="1" x14ac:dyDescent="0.25"/>
    <row r="881" customFormat="1" ht="15.75" customHeight="1" x14ac:dyDescent="0.25"/>
    <row r="882" customFormat="1" ht="15.75" customHeight="1" x14ac:dyDescent="0.25"/>
    <row r="883" customFormat="1" ht="15.75" customHeight="1" x14ac:dyDescent="0.25"/>
    <row r="884" customFormat="1" ht="15.75" customHeight="1" x14ac:dyDescent="0.25"/>
    <row r="885" customFormat="1" ht="15.75" customHeight="1" x14ac:dyDescent="0.25"/>
    <row r="886" customFormat="1" ht="15.75" customHeight="1" x14ac:dyDescent="0.25"/>
    <row r="887" customFormat="1" ht="15.75" customHeight="1" x14ac:dyDescent="0.25"/>
    <row r="888" customFormat="1" ht="15.75" customHeight="1" x14ac:dyDescent="0.25"/>
    <row r="889" customFormat="1" ht="15.75" customHeight="1" x14ac:dyDescent="0.25"/>
    <row r="890" customFormat="1" ht="15.75" customHeight="1" x14ac:dyDescent="0.25"/>
    <row r="891" customFormat="1" ht="15.75" customHeight="1" x14ac:dyDescent="0.25"/>
    <row r="892" customFormat="1" ht="15.75" customHeight="1" x14ac:dyDescent="0.25"/>
    <row r="893" customFormat="1" ht="15.75" customHeight="1" x14ac:dyDescent="0.25"/>
    <row r="894" customFormat="1" ht="15.75" customHeight="1" x14ac:dyDescent="0.25"/>
    <row r="895" customFormat="1" ht="15.75" customHeight="1" x14ac:dyDescent="0.25"/>
    <row r="896" customFormat="1" ht="15.75" customHeight="1" x14ac:dyDescent="0.25"/>
    <row r="897" customFormat="1" ht="15.75" customHeight="1" x14ac:dyDescent="0.25"/>
    <row r="898" customFormat="1" ht="15.75" customHeight="1" x14ac:dyDescent="0.25"/>
    <row r="899" customFormat="1" ht="15.75" customHeight="1" x14ac:dyDescent="0.25"/>
    <row r="900" customFormat="1" ht="15.75" customHeight="1" x14ac:dyDescent="0.25"/>
    <row r="901" customFormat="1" ht="15.75" customHeight="1" x14ac:dyDescent="0.25"/>
    <row r="902" customFormat="1" ht="15.75" customHeight="1" x14ac:dyDescent="0.25"/>
    <row r="903" customFormat="1" ht="15.75" customHeight="1" x14ac:dyDescent="0.25"/>
    <row r="904" customFormat="1" ht="15.75" customHeight="1" x14ac:dyDescent="0.25"/>
    <row r="905" customFormat="1" ht="15.75" customHeight="1" x14ac:dyDescent="0.25"/>
    <row r="906" customFormat="1" ht="15.75" customHeight="1" x14ac:dyDescent="0.25"/>
    <row r="907" customFormat="1" ht="15.75" customHeight="1" x14ac:dyDescent="0.25"/>
    <row r="908" customFormat="1" ht="15.75" customHeight="1" x14ac:dyDescent="0.25"/>
    <row r="909" customFormat="1" ht="15.75" customHeight="1" x14ac:dyDescent="0.25"/>
    <row r="910" customFormat="1" ht="15.75" customHeight="1" x14ac:dyDescent="0.25"/>
    <row r="911" customFormat="1" ht="15.75" customHeight="1" x14ac:dyDescent="0.25"/>
    <row r="912" customFormat="1" ht="15.75" customHeight="1" x14ac:dyDescent="0.25"/>
    <row r="913" customFormat="1" ht="15.75" customHeight="1" x14ac:dyDescent="0.25"/>
    <row r="914" customFormat="1" ht="15.75" customHeight="1" x14ac:dyDescent="0.25"/>
    <row r="915" customFormat="1" ht="15.75" customHeight="1" x14ac:dyDescent="0.25"/>
    <row r="916" customFormat="1" ht="15.75" customHeight="1" x14ac:dyDescent="0.25"/>
    <row r="917" customFormat="1" ht="15.75" customHeight="1" x14ac:dyDescent="0.25"/>
    <row r="918" customFormat="1" ht="15.75" customHeight="1" x14ac:dyDescent="0.25"/>
    <row r="919" customFormat="1" ht="15.75" customHeight="1" x14ac:dyDescent="0.25"/>
    <row r="920" customFormat="1" ht="15.75" customHeight="1" x14ac:dyDescent="0.25"/>
    <row r="921" customFormat="1" ht="15.75" customHeight="1" x14ac:dyDescent="0.25"/>
    <row r="922" customFormat="1" ht="15.75" customHeight="1" x14ac:dyDescent="0.25"/>
    <row r="923" customFormat="1" ht="15.75" customHeight="1" x14ac:dyDescent="0.25"/>
    <row r="924" customFormat="1" ht="15.75" customHeight="1" x14ac:dyDescent="0.25"/>
    <row r="925" customFormat="1" ht="15.75" customHeight="1" x14ac:dyDescent="0.25"/>
    <row r="926" customFormat="1" ht="15.75" customHeight="1" x14ac:dyDescent="0.25"/>
    <row r="927" customFormat="1" ht="15.75" customHeight="1" x14ac:dyDescent="0.25"/>
    <row r="928" customFormat="1" ht="15.75" customHeight="1" x14ac:dyDescent="0.25"/>
    <row r="929" customFormat="1" ht="15.75" customHeight="1" x14ac:dyDescent="0.25"/>
    <row r="930" customFormat="1" ht="15.75" customHeight="1" x14ac:dyDescent="0.25"/>
    <row r="931" customFormat="1" ht="15.75" customHeight="1" x14ac:dyDescent="0.25"/>
    <row r="932" customFormat="1" ht="15.75" customHeight="1" x14ac:dyDescent="0.25"/>
    <row r="933" customFormat="1" ht="15.75" customHeight="1" x14ac:dyDescent="0.25"/>
    <row r="934" customFormat="1" ht="15.75" customHeight="1" x14ac:dyDescent="0.25"/>
    <row r="935" customFormat="1" ht="15.75" customHeight="1" x14ac:dyDescent="0.25"/>
    <row r="936" customFormat="1" ht="15.75" customHeight="1" x14ac:dyDescent="0.25"/>
    <row r="937" customFormat="1" ht="15.75" customHeight="1" x14ac:dyDescent="0.25"/>
    <row r="938" customFormat="1" ht="15.75" customHeight="1" x14ac:dyDescent="0.25"/>
    <row r="939" customFormat="1" ht="15.75" customHeight="1" x14ac:dyDescent="0.25"/>
    <row r="940" customFormat="1" ht="15.75" customHeight="1" x14ac:dyDescent="0.25"/>
    <row r="941" customFormat="1" ht="15.75" customHeight="1" x14ac:dyDescent="0.25"/>
    <row r="942" customFormat="1" ht="15.75" customHeight="1" x14ac:dyDescent="0.25"/>
    <row r="943" customFormat="1" ht="15.75" customHeight="1" x14ac:dyDescent="0.25"/>
    <row r="944" customFormat="1" ht="15.75" customHeight="1" x14ac:dyDescent="0.25"/>
    <row r="945" customFormat="1" ht="15.75" customHeight="1" x14ac:dyDescent="0.25"/>
    <row r="946" customFormat="1" ht="15.75" customHeight="1" x14ac:dyDescent="0.25"/>
    <row r="947" customFormat="1" ht="15.75" customHeight="1" x14ac:dyDescent="0.25"/>
    <row r="948" customFormat="1" ht="15.75" customHeight="1" x14ac:dyDescent="0.25"/>
    <row r="949" customFormat="1" ht="15.75" customHeight="1" x14ac:dyDescent="0.25"/>
    <row r="950" customFormat="1" ht="15.75" customHeight="1" x14ac:dyDescent="0.25"/>
    <row r="951" customFormat="1" ht="15.75" customHeight="1" x14ac:dyDescent="0.25"/>
    <row r="952" customFormat="1" ht="15.75" customHeight="1" x14ac:dyDescent="0.25"/>
    <row r="953" customFormat="1" ht="15.75" customHeight="1" x14ac:dyDescent="0.25"/>
    <row r="954" customFormat="1" ht="15.75" customHeight="1" x14ac:dyDescent="0.25"/>
    <row r="955" customFormat="1" ht="15.75" customHeight="1" x14ac:dyDescent="0.25"/>
    <row r="956" customFormat="1" ht="15.75" customHeight="1" x14ac:dyDescent="0.25"/>
    <row r="957" customFormat="1" ht="15.75" customHeight="1" x14ac:dyDescent="0.25"/>
    <row r="958" customFormat="1" ht="15.75" customHeight="1" x14ac:dyDescent="0.25"/>
    <row r="959" customFormat="1" ht="15.75" customHeight="1" x14ac:dyDescent="0.25"/>
    <row r="960" customFormat="1" ht="15.75" customHeight="1" x14ac:dyDescent="0.25"/>
    <row r="961" customFormat="1" ht="15.75" customHeight="1" x14ac:dyDescent="0.25"/>
    <row r="962" customFormat="1" ht="15.75" customHeight="1" x14ac:dyDescent="0.25"/>
    <row r="963" customFormat="1" ht="15.75" customHeight="1" x14ac:dyDescent="0.25"/>
    <row r="964" customFormat="1" ht="15.75" customHeight="1" x14ac:dyDescent="0.25"/>
    <row r="965" customFormat="1" ht="15.75" customHeight="1" x14ac:dyDescent="0.25"/>
    <row r="966" customFormat="1" ht="15.75" customHeight="1" x14ac:dyDescent="0.25"/>
    <row r="967" customFormat="1" ht="15.75" customHeight="1" x14ac:dyDescent="0.25"/>
    <row r="968" customFormat="1" ht="15.75" customHeight="1" x14ac:dyDescent="0.25"/>
    <row r="969" customFormat="1" ht="15.75" customHeight="1" x14ac:dyDescent="0.25"/>
    <row r="970" customFormat="1" ht="15.75" customHeight="1" x14ac:dyDescent="0.25"/>
    <row r="971" customFormat="1" ht="15.75" customHeight="1" x14ac:dyDescent="0.25"/>
    <row r="972" customFormat="1" ht="15.75" customHeight="1" x14ac:dyDescent="0.25"/>
    <row r="973" customFormat="1" ht="15.75" customHeight="1" x14ac:dyDescent="0.25"/>
    <row r="974" customFormat="1" ht="15.75" customHeight="1" x14ac:dyDescent="0.25"/>
    <row r="975" customFormat="1" ht="15.75" customHeight="1" x14ac:dyDescent="0.25"/>
    <row r="976" customFormat="1" ht="15.75" customHeight="1" x14ac:dyDescent="0.25"/>
    <row r="977" customFormat="1" ht="15.75" customHeight="1" x14ac:dyDescent="0.25"/>
    <row r="978" customFormat="1" ht="15.75" customHeight="1" x14ac:dyDescent="0.25"/>
    <row r="979" customFormat="1" ht="15.75" customHeight="1" x14ac:dyDescent="0.25"/>
    <row r="980" customFormat="1" ht="15.75" customHeight="1" x14ac:dyDescent="0.25"/>
    <row r="981" customFormat="1" ht="15.75" customHeight="1" x14ac:dyDescent="0.25"/>
    <row r="982" customFormat="1" ht="15.75" customHeight="1" x14ac:dyDescent="0.25"/>
    <row r="983" customFormat="1" ht="15.75" customHeight="1" x14ac:dyDescent="0.25"/>
    <row r="984" customFormat="1" ht="15.75" customHeight="1" x14ac:dyDescent="0.25"/>
    <row r="985" customFormat="1" ht="15.75" customHeight="1" x14ac:dyDescent="0.25"/>
    <row r="986" customFormat="1" ht="15.75" customHeight="1" x14ac:dyDescent="0.25"/>
    <row r="987" customFormat="1" ht="15.75" customHeight="1" x14ac:dyDescent="0.25"/>
    <row r="988" customFormat="1" ht="15.75" customHeight="1" x14ac:dyDescent="0.25"/>
    <row r="989" customFormat="1" ht="15.75" customHeight="1" x14ac:dyDescent="0.25"/>
    <row r="990" customFormat="1" ht="15.75" customHeight="1" x14ac:dyDescent="0.25"/>
    <row r="991" customFormat="1" ht="15.75" customHeight="1" x14ac:dyDescent="0.25"/>
    <row r="992" customFormat="1" ht="15.75" customHeight="1" x14ac:dyDescent="0.25"/>
    <row r="993" customFormat="1" ht="15.75" customHeight="1" x14ac:dyDescent="0.25"/>
    <row r="994" customFormat="1" ht="15.75" customHeight="1" x14ac:dyDescent="0.25"/>
    <row r="995" customFormat="1" ht="15.75" customHeight="1" x14ac:dyDescent="0.25"/>
    <row r="996" customFormat="1" ht="15.75" customHeight="1" x14ac:dyDescent="0.25"/>
    <row r="997" customFormat="1" ht="15.75" customHeight="1" x14ac:dyDescent="0.25"/>
    <row r="998" customFormat="1" ht="15.75" customHeight="1" x14ac:dyDescent="0.25"/>
    <row r="999" customFormat="1" ht="15.75" customHeight="1" x14ac:dyDescent="0.25"/>
    <row r="1000" customFormat="1" ht="15.75" customHeight="1" x14ac:dyDescent="0.25"/>
  </sheetData>
  <dataValidations count="1">
    <dataValidation type="list" allowBlank="1" sqref="AA4:AA115" xr:uid="{CFF585CF-CB63-42A1-A044-B124BC08B602}">
      <formula1>"Verified,Needs correction,Not applicable"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Method</vt:lpstr>
      <vt:lpstr>Parameters</vt:lpstr>
      <vt:lpstr>Scores</vt:lpstr>
      <vt:lpstr>Diagnostics</vt:lpstr>
      <vt:lpstr>Sensitivity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Sanya Gupta</cp:lastModifiedBy>
  <cp:revision>0</cp:revision>
  <dcterms:created xsi:type="dcterms:W3CDTF">2026-10-14T10:07:34Z</dcterms:created>
  <dcterms:modified xsi:type="dcterms:W3CDTF">2026-10-14T11:05:30Z</dcterms:modified>
  <dc:language>en-US</dc:language>
</cp:coreProperties>
</file>