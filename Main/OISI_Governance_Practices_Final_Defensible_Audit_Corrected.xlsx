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Methodology" sheetId="4" state="visible" r:id="rId4"/>
    <sheet name="Parameters" sheetId="5" state="visible" r:id="rId5"/>
    <sheet name="Diagnostics" sheetId="6" state="visible" r:id="rId6"/>
    <sheet name="Sensitivity" sheetId="7" state="visible" r:id="rId7"/>
    <sheet name="Coverage" sheetId="8" state="visible" r:id="rId8"/>
    <sheet name="Verification" sheetId="9" state="visible" r:id="rId9"/>
    <sheet name="Review Queue" sheetId="10" state="visible" r:id="rId10"/>
    <sheet name="Calc" sheetId="11" state="visible" r:id="rId11"/>
    <sheet name="Data" sheetId="12" state="visible" r:id="rId12"/>
    <sheet name="Field Guide" sheetId="13" state="visible" r:id="rId13"/>
  </sheets>
  <definedNames>
    <definedName name="_xlnm._FilterDatabase" localSheetId="0" hidden="1">'Summary'!$A$1:$B$15</definedName>
    <definedName name="_xlnm._FilterDatabase" localSheetId="1" hidden="1">'Scoring'!$A$1:$X$113</definedName>
    <definedName name="_xlnm._FilterDatabase" localSheetId="2" hidden="1">'Metric Rules'!$A$1:$H$9</definedName>
    <definedName name="_xlnm._FilterDatabase" localSheetId="3" hidden="1">'Methodology'!$A$1:$B$16</definedName>
    <definedName name="_xlnm._FilterDatabase" localSheetId="4" hidden="1">'Parameters'!$A$1:$C$10</definedName>
    <definedName name="_xlnm._FilterDatabase" localSheetId="5" hidden="1">'Diagnostics'!$A$1:$J$21</definedName>
    <definedName name="_xlnm._FilterDatabase" localSheetId="6" hidden="1">'Sensitivity'!$A$1:$G$7</definedName>
    <definedName name="_xlnm._FilterDatabase" localSheetId="7" hidden="1">'Coverage'!$A$1:$L$113</definedName>
    <definedName name="_xlnm._FilterDatabase" localSheetId="8" hidden="1">'Verification'!$A$1:$H$113</definedName>
    <definedName name="_xlnm._FilterDatabase" localSheetId="9" hidden="1">'Review Queue'!$A$1:$F$23</definedName>
    <definedName name="_xlnm._FilterDatabase" localSheetId="10" hidden="1">'Calc'!$A$1:$O$113</definedName>
    <definedName name="_xlnm._FilterDatabase" localSheetId="11" hidden="1">'Data'!$A$1:$AD$113</definedName>
    <definedName name="_xlnm._FilterDatabase" localSheetId="12" hidden="1">'Field Guide'!$A$1:$D$23</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5B55"/>
      </patternFill>
    </fill>
    <fill>
      <patternFill patternType="solid">
        <fgColor rgb="00FCECC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OISI</author>
  </authors>
  <commentList>
    <comment ref="E2" authorId="0" shapeId="0">
      <text>
        <t>Optional reviewer correction after checking field 950 and evidence. Allowed values: 0 or 100.</t>
      </text>
    </comment>
    <comment ref="E3" authorId="0" shapeId="0">
      <text>
        <t>Optional reviewer correction after checking field 950 and evidence. Allowed values: 0 or 100.</t>
      </text>
    </comment>
    <comment ref="E4" authorId="0" shapeId="0">
      <text>
        <t>Optional reviewer correction after checking field 950 and evidence. Allowed values: 0 or 100.</t>
      </text>
    </comment>
    <comment ref="E5" authorId="0" shapeId="0">
      <text>
        <t>Optional reviewer correction after checking field 950 and evidence. Allowed values: 0 or 100.</t>
      </text>
    </comment>
    <comment ref="E6" authorId="0" shapeId="0">
      <text>
        <t>Optional reviewer correction after checking field 950 and evidence. Allowed values: 0 or 100.</t>
      </text>
    </comment>
    <comment ref="E7" authorId="0" shapeId="0">
      <text>
        <t>Optional reviewer correction after checking field 950 and evidence. Allowed values: 0 or 100.</t>
      </text>
    </comment>
    <comment ref="E8" authorId="0" shapeId="0">
      <text>
        <t>Optional reviewer correction after checking field 950 and evidence. Allowed values: 0 or 100.</t>
      </text>
    </comment>
    <comment ref="E9" authorId="0" shapeId="0">
      <text>
        <t>Optional reviewer correction after checking field 950 and evidence. Allowed values: 0 or 100.</t>
      </text>
    </comment>
    <comment ref="E10" authorId="0" shapeId="0">
      <text>
        <t>Optional reviewer correction after checking field 950 and evidence. Allowed values: 0 or 100.</t>
      </text>
    </comment>
    <comment ref="E11" authorId="0" shapeId="0">
      <text>
        <t>Optional reviewer correction after checking field 950 and evidence. Allowed values: 0 or 100.</t>
      </text>
    </comment>
    <comment ref="E12" authorId="0" shapeId="0">
      <text>
        <t>Optional reviewer correction after checking field 950 and evidence. Allowed values: 0 or 100.</t>
      </text>
    </comment>
    <comment ref="E13" authorId="0" shapeId="0">
      <text>
        <t>Optional reviewer correction after checking field 950 and evidence. Allowed values: 0 or 100.</t>
      </text>
    </comment>
    <comment ref="E14" authorId="0" shapeId="0">
      <text>
        <t>Optional reviewer correction after checking field 950 and evidence. Allowed values: 0 or 100.</t>
      </text>
    </comment>
    <comment ref="E15" authorId="0" shapeId="0">
      <text>
        <t>Optional reviewer correction after checking field 950 and evidence. Allowed values: 0 or 100.</t>
      </text>
    </comment>
    <comment ref="E16" authorId="0" shapeId="0">
      <text>
        <t>Optional reviewer correction after checking field 950 and evidence. Allowed values: 0 or 100.</t>
      </text>
    </comment>
    <comment ref="E17" authorId="0" shapeId="0">
      <text>
        <t>Optional reviewer correction after checking field 950 and evidence. Allowed values: 0 or 100.</t>
      </text>
    </comment>
    <comment ref="E18" authorId="0" shapeId="0">
      <text>
        <t>Optional reviewer correction after checking field 950 and evidence. Allowed values: 0 or 100.</t>
      </text>
    </comment>
    <comment ref="E19" authorId="0" shapeId="0">
      <text>
        <t>Optional reviewer correction after checking field 950 and evidence. Allowed values: 0 or 100.</t>
      </text>
    </comment>
    <comment ref="E20" authorId="0" shapeId="0">
      <text>
        <t>Optional reviewer correction after checking field 950 and evidence. Allowed values: 0 or 100.</t>
      </text>
    </comment>
    <comment ref="E21" authorId="0" shapeId="0">
      <text>
        <t>Optional reviewer correction after checking field 950 and evidence. Allowed values: 0 or 100.</t>
      </text>
    </comment>
    <comment ref="E22" authorId="0" shapeId="0">
      <text>
        <t>Optional reviewer correction after checking field 950 and evidence. Allowed values: 0 or 100.</t>
      </text>
    </comment>
    <comment ref="E23" authorId="0" shapeId="0">
      <text>
        <t>Optional reviewer correction after checking field 950 and evidence. Allowed values: 0 or 100.</t>
      </text>
    </comment>
    <comment ref="E24" authorId="0" shapeId="0">
      <text>
        <t>Optional reviewer correction after checking field 950 and evidence. Allowed values: 0 or 100.</t>
      </text>
    </comment>
    <comment ref="E25" authorId="0" shapeId="0">
      <text>
        <t>Optional reviewer correction after checking field 950 and evidence. Allowed values: 0 or 100.</t>
      </text>
    </comment>
    <comment ref="E26" authorId="0" shapeId="0">
      <text>
        <t>Optional reviewer correction after checking field 950 and evidence. Allowed values: 0 or 100.</t>
      </text>
    </comment>
    <comment ref="E27" authorId="0" shapeId="0">
      <text>
        <t>Optional reviewer correction after checking field 950 and evidence. Allowed values: 0 or 100.</t>
      </text>
    </comment>
    <comment ref="E28" authorId="0" shapeId="0">
      <text>
        <t>Optional reviewer correction after checking field 950 and evidence. Allowed values: 0 or 100.</t>
      </text>
    </comment>
    <comment ref="E29" authorId="0" shapeId="0">
      <text>
        <t>Optional reviewer correction after checking field 950 and evidence. Allowed values: 0 or 100.</t>
      </text>
    </comment>
    <comment ref="E30" authorId="0" shapeId="0">
      <text>
        <t>Optional reviewer correction after checking field 950 and evidence. Allowed values: 0 or 100.</t>
      </text>
    </comment>
    <comment ref="E31" authorId="0" shapeId="0">
      <text>
        <t>Optional reviewer correction after checking field 950 and evidence. Allowed values: 0 or 100.</t>
      </text>
    </comment>
    <comment ref="E32" authorId="0" shapeId="0">
      <text>
        <t>Optional reviewer correction after checking field 950 and evidence. Allowed values: 0 or 100.</t>
      </text>
    </comment>
    <comment ref="E33" authorId="0" shapeId="0">
      <text>
        <t>Optional reviewer correction after checking field 950 and evidence. Allowed values: 0 or 100.</t>
      </text>
    </comment>
    <comment ref="E34" authorId="0" shapeId="0">
      <text>
        <t>Optional reviewer correction after checking field 950 and evidence. Allowed values: 0 or 100.</t>
      </text>
    </comment>
    <comment ref="E35" authorId="0" shapeId="0">
      <text>
        <t>Optional reviewer correction after checking field 950 and evidence. Allowed values: 0 or 100.</t>
      </text>
    </comment>
    <comment ref="E36" authorId="0" shapeId="0">
      <text>
        <t>Optional reviewer correction after checking field 950 and evidence. Allowed values: 0 or 100.</t>
      </text>
    </comment>
    <comment ref="E37" authorId="0" shapeId="0">
      <text>
        <t>Optional reviewer correction after checking field 950 and evidence. Allowed values: 0 or 100.</t>
      </text>
    </comment>
    <comment ref="E38" authorId="0" shapeId="0">
      <text>
        <t>Optional reviewer correction after checking field 950 and evidence. Allowed values: 0 or 100.</t>
      </text>
    </comment>
    <comment ref="E39" authorId="0" shapeId="0">
      <text>
        <t>Optional reviewer correction after checking field 950 and evidence. Allowed values: 0 or 100.</t>
      </text>
    </comment>
    <comment ref="E40" authorId="0" shapeId="0">
      <text>
        <t>Optional reviewer correction after checking field 950 and evidence. Allowed values: 0 or 100.</t>
      </text>
    </comment>
    <comment ref="E41" authorId="0" shapeId="0">
      <text>
        <t>Optional reviewer correction after checking field 950 and evidence. Allowed values: 0 or 100.</t>
      </text>
    </comment>
    <comment ref="E42" authorId="0" shapeId="0">
      <text>
        <t>Optional reviewer correction after checking field 950 and evidence. Allowed values: 0 or 100.</t>
      </text>
    </comment>
    <comment ref="E43" authorId="0" shapeId="0">
      <text>
        <t>Optional reviewer correction after checking field 950 and evidence. Allowed values: 0 or 100.</t>
      </text>
    </comment>
    <comment ref="E44" authorId="0" shapeId="0">
      <text>
        <t>Optional reviewer correction after checking field 950 and evidence. Allowed values: 0 or 100.</t>
      </text>
    </comment>
    <comment ref="E45" authorId="0" shapeId="0">
      <text>
        <t>Optional reviewer correction after checking field 950 and evidence. Allowed values: 0 or 100.</t>
      </text>
    </comment>
    <comment ref="E46" authorId="0" shapeId="0">
      <text>
        <t>Optional reviewer correction after checking field 950 and evidence. Allowed values: 0 or 100.</t>
      </text>
    </comment>
    <comment ref="E47" authorId="0" shapeId="0">
      <text>
        <t>Optional reviewer correction after checking field 950 and evidence. Allowed values: 0 or 100.</t>
      </text>
    </comment>
    <comment ref="E48" authorId="0" shapeId="0">
      <text>
        <t>Optional reviewer correction after checking field 950 and evidence. Allowed values: 0 or 100.</t>
      </text>
    </comment>
    <comment ref="E49" authorId="0" shapeId="0">
      <text>
        <t>Optional reviewer correction after checking field 950 and evidence. Allowed values: 0 or 100.</t>
      </text>
    </comment>
    <comment ref="E50" authorId="0" shapeId="0">
      <text>
        <t>Optional reviewer correction after checking field 950 and evidence. Allowed values: 0 or 100.</t>
      </text>
    </comment>
    <comment ref="E51" authorId="0" shapeId="0">
      <text>
        <t>Optional reviewer correction after checking field 950 and evidence. Allowed values: 0 or 100.</t>
      </text>
    </comment>
    <comment ref="E52" authorId="0" shapeId="0">
      <text>
        <t>Optional reviewer correction after checking field 950 and evidence. Allowed values: 0 or 100.</t>
      </text>
    </comment>
    <comment ref="E53" authorId="0" shapeId="0">
      <text>
        <t>Optional reviewer correction after checking field 950 and evidence. Allowed values: 0 or 100.</t>
      </text>
    </comment>
    <comment ref="E54" authorId="0" shapeId="0">
      <text>
        <t>Optional reviewer correction after checking field 950 and evidence. Allowed values: 0 or 100.</t>
      </text>
    </comment>
    <comment ref="E55" authorId="0" shapeId="0">
      <text>
        <t>Optional reviewer correction after checking field 950 and evidence. Allowed values: 0 or 100.</t>
      </text>
    </comment>
    <comment ref="E56" authorId="0" shapeId="0">
      <text>
        <t>Optional reviewer correction after checking field 950 and evidence. Allowed values: 0 or 100.</t>
      </text>
    </comment>
    <comment ref="E57" authorId="0" shapeId="0">
      <text>
        <t>Optional reviewer correction after checking field 950 and evidence. Allowed values: 0 or 100.</t>
      </text>
    </comment>
    <comment ref="E58" authorId="0" shapeId="0">
      <text>
        <t>Optional reviewer correction after checking field 950 and evidence. Allowed values: 0 or 100.</t>
      </text>
    </comment>
    <comment ref="E59" authorId="0" shapeId="0">
      <text>
        <t>Optional reviewer correction after checking field 950 and evidence. Allowed values: 0 or 100.</t>
      </text>
    </comment>
    <comment ref="E60" authorId="0" shapeId="0">
      <text>
        <t>Optional reviewer correction after checking field 950 and evidence. Allowed values: 0 or 100.</t>
      </text>
    </comment>
    <comment ref="E61" authorId="0" shapeId="0">
      <text>
        <t>Optional reviewer correction after checking field 950 and evidence. Allowed values: 0 or 100.</t>
      </text>
    </comment>
    <comment ref="E62" authorId="0" shapeId="0">
      <text>
        <t>Optional reviewer correction after checking field 950 and evidence. Allowed values: 0 or 100.</t>
      </text>
    </comment>
    <comment ref="E63" authorId="0" shapeId="0">
      <text>
        <t>Optional reviewer correction after checking field 950 and evidence. Allowed values: 0 or 100.</t>
      </text>
    </comment>
    <comment ref="E64" authorId="0" shapeId="0">
      <text>
        <t>Optional reviewer correction after checking field 950 and evidence. Allowed values: 0 or 100.</t>
      </text>
    </comment>
    <comment ref="E65" authorId="0" shapeId="0">
      <text>
        <t>Optional reviewer correction after checking field 950 and evidence. Allowed values: 0 or 100.</t>
      </text>
    </comment>
    <comment ref="E66" authorId="0" shapeId="0">
      <text>
        <t>Optional reviewer correction after checking field 950 and evidence. Allowed values: 0 or 100.</t>
      </text>
    </comment>
    <comment ref="E67" authorId="0" shapeId="0">
      <text>
        <t>Optional reviewer correction after checking field 950 and evidence. Allowed values: 0 or 100.</t>
      </text>
    </comment>
    <comment ref="E68" authorId="0" shapeId="0">
      <text>
        <t>Optional reviewer correction after checking field 950 and evidence. Allowed values: 0 or 100.</t>
      </text>
    </comment>
    <comment ref="E69" authorId="0" shapeId="0">
      <text>
        <t>Optional reviewer correction after checking field 950 and evidence. Allowed values: 0 or 100.</t>
      </text>
    </comment>
    <comment ref="E70" authorId="0" shapeId="0">
      <text>
        <t>Optional reviewer correction after checking field 950 and evidence. Allowed values: 0 or 100.</t>
      </text>
    </comment>
    <comment ref="E71" authorId="0" shapeId="0">
      <text>
        <t>Optional reviewer correction after checking field 950 and evidence. Allowed values: 0 or 100.</t>
      </text>
    </comment>
    <comment ref="E72" authorId="0" shapeId="0">
      <text>
        <t>Optional reviewer correction after checking field 950 and evidence. Allowed values: 0 or 100.</t>
      </text>
    </comment>
    <comment ref="E73" authorId="0" shapeId="0">
      <text>
        <t>Optional reviewer correction after checking field 950 and evidence. Allowed values: 0 or 100.</t>
      </text>
    </comment>
    <comment ref="E74" authorId="0" shapeId="0">
      <text>
        <t>Optional reviewer correction after checking field 950 and evidence. Allowed values: 0 or 100.</t>
      </text>
    </comment>
    <comment ref="E75" authorId="0" shapeId="0">
      <text>
        <t>Optional reviewer correction after checking field 950 and evidence. Allowed values: 0 or 100.</t>
      </text>
    </comment>
    <comment ref="E76" authorId="0" shapeId="0">
      <text>
        <t>Optional reviewer correction after checking field 950 and evidence. Allowed values: 0 or 100.</t>
      </text>
    </comment>
    <comment ref="E77" authorId="0" shapeId="0">
      <text>
        <t>Optional reviewer correction after checking field 950 and evidence. Allowed values: 0 or 100.</t>
      </text>
    </comment>
    <comment ref="E78" authorId="0" shapeId="0">
      <text>
        <t>Optional reviewer correction after checking field 950 and evidence. Allowed values: 0 or 100.</t>
      </text>
    </comment>
    <comment ref="E79" authorId="0" shapeId="0">
      <text>
        <t>Optional reviewer correction after checking field 950 and evidence. Allowed values: 0 or 100.</t>
      </text>
    </comment>
    <comment ref="E80" authorId="0" shapeId="0">
      <text>
        <t>Optional reviewer correction after checking field 950 and evidence. Allowed values: 0 or 100.</t>
      </text>
    </comment>
    <comment ref="E81" authorId="0" shapeId="0">
      <text>
        <t>Optional reviewer correction after checking field 950 and evidence. Allowed values: 0 or 100.</t>
      </text>
    </comment>
    <comment ref="E82" authorId="0" shapeId="0">
      <text>
        <t>Optional reviewer correction after checking field 950 and evidence. Allowed values: 0 or 100.</t>
      </text>
    </comment>
    <comment ref="E83" authorId="0" shapeId="0">
      <text>
        <t>Optional reviewer correction after checking field 950 and evidence. Allowed values: 0 or 100.</t>
      </text>
    </comment>
    <comment ref="E84" authorId="0" shapeId="0">
      <text>
        <t>Optional reviewer correction after checking field 950 and evidence. Allowed values: 0 or 100.</t>
      </text>
    </comment>
    <comment ref="E85" authorId="0" shapeId="0">
      <text>
        <t>Optional reviewer correction after checking field 950 and evidence. Allowed values: 0 or 100.</t>
      </text>
    </comment>
    <comment ref="E86" authorId="0" shapeId="0">
      <text>
        <t>Optional reviewer correction after checking field 950 and evidence. Allowed values: 0 or 100.</t>
      </text>
    </comment>
    <comment ref="E87" authorId="0" shapeId="0">
      <text>
        <t>Optional reviewer correction after checking field 950 and evidence. Allowed values: 0 or 100.</t>
      </text>
    </comment>
    <comment ref="E88" authorId="0" shapeId="0">
      <text>
        <t>Optional reviewer correction after checking field 950 and evidence. Allowed values: 0 or 100.</t>
      </text>
    </comment>
    <comment ref="E89" authorId="0" shapeId="0">
      <text>
        <t>Optional reviewer correction after checking field 950 and evidence. Allowed values: 0 or 100.</t>
      </text>
    </comment>
    <comment ref="E90" authorId="0" shapeId="0">
      <text>
        <t>Optional reviewer correction after checking field 950 and evidence. Allowed values: 0 or 100.</t>
      </text>
    </comment>
    <comment ref="E91" authorId="0" shapeId="0">
      <text>
        <t>Optional reviewer correction after checking field 950 and evidence. Allowed values: 0 or 100.</t>
      </text>
    </comment>
    <comment ref="E92" authorId="0" shapeId="0">
      <text>
        <t>Optional reviewer correction after checking field 950 and evidence. Allowed values: 0 or 100.</t>
      </text>
    </comment>
    <comment ref="E93" authorId="0" shapeId="0">
      <text>
        <t>Optional reviewer correction after checking field 950 and evidence. Allowed values: 0 or 100.</t>
      </text>
    </comment>
    <comment ref="E94" authorId="0" shapeId="0">
      <text>
        <t>Optional reviewer correction after checking field 950 and evidence. Allowed values: 0 or 100.</t>
      </text>
    </comment>
    <comment ref="E95" authorId="0" shapeId="0">
      <text>
        <t>Optional reviewer correction after checking field 950 and evidence. Allowed values: 0 or 100.</t>
      </text>
    </comment>
    <comment ref="E96" authorId="0" shapeId="0">
      <text>
        <t>Optional reviewer correction after checking field 950 and evidence. Allowed values: 0 or 100.</t>
      </text>
    </comment>
    <comment ref="E97" authorId="0" shapeId="0">
      <text>
        <t>Optional reviewer correction after checking field 950 and evidence. Allowed values: 0 or 100.</t>
      </text>
    </comment>
    <comment ref="E98" authorId="0" shapeId="0">
      <text>
        <t>Optional reviewer correction after checking field 950 and evidence. Allowed values: 0 or 100.</t>
      </text>
    </comment>
    <comment ref="E99" authorId="0" shapeId="0">
      <text>
        <t>Optional reviewer correction after checking field 950 and evidence. Allowed values: 0 or 100.</t>
      </text>
    </comment>
    <comment ref="E100" authorId="0" shapeId="0">
      <text>
        <t>Optional reviewer correction after checking field 950 and evidence. Allowed values: 0 or 100.</t>
      </text>
    </comment>
    <comment ref="E101" authorId="0" shapeId="0">
      <text>
        <t>Optional reviewer correction after checking field 950 and evidence. Allowed values: 0 or 100.</t>
      </text>
    </comment>
    <comment ref="E102" authorId="0" shapeId="0">
      <text>
        <t>Optional reviewer correction after checking field 950 and evidence. Allowed values: 0 or 100.</t>
      </text>
    </comment>
    <comment ref="E103" authorId="0" shapeId="0">
      <text>
        <t>Optional reviewer correction after checking field 950 and evidence. Allowed values: 0 or 100.</t>
      </text>
    </comment>
    <comment ref="E104" authorId="0" shapeId="0">
      <text>
        <t>Optional reviewer correction after checking field 950 and evidence. Allowed values: 0 or 100.</t>
      </text>
    </comment>
    <comment ref="E105" authorId="0" shapeId="0">
      <text>
        <t>Optional reviewer correction after checking field 950 and evidence. Allowed values: 0 or 100.</t>
      </text>
    </comment>
    <comment ref="E106" authorId="0" shapeId="0">
      <text>
        <t>Optional reviewer correction after checking field 950 and evidence. Allowed values: 0 or 100.</t>
      </text>
    </comment>
    <comment ref="E107" authorId="0" shapeId="0">
      <text>
        <t>Optional reviewer correction after checking field 950 and evidence. Allowed values: 0 or 100.</t>
      </text>
    </comment>
    <comment ref="E108" authorId="0" shapeId="0">
      <text>
        <t>Optional reviewer correction after checking field 950 and evidence. Allowed values: 0 or 100.</t>
      </text>
    </comment>
    <comment ref="E109" authorId="0" shapeId="0">
      <text>
        <t>Optional reviewer correction after checking field 950 and evidence. Allowed values: 0 or 100.</t>
      </text>
    </comment>
    <comment ref="E110" authorId="0" shapeId="0">
      <text>
        <t>Optional reviewer correction after checking field 950 and evidence. Allowed values: 0 or 100.</t>
      </text>
    </comment>
    <comment ref="E111" authorId="0" shapeId="0">
      <text>
        <t>Optional reviewer correction after checking field 950 and evidence. Allowed values: 0 or 100.</t>
      </text>
    </comment>
    <comment ref="E112" authorId="0" shapeId="0">
      <text>
        <t>Optional reviewer correction after checking field 950 and evidence. Allowed values: 0 or 100.</t>
      </text>
    </comment>
    <comment ref="E113" authorId="0" shapeId="0">
      <text>
        <t>Optional reviewer correction after checking field 950 and evidence. Allowed values: 0 or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32" customHeight="1">
      <c r="A1" s="1" t="inlineStr">
        <is>
          <t>Governance Practices: Final Equal-Weight Results</t>
        </is>
      </c>
      <c r="B1" s="1" t="inlineStr">
        <is>
          <t>Value</t>
        </is>
      </c>
    </row>
    <row r="2">
      <c r="A2" s="2" t="inlineStr">
        <is>
          <t>Entries</t>
        </is>
      </c>
      <c r="B2" s="2" t="n">
        <v>112</v>
      </c>
    </row>
    <row r="3">
      <c r="A3" s="2" t="inlineStr">
        <is>
          <t>Final metrics</t>
        </is>
      </c>
      <c r="B3" s="2" t="inlineStr">
        <is>
          <t>G1-G7</t>
        </is>
      </c>
    </row>
    <row r="4">
      <c r="A4" s="2" t="inlineStr">
        <is>
          <t>Weight per metric</t>
        </is>
      </c>
      <c r="B4" s="2" t="inlineStr">
        <is>
          <t>1/7 = 14.29%</t>
        </is>
      </c>
    </row>
    <row r="5">
      <c r="A5" s="2" t="inlineStr">
        <is>
          <t>Coverage gate</t>
        </is>
      </c>
      <c r="B5" s="2" t="inlineStr">
        <is>
          <t>None</t>
        </is>
      </c>
    </row>
    <row r="6">
      <c r="A6" s="2" t="inlineStr">
        <is>
          <t>Unavailable data</t>
        </is>
      </c>
      <c r="B6" s="2" t="inlineStr">
        <is>
          <t>Zero in final score</t>
        </is>
      </c>
    </row>
    <row r="7">
      <c r="A7" s="2" t="inlineStr">
        <is>
          <t>Mean score</t>
        </is>
      </c>
      <c r="B7" s="2">
        <f>AVERAGE(Scoring!S2:S113)</f>
        <v>64.1772959183673</v>
      </c>
    </row>
    <row r="8">
      <c r="A8" s="2" t="inlineStr">
        <is>
          <t>Median score</t>
        </is>
      </c>
      <c r="B8" s="2">
        <f>MEDIAN(Scoring!S2:S113)</f>
        <v>70.2142857142857</v>
      </c>
    </row>
    <row r="9">
      <c r="A9" s="2" t="inlineStr">
        <is>
          <t>Standard deviation</t>
        </is>
      </c>
      <c r="B9" s="2" t="n">
        <v>26.00008582021967</v>
      </c>
    </row>
    <row r="10">
      <c r="A10" s="2" t="inlineStr">
        <is>
          <t>Minimum score</t>
        </is>
      </c>
      <c r="B10" s="2">
        <f>MIN(Scoring!S2:S113)</f>
        <v>0</v>
      </c>
    </row>
    <row r="11">
      <c r="A11" s="2" t="inlineStr">
        <is>
          <t>Maximum score</t>
        </is>
      </c>
      <c r="B11" s="2">
        <f>MAX(Scoring!S2:S113)</f>
        <v>100</v>
      </c>
    </row>
    <row r="12">
      <c r="A12" s="2" t="inlineStr">
        <is>
          <t>Mean observed coverage</t>
        </is>
      </c>
      <c r="B12" s="2">
        <f>AVERAGE(Coverage!J2:J113)</f>
        <v>0.901785714285714</v>
      </c>
    </row>
    <row r="13">
      <c r="A13" s="2" t="inlineStr">
        <is>
          <t>Entries with all seven metrics observed</t>
        </is>
      </c>
      <c r="B13" s="2">
        <f>COUNTIF(Coverage!I2:I113,7)</f>
        <v>68</v>
      </c>
    </row>
    <row r="14">
      <c r="A14" s="2" t="inlineStr">
        <is>
          <t>Interpretation</t>
        </is>
      </c>
      <c r="B14" s="2" t="inlineStr">
        <is>
          <t>Final scores reflect reported values and missingness because unavailable values score zero. Coverage is diagnostic only.</t>
        </is>
      </c>
    </row>
    <row r="15">
      <c r="A15" s="2" t="inlineStr">
        <is>
          <t>Metric review</t>
        </is>
      </c>
      <c r="B15" s="2" t="inlineStr">
        <is>
          <t>See Metric Rules, Verification, Review Queue, Diagnostics, and Sensitivity.</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37" customWidth="1" min="1" max="1"/>
    <col width="28" customWidth="1" min="2" max="2"/>
    <col width="32" customWidth="1" min="3" max="3"/>
    <col width="25" customWidth="1" min="4" max="4"/>
    <col width="20" customWidth="1" min="5" max="5"/>
    <col width="32" customWidth="1" min="6" max="6"/>
    <col width="55" customWidth="1" min="7" max="7"/>
    <col width="24" customWidth="1" min="8" max="8"/>
    <col width="26" customWidth="1" min="9" max="9"/>
    <col width="22" customWidth="1" min="10" max="10"/>
    <col width="22"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0" customWidth="1" min="20" max="20"/>
    <col width="22" customWidth="1" min="21" max="21"/>
    <col width="18" customWidth="1" min="22" max="22"/>
    <col width="20" customWidth="1" min="23" max="23"/>
    <col width="70" customWidth="1" min="24" max="24"/>
  </cols>
  <sheetData>
    <row r="1" ht="32" customHeight="1">
      <c r="A1" s="1" t="inlineStr">
        <is>
          <t>Service</t>
        </is>
      </c>
      <c r="B1" s="1" t="inlineStr">
        <is>
          <t>Provider</t>
        </is>
      </c>
      <c r="C1" s="1" t="inlineStr">
        <is>
          <t>Solution category</t>
        </is>
      </c>
      <c r="D1" s="1" t="inlineStr">
        <is>
          <t>024 structure status</t>
        </is>
      </c>
      <c r="E1" s="1" t="inlineStr">
        <is>
          <t>108 bylaws status</t>
        </is>
      </c>
      <c r="F1" s="1" t="inlineStr">
        <is>
          <t>050 board structure</t>
        </is>
      </c>
      <c r="G1" s="1" t="inlineStr">
        <is>
          <t>950 other detail</t>
        </is>
      </c>
      <c r="H1" s="1" t="inlineStr">
        <is>
          <t>048 community governance</t>
        </is>
      </c>
      <c r="I1" s="1" t="inlineStr">
        <is>
          <t>029 accessibility status</t>
        </is>
      </c>
      <c r="J1" s="1" t="inlineStr">
        <is>
          <t>035 equity status</t>
        </is>
      </c>
      <c r="K1" s="1" t="inlineStr">
        <is>
          <t>044 privacy status</t>
        </is>
      </c>
      <c r="L1" s="1" t="inlineStr">
        <is>
          <t>G1</t>
        </is>
      </c>
      <c r="M1" s="1" t="inlineStr">
        <is>
          <t>G2</t>
        </is>
      </c>
      <c r="N1" s="1" t="inlineStr">
        <is>
          <t>G3</t>
        </is>
      </c>
      <c r="O1" s="1" t="inlineStr">
        <is>
          <t>G4</t>
        </is>
      </c>
      <c r="P1" s="1" t="inlineStr">
        <is>
          <t>G5</t>
        </is>
      </c>
      <c r="Q1" s="1" t="inlineStr">
        <is>
          <t>G6</t>
        </is>
      </c>
      <c r="R1" s="1" t="inlineStr">
        <is>
          <t>G7</t>
        </is>
      </c>
      <c r="S1" s="1" t="inlineStr">
        <is>
          <t>Final score / 100</t>
        </is>
      </c>
      <c r="T1" s="1" t="inlineStr">
        <is>
          <t>Rank</t>
        </is>
      </c>
      <c r="U1" s="1" t="inlineStr">
        <is>
          <t>Available metrics (of 7)</t>
        </is>
      </c>
      <c r="V1" s="1" t="inlineStr">
        <is>
          <t>Observed coverage</t>
        </is>
      </c>
      <c r="W1" s="1" t="inlineStr">
        <is>
          <t>Observed-only mean</t>
        </is>
      </c>
      <c r="X1" s="1" t="inlineStr">
        <is>
          <t>Data-quality notes</t>
        </is>
      </c>
    </row>
    <row r="2">
      <c r="A2" s="2" t="inlineStr">
        <is>
          <t>2i2c</t>
        </is>
      </c>
      <c r="B2" s="2" t="inlineStr">
        <is>
          <t>Code for Science and Society</t>
        </is>
      </c>
      <c r="C2" s="2" t="inlineStr">
        <is>
          <t>Authoring tool</t>
        </is>
      </c>
      <c r="D2" s="2" t="inlineStr">
        <is>
          <t>In progress</t>
        </is>
      </c>
      <c r="E2" s="2" t="inlineStr">
        <is>
          <t>Unknown</t>
        </is>
      </c>
      <c r="F2" s="2" t="inlineStr">
        <is>
          <t>Advisory board or steering committee</t>
        </is>
      </c>
      <c r="G2" s="2" t="n"/>
      <c r="H2" s="2" t="inlineStr">
        <is>
          <t>None</t>
        </is>
      </c>
      <c r="I2" s="2" t="inlineStr">
        <is>
          <t>Considering</t>
        </is>
      </c>
      <c r="J2" s="2" t="inlineStr">
        <is>
          <t>Considering</t>
        </is>
      </c>
      <c r="K2" s="2" t="inlineStr">
        <is>
          <t>Implemented/available</t>
        </is>
      </c>
      <c r="L2" s="3">
        <f>Calc!B2</f>
        <v>67</v>
      </c>
      <c r="M2" s="3">
        <f>Calc!C2</f>
        <v>0</v>
      </c>
      <c r="N2" s="3">
        <f>Verification!F2</f>
        <v>100</v>
      </c>
      <c r="O2" s="3">
        <f>Calc!E2</f>
        <v>33</v>
      </c>
      <c r="P2" s="3">
        <f>Calc!F2</f>
        <v>33</v>
      </c>
      <c r="Q2" s="3">
        <f>Calc!G2</f>
        <v>100</v>
      </c>
      <c r="R2" s="3">
        <f>Calc!H2</f>
        <v>0</v>
      </c>
      <c r="S2" s="3">
        <f>AVERAGE(L2:R2)</f>
        <v>47.5714285714286</v>
      </c>
      <c r="T2" s="2">
        <f>RANK(S2,$S$2:$S$113,0)+(COUNTIF($S$2:$S$113,S2)-1)/2</f>
        <v>82.5</v>
      </c>
      <c r="U2" s="2">
        <f>Coverage!I2</f>
        <v>6</v>
      </c>
      <c r="V2" s="4">
        <f>Coverage!J2</f>
        <v>0.857142857142857</v>
      </c>
      <c r="W2" s="3">
        <f>IFERROR(SUMPRODUCT(L2:R2,Coverage!B2:H2)/U2,0)</f>
        <v>55.5</v>
      </c>
      <c r="X2" s="2" t="inlineStr">
        <is>
          <t>108_bylaws_status unavailable/unknown scored 0; No independent verification recorded</t>
        </is>
      </c>
    </row>
    <row r="3">
      <c r="A3" s="2" t="inlineStr">
        <is>
          <t>Academic Preservation Trust (APTrust)</t>
        </is>
      </c>
      <c r="B3" s="2" t="inlineStr">
        <is>
          <t>Academic Preservation Trust (APTrust)</t>
        </is>
      </c>
      <c r="C3" s="2" t="inlineStr">
        <is>
          <t>Digital preservation service</t>
        </is>
      </c>
      <c r="D3" s="2" t="inlineStr">
        <is>
          <t>Implemented/available</t>
        </is>
      </c>
      <c r="E3" s="2" t="inlineStr">
        <is>
          <t>Implemented/available</t>
        </is>
      </c>
      <c r="F3" s="2" t="inlineStr">
        <is>
          <t>Multi-board governance</t>
        </is>
      </c>
      <c r="G3" s="2" t="n"/>
      <c r="H3" s="2" t="inlineStr">
        <is>
          <t>Formal</t>
        </is>
      </c>
      <c r="I3" s="2" t="inlineStr">
        <is>
          <t>Considering</t>
        </is>
      </c>
      <c r="J3" s="2" t="inlineStr">
        <is>
          <t>Implemented/available</t>
        </is>
      </c>
      <c r="K3" s="2" t="inlineStr">
        <is>
          <t>Not planning</t>
        </is>
      </c>
      <c r="L3" s="3">
        <f>Calc!B3</f>
        <v>100</v>
      </c>
      <c r="M3" s="3">
        <f>Calc!C3</f>
        <v>100</v>
      </c>
      <c r="N3" s="3">
        <f>Verification!F3</f>
        <v>100</v>
      </c>
      <c r="O3" s="3">
        <f>Calc!E3</f>
        <v>33</v>
      </c>
      <c r="P3" s="3">
        <f>Calc!F3</f>
        <v>100</v>
      </c>
      <c r="Q3" s="3">
        <f>Calc!G3</f>
        <v>0</v>
      </c>
      <c r="R3" s="3">
        <f>Calc!H3</f>
        <v>100</v>
      </c>
      <c r="S3" s="3">
        <f>AVERAGE(L3:R3)</f>
        <v>76.1428571428571</v>
      </c>
      <c r="T3" s="2">
        <f>RANK(S3,$S$2:$S$113,0)+(COUNTIF($S$2:$S$113,S3)-1)/2</f>
        <v>44</v>
      </c>
      <c r="U3" s="2">
        <f>Coverage!I3</f>
        <v>7</v>
      </c>
      <c r="V3" s="4">
        <f>Coverage!J3</f>
        <v>1</v>
      </c>
      <c r="W3" s="3">
        <f>IFERROR(SUMPRODUCT(L3:R3,Coverage!B3:H3)/U3,0)</f>
        <v>76.1428571428571</v>
      </c>
      <c r="X3" s="2" t="inlineStr">
        <is>
          <t>No independent verification recorded</t>
        </is>
      </c>
    </row>
    <row r="4">
      <c r="A4" s="2" t="inlineStr">
        <is>
          <t>AfricArXiv</t>
        </is>
      </c>
      <c r="B4" s="2" t="inlineStr">
        <is>
          <t>UbuntuNet Alliance</t>
        </is>
      </c>
      <c r="C4" s="2" t="inlineStr">
        <is>
          <t>Repository service</t>
        </is>
      </c>
      <c r="D4" s="2" t="inlineStr">
        <is>
          <t>Implemented/available</t>
        </is>
      </c>
      <c r="E4" s="2" t="inlineStr">
        <is>
          <t>Not planning</t>
        </is>
      </c>
      <c r="F4" s="2" t="inlineStr">
        <is>
          <t>Advisory board or steering committee</t>
        </is>
      </c>
      <c r="G4" s="2" t="n"/>
      <c r="H4" s="2" t="inlineStr">
        <is>
          <t>Ad hoc</t>
        </is>
      </c>
      <c r="I4" s="2" t="inlineStr">
        <is>
          <t>In progress</t>
        </is>
      </c>
      <c r="J4" s="2" t="inlineStr">
        <is>
          <t>In progress</t>
        </is>
      </c>
      <c r="K4" s="2" t="inlineStr">
        <is>
          <t>Implemented/available</t>
        </is>
      </c>
      <c r="L4" s="3">
        <f>Calc!B4</f>
        <v>100</v>
      </c>
      <c r="M4" s="3">
        <f>Calc!C4</f>
        <v>0</v>
      </c>
      <c r="N4" s="3">
        <f>Verification!F4</f>
        <v>100</v>
      </c>
      <c r="O4" s="3">
        <f>Calc!E4</f>
        <v>67</v>
      </c>
      <c r="P4" s="3">
        <f>Calc!F4</f>
        <v>67</v>
      </c>
      <c r="Q4" s="3">
        <f>Calc!G4</f>
        <v>100</v>
      </c>
      <c r="R4" s="3">
        <f>Calc!H4</f>
        <v>50</v>
      </c>
      <c r="S4" s="3">
        <f>AVERAGE(L4:R4)</f>
        <v>69.1428571428571</v>
      </c>
      <c r="T4" s="2">
        <f>RANK(S4,$S$2:$S$113,0)+(COUNTIF($S$2:$S$113,S4)-1)/2</f>
        <v>58</v>
      </c>
      <c r="U4" s="2">
        <f>Coverage!I4</f>
        <v>7</v>
      </c>
      <c r="V4" s="4">
        <f>Coverage!J4</f>
        <v>1</v>
      </c>
      <c r="W4" s="3">
        <f>IFERROR(SUMPRODUCT(L4:R4,Coverage!B4:H4)/U4,0)</f>
        <v>69.1428571428571</v>
      </c>
      <c r="X4" s="2" t="inlineStr">
        <is>
          <t>No independent verification recorded</t>
        </is>
      </c>
    </row>
    <row r="5">
      <c r="A5" s="2" t="inlineStr">
        <is>
          <t>Arches Heritage Data Management Platform</t>
        </is>
      </c>
      <c r="B5" s="2" t="inlineStr">
        <is>
          <t>Getty Conservation Institute (GCI)</t>
        </is>
      </c>
      <c r="C5" s="2" t="inlineStr">
        <is>
          <t>Data management planning tool or service</t>
        </is>
      </c>
      <c r="D5" s="2" t="inlineStr">
        <is>
          <t>Implemented/available</t>
        </is>
      </c>
      <c r="E5" s="2" t="inlineStr">
        <is>
          <t>Implemented/available</t>
        </is>
      </c>
      <c r="F5" s="2" t="inlineStr">
        <is>
          <t>Advisory board or steering committee</t>
        </is>
      </c>
      <c r="G5" s="2" t="n"/>
      <c r="H5" s="2" t="inlineStr">
        <is>
          <t>Formal</t>
        </is>
      </c>
      <c r="I5" s="2" t="inlineStr">
        <is>
          <t>Implemented/available</t>
        </is>
      </c>
      <c r="J5" s="2" t="inlineStr">
        <is>
          <t>Not planning</t>
        </is>
      </c>
      <c r="K5" s="2" t="inlineStr">
        <is>
          <t>Not planning</t>
        </is>
      </c>
      <c r="L5" s="3">
        <f>Calc!B5</f>
        <v>100</v>
      </c>
      <c r="M5" s="3">
        <f>Calc!C5</f>
        <v>100</v>
      </c>
      <c r="N5" s="3">
        <f>Verification!F5</f>
        <v>100</v>
      </c>
      <c r="O5" s="3">
        <f>Calc!E5</f>
        <v>100</v>
      </c>
      <c r="P5" s="3">
        <f>Calc!F5</f>
        <v>0</v>
      </c>
      <c r="Q5" s="3">
        <f>Calc!G5</f>
        <v>0</v>
      </c>
      <c r="R5" s="3">
        <f>Calc!H5</f>
        <v>100</v>
      </c>
      <c r="S5" s="3">
        <f>AVERAGE(L5:R5)</f>
        <v>71.4285714285714</v>
      </c>
      <c r="T5" s="2">
        <f>RANK(S5,$S$2:$S$113,0)+(COUNTIF($S$2:$S$113,S5)-1)/2</f>
        <v>52</v>
      </c>
      <c r="U5" s="2">
        <f>Coverage!I5</f>
        <v>7</v>
      </c>
      <c r="V5" s="4">
        <f>Coverage!J5</f>
        <v>1</v>
      </c>
      <c r="W5" s="3">
        <f>IFERROR(SUMPRODUCT(L5:R5,Coverage!B5:H5)/U5,0)</f>
        <v>71.4285714285714</v>
      </c>
      <c r="X5" s="2" t="inlineStr">
        <is>
          <t>No independent verification recorded</t>
        </is>
      </c>
    </row>
    <row r="6">
      <c r="A6" s="2" t="inlineStr">
        <is>
          <t>Archipelago Commons</t>
        </is>
      </c>
      <c r="B6" s="2" t="inlineStr">
        <is>
          <t>Metropolitan New York Library Council</t>
        </is>
      </c>
      <c r="C6" s="2" t="inlineStr">
        <is>
          <t>Digital library, collection or exhibit platform | Repository software</t>
        </is>
      </c>
      <c r="D6" s="2" t="inlineStr">
        <is>
          <t>Implemented/available</t>
        </is>
      </c>
      <c r="E6" s="2" t="inlineStr">
        <is>
          <t>Implemented/available</t>
        </is>
      </c>
      <c r="F6" s="2" t="inlineStr">
        <is>
          <t>Advisory board or steering committee</t>
        </is>
      </c>
      <c r="G6" s="2" t="n"/>
      <c r="H6" s="2" t="inlineStr">
        <is>
          <t>Formal</t>
        </is>
      </c>
      <c r="I6" s="2" t="inlineStr">
        <is>
          <t>Implemented/available</t>
        </is>
      </c>
      <c r="J6" s="2" t="inlineStr">
        <is>
          <t>Implemented/available</t>
        </is>
      </c>
      <c r="K6" s="2" t="inlineStr">
        <is>
          <t>Considering</t>
        </is>
      </c>
      <c r="L6" s="3">
        <f>Calc!B6</f>
        <v>100</v>
      </c>
      <c r="M6" s="3">
        <f>Calc!C6</f>
        <v>100</v>
      </c>
      <c r="N6" s="3">
        <f>Verification!F6</f>
        <v>100</v>
      </c>
      <c r="O6" s="3">
        <f>Calc!E6</f>
        <v>100</v>
      </c>
      <c r="P6" s="3">
        <f>Calc!F6</f>
        <v>100</v>
      </c>
      <c r="Q6" s="3">
        <f>Calc!G6</f>
        <v>33</v>
      </c>
      <c r="R6" s="3">
        <f>Calc!H6</f>
        <v>100</v>
      </c>
      <c r="S6" s="3">
        <f>AVERAGE(L6:R6)</f>
        <v>90.4285714285714</v>
      </c>
      <c r="T6" s="2">
        <f>RANK(S6,$S$2:$S$113,0)+(COUNTIF($S$2:$S$113,S6)-1)/2</f>
        <v>23</v>
      </c>
      <c r="U6" s="2">
        <f>Coverage!I6</f>
        <v>7</v>
      </c>
      <c r="V6" s="4">
        <f>Coverage!J6</f>
        <v>1</v>
      </c>
      <c r="W6" s="3">
        <f>IFERROR(SUMPRODUCT(L6:R6,Coverage!B6:H6)/U6,0)</f>
        <v>90.4285714285714</v>
      </c>
      <c r="X6" s="2" t="inlineStr">
        <is>
          <t>No independent verification recorded</t>
        </is>
      </c>
    </row>
    <row r="7">
      <c r="A7" s="2" t="inlineStr">
        <is>
          <t>Archival Resource Key</t>
        </is>
      </c>
      <c r="B7" s="2" t="inlineStr">
        <is>
          <t>ARK Alliance</t>
        </is>
      </c>
      <c r="C7" s="2" t="inlineStr">
        <is>
          <t>Standard, specification or protocol</t>
        </is>
      </c>
      <c r="D7" s="2" t="inlineStr">
        <is>
          <t>In progress</t>
        </is>
      </c>
      <c r="E7" s="2" t="inlineStr">
        <is>
          <t>Unknown</t>
        </is>
      </c>
      <c r="F7" s="2" t="inlineStr">
        <is>
          <t>Advisory board or steering committee</t>
        </is>
      </c>
      <c r="G7" s="2" t="n"/>
      <c r="H7" s="2" t="inlineStr">
        <is>
          <t>Ad hoc</t>
        </is>
      </c>
      <c r="I7" s="2" t="inlineStr">
        <is>
          <t>In progress</t>
        </is>
      </c>
      <c r="J7" s="2" t="inlineStr">
        <is>
          <t>Considering</t>
        </is>
      </c>
      <c r="K7" s="2" t="inlineStr">
        <is>
          <t>Not applicable</t>
        </is>
      </c>
      <c r="L7" s="3">
        <f>Calc!B7</f>
        <v>67</v>
      </c>
      <c r="M7" s="3">
        <f>Calc!C7</f>
        <v>0</v>
      </c>
      <c r="N7" s="3">
        <f>Verification!F7</f>
        <v>100</v>
      </c>
      <c r="O7" s="3">
        <f>Calc!E7</f>
        <v>67</v>
      </c>
      <c r="P7" s="3">
        <f>Calc!F7</f>
        <v>33</v>
      </c>
      <c r="Q7" s="3">
        <f>Calc!G7</f>
        <v>0</v>
      </c>
      <c r="R7" s="3">
        <f>Calc!H7</f>
        <v>50</v>
      </c>
      <c r="S7" s="3">
        <f>AVERAGE(L7:R7)</f>
        <v>45.2857142857143</v>
      </c>
      <c r="T7" s="2">
        <f>RANK(S7,$S$2:$S$113,0)+(COUNTIF($S$2:$S$113,S7)-1)/2</f>
        <v>84.5</v>
      </c>
      <c r="U7" s="2">
        <f>Coverage!I7</f>
        <v>5</v>
      </c>
      <c r="V7" s="4">
        <f>Coverage!J7</f>
        <v>0.714285714285714</v>
      </c>
      <c r="W7" s="3">
        <f>IFERROR(SUMPRODUCT(L7:R7,Coverage!B7:H7)/U7,0)</f>
        <v>63.4</v>
      </c>
      <c r="X7" s="2" t="inlineStr">
        <is>
          <t>108_bylaws_status unavailable/unknown scored 0; 044_commitment_to_privacy_status unavailable/unknown scored 0; No independent verification recorded</t>
        </is>
      </c>
    </row>
    <row r="8">
      <c r="A8" s="2" t="inlineStr">
        <is>
          <t>Archivematica</t>
        </is>
      </c>
      <c r="B8" s="2" t="inlineStr">
        <is>
          <t>Artefactual</t>
        </is>
      </c>
      <c r="C8" s="2" t="inlineStr">
        <is>
          <t>Digital preservation system</t>
        </is>
      </c>
      <c r="D8" s="2" t="inlineStr">
        <is>
          <t>Considering</t>
        </is>
      </c>
      <c r="E8" s="2" t="inlineStr">
        <is>
          <t>Considering</t>
        </is>
      </c>
      <c r="F8" s="2" t="inlineStr">
        <is>
          <t>None</t>
        </is>
      </c>
      <c r="G8" s="2" t="n"/>
      <c r="H8" s="2" t="inlineStr">
        <is>
          <t>None</t>
        </is>
      </c>
      <c r="I8" s="2" t="inlineStr">
        <is>
          <t>Considering</t>
        </is>
      </c>
      <c r="J8" s="2" t="inlineStr">
        <is>
          <t>Considering</t>
        </is>
      </c>
      <c r="K8" s="2" t="inlineStr">
        <is>
          <t>Implemented/available</t>
        </is>
      </c>
      <c r="L8" s="3">
        <f>Calc!B8</f>
        <v>33</v>
      </c>
      <c r="M8" s="3">
        <f>Calc!C8</f>
        <v>33</v>
      </c>
      <c r="N8" s="3">
        <f>Verification!F8</f>
        <v>0</v>
      </c>
      <c r="O8" s="3">
        <f>Calc!E8</f>
        <v>33</v>
      </c>
      <c r="P8" s="3">
        <f>Calc!F8</f>
        <v>33</v>
      </c>
      <c r="Q8" s="3">
        <f>Calc!G8</f>
        <v>100</v>
      </c>
      <c r="R8" s="3">
        <f>Calc!H8</f>
        <v>0</v>
      </c>
      <c r="S8" s="3">
        <f>AVERAGE(L8:R8)</f>
        <v>33.1428571428571</v>
      </c>
      <c r="T8" s="2">
        <f>RANK(S8,$S$2:$S$113,0)+(COUNTIF($S$2:$S$113,S8)-1)/2</f>
        <v>99</v>
      </c>
      <c r="U8" s="2">
        <f>Coverage!I8</f>
        <v>7</v>
      </c>
      <c r="V8" s="4">
        <f>Coverage!J8</f>
        <v>1</v>
      </c>
      <c r="W8" s="3">
        <f>IFERROR(SUMPRODUCT(L8:R8,Coverage!B8:H8)/U8,0)</f>
        <v>33.1428571428571</v>
      </c>
      <c r="X8" s="2" t="inlineStr">
        <is>
          <t>No independent verification recorded</t>
        </is>
      </c>
    </row>
    <row r="9">
      <c r="A9" s="2" t="inlineStr">
        <is>
          <t>ArchivesSpace</t>
        </is>
      </c>
      <c r="B9" s="2" t="inlineStr">
        <is>
          <t>ArchivesSpace</t>
        </is>
      </c>
      <c r="C9" s="2" t="inlineStr">
        <is>
          <t>Archive information management system | Discovery system</t>
        </is>
      </c>
      <c r="D9" s="2" t="inlineStr">
        <is>
          <t>Implemented/available</t>
        </is>
      </c>
      <c r="E9" s="2" t="inlineStr">
        <is>
          <t>Implemented/available</t>
        </is>
      </c>
      <c r="F9" s="2" t="inlineStr">
        <is>
          <t>Advisory board or steering committee</t>
        </is>
      </c>
      <c r="G9" s="2" t="n"/>
      <c r="H9" s="2" t="inlineStr">
        <is>
          <t>Formal</t>
        </is>
      </c>
      <c r="I9" s="2" t="inlineStr">
        <is>
          <t>Implemented/available</t>
        </is>
      </c>
      <c r="J9" s="2" t="inlineStr">
        <is>
          <t>Implemented/available</t>
        </is>
      </c>
      <c r="K9" s="2" t="inlineStr">
        <is>
          <t>Implemented/available</t>
        </is>
      </c>
      <c r="L9" s="3">
        <f>Calc!B9</f>
        <v>100</v>
      </c>
      <c r="M9" s="3">
        <f>Calc!C9</f>
        <v>100</v>
      </c>
      <c r="N9" s="3">
        <f>Verification!F9</f>
        <v>100</v>
      </c>
      <c r="O9" s="3">
        <f>Calc!E9</f>
        <v>100</v>
      </c>
      <c r="P9" s="3">
        <f>Calc!F9</f>
        <v>100</v>
      </c>
      <c r="Q9" s="3">
        <f>Calc!G9</f>
        <v>100</v>
      </c>
      <c r="R9" s="3">
        <f>Calc!H9</f>
        <v>100</v>
      </c>
      <c r="S9" s="3">
        <f>AVERAGE(L9:R9)</f>
        <v>100</v>
      </c>
      <c r="T9" s="2">
        <f>RANK(S9,$S$2:$S$113,0)+(COUNTIF($S$2:$S$113,S9)-1)/2</f>
        <v>4</v>
      </c>
      <c r="U9" s="2">
        <f>Coverage!I9</f>
        <v>7</v>
      </c>
      <c r="V9" s="4">
        <f>Coverage!J9</f>
        <v>1</v>
      </c>
      <c r="W9" s="3">
        <f>IFERROR(SUMPRODUCT(L9:R9,Coverage!B9:H9)/U9,0)</f>
        <v>100</v>
      </c>
      <c r="X9" s="2" t="inlineStr">
        <is>
          <t>No independent verification recorded</t>
        </is>
      </c>
    </row>
    <row r="10">
      <c r="A10" s="2" t="inlineStr">
        <is>
          <t>ARGOS</t>
        </is>
      </c>
      <c r="B10" s="2" t="inlineStr">
        <is>
          <t>OpenAIRE</t>
        </is>
      </c>
      <c r="C10" s="2" t="inlineStr">
        <is>
          <t>Data management planning tool or service</t>
        </is>
      </c>
      <c r="D10" s="2" t="inlineStr">
        <is>
          <t>Implemented/available</t>
        </is>
      </c>
      <c r="E10" s="2" t="inlineStr">
        <is>
          <t>Implemented/available</t>
        </is>
      </c>
      <c r="F10" s="2" t="inlineStr">
        <is>
          <t>Advisory board or steering committee</t>
        </is>
      </c>
      <c r="G10" s="2" t="n"/>
      <c r="H10" s="2" t="inlineStr">
        <is>
          <t>Formal</t>
        </is>
      </c>
      <c r="I10" s="2" t="inlineStr">
        <is>
          <t>In progress</t>
        </is>
      </c>
      <c r="J10" s="2" t="inlineStr">
        <is>
          <t>Implemented/available</t>
        </is>
      </c>
      <c r="K10" s="2" t="inlineStr">
        <is>
          <t>Implemented/available</t>
        </is>
      </c>
      <c r="L10" s="3">
        <f>Calc!B10</f>
        <v>100</v>
      </c>
      <c r="M10" s="3">
        <f>Calc!C10</f>
        <v>100</v>
      </c>
      <c r="N10" s="3">
        <f>Verification!F10</f>
        <v>100</v>
      </c>
      <c r="O10" s="3">
        <f>Calc!E10</f>
        <v>67</v>
      </c>
      <c r="P10" s="3">
        <f>Calc!F10</f>
        <v>100</v>
      </c>
      <c r="Q10" s="3">
        <f>Calc!G10</f>
        <v>100</v>
      </c>
      <c r="R10" s="3">
        <f>Calc!H10</f>
        <v>100</v>
      </c>
      <c r="S10" s="3">
        <f>AVERAGE(L10:R10)</f>
        <v>95.2857142857143</v>
      </c>
      <c r="T10" s="2">
        <f>RANK(S10,$S$2:$S$113,0)+(COUNTIF($S$2:$S$113,S10)-1)/2</f>
        <v>12.5</v>
      </c>
      <c r="U10" s="2">
        <f>Coverage!I10</f>
        <v>7</v>
      </c>
      <c r="V10" s="4">
        <f>Coverage!J10</f>
        <v>1</v>
      </c>
      <c r="W10" s="3">
        <f>IFERROR(SUMPRODUCT(L10:R10,Coverage!B10:H10)/U10,0)</f>
        <v>95.2857142857143</v>
      </c>
      <c r="X10" s="2" t="inlineStr">
        <is>
          <t>No independent verification recorded</t>
        </is>
      </c>
    </row>
    <row r="11">
      <c r="A11" s="2" t="inlineStr">
        <is>
          <t>arXiv</t>
        </is>
      </c>
      <c r="B11" s="2" t="inlineStr">
        <is>
          <t>Cornell University</t>
        </is>
      </c>
      <c r="C11" s="2" t="inlineStr">
        <is>
          <t>Repository service</t>
        </is>
      </c>
      <c r="D11" s="2" t="inlineStr">
        <is>
          <t>Implemented/available</t>
        </is>
      </c>
      <c r="E11" s="2" t="inlineStr">
        <is>
          <t>Implemented/available</t>
        </is>
      </c>
      <c r="F11" s="2" t="inlineStr">
        <is>
          <t>Multi-board governance</t>
        </is>
      </c>
      <c r="G11" s="2" t="n"/>
      <c r="H11" s="2" t="inlineStr">
        <is>
          <t>Formal</t>
        </is>
      </c>
      <c r="I11" s="2" t="inlineStr">
        <is>
          <t>Implemented/available</t>
        </is>
      </c>
      <c r="J11" s="2" t="inlineStr">
        <is>
          <t>Unknown</t>
        </is>
      </c>
      <c r="K11" s="2" t="inlineStr">
        <is>
          <t>Implemented/available</t>
        </is>
      </c>
      <c r="L11" s="3">
        <f>Calc!B11</f>
        <v>100</v>
      </c>
      <c r="M11" s="3">
        <f>Calc!C11</f>
        <v>100</v>
      </c>
      <c r="N11" s="3">
        <f>Verification!F11</f>
        <v>100</v>
      </c>
      <c r="O11" s="3">
        <f>Calc!E11</f>
        <v>100</v>
      </c>
      <c r="P11" s="3">
        <f>Calc!F11</f>
        <v>0</v>
      </c>
      <c r="Q11" s="3">
        <f>Calc!G11</f>
        <v>100</v>
      </c>
      <c r="R11" s="3">
        <f>Calc!H11</f>
        <v>100</v>
      </c>
      <c r="S11" s="3">
        <f>AVERAGE(L11:R11)</f>
        <v>85.7142857142857</v>
      </c>
      <c r="T11" s="2">
        <f>RANK(S11,$S$2:$S$113,0)+(COUNTIF($S$2:$S$113,S11)-1)/2</f>
        <v>30</v>
      </c>
      <c r="U11" s="2">
        <f>Coverage!I11</f>
        <v>6</v>
      </c>
      <c r="V11" s="4">
        <f>Coverage!J11</f>
        <v>0.857142857142857</v>
      </c>
      <c r="W11" s="3">
        <f>IFERROR(SUMPRODUCT(L11:R11,Coverage!B11:H11)/U11,0)</f>
        <v>100</v>
      </c>
      <c r="X11" s="2" t="inlineStr">
        <is>
          <t>035_commitment_to_equity_status unavailable/unknown scored 0; No independent verification recorded</t>
        </is>
      </c>
    </row>
    <row r="12">
      <c r="A12" s="2" t="inlineStr">
        <is>
          <t>AtoM</t>
        </is>
      </c>
      <c r="B12" s="2" t="inlineStr">
        <is>
          <t>Artefactual</t>
        </is>
      </c>
      <c r="C12" s="2" t="inlineStr">
        <is>
          <t>Archive information management system</t>
        </is>
      </c>
      <c r="D12" s="2" t="inlineStr">
        <is>
          <t>Considering</t>
        </is>
      </c>
      <c r="E12" s="2" t="inlineStr">
        <is>
          <t>Considering</t>
        </is>
      </c>
      <c r="F12" s="2" t="n"/>
      <c r="G12" s="2" t="n"/>
      <c r="H12" s="2" t="n"/>
      <c r="I12" s="2" t="inlineStr">
        <is>
          <t>In progress</t>
        </is>
      </c>
      <c r="J12" s="2" t="inlineStr">
        <is>
          <t>Considering</t>
        </is>
      </c>
      <c r="K12" s="2" t="inlineStr">
        <is>
          <t>Implemented/available</t>
        </is>
      </c>
      <c r="L12" s="3">
        <f>Calc!B12</f>
        <v>33</v>
      </c>
      <c r="M12" s="3">
        <f>Calc!C12</f>
        <v>33</v>
      </c>
      <c r="N12" s="3">
        <f>Verification!F12</f>
        <v>0</v>
      </c>
      <c r="O12" s="3">
        <f>Calc!E12</f>
        <v>67</v>
      </c>
      <c r="P12" s="3">
        <f>Calc!F12</f>
        <v>33</v>
      </c>
      <c r="Q12" s="3">
        <f>Calc!G12</f>
        <v>100</v>
      </c>
      <c r="R12" s="3">
        <f>Calc!H12</f>
        <v>0</v>
      </c>
      <c r="S12" s="3">
        <f>AVERAGE(L12:R12)</f>
        <v>38</v>
      </c>
      <c r="T12" s="2">
        <f>RANK(S12,$S$2:$S$113,0)+(COUNTIF($S$2:$S$113,S12)-1)/2</f>
        <v>93</v>
      </c>
      <c r="U12" s="2">
        <f>Coverage!I12</f>
        <v>5</v>
      </c>
      <c r="V12" s="4">
        <f>Coverage!J12</f>
        <v>0.714285714285714</v>
      </c>
      <c r="W12" s="3">
        <f>IFERROR(SUMPRODUCT(L12:R12,Coverage!B12:H12)/U12,0)</f>
        <v>53.2</v>
      </c>
      <c r="X12" s="2" t="inlineStr">
        <is>
          <t>048 community governance missing/unrecognized scored 0; No independent verification recorded</t>
        </is>
      </c>
    </row>
    <row r="13">
      <c r="A13" s="2" t="inlineStr">
        <is>
          <t>Avalon Media System</t>
        </is>
      </c>
      <c r="B13" s="2" t="inlineStr">
        <is>
          <t>Indiana University Libraries</t>
        </is>
      </c>
      <c r="C13" s="2" t="inlineStr">
        <is>
          <t>Digital library, collection or exhibit platform | Repository software</t>
        </is>
      </c>
      <c r="D13" s="2" t="inlineStr">
        <is>
          <t>Implemented/available</t>
        </is>
      </c>
      <c r="E13" s="2" t="inlineStr">
        <is>
          <t>Implemented/available</t>
        </is>
      </c>
      <c r="F13" s="2" t="inlineStr">
        <is>
          <t>Advisory board or steering committee</t>
        </is>
      </c>
      <c r="G13" s="2" t="n"/>
      <c r="H13" s="2" t="inlineStr">
        <is>
          <t>Formal</t>
        </is>
      </c>
      <c r="I13" s="2" t="inlineStr">
        <is>
          <t>In progress</t>
        </is>
      </c>
      <c r="J13" s="2" t="inlineStr">
        <is>
          <t>Considering</t>
        </is>
      </c>
      <c r="K13" s="2" t="inlineStr">
        <is>
          <t>Not planning</t>
        </is>
      </c>
      <c r="L13" s="3">
        <f>Calc!B13</f>
        <v>100</v>
      </c>
      <c r="M13" s="3">
        <f>Calc!C13</f>
        <v>100</v>
      </c>
      <c r="N13" s="3">
        <f>Verification!F13</f>
        <v>100</v>
      </c>
      <c r="O13" s="3">
        <f>Calc!E13</f>
        <v>67</v>
      </c>
      <c r="P13" s="3">
        <f>Calc!F13</f>
        <v>33</v>
      </c>
      <c r="Q13" s="3">
        <f>Calc!G13</f>
        <v>0</v>
      </c>
      <c r="R13" s="3">
        <f>Calc!H13</f>
        <v>100</v>
      </c>
      <c r="S13" s="3">
        <f>AVERAGE(L13:R13)</f>
        <v>71.4285714285714</v>
      </c>
      <c r="T13" s="2">
        <f>RANK(S13,$S$2:$S$113,0)+(COUNTIF($S$2:$S$113,S13)-1)/2</f>
        <v>52</v>
      </c>
      <c r="U13" s="2">
        <f>Coverage!I13</f>
        <v>7</v>
      </c>
      <c r="V13" s="4">
        <f>Coverage!J13</f>
        <v>1</v>
      </c>
      <c r="W13" s="3">
        <f>IFERROR(SUMPRODUCT(L13:R13,Coverage!B13:H13)/U13,0)</f>
        <v>71.4285714285714</v>
      </c>
      <c r="X13" s="2" t="inlineStr">
        <is>
          <t>No independent verification recorded</t>
        </is>
      </c>
    </row>
    <row r="14">
      <c r="A14" s="2" t="inlineStr">
        <is>
          <t>Biodiversity Heritage Library</t>
        </is>
      </c>
      <c r="B14" s="2" t="inlineStr">
        <is>
          <t>BHL Consortium</t>
        </is>
      </c>
      <c r="C14" s="2" t="inlineStr">
        <is>
          <t>Digital library, collection or exhibit platform | Open scholarly dataset | Repository service</t>
        </is>
      </c>
      <c r="D14" s="2" t="inlineStr">
        <is>
          <t>Implemented/available</t>
        </is>
      </c>
      <c r="E14" s="2" t="inlineStr">
        <is>
          <t>Implemented/available</t>
        </is>
      </c>
      <c r="F14" s="2" t="inlineStr">
        <is>
          <t>Advisory board or steering committee</t>
        </is>
      </c>
      <c r="G14" s="2" t="n"/>
      <c r="H14" s="2" t="inlineStr">
        <is>
          <t>Formal</t>
        </is>
      </c>
      <c r="I14" s="2" t="inlineStr">
        <is>
          <t>Considering</t>
        </is>
      </c>
      <c r="J14" s="2" t="inlineStr">
        <is>
          <t>Considering</t>
        </is>
      </c>
      <c r="K14" s="2" t="inlineStr">
        <is>
          <t>Implemented/available</t>
        </is>
      </c>
      <c r="L14" s="3">
        <f>Calc!B14</f>
        <v>100</v>
      </c>
      <c r="M14" s="3">
        <f>Calc!C14</f>
        <v>100</v>
      </c>
      <c r="N14" s="3">
        <f>Verification!F14</f>
        <v>100</v>
      </c>
      <c r="O14" s="3">
        <f>Calc!E14</f>
        <v>33</v>
      </c>
      <c r="P14" s="3">
        <f>Calc!F14</f>
        <v>33</v>
      </c>
      <c r="Q14" s="3">
        <f>Calc!G14</f>
        <v>100</v>
      </c>
      <c r="R14" s="3">
        <f>Calc!H14</f>
        <v>100</v>
      </c>
      <c r="S14" s="3">
        <f>AVERAGE(L14:R14)</f>
        <v>80.8571428571429</v>
      </c>
      <c r="T14" s="2">
        <f>RANK(S14,$S$2:$S$113,0)+(COUNTIF($S$2:$S$113,S14)-1)/2</f>
        <v>37</v>
      </c>
      <c r="U14" s="2">
        <f>Coverage!I14</f>
        <v>7</v>
      </c>
      <c r="V14" s="4">
        <f>Coverage!J14</f>
        <v>1</v>
      </c>
      <c r="W14" s="3">
        <f>IFERROR(SUMPRODUCT(L14:R14,Coverage!B14:H14)/U14,0)</f>
        <v>80.8571428571429</v>
      </c>
      <c r="X14" s="2" t="inlineStr">
        <is>
          <t>No independent verification recorded</t>
        </is>
      </c>
    </row>
    <row r="15">
      <c r="A15" s="2" t="inlineStr">
        <is>
          <t>bioRxiv</t>
        </is>
      </c>
      <c r="B15" s="2" t="inlineStr">
        <is>
          <t>Cold Spring Harbor Laboratory</t>
        </is>
      </c>
      <c r="C15" s="2" t="inlineStr">
        <is>
          <t>Repository service</t>
        </is>
      </c>
      <c r="D15" s="2" t="inlineStr">
        <is>
          <t>In progress</t>
        </is>
      </c>
      <c r="E15" s="2" t="inlineStr">
        <is>
          <t>Unknown</t>
        </is>
      </c>
      <c r="F15" s="2" t="inlineStr">
        <is>
          <t>Advisory board or steering committee</t>
        </is>
      </c>
      <c r="G15" s="2" t="n"/>
      <c r="H15" s="2" t="inlineStr">
        <is>
          <t>Ad hoc</t>
        </is>
      </c>
      <c r="I15" s="2" t="inlineStr">
        <is>
          <t>Considering</t>
        </is>
      </c>
      <c r="J15" s="2" t="inlineStr">
        <is>
          <t>In progress</t>
        </is>
      </c>
      <c r="K15" s="2" t="inlineStr">
        <is>
          <t>Implemented/available</t>
        </is>
      </c>
      <c r="L15" s="3">
        <f>Calc!B15</f>
        <v>67</v>
      </c>
      <c r="M15" s="3">
        <f>Calc!C15</f>
        <v>0</v>
      </c>
      <c r="N15" s="3">
        <f>Verification!F15</f>
        <v>100</v>
      </c>
      <c r="O15" s="3">
        <f>Calc!E15</f>
        <v>33</v>
      </c>
      <c r="P15" s="3">
        <f>Calc!F15</f>
        <v>67</v>
      </c>
      <c r="Q15" s="3">
        <f>Calc!G15</f>
        <v>100</v>
      </c>
      <c r="R15" s="3">
        <f>Calc!H15</f>
        <v>50</v>
      </c>
      <c r="S15" s="3">
        <f>AVERAGE(L15:R15)</f>
        <v>59.5714285714286</v>
      </c>
      <c r="T15" s="2">
        <f>RANK(S15,$S$2:$S$113,0)+(COUNTIF($S$2:$S$113,S15)-1)/2</f>
        <v>67</v>
      </c>
      <c r="U15" s="2">
        <f>Coverage!I15</f>
        <v>6</v>
      </c>
      <c r="V15" s="4">
        <f>Coverage!J15</f>
        <v>0.857142857142857</v>
      </c>
      <c r="W15" s="3">
        <f>IFERROR(SUMPRODUCT(L15:R15,Coverage!B15:H15)/U15,0)</f>
        <v>69.5</v>
      </c>
      <c r="X15" s="2" t="inlineStr">
        <is>
          <t>108_bylaws_status unavailable/unknown scored 0; No independent verification recorded</t>
        </is>
      </c>
    </row>
    <row r="16">
      <c r="A16" s="2" t="inlineStr">
        <is>
          <t>BitCurator Environment</t>
        </is>
      </c>
      <c r="B16" s="2" t="inlineStr">
        <is>
          <t>BitCurator Consortium</t>
        </is>
      </c>
      <c r="C16" s="2" t="inlineStr">
        <is>
          <t>Digital preservation tool</t>
        </is>
      </c>
      <c r="D16" s="2" t="inlineStr">
        <is>
          <t>Implemented/available</t>
        </is>
      </c>
      <c r="E16" s="2" t="inlineStr">
        <is>
          <t>Implemented/available</t>
        </is>
      </c>
      <c r="F16" s="2" t="inlineStr">
        <is>
          <t>Advisory board or steering committee</t>
        </is>
      </c>
      <c r="G16" s="2" t="n"/>
      <c r="H16" s="2" t="inlineStr">
        <is>
          <t>Formal</t>
        </is>
      </c>
      <c r="I16" s="2" t="inlineStr">
        <is>
          <t>Considering</t>
        </is>
      </c>
      <c r="J16" s="2" t="inlineStr">
        <is>
          <t>Implemented/available</t>
        </is>
      </c>
      <c r="K16" s="2" t="inlineStr">
        <is>
          <t>Implemented/available</t>
        </is>
      </c>
      <c r="L16" s="3">
        <f>Calc!B16</f>
        <v>100</v>
      </c>
      <c r="M16" s="3">
        <f>Calc!C16</f>
        <v>100</v>
      </c>
      <c r="N16" s="3">
        <f>Verification!F16</f>
        <v>100</v>
      </c>
      <c r="O16" s="3">
        <f>Calc!E16</f>
        <v>33</v>
      </c>
      <c r="P16" s="3">
        <f>Calc!F16</f>
        <v>100</v>
      </c>
      <c r="Q16" s="3">
        <f>Calc!G16</f>
        <v>100</v>
      </c>
      <c r="R16" s="3">
        <f>Calc!H16</f>
        <v>100</v>
      </c>
      <c r="S16" s="3">
        <f>AVERAGE(L16:R16)</f>
        <v>90.4285714285714</v>
      </c>
      <c r="T16" s="2">
        <f>RANK(S16,$S$2:$S$113,0)+(COUNTIF($S$2:$S$113,S16)-1)/2</f>
        <v>23</v>
      </c>
      <c r="U16" s="2">
        <f>Coverage!I16</f>
        <v>7</v>
      </c>
      <c r="V16" s="4">
        <f>Coverage!J16</f>
        <v>1</v>
      </c>
      <c r="W16" s="3">
        <f>IFERROR(SUMPRODUCT(L16:R16,Coverage!B16:H16)/U16,0)</f>
        <v>90.4285714285714</v>
      </c>
      <c r="X16" s="2" t="inlineStr">
        <is>
          <t>No independent verification recorded</t>
        </is>
      </c>
    </row>
    <row r="17">
      <c r="A17" s="2" t="inlineStr">
        <is>
          <t>Blacklight</t>
        </is>
      </c>
      <c r="B17" s="2" t="inlineStr">
        <is>
          <t>Blacklight</t>
        </is>
      </c>
      <c r="C17" s="2" t="inlineStr">
        <is>
          <t>Discovery system | Integrated Library System (ILS) or Library Services Platform (LSP)</t>
        </is>
      </c>
      <c r="D17" s="2" t="inlineStr">
        <is>
          <t>In progress</t>
        </is>
      </c>
      <c r="E17" s="2" t="inlineStr">
        <is>
          <t>In progress</t>
        </is>
      </c>
      <c r="F17" s="2" t="inlineStr">
        <is>
          <t>None</t>
        </is>
      </c>
      <c r="G17" s="2" t="n"/>
      <c r="H17" s="2" t="inlineStr">
        <is>
          <t>Ad hoc</t>
        </is>
      </c>
      <c r="I17" s="2" t="inlineStr">
        <is>
          <t>In progress</t>
        </is>
      </c>
      <c r="J17" s="2" t="inlineStr">
        <is>
          <t>In progress</t>
        </is>
      </c>
      <c r="K17" s="2" t="inlineStr">
        <is>
          <t>In progress</t>
        </is>
      </c>
      <c r="L17" s="3">
        <f>Calc!B17</f>
        <v>67</v>
      </c>
      <c r="M17" s="3">
        <f>Calc!C17</f>
        <v>67</v>
      </c>
      <c r="N17" s="3">
        <f>Verification!F17</f>
        <v>0</v>
      </c>
      <c r="O17" s="3">
        <f>Calc!E17</f>
        <v>67</v>
      </c>
      <c r="P17" s="3">
        <f>Calc!F17</f>
        <v>67</v>
      </c>
      <c r="Q17" s="3">
        <f>Calc!G17</f>
        <v>67</v>
      </c>
      <c r="R17" s="3">
        <f>Calc!H17</f>
        <v>50</v>
      </c>
      <c r="S17" s="3">
        <f>AVERAGE(L17:R17)</f>
        <v>55</v>
      </c>
      <c r="T17" s="2">
        <f>RANK(S17,$S$2:$S$113,0)+(COUNTIF($S$2:$S$113,S17)-1)/2</f>
        <v>73</v>
      </c>
      <c r="U17" s="2">
        <f>Coverage!I17</f>
        <v>7</v>
      </c>
      <c r="V17" s="4">
        <f>Coverage!J17</f>
        <v>1</v>
      </c>
      <c r="W17" s="3">
        <f>IFERROR(SUMPRODUCT(L17:R17,Coverage!B17:H17)/U17,0)</f>
        <v>55</v>
      </c>
      <c r="X17" s="2" t="inlineStr">
        <is>
          <t>No independent verification recorded</t>
        </is>
      </c>
    </row>
    <row r="18">
      <c r="A18" s="2" t="inlineStr">
        <is>
          <t>BrCRIS</t>
        </is>
      </c>
      <c r="B18" s="2" t="inlineStr">
        <is>
          <t>IBICT</t>
        </is>
      </c>
      <c r="C18" s="2" t="inlineStr">
        <is>
          <t>Discovery system | Research profiling system</t>
        </is>
      </c>
      <c r="D18" s="2" t="inlineStr">
        <is>
          <t>Unknown</t>
        </is>
      </c>
      <c r="E18" s="2" t="inlineStr">
        <is>
          <t>Unknown</t>
        </is>
      </c>
      <c r="F18" s="2" t="inlineStr">
        <is>
          <t>Advisory board or steering committee</t>
        </is>
      </c>
      <c r="G18" s="2" t="n"/>
      <c r="H18" s="2" t="inlineStr">
        <is>
          <t>Ad hoc</t>
        </is>
      </c>
      <c r="I18" s="2" t="inlineStr">
        <is>
          <t>In progress</t>
        </is>
      </c>
      <c r="J18" s="2" t="inlineStr">
        <is>
          <t>Considering</t>
        </is>
      </c>
      <c r="K18" s="2" t="inlineStr">
        <is>
          <t>Implemented/available</t>
        </is>
      </c>
      <c r="L18" s="3">
        <f>Calc!B18</f>
        <v>0</v>
      </c>
      <c r="M18" s="3">
        <f>Calc!C18</f>
        <v>0</v>
      </c>
      <c r="N18" s="3">
        <f>Verification!F18</f>
        <v>100</v>
      </c>
      <c r="O18" s="3">
        <f>Calc!E18</f>
        <v>67</v>
      </c>
      <c r="P18" s="3">
        <f>Calc!F18</f>
        <v>33</v>
      </c>
      <c r="Q18" s="3">
        <f>Calc!G18</f>
        <v>100</v>
      </c>
      <c r="R18" s="3">
        <f>Calc!H18</f>
        <v>50</v>
      </c>
      <c r="S18" s="3">
        <f>AVERAGE(L18:R18)</f>
        <v>50</v>
      </c>
      <c r="T18" s="2">
        <f>RANK(S18,$S$2:$S$113,0)+(COUNTIF($S$2:$S$113,S18)-1)/2</f>
        <v>79</v>
      </c>
      <c r="U18" s="2">
        <f>Coverage!I18</f>
        <v>5</v>
      </c>
      <c r="V18" s="4">
        <f>Coverage!J18</f>
        <v>0.714285714285714</v>
      </c>
      <c r="W18" s="3">
        <f>IFERROR(SUMPRODUCT(L18:R18,Coverage!B18:H18)/U18,0)</f>
        <v>70</v>
      </c>
      <c r="X18" s="2" t="inlineStr">
        <is>
          <t>024_governance_structure_status unavailable/unknown scored 0; 108_bylaws_status unavailable/unknown scored 0; No independent verification recorded</t>
        </is>
      </c>
    </row>
    <row r="19">
      <c r="A19" s="2" t="inlineStr">
        <is>
          <t>Browsertrix</t>
        </is>
      </c>
      <c r="B19" s="2" t="inlineStr">
        <is>
          <t>Webrecorder</t>
        </is>
      </c>
      <c r="C19" s="2" t="inlineStr">
        <is>
          <t>Digital library, collection or exhibit platform | Web archiving system</t>
        </is>
      </c>
      <c r="D19" s="2" t="inlineStr">
        <is>
          <t>Not planning</t>
        </is>
      </c>
      <c r="E19" s="2" t="inlineStr">
        <is>
          <t>Not planning</t>
        </is>
      </c>
      <c r="F19" s="2" t="inlineStr">
        <is>
          <t>None</t>
        </is>
      </c>
      <c r="G19" s="2" t="n"/>
      <c r="H19" s="2" t="inlineStr">
        <is>
          <t>None</t>
        </is>
      </c>
      <c r="I19" s="2" t="inlineStr">
        <is>
          <t>Unknown</t>
        </is>
      </c>
      <c r="J19" s="2" t="inlineStr">
        <is>
          <t>Unknown</t>
        </is>
      </c>
      <c r="K19" s="2" t="inlineStr">
        <is>
          <t>Implemented/available</t>
        </is>
      </c>
      <c r="L19" s="3">
        <f>Calc!B19</f>
        <v>0</v>
      </c>
      <c r="M19" s="3">
        <f>Calc!C19</f>
        <v>0</v>
      </c>
      <c r="N19" s="3">
        <f>Verification!F19</f>
        <v>0</v>
      </c>
      <c r="O19" s="3">
        <f>Calc!E19</f>
        <v>0</v>
      </c>
      <c r="P19" s="3">
        <f>Calc!F19</f>
        <v>0</v>
      </c>
      <c r="Q19" s="3">
        <f>Calc!G19</f>
        <v>100</v>
      </c>
      <c r="R19" s="3">
        <f>Calc!H19</f>
        <v>0</v>
      </c>
      <c r="S19" s="3">
        <f>AVERAGE(L19:R19)</f>
        <v>14.2857142857143</v>
      </c>
      <c r="T19" s="2">
        <f>RANK(S19,$S$2:$S$113,0)+(COUNTIF($S$2:$S$113,S19)-1)/2</f>
        <v>108</v>
      </c>
      <c r="U19" s="2">
        <f>Coverage!I19</f>
        <v>5</v>
      </c>
      <c r="V19" s="4">
        <f>Coverage!J19</f>
        <v>0.714285714285714</v>
      </c>
      <c r="W19" s="3">
        <f>IFERROR(SUMPRODUCT(L19:R19,Coverage!B19:H19)/U19,0)</f>
        <v>20</v>
      </c>
      <c r="X19" s="2" t="inlineStr">
        <is>
          <t>029_web_accessibility_status unavailable/unknown scored 0; 035_commitment_to_equity_status unavailable/unknown scored 0; No independent verification recorded</t>
        </is>
      </c>
    </row>
    <row r="20">
      <c r="A20" s="2" t="inlineStr">
        <is>
          <t>CLOCKSS</t>
        </is>
      </c>
      <c r="B20" s="2" t="inlineStr">
        <is>
          <t>CLOCKSS</t>
        </is>
      </c>
      <c r="C20" s="2" t="inlineStr">
        <is>
          <t>Digital preservation service</t>
        </is>
      </c>
      <c r="D20" s="2" t="inlineStr">
        <is>
          <t>Implemented/available</t>
        </is>
      </c>
      <c r="E20" s="2" t="inlineStr">
        <is>
          <t>Implemented/available</t>
        </is>
      </c>
      <c r="F20" s="2" t="inlineStr">
        <is>
          <t>Advisory board or steering committee</t>
        </is>
      </c>
      <c r="G20" s="2" t="n"/>
      <c r="H20" s="2" t="inlineStr">
        <is>
          <t>Formal</t>
        </is>
      </c>
      <c r="I20" s="2" t="inlineStr">
        <is>
          <t>In progress</t>
        </is>
      </c>
      <c r="J20" s="2" t="inlineStr">
        <is>
          <t>Implemented/available</t>
        </is>
      </c>
      <c r="K20" s="2" t="inlineStr">
        <is>
          <t>Implemented/available</t>
        </is>
      </c>
      <c r="L20" s="3">
        <f>Calc!B20</f>
        <v>100</v>
      </c>
      <c r="M20" s="3">
        <f>Calc!C20</f>
        <v>100</v>
      </c>
      <c r="N20" s="3">
        <f>Verification!F20</f>
        <v>100</v>
      </c>
      <c r="O20" s="3">
        <f>Calc!E20</f>
        <v>67</v>
      </c>
      <c r="P20" s="3">
        <f>Calc!F20</f>
        <v>100</v>
      </c>
      <c r="Q20" s="3">
        <f>Calc!G20</f>
        <v>100</v>
      </c>
      <c r="R20" s="3">
        <f>Calc!H20</f>
        <v>100</v>
      </c>
      <c r="S20" s="3">
        <f>AVERAGE(L20:R20)</f>
        <v>95.2857142857143</v>
      </c>
      <c r="T20" s="2">
        <f>RANK(S20,$S$2:$S$113,0)+(COUNTIF($S$2:$S$113,S20)-1)/2</f>
        <v>12.5</v>
      </c>
      <c r="U20" s="2">
        <f>Coverage!I20</f>
        <v>7</v>
      </c>
      <c r="V20" s="4">
        <f>Coverage!J20</f>
        <v>1</v>
      </c>
      <c r="W20" s="3">
        <f>IFERROR(SUMPRODUCT(L20:R20,Coverage!B20:H20)/U20,0)</f>
        <v>95.2857142857143</v>
      </c>
      <c r="X20" s="2" t="inlineStr">
        <is>
          <t>No independent verification recorded</t>
        </is>
      </c>
    </row>
    <row r="21">
      <c r="A21" s="2" t="inlineStr">
        <is>
          <t>COAR International Repository Directory (IRD)</t>
        </is>
      </c>
      <c r="B21" s="2" t="inlineStr">
        <is>
          <t>COAR</t>
        </is>
      </c>
      <c r="C21" s="2" t="inlineStr">
        <is>
          <t>Index or directory</t>
        </is>
      </c>
      <c r="D21" s="2" t="inlineStr">
        <is>
          <t>Implemented/available</t>
        </is>
      </c>
      <c r="E21" s="2" t="inlineStr">
        <is>
          <t>In progress</t>
        </is>
      </c>
      <c r="F21" s="2" t="inlineStr">
        <is>
          <t>Advisory board or steering committee</t>
        </is>
      </c>
      <c r="G21" s="2" t="n"/>
      <c r="H21" s="2" t="inlineStr">
        <is>
          <t>Ad hoc</t>
        </is>
      </c>
      <c r="I21" s="2" t="inlineStr">
        <is>
          <t>Considering</t>
        </is>
      </c>
      <c r="J21" s="2" t="inlineStr">
        <is>
          <t>Implemented/available</t>
        </is>
      </c>
      <c r="K21" s="2" t="inlineStr">
        <is>
          <t>Not planning</t>
        </is>
      </c>
      <c r="L21" s="3">
        <f>Calc!B21</f>
        <v>100</v>
      </c>
      <c r="M21" s="3">
        <f>Calc!C21</f>
        <v>67</v>
      </c>
      <c r="N21" s="3">
        <f>Verification!F21</f>
        <v>100</v>
      </c>
      <c r="O21" s="3">
        <f>Calc!E21</f>
        <v>33</v>
      </c>
      <c r="P21" s="3">
        <f>Calc!F21</f>
        <v>100</v>
      </c>
      <c r="Q21" s="3">
        <f>Calc!G21</f>
        <v>0</v>
      </c>
      <c r="R21" s="3">
        <f>Calc!H21</f>
        <v>50</v>
      </c>
      <c r="S21" s="3">
        <f>AVERAGE(L21:R21)</f>
        <v>64.2857142857143</v>
      </c>
      <c r="T21" s="2">
        <f>RANK(S21,$S$2:$S$113,0)+(COUNTIF($S$2:$S$113,S21)-1)/2</f>
        <v>61</v>
      </c>
      <c r="U21" s="2">
        <f>Coverage!I21</f>
        <v>7</v>
      </c>
      <c r="V21" s="4">
        <f>Coverage!J21</f>
        <v>1</v>
      </c>
      <c r="W21" s="3">
        <f>IFERROR(SUMPRODUCT(L21:R21,Coverage!B21:H21)/U21,0)</f>
        <v>64.2857142857143</v>
      </c>
      <c r="X21" s="2" t="inlineStr">
        <is>
          <t>No independent verification recorded</t>
        </is>
      </c>
    </row>
    <row r="22">
      <c r="A22" s="2" t="inlineStr">
        <is>
          <t>COAR Notify</t>
        </is>
      </c>
      <c r="B22" s="2" t="inlineStr">
        <is>
          <t>COAR</t>
        </is>
      </c>
      <c r="C22" s="2" t="inlineStr">
        <is>
          <t>Standard, specification or protocol</t>
        </is>
      </c>
      <c r="D22" s="2" t="inlineStr">
        <is>
          <t>Implemented/available</t>
        </is>
      </c>
      <c r="E22" s="2" t="inlineStr">
        <is>
          <t>Not planning</t>
        </is>
      </c>
      <c r="F22" s="2" t="inlineStr">
        <is>
          <t>Other</t>
        </is>
      </c>
      <c r="G22" s="2" t="inlineStr">
        <is>
          <t>Editorial Board</t>
        </is>
      </c>
      <c r="H22" s="2" t="inlineStr">
        <is>
          <t>Ad hoc</t>
        </is>
      </c>
      <c r="I22" s="2" t="inlineStr">
        <is>
          <t>Considering</t>
        </is>
      </c>
      <c r="J22" s="2" t="inlineStr">
        <is>
          <t>Implemented/available</t>
        </is>
      </c>
      <c r="K22" s="2" t="inlineStr">
        <is>
          <t>Not planning</t>
        </is>
      </c>
      <c r="L22" s="3">
        <f>Calc!B22</f>
        <v>100</v>
      </c>
      <c r="M22" s="3">
        <f>Calc!C22</f>
        <v>0</v>
      </c>
      <c r="N22" s="3">
        <f>Verification!F22</f>
        <v>0</v>
      </c>
      <c r="O22" s="3">
        <f>Calc!E22</f>
        <v>33</v>
      </c>
      <c r="P22" s="3">
        <f>Calc!F22</f>
        <v>100</v>
      </c>
      <c r="Q22" s="3">
        <f>Calc!G22</f>
        <v>0</v>
      </c>
      <c r="R22" s="3">
        <f>Calc!H22</f>
        <v>50</v>
      </c>
      <c r="S22" s="3">
        <f>AVERAGE(L22:R22)</f>
        <v>40.4285714285714</v>
      </c>
      <c r="T22" s="2">
        <f>RANK(S22,$S$2:$S$113,0)+(COUNTIF($S$2:$S$113,S22)-1)/2</f>
        <v>89</v>
      </c>
      <c r="U22" s="2">
        <f>Coverage!I22</f>
        <v>7</v>
      </c>
      <c r="V22" s="4">
        <f>Coverage!J22</f>
        <v>1</v>
      </c>
      <c r="W22" s="3">
        <f>IFERROR(SUMPRODUCT(L22:R22,Coverage!B22:H22)/U22,0)</f>
        <v>40.4285714285714</v>
      </c>
      <c r="X22" s="2" t="inlineStr">
        <is>
          <t>Review 050 Other response; override available; No independent verification recorded</t>
        </is>
      </c>
    </row>
    <row r="23">
      <c r="A23" s="2" t="inlineStr">
        <is>
          <t>CollectiveAccess</t>
        </is>
      </c>
      <c r="B23" s="2" t="inlineStr">
        <is>
          <t>Whirl-i-Gig</t>
        </is>
      </c>
      <c r="C23" s="2" t="inlineStr">
        <is>
          <t>Archive information management system | Digital asset management system | Digital library, collection or exhibit platform</t>
        </is>
      </c>
      <c r="D23" s="2" t="inlineStr">
        <is>
          <t>Not planning</t>
        </is>
      </c>
      <c r="E23" s="2" t="inlineStr">
        <is>
          <t>Not planning</t>
        </is>
      </c>
      <c r="F23" s="2" t="inlineStr">
        <is>
          <t>None</t>
        </is>
      </c>
      <c r="G23" s="2" t="n"/>
      <c r="H23" s="2" t="inlineStr">
        <is>
          <t>Ad hoc</t>
        </is>
      </c>
      <c r="I23" s="2" t="inlineStr">
        <is>
          <t>In progress</t>
        </is>
      </c>
      <c r="J23" s="2" t="inlineStr">
        <is>
          <t>Not planning</t>
        </is>
      </c>
      <c r="K23" s="2" t="inlineStr">
        <is>
          <t>Not planning</t>
        </is>
      </c>
      <c r="L23" s="3">
        <f>Calc!B23</f>
        <v>0</v>
      </c>
      <c r="M23" s="3">
        <f>Calc!C23</f>
        <v>0</v>
      </c>
      <c r="N23" s="3">
        <f>Verification!F23</f>
        <v>0</v>
      </c>
      <c r="O23" s="3">
        <f>Calc!E23</f>
        <v>67</v>
      </c>
      <c r="P23" s="3">
        <f>Calc!F23</f>
        <v>0</v>
      </c>
      <c r="Q23" s="3">
        <f>Calc!G23</f>
        <v>0</v>
      </c>
      <c r="R23" s="3">
        <f>Calc!H23</f>
        <v>50</v>
      </c>
      <c r="S23" s="3">
        <f>AVERAGE(L23:R23)</f>
        <v>16.7142857142857</v>
      </c>
      <c r="T23" s="2">
        <f>RANK(S23,$S$2:$S$113,0)+(COUNTIF($S$2:$S$113,S23)-1)/2</f>
        <v>106</v>
      </c>
      <c r="U23" s="2">
        <f>Coverage!I23</f>
        <v>7</v>
      </c>
      <c r="V23" s="4">
        <f>Coverage!J23</f>
        <v>1</v>
      </c>
      <c r="W23" s="3">
        <f>IFERROR(SUMPRODUCT(L23:R23,Coverage!B23:H23)/U23,0)</f>
        <v>16.7142857142857</v>
      </c>
      <c r="X23" s="2" t="inlineStr">
        <is>
          <t>No independent verification recorded</t>
        </is>
      </c>
    </row>
    <row r="24">
      <c r="A24" s="2" t="inlineStr">
        <is>
          <t>CORE</t>
        </is>
      </c>
      <c r="B24" s="2" t="inlineStr">
        <is>
          <t>The Open University</t>
        </is>
      </c>
      <c r="C24" s="2" t="inlineStr">
        <is>
          <t>Discovery system</t>
        </is>
      </c>
      <c r="D24" s="2" t="inlineStr">
        <is>
          <t>Implemented/available</t>
        </is>
      </c>
      <c r="E24" s="2" t="inlineStr">
        <is>
          <t>Implemented/available</t>
        </is>
      </c>
      <c r="F24" s="2" t="inlineStr">
        <is>
          <t>Multi-board governance</t>
        </is>
      </c>
      <c r="G24" s="2" t="n"/>
      <c r="H24" s="2" t="inlineStr">
        <is>
          <t>Formal</t>
        </is>
      </c>
      <c r="I24" s="2" t="inlineStr">
        <is>
          <t>Implemented/available</t>
        </is>
      </c>
      <c r="J24" s="2" t="inlineStr">
        <is>
          <t>Considering</t>
        </is>
      </c>
      <c r="K24" s="2" t="inlineStr">
        <is>
          <t>Implemented/available</t>
        </is>
      </c>
      <c r="L24" s="3">
        <f>Calc!B24</f>
        <v>100</v>
      </c>
      <c r="M24" s="3">
        <f>Calc!C24</f>
        <v>100</v>
      </c>
      <c r="N24" s="3">
        <f>Verification!F24</f>
        <v>100</v>
      </c>
      <c r="O24" s="3">
        <f>Calc!E24</f>
        <v>100</v>
      </c>
      <c r="P24" s="3">
        <f>Calc!F24</f>
        <v>33</v>
      </c>
      <c r="Q24" s="3">
        <f>Calc!G24</f>
        <v>100</v>
      </c>
      <c r="R24" s="3">
        <f>Calc!H24</f>
        <v>100</v>
      </c>
      <c r="S24" s="3">
        <f>AVERAGE(L24:R24)</f>
        <v>90.4285714285714</v>
      </c>
      <c r="T24" s="2">
        <f>RANK(S24,$S$2:$S$113,0)+(COUNTIF($S$2:$S$113,S24)-1)/2</f>
        <v>23</v>
      </c>
      <c r="U24" s="2">
        <f>Coverage!I24</f>
        <v>7</v>
      </c>
      <c r="V24" s="4">
        <f>Coverage!J24</f>
        <v>1</v>
      </c>
      <c r="W24" s="3">
        <f>IFERROR(SUMPRODUCT(L24:R24,Coverage!B24:H24)/U24,0)</f>
        <v>90.4285714285714</v>
      </c>
      <c r="X24" s="2" t="inlineStr">
        <is>
          <t>No independent verification recorded</t>
        </is>
      </c>
    </row>
    <row r="25">
      <c r="A25" s="2" t="inlineStr">
        <is>
          <t>COUNTER Code of Practice</t>
        </is>
      </c>
      <c r="B25" s="2" t="inlineStr">
        <is>
          <t>COUNTER Metrics</t>
        </is>
      </c>
      <c r="C25" s="2" t="inlineStr">
        <is>
          <t>Standard, specification or protocol</t>
        </is>
      </c>
      <c r="D25" s="2" t="inlineStr">
        <is>
          <t>Implemented/available</t>
        </is>
      </c>
      <c r="E25" s="2" t="inlineStr">
        <is>
          <t>Implemented/available</t>
        </is>
      </c>
      <c r="F25" s="2" t="inlineStr">
        <is>
          <t>Multi-board governance</t>
        </is>
      </c>
      <c r="G25" s="2" t="n"/>
      <c r="H25" s="2" t="inlineStr">
        <is>
          <t>Formal</t>
        </is>
      </c>
      <c r="I25" s="2" t="inlineStr">
        <is>
          <t>Implemented/available</t>
        </is>
      </c>
      <c r="J25" s="2" t="inlineStr">
        <is>
          <t>In progress</t>
        </is>
      </c>
      <c r="K25" s="2" t="inlineStr">
        <is>
          <t>Implemented/available</t>
        </is>
      </c>
      <c r="L25" s="3">
        <f>Calc!B25</f>
        <v>100</v>
      </c>
      <c r="M25" s="3">
        <f>Calc!C25</f>
        <v>100</v>
      </c>
      <c r="N25" s="3">
        <f>Verification!F25</f>
        <v>100</v>
      </c>
      <c r="O25" s="3">
        <f>Calc!E25</f>
        <v>100</v>
      </c>
      <c r="P25" s="3">
        <f>Calc!F25</f>
        <v>67</v>
      </c>
      <c r="Q25" s="3">
        <f>Calc!G25</f>
        <v>100</v>
      </c>
      <c r="R25" s="3">
        <f>Calc!H25</f>
        <v>100</v>
      </c>
      <c r="S25" s="3">
        <f>AVERAGE(L25:R25)</f>
        <v>95.2857142857143</v>
      </c>
      <c r="T25" s="2">
        <f>RANK(S25,$S$2:$S$113,0)+(COUNTIF($S$2:$S$113,S25)-1)/2</f>
        <v>12.5</v>
      </c>
      <c r="U25" s="2">
        <f>Coverage!I25</f>
        <v>7</v>
      </c>
      <c r="V25" s="4">
        <f>Coverage!J25</f>
        <v>1</v>
      </c>
      <c r="W25" s="3">
        <f>IFERROR(SUMPRODUCT(L25:R25,Coverage!B25:H25)/U25,0)</f>
        <v>95.2857142857143</v>
      </c>
      <c r="X25" s="2" t="inlineStr">
        <is>
          <t>No independent verification recorded</t>
        </is>
      </c>
    </row>
    <row r="26">
      <c r="A26" s="2" t="inlineStr">
        <is>
          <t>Creative Commons Licenses</t>
        </is>
      </c>
      <c r="B26" s="2" t="inlineStr">
        <is>
          <t>Creative Commons</t>
        </is>
      </c>
      <c r="C26" s="2" t="inlineStr">
        <is>
          <t>Standard, specification or protocol</t>
        </is>
      </c>
      <c r="D26" s="2" t="inlineStr">
        <is>
          <t>Implemented/available</t>
        </is>
      </c>
      <c r="E26" s="2" t="inlineStr">
        <is>
          <t>Unknown</t>
        </is>
      </c>
      <c r="F26" s="2" t="inlineStr">
        <is>
          <t>Advisory board or steering committee</t>
        </is>
      </c>
      <c r="G26" s="2" t="n"/>
      <c r="H26" s="2" t="inlineStr">
        <is>
          <t>None</t>
        </is>
      </c>
      <c r="I26" s="2" t="inlineStr">
        <is>
          <t>Considering</t>
        </is>
      </c>
      <c r="J26" s="2" t="inlineStr">
        <is>
          <t>In progress</t>
        </is>
      </c>
      <c r="K26" s="2" t="inlineStr">
        <is>
          <t>Implemented/available</t>
        </is>
      </c>
      <c r="L26" s="3">
        <f>Calc!B26</f>
        <v>100</v>
      </c>
      <c r="M26" s="3">
        <f>Calc!C26</f>
        <v>0</v>
      </c>
      <c r="N26" s="3">
        <f>Verification!F26</f>
        <v>100</v>
      </c>
      <c r="O26" s="3">
        <f>Calc!E26</f>
        <v>33</v>
      </c>
      <c r="P26" s="3">
        <f>Calc!F26</f>
        <v>67</v>
      </c>
      <c r="Q26" s="3">
        <f>Calc!G26</f>
        <v>100</v>
      </c>
      <c r="R26" s="3">
        <f>Calc!H26</f>
        <v>0</v>
      </c>
      <c r="S26" s="3">
        <f>AVERAGE(L26:R26)</f>
        <v>57.1428571428571</v>
      </c>
      <c r="T26" s="2">
        <f>RANK(S26,$S$2:$S$113,0)+(COUNTIF($S$2:$S$113,S26)-1)/2</f>
        <v>71</v>
      </c>
      <c r="U26" s="2">
        <f>Coverage!I26</f>
        <v>6</v>
      </c>
      <c r="V26" s="4">
        <f>Coverage!J26</f>
        <v>0.857142857142857</v>
      </c>
      <c r="W26" s="3">
        <f>IFERROR(SUMPRODUCT(L26:R26,Coverage!B26:H26)/U26,0)</f>
        <v>66.6666666666667</v>
      </c>
      <c r="X26" s="2" t="inlineStr">
        <is>
          <t>108_bylaws_status unavailable/unknown scored 0; No independent verification recorded</t>
        </is>
      </c>
    </row>
    <row r="27">
      <c r="A27" s="2" t="inlineStr">
        <is>
          <t>Crossref Metadata Retrieval</t>
        </is>
      </c>
      <c r="B27" s="2" t="inlineStr">
        <is>
          <t>Crossref</t>
        </is>
      </c>
      <c r="C27" s="2" t="inlineStr">
        <is>
          <t>Open scholarly dataset</t>
        </is>
      </c>
      <c r="D27" s="2" t="inlineStr">
        <is>
          <t>Implemented/available</t>
        </is>
      </c>
      <c r="E27" s="2" t="inlineStr">
        <is>
          <t>Implemented/available</t>
        </is>
      </c>
      <c r="F27" s="2" t="inlineStr">
        <is>
          <t>Multi-board governance</t>
        </is>
      </c>
      <c r="G27" s="2" t="n"/>
      <c r="H27" s="2" t="inlineStr">
        <is>
          <t>Formal</t>
        </is>
      </c>
      <c r="I27" s="2" t="inlineStr">
        <is>
          <t>In progress</t>
        </is>
      </c>
      <c r="J27" s="2" t="inlineStr">
        <is>
          <t>Implemented/available</t>
        </is>
      </c>
      <c r="K27" s="2" t="inlineStr">
        <is>
          <t>Implemented/available</t>
        </is>
      </c>
      <c r="L27" s="3">
        <f>Calc!B27</f>
        <v>100</v>
      </c>
      <c r="M27" s="3">
        <f>Calc!C27</f>
        <v>100</v>
      </c>
      <c r="N27" s="3">
        <f>Verification!F27</f>
        <v>100</v>
      </c>
      <c r="O27" s="3">
        <f>Calc!E27</f>
        <v>67</v>
      </c>
      <c r="P27" s="3">
        <f>Calc!F27</f>
        <v>100</v>
      </c>
      <c r="Q27" s="3">
        <f>Calc!G27</f>
        <v>100</v>
      </c>
      <c r="R27" s="3">
        <f>Calc!H27</f>
        <v>100</v>
      </c>
      <c r="S27" s="3">
        <f>AVERAGE(L27:R27)</f>
        <v>95.2857142857143</v>
      </c>
      <c r="T27" s="2">
        <f>RANK(S27,$S$2:$S$113,0)+(COUNTIF($S$2:$S$113,S27)-1)/2</f>
        <v>12.5</v>
      </c>
      <c r="U27" s="2">
        <f>Coverage!I27</f>
        <v>7</v>
      </c>
      <c r="V27" s="4">
        <f>Coverage!J27</f>
        <v>1</v>
      </c>
      <c r="W27" s="3">
        <f>IFERROR(SUMPRODUCT(L27:R27,Coverage!B27:H27)/U27,0)</f>
        <v>95.2857142857143</v>
      </c>
      <c r="X27" s="2" t="inlineStr">
        <is>
          <t>No independent verification recorded</t>
        </is>
      </c>
    </row>
    <row r="28">
      <c r="A28" s="2" t="inlineStr">
        <is>
          <t>D4Science Infrastructure</t>
        </is>
      </c>
      <c r="B28" s="2" t="inlineStr">
        <is>
          <t>National Research Council of Italy</t>
        </is>
      </c>
      <c r="C28" s="2" t="inlineStr">
        <is>
          <t>Computing framework | Informal scholarly communications | Repository service</t>
        </is>
      </c>
      <c r="D28" s="2" t="inlineStr">
        <is>
          <t>In progress</t>
        </is>
      </c>
      <c r="E28" s="2" t="inlineStr">
        <is>
          <t>Not planning</t>
        </is>
      </c>
      <c r="F28" s="2" t="n"/>
      <c r="G28" s="2" t="n"/>
      <c r="H28" s="2" t="n"/>
      <c r="I28" s="2" t="inlineStr">
        <is>
          <t>Considering</t>
        </is>
      </c>
      <c r="J28" s="2" t="inlineStr">
        <is>
          <t>Considering</t>
        </is>
      </c>
      <c r="K28" s="2" t="inlineStr">
        <is>
          <t>Implemented/available</t>
        </is>
      </c>
      <c r="L28" s="3">
        <f>Calc!B28</f>
        <v>67</v>
      </c>
      <c r="M28" s="3">
        <f>Calc!C28</f>
        <v>0</v>
      </c>
      <c r="N28" s="3">
        <f>Verification!F28</f>
        <v>0</v>
      </c>
      <c r="O28" s="3">
        <f>Calc!E28</f>
        <v>33</v>
      </c>
      <c r="P28" s="3">
        <f>Calc!F28</f>
        <v>33</v>
      </c>
      <c r="Q28" s="3">
        <f>Calc!G28</f>
        <v>100</v>
      </c>
      <c r="R28" s="3">
        <f>Calc!H28</f>
        <v>0</v>
      </c>
      <c r="S28" s="3">
        <f>AVERAGE(L28:R28)</f>
        <v>33.2857142857143</v>
      </c>
      <c r="T28" s="2">
        <f>RANK(S28,$S$2:$S$113,0)+(COUNTIF($S$2:$S$113,S28)-1)/2</f>
        <v>97.5</v>
      </c>
      <c r="U28" s="2">
        <f>Coverage!I28</f>
        <v>5</v>
      </c>
      <c r="V28" s="4">
        <f>Coverage!J28</f>
        <v>0.714285714285714</v>
      </c>
      <c r="W28" s="3">
        <f>IFERROR(SUMPRODUCT(L28:R28,Coverage!B28:H28)/U28,0)</f>
        <v>46.6</v>
      </c>
      <c r="X28" s="2" t="inlineStr">
        <is>
          <t>048 community governance missing/unrecognized scored 0; No independent verification recorded</t>
        </is>
      </c>
    </row>
    <row r="29">
      <c r="A29" s="2" t="inlineStr">
        <is>
          <t>DART (Digital Archivist's Resource Tool)</t>
        </is>
      </c>
      <c r="B29" s="2" t="inlineStr">
        <is>
          <t>Academic Preservation Trust (APTrust)</t>
        </is>
      </c>
      <c r="C29" s="2" t="inlineStr">
        <is>
          <t>Digital preservation tool</t>
        </is>
      </c>
      <c r="D29" s="2" t="inlineStr">
        <is>
          <t>Implemented/available</t>
        </is>
      </c>
      <c r="E29" s="2" t="inlineStr">
        <is>
          <t>Implemented/available</t>
        </is>
      </c>
      <c r="F29" s="2" t="inlineStr">
        <is>
          <t>Advisory board or steering committee</t>
        </is>
      </c>
      <c r="G29" s="2" t="n"/>
      <c r="H29" s="2" t="inlineStr">
        <is>
          <t>Formal</t>
        </is>
      </c>
      <c r="I29" s="2" t="inlineStr">
        <is>
          <t>In progress</t>
        </is>
      </c>
      <c r="J29" s="2" t="inlineStr">
        <is>
          <t>Implemented/available</t>
        </is>
      </c>
      <c r="K29" s="2" t="inlineStr">
        <is>
          <t>Not planning</t>
        </is>
      </c>
      <c r="L29" s="3">
        <f>Calc!B29</f>
        <v>100</v>
      </c>
      <c r="M29" s="3">
        <f>Calc!C29</f>
        <v>100</v>
      </c>
      <c r="N29" s="3">
        <f>Verification!F29</f>
        <v>100</v>
      </c>
      <c r="O29" s="3">
        <f>Calc!E29</f>
        <v>67</v>
      </c>
      <c r="P29" s="3">
        <f>Calc!F29</f>
        <v>100</v>
      </c>
      <c r="Q29" s="3">
        <f>Calc!G29</f>
        <v>0</v>
      </c>
      <c r="R29" s="3">
        <f>Calc!H29</f>
        <v>100</v>
      </c>
      <c r="S29" s="3">
        <f>AVERAGE(L29:R29)</f>
        <v>81</v>
      </c>
      <c r="T29" s="2">
        <f>RANK(S29,$S$2:$S$113,0)+(COUNTIF($S$2:$S$113,S29)-1)/2</f>
        <v>33</v>
      </c>
      <c r="U29" s="2">
        <f>Coverage!I29</f>
        <v>7</v>
      </c>
      <c r="V29" s="4">
        <f>Coverage!J29</f>
        <v>1</v>
      </c>
      <c r="W29" s="3">
        <f>IFERROR(SUMPRODUCT(L29:R29,Coverage!B29:H29)/U29,0)</f>
        <v>81</v>
      </c>
      <c r="X29" s="2" t="inlineStr">
        <is>
          <t>No independent verification recorded</t>
        </is>
      </c>
    </row>
    <row r="30">
      <c r="A30" s="2" t="inlineStr">
        <is>
          <t>Database Information System</t>
        </is>
      </c>
      <c r="B30" s="2" t="inlineStr">
        <is>
          <t>University Library of Regensburg</t>
        </is>
      </c>
      <c r="C30" s="2" t="inlineStr">
        <is>
          <t>Discovery system | Index or directory</t>
        </is>
      </c>
      <c r="D30" s="2" t="inlineStr">
        <is>
          <t>Implemented/available</t>
        </is>
      </c>
      <c r="E30" s="2" t="inlineStr">
        <is>
          <t>Unknown</t>
        </is>
      </c>
      <c r="F30" s="2" t="inlineStr">
        <is>
          <t>Advisory board or steering committee</t>
        </is>
      </c>
      <c r="G30" s="2" t="n"/>
      <c r="H30" s="2" t="inlineStr">
        <is>
          <t>Ad hoc</t>
        </is>
      </c>
      <c r="I30" s="2" t="inlineStr">
        <is>
          <t>Unknown</t>
        </is>
      </c>
      <c r="J30" s="2" t="inlineStr">
        <is>
          <t>Unknown</t>
        </is>
      </c>
      <c r="K30" s="2" t="inlineStr">
        <is>
          <t>Implemented/available</t>
        </is>
      </c>
      <c r="L30" s="3">
        <f>Calc!B30</f>
        <v>100</v>
      </c>
      <c r="M30" s="3">
        <f>Calc!C30</f>
        <v>0</v>
      </c>
      <c r="N30" s="3">
        <f>Verification!F30</f>
        <v>100</v>
      </c>
      <c r="O30" s="3">
        <f>Calc!E30</f>
        <v>0</v>
      </c>
      <c r="P30" s="3">
        <f>Calc!F30</f>
        <v>0</v>
      </c>
      <c r="Q30" s="3">
        <f>Calc!G30</f>
        <v>100</v>
      </c>
      <c r="R30" s="3">
        <f>Calc!H30</f>
        <v>50</v>
      </c>
      <c r="S30" s="3">
        <f>AVERAGE(L30:R30)</f>
        <v>50</v>
      </c>
      <c r="T30" s="2">
        <f>RANK(S30,$S$2:$S$113,0)+(COUNTIF($S$2:$S$113,S30)-1)/2</f>
        <v>79</v>
      </c>
      <c r="U30" s="2">
        <f>Coverage!I30</f>
        <v>4</v>
      </c>
      <c r="V30" s="4">
        <f>Coverage!J30</f>
        <v>0.571428571428571</v>
      </c>
      <c r="W30" s="3">
        <f>IFERROR(SUMPRODUCT(L30:R30,Coverage!B30:H30)/U30,0)</f>
        <v>87.5</v>
      </c>
      <c r="X30" s="2" t="inlineStr">
        <is>
          <t>108_bylaws_status unavailable/unknown scored 0; 029_web_accessibility_status unavailable/unknown scored 0; 035_commitment_to_equity_status unavailable/unknown scored 0; No independent verification recorded</t>
        </is>
      </c>
    </row>
    <row r="31">
      <c r="A31" s="2" t="inlineStr">
        <is>
          <t>Data Citation Corpus</t>
        </is>
      </c>
      <c r="B31" s="2" t="inlineStr">
        <is>
          <t>Make Data Count</t>
        </is>
      </c>
      <c r="C31" s="2" t="inlineStr">
        <is>
          <t>Discovery system | Open scholarly dataset</t>
        </is>
      </c>
      <c r="D31" s="2" t="inlineStr">
        <is>
          <t>Implemented/available</t>
        </is>
      </c>
      <c r="E31" s="2" t="inlineStr">
        <is>
          <t>Not planning</t>
        </is>
      </c>
      <c r="F31" s="2" t="inlineStr">
        <is>
          <t>None</t>
        </is>
      </c>
      <c r="G31" s="2" t="n"/>
      <c r="H31" s="2" t="inlineStr">
        <is>
          <t>Ad hoc</t>
        </is>
      </c>
      <c r="I31" s="2" t="inlineStr">
        <is>
          <t>Considering</t>
        </is>
      </c>
      <c r="J31" s="2" t="inlineStr">
        <is>
          <t>Not planning</t>
        </is>
      </c>
      <c r="K31" s="2" t="inlineStr">
        <is>
          <t>Implemented/available</t>
        </is>
      </c>
      <c r="L31" s="3">
        <f>Calc!B31</f>
        <v>100</v>
      </c>
      <c r="M31" s="3">
        <f>Calc!C31</f>
        <v>0</v>
      </c>
      <c r="N31" s="3">
        <f>Verification!F31</f>
        <v>0</v>
      </c>
      <c r="O31" s="3">
        <f>Calc!E31</f>
        <v>33</v>
      </c>
      <c r="P31" s="3">
        <f>Calc!F31</f>
        <v>0</v>
      </c>
      <c r="Q31" s="3">
        <f>Calc!G31</f>
        <v>100</v>
      </c>
      <c r="R31" s="3">
        <f>Calc!H31</f>
        <v>50</v>
      </c>
      <c r="S31" s="3">
        <f>AVERAGE(L31:R31)</f>
        <v>40.4285714285714</v>
      </c>
      <c r="T31" s="2">
        <f>RANK(S31,$S$2:$S$113,0)+(COUNTIF($S$2:$S$113,S31)-1)/2</f>
        <v>89</v>
      </c>
      <c r="U31" s="2">
        <f>Coverage!I31</f>
        <v>7</v>
      </c>
      <c r="V31" s="4">
        <f>Coverage!J31</f>
        <v>1</v>
      </c>
      <c r="W31" s="3">
        <f>IFERROR(SUMPRODUCT(L31:R31,Coverage!B31:H31)/U31,0)</f>
        <v>40.4285714285714</v>
      </c>
      <c r="X31" s="2" t="inlineStr">
        <is>
          <t>No independent verification recorded</t>
        </is>
      </c>
    </row>
    <row r="32">
      <c r="A32" s="2" t="inlineStr">
        <is>
          <t>DataCite</t>
        </is>
      </c>
      <c r="B32" s="2" t="inlineStr">
        <is>
          <t>DataCite</t>
        </is>
      </c>
      <c r="C32" s="2" t="inlineStr">
        <is>
          <t>Discovery system | Persistent identifier service</t>
        </is>
      </c>
      <c r="D32" s="2" t="inlineStr">
        <is>
          <t>Implemented/available</t>
        </is>
      </c>
      <c r="E32" s="2" t="inlineStr">
        <is>
          <t>Implemented/available</t>
        </is>
      </c>
      <c r="F32" s="2" t="inlineStr">
        <is>
          <t>Advisory board or steering committee</t>
        </is>
      </c>
      <c r="G32" s="2" t="n"/>
      <c r="H32" s="2" t="inlineStr">
        <is>
          <t>Formal</t>
        </is>
      </c>
      <c r="I32" s="2" t="inlineStr">
        <is>
          <t>In progress</t>
        </is>
      </c>
      <c r="J32" s="2" t="inlineStr">
        <is>
          <t>Implemented/available</t>
        </is>
      </c>
      <c r="K32" s="2" t="inlineStr">
        <is>
          <t>Implemented/available</t>
        </is>
      </c>
      <c r="L32" s="3">
        <f>Calc!B32</f>
        <v>100</v>
      </c>
      <c r="M32" s="3">
        <f>Calc!C32</f>
        <v>100</v>
      </c>
      <c r="N32" s="3">
        <f>Verification!F32</f>
        <v>100</v>
      </c>
      <c r="O32" s="3">
        <f>Calc!E32</f>
        <v>67</v>
      </c>
      <c r="P32" s="3">
        <f>Calc!F32</f>
        <v>100</v>
      </c>
      <c r="Q32" s="3">
        <f>Calc!G32</f>
        <v>100</v>
      </c>
      <c r="R32" s="3">
        <f>Calc!H32</f>
        <v>100</v>
      </c>
      <c r="S32" s="3">
        <f>AVERAGE(L32:R32)</f>
        <v>95.2857142857143</v>
      </c>
      <c r="T32" s="2">
        <f>RANK(S32,$S$2:$S$113,0)+(COUNTIF($S$2:$S$113,S32)-1)/2</f>
        <v>12.5</v>
      </c>
      <c r="U32" s="2">
        <f>Coverage!I32</f>
        <v>7</v>
      </c>
      <c r="V32" s="4">
        <f>Coverage!J32</f>
        <v>1</v>
      </c>
      <c r="W32" s="3">
        <f>IFERROR(SUMPRODUCT(L32:R32,Coverage!B32:H32)/U32,0)</f>
        <v>95.2857142857143</v>
      </c>
      <c r="X32" s="2" t="inlineStr">
        <is>
          <t>No independent verification recorded</t>
        </is>
      </c>
    </row>
    <row r="33">
      <c r="A33" s="2" t="inlineStr">
        <is>
          <t>Data Stewardship Wizard</t>
        </is>
      </c>
      <c r="B33" s="2" t="inlineStr">
        <is>
          <t>DSW Team</t>
        </is>
      </c>
      <c r="C33" s="2" t="inlineStr">
        <is>
          <t>Data management planning tool or service</t>
        </is>
      </c>
      <c r="D33" s="2" t="inlineStr">
        <is>
          <t>Implemented/available</t>
        </is>
      </c>
      <c r="E33" s="2" t="inlineStr">
        <is>
          <t>Not planning</t>
        </is>
      </c>
      <c r="F33" s="2" t="inlineStr">
        <is>
          <t>Advisory board or steering committee</t>
        </is>
      </c>
      <c r="G33" s="2" t="n"/>
      <c r="H33" s="2" t="inlineStr">
        <is>
          <t>Ad hoc</t>
        </is>
      </c>
      <c r="I33" s="2" t="inlineStr">
        <is>
          <t>In progress</t>
        </is>
      </c>
      <c r="J33" s="2" t="inlineStr">
        <is>
          <t>Implemented/available</t>
        </is>
      </c>
      <c r="K33" s="2" t="inlineStr">
        <is>
          <t>Not planning</t>
        </is>
      </c>
      <c r="L33" s="3">
        <f>Calc!B33</f>
        <v>100</v>
      </c>
      <c r="M33" s="3">
        <f>Calc!C33</f>
        <v>0</v>
      </c>
      <c r="N33" s="3">
        <f>Verification!F33</f>
        <v>100</v>
      </c>
      <c r="O33" s="3">
        <f>Calc!E33</f>
        <v>67</v>
      </c>
      <c r="P33" s="3">
        <f>Calc!F33</f>
        <v>100</v>
      </c>
      <c r="Q33" s="3">
        <f>Calc!G33</f>
        <v>0</v>
      </c>
      <c r="R33" s="3">
        <f>Calc!H33</f>
        <v>50</v>
      </c>
      <c r="S33" s="3">
        <f>AVERAGE(L33:R33)</f>
        <v>59.5714285714286</v>
      </c>
      <c r="T33" s="2">
        <f>RANK(S33,$S$2:$S$113,0)+(COUNTIF($S$2:$S$113,S33)-1)/2</f>
        <v>67</v>
      </c>
      <c r="U33" s="2">
        <f>Coverage!I33</f>
        <v>7</v>
      </c>
      <c r="V33" s="4">
        <f>Coverage!J33</f>
        <v>1</v>
      </c>
      <c r="W33" s="3">
        <f>IFERROR(SUMPRODUCT(L33:R33,Coverage!B33:H33)/U33,0)</f>
        <v>59.5714285714286</v>
      </c>
      <c r="X33" s="2" t="inlineStr">
        <is>
          <t>No independent verification recorded</t>
        </is>
      </c>
    </row>
    <row r="34">
      <c r="A34" s="2" t="inlineStr">
        <is>
          <t>Dataverse</t>
        </is>
      </c>
      <c r="B34" s="2" t="inlineStr">
        <is>
          <t>Harvard University Institute for Quantitative Social Science (IQSS)</t>
        </is>
      </c>
      <c r="C34" s="2" t="inlineStr">
        <is>
          <t>Repository software</t>
        </is>
      </c>
      <c r="D34" s="2" t="inlineStr">
        <is>
          <t>Implemented/available</t>
        </is>
      </c>
      <c r="E34" s="2" t="inlineStr">
        <is>
          <t>Unknown</t>
        </is>
      </c>
      <c r="F34" s="2" t="inlineStr">
        <is>
          <t>None</t>
        </is>
      </c>
      <c r="G34" s="2" t="n"/>
      <c r="H34" s="2" t="inlineStr">
        <is>
          <t>Ad hoc</t>
        </is>
      </c>
      <c r="I34" s="2" t="inlineStr">
        <is>
          <t>In progress</t>
        </is>
      </c>
      <c r="J34" s="2" t="inlineStr">
        <is>
          <t>Implemented/available</t>
        </is>
      </c>
      <c r="K34" s="2" t="inlineStr">
        <is>
          <t>Implemented/available</t>
        </is>
      </c>
      <c r="L34" s="3">
        <f>Calc!B34</f>
        <v>100</v>
      </c>
      <c r="M34" s="3">
        <f>Calc!C34</f>
        <v>0</v>
      </c>
      <c r="N34" s="3">
        <f>Verification!F34</f>
        <v>0</v>
      </c>
      <c r="O34" s="3">
        <f>Calc!E34</f>
        <v>67</v>
      </c>
      <c r="P34" s="3">
        <f>Calc!F34</f>
        <v>100</v>
      </c>
      <c r="Q34" s="3">
        <f>Calc!G34</f>
        <v>100</v>
      </c>
      <c r="R34" s="3">
        <f>Calc!H34</f>
        <v>50</v>
      </c>
      <c r="S34" s="3">
        <f>AVERAGE(L34:R34)</f>
        <v>59.5714285714286</v>
      </c>
      <c r="T34" s="2">
        <f>RANK(S34,$S$2:$S$113,0)+(COUNTIF($S$2:$S$113,S34)-1)/2</f>
        <v>67</v>
      </c>
      <c r="U34" s="2">
        <f>Coverage!I34</f>
        <v>6</v>
      </c>
      <c r="V34" s="4">
        <f>Coverage!J34</f>
        <v>0.857142857142857</v>
      </c>
      <c r="W34" s="3">
        <f>IFERROR(SUMPRODUCT(L34:R34,Coverage!B34:H34)/U34,0)</f>
        <v>69.5</v>
      </c>
      <c r="X34" s="2" t="inlineStr">
        <is>
          <t>108_bylaws_status unavailable/unknown scored 0; No independent verification recorded</t>
        </is>
      </c>
    </row>
    <row r="35">
      <c r="A35" s="2" t="inlineStr">
        <is>
          <t>DLCM Backend</t>
        </is>
      </c>
      <c r="B35" s="2" t="inlineStr">
        <is>
          <t>DLCM Technology</t>
        </is>
      </c>
      <c r="C35" s="2" t="inlineStr">
        <is>
          <t>Archive information management system | Digital preservation system</t>
        </is>
      </c>
      <c r="D35" s="2" t="inlineStr">
        <is>
          <t>Implemented/available</t>
        </is>
      </c>
      <c r="E35" s="2" t="inlineStr">
        <is>
          <t>Not planning</t>
        </is>
      </c>
      <c r="F35" s="2" t="inlineStr">
        <is>
          <t>Advisory board or steering committee</t>
        </is>
      </c>
      <c r="G35" s="2" t="n"/>
      <c r="H35" s="2" t="inlineStr">
        <is>
          <t>None</t>
        </is>
      </c>
      <c r="I35" s="2" t="inlineStr">
        <is>
          <t>Considering</t>
        </is>
      </c>
      <c r="J35" s="2" t="inlineStr">
        <is>
          <t>Not planning</t>
        </is>
      </c>
      <c r="K35" s="2" t="inlineStr">
        <is>
          <t>Considering</t>
        </is>
      </c>
      <c r="L35" s="3">
        <f>Calc!B35</f>
        <v>100</v>
      </c>
      <c r="M35" s="3">
        <f>Calc!C35</f>
        <v>0</v>
      </c>
      <c r="N35" s="3">
        <f>Verification!F35</f>
        <v>100</v>
      </c>
      <c r="O35" s="3">
        <f>Calc!E35</f>
        <v>33</v>
      </c>
      <c r="P35" s="3">
        <f>Calc!F35</f>
        <v>0</v>
      </c>
      <c r="Q35" s="3">
        <f>Calc!G35</f>
        <v>33</v>
      </c>
      <c r="R35" s="3">
        <f>Calc!H35</f>
        <v>0</v>
      </c>
      <c r="S35" s="3">
        <f>AVERAGE(L35:R35)</f>
        <v>38</v>
      </c>
      <c r="T35" s="2">
        <f>RANK(S35,$S$2:$S$113,0)+(COUNTIF($S$2:$S$113,S35)-1)/2</f>
        <v>93</v>
      </c>
      <c r="U35" s="2">
        <f>Coverage!I35</f>
        <v>7</v>
      </c>
      <c r="V35" s="4">
        <f>Coverage!J35</f>
        <v>1</v>
      </c>
      <c r="W35" s="3">
        <f>IFERROR(SUMPRODUCT(L35:R35,Coverage!B35:H35)/U35,0)</f>
        <v>38</v>
      </c>
      <c r="X35" s="2" t="inlineStr">
        <is>
          <t>No independent verification recorded</t>
        </is>
      </c>
    </row>
    <row r="36">
      <c r="A36" s="2" t="inlineStr">
        <is>
          <t>DLCM Portal</t>
        </is>
      </c>
      <c r="B36" s="2" t="inlineStr">
        <is>
          <t>DLCM Technology</t>
        </is>
      </c>
      <c r="C36" s="2" t="inlineStr">
        <is>
          <t>Archive information management system | Digital preservation system | Software preservation service</t>
        </is>
      </c>
      <c r="D36" s="2" t="inlineStr">
        <is>
          <t>Implemented/available</t>
        </is>
      </c>
      <c r="E36" s="2" t="inlineStr">
        <is>
          <t>Not planning</t>
        </is>
      </c>
      <c r="F36" s="2" t="inlineStr">
        <is>
          <t>Advisory board or steering committee</t>
        </is>
      </c>
      <c r="G36" s="2" t="n"/>
      <c r="H36" s="2" t="inlineStr">
        <is>
          <t>None</t>
        </is>
      </c>
      <c r="I36" s="2" t="inlineStr">
        <is>
          <t>Considering</t>
        </is>
      </c>
      <c r="J36" s="2" t="inlineStr">
        <is>
          <t>Not planning</t>
        </is>
      </c>
      <c r="K36" s="2" t="inlineStr">
        <is>
          <t>Considering</t>
        </is>
      </c>
      <c r="L36" s="3">
        <f>Calc!B36</f>
        <v>100</v>
      </c>
      <c r="M36" s="3">
        <f>Calc!C36</f>
        <v>0</v>
      </c>
      <c r="N36" s="3">
        <f>Verification!F36</f>
        <v>100</v>
      </c>
      <c r="O36" s="3">
        <f>Calc!E36</f>
        <v>33</v>
      </c>
      <c r="P36" s="3">
        <f>Calc!F36</f>
        <v>0</v>
      </c>
      <c r="Q36" s="3">
        <f>Calc!G36</f>
        <v>33</v>
      </c>
      <c r="R36" s="3">
        <f>Calc!H36</f>
        <v>0</v>
      </c>
      <c r="S36" s="3">
        <f>AVERAGE(L36:R36)</f>
        <v>38</v>
      </c>
      <c r="T36" s="2">
        <f>RANK(S36,$S$2:$S$113,0)+(COUNTIF($S$2:$S$113,S36)-1)/2</f>
        <v>93</v>
      </c>
      <c r="U36" s="2">
        <f>Coverage!I36</f>
        <v>7</v>
      </c>
      <c r="V36" s="4">
        <f>Coverage!J36</f>
        <v>1</v>
      </c>
      <c r="W36" s="3">
        <f>IFERROR(SUMPRODUCT(L36:R36,Coverage!B36:H36)/U36,0)</f>
        <v>38</v>
      </c>
      <c r="X36" s="2" t="inlineStr">
        <is>
          <t>No independent verification recorded</t>
        </is>
      </c>
    </row>
    <row r="37">
      <c r="A37" s="2" t="inlineStr">
        <is>
          <t>DMP Tool</t>
        </is>
      </c>
      <c r="B37" s="2" t="inlineStr">
        <is>
          <t>California Digital Library</t>
        </is>
      </c>
      <c r="C37" s="2" t="inlineStr">
        <is>
          <t>Data management planning tool or service</t>
        </is>
      </c>
      <c r="D37" s="2" t="inlineStr">
        <is>
          <t>Not planning</t>
        </is>
      </c>
      <c r="E37" s="2" t="inlineStr">
        <is>
          <t>Not planning</t>
        </is>
      </c>
      <c r="F37" s="2" t="inlineStr">
        <is>
          <t>None</t>
        </is>
      </c>
      <c r="G37" s="2" t="n"/>
      <c r="H37" s="2" t="inlineStr">
        <is>
          <t>None</t>
        </is>
      </c>
      <c r="I37" s="2" t="inlineStr">
        <is>
          <t>Implemented/available</t>
        </is>
      </c>
      <c r="J37" s="2" t="inlineStr">
        <is>
          <t>Not planning</t>
        </is>
      </c>
      <c r="K37" s="2" t="inlineStr">
        <is>
          <t>Implemented/available</t>
        </is>
      </c>
      <c r="L37" s="3">
        <f>Calc!B37</f>
        <v>0</v>
      </c>
      <c r="M37" s="3">
        <f>Calc!C37</f>
        <v>0</v>
      </c>
      <c r="N37" s="3">
        <f>Verification!F37</f>
        <v>0</v>
      </c>
      <c r="O37" s="3">
        <f>Calc!E37</f>
        <v>100</v>
      </c>
      <c r="P37" s="3">
        <f>Calc!F37</f>
        <v>0</v>
      </c>
      <c r="Q37" s="3">
        <f>Calc!G37</f>
        <v>100</v>
      </c>
      <c r="R37" s="3">
        <f>Calc!H37</f>
        <v>0</v>
      </c>
      <c r="S37" s="3">
        <f>AVERAGE(L37:R37)</f>
        <v>28.5714285714286</v>
      </c>
      <c r="T37" s="2">
        <f>RANK(S37,$S$2:$S$113,0)+(COUNTIF($S$2:$S$113,S37)-1)/2</f>
        <v>100</v>
      </c>
      <c r="U37" s="2">
        <f>Coverage!I37</f>
        <v>7</v>
      </c>
      <c r="V37" s="4">
        <f>Coverage!J37</f>
        <v>1</v>
      </c>
      <c r="W37" s="3">
        <f>IFERROR(SUMPRODUCT(L37:R37,Coverage!B37:H37)/U37,0)</f>
        <v>28.5714285714286</v>
      </c>
      <c r="X37" s="2" t="inlineStr">
        <is>
          <t>No independent verification recorded</t>
        </is>
      </c>
    </row>
    <row r="38">
      <c r="A38" s="2" t="inlineStr">
        <is>
          <t>DOAJ (Directory of Open Access Journals)</t>
        </is>
      </c>
      <c r="B38" s="2" t="inlineStr">
        <is>
          <t>DOAJ Foundation</t>
        </is>
      </c>
      <c r="C38" s="2" t="inlineStr">
        <is>
          <t>Discovery system | Index or directory | Open scholarly dataset</t>
        </is>
      </c>
      <c r="D38" s="2" t="inlineStr">
        <is>
          <t>Implemented/available</t>
        </is>
      </c>
      <c r="E38" s="2" t="inlineStr">
        <is>
          <t>Implemented/available</t>
        </is>
      </c>
      <c r="F38" s="2" t="inlineStr">
        <is>
          <t>Advisory board or steering committee | Other</t>
        </is>
      </c>
      <c r="G38" s="2" t="inlineStr">
        <is>
          <t>Foundation Board &amp; Advisory Board</t>
        </is>
      </c>
      <c r="H38" s="2" t="inlineStr">
        <is>
          <t>Formal</t>
        </is>
      </c>
      <c r="I38" s="2" t="inlineStr">
        <is>
          <t>Implemented/available</t>
        </is>
      </c>
      <c r="J38" s="2" t="inlineStr">
        <is>
          <t>Implemented/available</t>
        </is>
      </c>
      <c r="K38" s="2" t="inlineStr">
        <is>
          <t>Implemented/available</t>
        </is>
      </c>
      <c r="L38" s="3">
        <f>Calc!B38</f>
        <v>100</v>
      </c>
      <c r="M38" s="3">
        <f>Calc!C38</f>
        <v>100</v>
      </c>
      <c r="N38" s="3">
        <f>Verification!F38</f>
        <v>100</v>
      </c>
      <c r="O38" s="3">
        <f>Calc!E38</f>
        <v>100</v>
      </c>
      <c r="P38" s="3">
        <f>Calc!F38</f>
        <v>100</v>
      </c>
      <c r="Q38" s="3">
        <f>Calc!G38</f>
        <v>100</v>
      </c>
      <c r="R38" s="3">
        <f>Calc!H38</f>
        <v>100</v>
      </c>
      <c r="S38" s="3">
        <f>AVERAGE(L38:R38)</f>
        <v>100</v>
      </c>
      <c r="T38" s="2">
        <f>RANK(S38,$S$2:$S$113,0)+(COUNTIF($S$2:$S$113,S38)-1)/2</f>
        <v>4</v>
      </c>
      <c r="U38" s="2">
        <f>Coverage!I38</f>
        <v>7</v>
      </c>
      <c r="V38" s="4">
        <f>Coverage!J38</f>
        <v>1</v>
      </c>
      <c r="W38" s="3">
        <f>IFERROR(SUMPRODUCT(L38:R38,Coverage!B38:H38)/U38,0)</f>
        <v>100</v>
      </c>
      <c r="X38" s="2" t="inlineStr">
        <is>
          <t>No independent verification recorded</t>
        </is>
      </c>
    </row>
    <row r="39">
      <c r="A39" s="2" t="inlineStr">
        <is>
          <t>dokieli</t>
        </is>
      </c>
      <c r="B39" s="2" t="inlineStr">
        <is>
          <t>dokieli</t>
        </is>
      </c>
      <c r="C39" s="2" t="inlineStr">
        <is>
          <t>Annotations system | Authoring tool | Informal scholarly communications</t>
        </is>
      </c>
      <c r="D39" s="2" t="inlineStr">
        <is>
          <t>Unknown</t>
        </is>
      </c>
      <c r="E39" s="2" t="inlineStr">
        <is>
          <t>Unknown</t>
        </is>
      </c>
      <c r="F39" s="2" t="n"/>
      <c r="G39" s="2" t="n"/>
      <c r="H39" s="2" t="inlineStr">
        <is>
          <t>None</t>
        </is>
      </c>
      <c r="I39" s="2" t="inlineStr">
        <is>
          <t>Implemented/available</t>
        </is>
      </c>
      <c r="J39" s="2" t="inlineStr">
        <is>
          <t>Unknown</t>
        </is>
      </c>
      <c r="K39" s="2" t="inlineStr">
        <is>
          <t>Not applicable</t>
        </is>
      </c>
      <c r="L39" s="3">
        <f>Calc!B39</f>
        <v>0</v>
      </c>
      <c r="M39" s="3">
        <f>Calc!C39</f>
        <v>0</v>
      </c>
      <c r="N39" s="3">
        <f>Verification!F39</f>
        <v>0</v>
      </c>
      <c r="O39" s="3">
        <f>Calc!E39</f>
        <v>100</v>
      </c>
      <c r="P39" s="3">
        <f>Calc!F39</f>
        <v>0</v>
      </c>
      <c r="Q39" s="3">
        <f>Calc!G39</f>
        <v>0</v>
      </c>
      <c r="R39" s="3">
        <f>Calc!H39</f>
        <v>0</v>
      </c>
      <c r="S39" s="3">
        <f>AVERAGE(L39:R39)</f>
        <v>14.2857142857143</v>
      </c>
      <c r="T39" s="2">
        <f>RANK(S39,$S$2:$S$113,0)+(COUNTIF($S$2:$S$113,S39)-1)/2</f>
        <v>108</v>
      </c>
      <c r="U39" s="2">
        <f>Coverage!I39</f>
        <v>2</v>
      </c>
      <c r="V39" s="4">
        <f>Coverage!J39</f>
        <v>0.285714285714286</v>
      </c>
      <c r="W39" s="3">
        <f>IFERROR(SUMPRODUCT(L39:R39,Coverage!B39:H39)/U39,0)</f>
        <v>50</v>
      </c>
      <c r="X39" s="2" t="inlineStr">
        <is>
          <t>024_governance_structure_status unavailable/unknown scored 0; 108_bylaws_status unavailable/unknown scored 0; 035_commitment_to_equity_status unavailable/unknown scored 0; 044_commitment_to_privacy_status unavailable/unknown scored 0; No independent verification recorded</t>
        </is>
      </c>
    </row>
    <row r="40">
      <c r="A40" s="2" t="inlineStr">
        <is>
          <t>Dryad</t>
        </is>
      </c>
      <c r="B40" s="2" t="inlineStr">
        <is>
          <t>Dryad</t>
        </is>
      </c>
      <c r="C40" s="2" t="inlineStr">
        <is>
          <t>Repository service</t>
        </is>
      </c>
      <c r="D40" s="2" t="inlineStr">
        <is>
          <t>Implemented/available</t>
        </is>
      </c>
      <c r="E40" s="2" t="inlineStr">
        <is>
          <t>Implemented/available</t>
        </is>
      </c>
      <c r="F40" s="2" t="inlineStr">
        <is>
          <t>Other</t>
        </is>
      </c>
      <c r="G40" s="2" t="n"/>
      <c r="H40" s="2" t="inlineStr">
        <is>
          <t>Formal</t>
        </is>
      </c>
      <c r="I40" s="2" t="inlineStr">
        <is>
          <t>Implemented/available</t>
        </is>
      </c>
      <c r="J40" s="2" t="inlineStr">
        <is>
          <t>In progress</t>
        </is>
      </c>
      <c r="K40" s="2" t="inlineStr">
        <is>
          <t>Implemented/available</t>
        </is>
      </c>
      <c r="L40" s="3">
        <f>Calc!B40</f>
        <v>100</v>
      </c>
      <c r="M40" s="3">
        <f>Calc!C40</f>
        <v>100</v>
      </c>
      <c r="N40" s="3">
        <f>Verification!F40</f>
        <v>0</v>
      </c>
      <c r="O40" s="3">
        <f>Calc!E40</f>
        <v>100</v>
      </c>
      <c r="P40" s="3">
        <f>Calc!F40</f>
        <v>67</v>
      </c>
      <c r="Q40" s="3">
        <f>Calc!G40</f>
        <v>100</v>
      </c>
      <c r="R40" s="3">
        <f>Calc!H40</f>
        <v>100</v>
      </c>
      <c r="S40" s="3">
        <f>AVERAGE(L40:R40)</f>
        <v>81</v>
      </c>
      <c r="T40" s="2">
        <f>RANK(S40,$S$2:$S$113,0)+(COUNTIF($S$2:$S$113,S40)-1)/2</f>
        <v>33</v>
      </c>
      <c r="U40" s="2">
        <f>Coverage!I40</f>
        <v>7</v>
      </c>
      <c r="V40" s="4">
        <f>Coverage!J40</f>
        <v>1</v>
      </c>
      <c r="W40" s="3">
        <f>IFERROR(SUMPRODUCT(L40:R40,Coverage!B40:H40)/U40,0)</f>
        <v>81</v>
      </c>
      <c r="X40" s="2" t="inlineStr">
        <is>
          <t>Review 050 Other response; override available; No independent verification recorded</t>
        </is>
      </c>
    </row>
    <row r="41">
      <c r="A41" s="2" t="inlineStr">
        <is>
          <t>DSpace</t>
        </is>
      </c>
      <c r="B41" s="2" t="inlineStr">
        <is>
          <t>Lyrasis</t>
        </is>
      </c>
      <c r="C41" s="2" t="inlineStr">
        <is>
          <t>Repository software</t>
        </is>
      </c>
      <c r="D41" s="2" t="inlineStr">
        <is>
          <t>Implemented/available</t>
        </is>
      </c>
      <c r="E41" s="2" t="inlineStr">
        <is>
          <t>Implemented/available</t>
        </is>
      </c>
      <c r="F41" s="2" t="inlineStr">
        <is>
          <t>Advisory board or steering committee</t>
        </is>
      </c>
      <c r="G41" s="2" t="n"/>
      <c r="H41" s="2" t="inlineStr">
        <is>
          <t>Formal</t>
        </is>
      </c>
      <c r="I41" s="2" t="inlineStr">
        <is>
          <t>Implemented/available</t>
        </is>
      </c>
      <c r="J41" s="2" t="inlineStr">
        <is>
          <t>Implemented/available</t>
        </is>
      </c>
      <c r="K41" s="2" t="inlineStr">
        <is>
          <t>Implemented/available</t>
        </is>
      </c>
      <c r="L41" s="3">
        <f>Calc!B41</f>
        <v>100</v>
      </c>
      <c r="M41" s="3">
        <f>Calc!C41</f>
        <v>100</v>
      </c>
      <c r="N41" s="3">
        <f>Verification!F41</f>
        <v>100</v>
      </c>
      <c r="O41" s="3">
        <f>Calc!E41</f>
        <v>100</v>
      </c>
      <c r="P41" s="3">
        <f>Calc!F41</f>
        <v>100</v>
      </c>
      <c r="Q41" s="3">
        <f>Calc!G41</f>
        <v>100</v>
      </c>
      <c r="R41" s="3">
        <f>Calc!H41</f>
        <v>100</v>
      </c>
      <c r="S41" s="3">
        <f>AVERAGE(L41:R41)</f>
        <v>100</v>
      </c>
      <c r="T41" s="2">
        <f>RANK(S41,$S$2:$S$113,0)+(COUNTIF($S$2:$S$113,S41)-1)/2</f>
        <v>4</v>
      </c>
      <c r="U41" s="2">
        <f>Coverage!I41</f>
        <v>7</v>
      </c>
      <c r="V41" s="4">
        <f>Coverage!J41</f>
        <v>1</v>
      </c>
      <c r="W41" s="3">
        <f>IFERROR(SUMPRODUCT(L41:R41,Coverage!B41:H41)/U41,0)</f>
        <v>100</v>
      </c>
      <c r="X41" s="2" t="inlineStr">
        <is>
          <t>No independent verification recorded</t>
        </is>
      </c>
    </row>
    <row r="42">
      <c r="A42" s="2" t="inlineStr">
        <is>
          <t>DuraCloud</t>
        </is>
      </c>
      <c r="B42" s="2" t="inlineStr">
        <is>
          <t>Lyrasis</t>
        </is>
      </c>
      <c r="C42" s="2" t="inlineStr">
        <is>
          <t>Digital preservation service | Digital preservation system | Digital preservation tool</t>
        </is>
      </c>
      <c r="D42" s="2" t="inlineStr">
        <is>
          <t>Unknown</t>
        </is>
      </c>
      <c r="E42" s="2" t="inlineStr">
        <is>
          <t>Not planning</t>
        </is>
      </c>
      <c r="F42" s="2" t="inlineStr">
        <is>
          <t>None</t>
        </is>
      </c>
      <c r="G42" s="2" t="n"/>
      <c r="H42" s="2" t="n"/>
      <c r="I42" s="2" t="inlineStr">
        <is>
          <t>Unknown</t>
        </is>
      </c>
      <c r="J42" s="2" t="inlineStr">
        <is>
          <t>Unknown</t>
        </is>
      </c>
      <c r="K42" s="2" t="inlineStr">
        <is>
          <t>Unknown</t>
        </is>
      </c>
      <c r="L42" s="3">
        <f>Calc!B42</f>
        <v>0</v>
      </c>
      <c r="M42" s="3">
        <f>Calc!C42</f>
        <v>0</v>
      </c>
      <c r="N42" s="3">
        <f>Verification!F42</f>
        <v>0</v>
      </c>
      <c r="O42" s="3">
        <f>Calc!E42</f>
        <v>0</v>
      </c>
      <c r="P42" s="3">
        <f>Calc!F42</f>
        <v>0</v>
      </c>
      <c r="Q42" s="3">
        <f>Calc!G42</f>
        <v>0</v>
      </c>
      <c r="R42" s="3">
        <f>Calc!H42</f>
        <v>0</v>
      </c>
      <c r="S42" s="3">
        <f>AVERAGE(L42:R42)</f>
        <v>0</v>
      </c>
      <c r="T42" s="2">
        <f>RANK(S42,$S$2:$S$113,0)+(COUNTIF($S$2:$S$113,S42)-1)/2</f>
        <v>111</v>
      </c>
      <c r="U42" s="2">
        <f>Coverage!I42</f>
        <v>2</v>
      </c>
      <c r="V42" s="4">
        <f>Coverage!J42</f>
        <v>0.285714285714286</v>
      </c>
      <c r="W42" s="3">
        <f>IFERROR(SUMPRODUCT(L42:R42,Coverage!B42:H42)/U42,0)</f>
        <v>0</v>
      </c>
      <c r="X42" s="2" t="inlineStr">
        <is>
          <t>024_governance_structure_status unavailable/unknown scored 0; 029_web_accessibility_status unavailable/unknown scored 0; 035_commitment_to_equity_status unavailable/unknown scored 0; 044_commitment_to_privacy_status unavailable/unknown scored 0; 048 community governance missing/unrecognized scored 0; No independent verification recorded</t>
        </is>
      </c>
    </row>
    <row r="43">
      <c r="A43" s="2" t="inlineStr">
        <is>
          <t>Episciences</t>
        </is>
      </c>
      <c r="B43" s="2" t="inlineStr">
        <is>
          <t>Center for Direct Scientific Communication (CCSD)</t>
        </is>
      </c>
      <c r="C43" s="2" t="inlineStr">
        <is>
          <t>Peer review system | Publishing system | Submissions system</t>
        </is>
      </c>
      <c r="D43" s="2" t="inlineStr">
        <is>
          <t>Implemented/available</t>
        </is>
      </c>
      <c r="E43" s="2" t="inlineStr">
        <is>
          <t>Implemented/available</t>
        </is>
      </c>
      <c r="F43" s="2" t="inlineStr">
        <is>
          <t>Multi-board governance</t>
        </is>
      </c>
      <c r="G43" s="2" t="n"/>
      <c r="H43" s="2" t="inlineStr">
        <is>
          <t>Ad hoc</t>
        </is>
      </c>
      <c r="I43" s="2" t="inlineStr">
        <is>
          <t>In progress</t>
        </is>
      </c>
      <c r="J43" s="2" t="inlineStr">
        <is>
          <t>Considering</t>
        </is>
      </c>
      <c r="K43" s="2" t="inlineStr">
        <is>
          <t>Implemented/available</t>
        </is>
      </c>
      <c r="L43" s="3">
        <f>Calc!B43</f>
        <v>100</v>
      </c>
      <c r="M43" s="3">
        <f>Calc!C43</f>
        <v>100</v>
      </c>
      <c r="N43" s="3">
        <f>Verification!F43</f>
        <v>100</v>
      </c>
      <c r="O43" s="3">
        <f>Calc!E43</f>
        <v>67</v>
      </c>
      <c r="P43" s="3">
        <f>Calc!F43</f>
        <v>33</v>
      </c>
      <c r="Q43" s="3">
        <f>Calc!G43</f>
        <v>100</v>
      </c>
      <c r="R43" s="3">
        <f>Calc!H43</f>
        <v>50</v>
      </c>
      <c r="S43" s="3">
        <f>AVERAGE(L43:R43)</f>
        <v>78.5714285714286</v>
      </c>
      <c r="T43" s="2">
        <f>RANK(S43,$S$2:$S$113,0)+(COUNTIF($S$2:$S$113,S43)-1)/2</f>
        <v>40.5</v>
      </c>
      <c r="U43" s="2">
        <f>Coverage!I43</f>
        <v>7</v>
      </c>
      <c r="V43" s="4">
        <f>Coverage!J43</f>
        <v>1</v>
      </c>
      <c r="W43" s="3">
        <f>IFERROR(SUMPRODUCT(L43:R43,Coverage!B43:H43)/U43,0)</f>
        <v>78.5714285714286</v>
      </c>
      <c r="X43" s="2" t="inlineStr">
        <is>
          <t>No independent verification recorded</t>
        </is>
      </c>
    </row>
    <row r="44">
      <c r="A44" s="2" t="inlineStr">
        <is>
          <t>EPrints</t>
        </is>
      </c>
      <c r="B44" s="2" t="inlineStr">
        <is>
          <t>EPrints Services</t>
        </is>
      </c>
      <c r="C44" s="2" t="inlineStr">
        <is>
          <t>Repository software</t>
        </is>
      </c>
      <c r="D44" s="2" t="inlineStr">
        <is>
          <t>In progress</t>
        </is>
      </c>
      <c r="E44" s="2" t="inlineStr">
        <is>
          <t>Unknown</t>
        </is>
      </c>
      <c r="F44" s="2" t="n"/>
      <c r="G44" s="2" t="n"/>
      <c r="H44" s="2" t="n"/>
      <c r="I44" s="2" t="inlineStr">
        <is>
          <t>In progress</t>
        </is>
      </c>
      <c r="J44" s="2" t="inlineStr">
        <is>
          <t>Unknown</t>
        </is>
      </c>
      <c r="K44" s="2" t="inlineStr">
        <is>
          <t>Unknown</t>
        </is>
      </c>
      <c r="L44" s="3">
        <f>Calc!B44</f>
        <v>67</v>
      </c>
      <c r="M44" s="3">
        <f>Calc!C44</f>
        <v>0</v>
      </c>
      <c r="N44" s="3">
        <f>Verification!F44</f>
        <v>0</v>
      </c>
      <c r="O44" s="3">
        <f>Calc!E44</f>
        <v>67</v>
      </c>
      <c r="P44" s="3">
        <f>Calc!F44</f>
        <v>0</v>
      </c>
      <c r="Q44" s="3">
        <f>Calc!G44</f>
        <v>0</v>
      </c>
      <c r="R44" s="3">
        <f>Calc!H44</f>
        <v>0</v>
      </c>
      <c r="S44" s="3">
        <f>AVERAGE(L44:R44)</f>
        <v>19.1428571428571</v>
      </c>
      <c r="T44" s="2">
        <f>RANK(S44,$S$2:$S$113,0)+(COUNTIF($S$2:$S$113,S44)-1)/2</f>
        <v>105</v>
      </c>
      <c r="U44" s="2">
        <f>Coverage!I44</f>
        <v>2</v>
      </c>
      <c r="V44" s="4">
        <f>Coverage!J44</f>
        <v>0.285714285714286</v>
      </c>
      <c r="W44" s="3">
        <f>IFERROR(SUMPRODUCT(L44:R44,Coverage!B44:H44)/U44,0)</f>
        <v>67</v>
      </c>
      <c r="X44" s="2" t="inlineStr">
        <is>
          <t>108_bylaws_status unavailable/unknown scored 0; 035_commitment_to_equity_status unavailable/unknown scored 0; 044_commitment_to_privacy_status unavailable/unknown scored 0; 048 community governance missing/unrecognized scored 0; No independent verification recorded</t>
        </is>
      </c>
    </row>
    <row r="45">
      <c r="A45" s="2" t="inlineStr">
        <is>
          <t>Érudit</t>
        </is>
      </c>
      <c r="B45" s="2" t="inlineStr">
        <is>
          <t>Érudit</t>
        </is>
      </c>
      <c r="C45" s="2" t="inlineStr">
        <is>
          <t>Discovery system | Publishing system | Repository software</t>
        </is>
      </c>
      <c r="D45" s="2" t="inlineStr">
        <is>
          <t>Implemented/available</t>
        </is>
      </c>
      <c r="E45" s="2" t="inlineStr">
        <is>
          <t>Implemented/available</t>
        </is>
      </c>
      <c r="F45" s="2" t="inlineStr">
        <is>
          <t>Multi-board governance</t>
        </is>
      </c>
      <c r="G45" s="2" t="n"/>
      <c r="H45" s="2" t="inlineStr">
        <is>
          <t>Formal</t>
        </is>
      </c>
      <c r="I45" s="2" t="inlineStr">
        <is>
          <t>Implemented/available</t>
        </is>
      </c>
      <c r="J45" s="2" t="inlineStr">
        <is>
          <t>Implemented/available</t>
        </is>
      </c>
      <c r="K45" s="2" t="inlineStr">
        <is>
          <t>Implemented/available</t>
        </is>
      </c>
      <c r="L45" s="3">
        <f>Calc!B45</f>
        <v>100</v>
      </c>
      <c r="M45" s="3">
        <f>Calc!C45</f>
        <v>100</v>
      </c>
      <c r="N45" s="3">
        <f>Verification!F45</f>
        <v>100</v>
      </c>
      <c r="O45" s="3">
        <f>Calc!E45</f>
        <v>100</v>
      </c>
      <c r="P45" s="3">
        <f>Calc!F45</f>
        <v>100</v>
      </c>
      <c r="Q45" s="3">
        <f>Calc!G45</f>
        <v>100</v>
      </c>
      <c r="R45" s="3">
        <f>Calc!H45</f>
        <v>100</v>
      </c>
      <c r="S45" s="3">
        <f>AVERAGE(L45:R45)</f>
        <v>100</v>
      </c>
      <c r="T45" s="2">
        <f>RANK(S45,$S$2:$S$113,0)+(COUNTIF($S$2:$S$113,S45)-1)/2</f>
        <v>4</v>
      </c>
      <c r="U45" s="2">
        <f>Coverage!I45</f>
        <v>7</v>
      </c>
      <c r="V45" s="4">
        <f>Coverage!J45</f>
        <v>1</v>
      </c>
      <c r="W45" s="3">
        <f>IFERROR(SUMPRODUCT(L45:R45,Coverage!B45:H45)/U45,0)</f>
        <v>100</v>
      </c>
      <c r="X45" s="2" t="inlineStr">
        <is>
          <t>No independent verification recorded</t>
        </is>
      </c>
    </row>
    <row r="46">
      <c r="A46" s="2" t="inlineStr">
        <is>
          <t>Europe PMC</t>
        </is>
      </c>
      <c r="B46" s="2" t="inlineStr">
        <is>
          <t>EMBL European Bioinformatics Institute (EMBL-EBI)</t>
        </is>
      </c>
      <c r="C46" s="2" t="inlineStr">
        <is>
          <t>Digital preservation system | Discovery system | Repository service</t>
        </is>
      </c>
      <c r="D46" s="2" t="inlineStr">
        <is>
          <t>Implemented/available</t>
        </is>
      </c>
      <c r="E46" s="2" t="inlineStr">
        <is>
          <t>Implemented/available</t>
        </is>
      </c>
      <c r="F46" s="2" t="inlineStr">
        <is>
          <t>Advisory board or steering committee</t>
        </is>
      </c>
      <c r="G46" s="2" t="n"/>
      <c r="H46" s="2" t="inlineStr">
        <is>
          <t>Formal</t>
        </is>
      </c>
      <c r="I46" s="2" t="inlineStr">
        <is>
          <t>Implemented/available</t>
        </is>
      </c>
      <c r="J46" s="2" t="inlineStr">
        <is>
          <t>Implemented/available</t>
        </is>
      </c>
      <c r="K46" s="2" t="inlineStr">
        <is>
          <t>Implemented/available</t>
        </is>
      </c>
      <c r="L46" s="3">
        <f>Calc!B46</f>
        <v>100</v>
      </c>
      <c r="M46" s="3">
        <f>Calc!C46</f>
        <v>100</v>
      </c>
      <c r="N46" s="3">
        <f>Verification!F46</f>
        <v>100</v>
      </c>
      <c r="O46" s="3">
        <f>Calc!E46</f>
        <v>100</v>
      </c>
      <c r="P46" s="3">
        <f>Calc!F46</f>
        <v>100</v>
      </c>
      <c r="Q46" s="3">
        <f>Calc!G46</f>
        <v>100</v>
      </c>
      <c r="R46" s="3">
        <f>Calc!H46</f>
        <v>100</v>
      </c>
      <c r="S46" s="3">
        <f>AVERAGE(L46:R46)</f>
        <v>100</v>
      </c>
      <c r="T46" s="2">
        <f>RANK(S46,$S$2:$S$113,0)+(COUNTIF($S$2:$S$113,S46)-1)/2</f>
        <v>4</v>
      </c>
      <c r="U46" s="2">
        <f>Coverage!I46</f>
        <v>7</v>
      </c>
      <c r="V46" s="4">
        <f>Coverage!J46</f>
        <v>1</v>
      </c>
      <c r="W46" s="3">
        <f>IFERROR(SUMPRODUCT(L46:R46,Coverage!B46:H46)/U46,0)</f>
        <v>100</v>
      </c>
      <c r="X46" s="2" t="inlineStr">
        <is>
          <t>No independent verification recorded</t>
        </is>
      </c>
    </row>
    <row r="47">
      <c r="A47" s="2" t="inlineStr">
        <is>
          <t>FAIR Wizard</t>
        </is>
      </c>
      <c r="B47" s="2" t="inlineStr">
        <is>
          <t>Codevence Solution s.r.o.</t>
        </is>
      </c>
      <c r="C47" s="2" t="inlineStr">
        <is>
          <t>Data management planning tool or service</t>
        </is>
      </c>
      <c r="D47" s="2" t="inlineStr">
        <is>
          <t>In progress</t>
        </is>
      </c>
      <c r="E47" s="2" t="inlineStr">
        <is>
          <t>Not planning</t>
        </is>
      </c>
      <c r="F47" s="2" t="inlineStr">
        <is>
          <t>None</t>
        </is>
      </c>
      <c r="G47" s="2" t="n"/>
      <c r="H47" s="2" t="inlineStr">
        <is>
          <t>Ad hoc</t>
        </is>
      </c>
      <c r="I47" s="2" t="inlineStr">
        <is>
          <t>In progress</t>
        </is>
      </c>
      <c r="J47" s="2" t="inlineStr">
        <is>
          <t>Considering</t>
        </is>
      </c>
      <c r="K47" s="2" t="inlineStr">
        <is>
          <t>Implemented/available</t>
        </is>
      </c>
      <c r="L47" s="3">
        <f>Calc!B47</f>
        <v>67</v>
      </c>
      <c r="M47" s="3">
        <f>Calc!C47</f>
        <v>0</v>
      </c>
      <c r="N47" s="3">
        <f>Verification!F47</f>
        <v>0</v>
      </c>
      <c r="O47" s="3">
        <f>Calc!E47</f>
        <v>67</v>
      </c>
      <c r="P47" s="3">
        <f>Calc!F47</f>
        <v>33</v>
      </c>
      <c r="Q47" s="3">
        <f>Calc!G47</f>
        <v>100</v>
      </c>
      <c r="R47" s="3">
        <f>Calc!H47</f>
        <v>50</v>
      </c>
      <c r="S47" s="3">
        <f>AVERAGE(L47:R47)</f>
        <v>45.2857142857143</v>
      </c>
      <c r="T47" s="2">
        <f>RANK(S47,$S$2:$S$113,0)+(COUNTIF($S$2:$S$113,S47)-1)/2</f>
        <v>84.5</v>
      </c>
      <c r="U47" s="2">
        <f>Coverage!I47</f>
        <v>7</v>
      </c>
      <c r="V47" s="4">
        <f>Coverage!J47</f>
        <v>1</v>
      </c>
      <c r="W47" s="3">
        <f>IFERROR(SUMPRODUCT(L47:R47,Coverage!B47:H47)/U47,0)</f>
        <v>45.2857142857143</v>
      </c>
      <c r="X47" s="2" t="inlineStr">
        <is>
          <t>No independent verification recorded</t>
        </is>
      </c>
    </row>
    <row r="48">
      <c r="A48" s="2" t="inlineStr">
        <is>
          <t>Fedora</t>
        </is>
      </c>
      <c r="B48" s="2" t="inlineStr">
        <is>
          <t>Lyrasis</t>
        </is>
      </c>
      <c r="C48" s="2" t="inlineStr">
        <is>
          <t>Repository software</t>
        </is>
      </c>
      <c r="D48" s="2" t="inlineStr">
        <is>
          <t>Implemented/available</t>
        </is>
      </c>
      <c r="E48" s="2" t="inlineStr">
        <is>
          <t>Implemented/available</t>
        </is>
      </c>
      <c r="F48" s="2" t="inlineStr">
        <is>
          <t>Advisory board or steering committee</t>
        </is>
      </c>
      <c r="G48" s="2" t="n"/>
      <c r="H48" s="2" t="inlineStr">
        <is>
          <t>Formal</t>
        </is>
      </c>
      <c r="I48" s="2" t="inlineStr">
        <is>
          <t>Considering</t>
        </is>
      </c>
      <c r="J48" s="2" t="inlineStr">
        <is>
          <t>Implemented/available</t>
        </is>
      </c>
      <c r="K48" s="2" t="inlineStr">
        <is>
          <t>Implemented/available</t>
        </is>
      </c>
      <c r="L48" s="3">
        <f>Calc!B48</f>
        <v>100</v>
      </c>
      <c r="M48" s="3">
        <f>Calc!C48</f>
        <v>100</v>
      </c>
      <c r="N48" s="3">
        <f>Verification!F48</f>
        <v>100</v>
      </c>
      <c r="O48" s="3">
        <f>Calc!E48</f>
        <v>33</v>
      </c>
      <c r="P48" s="3">
        <f>Calc!F48</f>
        <v>100</v>
      </c>
      <c r="Q48" s="3">
        <f>Calc!G48</f>
        <v>100</v>
      </c>
      <c r="R48" s="3">
        <f>Calc!H48</f>
        <v>100</v>
      </c>
      <c r="S48" s="3">
        <f>AVERAGE(L48:R48)</f>
        <v>90.4285714285714</v>
      </c>
      <c r="T48" s="2">
        <f>RANK(S48,$S$2:$S$113,0)+(COUNTIF($S$2:$S$113,S48)-1)/2</f>
        <v>23</v>
      </c>
      <c r="U48" s="2">
        <f>Coverage!I48</f>
        <v>7</v>
      </c>
      <c r="V48" s="4">
        <f>Coverage!J48</f>
        <v>1</v>
      </c>
      <c r="W48" s="3">
        <f>IFERROR(SUMPRODUCT(L48:R48,Coverage!B48:H48)/U48,0)</f>
        <v>90.4285714285714</v>
      </c>
      <c r="X48" s="2" t="inlineStr">
        <is>
          <t>No independent verification recorded</t>
        </is>
      </c>
    </row>
    <row r="49">
      <c r="A49" s="2" t="inlineStr">
        <is>
          <t>fido</t>
        </is>
      </c>
      <c r="B49" s="2" t="inlineStr">
        <is>
          <t>Open Preservation Foundation</t>
        </is>
      </c>
      <c r="C49" s="2" t="inlineStr">
        <is>
          <t>Digital preservation tool</t>
        </is>
      </c>
      <c r="D49" s="2" t="inlineStr">
        <is>
          <t>Implemented/available</t>
        </is>
      </c>
      <c r="E49" s="2" t="inlineStr">
        <is>
          <t>Unknown</t>
        </is>
      </c>
      <c r="F49" s="2" t="inlineStr">
        <is>
          <t>Advisory board or steering committee</t>
        </is>
      </c>
      <c r="G49" s="2" t="n"/>
      <c r="H49" s="2" t="inlineStr">
        <is>
          <t>Formal</t>
        </is>
      </c>
      <c r="I49" s="2" t="inlineStr">
        <is>
          <t>Considering</t>
        </is>
      </c>
      <c r="J49" s="2" t="inlineStr">
        <is>
          <t>In progress</t>
        </is>
      </c>
      <c r="K49" s="2" t="inlineStr">
        <is>
          <t>Implemented/available</t>
        </is>
      </c>
      <c r="L49" s="3">
        <f>Calc!B49</f>
        <v>100</v>
      </c>
      <c r="M49" s="3">
        <f>Calc!C49</f>
        <v>0</v>
      </c>
      <c r="N49" s="3">
        <f>Verification!F49</f>
        <v>100</v>
      </c>
      <c r="O49" s="3">
        <f>Calc!E49</f>
        <v>33</v>
      </c>
      <c r="P49" s="3">
        <f>Calc!F49</f>
        <v>67</v>
      </c>
      <c r="Q49" s="3">
        <f>Calc!G49</f>
        <v>100</v>
      </c>
      <c r="R49" s="3">
        <f>Calc!H49</f>
        <v>100</v>
      </c>
      <c r="S49" s="3">
        <f>AVERAGE(L49:R49)</f>
        <v>71.4285714285714</v>
      </c>
      <c r="T49" s="2">
        <f>RANK(S49,$S$2:$S$113,0)+(COUNTIF($S$2:$S$113,S49)-1)/2</f>
        <v>52</v>
      </c>
      <c r="U49" s="2">
        <f>Coverage!I49</f>
        <v>6</v>
      </c>
      <c r="V49" s="4">
        <f>Coverage!J49</f>
        <v>0.857142857142857</v>
      </c>
      <c r="W49" s="3">
        <f>IFERROR(SUMPRODUCT(L49:R49,Coverage!B49:H49)/U49,0)</f>
        <v>83.3333333333333</v>
      </c>
      <c r="X49" s="2" t="inlineStr">
        <is>
          <t>108_bylaws_status unavailable/unknown scored 0; No independent verification recorded</t>
        </is>
      </c>
    </row>
    <row r="50">
      <c r="A50" s="2" t="inlineStr">
        <is>
          <t>Fulcrum</t>
        </is>
      </c>
      <c r="B50" s="2" t="inlineStr">
        <is>
          <t>Michigan Publishing</t>
        </is>
      </c>
      <c r="C50" s="2" t="inlineStr">
        <is>
          <t>Publishing system</t>
        </is>
      </c>
      <c r="D50" s="2" t="inlineStr">
        <is>
          <t>Implemented/available</t>
        </is>
      </c>
      <c r="E50" s="2" t="inlineStr">
        <is>
          <t>Unknown</t>
        </is>
      </c>
      <c r="F50" s="2" t="inlineStr">
        <is>
          <t>Other</t>
        </is>
      </c>
      <c r="G50" s="2" t="n"/>
      <c r="H50" s="2" t="inlineStr">
        <is>
          <t>Ad hoc</t>
        </is>
      </c>
      <c r="I50" s="2" t="inlineStr">
        <is>
          <t>Implemented/available</t>
        </is>
      </c>
      <c r="J50" s="2" t="inlineStr">
        <is>
          <t>Implemented/available</t>
        </is>
      </c>
      <c r="K50" s="2" t="inlineStr">
        <is>
          <t>Implemented/available</t>
        </is>
      </c>
      <c r="L50" s="3">
        <f>Calc!B50</f>
        <v>100</v>
      </c>
      <c r="M50" s="3">
        <f>Calc!C50</f>
        <v>0</v>
      </c>
      <c r="N50" s="3">
        <f>Verification!F50</f>
        <v>0</v>
      </c>
      <c r="O50" s="3">
        <f>Calc!E50</f>
        <v>100</v>
      </c>
      <c r="P50" s="3">
        <f>Calc!F50</f>
        <v>100</v>
      </c>
      <c r="Q50" s="3">
        <f>Calc!G50</f>
        <v>100</v>
      </c>
      <c r="R50" s="3">
        <f>Calc!H50</f>
        <v>50</v>
      </c>
      <c r="S50" s="3">
        <f>AVERAGE(L50:R50)</f>
        <v>64.2857142857143</v>
      </c>
      <c r="T50" s="2">
        <f>RANK(S50,$S$2:$S$113,0)+(COUNTIF($S$2:$S$113,S50)-1)/2</f>
        <v>61</v>
      </c>
      <c r="U50" s="2">
        <f>Coverage!I50</f>
        <v>6</v>
      </c>
      <c r="V50" s="4">
        <f>Coverage!J50</f>
        <v>0.857142857142857</v>
      </c>
      <c r="W50" s="3">
        <f>IFERROR(SUMPRODUCT(L50:R50,Coverage!B50:H50)/U50,0)</f>
        <v>75</v>
      </c>
      <c r="X50" s="2" t="inlineStr">
        <is>
          <t>Review 050 Other response; override available; 108_bylaws_status unavailable/unknown scored 0; No independent verification recorded</t>
        </is>
      </c>
    </row>
    <row r="51">
      <c r="A51" s="2" t="inlineStr">
        <is>
          <t>Galaxy</t>
        </is>
      </c>
      <c r="B51" s="2" t="inlineStr">
        <is>
          <t>The Galaxy community</t>
        </is>
      </c>
      <c r="C51" s="2" t="inlineStr">
        <is>
          <t>Computing framework | Discovery system</t>
        </is>
      </c>
      <c r="D51" s="2" t="inlineStr">
        <is>
          <t>Implemented/available</t>
        </is>
      </c>
      <c r="E51" s="2" t="inlineStr">
        <is>
          <t>Implemented/available</t>
        </is>
      </c>
      <c r="F51" s="2" t="inlineStr">
        <is>
          <t>Multi-board governance</t>
        </is>
      </c>
      <c r="G51" s="2" t="n"/>
      <c r="H51" s="2" t="inlineStr">
        <is>
          <t>Formal</t>
        </is>
      </c>
      <c r="I51" s="2" t="inlineStr">
        <is>
          <t>In progress</t>
        </is>
      </c>
      <c r="J51" s="2" t="inlineStr">
        <is>
          <t>Implemented/available</t>
        </is>
      </c>
      <c r="K51" s="2" t="inlineStr">
        <is>
          <t>Implemented/available</t>
        </is>
      </c>
      <c r="L51" s="3">
        <f>Calc!B51</f>
        <v>100</v>
      </c>
      <c r="M51" s="3">
        <f>Calc!C51</f>
        <v>100</v>
      </c>
      <c r="N51" s="3">
        <f>Verification!F51</f>
        <v>100</v>
      </c>
      <c r="O51" s="3">
        <f>Calc!E51</f>
        <v>67</v>
      </c>
      <c r="P51" s="3">
        <f>Calc!F51</f>
        <v>100</v>
      </c>
      <c r="Q51" s="3">
        <f>Calc!G51</f>
        <v>100</v>
      </c>
      <c r="R51" s="3">
        <f>Calc!H51</f>
        <v>100</v>
      </c>
      <c r="S51" s="3">
        <f>AVERAGE(L51:R51)</f>
        <v>95.2857142857143</v>
      </c>
      <c r="T51" s="2">
        <f>RANK(S51,$S$2:$S$113,0)+(COUNTIF($S$2:$S$113,S51)-1)/2</f>
        <v>12.5</v>
      </c>
      <c r="U51" s="2">
        <f>Coverage!I51</f>
        <v>7</v>
      </c>
      <c r="V51" s="4">
        <f>Coverage!J51</f>
        <v>1</v>
      </c>
      <c r="W51" s="3">
        <f>IFERROR(SUMPRODUCT(L51:R51,Coverage!B51:H51)/U51,0)</f>
        <v>95.2857142857143</v>
      </c>
      <c r="X51" s="2" t="inlineStr">
        <is>
          <t>No independent verification recorded</t>
        </is>
      </c>
    </row>
    <row r="52">
      <c r="A52" s="2" t="inlineStr">
        <is>
          <t>GeoServer</t>
        </is>
      </c>
      <c r="B52" s="2" t="inlineStr">
        <is>
          <t>Open Source Geospatial Foundation</t>
        </is>
      </c>
      <c r="C52" s="2" t="inlineStr">
        <is>
          <t>Geospatial data tool or platform</t>
        </is>
      </c>
      <c r="D52" s="2" t="inlineStr">
        <is>
          <t>Implemented/available</t>
        </is>
      </c>
      <c r="E52" s="2" t="inlineStr">
        <is>
          <t>Implemented/available</t>
        </is>
      </c>
      <c r="F52" s="2" t="inlineStr">
        <is>
          <t>Advisory board or steering committee</t>
        </is>
      </c>
      <c r="G52" s="2" t="n"/>
      <c r="H52" s="2" t="inlineStr">
        <is>
          <t>Formal</t>
        </is>
      </c>
      <c r="I52" s="2" t="inlineStr">
        <is>
          <t>Not planning</t>
        </is>
      </c>
      <c r="J52" s="2" t="inlineStr">
        <is>
          <t>Not planning</t>
        </is>
      </c>
      <c r="K52" s="2" t="inlineStr">
        <is>
          <t>Not planning</t>
        </is>
      </c>
      <c r="L52" s="3">
        <f>Calc!B52</f>
        <v>100</v>
      </c>
      <c r="M52" s="3">
        <f>Calc!C52</f>
        <v>100</v>
      </c>
      <c r="N52" s="3">
        <f>Verification!F52</f>
        <v>100</v>
      </c>
      <c r="O52" s="3">
        <f>Calc!E52</f>
        <v>0</v>
      </c>
      <c r="P52" s="3">
        <f>Calc!F52</f>
        <v>0</v>
      </c>
      <c r="Q52" s="3">
        <f>Calc!G52</f>
        <v>0</v>
      </c>
      <c r="R52" s="3">
        <f>Calc!H52</f>
        <v>100</v>
      </c>
      <c r="S52" s="3">
        <f>AVERAGE(L52:R52)</f>
        <v>57.1428571428571</v>
      </c>
      <c r="T52" s="2">
        <f>RANK(S52,$S$2:$S$113,0)+(COUNTIF($S$2:$S$113,S52)-1)/2</f>
        <v>71</v>
      </c>
      <c r="U52" s="2">
        <f>Coverage!I52</f>
        <v>7</v>
      </c>
      <c r="V52" s="4">
        <f>Coverage!J52</f>
        <v>1</v>
      </c>
      <c r="W52" s="3">
        <f>IFERROR(SUMPRODUCT(L52:R52,Coverage!B52:H52)/U52,0)</f>
        <v>57.1428571428571</v>
      </c>
      <c r="X52" s="2" t="inlineStr">
        <is>
          <t>No independent verification recorded</t>
        </is>
      </c>
    </row>
    <row r="53">
      <c r="A53" s="2" t="inlineStr">
        <is>
          <t>Hyku</t>
        </is>
      </c>
      <c r="B53" s="2" t="inlineStr">
        <is>
          <t>Samvera</t>
        </is>
      </c>
      <c r="C53" s="2" t="inlineStr">
        <is>
          <t>Repository software</t>
        </is>
      </c>
      <c r="D53" s="2" t="inlineStr">
        <is>
          <t>Implemented/available</t>
        </is>
      </c>
      <c r="E53" s="2" t="inlineStr">
        <is>
          <t>Implemented/available</t>
        </is>
      </c>
      <c r="F53" s="2" t="inlineStr">
        <is>
          <t>Advisory board or steering committee</t>
        </is>
      </c>
      <c r="G53" s="2" t="n"/>
      <c r="H53" s="2" t="inlineStr">
        <is>
          <t>Formal</t>
        </is>
      </c>
      <c r="I53" s="2" t="inlineStr">
        <is>
          <t>Implemented/available</t>
        </is>
      </c>
      <c r="J53" s="2" t="inlineStr">
        <is>
          <t>Considering</t>
        </is>
      </c>
      <c r="K53" s="2" t="inlineStr">
        <is>
          <t>Implemented/available</t>
        </is>
      </c>
      <c r="L53" s="3">
        <f>Calc!B53</f>
        <v>100</v>
      </c>
      <c r="M53" s="3">
        <f>Calc!C53</f>
        <v>100</v>
      </c>
      <c r="N53" s="3">
        <f>Verification!F53</f>
        <v>100</v>
      </c>
      <c r="O53" s="3">
        <f>Calc!E53</f>
        <v>100</v>
      </c>
      <c r="P53" s="3">
        <f>Calc!F53</f>
        <v>33</v>
      </c>
      <c r="Q53" s="3">
        <f>Calc!G53</f>
        <v>100</v>
      </c>
      <c r="R53" s="3">
        <f>Calc!H53</f>
        <v>100</v>
      </c>
      <c r="S53" s="3">
        <f>AVERAGE(L53:R53)</f>
        <v>90.4285714285714</v>
      </c>
      <c r="T53" s="2">
        <f>RANK(S53,$S$2:$S$113,0)+(COUNTIF($S$2:$S$113,S53)-1)/2</f>
        <v>23</v>
      </c>
      <c r="U53" s="2">
        <f>Coverage!I53</f>
        <v>7</v>
      </c>
      <c r="V53" s="4">
        <f>Coverage!J53</f>
        <v>1</v>
      </c>
      <c r="W53" s="3">
        <f>IFERROR(SUMPRODUCT(L53:R53,Coverage!B53:H53)/U53,0)</f>
        <v>90.4285714285714</v>
      </c>
      <c r="X53" s="2" t="inlineStr">
        <is>
          <t>No independent verification recorded</t>
        </is>
      </c>
    </row>
    <row r="54">
      <c r="A54" s="2" t="inlineStr">
        <is>
          <t>Hyrax</t>
        </is>
      </c>
      <c r="B54" s="2" t="inlineStr">
        <is>
          <t>Samvera</t>
        </is>
      </c>
      <c r="C54" s="2" t="inlineStr">
        <is>
          <t>Repository software</t>
        </is>
      </c>
      <c r="D54" s="2" t="inlineStr">
        <is>
          <t>Implemented/available</t>
        </is>
      </c>
      <c r="E54" s="2" t="inlineStr">
        <is>
          <t>Implemented/available</t>
        </is>
      </c>
      <c r="F54" s="2" t="inlineStr">
        <is>
          <t>Advisory board or steering committee</t>
        </is>
      </c>
      <c r="G54" s="2" t="n"/>
      <c r="H54" s="2" t="inlineStr">
        <is>
          <t>Formal</t>
        </is>
      </c>
      <c r="I54" s="2" t="inlineStr">
        <is>
          <t>In progress</t>
        </is>
      </c>
      <c r="J54" s="2" t="inlineStr">
        <is>
          <t>In progress</t>
        </is>
      </c>
      <c r="K54" s="2" t="inlineStr">
        <is>
          <t>In progress</t>
        </is>
      </c>
      <c r="L54" s="3">
        <f>Calc!B54</f>
        <v>100</v>
      </c>
      <c r="M54" s="3">
        <f>Calc!C54</f>
        <v>100</v>
      </c>
      <c r="N54" s="3">
        <f>Verification!F54</f>
        <v>100</v>
      </c>
      <c r="O54" s="3">
        <f>Calc!E54</f>
        <v>67</v>
      </c>
      <c r="P54" s="3">
        <f>Calc!F54</f>
        <v>67</v>
      </c>
      <c r="Q54" s="3">
        <f>Calc!G54</f>
        <v>67</v>
      </c>
      <c r="R54" s="3">
        <f>Calc!H54</f>
        <v>100</v>
      </c>
      <c r="S54" s="3">
        <f>AVERAGE(L54:R54)</f>
        <v>85.8571428571429</v>
      </c>
      <c r="T54" s="2">
        <f>RANK(S54,$S$2:$S$113,0)+(COUNTIF($S$2:$S$113,S54)-1)/2</f>
        <v>28</v>
      </c>
      <c r="U54" s="2">
        <f>Coverage!I54</f>
        <v>7</v>
      </c>
      <c r="V54" s="4">
        <f>Coverage!J54</f>
        <v>1</v>
      </c>
      <c r="W54" s="3">
        <f>IFERROR(SUMPRODUCT(L54:R54,Coverage!B54:H54)/U54,0)</f>
        <v>85.8571428571429</v>
      </c>
      <c r="X54" s="2" t="inlineStr">
        <is>
          <t>No independent verification recorded</t>
        </is>
      </c>
    </row>
    <row r="55">
      <c r="A55" s="2" t="inlineStr">
        <is>
          <t>IIIF</t>
        </is>
      </c>
      <c r="B55" s="2" t="inlineStr">
        <is>
          <t>IIIF Consortium</t>
        </is>
      </c>
      <c r="C55" s="2" t="inlineStr">
        <is>
          <t>Standard, specification or protocol</t>
        </is>
      </c>
      <c r="D55" s="2" t="inlineStr">
        <is>
          <t>Implemented/available</t>
        </is>
      </c>
      <c r="E55" s="2" t="inlineStr">
        <is>
          <t>Implemented/available</t>
        </is>
      </c>
      <c r="F55" s="2" t="inlineStr">
        <is>
          <t>Advisory board or steering committee</t>
        </is>
      </c>
      <c r="G55" s="2" t="n"/>
      <c r="H55" s="2" t="inlineStr">
        <is>
          <t>Formal</t>
        </is>
      </c>
      <c r="I55" s="2" t="inlineStr">
        <is>
          <t>Not applicable</t>
        </is>
      </c>
      <c r="J55" s="2" t="inlineStr">
        <is>
          <t>Implemented/available</t>
        </is>
      </c>
      <c r="K55" s="2" t="inlineStr">
        <is>
          <t>Implemented/available</t>
        </is>
      </c>
      <c r="L55" s="3">
        <f>Calc!B55</f>
        <v>100</v>
      </c>
      <c r="M55" s="3">
        <f>Calc!C55</f>
        <v>100</v>
      </c>
      <c r="N55" s="3">
        <f>Verification!F55</f>
        <v>100</v>
      </c>
      <c r="O55" s="3">
        <f>Calc!E55</f>
        <v>0</v>
      </c>
      <c r="P55" s="3">
        <f>Calc!F55</f>
        <v>100</v>
      </c>
      <c r="Q55" s="3">
        <f>Calc!G55</f>
        <v>100</v>
      </c>
      <c r="R55" s="3">
        <f>Calc!H55</f>
        <v>100</v>
      </c>
      <c r="S55" s="3">
        <f>AVERAGE(L55:R55)</f>
        <v>85.7142857142857</v>
      </c>
      <c r="T55" s="2">
        <f>RANK(S55,$S$2:$S$113,0)+(COUNTIF($S$2:$S$113,S55)-1)/2</f>
        <v>30</v>
      </c>
      <c r="U55" s="2">
        <f>Coverage!I55</f>
        <v>6</v>
      </c>
      <c r="V55" s="4">
        <f>Coverage!J55</f>
        <v>0.857142857142857</v>
      </c>
      <c r="W55" s="3">
        <f>IFERROR(SUMPRODUCT(L55:R55,Coverage!B55:H55)/U55,0)</f>
        <v>100</v>
      </c>
      <c r="X55" s="2" t="inlineStr">
        <is>
          <t>029_web_accessibility_status unavailable/unknown scored 0; No independent verification recorded</t>
        </is>
      </c>
    </row>
    <row r="56">
      <c r="A56" s="2" t="inlineStr">
        <is>
          <t>ImpactU</t>
        </is>
      </c>
      <c r="B56" s="2" t="inlineStr">
        <is>
          <t>Universidad de Antioquia and other Colombian universities</t>
        </is>
      </c>
      <c r="C56" s="2" t="inlineStr">
        <is>
          <t>Open scholarly dataset | Research profiling system</t>
        </is>
      </c>
      <c r="D56" s="2" t="inlineStr">
        <is>
          <t>Unknown</t>
        </is>
      </c>
      <c r="E56" s="2" t="inlineStr">
        <is>
          <t>Unknown</t>
        </is>
      </c>
      <c r="F56" s="2" t="inlineStr">
        <is>
          <t>None</t>
        </is>
      </c>
      <c r="G56" s="2" t="n"/>
      <c r="H56" s="2" t="inlineStr">
        <is>
          <t>None</t>
        </is>
      </c>
      <c r="I56" s="2" t="inlineStr">
        <is>
          <t>Unknown</t>
        </is>
      </c>
      <c r="J56" s="2" t="inlineStr">
        <is>
          <t>Unknown</t>
        </is>
      </c>
      <c r="K56" s="2" t="inlineStr">
        <is>
          <t>Unknown</t>
        </is>
      </c>
      <c r="L56" s="3">
        <f>Calc!B56</f>
        <v>0</v>
      </c>
      <c r="M56" s="3">
        <f>Calc!C56</f>
        <v>0</v>
      </c>
      <c r="N56" s="3">
        <f>Verification!F56</f>
        <v>0</v>
      </c>
      <c r="O56" s="3">
        <f>Calc!E56</f>
        <v>0</v>
      </c>
      <c r="P56" s="3">
        <f>Calc!F56</f>
        <v>0</v>
      </c>
      <c r="Q56" s="3">
        <f>Calc!G56</f>
        <v>0</v>
      </c>
      <c r="R56" s="3">
        <f>Calc!H56</f>
        <v>0</v>
      </c>
      <c r="S56" s="3">
        <f>AVERAGE(L56:R56)</f>
        <v>0</v>
      </c>
      <c r="T56" s="2">
        <f>RANK(S56,$S$2:$S$113,0)+(COUNTIF($S$2:$S$113,S56)-1)/2</f>
        <v>111</v>
      </c>
      <c r="U56" s="2">
        <f>Coverage!I56</f>
        <v>2</v>
      </c>
      <c r="V56" s="4">
        <f>Coverage!J56</f>
        <v>0.285714285714286</v>
      </c>
      <c r="W56" s="3">
        <f>IFERROR(SUMPRODUCT(L56:R56,Coverage!B56:H56)/U56,0)</f>
        <v>0</v>
      </c>
      <c r="X56" s="2" t="inlineStr">
        <is>
          <t>024_governance_structure_status unavailable/unknown scored 0; 108_bylaws_status unavailable/unknown scored 0; 029_web_accessibility_status unavailable/unknown scored 0; 035_commitment_to_equity_status unavailable/unknown scored 0; 044_commitment_to_privacy_status unavailable/unknown scored 0; No independent verification recorded</t>
        </is>
      </c>
    </row>
    <row r="57">
      <c r="A57" s="2" t="inlineStr">
        <is>
          <t>International Generic Sample Number (IGSN)</t>
        </is>
      </c>
      <c r="B57" s="2" t="inlineStr">
        <is>
          <t>International Generic Sample Number Organization e.V.</t>
        </is>
      </c>
      <c r="C57" s="2" t="inlineStr">
        <is>
          <t>Persistent identifier service</t>
        </is>
      </c>
      <c r="D57" s="2" t="inlineStr">
        <is>
          <t>Implemented/available</t>
        </is>
      </c>
      <c r="E57" s="2" t="inlineStr">
        <is>
          <t>Implemented/available</t>
        </is>
      </c>
      <c r="F57" s="2" t="inlineStr">
        <is>
          <t>Advisory board or steering committee</t>
        </is>
      </c>
      <c r="G57" s="2" t="n"/>
      <c r="H57" s="2" t="n"/>
      <c r="I57" s="2" t="inlineStr">
        <is>
          <t>In progress</t>
        </is>
      </c>
      <c r="J57" s="2" t="inlineStr">
        <is>
          <t>Considering</t>
        </is>
      </c>
      <c r="K57" s="2" t="inlineStr">
        <is>
          <t>Considering</t>
        </is>
      </c>
      <c r="L57" s="3">
        <f>Calc!B57</f>
        <v>100</v>
      </c>
      <c r="M57" s="3">
        <f>Calc!C57</f>
        <v>100</v>
      </c>
      <c r="N57" s="3">
        <f>Verification!F57</f>
        <v>100</v>
      </c>
      <c r="O57" s="3">
        <f>Calc!E57</f>
        <v>67</v>
      </c>
      <c r="P57" s="3">
        <f>Calc!F57</f>
        <v>33</v>
      </c>
      <c r="Q57" s="3">
        <f>Calc!G57</f>
        <v>33</v>
      </c>
      <c r="R57" s="3">
        <f>Calc!H57</f>
        <v>0</v>
      </c>
      <c r="S57" s="3">
        <f>AVERAGE(L57:R57)</f>
        <v>61.8571428571429</v>
      </c>
      <c r="T57" s="2">
        <f>RANK(S57,$S$2:$S$113,0)+(COUNTIF($S$2:$S$113,S57)-1)/2</f>
        <v>63.5</v>
      </c>
      <c r="U57" s="2">
        <f>Coverage!I57</f>
        <v>6</v>
      </c>
      <c r="V57" s="4">
        <f>Coverage!J57</f>
        <v>0.857142857142857</v>
      </c>
      <c r="W57" s="3">
        <f>IFERROR(SUMPRODUCT(L57:R57,Coverage!B57:H57)/U57,0)</f>
        <v>72.1666666666667</v>
      </c>
      <c r="X57" s="2" t="inlineStr">
        <is>
          <t>048 community governance missing/unrecognized scored 0; No independent verification recorded</t>
        </is>
      </c>
    </row>
    <row r="58">
      <c r="A58" s="2" t="inlineStr">
        <is>
          <t>InvenioRDM</t>
        </is>
      </c>
      <c r="B58" s="2" t="inlineStr">
        <is>
          <t>CERN</t>
        </is>
      </c>
      <c r="C58" s="2" t="inlineStr">
        <is>
          <t>Repository software</t>
        </is>
      </c>
      <c r="D58" s="2" t="inlineStr">
        <is>
          <t>Implemented/available</t>
        </is>
      </c>
      <c r="E58" s="2" t="inlineStr">
        <is>
          <t>Implemented/available</t>
        </is>
      </c>
      <c r="F58" s="2" t="inlineStr">
        <is>
          <t>Advisory board or steering committee</t>
        </is>
      </c>
      <c r="G58" s="2" t="n"/>
      <c r="H58" s="2" t="inlineStr">
        <is>
          <t>Formal</t>
        </is>
      </c>
      <c r="I58" s="2" t="inlineStr">
        <is>
          <t>In progress</t>
        </is>
      </c>
      <c r="J58" s="2" t="inlineStr">
        <is>
          <t>Implemented/available</t>
        </is>
      </c>
      <c r="K58" s="2" t="inlineStr">
        <is>
          <t>Not applicable</t>
        </is>
      </c>
      <c r="L58" s="3">
        <f>Calc!B58</f>
        <v>100</v>
      </c>
      <c r="M58" s="3">
        <f>Calc!C58</f>
        <v>100</v>
      </c>
      <c r="N58" s="3">
        <f>Verification!F58</f>
        <v>100</v>
      </c>
      <c r="O58" s="3">
        <f>Calc!E58</f>
        <v>67</v>
      </c>
      <c r="P58" s="3">
        <f>Calc!F58</f>
        <v>100</v>
      </c>
      <c r="Q58" s="3">
        <f>Calc!G58</f>
        <v>0</v>
      </c>
      <c r="R58" s="3">
        <f>Calc!H58</f>
        <v>100</v>
      </c>
      <c r="S58" s="3">
        <f>AVERAGE(L58:R58)</f>
        <v>81</v>
      </c>
      <c r="T58" s="2">
        <f>RANK(S58,$S$2:$S$113,0)+(COUNTIF($S$2:$S$113,S58)-1)/2</f>
        <v>33</v>
      </c>
      <c r="U58" s="2">
        <f>Coverage!I58</f>
        <v>6</v>
      </c>
      <c r="V58" s="4">
        <f>Coverage!J58</f>
        <v>0.857142857142857</v>
      </c>
      <c r="W58" s="3">
        <f>IFERROR(SUMPRODUCT(L58:R58,Coverage!B58:H58)/U58,0)</f>
        <v>94.5</v>
      </c>
      <c r="X58" s="2" t="inlineStr">
        <is>
          <t>044_commitment_to_privacy_status unavailable/unknown scored 0; No independent verification recorded</t>
        </is>
      </c>
    </row>
    <row r="59">
      <c r="A59" s="2" t="inlineStr">
        <is>
          <t>iRODS</t>
        </is>
      </c>
      <c r="B59" s="2" t="inlineStr">
        <is>
          <t>Renaissance Computing Institute (RENCI)</t>
        </is>
      </c>
      <c r="C59" s="2" t="inlineStr">
        <is>
          <t>Data management planning tool or service | Digital preservation system | Discovery system</t>
        </is>
      </c>
      <c r="D59" s="2" t="inlineStr">
        <is>
          <t>Implemented/available</t>
        </is>
      </c>
      <c r="E59" s="2" t="inlineStr">
        <is>
          <t>Implemented/available</t>
        </is>
      </c>
      <c r="F59" s="2" t="inlineStr">
        <is>
          <t>Advisory board or steering committee</t>
        </is>
      </c>
      <c r="G59" s="2" t="inlineStr">
        <is>
          <t>In addition to the Executive Committee (which makes decisions on budgets and by laws), there is an Advisory Board that is advisory/strategic: https://irods.org/advisory-board/</t>
        </is>
      </c>
      <c r="H59" s="2" t="inlineStr">
        <is>
          <t>Ad hoc</t>
        </is>
      </c>
      <c r="I59" s="2" t="inlineStr">
        <is>
          <t>Not planning</t>
        </is>
      </c>
      <c r="J59" s="2" t="inlineStr">
        <is>
          <t>Not planning</t>
        </is>
      </c>
      <c r="K59" s="2" t="inlineStr">
        <is>
          <t>Not planning</t>
        </is>
      </c>
      <c r="L59" s="3">
        <f>Calc!B59</f>
        <v>100</v>
      </c>
      <c r="M59" s="3">
        <f>Calc!C59</f>
        <v>100</v>
      </c>
      <c r="N59" s="3">
        <f>Verification!F59</f>
        <v>100</v>
      </c>
      <c r="O59" s="3">
        <f>Calc!E59</f>
        <v>0</v>
      </c>
      <c r="P59" s="3">
        <f>Calc!F59</f>
        <v>0</v>
      </c>
      <c r="Q59" s="3">
        <f>Calc!G59</f>
        <v>0</v>
      </c>
      <c r="R59" s="3">
        <f>Calc!H59</f>
        <v>50</v>
      </c>
      <c r="S59" s="3">
        <f>AVERAGE(L59:R59)</f>
        <v>50</v>
      </c>
      <c r="T59" s="2">
        <f>RANK(S59,$S$2:$S$113,0)+(COUNTIF($S$2:$S$113,S59)-1)/2</f>
        <v>79</v>
      </c>
      <c r="U59" s="2">
        <f>Coverage!I59</f>
        <v>7</v>
      </c>
      <c r="V59" s="4">
        <f>Coverage!J59</f>
        <v>1</v>
      </c>
      <c r="W59" s="3">
        <f>IFERROR(SUMPRODUCT(L59:R59,Coverage!B59:H59)/U59,0)</f>
        <v>50</v>
      </c>
      <c r="X59" s="2" t="inlineStr">
        <is>
          <t>No independent verification recorded</t>
        </is>
      </c>
    </row>
    <row r="60">
      <c r="A60" s="2" t="inlineStr">
        <is>
          <t>Islandora</t>
        </is>
      </c>
      <c r="B60" s="2" t="inlineStr">
        <is>
          <t>Islandora Foundation</t>
        </is>
      </c>
      <c r="C60" s="2" t="inlineStr">
        <is>
          <t>Authoring tool | Digital asset management system</t>
        </is>
      </c>
      <c r="D60" s="2" t="inlineStr">
        <is>
          <t>Implemented/available</t>
        </is>
      </c>
      <c r="E60" s="2" t="inlineStr">
        <is>
          <t>Implemented/available</t>
        </is>
      </c>
      <c r="F60" s="2" t="inlineStr">
        <is>
          <t>Advisory board or steering committee</t>
        </is>
      </c>
      <c r="G60" s="2" t="n"/>
      <c r="H60" s="2" t="inlineStr">
        <is>
          <t>None</t>
        </is>
      </c>
      <c r="I60" s="2" t="inlineStr">
        <is>
          <t>Implemented/available</t>
        </is>
      </c>
      <c r="J60" s="2" t="inlineStr">
        <is>
          <t>Implemented/available</t>
        </is>
      </c>
      <c r="K60" s="2" t="inlineStr">
        <is>
          <t>Unknown</t>
        </is>
      </c>
      <c r="L60" s="3">
        <f>Calc!B60</f>
        <v>100</v>
      </c>
      <c r="M60" s="3">
        <f>Calc!C60</f>
        <v>100</v>
      </c>
      <c r="N60" s="3">
        <f>Verification!F60</f>
        <v>100</v>
      </c>
      <c r="O60" s="3">
        <f>Calc!E60</f>
        <v>100</v>
      </c>
      <c r="P60" s="3">
        <f>Calc!F60</f>
        <v>100</v>
      </c>
      <c r="Q60" s="3">
        <f>Calc!G60</f>
        <v>0</v>
      </c>
      <c r="R60" s="3">
        <f>Calc!H60</f>
        <v>0</v>
      </c>
      <c r="S60" s="3">
        <f>AVERAGE(L60:R60)</f>
        <v>71.4285714285714</v>
      </c>
      <c r="T60" s="2">
        <f>RANK(S60,$S$2:$S$113,0)+(COUNTIF($S$2:$S$113,S60)-1)/2</f>
        <v>52</v>
      </c>
      <c r="U60" s="2">
        <f>Coverage!I60</f>
        <v>6</v>
      </c>
      <c r="V60" s="4">
        <f>Coverage!J60</f>
        <v>0.857142857142857</v>
      </c>
      <c r="W60" s="3">
        <f>IFERROR(SUMPRODUCT(L60:R60,Coverage!B60:H60)/U60,0)</f>
        <v>83.3333333333333</v>
      </c>
      <c r="X60" s="2" t="inlineStr">
        <is>
          <t>044_commitment_to_privacy_status unavailable/unknown scored 0; No independent verification recorded</t>
        </is>
      </c>
    </row>
    <row r="61">
      <c r="A61" s="2" t="inlineStr">
        <is>
          <t>Janeway</t>
        </is>
      </c>
      <c r="B61" s="2" t="inlineStr">
        <is>
          <t>Open Library of Humanities</t>
        </is>
      </c>
      <c r="C61" s="2" t="inlineStr">
        <is>
          <t>Publishing system</t>
        </is>
      </c>
      <c r="D61" s="2" t="inlineStr">
        <is>
          <t>In progress</t>
        </is>
      </c>
      <c r="E61" s="2" t="inlineStr">
        <is>
          <t>Unknown</t>
        </is>
      </c>
      <c r="F61" s="2" t="inlineStr">
        <is>
          <t>Advisory board or steering committee</t>
        </is>
      </c>
      <c r="G61" s="2" t="n"/>
      <c r="H61" s="2" t="inlineStr">
        <is>
          <t>Ad hoc</t>
        </is>
      </c>
      <c r="I61" s="2" t="inlineStr">
        <is>
          <t>Implemented/available</t>
        </is>
      </c>
      <c r="J61" s="2" t="inlineStr">
        <is>
          <t>Implemented/available</t>
        </is>
      </c>
      <c r="K61" s="2" t="inlineStr">
        <is>
          <t>Implemented/available</t>
        </is>
      </c>
      <c r="L61" s="3">
        <f>Calc!B61</f>
        <v>67</v>
      </c>
      <c r="M61" s="3">
        <f>Calc!C61</f>
        <v>0</v>
      </c>
      <c r="N61" s="3">
        <f>Verification!F61</f>
        <v>100</v>
      </c>
      <c r="O61" s="3">
        <f>Calc!E61</f>
        <v>100</v>
      </c>
      <c r="P61" s="3">
        <f>Calc!F61</f>
        <v>100</v>
      </c>
      <c r="Q61" s="3">
        <f>Calc!G61</f>
        <v>100</v>
      </c>
      <c r="R61" s="3">
        <f>Calc!H61</f>
        <v>50</v>
      </c>
      <c r="S61" s="3">
        <f>AVERAGE(L61:R61)</f>
        <v>73.8571428571429</v>
      </c>
      <c r="T61" s="2">
        <f>RANK(S61,$S$2:$S$113,0)+(COUNTIF($S$2:$S$113,S61)-1)/2</f>
        <v>46.5</v>
      </c>
      <c r="U61" s="2">
        <f>Coverage!I61</f>
        <v>6</v>
      </c>
      <c r="V61" s="4">
        <f>Coverage!J61</f>
        <v>0.857142857142857</v>
      </c>
      <c r="W61" s="3">
        <f>IFERROR(SUMPRODUCT(L61:R61,Coverage!B61:H61)/U61,0)</f>
        <v>86.1666666666667</v>
      </c>
      <c r="X61" s="2" t="inlineStr">
        <is>
          <t>108_bylaws_status unavailable/unknown scored 0; No independent verification recorded</t>
        </is>
      </c>
    </row>
    <row r="62">
      <c r="A62" s="2" t="inlineStr">
        <is>
          <t>JHOVE</t>
        </is>
      </c>
      <c r="B62" s="2" t="inlineStr">
        <is>
          <t>Open Preservation Foundation</t>
        </is>
      </c>
      <c r="C62" s="2" t="inlineStr">
        <is>
          <t>Computing library | Digital preservation tool</t>
        </is>
      </c>
      <c r="D62" s="2" t="inlineStr">
        <is>
          <t>Implemented/available</t>
        </is>
      </c>
      <c r="E62" s="2" t="inlineStr">
        <is>
          <t>Not planning</t>
        </is>
      </c>
      <c r="F62" s="2" t="inlineStr">
        <is>
          <t>Advisory board or steering committee</t>
        </is>
      </c>
      <c r="G62" s="2" t="n"/>
      <c r="H62" s="2" t="inlineStr">
        <is>
          <t>Ad hoc</t>
        </is>
      </c>
      <c r="I62" s="2" t="inlineStr">
        <is>
          <t>In progress</t>
        </is>
      </c>
      <c r="J62" s="2" t="inlineStr">
        <is>
          <t>In progress</t>
        </is>
      </c>
      <c r="K62" s="2" t="inlineStr">
        <is>
          <t>Implemented/available</t>
        </is>
      </c>
      <c r="L62" s="3">
        <f>Calc!B62</f>
        <v>100</v>
      </c>
      <c r="M62" s="3">
        <f>Calc!C62</f>
        <v>0</v>
      </c>
      <c r="N62" s="3">
        <f>Verification!F62</f>
        <v>100</v>
      </c>
      <c r="O62" s="3">
        <f>Calc!E62</f>
        <v>67</v>
      </c>
      <c r="P62" s="3">
        <f>Calc!F62</f>
        <v>67</v>
      </c>
      <c r="Q62" s="3">
        <f>Calc!G62</f>
        <v>100</v>
      </c>
      <c r="R62" s="3">
        <f>Calc!H62</f>
        <v>50</v>
      </c>
      <c r="S62" s="3">
        <f>AVERAGE(L62:R62)</f>
        <v>69.1428571428571</v>
      </c>
      <c r="T62" s="2">
        <f>RANK(S62,$S$2:$S$113,0)+(COUNTIF($S$2:$S$113,S62)-1)/2</f>
        <v>58</v>
      </c>
      <c r="U62" s="2">
        <f>Coverage!I62</f>
        <v>7</v>
      </c>
      <c r="V62" s="4">
        <f>Coverage!J62</f>
        <v>1</v>
      </c>
      <c r="W62" s="3">
        <f>IFERROR(SUMPRODUCT(L62:R62,Coverage!B62:H62)/U62,0)</f>
        <v>69.1428571428571</v>
      </c>
      <c r="X62" s="2" t="inlineStr">
        <is>
          <t>No independent verification recorded</t>
        </is>
      </c>
    </row>
    <row r="63">
      <c r="A63" s="2" t="inlineStr">
        <is>
          <t>LA Referencia</t>
        </is>
      </c>
      <c r="B63" s="2" t="inlineStr">
        <is>
          <t>LA Referencia</t>
        </is>
      </c>
      <c r="C63" s="2" t="inlineStr">
        <is>
          <t>Discovery system</t>
        </is>
      </c>
      <c r="D63" s="2" t="inlineStr">
        <is>
          <t>Implemented/available</t>
        </is>
      </c>
      <c r="E63" s="2" t="inlineStr">
        <is>
          <t>Unknown</t>
        </is>
      </c>
      <c r="F63" s="2" t="inlineStr">
        <is>
          <t>Multi-board governance</t>
        </is>
      </c>
      <c r="G63" s="2" t="n"/>
      <c r="H63" s="2" t="inlineStr">
        <is>
          <t>Formal</t>
        </is>
      </c>
      <c r="I63" s="2" t="inlineStr">
        <is>
          <t>Considering</t>
        </is>
      </c>
      <c r="J63" s="2" t="inlineStr">
        <is>
          <t>Considering</t>
        </is>
      </c>
      <c r="K63" s="2" t="inlineStr">
        <is>
          <t>In progress</t>
        </is>
      </c>
      <c r="L63" s="3">
        <f>Calc!B63</f>
        <v>100</v>
      </c>
      <c r="M63" s="3">
        <f>Calc!C63</f>
        <v>0</v>
      </c>
      <c r="N63" s="3">
        <f>Verification!F63</f>
        <v>100</v>
      </c>
      <c r="O63" s="3">
        <f>Calc!E63</f>
        <v>33</v>
      </c>
      <c r="P63" s="3">
        <f>Calc!F63</f>
        <v>33</v>
      </c>
      <c r="Q63" s="3">
        <f>Calc!G63</f>
        <v>67</v>
      </c>
      <c r="R63" s="3">
        <f>Calc!H63</f>
        <v>100</v>
      </c>
      <c r="S63" s="3">
        <f>AVERAGE(L63:R63)</f>
        <v>61.8571428571429</v>
      </c>
      <c r="T63" s="2">
        <f>RANK(S63,$S$2:$S$113,0)+(COUNTIF($S$2:$S$113,S63)-1)/2</f>
        <v>63.5</v>
      </c>
      <c r="U63" s="2">
        <f>Coverage!I63</f>
        <v>6</v>
      </c>
      <c r="V63" s="4">
        <f>Coverage!J63</f>
        <v>0.857142857142857</v>
      </c>
      <c r="W63" s="3">
        <f>IFERROR(SUMPRODUCT(L63:R63,Coverage!B63:H63)/U63,0)</f>
        <v>72.1666666666667</v>
      </c>
      <c r="X63" s="2" t="inlineStr">
        <is>
          <t>108_bylaws_status unavailable/unknown scored 0; No independent verification recorded</t>
        </is>
      </c>
    </row>
    <row r="64">
      <c r="A64" s="2" t="inlineStr">
        <is>
          <t>Manifold</t>
        </is>
      </c>
      <c r="B64" s="2" t="inlineStr">
        <is>
          <t>Manifold Digital Services</t>
        </is>
      </c>
      <c r="C64" s="2" t="inlineStr">
        <is>
          <t>Publishing system</t>
        </is>
      </c>
      <c r="D64" s="2" t="inlineStr">
        <is>
          <t>Unknown</t>
        </is>
      </c>
      <c r="E64" s="2" t="inlineStr">
        <is>
          <t>Unknown</t>
        </is>
      </c>
      <c r="F64" s="2" t="inlineStr">
        <is>
          <t>Advisory board or steering committee</t>
        </is>
      </c>
      <c r="G64" s="2" t="n"/>
      <c r="H64" s="2" t="inlineStr">
        <is>
          <t>None</t>
        </is>
      </c>
      <c r="I64" s="2" t="inlineStr">
        <is>
          <t>Implemented/available</t>
        </is>
      </c>
      <c r="J64" s="2" t="inlineStr">
        <is>
          <t>In progress</t>
        </is>
      </c>
      <c r="K64" s="2" t="inlineStr">
        <is>
          <t>Unknown</t>
        </is>
      </c>
      <c r="L64" s="3">
        <f>Calc!B64</f>
        <v>0</v>
      </c>
      <c r="M64" s="3">
        <f>Calc!C64</f>
        <v>0</v>
      </c>
      <c r="N64" s="3">
        <f>Verification!F64</f>
        <v>100</v>
      </c>
      <c r="O64" s="3">
        <f>Calc!E64</f>
        <v>100</v>
      </c>
      <c r="P64" s="3">
        <f>Calc!F64</f>
        <v>67</v>
      </c>
      <c r="Q64" s="3">
        <f>Calc!G64</f>
        <v>0</v>
      </c>
      <c r="R64" s="3">
        <f>Calc!H64</f>
        <v>0</v>
      </c>
      <c r="S64" s="3">
        <f>AVERAGE(L64:R64)</f>
        <v>38.1428571428571</v>
      </c>
      <c r="T64" s="2">
        <f>RANK(S64,$S$2:$S$113,0)+(COUNTIF($S$2:$S$113,S64)-1)/2</f>
        <v>91</v>
      </c>
      <c r="U64" s="2">
        <f>Coverage!I64</f>
        <v>4</v>
      </c>
      <c r="V64" s="4">
        <f>Coverage!J64</f>
        <v>0.571428571428571</v>
      </c>
      <c r="W64" s="3">
        <f>IFERROR(SUMPRODUCT(L64:R64,Coverage!B64:H64)/U64,0)</f>
        <v>66.75</v>
      </c>
      <c r="X64" s="2" t="inlineStr">
        <is>
          <t>024_governance_structure_status unavailable/unknown scored 0; 108_bylaws_status unavailable/unknown scored 0; 044_commitment_to_privacy_status unavailable/unknown scored 0; No independent verification recorded</t>
        </is>
      </c>
    </row>
    <row r="65">
      <c r="A65" s="2" t="inlineStr">
        <is>
          <t>medRxiv</t>
        </is>
      </c>
      <c r="B65" s="2" t="inlineStr">
        <is>
          <t>Cold Spring Harbor Laboratory</t>
        </is>
      </c>
      <c r="C65" s="2" t="inlineStr">
        <is>
          <t>Repository service</t>
        </is>
      </c>
      <c r="D65" s="2" t="inlineStr">
        <is>
          <t>In progress</t>
        </is>
      </c>
      <c r="E65" s="2" t="inlineStr">
        <is>
          <t>Unknown</t>
        </is>
      </c>
      <c r="F65" s="2" t="inlineStr">
        <is>
          <t>Advisory board or steering committee</t>
        </is>
      </c>
      <c r="G65" s="2" t="n"/>
      <c r="H65" s="2" t="inlineStr">
        <is>
          <t>Ad hoc</t>
        </is>
      </c>
      <c r="I65" s="2" t="inlineStr">
        <is>
          <t>Considering</t>
        </is>
      </c>
      <c r="J65" s="2" t="inlineStr">
        <is>
          <t>In progress</t>
        </is>
      </c>
      <c r="K65" s="2" t="inlineStr">
        <is>
          <t>Implemented/available</t>
        </is>
      </c>
      <c r="L65" s="3">
        <f>Calc!B65</f>
        <v>67</v>
      </c>
      <c r="M65" s="3">
        <f>Calc!C65</f>
        <v>0</v>
      </c>
      <c r="N65" s="3">
        <f>Verification!F65</f>
        <v>100</v>
      </c>
      <c r="O65" s="3">
        <f>Calc!E65</f>
        <v>33</v>
      </c>
      <c r="P65" s="3">
        <f>Calc!F65</f>
        <v>67</v>
      </c>
      <c r="Q65" s="3">
        <f>Calc!G65</f>
        <v>100</v>
      </c>
      <c r="R65" s="3">
        <f>Calc!H65</f>
        <v>50</v>
      </c>
      <c r="S65" s="3">
        <f>AVERAGE(L65:R65)</f>
        <v>59.5714285714286</v>
      </c>
      <c r="T65" s="2">
        <f>RANK(S65,$S$2:$S$113,0)+(COUNTIF($S$2:$S$113,S65)-1)/2</f>
        <v>67</v>
      </c>
      <c r="U65" s="2">
        <f>Coverage!I65</f>
        <v>6</v>
      </c>
      <c r="V65" s="4">
        <f>Coverage!J65</f>
        <v>0.857142857142857</v>
      </c>
      <c r="W65" s="3">
        <f>IFERROR(SUMPRODUCT(L65:R65,Coverage!B65:H65)/U65,0)</f>
        <v>69.5</v>
      </c>
      <c r="X65" s="2" t="inlineStr">
        <is>
          <t>108_bylaws_status unavailable/unknown scored 0; No independent verification recorded</t>
        </is>
      </c>
    </row>
    <row r="66">
      <c r="A66" s="2" t="inlineStr">
        <is>
          <t>Metadata Encoding and Transmission Standard (METS)</t>
        </is>
      </c>
      <c r="B66" s="2" t="inlineStr">
        <is>
          <t>METS Editorial Board</t>
        </is>
      </c>
      <c r="C66" s="2" t="inlineStr">
        <is>
          <t>Standard, specification or protocol</t>
        </is>
      </c>
      <c r="D66" s="2" t="inlineStr">
        <is>
          <t>Implemented/available</t>
        </is>
      </c>
      <c r="E66" s="2" t="inlineStr">
        <is>
          <t>Implemented/available</t>
        </is>
      </c>
      <c r="F66" s="2" t="inlineStr">
        <is>
          <t>Advisory board or steering committee</t>
        </is>
      </c>
      <c r="G66" s="2" t="n"/>
      <c r="H66" s="2" t="inlineStr">
        <is>
          <t>Ad hoc</t>
        </is>
      </c>
      <c r="I66" s="2" t="inlineStr">
        <is>
          <t>Not planning</t>
        </is>
      </c>
      <c r="J66" s="2" t="inlineStr">
        <is>
          <t>Not planning</t>
        </is>
      </c>
      <c r="K66" s="2" t="inlineStr">
        <is>
          <t>Not planning</t>
        </is>
      </c>
      <c r="L66" s="3">
        <f>Calc!B66</f>
        <v>100</v>
      </c>
      <c r="M66" s="3">
        <f>Calc!C66</f>
        <v>100</v>
      </c>
      <c r="N66" s="3">
        <f>Verification!F66</f>
        <v>100</v>
      </c>
      <c r="O66" s="3">
        <f>Calc!E66</f>
        <v>0</v>
      </c>
      <c r="P66" s="3">
        <f>Calc!F66</f>
        <v>0</v>
      </c>
      <c r="Q66" s="3">
        <f>Calc!G66</f>
        <v>0</v>
      </c>
      <c r="R66" s="3">
        <f>Calc!H66</f>
        <v>50</v>
      </c>
      <c r="S66" s="3">
        <f>AVERAGE(L66:R66)</f>
        <v>50</v>
      </c>
      <c r="T66" s="2">
        <f>RANK(S66,$S$2:$S$113,0)+(COUNTIF($S$2:$S$113,S66)-1)/2</f>
        <v>79</v>
      </c>
      <c r="U66" s="2">
        <f>Coverage!I66</f>
        <v>7</v>
      </c>
      <c r="V66" s="4">
        <f>Coverage!J66</f>
        <v>1</v>
      </c>
      <c r="W66" s="3">
        <f>IFERROR(SUMPRODUCT(L66:R66,Coverage!B66:H66)/U66,0)</f>
        <v>50</v>
      </c>
      <c r="X66" s="2" t="inlineStr">
        <is>
          <t>No independent verification recorded</t>
        </is>
      </c>
    </row>
    <row r="67">
      <c r="A67" s="2" t="inlineStr">
        <is>
          <t>Mirador</t>
        </is>
      </c>
      <c r="B67" s="2" t="inlineStr">
        <is>
          <t>Project Mirador</t>
        </is>
      </c>
      <c r="C67" s="2" t="inlineStr">
        <is>
          <t>Annotations system | Media viewer/player</t>
        </is>
      </c>
      <c r="D67" s="2" t="inlineStr">
        <is>
          <t>Considering</t>
        </is>
      </c>
      <c r="E67" s="2" t="inlineStr">
        <is>
          <t>Unknown</t>
        </is>
      </c>
      <c r="F67" s="2" t="inlineStr">
        <is>
          <t>None</t>
        </is>
      </c>
      <c r="G67" s="2" t="n"/>
      <c r="H67" s="2" t="inlineStr">
        <is>
          <t>Ad hoc</t>
        </is>
      </c>
      <c r="I67" s="2" t="inlineStr">
        <is>
          <t>Implemented/available</t>
        </is>
      </c>
      <c r="J67" s="2" t="inlineStr">
        <is>
          <t>Implemented/available</t>
        </is>
      </c>
      <c r="K67" s="2" t="inlineStr">
        <is>
          <t>Unknown</t>
        </is>
      </c>
      <c r="L67" s="3">
        <f>Calc!B67</f>
        <v>33</v>
      </c>
      <c r="M67" s="3">
        <f>Calc!C67</f>
        <v>0</v>
      </c>
      <c r="N67" s="3">
        <f>Verification!F67</f>
        <v>0</v>
      </c>
      <c r="O67" s="3">
        <f>Calc!E67</f>
        <v>100</v>
      </c>
      <c r="P67" s="3">
        <f>Calc!F67</f>
        <v>100</v>
      </c>
      <c r="Q67" s="3">
        <f>Calc!G67</f>
        <v>0</v>
      </c>
      <c r="R67" s="3">
        <f>Calc!H67</f>
        <v>50</v>
      </c>
      <c r="S67" s="3">
        <f>AVERAGE(L67:R67)</f>
        <v>40.4285714285714</v>
      </c>
      <c r="T67" s="2">
        <f>RANK(S67,$S$2:$S$113,0)+(COUNTIF($S$2:$S$113,S67)-1)/2</f>
        <v>89</v>
      </c>
      <c r="U67" s="2">
        <f>Coverage!I67</f>
        <v>5</v>
      </c>
      <c r="V67" s="4">
        <f>Coverage!J67</f>
        <v>0.714285714285714</v>
      </c>
      <c r="W67" s="3">
        <f>IFERROR(SUMPRODUCT(L67:R67,Coverage!B67:H67)/U67,0)</f>
        <v>56.6</v>
      </c>
      <c r="X67" s="2" t="inlineStr">
        <is>
          <t>108_bylaws_status unavailable/unknown scored 0; 044_commitment_to_privacy_status unavailable/unknown scored 0; No independent verification recorded</t>
        </is>
      </c>
    </row>
    <row r="68">
      <c r="A68" s="2" t="inlineStr">
        <is>
          <t>Mukurtu CMS</t>
        </is>
      </c>
      <c r="B68" s="2" t="inlineStr">
        <is>
          <t>Center for Digital Scholarship and Curation</t>
        </is>
      </c>
      <c r="C68" s="2" t="inlineStr">
        <is>
          <t>Archive information management system | Digital asset management system</t>
        </is>
      </c>
      <c r="D68" s="2" t="inlineStr">
        <is>
          <t>In progress</t>
        </is>
      </c>
      <c r="E68" s="2" t="inlineStr">
        <is>
          <t>Unknown</t>
        </is>
      </c>
      <c r="F68" s="2" t="inlineStr">
        <is>
          <t>Advisory board or steering committee</t>
        </is>
      </c>
      <c r="G68" s="2" t="n"/>
      <c r="H68" s="2" t="inlineStr">
        <is>
          <t>Ad hoc</t>
        </is>
      </c>
      <c r="I68" s="2" t="inlineStr">
        <is>
          <t>In progress</t>
        </is>
      </c>
      <c r="J68" s="2" t="inlineStr">
        <is>
          <t>Implemented/available</t>
        </is>
      </c>
      <c r="K68" s="2" t="inlineStr">
        <is>
          <t>Implemented/available</t>
        </is>
      </c>
      <c r="L68" s="3">
        <f>Calc!B68</f>
        <v>67</v>
      </c>
      <c r="M68" s="3">
        <f>Calc!C68</f>
        <v>0</v>
      </c>
      <c r="N68" s="3">
        <f>Verification!F68</f>
        <v>100</v>
      </c>
      <c r="O68" s="3">
        <f>Calc!E68</f>
        <v>67</v>
      </c>
      <c r="P68" s="3">
        <f>Calc!F68</f>
        <v>100</v>
      </c>
      <c r="Q68" s="3">
        <f>Calc!G68</f>
        <v>100</v>
      </c>
      <c r="R68" s="3">
        <f>Calc!H68</f>
        <v>50</v>
      </c>
      <c r="S68" s="3">
        <f>AVERAGE(L68:R68)</f>
        <v>69.1428571428571</v>
      </c>
      <c r="T68" s="2">
        <f>RANK(S68,$S$2:$S$113,0)+(COUNTIF($S$2:$S$113,S68)-1)/2</f>
        <v>58</v>
      </c>
      <c r="U68" s="2">
        <f>Coverage!I68</f>
        <v>6</v>
      </c>
      <c r="V68" s="4">
        <f>Coverage!J68</f>
        <v>0.857142857142857</v>
      </c>
      <c r="W68" s="3">
        <f>IFERROR(SUMPRODUCT(L68:R68,Coverage!B68:H68)/U68,0)</f>
        <v>80.6666666666667</v>
      </c>
      <c r="X68" s="2" t="inlineStr">
        <is>
          <t>108_bylaws_status unavailable/unknown scored 0; No independent verification recorded</t>
        </is>
      </c>
    </row>
    <row r="69">
      <c r="A69" s="2" t="inlineStr">
        <is>
          <t>MyCoRe</t>
        </is>
      </c>
      <c r="B69" s="2" t="inlineStr">
        <is>
          <t>MyCoRe Community</t>
        </is>
      </c>
      <c r="C69" s="2" t="inlineStr">
        <is>
          <t>Digital asset management system | Digital library, collection or exhibit platform | Repository software</t>
        </is>
      </c>
      <c r="D69" s="2" t="inlineStr">
        <is>
          <t>Not planning</t>
        </is>
      </c>
      <c r="E69" s="2" t="inlineStr">
        <is>
          <t>Not planning</t>
        </is>
      </c>
      <c r="F69" s="2" t="inlineStr">
        <is>
          <t>None</t>
        </is>
      </c>
      <c r="G69" s="2" t="n"/>
      <c r="H69" s="2" t="inlineStr">
        <is>
          <t>Ad hoc</t>
        </is>
      </c>
      <c r="I69" s="2" t="inlineStr">
        <is>
          <t>Implemented/available</t>
        </is>
      </c>
      <c r="J69" s="2" t="inlineStr">
        <is>
          <t>Unknown</t>
        </is>
      </c>
      <c r="K69" s="2" t="inlineStr">
        <is>
          <t>Implemented/available</t>
        </is>
      </c>
      <c r="L69" s="3">
        <f>Calc!B69</f>
        <v>0</v>
      </c>
      <c r="M69" s="3">
        <f>Calc!C69</f>
        <v>0</v>
      </c>
      <c r="N69" s="3">
        <f>Verification!F69</f>
        <v>0</v>
      </c>
      <c r="O69" s="3">
        <f>Calc!E69</f>
        <v>100</v>
      </c>
      <c r="P69" s="3">
        <f>Calc!F69</f>
        <v>0</v>
      </c>
      <c r="Q69" s="3">
        <f>Calc!G69</f>
        <v>100</v>
      </c>
      <c r="R69" s="3">
        <f>Calc!H69</f>
        <v>50</v>
      </c>
      <c r="S69" s="3">
        <f>AVERAGE(L69:R69)</f>
        <v>35.7142857142857</v>
      </c>
      <c r="T69" s="2">
        <f>RANK(S69,$S$2:$S$113,0)+(COUNTIF($S$2:$S$113,S69)-1)/2</f>
        <v>95.5</v>
      </c>
      <c r="U69" s="2">
        <f>Coverage!I69</f>
        <v>6</v>
      </c>
      <c r="V69" s="4">
        <f>Coverage!J69</f>
        <v>0.857142857142857</v>
      </c>
      <c r="W69" s="3">
        <f>IFERROR(SUMPRODUCT(L69:R69,Coverage!B69:H69)/U69,0)</f>
        <v>41.6666666666667</v>
      </c>
      <c r="X69" s="2" t="inlineStr">
        <is>
          <t>035_commitment_to_equity_status unavailable/unknown scored 0; No independent verification recorded</t>
        </is>
      </c>
    </row>
    <row r="70">
      <c r="A70" s="2" t="inlineStr">
        <is>
          <t>NumPy</t>
        </is>
      </c>
      <c r="B70" s="2" t="inlineStr">
        <is>
          <t>NumPy Community</t>
        </is>
      </c>
      <c r="C70" s="2" t="inlineStr">
        <is>
          <t>Computing library | Standard, specification or protocol</t>
        </is>
      </c>
      <c r="D70" s="2" t="inlineStr">
        <is>
          <t>Implemented/available</t>
        </is>
      </c>
      <c r="E70" s="2" t="inlineStr">
        <is>
          <t>Implemented/available</t>
        </is>
      </c>
      <c r="F70" s="2" t="inlineStr">
        <is>
          <t>Advisory board or steering committee</t>
        </is>
      </c>
      <c r="G70" s="2" t="n"/>
      <c r="H70" s="2" t="inlineStr">
        <is>
          <t>Formal</t>
        </is>
      </c>
      <c r="I70" s="2" t="inlineStr">
        <is>
          <t>In progress</t>
        </is>
      </c>
      <c r="J70" s="2" t="inlineStr">
        <is>
          <t>In progress</t>
        </is>
      </c>
      <c r="K70" s="2" t="inlineStr">
        <is>
          <t>Not planning</t>
        </is>
      </c>
      <c r="L70" s="3">
        <f>Calc!B70</f>
        <v>100</v>
      </c>
      <c r="M70" s="3">
        <f>Calc!C70</f>
        <v>100</v>
      </c>
      <c r="N70" s="3">
        <f>Verification!F70</f>
        <v>100</v>
      </c>
      <c r="O70" s="3">
        <f>Calc!E70</f>
        <v>67</v>
      </c>
      <c r="P70" s="3">
        <f>Calc!F70</f>
        <v>67</v>
      </c>
      <c r="Q70" s="3">
        <f>Calc!G70</f>
        <v>0</v>
      </c>
      <c r="R70" s="3">
        <f>Calc!H70</f>
        <v>100</v>
      </c>
      <c r="S70" s="3">
        <f>AVERAGE(L70:R70)</f>
        <v>76.2857142857143</v>
      </c>
      <c r="T70" s="2">
        <f>RANK(S70,$S$2:$S$113,0)+(COUNTIF($S$2:$S$113,S70)-1)/2</f>
        <v>42</v>
      </c>
      <c r="U70" s="2">
        <f>Coverage!I70</f>
        <v>7</v>
      </c>
      <c r="V70" s="4">
        <f>Coverage!J70</f>
        <v>1</v>
      </c>
      <c r="W70" s="3">
        <f>IFERROR(SUMPRODUCT(L70:R70,Coverage!B70:H70)/U70,0)</f>
        <v>76.2857142857143</v>
      </c>
      <c r="X70" s="2" t="inlineStr">
        <is>
          <t>No independent verification recorded</t>
        </is>
      </c>
    </row>
    <row r="71">
      <c r="A71" s="2" t="inlineStr">
        <is>
          <t>OA.Report</t>
        </is>
      </c>
      <c r="B71" s="2" t="inlineStr">
        <is>
          <t>OA.Works</t>
        </is>
      </c>
      <c r="C71" s="2" t="inlineStr">
        <is>
          <t>Open access or subscription management tool | Research profiling system</t>
        </is>
      </c>
      <c r="D71" s="2" t="inlineStr">
        <is>
          <t>Implemented/available</t>
        </is>
      </c>
      <c r="E71" s="2" t="inlineStr">
        <is>
          <t>Implemented/available</t>
        </is>
      </c>
      <c r="F71" s="2" t="inlineStr">
        <is>
          <t>Advisory board or steering committee</t>
        </is>
      </c>
      <c r="G71" s="2" t="n"/>
      <c r="H71" s="2" t="inlineStr">
        <is>
          <t>Formal</t>
        </is>
      </c>
      <c r="I71" s="2" t="inlineStr">
        <is>
          <t>Implemented/available</t>
        </is>
      </c>
      <c r="J71" s="2" t="inlineStr">
        <is>
          <t>Considering</t>
        </is>
      </c>
      <c r="K71" s="2" t="inlineStr">
        <is>
          <t>Implemented/available</t>
        </is>
      </c>
      <c r="L71" s="3">
        <f>Calc!B71</f>
        <v>100</v>
      </c>
      <c r="M71" s="3">
        <f>Calc!C71</f>
        <v>100</v>
      </c>
      <c r="N71" s="3">
        <f>Verification!F71</f>
        <v>100</v>
      </c>
      <c r="O71" s="3">
        <f>Calc!E71</f>
        <v>100</v>
      </c>
      <c r="P71" s="3">
        <f>Calc!F71</f>
        <v>33</v>
      </c>
      <c r="Q71" s="3">
        <f>Calc!G71</f>
        <v>100</v>
      </c>
      <c r="R71" s="3">
        <f>Calc!H71</f>
        <v>100</v>
      </c>
      <c r="S71" s="3">
        <f>AVERAGE(L71:R71)</f>
        <v>90.4285714285714</v>
      </c>
      <c r="T71" s="2">
        <f>RANK(S71,$S$2:$S$113,0)+(COUNTIF($S$2:$S$113,S71)-1)/2</f>
        <v>23</v>
      </c>
      <c r="U71" s="2">
        <f>Coverage!I71</f>
        <v>7</v>
      </c>
      <c r="V71" s="4">
        <f>Coverage!J71</f>
        <v>1</v>
      </c>
      <c r="W71" s="3">
        <f>IFERROR(SUMPRODUCT(L71:R71,Coverage!B71:H71)/U71,0)</f>
        <v>90.4285714285714</v>
      </c>
      <c r="X71" s="2" t="inlineStr">
        <is>
          <t>No independent verification recorded</t>
        </is>
      </c>
    </row>
    <row r="72">
      <c r="A72" s="2" t="inlineStr">
        <is>
          <t>OA Switchboard</t>
        </is>
      </c>
      <c r="B72" s="2" t="inlineStr">
        <is>
          <t>Stichting OA Switchboard</t>
        </is>
      </c>
      <c r="C72" s="2" t="inlineStr">
        <is>
          <t>Open access or subscription management tool</t>
        </is>
      </c>
      <c r="D72" s="2" t="inlineStr">
        <is>
          <t>Implemented/available</t>
        </is>
      </c>
      <c r="E72" s="2" t="inlineStr">
        <is>
          <t>Implemented/available</t>
        </is>
      </c>
      <c r="F72" s="2" t="n"/>
      <c r="G72" s="2" t="n"/>
      <c r="H72" s="2" t="inlineStr">
        <is>
          <t>Formal</t>
        </is>
      </c>
      <c r="I72" s="2" t="inlineStr">
        <is>
          <t>Unknown</t>
        </is>
      </c>
      <c r="J72" s="2" t="inlineStr">
        <is>
          <t>Implemented/available</t>
        </is>
      </c>
      <c r="K72" s="2" t="inlineStr">
        <is>
          <t>Implemented/available</t>
        </is>
      </c>
      <c r="L72" s="3">
        <f>Calc!B72</f>
        <v>100</v>
      </c>
      <c r="M72" s="3">
        <f>Calc!C72</f>
        <v>100</v>
      </c>
      <c r="N72" s="3">
        <f>Verification!F72</f>
        <v>0</v>
      </c>
      <c r="O72" s="3">
        <f>Calc!E72</f>
        <v>0</v>
      </c>
      <c r="P72" s="3">
        <f>Calc!F72</f>
        <v>100</v>
      </c>
      <c r="Q72" s="3">
        <f>Calc!G72</f>
        <v>100</v>
      </c>
      <c r="R72" s="3">
        <f>Calc!H72</f>
        <v>100</v>
      </c>
      <c r="S72" s="3">
        <f>AVERAGE(L72:R72)</f>
        <v>71.4285714285714</v>
      </c>
      <c r="T72" s="2">
        <f>RANK(S72,$S$2:$S$113,0)+(COUNTIF($S$2:$S$113,S72)-1)/2</f>
        <v>52</v>
      </c>
      <c r="U72" s="2">
        <f>Coverage!I72</f>
        <v>5</v>
      </c>
      <c r="V72" s="4">
        <f>Coverage!J72</f>
        <v>0.714285714285714</v>
      </c>
      <c r="W72" s="3">
        <f>IFERROR(SUMPRODUCT(L72:R72,Coverage!B72:H72)/U72,0)</f>
        <v>100</v>
      </c>
      <c r="X72" s="2" t="inlineStr">
        <is>
          <t>029_web_accessibility_status unavailable/unknown scored 0; No independent verification recorded</t>
        </is>
      </c>
    </row>
    <row r="73">
      <c r="A73" s="2" t="inlineStr">
        <is>
          <t>Omeka</t>
        </is>
      </c>
      <c r="B73" s="2" t="inlineStr">
        <is>
          <t>Digital Scholar</t>
        </is>
      </c>
      <c r="C73" s="2" t="inlineStr">
        <is>
          <t>Digital library, collection or exhibit platform</t>
        </is>
      </c>
      <c r="D73" s="2" t="inlineStr">
        <is>
          <t>Implemented/available</t>
        </is>
      </c>
      <c r="E73" s="2" t="inlineStr">
        <is>
          <t>Implemented/available</t>
        </is>
      </c>
      <c r="F73" s="2" t="inlineStr">
        <is>
          <t>Advisory board or steering committee</t>
        </is>
      </c>
      <c r="G73" s="2" t="n"/>
      <c r="H73" s="2" t="inlineStr">
        <is>
          <t>Ad hoc</t>
        </is>
      </c>
      <c r="I73" s="2" t="inlineStr">
        <is>
          <t>Implemented/available</t>
        </is>
      </c>
      <c r="J73" s="2" t="inlineStr">
        <is>
          <t>In progress</t>
        </is>
      </c>
      <c r="K73" s="2" t="inlineStr">
        <is>
          <t>Implemented/available</t>
        </is>
      </c>
      <c r="L73" s="3">
        <f>Calc!B73</f>
        <v>100</v>
      </c>
      <c r="M73" s="3">
        <f>Calc!C73</f>
        <v>100</v>
      </c>
      <c r="N73" s="3">
        <f>Verification!F73</f>
        <v>100</v>
      </c>
      <c r="O73" s="3">
        <f>Calc!E73</f>
        <v>100</v>
      </c>
      <c r="P73" s="3">
        <f>Calc!F73</f>
        <v>67</v>
      </c>
      <c r="Q73" s="3">
        <f>Calc!G73</f>
        <v>100</v>
      </c>
      <c r="R73" s="3">
        <f>Calc!H73</f>
        <v>50</v>
      </c>
      <c r="S73" s="3">
        <f>AVERAGE(L73:R73)</f>
        <v>88.1428571428571</v>
      </c>
      <c r="T73" s="2">
        <f>RANK(S73,$S$2:$S$113,0)+(COUNTIF($S$2:$S$113,S73)-1)/2</f>
        <v>27</v>
      </c>
      <c r="U73" s="2">
        <f>Coverage!I73</f>
        <v>7</v>
      </c>
      <c r="V73" s="4">
        <f>Coverage!J73</f>
        <v>1</v>
      </c>
      <c r="W73" s="3">
        <f>IFERROR(SUMPRODUCT(L73:R73,Coverage!B73:H73)/U73,0)</f>
        <v>88.1428571428571</v>
      </c>
      <c r="X73" s="2" t="inlineStr">
        <is>
          <t>No independent verification recorded</t>
        </is>
      </c>
    </row>
    <row r="74">
      <c r="A74" s="2" t="inlineStr">
        <is>
          <t>OpenAIRE Graph</t>
        </is>
      </c>
      <c r="B74" s="2" t="inlineStr">
        <is>
          <t>OpenAIRE</t>
        </is>
      </c>
      <c r="C74" s="2" t="inlineStr">
        <is>
          <t>Discovery system | Open scholarly dataset</t>
        </is>
      </c>
      <c r="D74" s="2" t="inlineStr">
        <is>
          <t>Implemented/available</t>
        </is>
      </c>
      <c r="E74" s="2" t="inlineStr">
        <is>
          <t>Implemented/available</t>
        </is>
      </c>
      <c r="F74" s="2" t="inlineStr">
        <is>
          <t>Advisory board or steering committee</t>
        </is>
      </c>
      <c r="G74" s="2" t="n"/>
      <c r="H74" s="2" t="inlineStr">
        <is>
          <t>Formal</t>
        </is>
      </c>
      <c r="I74" s="2" t="inlineStr">
        <is>
          <t>Considering</t>
        </is>
      </c>
      <c r="J74" s="2" t="inlineStr">
        <is>
          <t>Implemented/available</t>
        </is>
      </c>
      <c r="K74" s="2" t="inlineStr">
        <is>
          <t>Implemented/available</t>
        </is>
      </c>
      <c r="L74" s="3">
        <f>Calc!B74</f>
        <v>100</v>
      </c>
      <c r="M74" s="3">
        <f>Calc!C74</f>
        <v>100</v>
      </c>
      <c r="N74" s="3">
        <f>Verification!F74</f>
        <v>100</v>
      </c>
      <c r="O74" s="3">
        <f>Calc!E74</f>
        <v>33</v>
      </c>
      <c r="P74" s="3">
        <f>Calc!F74</f>
        <v>100</v>
      </c>
      <c r="Q74" s="3">
        <f>Calc!G74</f>
        <v>100</v>
      </c>
      <c r="R74" s="3">
        <f>Calc!H74</f>
        <v>100</v>
      </c>
      <c r="S74" s="3">
        <f>AVERAGE(L74:R74)</f>
        <v>90.4285714285714</v>
      </c>
      <c r="T74" s="2">
        <f>RANK(S74,$S$2:$S$113,0)+(COUNTIF($S$2:$S$113,S74)-1)/2</f>
        <v>23</v>
      </c>
      <c r="U74" s="2">
        <f>Coverage!I74</f>
        <v>7</v>
      </c>
      <c r="V74" s="4">
        <f>Coverage!J74</f>
        <v>1</v>
      </c>
      <c r="W74" s="3">
        <f>IFERROR(SUMPRODUCT(L74:R74,Coverage!B74:H74)/U74,0)</f>
        <v>90.4285714285714</v>
      </c>
      <c r="X74" s="2" t="inlineStr">
        <is>
          <t>No independent verification recorded</t>
        </is>
      </c>
    </row>
    <row r="75">
      <c r="A75" s="2" t="inlineStr">
        <is>
          <t>OpenAlex</t>
        </is>
      </c>
      <c r="B75" s="2" t="inlineStr">
        <is>
          <t>OurResearch</t>
        </is>
      </c>
      <c r="C75" s="2" t="inlineStr">
        <is>
          <t>Open scholarly dataset</t>
        </is>
      </c>
      <c r="D75" s="2" t="inlineStr">
        <is>
          <t>Implemented/available</t>
        </is>
      </c>
      <c r="E75" s="2" t="inlineStr">
        <is>
          <t>Unknown</t>
        </is>
      </c>
      <c r="F75" s="2" t="inlineStr">
        <is>
          <t>Advisory board or steering committee</t>
        </is>
      </c>
      <c r="G75" s="2" t="n"/>
      <c r="H75" s="2" t="inlineStr">
        <is>
          <t>Formal</t>
        </is>
      </c>
      <c r="I75" s="2" t="inlineStr">
        <is>
          <t>Implemented/available</t>
        </is>
      </c>
      <c r="J75" s="2" t="inlineStr">
        <is>
          <t>Considering</t>
        </is>
      </c>
      <c r="K75" s="2" t="inlineStr">
        <is>
          <t>Implemented/available</t>
        </is>
      </c>
      <c r="L75" s="3">
        <f>Calc!B75</f>
        <v>100</v>
      </c>
      <c r="M75" s="3">
        <f>Calc!C75</f>
        <v>0</v>
      </c>
      <c r="N75" s="3">
        <f>Verification!F75</f>
        <v>100</v>
      </c>
      <c r="O75" s="3">
        <f>Calc!E75</f>
        <v>100</v>
      </c>
      <c r="P75" s="3">
        <f>Calc!F75</f>
        <v>33</v>
      </c>
      <c r="Q75" s="3">
        <f>Calc!G75</f>
        <v>100</v>
      </c>
      <c r="R75" s="3">
        <f>Calc!H75</f>
        <v>100</v>
      </c>
      <c r="S75" s="3">
        <f>AVERAGE(L75:R75)</f>
        <v>76.1428571428571</v>
      </c>
      <c r="T75" s="2">
        <f>RANK(S75,$S$2:$S$113,0)+(COUNTIF($S$2:$S$113,S75)-1)/2</f>
        <v>44</v>
      </c>
      <c r="U75" s="2">
        <f>Coverage!I75</f>
        <v>6</v>
      </c>
      <c r="V75" s="4">
        <f>Coverage!J75</f>
        <v>0.857142857142857</v>
      </c>
      <c r="W75" s="3">
        <f>IFERROR(SUMPRODUCT(L75:R75,Coverage!B75:H75)/U75,0)</f>
        <v>88.8333333333333</v>
      </c>
      <c r="X75" s="2" t="inlineStr">
        <is>
          <t>108_bylaws_status unavailable/unknown scored 0; No independent verification recorded</t>
        </is>
      </c>
    </row>
    <row r="76">
      <c r="A76" s="2" t="inlineStr">
        <is>
          <t>OpenAPC</t>
        </is>
      </c>
      <c r="B76" s="2" t="inlineStr">
        <is>
          <t>Bielefeld University</t>
        </is>
      </c>
      <c r="C76" s="2" t="inlineStr">
        <is>
          <t>Open scholarly dataset</t>
        </is>
      </c>
      <c r="D76" s="2" t="inlineStr">
        <is>
          <t>Not planning</t>
        </is>
      </c>
      <c r="E76" s="2" t="inlineStr">
        <is>
          <t>Not planning</t>
        </is>
      </c>
      <c r="F76" s="2" t="inlineStr">
        <is>
          <t>None</t>
        </is>
      </c>
      <c r="G76" s="2" t="n"/>
      <c r="H76" s="2" t="inlineStr">
        <is>
          <t>None</t>
        </is>
      </c>
      <c r="I76" s="2" t="inlineStr">
        <is>
          <t>Not planning</t>
        </is>
      </c>
      <c r="J76" s="2" t="inlineStr">
        <is>
          <t>Implemented/available</t>
        </is>
      </c>
      <c r="K76" s="2" t="inlineStr">
        <is>
          <t>Not planning</t>
        </is>
      </c>
      <c r="L76" s="3">
        <f>Calc!B76</f>
        <v>0</v>
      </c>
      <c r="M76" s="3">
        <f>Calc!C76</f>
        <v>0</v>
      </c>
      <c r="N76" s="3">
        <f>Verification!F76</f>
        <v>0</v>
      </c>
      <c r="O76" s="3">
        <f>Calc!E76</f>
        <v>0</v>
      </c>
      <c r="P76" s="3">
        <f>Calc!F76</f>
        <v>100</v>
      </c>
      <c r="Q76" s="3">
        <f>Calc!G76</f>
        <v>0</v>
      </c>
      <c r="R76" s="3">
        <f>Calc!H76</f>
        <v>0</v>
      </c>
      <c r="S76" s="3">
        <f>AVERAGE(L76:R76)</f>
        <v>14.2857142857143</v>
      </c>
      <c r="T76" s="2">
        <f>RANK(S76,$S$2:$S$113,0)+(COUNTIF($S$2:$S$113,S76)-1)/2</f>
        <v>108</v>
      </c>
      <c r="U76" s="2">
        <f>Coverage!I76</f>
        <v>7</v>
      </c>
      <c r="V76" s="4">
        <f>Coverage!J76</f>
        <v>1</v>
      </c>
      <c r="W76" s="3">
        <f>IFERROR(SUMPRODUCT(L76:R76,Coverage!B76:H76)/U76,0)</f>
        <v>14.2857142857143</v>
      </c>
      <c r="X76" s="2" t="inlineStr">
        <is>
          <t>No independent verification recorded</t>
        </is>
      </c>
    </row>
    <row r="77">
      <c r="A77" s="2" t="inlineStr">
        <is>
          <t>OpenCitations</t>
        </is>
      </c>
      <c r="B77" s="2" t="inlineStr">
        <is>
          <t>Research Centre for Open Scholarly Metadata, University of Bologna</t>
        </is>
      </c>
      <c r="C77" s="2" t="inlineStr">
        <is>
          <t>Open scholarly dataset</t>
        </is>
      </c>
      <c r="D77" s="2" t="inlineStr">
        <is>
          <t>Implemented/available</t>
        </is>
      </c>
      <c r="E77" s="2" t="inlineStr">
        <is>
          <t>Implemented/available</t>
        </is>
      </c>
      <c r="F77" s="2" t="inlineStr">
        <is>
          <t>Advisory board or steering committee</t>
        </is>
      </c>
      <c r="G77" s="2" t="n"/>
      <c r="H77" s="2" t="inlineStr">
        <is>
          <t>Formal</t>
        </is>
      </c>
      <c r="I77" s="2" t="inlineStr">
        <is>
          <t>Considering</t>
        </is>
      </c>
      <c r="J77" s="2" t="inlineStr">
        <is>
          <t>Considering</t>
        </is>
      </c>
      <c r="K77" s="2" t="inlineStr">
        <is>
          <t>Implemented/available</t>
        </is>
      </c>
      <c r="L77" s="3">
        <f>Calc!B77</f>
        <v>100</v>
      </c>
      <c r="M77" s="3">
        <f>Calc!C77</f>
        <v>100</v>
      </c>
      <c r="N77" s="3">
        <f>Verification!F77</f>
        <v>100</v>
      </c>
      <c r="O77" s="3">
        <f>Calc!E77</f>
        <v>33</v>
      </c>
      <c r="P77" s="3">
        <f>Calc!F77</f>
        <v>33</v>
      </c>
      <c r="Q77" s="3">
        <f>Calc!G77</f>
        <v>100</v>
      </c>
      <c r="R77" s="3">
        <f>Calc!H77</f>
        <v>100</v>
      </c>
      <c r="S77" s="3">
        <f>AVERAGE(L77:R77)</f>
        <v>80.8571428571429</v>
      </c>
      <c r="T77" s="2">
        <f>RANK(S77,$S$2:$S$113,0)+(COUNTIF($S$2:$S$113,S77)-1)/2</f>
        <v>37</v>
      </c>
      <c r="U77" s="2">
        <f>Coverage!I77</f>
        <v>7</v>
      </c>
      <c r="V77" s="4">
        <f>Coverage!J77</f>
        <v>1</v>
      </c>
      <c r="W77" s="3">
        <f>IFERROR(SUMPRODUCT(L77:R77,Coverage!B77:H77)/U77,0)</f>
        <v>80.8571428571429</v>
      </c>
      <c r="X77" s="2" t="inlineStr">
        <is>
          <t>No independent verification recorded</t>
        </is>
      </c>
    </row>
    <row r="78">
      <c r="A78" s="2" t="inlineStr">
        <is>
          <t>openCost</t>
        </is>
      </c>
      <c r="B78" s="2" t="inlineStr">
        <is>
          <t>openCost</t>
        </is>
      </c>
      <c r="C78" s="2" t="inlineStr">
        <is>
          <t>Open scholarly dataset | Standard, specification or protocol</t>
        </is>
      </c>
      <c r="D78" s="2" t="inlineStr">
        <is>
          <t>Not planning</t>
        </is>
      </c>
      <c r="E78" s="2" t="inlineStr">
        <is>
          <t>Not planning</t>
        </is>
      </c>
      <c r="F78" s="2" t="inlineStr">
        <is>
          <t>None</t>
        </is>
      </c>
      <c r="G78" s="2" t="n"/>
      <c r="H78" s="2" t="n"/>
      <c r="I78" s="2" t="inlineStr">
        <is>
          <t>Not planning</t>
        </is>
      </c>
      <c r="J78" s="2" t="inlineStr">
        <is>
          <t>Not planning</t>
        </is>
      </c>
      <c r="K78" s="2" t="inlineStr">
        <is>
          <t>Not planning</t>
        </is>
      </c>
      <c r="L78" s="3">
        <f>Calc!B78</f>
        <v>0</v>
      </c>
      <c r="M78" s="3">
        <f>Calc!C78</f>
        <v>0</v>
      </c>
      <c r="N78" s="3">
        <f>Verification!F78</f>
        <v>0</v>
      </c>
      <c r="O78" s="3">
        <f>Calc!E78</f>
        <v>0</v>
      </c>
      <c r="P78" s="3">
        <f>Calc!F78</f>
        <v>0</v>
      </c>
      <c r="Q78" s="3">
        <f>Calc!G78</f>
        <v>0</v>
      </c>
      <c r="R78" s="3">
        <f>Calc!H78</f>
        <v>0</v>
      </c>
      <c r="S78" s="3">
        <f>AVERAGE(L78:R78)</f>
        <v>0</v>
      </c>
      <c r="T78" s="2">
        <f>RANK(S78,$S$2:$S$113,0)+(COUNTIF($S$2:$S$113,S78)-1)/2</f>
        <v>111</v>
      </c>
      <c r="U78" s="2">
        <f>Coverage!I78</f>
        <v>6</v>
      </c>
      <c r="V78" s="4">
        <f>Coverage!J78</f>
        <v>0.857142857142857</v>
      </c>
      <c r="W78" s="3">
        <f>IFERROR(SUMPRODUCT(L78:R78,Coverage!B78:H78)/U78,0)</f>
        <v>0</v>
      </c>
      <c r="X78" s="2" t="inlineStr">
        <is>
          <t>048 community governance missing/unrecognized scored 0; No independent verification recorded</t>
        </is>
      </c>
    </row>
    <row r="79">
      <c r="A79" s="2" t="inlineStr">
        <is>
          <t>Open Data Editor</t>
        </is>
      </c>
      <c r="B79" s="2" t="inlineStr">
        <is>
          <t>Open Knowledge Foundation</t>
        </is>
      </c>
      <c r="C79" s="2" t="inlineStr">
        <is>
          <t>Data collection or management tool</t>
        </is>
      </c>
      <c r="D79" s="2" t="inlineStr">
        <is>
          <t>Implemented/available</t>
        </is>
      </c>
      <c r="E79" s="2" t="inlineStr">
        <is>
          <t>Implemented/available</t>
        </is>
      </c>
      <c r="F79" s="2" t="inlineStr">
        <is>
          <t>Advisory board or steering committee</t>
        </is>
      </c>
      <c r="G79" s="2" t="n"/>
      <c r="H79" s="2" t="inlineStr">
        <is>
          <t>Formal</t>
        </is>
      </c>
      <c r="I79" s="2" t="inlineStr">
        <is>
          <t>Considering</t>
        </is>
      </c>
      <c r="J79" s="2" t="inlineStr">
        <is>
          <t>Considering</t>
        </is>
      </c>
      <c r="K79" s="2" t="inlineStr">
        <is>
          <t>Implemented/available</t>
        </is>
      </c>
      <c r="L79" s="3">
        <f>Calc!B79</f>
        <v>100</v>
      </c>
      <c r="M79" s="3">
        <f>Calc!C79</f>
        <v>100</v>
      </c>
      <c r="N79" s="3">
        <f>Verification!F79</f>
        <v>100</v>
      </c>
      <c r="O79" s="3">
        <f>Calc!E79</f>
        <v>33</v>
      </c>
      <c r="P79" s="3">
        <f>Calc!F79</f>
        <v>33</v>
      </c>
      <c r="Q79" s="3">
        <f>Calc!G79</f>
        <v>100</v>
      </c>
      <c r="R79" s="3">
        <f>Calc!H79</f>
        <v>100</v>
      </c>
      <c r="S79" s="3">
        <f>AVERAGE(L79:R79)</f>
        <v>80.8571428571429</v>
      </c>
      <c r="T79" s="2">
        <f>RANK(S79,$S$2:$S$113,0)+(COUNTIF($S$2:$S$113,S79)-1)/2</f>
        <v>37</v>
      </c>
      <c r="U79" s="2">
        <f>Coverage!I79</f>
        <v>7</v>
      </c>
      <c r="V79" s="4">
        <f>Coverage!J79</f>
        <v>1</v>
      </c>
      <c r="W79" s="3">
        <f>IFERROR(SUMPRODUCT(L79:R79,Coverage!B79:H79)/U79,0)</f>
        <v>80.8571428571429</v>
      </c>
      <c r="X79" s="2" t="inlineStr">
        <is>
          <t>No independent verification recorded</t>
        </is>
      </c>
    </row>
    <row r="80">
      <c r="A80" s="2" t="inlineStr">
        <is>
          <t>OpenEdition</t>
        </is>
      </c>
      <c r="B80" s="2" t="inlineStr">
        <is>
          <t>OpenEdition Center, Aix-Marseille University, the EHESS and Avignon University</t>
        </is>
      </c>
      <c r="C80" s="2" t="inlineStr">
        <is>
          <t>Discovery system</t>
        </is>
      </c>
      <c r="D80" s="2" t="inlineStr">
        <is>
          <t>Implemented/available</t>
        </is>
      </c>
      <c r="E80" s="2" t="inlineStr">
        <is>
          <t>Implemented/available</t>
        </is>
      </c>
      <c r="F80" s="2" t="inlineStr">
        <is>
          <t>Multi-board governance</t>
        </is>
      </c>
      <c r="G80" s="2" t="n"/>
      <c r="H80" s="2" t="inlineStr">
        <is>
          <t>Formal</t>
        </is>
      </c>
      <c r="I80" s="2" t="inlineStr">
        <is>
          <t>Considering</t>
        </is>
      </c>
      <c r="J80" s="2" t="inlineStr">
        <is>
          <t>Considering</t>
        </is>
      </c>
      <c r="K80" s="2" t="inlineStr">
        <is>
          <t>Implemented/available</t>
        </is>
      </c>
      <c r="L80" s="3">
        <f>Calc!B80</f>
        <v>100</v>
      </c>
      <c r="M80" s="3">
        <f>Calc!C80</f>
        <v>100</v>
      </c>
      <c r="N80" s="3">
        <f>Verification!F80</f>
        <v>100</v>
      </c>
      <c r="O80" s="3">
        <f>Calc!E80</f>
        <v>33</v>
      </c>
      <c r="P80" s="3">
        <f>Calc!F80</f>
        <v>33</v>
      </c>
      <c r="Q80" s="3">
        <f>Calc!G80</f>
        <v>100</v>
      </c>
      <c r="R80" s="3">
        <f>Calc!H80</f>
        <v>100</v>
      </c>
      <c r="S80" s="3">
        <f>AVERAGE(L80:R80)</f>
        <v>80.8571428571429</v>
      </c>
      <c r="T80" s="2">
        <f>RANK(S80,$S$2:$S$113,0)+(COUNTIF($S$2:$S$113,S80)-1)/2</f>
        <v>37</v>
      </c>
      <c r="U80" s="2">
        <f>Coverage!I80</f>
        <v>7</v>
      </c>
      <c r="V80" s="4">
        <f>Coverage!J80</f>
        <v>1</v>
      </c>
      <c r="W80" s="3">
        <f>IFERROR(SUMPRODUCT(L80:R80,Coverage!B80:H80)/U80,0)</f>
        <v>80.8571428571429</v>
      </c>
      <c r="X80" s="2" t="inlineStr">
        <is>
          <t>No independent verification recorded</t>
        </is>
      </c>
    </row>
    <row r="81">
      <c r="A81" s="2" t="inlineStr">
        <is>
          <t>Open Journal Systems (OJS)</t>
        </is>
      </c>
      <c r="B81" s="2" t="inlineStr">
        <is>
          <t>Public Knowledge Project (PKP)</t>
        </is>
      </c>
      <c r="C81" s="2" t="inlineStr">
        <is>
          <t>Publishing system</t>
        </is>
      </c>
      <c r="D81" s="2" t="inlineStr">
        <is>
          <t>Implemented/available</t>
        </is>
      </c>
      <c r="E81" s="2" t="inlineStr">
        <is>
          <t>Implemented/available</t>
        </is>
      </c>
      <c r="F81" s="2" t="inlineStr">
        <is>
          <t>Multi-board governance</t>
        </is>
      </c>
      <c r="G81" s="2" t="n"/>
      <c r="H81" s="2" t="inlineStr">
        <is>
          <t>Formal</t>
        </is>
      </c>
      <c r="I81" s="2" t="inlineStr">
        <is>
          <t>Implemented/available</t>
        </is>
      </c>
      <c r="J81" s="2" t="inlineStr">
        <is>
          <t>In progress</t>
        </is>
      </c>
      <c r="K81" s="2" t="inlineStr">
        <is>
          <t>Implemented/available</t>
        </is>
      </c>
      <c r="L81" s="3">
        <f>Calc!B81</f>
        <v>100</v>
      </c>
      <c r="M81" s="3">
        <f>Calc!C81</f>
        <v>100</v>
      </c>
      <c r="N81" s="3">
        <f>Verification!F81</f>
        <v>100</v>
      </c>
      <c r="O81" s="3">
        <f>Calc!E81</f>
        <v>100</v>
      </c>
      <c r="P81" s="3">
        <f>Calc!F81</f>
        <v>67</v>
      </c>
      <c r="Q81" s="3">
        <f>Calc!G81</f>
        <v>100</v>
      </c>
      <c r="R81" s="3">
        <f>Calc!H81</f>
        <v>100</v>
      </c>
      <c r="S81" s="3">
        <f>AVERAGE(L81:R81)</f>
        <v>95.2857142857143</v>
      </c>
      <c r="T81" s="2">
        <f>RANK(S81,$S$2:$S$113,0)+(COUNTIF($S$2:$S$113,S81)-1)/2</f>
        <v>12.5</v>
      </c>
      <c r="U81" s="2">
        <f>Coverage!I81</f>
        <v>7</v>
      </c>
      <c r="V81" s="4">
        <f>Coverage!J81</f>
        <v>1</v>
      </c>
      <c r="W81" s="3">
        <f>IFERROR(SUMPRODUCT(L81:R81,Coverage!B81:H81)/U81,0)</f>
        <v>95.2857142857143</v>
      </c>
      <c r="X81" s="2" t="inlineStr">
        <is>
          <t>No independent verification recorded</t>
        </is>
      </c>
    </row>
    <row r="82">
      <c r="A82" s="2" t="inlineStr">
        <is>
          <t>Open Monograph Press (OMP)</t>
        </is>
      </c>
      <c r="B82" s="2" t="inlineStr">
        <is>
          <t>Public Knowledge Project (PKP)</t>
        </is>
      </c>
      <c r="C82" s="2" t="inlineStr">
        <is>
          <t>Publishing system</t>
        </is>
      </c>
      <c r="D82" s="2" t="inlineStr">
        <is>
          <t>Implemented/available</t>
        </is>
      </c>
      <c r="E82" s="2" t="inlineStr">
        <is>
          <t>Implemented/available</t>
        </is>
      </c>
      <c r="F82" s="2" t="inlineStr">
        <is>
          <t>Multi-board governance</t>
        </is>
      </c>
      <c r="G82" s="2" t="n"/>
      <c r="H82" s="2" t="inlineStr">
        <is>
          <t>Formal</t>
        </is>
      </c>
      <c r="I82" s="2" t="inlineStr">
        <is>
          <t>Implemented/available</t>
        </is>
      </c>
      <c r="J82" s="2" t="inlineStr">
        <is>
          <t>In progress</t>
        </is>
      </c>
      <c r="K82" s="2" t="inlineStr">
        <is>
          <t>Implemented/available</t>
        </is>
      </c>
      <c r="L82" s="3">
        <f>Calc!B82</f>
        <v>100</v>
      </c>
      <c r="M82" s="3">
        <f>Calc!C82</f>
        <v>100</v>
      </c>
      <c r="N82" s="3">
        <f>Verification!F82</f>
        <v>100</v>
      </c>
      <c r="O82" s="3">
        <f>Calc!E82</f>
        <v>100</v>
      </c>
      <c r="P82" s="3">
        <f>Calc!F82</f>
        <v>67</v>
      </c>
      <c r="Q82" s="3">
        <f>Calc!G82</f>
        <v>100</v>
      </c>
      <c r="R82" s="3">
        <f>Calc!H82</f>
        <v>100</v>
      </c>
      <c r="S82" s="3">
        <f>AVERAGE(L82:R82)</f>
        <v>95.2857142857143</v>
      </c>
      <c r="T82" s="2">
        <f>RANK(S82,$S$2:$S$113,0)+(COUNTIF($S$2:$S$113,S82)-1)/2</f>
        <v>12.5</v>
      </c>
      <c r="U82" s="2">
        <f>Coverage!I82</f>
        <v>7</v>
      </c>
      <c r="V82" s="4">
        <f>Coverage!J82</f>
        <v>1</v>
      </c>
      <c r="W82" s="3">
        <f>IFERROR(SUMPRODUCT(L82:R82,Coverage!B82:H82)/U82,0)</f>
        <v>95.2857142857143</v>
      </c>
      <c r="X82" s="2" t="inlineStr">
        <is>
          <t>No independent verification recorded</t>
        </is>
      </c>
    </row>
    <row r="83">
      <c r="A83" s="2" t="inlineStr">
        <is>
          <t>Open Preprint Systems (OPS)</t>
        </is>
      </c>
      <c r="B83" s="2" t="inlineStr">
        <is>
          <t>Public Knowledge Project (PKP)</t>
        </is>
      </c>
      <c r="C83" s="2" t="inlineStr">
        <is>
          <t>Publishing system</t>
        </is>
      </c>
      <c r="D83" s="2" t="inlineStr">
        <is>
          <t>Implemented/available</t>
        </is>
      </c>
      <c r="E83" s="2" t="inlineStr">
        <is>
          <t>Implemented/available</t>
        </is>
      </c>
      <c r="F83" s="2" t="inlineStr">
        <is>
          <t>Multi-board governance</t>
        </is>
      </c>
      <c r="G83" s="2" t="n"/>
      <c r="H83" s="2" t="inlineStr">
        <is>
          <t>Formal</t>
        </is>
      </c>
      <c r="I83" s="2" t="inlineStr">
        <is>
          <t>Implemented/available</t>
        </is>
      </c>
      <c r="J83" s="2" t="inlineStr">
        <is>
          <t>In progress</t>
        </is>
      </c>
      <c r="K83" s="2" t="inlineStr">
        <is>
          <t>Implemented/available</t>
        </is>
      </c>
      <c r="L83" s="3">
        <f>Calc!B83</f>
        <v>100</v>
      </c>
      <c r="M83" s="3">
        <f>Calc!C83</f>
        <v>100</v>
      </c>
      <c r="N83" s="3">
        <f>Verification!F83</f>
        <v>100</v>
      </c>
      <c r="O83" s="3">
        <f>Calc!E83</f>
        <v>100</v>
      </c>
      <c r="P83" s="3">
        <f>Calc!F83</f>
        <v>67</v>
      </c>
      <c r="Q83" s="3">
        <f>Calc!G83</f>
        <v>100</v>
      </c>
      <c r="R83" s="3">
        <f>Calc!H83</f>
        <v>100</v>
      </c>
      <c r="S83" s="3">
        <f>AVERAGE(L83:R83)</f>
        <v>95.2857142857143</v>
      </c>
      <c r="T83" s="2">
        <f>RANK(S83,$S$2:$S$113,0)+(COUNTIF($S$2:$S$113,S83)-1)/2</f>
        <v>12.5</v>
      </c>
      <c r="U83" s="2">
        <f>Coverage!I83</f>
        <v>7</v>
      </c>
      <c r="V83" s="4">
        <f>Coverage!J83</f>
        <v>1</v>
      </c>
      <c r="W83" s="3">
        <f>IFERROR(SUMPRODUCT(L83:R83,Coverage!B83:H83)/U83,0)</f>
        <v>95.2857142857143</v>
      </c>
      <c r="X83" s="2" t="inlineStr">
        <is>
          <t>No independent verification recorded</t>
        </is>
      </c>
    </row>
    <row r="84">
      <c r="A84" s="2" t="inlineStr">
        <is>
          <t>Openverse</t>
        </is>
      </c>
      <c r="B84" s="2" t="inlineStr">
        <is>
          <t>WordPress Foundation</t>
        </is>
      </c>
      <c r="C84" s="2" t="inlineStr">
        <is>
          <t>Discovery system</t>
        </is>
      </c>
      <c r="D84" s="2" t="inlineStr">
        <is>
          <t>In progress</t>
        </is>
      </c>
      <c r="E84" s="2" t="inlineStr">
        <is>
          <t>Considering</t>
        </is>
      </c>
      <c r="F84" s="2" t="inlineStr">
        <is>
          <t>None</t>
        </is>
      </c>
      <c r="G84" s="2" t="n"/>
      <c r="H84" s="2" t="inlineStr">
        <is>
          <t>Ad hoc</t>
        </is>
      </c>
      <c r="I84" s="2" t="inlineStr">
        <is>
          <t>Implemented/available</t>
        </is>
      </c>
      <c r="J84" s="2" t="inlineStr">
        <is>
          <t>Implemented/available</t>
        </is>
      </c>
      <c r="K84" s="2" t="inlineStr">
        <is>
          <t>Implemented/available</t>
        </is>
      </c>
      <c r="L84" s="3">
        <f>Calc!B84</f>
        <v>67</v>
      </c>
      <c r="M84" s="3">
        <f>Calc!C84</f>
        <v>33</v>
      </c>
      <c r="N84" s="3">
        <f>Verification!F84</f>
        <v>0</v>
      </c>
      <c r="O84" s="3">
        <f>Calc!E84</f>
        <v>100</v>
      </c>
      <c r="P84" s="3">
        <f>Calc!F84</f>
        <v>100</v>
      </c>
      <c r="Q84" s="3">
        <f>Calc!G84</f>
        <v>100</v>
      </c>
      <c r="R84" s="3">
        <f>Calc!H84</f>
        <v>50</v>
      </c>
      <c r="S84" s="3">
        <f>AVERAGE(L84:R84)</f>
        <v>64.2857142857143</v>
      </c>
      <c r="T84" s="2">
        <f>RANK(S84,$S$2:$S$113,0)+(COUNTIF($S$2:$S$113,S84)-1)/2</f>
        <v>61</v>
      </c>
      <c r="U84" s="2">
        <f>Coverage!I84</f>
        <v>7</v>
      </c>
      <c r="V84" s="4">
        <f>Coverage!J84</f>
        <v>1</v>
      </c>
      <c r="W84" s="3">
        <f>IFERROR(SUMPRODUCT(L84:R84,Coverage!B84:H84)/U84,0)</f>
        <v>64.2857142857143</v>
      </c>
      <c r="X84" s="2" t="inlineStr">
        <is>
          <t>No independent verification recorded</t>
        </is>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t="inlineStr">
        <is>
          <t>Implemented/available</t>
        </is>
      </c>
      <c r="E85" s="2" t="inlineStr">
        <is>
          <t>Unknown</t>
        </is>
      </c>
      <c r="F85" s="2" t="inlineStr">
        <is>
          <t>Other</t>
        </is>
      </c>
      <c r="G85" s="2" t="n"/>
      <c r="H85" s="2" t="inlineStr">
        <is>
          <t>None</t>
        </is>
      </c>
      <c r="I85" s="2" t="inlineStr">
        <is>
          <t>Considering</t>
        </is>
      </c>
      <c r="J85" s="2" t="inlineStr">
        <is>
          <t>Considering</t>
        </is>
      </c>
      <c r="K85" s="2" t="inlineStr">
        <is>
          <t>Considering</t>
        </is>
      </c>
      <c r="L85" s="3">
        <f>Calc!B85</f>
        <v>100</v>
      </c>
      <c r="M85" s="3">
        <f>Calc!C85</f>
        <v>0</v>
      </c>
      <c r="N85" s="3">
        <f>Verification!F85</f>
        <v>0</v>
      </c>
      <c r="O85" s="3">
        <f>Calc!E85</f>
        <v>33</v>
      </c>
      <c r="P85" s="3">
        <f>Calc!F85</f>
        <v>33</v>
      </c>
      <c r="Q85" s="3">
        <f>Calc!G85</f>
        <v>33</v>
      </c>
      <c r="R85" s="3">
        <f>Calc!H85</f>
        <v>0</v>
      </c>
      <c r="S85" s="3">
        <f>AVERAGE(L85:R85)</f>
        <v>28.4285714285714</v>
      </c>
      <c r="T85" s="2">
        <f>RANK(S85,$S$2:$S$113,0)+(COUNTIF($S$2:$S$113,S85)-1)/2</f>
        <v>101</v>
      </c>
      <c r="U85" s="2">
        <f>Coverage!I85</f>
        <v>6</v>
      </c>
      <c r="V85" s="4">
        <f>Coverage!J85</f>
        <v>0.857142857142857</v>
      </c>
      <c r="W85" s="3">
        <f>IFERROR(SUMPRODUCT(L85:R85,Coverage!B85:H85)/U85,0)</f>
        <v>33.1666666666667</v>
      </c>
      <c r="X85" s="2" t="inlineStr">
        <is>
          <t>Review 050 Other response; override available; 108_bylaws_status unavailable/unknown scored 0; No independent verification recorded</t>
        </is>
      </c>
    </row>
    <row r="86">
      <c r="A86" s="2" t="inlineStr">
        <is>
          <t>OSF (Open Science Framework)</t>
        </is>
      </c>
      <c r="B86" s="2" t="inlineStr">
        <is>
          <t>Center for Open Science, Inc.</t>
        </is>
      </c>
      <c r="C86" s="2" t="inlineStr">
        <is>
          <t>Repository service | Repository software</t>
        </is>
      </c>
      <c r="D86" s="2" t="inlineStr">
        <is>
          <t>Implemented/available</t>
        </is>
      </c>
      <c r="E86" s="2" t="inlineStr">
        <is>
          <t>Implemented/available</t>
        </is>
      </c>
      <c r="F86" s="2" t="inlineStr">
        <is>
          <t>Advisory board or steering committee</t>
        </is>
      </c>
      <c r="G86" s="2" t="n"/>
      <c r="H86" s="2" t="inlineStr">
        <is>
          <t>Formal</t>
        </is>
      </c>
      <c r="I86" s="2" t="inlineStr">
        <is>
          <t>Implemented/available</t>
        </is>
      </c>
      <c r="J86" s="2" t="inlineStr">
        <is>
          <t>Implemented/available</t>
        </is>
      </c>
      <c r="K86" s="2" t="inlineStr">
        <is>
          <t>Implemented/available</t>
        </is>
      </c>
      <c r="L86" s="3">
        <f>Calc!B86</f>
        <v>100</v>
      </c>
      <c r="M86" s="3">
        <f>Calc!C86</f>
        <v>100</v>
      </c>
      <c r="N86" s="3">
        <f>Verification!F86</f>
        <v>100</v>
      </c>
      <c r="O86" s="3">
        <f>Calc!E86</f>
        <v>100</v>
      </c>
      <c r="P86" s="3">
        <f>Calc!F86</f>
        <v>100</v>
      </c>
      <c r="Q86" s="3">
        <f>Calc!G86</f>
        <v>100</v>
      </c>
      <c r="R86" s="3">
        <f>Calc!H86</f>
        <v>100</v>
      </c>
      <c r="S86" s="3">
        <f>AVERAGE(L86:R86)</f>
        <v>100</v>
      </c>
      <c r="T86" s="2">
        <f>RANK(S86,$S$2:$S$113,0)+(COUNTIF($S$2:$S$113,S86)-1)/2</f>
        <v>4</v>
      </c>
      <c r="U86" s="2">
        <f>Coverage!I86</f>
        <v>7</v>
      </c>
      <c r="V86" s="4">
        <f>Coverage!J86</f>
        <v>1</v>
      </c>
      <c r="W86" s="3">
        <f>IFERROR(SUMPRODUCT(L86:R86,Coverage!B86:H86)/U86,0)</f>
        <v>100</v>
      </c>
      <c r="X86" s="2" t="inlineStr">
        <is>
          <t>No independent verification recorded</t>
        </is>
      </c>
    </row>
    <row r="87">
      <c r="A87" s="2" t="inlineStr">
        <is>
          <t>Oxford Common File Layout</t>
        </is>
      </c>
      <c r="B87" s="2" t="inlineStr">
        <is>
          <t>Oxford Common File Layout (OCFL)</t>
        </is>
      </c>
      <c r="C87" s="2" t="inlineStr">
        <is>
          <t>Standard, specification or protocol</t>
        </is>
      </c>
      <c r="D87" s="2" t="inlineStr">
        <is>
          <t>Considering</t>
        </is>
      </c>
      <c r="E87" s="2" t="inlineStr">
        <is>
          <t>Unknown</t>
        </is>
      </c>
      <c r="F87" s="2" t="inlineStr">
        <is>
          <t>Advisory board or steering committee</t>
        </is>
      </c>
      <c r="G87" s="2" t="n"/>
      <c r="H87" s="2" t="inlineStr">
        <is>
          <t>None</t>
        </is>
      </c>
      <c r="I87" s="2" t="inlineStr">
        <is>
          <t>Unknown</t>
        </is>
      </c>
      <c r="J87" s="2" t="inlineStr">
        <is>
          <t>Considering</t>
        </is>
      </c>
      <c r="K87" s="2" t="inlineStr">
        <is>
          <t>Not applicable</t>
        </is>
      </c>
      <c r="L87" s="3">
        <f>Calc!B87</f>
        <v>33</v>
      </c>
      <c r="M87" s="3">
        <f>Calc!C87</f>
        <v>0</v>
      </c>
      <c r="N87" s="3">
        <f>Verification!F87</f>
        <v>100</v>
      </c>
      <c r="O87" s="3">
        <f>Calc!E87</f>
        <v>0</v>
      </c>
      <c r="P87" s="3">
        <f>Calc!F87</f>
        <v>33</v>
      </c>
      <c r="Q87" s="3">
        <f>Calc!G87</f>
        <v>0</v>
      </c>
      <c r="R87" s="3">
        <f>Calc!H87</f>
        <v>0</v>
      </c>
      <c r="S87" s="3">
        <f>AVERAGE(L87:R87)</f>
        <v>23.7142857142857</v>
      </c>
      <c r="T87" s="2">
        <f>RANK(S87,$S$2:$S$113,0)+(COUNTIF($S$2:$S$113,S87)-1)/2</f>
        <v>103</v>
      </c>
      <c r="U87" s="2">
        <f>Coverage!I87</f>
        <v>4</v>
      </c>
      <c r="V87" s="4">
        <f>Coverage!J87</f>
        <v>0.571428571428571</v>
      </c>
      <c r="W87" s="3">
        <f>IFERROR(SUMPRODUCT(L87:R87,Coverage!B87:H87)/U87,0)</f>
        <v>41.5</v>
      </c>
      <c r="X87" s="2" t="inlineStr">
        <is>
          <t>108_bylaws_status unavailable/unknown scored 0; 029_web_accessibility_status unavailable/unknown scored 0; 044_commitment_to_privacy_status unavailable/unknown scored 0; No independent verification recorded</t>
        </is>
      </c>
    </row>
    <row r="88">
      <c r="A88" s="2" t="inlineStr">
        <is>
          <t>Peer Community In</t>
        </is>
      </c>
      <c r="B88" s="2" t="inlineStr">
        <is>
          <t>PCI, Peer Community In</t>
        </is>
      </c>
      <c r="C88" s="2" t="inlineStr">
        <is>
          <t>Peer review system</t>
        </is>
      </c>
      <c r="D88" s="2" t="inlineStr">
        <is>
          <t>Implemented/available</t>
        </is>
      </c>
      <c r="E88" s="2" t="inlineStr">
        <is>
          <t>Unknown</t>
        </is>
      </c>
      <c r="F88" s="2" t="inlineStr">
        <is>
          <t>Advisory board or steering committee</t>
        </is>
      </c>
      <c r="G88" s="2" t="n"/>
      <c r="H88" s="2" t="inlineStr">
        <is>
          <t>Formal</t>
        </is>
      </c>
      <c r="I88" s="2" t="inlineStr">
        <is>
          <t>Not planning</t>
        </is>
      </c>
      <c r="J88" s="2" t="inlineStr">
        <is>
          <t>Implemented/available</t>
        </is>
      </c>
      <c r="K88" s="2" t="inlineStr">
        <is>
          <t>Not applicable</t>
        </is>
      </c>
      <c r="L88" s="3">
        <f>Calc!B88</f>
        <v>100</v>
      </c>
      <c r="M88" s="3">
        <f>Calc!C88</f>
        <v>0</v>
      </c>
      <c r="N88" s="3">
        <f>Verification!F88</f>
        <v>100</v>
      </c>
      <c r="O88" s="3">
        <f>Calc!E88</f>
        <v>0</v>
      </c>
      <c r="P88" s="3">
        <f>Calc!F88</f>
        <v>100</v>
      </c>
      <c r="Q88" s="3">
        <f>Calc!G88</f>
        <v>0</v>
      </c>
      <c r="R88" s="3">
        <f>Calc!H88</f>
        <v>100</v>
      </c>
      <c r="S88" s="3">
        <f>AVERAGE(L88:R88)</f>
        <v>57.1428571428571</v>
      </c>
      <c r="T88" s="2">
        <f>RANK(S88,$S$2:$S$113,0)+(COUNTIF($S$2:$S$113,S88)-1)/2</f>
        <v>71</v>
      </c>
      <c r="U88" s="2">
        <f>Coverage!I88</f>
        <v>5</v>
      </c>
      <c r="V88" s="4">
        <f>Coverage!J88</f>
        <v>0.714285714285714</v>
      </c>
      <c r="W88" s="3">
        <f>IFERROR(SUMPRODUCT(L88:R88,Coverage!B88:H88)/U88,0)</f>
        <v>80</v>
      </c>
      <c r="X88" s="2" t="inlineStr">
        <is>
          <t>108_bylaws_status unavailable/unknown scored 0; 044_commitment_to_privacy_status unavailable/unknown scored 0; No independent verification recorded</t>
        </is>
      </c>
    </row>
    <row r="89">
      <c r="A89" s="2" t="inlineStr">
        <is>
          <t>PKP Preservation Network</t>
        </is>
      </c>
      <c r="B89" s="2" t="inlineStr">
        <is>
          <t>Public Knowledge Project (PKP)</t>
        </is>
      </c>
      <c r="C89" s="2" t="inlineStr">
        <is>
          <t>Digital preservation service</t>
        </is>
      </c>
      <c r="D89" s="2" t="inlineStr">
        <is>
          <t>Implemented/available</t>
        </is>
      </c>
      <c r="E89" s="2" t="inlineStr">
        <is>
          <t>Implemented/available</t>
        </is>
      </c>
      <c r="F89" s="2" t="inlineStr">
        <is>
          <t>Multi-board governance</t>
        </is>
      </c>
      <c r="G89" s="2" t="n"/>
      <c r="H89" s="2" t="inlineStr">
        <is>
          <t>Formal</t>
        </is>
      </c>
      <c r="I89" s="2" t="inlineStr">
        <is>
          <t>Implemented/available</t>
        </is>
      </c>
      <c r="J89" s="2" t="inlineStr">
        <is>
          <t>In progress</t>
        </is>
      </c>
      <c r="K89" s="2" t="inlineStr">
        <is>
          <t>Implemented/available</t>
        </is>
      </c>
      <c r="L89" s="3">
        <f>Calc!B89</f>
        <v>100</v>
      </c>
      <c r="M89" s="3">
        <f>Calc!C89</f>
        <v>100</v>
      </c>
      <c r="N89" s="3">
        <f>Verification!F89</f>
        <v>100</v>
      </c>
      <c r="O89" s="3">
        <f>Calc!E89</f>
        <v>100</v>
      </c>
      <c r="P89" s="3">
        <f>Calc!F89</f>
        <v>67</v>
      </c>
      <c r="Q89" s="3">
        <f>Calc!G89</f>
        <v>100</v>
      </c>
      <c r="R89" s="3">
        <f>Calc!H89</f>
        <v>100</v>
      </c>
      <c r="S89" s="3">
        <f>AVERAGE(L89:R89)</f>
        <v>95.2857142857143</v>
      </c>
      <c r="T89" s="2">
        <f>RANK(S89,$S$2:$S$113,0)+(COUNTIF($S$2:$S$113,S89)-1)/2</f>
        <v>12.5</v>
      </c>
      <c r="U89" s="2">
        <f>Coverage!I89</f>
        <v>7</v>
      </c>
      <c r="V89" s="4">
        <f>Coverage!J89</f>
        <v>1</v>
      </c>
      <c r="W89" s="3">
        <f>IFERROR(SUMPRODUCT(L89:R89,Coverage!B89:H89)/U89,0)</f>
        <v>95.2857142857143</v>
      </c>
      <c r="X89" s="2" t="inlineStr">
        <is>
          <t>No independent verification recorded</t>
        </is>
      </c>
    </row>
    <row r="90">
      <c r="A90" s="2" t="inlineStr">
        <is>
          <t>PREreview</t>
        </is>
      </c>
      <c r="B90" s="2" t="inlineStr">
        <is>
          <t>Code for Science and Society</t>
        </is>
      </c>
      <c r="C90" s="2" t="inlineStr">
        <is>
          <t>Discovery system | Peer review system</t>
        </is>
      </c>
      <c r="D90" s="2" t="inlineStr">
        <is>
          <t>Implemented/available</t>
        </is>
      </c>
      <c r="E90" s="2" t="inlineStr">
        <is>
          <t>Unknown</t>
        </is>
      </c>
      <c r="F90" s="2" t="inlineStr">
        <is>
          <t>Advisory board or steering committee</t>
        </is>
      </c>
      <c r="G90" s="2" t="n"/>
      <c r="H90" s="2" t="inlineStr">
        <is>
          <t>Ad hoc</t>
        </is>
      </c>
      <c r="I90" s="2" t="inlineStr">
        <is>
          <t>In progress</t>
        </is>
      </c>
      <c r="J90" s="2" t="inlineStr">
        <is>
          <t>Implemented/available</t>
        </is>
      </c>
      <c r="K90" s="2" t="inlineStr">
        <is>
          <t>Implemented/available</t>
        </is>
      </c>
      <c r="L90" s="3">
        <f>Calc!B90</f>
        <v>100</v>
      </c>
      <c r="M90" s="3">
        <f>Calc!C90</f>
        <v>0</v>
      </c>
      <c r="N90" s="3">
        <f>Verification!F90</f>
        <v>100</v>
      </c>
      <c r="O90" s="3">
        <f>Calc!E90</f>
        <v>67</v>
      </c>
      <c r="P90" s="3">
        <f>Calc!F90</f>
        <v>100</v>
      </c>
      <c r="Q90" s="3">
        <f>Calc!G90</f>
        <v>100</v>
      </c>
      <c r="R90" s="3">
        <f>Calc!H90</f>
        <v>50</v>
      </c>
      <c r="S90" s="3">
        <f>AVERAGE(L90:R90)</f>
        <v>73.8571428571429</v>
      </c>
      <c r="T90" s="2">
        <f>RANK(S90,$S$2:$S$113,0)+(COUNTIF($S$2:$S$113,S90)-1)/2</f>
        <v>46.5</v>
      </c>
      <c r="U90" s="2">
        <f>Coverage!I90</f>
        <v>6</v>
      </c>
      <c r="V90" s="4">
        <f>Coverage!J90</f>
        <v>0.857142857142857</v>
      </c>
      <c r="W90" s="3">
        <f>IFERROR(SUMPRODUCT(L90:R90,Coverage!B90:H90)/U90,0)</f>
        <v>86.1666666666667</v>
      </c>
      <c r="X90" s="2" t="inlineStr">
        <is>
          <t>108_bylaws_status unavailable/unknown scored 0; No independent verification recorded</t>
        </is>
      </c>
    </row>
    <row r="91">
      <c r="A91" s="2" t="inlineStr">
        <is>
          <t>Pressbooks</t>
        </is>
      </c>
      <c r="B91" s="2" t="inlineStr">
        <is>
          <t>Book Oven, Inc.</t>
        </is>
      </c>
      <c r="C91" s="2" t="inlineStr">
        <is>
          <t>Publishing system</t>
        </is>
      </c>
      <c r="D91" s="2" t="inlineStr">
        <is>
          <t>Considering</t>
        </is>
      </c>
      <c r="E91" s="2" t="inlineStr">
        <is>
          <t>Unknown</t>
        </is>
      </c>
      <c r="F91" s="2" t="inlineStr">
        <is>
          <t>None</t>
        </is>
      </c>
      <c r="G91" s="2" t="n"/>
      <c r="H91" s="2" t="inlineStr">
        <is>
          <t>None</t>
        </is>
      </c>
      <c r="I91" s="2" t="inlineStr">
        <is>
          <t>Implemented/available</t>
        </is>
      </c>
      <c r="J91" s="2" t="inlineStr">
        <is>
          <t>In progress</t>
        </is>
      </c>
      <c r="K91" s="2" t="inlineStr">
        <is>
          <t>Implemented/available</t>
        </is>
      </c>
      <c r="L91" s="3">
        <f>Calc!B91</f>
        <v>33</v>
      </c>
      <c r="M91" s="3">
        <f>Calc!C91</f>
        <v>0</v>
      </c>
      <c r="N91" s="3">
        <f>Verification!F91</f>
        <v>0</v>
      </c>
      <c r="O91" s="3">
        <f>Calc!E91</f>
        <v>100</v>
      </c>
      <c r="P91" s="3">
        <f>Calc!F91</f>
        <v>67</v>
      </c>
      <c r="Q91" s="3">
        <f>Calc!G91</f>
        <v>100</v>
      </c>
      <c r="R91" s="3">
        <f>Calc!H91</f>
        <v>0</v>
      </c>
      <c r="S91" s="3">
        <f>AVERAGE(L91:R91)</f>
        <v>42.8571428571429</v>
      </c>
      <c r="T91" s="2">
        <f>RANK(S91,$S$2:$S$113,0)+(COUNTIF($S$2:$S$113,S91)-1)/2</f>
        <v>86.5</v>
      </c>
      <c r="U91" s="2">
        <f>Coverage!I91</f>
        <v>6</v>
      </c>
      <c r="V91" s="4">
        <f>Coverage!J91</f>
        <v>0.857142857142857</v>
      </c>
      <c r="W91" s="3">
        <f>IFERROR(SUMPRODUCT(L91:R91,Coverage!B91:H91)/U91,0)</f>
        <v>50</v>
      </c>
      <c r="X91" s="2" t="inlineStr">
        <is>
          <t>108_bylaws_status unavailable/unknown scored 0; No independent verification recorded</t>
        </is>
      </c>
    </row>
    <row r="92">
      <c r="A92" s="2" t="inlineStr">
        <is>
          <t>Public Access Submission System</t>
        </is>
      </c>
      <c r="B92" s="2" t="inlineStr">
        <is>
          <t>Eclipse Foundation</t>
        </is>
      </c>
      <c r="C92" s="2" t="inlineStr">
        <is>
          <t>Submissions system</t>
        </is>
      </c>
      <c r="D92" s="2" t="inlineStr">
        <is>
          <t>Implemented/available</t>
        </is>
      </c>
      <c r="E92" s="2" t="inlineStr">
        <is>
          <t>Implemented/available</t>
        </is>
      </c>
      <c r="F92" s="2" t="inlineStr">
        <is>
          <t>Other</t>
        </is>
      </c>
      <c r="G92" s="2" t="n"/>
      <c r="H92" s="2" t="inlineStr">
        <is>
          <t>Formal</t>
        </is>
      </c>
      <c r="I92" s="2" t="inlineStr">
        <is>
          <t>Considering</t>
        </is>
      </c>
      <c r="J92" s="2" t="inlineStr">
        <is>
          <t>Implemented/available</t>
        </is>
      </c>
      <c r="K92" s="2" t="inlineStr">
        <is>
          <t>Implemented/available</t>
        </is>
      </c>
      <c r="L92" s="3">
        <f>Calc!B92</f>
        <v>100</v>
      </c>
      <c r="M92" s="3">
        <f>Calc!C92</f>
        <v>100</v>
      </c>
      <c r="N92" s="3">
        <f>Verification!F92</f>
        <v>0</v>
      </c>
      <c r="O92" s="3">
        <f>Calc!E92</f>
        <v>33</v>
      </c>
      <c r="P92" s="3">
        <f>Calc!F92</f>
        <v>100</v>
      </c>
      <c r="Q92" s="3">
        <f>Calc!G92</f>
        <v>100</v>
      </c>
      <c r="R92" s="3">
        <f>Calc!H92</f>
        <v>100</v>
      </c>
      <c r="S92" s="3">
        <f>AVERAGE(L92:R92)</f>
        <v>76.1428571428571</v>
      </c>
      <c r="T92" s="2">
        <f>RANK(S92,$S$2:$S$113,0)+(COUNTIF($S$2:$S$113,S92)-1)/2</f>
        <v>44</v>
      </c>
      <c r="U92" s="2">
        <f>Coverage!I92</f>
        <v>7</v>
      </c>
      <c r="V92" s="4">
        <f>Coverage!J92</f>
        <v>1</v>
      </c>
      <c r="W92" s="3">
        <f>IFERROR(SUMPRODUCT(L92:R92,Coverage!B92:H92)/U92,0)</f>
        <v>76.1428571428571</v>
      </c>
      <c r="X92" s="2" t="inlineStr">
        <is>
          <t>Review 050 Other response; override available; No independent verification recorded</t>
        </is>
      </c>
    </row>
    <row r="93">
      <c r="A93" s="2" t="inlineStr">
        <is>
          <t>Public Utility Data Liberation (PUDL)</t>
        </is>
      </c>
      <c r="B93" s="2" t="inlineStr">
        <is>
          <t>Catalyst Cooperative</t>
        </is>
      </c>
      <c r="C93" s="2" t="inlineStr">
        <is>
          <t>Open scholarly dataset | Web archiving system</t>
        </is>
      </c>
      <c r="D93" s="2" t="inlineStr">
        <is>
          <t>In progress</t>
        </is>
      </c>
      <c r="E93" s="2" t="inlineStr">
        <is>
          <t>Implemented/available</t>
        </is>
      </c>
      <c r="F93" s="2" t="inlineStr">
        <is>
          <t>Other</t>
        </is>
      </c>
      <c r="G93" s="2" t="inlineStr">
        <is>
          <t>Board of directors</t>
        </is>
      </c>
      <c r="H93" s="2" t="inlineStr">
        <is>
          <t>Ad hoc</t>
        </is>
      </c>
      <c r="I93" s="2" t="inlineStr">
        <is>
          <t>Not planning</t>
        </is>
      </c>
      <c r="J93" s="2" t="inlineStr">
        <is>
          <t>Not planning</t>
        </is>
      </c>
      <c r="K93" s="2" t="inlineStr">
        <is>
          <t>In progress</t>
        </is>
      </c>
      <c r="L93" s="3">
        <f>Calc!B93</f>
        <v>67</v>
      </c>
      <c r="M93" s="3">
        <f>Calc!C93</f>
        <v>100</v>
      </c>
      <c r="N93" s="3">
        <f>Verification!F93</f>
        <v>100</v>
      </c>
      <c r="O93" s="3">
        <f>Calc!E93</f>
        <v>0</v>
      </c>
      <c r="P93" s="3">
        <f>Calc!F93</f>
        <v>0</v>
      </c>
      <c r="Q93" s="3">
        <f>Calc!G93</f>
        <v>67</v>
      </c>
      <c r="R93" s="3">
        <f>Calc!H93</f>
        <v>50</v>
      </c>
      <c r="S93" s="3">
        <f>AVERAGE(L93:R93)</f>
        <v>54.8571428571429</v>
      </c>
      <c r="T93" s="2">
        <f>RANK(S93,$S$2:$S$113,0)+(COUNTIF($S$2:$S$113,S93)-1)/2</f>
        <v>74.5</v>
      </c>
      <c r="U93" s="2">
        <f>Coverage!I93</f>
        <v>7</v>
      </c>
      <c r="V93" s="4">
        <f>Coverage!J93</f>
        <v>1</v>
      </c>
      <c r="W93" s="3">
        <f>IFERROR(SUMPRODUCT(L93:R93,Coverage!B93:H93)/U93,0)</f>
        <v>54.8571428571429</v>
      </c>
      <c r="X93" s="2" t="inlineStr">
        <is>
          <t>Review 050 Other response; override available; No independent verification recorded</t>
        </is>
      </c>
    </row>
    <row r="94">
      <c r="A94" s="2" t="inlineStr">
        <is>
          <t>PubPub</t>
        </is>
      </c>
      <c r="B94" s="2" t="inlineStr">
        <is>
          <t>Knowledge Futures</t>
        </is>
      </c>
      <c r="C94" s="2" t="inlineStr">
        <is>
          <t>Publishing system</t>
        </is>
      </c>
      <c r="D94" s="2" t="inlineStr">
        <is>
          <t>Implemented/available</t>
        </is>
      </c>
      <c r="E94" s="2" t="inlineStr">
        <is>
          <t>Unknown</t>
        </is>
      </c>
      <c r="F94" s="2" t="inlineStr">
        <is>
          <t>Advisory board or steering committee</t>
        </is>
      </c>
      <c r="G94" s="2" t="n"/>
      <c r="H94" s="2" t="inlineStr">
        <is>
          <t>Ad hoc</t>
        </is>
      </c>
      <c r="I94" s="2" t="inlineStr">
        <is>
          <t>Implemented/available</t>
        </is>
      </c>
      <c r="J94" s="2" t="inlineStr">
        <is>
          <t>Implemented/available</t>
        </is>
      </c>
      <c r="K94" s="2" t="inlineStr">
        <is>
          <t>Implemented/available</t>
        </is>
      </c>
      <c r="L94" s="3">
        <f>Calc!B94</f>
        <v>100</v>
      </c>
      <c r="M94" s="3">
        <f>Calc!C94</f>
        <v>0</v>
      </c>
      <c r="N94" s="3">
        <f>Verification!F94</f>
        <v>100</v>
      </c>
      <c r="O94" s="3">
        <f>Calc!E94</f>
        <v>100</v>
      </c>
      <c r="P94" s="3">
        <f>Calc!F94</f>
        <v>100</v>
      </c>
      <c r="Q94" s="3">
        <f>Calc!G94</f>
        <v>100</v>
      </c>
      <c r="R94" s="3">
        <f>Calc!H94</f>
        <v>50</v>
      </c>
      <c r="S94" s="3">
        <f>AVERAGE(L94:R94)</f>
        <v>78.5714285714286</v>
      </c>
      <c r="T94" s="2">
        <f>RANK(S94,$S$2:$S$113,0)+(COUNTIF($S$2:$S$113,S94)-1)/2</f>
        <v>40.5</v>
      </c>
      <c r="U94" s="2">
        <f>Coverage!I94</f>
        <v>6</v>
      </c>
      <c r="V94" s="4">
        <f>Coverage!J94</f>
        <v>0.857142857142857</v>
      </c>
      <c r="W94" s="3">
        <f>IFERROR(SUMPRODUCT(L94:R94,Coverage!B94:H94)/U94,0)</f>
        <v>91.6666666666667</v>
      </c>
      <c r="X94" s="2" t="inlineStr">
        <is>
          <t>108_bylaws_status unavailable/unknown scored 0; No independent verification recorded</t>
        </is>
      </c>
    </row>
    <row r="95">
      <c r="A95" s="2" t="inlineStr">
        <is>
          <t>Pundit</t>
        </is>
      </c>
      <c r="B95" s="2" t="inlineStr">
        <is>
          <t>Net7 Srl</t>
        </is>
      </c>
      <c r="C95" s="2" t="inlineStr">
        <is>
          <t>Annotations system</t>
        </is>
      </c>
      <c r="D95" s="2" t="inlineStr">
        <is>
          <t>Considering</t>
        </is>
      </c>
      <c r="E95" s="2" t="inlineStr">
        <is>
          <t>Not planning</t>
        </is>
      </c>
      <c r="F95" s="2" t="inlineStr">
        <is>
          <t>None</t>
        </is>
      </c>
      <c r="G95" s="2" t="n"/>
      <c r="H95" s="2" t="inlineStr">
        <is>
          <t>None</t>
        </is>
      </c>
      <c r="I95" s="2" t="inlineStr">
        <is>
          <t>Not planning</t>
        </is>
      </c>
      <c r="J95" s="2" t="inlineStr">
        <is>
          <t>Considering</t>
        </is>
      </c>
      <c r="K95" s="2" t="inlineStr">
        <is>
          <t>Implemented/available</t>
        </is>
      </c>
      <c r="L95" s="3">
        <f>Calc!B95</f>
        <v>33</v>
      </c>
      <c r="M95" s="3">
        <f>Calc!C95</f>
        <v>0</v>
      </c>
      <c r="N95" s="3">
        <f>Verification!F95</f>
        <v>0</v>
      </c>
      <c r="O95" s="3">
        <f>Calc!E95</f>
        <v>0</v>
      </c>
      <c r="P95" s="3">
        <f>Calc!F95</f>
        <v>33</v>
      </c>
      <c r="Q95" s="3">
        <f>Calc!G95</f>
        <v>100</v>
      </c>
      <c r="R95" s="3">
        <f>Calc!H95</f>
        <v>0</v>
      </c>
      <c r="S95" s="3">
        <f>AVERAGE(L95:R95)</f>
        <v>23.7142857142857</v>
      </c>
      <c r="T95" s="2">
        <f>RANK(S95,$S$2:$S$113,0)+(COUNTIF($S$2:$S$113,S95)-1)/2</f>
        <v>103</v>
      </c>
      <c r="U95" s="2">
        <f>Coverage!I95</f>
        <v>7</v>
      </c>
      <c r="V95" s="4">
        <f>Coverage!J95</f>
        <v>1</v>
      </c>
      <c r="W95" s="3">
        <f>IFERROR(SUMPRODUCT(L95:R95,Coverage!B95:H95)/U95,0)</f>
        <v>23.7142857142857</v>
      </c>
      <c r="X95" s="2" t="inlineStr">
        <is>
          <t>No independent verification recorded</t>
        </is>
      </c>
    </row>
    <row r="96">
      <c r="A96" s="2" t="inlineStr">
        <is>
          <t>pyOpenSci</t>
        </is>
      </c>
      <c r="B96" s="2" t="inlineStr">
        <is>
          <t>Community Initiatives</t>
        </is>
      </c>
      <c r="C96" s="2" t="inlineStr">
        <is>
          <t>Research software community</t>
        </is>
      </c>
      <c r="D96" s="2" t="inlineStr">
        <is>
          <t>Implemented/available</t>
        </is>
      </c>
      <c r="E96" s="2" t="inlineStr">
        <is>
          <t>Unknown</t>
        </is>
      </c>
      <c r="F96" s="2" t="inlineStr">
        <is>
          <t>Advisory board or steering committee</t>
        </is>
      </c>
      <c r="G96" s="2" t="n"/>
      <c r="H96" s="2" t="inlineStr">
        <is>
          <t>Ad hoc</t>
        </is>
      </c>
      <c r="I96" s="2" t="inlineStr">
        <is>
          <t>In progress</t>
        </is>
      </c>
      <c r="J96" s="2" t="inlineStr">
        <is>
          <t>In progress</t>
        </is>
      </c>
      <c r="K96" s="2" t="inlineStr">
        <is>
          <t>Unknown</t>
        </is>
      </c>
      <c r="L96" s="3">
        <f>Calc!B96</f>
        <v>100</v>
      </c>
      <c r="M96" s="3">
        <f>Calc!C96</f>
        <v>0</v>
      </c>
      <c r="N96" s="3">
        <f>Verification!F96</f>
        <v>100</v>
      </c>
      <c r="O96" s="3">
        <f>Calc!E96</f>
        <v>67</v>
      </c>
      <c r="P96" s="3">
        <f>Calc!F96</f>
        <v>67</v>
      </c>
      <c r="Q96" s="3">
        <f>Calc!G96</f>
        <v>0</v>
      </c>
      <c r="R96" s="3">
        <f>Calc!H96</f>
        <v>50</v>
      </c>
      <c r="S96" s="3">
        <f>AVERAGE(L96:R96)</f>
        <v>54.8571428571429</v>
      </c>
      <c r="T96" s="2">
        <f>RANK(S96,$S$2:$S$113,0)+(COUNTIF($S$2:$S$113,S96)-1)/2</f>
        <v>74.5</v>
      </c>
      <c r="U96" s="2">
        <f>Coverage!I96</f>
        <v>5</v>
      </c>
      <c r="V96" s="4">
        <f>Coverage!J96</f>
        <v>0.714285714285714</v>
      </c>
      <c r="W96" s="3">
        <f>IFERROR(SUMPRODUCT(L96:R96,Coverage!B96:H96)/U96,0)</f>
        <v>76.8</v>
      </c>
      <c r="X96" s="2" t="inlineStr">
        <is>
          <t>108_bylaws_status unavailable/unknown scored 0; 044_commitment_to_privacy_status unavailable/unknown scored 0; No independent verification recorded</t>
        </is>
      </c>
    </row>
    <row r="97">
      <c r="A97" s="2" t="inlineStr">
        <is>
          <t>Renku</t>
        </is>
      </c>
      <c r="B97" s="2" t="inlineStr">
        <is>
          <t>Swiss Data Science Center</t>
        </is>
      </c>
      <c r="C97" s="2" t="inlineStr">
        <is>
          <t>Data management planning tool or service | Discovery system | Research software community</t>
        </is>
      </c>
      <c r="D97" s="2" t="inlineStr">
        <is>
          <t>Considering</t>
        </is>
      </c>
      <c r="E97" s="2" t="inlineStr">
        <is>
          <t>Not planning</t>
        </is>
      </c>
      <c r="F97" s="2" t="inlineStr">
        <is>
          <t>None</t>
        </is>
      </c>
      <c r="G97" s="2" t="n"/>
      <c r="H97" s="2" t="inlineStr">
        <is>
          <t>None</t>
        </is>
      </c>
      <c r="I97" s="2" t="inlineStr">
        <is>
          <t>Unknown</t>
        </is>
      </c>
      <c r="J97" s="2" t="inlineStr">
        <is>
          <t>Considering</t>
        </is>
      </c>
      <c r="K97" s="2" t="inlineStr">
        <is>
          <t>Implemented/available</t>
        </is>
      </c>
      <c r="L97" s="3">
        <f>Calc!B97</f>
        <v>33</v>
      </c>
      <c r="M97" s="3">
        <f>Calc!C97</f>
        <v>0</v>
      </c>
      <c r="N97" s="3">
        <f>Verification!F97</f>
        <v>0</v>
      </c>
      <c r="O97" s="3">
        <f>Calc!E97</f>
        <v>0</v>
      </c>
      <c r="P97" s="3">
        <f>Calc!F97</f>
        <v>33</v>
      </c>
      <c r="Q97" s="3">
        <f>Calc!G97</f>
        <v>100</v>
      </c>
      <c r="R97" s="3">
        <f>Calc!H97</f>
        <v>0</v>
      </c>
      <c r="S97" s="3">
        <f>AVERAGE(L97:R97)</f>
        <v>23.7142857142857</v>
      </c>
      <c r="T97" s="2">
        <f>RANK(S97,$S$2:$S$113,0)+(COUNTIF($S$2:$S$113,S97)-1)/2</f>
        <v>103</v>
      </c>
      <c r="U97" s="2">
        <f>Coverage!I97</f>
        <v>6</v>
      </c>
      <c r="V97" s="4">
        <f>Coverage!J97</f>
        <v>0.857142857142857</v>
      </c>
      <c r="W97" s="3">
        <f>IFERROR(SUMPRODUCT(L97:R97,Coverage!B97:H97)/U97,0)</f>
        <v>27.6666666666667</v>
      </c>
      <c r="X97" s="2" t="inlineStr">
        <is>
          <t>029_web_accessibility_status unavailable/unknown scored 0; No independent verification recorded</t>
        </is>
      </c>
    </row>
    <row r="98">
      <c r="A98" s="2" t="inlineStr">
        <is>
          <t>RePEc</t>
        </is>
      </c>
      <c r="B98" s="2" t="inlineStr">
        <is>
          <t>RePEc</t>
        </is>
      </c>
      <c r="C98" s="2" t="inlineStr">
        <is>
          <t>Discovery system | Index or directory</t>
        </is>
      </c>
      <c r="D98" s="2" t="inlineStr">
        <is>
          <t>In progress</t>
        </is>
      </c>
      <c r="E98" s="2" t="inlineStr">
        <is>
          <t>Implemented/available</t>
        </is>
      </c>
      <c r="F98" s="2" t="inlineStr">
        <is>
          <t>Advisory board or steering committee</t>
        </is>
      </c>
      <c r="G98" s="2" t="n"/>
      <c r="H98" s="2" t="inlineStr">
        <is>
          <t>Ad hoc</t>
        </is>
      </c>
      <c r="I98" s="2" t="inlineStr">
        <is>
          <t>Unknown</t>
        </is>
      </c>
      <c r="J98" s="2" t="inlineStr">
        <is>
          <t>Unknown</t>
        </is>
      </c>
      <c r="K98" s="2" t="inlineStr">
        <is>
          <t>Implemented/available</t>
        </is>
      </c>
      <c r="L98" s="3">
        <f>Calc!B98</f>
        <v>67</v>
      </c>
      <c r="M98" s="3">
        <f>Calc!C98</f>
        <v>100</v>
      </c>
      <c r="N98" s="3">
        <f>Verification!F98</f>
        <v>100</v>
      </c>
      <c r="O98" s="3">
        <f>Calc!E98</f>
        <v>0</v>
      </c>
      <c r="P98" s="3">
        <f>Calc!F98</f>
        <v>0</v>
      </c>
      <c r="Q98" s="3">
        <f>Calc!G98</f>
        <v>100</v>
      </c>
      <c r="R98" s="3">
        <f>Calc!H98</f>
        <v>50</v>
      </c>
      <c r="S98" s="3">
        <f>AVERAGE(L98:R98)</f>
        <v>59.5714285714286</v>
      </c>
      <c r="T98" s="2">
        <f>RANK(S98,$S$2:$S$113,0)+(COUNTIF($S$2:$S$113,S98)-1)/2</f>
        <v>67</v>
      </c>
      <c r="U98" s="2">
        <f>Coverage!I98</f>
        <v>5</v>
      </c>
      <c r="V98" s="4">
        <f>Coverage!J98</f>
        <v>0.714285714285714</v>
      </c>
      <c r="W98" s="3">
        <f>IFERROR(SUMPRODUCT(L98:R98,Coverage!B98:H98)/U98,0)</f>
        <v>83.4</v>
      </c>
      <c r="X98" s="2" t="inlineStr">
        <is>
          <t>029_web_accessibility_status unavailable/unknown scored 0; 035_commitment_to_equity_status unavailable/unknown scored 0; No independent verification recorded</t>
        </is>
      </c>
    </row>
    <row r="99">
      <c r="A99" s="2" t="inlineStr">
        <is>
          <t>Research Organization Registry (ROR)</t>
        </is>
      </c>
      <c r="B99" s="2" t="inlineStr">
        <is>
          <t>California Digital Library, Crossref, DataCite</t>
        </is>
      </c>
      <c r="C99" s="2" t="inlineStr">
        <is>
          <t>Persistent identifier service</t>
        </is>
      </c>
      <c r="D99" s="2" t="inlineStr">
        <is>
          <t>Implemented/available</t>
        </is>
      </c>
      <c r="E99" s="2" t="inlineStr">
        <is>
          <t>Implemented/available</t>
        </is>
      </c>
      <c r="F99" s="2" t="inlineStr">
        <is>
          <t>Advisory board or steering committee</t>
        </is>
      </c>
      <c r="G99" s="2" t="n"/>
      <c r="H99" s="2" t="inlineStr">
        <is>
          <t>Formal</t>
        </is>
      </c>
      <c r="I99" s="2" t="inlineStr">
        <is>
          <t>Considering</t>
        </is>
      </c>
      <c r="J99" s="2" t="inlineStr">
        <is>
          <t>Considering</t>
        </is>
      </c>
      <c r="K99" s="2" t="inlineStr">
        <is>
          <t>Implemented/available</t>
        </is>
      </c>
      <c r="L99" s="3">
        <f>Calc!B99</f>
        <v>100</v>
      </c>
      <c r="M99" s="3">
        <f>Calc!C99</f>
        <v>100</v>
      </c>
      <c r="N99" s="3">
        <f>Verification!F99</f>
        <v>100</v>
      </c>
      <c r="O99" s="3">
        <f>Calc!E99</f>
        <v>33</v>
      </c>
      <c r="P99" s="3">
        <f>Calc!F99</f>
        <v>33</v>
      </c>
      <c r="Q99" s="3">
        <f>Calc!G99</f>
        <v>100</v>
      </c>
      <c r="R99" s="3">
        <f>Calc!H99</f>
        <v>100</v>
      </c>
      <c r="S99" s="3">
        <f>AVERAGE(L99:R99)</f>
        <v>80.8571428571429</v>
      </c>
      <c r="T99" s="2">
        <f>RANK(S99,$S$2:$S$113,0)+(COUNTIF($S$2:$S$113,S99)-1)/2</f>
        <v>37</v>
      </c>
      <c r="U99" s="2">
        <f>Coverage!I99</f>
        <v>7</v>
      </c>
      <c r="V99" s="4">
        <f>Coverage!J99</f>
        <v>1</v>
      </c>
      <c r="W99" s="3">
        <f>IFERROR(SUMPRODUCT(L99:R99,Coverage!B99:H99)/U99,0)</f>
        <v>80.8571428571429</v>
      </c>
      <c r="X99" s="2" t="inlineStr">
        <is>
          <t>No independent verification recorded</t>
        </is>
      </c>
    </row>
    <row r="100">
      <c r="A100" s="2" t="inlineStr">
        <is>
          <t>Rogue Scholar</t>
        </is>
      </c>
      <c r="B100" s="2" t="inlineStr">
        <is>
          <t>The Rogue Scholar</t>
        </is>
      </c>
      <c r="C100" s="2" t="inlineStr">
        <is>
          <t>Digital preservation system | Discovery system</t>
        </is>
      </c>
      <c r="D100" s="2" t="inlineStr">
        <is>
          <t>In progress</t>
        </is>
      </c>
      <c r="E100" s="2" t="inlineStr">
        <is>
          <t>Unknown</t>
        </is>
      </c>
      <c r="F100" s="2" t="inlineStr">
        <is>
          <t>None</t>
        </is>
      </c>
      <c r="G100" s="2" t="n"/>
      <c r="H100" s="2" t="inlineStr">
        <is>
          <t>Ad hoc</t>
        </is>
      </c>
      <c r="I100" s="2" t="inlineStr">
        <is>
          <t>Considering</t>
        </is>
      </c>
      <c r="J100" s="2" t="inlineStr">
        <is>
          <t>Considering</t>
        </is>
      </c>
      <c r="K100" s="2" t="inlineStr">
        <is>
          <t>In progress</t>
        </is>
      </c>
      <c r="L100" s="3">
        <f>Calc!B100</f>
        <v>67</v>
      </c>
      <c r="M100" s="3">
        <f>Calc!C100</f>
        <v>0</v>
      </c>
      <c r="N100" s="3">
        <f>Verification!F100</f>
        <v>0</v>
      </c>
      <c r="O100" s="3">
        <f>Calc!E100</f>
        <v>33</v>
      </c>
      <c r="P100" s="3">
        <f>Calc!F100</f>
        <v>33</v>
      </c>
      <c r="Q100" s="3">
        <f>Calc!G100</f>
        <v>67</v>
      </c>
      <c r="R100" s="3">
        <f>Calc!H100</f>
        <v>50</v>
      </c>
      <c r="S100" s="3">
        <f>AVERAGE(L100:R100)</f>
        <v>35.7142857142857</v>
      </c>
      <c r="T100" s="2">
        <f>RANK(S100,$S$2:$S$113,0)+(COUNTIF($S$2:$S$113,S100)-1)/2</f>
        <v>95.5</v>
      </c>
      <c r="U100" s="2">
        <f>Coverage!I100</f>
        <v>6</v>
      </c>
      <c r="V100" s="4">
        <f>Coverage!J100</f>
        <v>0.857142857142857</v>
      </c>
      <c r="W100" s="3">
        <f>IFERROR(SUMPRODUCT(L100:R100,Coverage!B100:H100)/U100,0)</f>
        <v>41.6666666666667</v>
      </c>
      <c r="X100" s="2" t="inlineStr">
        <is>
          <t>108_bylaws_status unavailable/unknown scored 0; No independent verification recorded</t>
        </is>
      </c>
    </row>
    <row r="101">
      <c r="A101" s="2" t="inlineStr">
        <is>
          <t>RSpace</t>
        </is>
      </c>
      <c r="B101" s="2" t="inlineStr">
        <is>
          <t>Research Innovations Ltd (trading as Research Space)</t>
        </is>
      </c>
      <c r="C101" s="2" t="inlineStr">
        <is>
          <t>Authoring tool | Digital asset management system</t>
        </is>
      </c>
      <c r="D101" s="2" t="inlineStr">
        <is>
          <t>Considering</t>
        </is>
      </c>
      <c r="E101" s="2" t="inlineStr">
        <is>
          <t>Not planning</t>
        </is>
      </c>
      <c r="F101" s="2" t="inlineStr">
        <is>
          <t>Other</t>
        </is>
      </c>
      <c r="G101" s="2" t="inlineStr">
        <is>
          <t>Board of directors of UK limited company</t>
        </is>
      </c>
      <c r="H101" s="2" t="inlineStr">
        <is>
          <t>None</t>
        </is>
      </c>
      <c r="I101" s="2" t="inlineStr">
        <is>
          <t>In progress</t>
        </is>
      </c>
      <c r="J101" s="2" t="inlineStr">
        <is>
          <t>Considering</t>
        </is>
      </c>
      <c r="K101" s="2" t="inlineStr">
        <is>
          <t>Implemented/available</t>
        </is>
      </c>
      <c r="L101" s="3">
        <f>Calc!B101</f>
        <v>33</v>
      </c>
      <c r="M101" s="3">
        <f>Calc!C101</f>
        <v>0</v>
      </c>
      <c r="N101" s="3">
        <f>Verification!F101</f>
        <v>100</v>
      </c>
      <c r="O101" s="3">
        <f>Calc!E101</f>
        <v>67</v>
      </c>
      <c r="P101" s="3">
        <f>Calc!F101</f>
        <v>33</v>
      </c>
      <c r="Q101" s="3">
        <f>Calc!G101</f>
        <v>100</v>
      </c>
      <c r="R101" s="3">
        <f>Calc!H101</f>
        <v>0</v>
      </c>
      <c r="S101" s="3">
        <f>AVERAGE(L101:R101)</f>
        <v>47.5714285714286</v>
      </c>
      <c r="T101" s="2">
        <f>RANK(S101,$S$2:$S$113,0)+(COUNTIF($S$2:$S$113,S101)-1)/2</f>
        <v>82.5</v>
      </c>
      <c r="U101" s="2">
        <f>Coverage!I101</f>
        <v>7</v>
      </c>
      <c r="V101" s="4">
        <f>Coverage!J101</f>
        <v>1</v>
      </c>
      <c r="W101" s="3">
        <f>IFERROR(SUMPRODUCT(L101:R101,Coverage!B101:H101)/U101,0)</f>
        <v>47.5714285714286</v>
      </c>
      <c r="X101" s="2" t="inlineStr">
        <is>
          <t>Review 050 Other response; override available; No independent verification recorded</t>
        </is>
      </c>
    </row>
    <row r="102">
      <c r="A102" s="2" t="inlineStr">
        <is>
          <t>Sciety</t>
        </is>
      </c>
      <c r="B102" s="2" t="inlineStr">
        <is>
          <t>eLife</t>
        </is>
      </c>
      <c r="C102" s="2" t="inlineStr">
        <is>
          <t>Discovery system | Peer review system</t>
        </is>
      </c>
      <c r="D102" s="2" t="inlineStr">
        <is>
          <t>Implemented/available</t>
        </is>
      </c>
      <c r="E102" s="2" t="inlineStr">
        <is>
          <t>Considering</t>
        </is>
      </c>
      <c r="F102" s="2" t="inlineStr">
        <is>
          <t>Multi-board governance</t>
        </is>
      </c>
      <c r="G102" s="2" t="n"/>
      <c r="H102" s="2" t="inlineStr">
        <is>
          <t>Formal</t>
        </is>
      </c>
      <c r="I102" s="2" t="inlineStr">
        <is>
          <t>Considering</t>
        </is>
      </c>
      <c r="J102" s="2" t="inlineStr">
        <is>
          <t>Considering</t>
        </is>
      </c>
      <c r="K102" s="2" t="inlineStr">
        <is>
          <t>Implemented/available</t>
        </is>
      </c>
      <c r="L102" s="3">
        <f>Calc!B102</f>
        <v>100</v>
      </c>
      <c r="M102" s="3">
        <f>Calc!C102</f>
        <v>33</v>
      </c>
      <c r="N102" s="3">
        <f>Verification!F102</f>
        <v>100</v>
      </c>
      <c r="O102" s="3">
        <f>Calc!E102</f>
        <v>33</v>
      </c>
      <c r="P102" s="3">
        <f>Calc!F102</f>
        <v>33</v>
      </c>
      <c r="Q102" s="3">
        <f>Calc!G102</f>
        <v>100</v>
      </c>
      <c r="R102" s="3">
        <f>Calc!H102</f>
        <v>100</v>
      </c>
      <c r="S102" s="3">
        <f>AVERAGE(L102:R102)</f>
        <v>71.2857142857143</v>
      </c>
      <c r="T102" s="2">
        <f>RANK(S102,$S$2:$S$113,0)+(COUNTIF($S$2:$S$113,S102)-1)/2</f>
        <v>56</v>
      </c>
      <c r="U102" s="2">
        <f>Coverage!I102</f>
        <v>7</v>
      </c>
      <c r="V102" s="4">
        <f>Coverage!J102</f>
        <v>1</v>
      </c>
      <c r="W102" s="3">
        <f>IFERROR(SUMPRODUCT(L102:R102,Coverage!B102:H102)/U102,0)</f>
        <v>71.2857142857143</v>
      </c>
      <c r="X102" s="2" t="inlineStr">
        <is>
          <t>No independent verification recorded</t>
        </is>
      </c>
    </row>
    <row r="103">
      <c r="A103" s="2" t="inlineStr">
        <is>
          <t>Synapse</t>
        </is>
      </c>
      <c r="B103" s="2" t="inlineStr">
        <is>
          <t>Sage Bionetworks</t>
        </is>
      </c>
      <c r="C103" s="2" t="inlineStr">
        <is>
          <t>Annotations system | Repository service</t>
        </is>
      </c>
      <c r="D103" s="2" t="inlineStr">
        <is>
          <t>Not planning</t>
        </is>
      </c>
      <c r="E103" s="2" t="inlineStr">
        <is>
          <t>Not planning</t>
        </is>
      </c>
      <c r="F103" s="2" t="inlineStr">
        <is>
          <t>Advisory board or steering committee</t>
        </is>
      </c>
      <c r="G103" s="2" t="n"/>
      <c r="H103" s="2" t="inlineStr">
        <is>
          <t>None</t>
        </is>
      </c>
      <c r="I103" s="2" t="inlineStr">
        <is>
          <t>Not planning</t>
        </is>
      </c>
      <c r="J103" s="2" t="inlineStr">
        <is>
          <t>Considering</t>
        </is>
      </c>
      <c r="K103" s="2" t="inlineStr">
        <is>
          <t>Implemented/available</t>
        </is>
      </c>
      <c r="L103" s="3">
        <f>Calc!B103</f>
        <v>0</v>
      </c>
      <c r="M103" s="3">
        <f>Calc!C103</f>
        <v>0</v>
      </c>
      <c r="N103" s="3">
        <f>Verification!F103</f>
        <v>100</v>
      </c>
      <c r="O103" s="3">
        <f>Calc!E103</f>
        <v>0</v>
      </c>
      <c r="P103" s="3">
        <f>Calc!F103</f>
        <v>33</v>
      </c>
      <c r="Q103" s="3">
        <f>Calc!G103</f>
        <v>100</v>
      </c>
      <c r="R103" s="3">
        <f>Calc!H103</f>
        <v>0</v>
      </c>
      <c r="S103" s="3">
        <f>AVERAGE(L103:R103)</f>
        <v>33.2857142857143</v>
      </c>
      <c r="T103" s="2">
        <f>RANK(S103,$S$2:$S$113,0)+(COUNTIF($S$2:$S$113,S103)-1)/2</f>
        <v>97.5</v>
      </c>
      <c r="U103" s="2">
        <f>Coverage!I103</f>
        <v>7</v>
      </c>
      <c r="V103" s="4">
        <f>Coverage!J103</f>
        <v>1</v>
      </c>
      <c r="W103" s="3">
        <f>IFERROR(SUMPRODUCT(L103:R103,Coverage!B103:H103)/U103,0)</f>
        <v>33.2857142857143</v>
      </c>
      <c r="X103" s="2" t="inlineStr">
        <is>
          <t>No independent verification recorded</t>
        </is>
      </c>
    </row>
    <row r="104">
      <c r="A104" s="2" t="inlineStr">
        <is>
          <t>TagTeam</t>
        </is>
      </c>
      <c r="B104" s="2" t="inlineStr">
        <is>
          <t>Harvard University</t>
        </is>
      </c>
      <c r="C104" s="2" t="inlineStr">
        <is>
          <t>Annotations system | Discovery system</t>
        </is>
      </c>
      <c r="D104" s="2" t="inlineStr">
        <is>
          <t>Considering</t>
        </is>
      </c>
      <c r="E104" s="2" t="inlineStr">
        <is>
          <t>Not planning</t>
        </is>
      </c>
      <c r="F104" s="2" t="inlineStr">
        <is>
          <t>None</t>
        </is>
      </c>
      <c r="G104" s="2" t="n"/>
      <c r="H104" s="2" t="inlineStr">
        <is>
          <t>Ad hoc</t>
        </is>
      </c>
      <c r="I104" s="2" t="inlineStr">
        <is>
          <t>In progress</t>
        </is>
      </c>
      <c r="J104" s="2" t="inlineStr">
        <is>
          <t>Implemented/available</t>
        </is>
      </c>
      <c r="K104" s="2" t="inlineStr">
        <is>
          <t>Implemented/available</t>
        </is>
      </c>
      <c r="L104" s="3">
        <f>Calc!B104</f>
        <v>33</v>
      </c>
      <c r="M104" s="3">
        <f>Calc!C104</f>
        <v>0</v>
      </c>
      <c r="N104" s="3">
        <f>Verification!F104</f>
        <v>0</v>
      </c>
      <c r="O104" s="3">
        <f>Calc!E104</f>
        <v>67</v>
      </c>
      <c r="P104" s="3">
        <f>Calc!F104</f>
        <v>100</v>
      </c>
      <c r="Q104" s="3">
        <f>Calc!G104</f>
        <v>100</v>
      </c>
      <c r="R104" s="3">
        <f>Calc!H104</f>
        <v>50</v>
      </c>
      <c r="S104" s="3">
        <f>AVERAGE(L104:R104)</f>
        <v>50</v>
      </c>
      <c r="T104" s="2">
        <f>RANK(S104,$S$2:$S$113,0)+(COUNTIF($S$2:$S$113,S104)-1)/2</f>
        <v>79</v>
      </c>
      <c r="U104" s="2">
        <f>Coverage!I104</f>
        <v>7</v>
      </c>
      <c r="V104" s="4">
        <f>Coverage!J104</f>
        <v>1</v>
      </c>
      <c r="W104" s="3">
        <f>IFERROR(SUMPRODUCT(L104:R104,Coverage!B104:H104)/U104,0)</f>
        <v>50</v>
      </c>
      <c r="X104" s="2" t="inlineStr">
        <is>
          <t>No independent verification recorded</t>
        </is>
      </c>
    </row>
    <row r="105">
      <c r="A105" s="2" t="inlineStr">
        <is>
          <t>Thoth Open Metadata</t>
        </is>
      </c>
      <c r="B105" s="2" t="inlineStr">
        <is>
          <t>Thoth Open Metadata</t>
        </is>
      </c>
      <c r="C105" s="2" t="inlineStr">
        <is>
          <t>Digital preservation service | Format conversion tool or service | Open scholarly dataset</t>
        </is>
      </c>
      <c r="D105" s="2" t="inlineStr">
        <is>
          <t>Implemented/available</t>
        </is>
      </c>
      <c r="E105" s="2" t="inlineStr">
        <is>
          <t>Implemented/available</t>
        </is>
      </c>
      <c r="F105" s="2" t="inlineStr">
        <is>
          <t>Other</t>
        </is>
      </c>
      <c r="G105" s="2" t="inlineStr">
        <is>
          <t>Board of Directors</t>
        </is>
      </c>
      <c r="H105" s="2" t="inlineStr">
        <is>
          <t>Formal</t>
        </is>
      </c>
      <c r="I105" s="2" t="inlineStr">
        <is>
          <t>In progress</t>
        </is>
      </c>
      <c r="J105" s="2" t="inlineStr">
        <is>
          <t>In progress</t>
        </is>
      </c>
      <c r="K105" s="2" t="inlineStr">
        <is>
          <t>Implemented/available</t>
        </is>
      </c>
      <c r="L105" s="3">
        <f>Calc!B105</f>
        <v>100</v>
      </c>
      <c r="M105" s="3">
        <f>Calc!C105</f>
        <v>100</v>
      </c>
      <c r="N105" s="3">
        <f>Verification!F105</f>
        <v>100</v>
      </c>
      <c r="O105" s="3">
        <f>Calc!E105</f>
        <v>67</v>
      </c>
      <c r="P105" s="3">
        <f>Calc!F105</f>
        <v>67</v>
      </c>
      <c r="Q105" s="3">
        <f>Calc!G105</f>
        <v>100</v>
      </c>
      <c r="R105" s="3">
        <f>Calc!H105</f>
        <v>100</v>
      </c>
      <c r="S105" s="3">
        <f>AVERAGE(L105:R105)</f>
        <v>90.5714285714286</v>
      </c>
      <c r="T105" s="2">
        <f>RANK(S105,$S$2:$S$113,0)+(COUNTIF($S$2:$S$113,S105)-1)/2</f>
        <v>19</v>
      </c>
      <c r="U105" s="2">
        <f>Coverage!I105</f>
        <v>7</v>
      </c>
      <c r="V105" s="4">
        <f>Coverage!J105</f>
        <v>1</v>
      </c>
      <c r="W105" s="3">
        <f>IFERROR(SUMPRODUCT(L105:R105,Coverage!B105:H105)/U105,0)</f>
        <v>90.5714285714286</v>
      </c>
      <c r="X105" s="2" t="inlineStr">
        <is>
          <t>Review 050 Other response; override available; No independent verification recorded</t>
        </is>
      </c>
    </row>
    <row r="106">
      <c r="A106" s="2" t="inlineStr">
        <is>
          <t>Tropy</t>
        </is>
      </c>
      <c r="B106" s="2" t="inlineStr">
        <is>
          <t>Digital Scholar</t>
        </is>
      </c>
      <c r="C106" s="2" t="inlineStr">
        <is>
          <t>Digital asset management system</t>
        </is>
      </c>
      <c r="D106" s="2" t="inlineStr">
        <is>
          <t>Implemented/available</t>
        </is>
      </c>
      <c r="E106" s="2" t="inlineStr">
        <is>
          <t>Implemented/available</t>
        </is>
      </c>
      <c r="F106" s="2" t="inlineStr">
        <is>
          <t>Advisory board or steering committee</t>
        </is>
      </c>
      <c r="G106" s="2" t="n"/>
      <c r="H106" s="2" t="inlineStr">
        <is>
          <t>Ad hoc</t>
        </is>
      </c>
      <c r="I106" s="2" t="inlineStr">
        <is>
          <t>Considering</t>
        </is>
      </c>
      <c r="J106" s="2" t="inlineStr">
        <is>
          <t>Implemented/available</t>
        </is>
      </c>
      <c r="K106" s="2" t="inlineStr">
        <is>
          <t>Considering</t>
        </is>
      </c>
      <c r="L106" s="3">
        <f>Calc!B106</f>
        <v>100</v>
      </c>
      <c r="M106" s="3">
        <f>Calc!C106</f>
        <v>100</v>
      </c>
      <c r="N106" s="3">
        <f>Verification!F106</f>
        <v>100</v>
      </c>
      <c r="O106" s="3">
        <f>Calc!E106</f>
        <v>33</v>
      </c>
      <c r="P106" s="3">
        <f>Calc!F106</f>
        <v>100</v>
      </c>
      <c r="Q106" s="3">
        <f>Calc!G106</f>
        <v>33</v>
      </c>
      <c r="R106" s="3">
        <f>Calc!H106</f>
        <v>50</v>
      </c>
      <c r="S106" s="3">
        <f>AVERAGE(L106:R106)</f>
        <v>73.7142857142857</v>
      </c>
      <c r="T106" s="2">
        <f>RANK(S106,$S$2:$S$113,0)+(COUNTIF($S$2:$S$113,S106)-1)/2</f>
        <v>48</v>
      </c>
      <c r="U106" s="2">
        <f>Coverage!I106</f>
        <v>7</v>
      </c>
      <c r="V106" s="4">
        <f>Coverage!J106</f>
        <v>1</v>
      </c>
      <c r="W106" s="3">
        <f>IFERROR(SUMPRODUCT(L106:R106,Coverage!B106:H106)/U106,0)</f>
        <v>73.7142857142857</v>
      </c>
      <c r="X106" s="2" t="inlineStr">
        <is>
          <t>No independent verification recorded</t>
        </is>
      </c>
    </row>
    <row r="107">
      <c r="A107" s="2" t="inlineStr">
        <is>
          <t>veraPDF</t>
        </is>
      </c>
      <c r="B107" s="2" t="inlineStr">
        <is>
          <t>veraPDF Consortium</t>
        </is>
      </c>
      <c r="C107" s="2" t="inlineStr">
        <is>
          <t>Digital preservation tool | Standard, specification or protocol</t>
        </is>
      </c>
      <c r="D107" s="2" t="inlineStr">
        <is>
          <t>In progress</t>
        </is>
      </c>
      <c r="E107" s="2" t="inlineStr">
        <is>
          <t>Not planning</t>
        </is>
      </c>
      <c r="F107" s="2" t="inlineStr">
        <is>
          <t>None</t>
        </is>
      </c>
      <c r="G107" s="2" t="n"/>
      <c r="H107" s="2" t="inlineStr">
        <is>
          <t>Formal</t>
        </is>
      </c>
      <c r="I107" s="2" t="inlineStr">
        <is>
          <t>In progress</t>
        </is>
      </c>
      <c r="J107" s="2" t="inlineStr">
        <is>
          <t>Considering</t>
        </is>
      </c>
      <c r="K107" s="2" t="inlineStr">
        <is>
          <t>Considering</t>
        </is>
      </c>
      <c r="L107" s="3">
        <f>Calc!B107</f>
        <v>67</v>
      </c>
      <c r="M107" s="3">
        <f>Calc!C107</f>
        <v>0</v>
      </c>
      <c r="N107" s="3">
        <f>Verification!F107</f>
        <v>0</v>
      </c>
      <c r="O107" s="3">
        <f>Calc!E107</f>
        <v>67</v>
      </c>
      <c r="P107" s="3">
        <f>Calc!F107</f>
        <v>33</v>
      </c>
      <c r="Q107" s="3">
        <f>Calc!G107</f>
        <v>33</v>
      </c>
      <c r="R107" s="3">
        <f>Calc!H107</f>
        <v>100</v>
      </c>
      <c r="S107" s="3">
        <f>AVERAGE(L107:R107)</f>
        <v>42.8571428571429</v>
      </c>
      <c r="T107" s="2">
        <f>RANK(S107,$S$2:$S$113,0)+(COUNTIF($S$2:$S$113,S107)-1)/2</f>
        <v>86.5</v>
      </c>
      <c r="U107" s="2">
        <f>Coverage!I107</f>
        <v>7</v>
      </c>
      <c r="V107" s="4">
        <f>Coverage!J107</f>
        <v>1</v>
      </c>
      <c r="W107" s="3">
        <f>IFERROR(SUMPRODUCT(L107:R107,Coverage!B107:H107)/U107,0)</f>
        <v>42.8571428571429</v>
      </c>
      <c r="X107" s="2" t="inlineStr">
        <is>
          <t>No independent verification recorded</t>
        </is>
      </c>
    </row>
    <row r="108">
      <c r="A108" s="2" t="inlineStr">
        <is>
          <t>ViPER</t>
        </is>
      </c>
      <c r="B108" s="2" t="inlineStr">
        <is>
          <t>Open Preservation Foundation</t>
        </is>
      </c>
      <c r="C108" s="2" t="inlineStr">
        <is>
          <t>Digital preservation tool</t>
        </is>
      </c>
      <c r="D108" s="2" t="inlineStr">
        <is>
          <t>Implemented/available</t>
        </is>
      </c>
      <c r="E108" s="2" t="inlineStr">
        <is>
          <t>Unknown</t>
        </is>
      </c>
      <c r="F108" s="2" t="inlineStr">
        <is>
          <t>Advisory board or steering committee</t>
        </is>
      </c>
      <c r="G108" s="2" t="n"/>
      <c r="H108" s="2" t="inlineStr">
        <is>
          <t>Formal</t>
        </is>
      </c>
      <c r="I108" s="2" t="inlineStr">
        <is>
          <t>Considering</t>
        </is>
      </c>
      <c r="J108" s="2" t="inlineStr">
        <is>
          <t>In progress</t>
        </is>
      </c>
      <c r="K108" s="2" t="inlineStr">
        <is>
          <t>Implemented/available</t>
        </is>
      </c>
      <c r="L108" s="3">
        <f>Calc!B108</f>
        <v>100</v>
      </c>
      <c r="M108" s="3">
        <f>Calc!C108</f>
        <v>0</v>
      </c>
      <c r="N108" s="3">
        <f>Verification!F108</f>
        <v>100</v>
      </c>
      <c r="O108" s="3">
        <f>Calc!E108</f>
        <v>33</v>
      </c>
      <c r="P108" s="3">
        <f>Calc!F108</f>
        <v>67</v>
      </c>
      <c r="Q108" s="3">
        <f>Calc!G108</f>
        <v>100</v>
      </c>
      <c r="R108" s="3">
        <f>Calc!H108</f>
        <v>100</v>
      </c>
      <c r="S108" s="3">
        <f>AVERAGE(L108:R108)</f>
        <v>71.4285714285714</v>
      </c>
      <c r="T108" s="2">
        <f>RANK(S108,$S$2:$S$113,0)+(COUNTIF($S$2:$S$113,S108)-1)/2</f>
        <v>52</v>
      </c>
      <c r="U108" s="2">
        <f>Coverage!I108</f>
        <v>6</v>
      </c>
      <c r="V108" s="4">
        <f>Coverage!J108</f>
        <v>0.857142857142857</v>
      </c>
      <c r="W108" s="3">
        <f>IFERROR(SUMPRODUCT(L108:R108,Coverage!B108:H108)/U108,0)</f>
        <v>83.3333333333333</v>
      </c>
      <c r="X108" s="2" t="inlineStr">
        <is>
          <t>108_bylaws_status unavailable/unknown scored 0; No independent verification recorded</t>
        </is>
      </c>
    </row>
    <row r="109">
      <c r="A109" s="2" t="inlineStr">
        <is>
          <t>Vireo ETD</t>
        </is>
      </c>
      <c r="B109" s="2" t="inlineStr">
        <is>
          <t>Texas Digital Library</t>
        </is>
      </c>
      <c r="C109" s="2" t="inlineStr">
        <is>
          <t>Publishing system | Repository software | Submissions system</t>
        </is>
      </c>
      <c r="D109" s="2" t="inlineStr">
        <is>
          <t>Implemented/available</t>
        </is>
      </c>
      <c r="E109" s="2" t="inlineStr">
        <is>
          <t>Implemented/available</t>
        </is>
      </c>
      <c r="F109" s="2" t="inlineStr">
        <is>
          <t>Advisory board or steering committee</t>
        </is>
      </c>
      <c r="G109" s="2" t="n"/>
      <c r="H109" s="2" t="inlineStr">
        <is>
          <t>Formal</t>
        </is>
      </c>
      <c r="I109" s="2" t="inlineStr">
        <is>
          <t>Implemented/available</t>
        </is>
      </c>
      <c r="J109" s="2" t="inlineStr">
        <is>
          <t>Not planning</t>
        </is>
      </c>
      <c r="K109" s="2" t="inlineStr">
        <is>
          <t>Unknown</t>
        </is>
      </c>
      <c r="L109" s="3">
        <f>Calc!B109</f>
        <v>100</v>
      </c>
      <c r="M109" s="3">
        <f>Calc!C109</f>
        <v>100</v>
      </c>
      <c r="N109" s="3">
        <f>Verification!F109</f>
        <v>100</v>
      </c>
      <c r="O109" s="3">
        <f>Calc!E109</f>
        <v>100</v>
      </c>
      <c r="P109" s="3">
        <f>Calc!F109</f>
        <v>0</v>
      </c>
      <c r="Q109" s="3">
        <f>Calc!G109</f>
        <v>0</v>
      </c>
      <c r="R109" s="3">
        <f>Calc!H109</f>
        <v>100</v>
      </c>
      <c r="S109" s="3">
        <f>AVERAGE(L109:R109)</f>
        <v>71.4285714285714</v>
      </c>
      <c r="T109" s="2">
        <f>RANK(S109,$S$2:$S$113,0)+(COUNTIF($S$2:$S$113,S109)-1)/2</f>
        <v>52</v>
      </c>
      <c r="U109" s="2">
        <f>Coverage!I109</f>
        <v>6</v>
      </c>
      <c r="V109" s="4">
        <f>Coverage!J109</f>
        <v>0.857142857142857</v>
      </c>
      <c r="W109" s="3">
        <f>IFERROR(SUMPRODUCT(L109:R109,Coverage!B109:H109)/U109,0)</f>
        <v>83.3333333333333</v>
      </c>
      <c r="X109" s="2" t="inlineStr">
        <is>
          <t>044_commitment_to_privacy_status unavailable/unknown scored 0; No independent verification recorded</t>
        </is>
      </c>
    </row>
    <row r="110">
      <c r="A110" s="2" t="inlineStr">
        <is>
          <t>VIVO</t>
        </is>
      </c>
      <c r="B110" s="2" t="inlineStr">
        <is>
          <t>Lyrasis</t>
        </is>
      </c>
      <c r="C110" s="2" t="inlineStr">
        <is>
          <t>Discovery system | Research profiling system | Standard, specification or protocol</t>
        </is>
      </c>
      <c r="D110" s="2" t="inlineStr">
        <is>
          <t>Implemented/available</t>
        </is>
      </c>
      <c r="E110" s="2" t="inlineStr">
        <is>
          <t>Implemented/available</t>
        </is>
      </c>
      <c r="F110" s="2" t="inlineStr">
        <is>
          <t>Advisory board or steering committee</t>
        </is>
      </c>
      <c r="G110" s="2" t="n"/>
      <c r="H110" s="2" t="inlineStr">
        <is>
          <t>Formal</t>
        </is>
      </c>
      <c r="I110" s="2" t="inlineStr">
        <is>
          <t>In progress</t>
        </is>
      </c>
      <c r="J110" s="2" t="inlineStr">
        <is>
          <t>Considering</t>
        </is>
      </c>
      <c r="K110" s="2" t="inlineStr">
        <is>
          <t>Implemented/available</t>
        </is>
      </c>
      <c r="L110" s="3">
        <f>Calc!B110</f>
        <v>100</v>
      </c>
      <c r="M110" s="3">
        <f>Calc!C110</f>
        <v>100</v>
      </c>
      <c r="N110" s="3">
        <f>Verification!F110</f>
        <v>100</v>
      </c>
      <c r="O110" s="3">
        <f>Calc!E110</f>
        <v>67</v>
      </c>
      <c r="P110" s="3">
        <f>Calc!F110</f>
        <v>33</v>
      </c>
      <c r="Q110" s="3">
        <f>Calc!G110</f>
        <v>100</v>
      </c>
      <c r="R110" s="3">
        <f>Calc!H110</f>
        <v>100</v>
      </c>
      <c r="S110" s="3">
        <f>AVERAGE(L110:R110)</f>
        <v>85.7142857142857</v>
      </c>
      <c r="T110" s="2">
        <f>RANK(S110,$S$2:$S$113,0)+(COUNTIF($S$2:$S$113,S110)-1)/2</f>
        <v>30</v>
      </c>
      <c r="U110" s="2">
        <f>Coverage!I110</f>
        <v>7</v>
      </c>
      <c r="V110" s="4">
        <f>Coverage!J110</f>
        <v>1</v>
      </c>
      <c r="W110" s="3">
        <f>IFERROR(SUMPRODUCT(L110:R110,Coverage!B110:H110)/U110,0)</f>
        <v>85.7142857142857</v>
      </c>
      <c r="X110" s="2" t="inlineStr">
        <is>
          <t>No independent verification recorded</t>
        </is>
      </c>
    </row>
    <row r="111">
      <c r="A111" s="2" t="inlineStr">
        <is>
          <t>VuFind®</t>
        </is>
      </c>
      <c r="B111" s="2" t="inlineStr">
        <is>
          <t>Open Library Foundation</t>
        </is>
      </c>
      <c r="C111" s="2" t="inlineStr">
        <is>
          <t>Discovery system</t>
        </is>
      </c>
      <c r="D111" s="2" t="inlineStr">
        <is>
          <t>Implemented/available</t>
        </is>
      </c>
      <c r="E111" s="2" t="inlineStr">
        <is>
          <t>Implemented/available</t>
        </is>
      </c>
      <c r="F111" s="2" t="inlineStr">
        <is>
          <t>Advisory board or steering committee</t>
        </is>
      </c>
      <c r="G111" s="2" t="n"/>
      <c r="H111" s="2" t="inlineStr">
        <is>
          <t>Formal</t>
        </is>
      </c>
      <c r="I111" s="2" t="inlineStr">
        <is>
          <t>Implemented/available</t>
        </is>
      </c>
      <c r="J111" s="2" t="inlineStr">
        <is>
          <t>Implemented/available</t>
        </is>
      </c>
      <c r="K111" s="2" t="inlineStr">
        <is>
          <t>Implemented/available</t>
        </is>
      </c>
      <c r="L111" s="3">
        <f>Calc!B111</f>
        <v>100</v>
      </c>
      <c r="M111" s="3">
        <f>Calc!C111</f>
        <v>100</v>
      </c>
      <c r="N111" s="3">
        <f>Verification!F111</f>
        <v>100</v>
      </c>
      <c r="O111" s="3">
        <f>Calc!E111</f>
        <v>100</v>
      </c>
      <c r="P111" s="3">
        <f>Calc!F111</f>
        <v>100</v>
      </c>
      <c r="Q111" s="3">
        <f>Calc!G111</f>
        <v>100</v>
      </c>
      <c r="R111" s="3">
        <f>Calc!H111</f>
        <v>100</v>
      </c>
      <c r="S111" s="3">
        <f>AVERAGE(L111:R111)</f>
        <v>100</v>
      </c>
      <c r="T111" s="2">
        <f>RANK(S111,$S$2:$S$113,0)+(COUNTIF($S$2:$S$113,S111)-1)/2</f>
        <v>4</v>
      </c>
      <c r="U111" s="2">
        <f>Coverage!I111</f>
        <v>7</v>
      </c>
      <c r="V111" s="4">
        <f>Coverage!J111</f>
        <v>1</v>
      </c>
      <c r="W111" s="3">
        <f>IFERROR(SUMPRODUCT(L111:R111,Coverage!B111:H111)/U111,0)</f>
        <v>100</v>
      </c>
      <c r="X111" s="2" t="inlineStr">
        <is>
          <t>No independent verification recorded</t>
        </is>
      </c>
    </row>
    <row r="112">
      <c r="A112" s="2" t="inlineStr">
        <is>
          <t>Zenodo</t>
        </is>
      </c>
      <c r="B112" s="2" t="inlineStr">
        <is>
          <t>CERN</t>
        </is>
      </c>
      <c r="C112" s="2" t="inlineStr">
        <is>
          <t>Repository service</t>
        </is>
      </c>
      <c r="D112" s="2" t="inlineStr">
        <is>
          <t>Considering</t>
        </is>
      </c>
      <c r="E112" s="2" t="inlineStr">
        <is>
          <t>Unknown</t>
        </is>
      </c>
      <c r="F112" s="2" t="inlineStr">
        <is>
          <t>Advisory board or steering committee</t>
        </is>
      </c>
      <c r="G112" s="2" t="n"/>
      <c r="H112" s="2" t="inlineStr">
        <is>
          <t>Ad hoc</t>
        </is>
      </c>
      <c r="I112" s="2" t="inlineStr">
        <is>
          <t>Unknown</t>
        </is>
      </c>
      <c r="J112" s="2" t="inlineStr">
        <is>
          <t>Implemented/available</t>
        </is>
      </c>
      <c r="K112" s="2" t="inlineStr">
        <is>
          <t>Implemented/available</t>
        </is>
      </c>
      <c r="L112" s="3">
        <f>Calc!B112</f>
        <v>33</v>
      </c>
      <c r="M112" s="3">
        <f>Calc!C112</f>
        <v>0</v>
      </c>
      <c r="N112" s="3">
        <f>Verification!F112</f>
        <v>100</v>
      </c>
      <c r="O112" s="3">
        <f>Calc!E112</f>
        <v>0</v>
      </c>
      <c r="P112" s="3">
        <f>Calc!F112</f>
        <v>100</v>
      </c>
      <c r="Q112" s="3">
        <f>Calc!G112</f>
        <v>100</v>
      </c>
      <c r="R112" s="3">
        <f>Calc!H112</f>
        <v>50</v>
      </c>
      <c r="S112" s="3">
        <f>AVERAGE(L112:R112)</f>
        <v>54.7142857142857</v>
      </c>
      <c r="T112" s="2">
        <f>RANK(S112,$S$2:$S$113,0)+(COUNTIF($S$2:$S$113,S112)-1)/2</f>
        <v>76</v>
      </c>
      <c r="U112" s="2">
        <f>Coverage!I112</f>
        <v>5</v>
      </c>
      <c r="V112" s="4">
        <f>Coverage!J112</f>
        <v>0.714285714285714</v>
      </c>
      <c r="W112" s="3">
        <f>IFERROR(SUMPRODUCT(L112:R112,Coverage!B112:H112)/U112,0)</f>
        <v>76.6</v>
      </c>
      <c r="X112" s="2" t="inlineStr">
        <is>
          <t>108_bylaws_status unavailable/unknown scored 0; 029_web_accessibility_status unavailable/unknown scored 0; No independent verification recorded</t>
        </is>
      </c>
    </row>
    <row r="113">
      <c r="A113" s="2" t="inlineStr">
        <is>
          <t>Zotero</t>
        </is>
      </c>
      <c r="B113" s="2" t="inlineStr">
        <is>
          <t>Digital Scholar</t>
        </is>
      </c>
      <c r="C113" s="2" t="inlineStr">
        <is>
          <t>Annotations system</t>
        </is>
      </c>
      <c r="D113" s="2" t="inlineStr">
        <is>
          <t>Implemented/available</t>
        </is>
      </c>
      <c r="E113" s="2" t="inlineStr">
        <is>
          <t>Implemented/available</t>
        </is>
      </c>
      <c r="F113" s="2" t="inlineStr">
        <is>
          <t>Advisory board or steering committee</t>
        </is>
      </c>
      <c r="G113" s="2" t="n"/>
      <c r="H113" s="2" t="inlineStr">
        <is>
          <t>Ad hoc</t>
        </is>
      </c>
      <c r="I113" s="2" t="inlineStr">
        <is>
          <t>Implemented/available</t>
        </is>
      </c>
      <c r="J113" s="2" t="inlineStr">
        <is>
          <t>Implemented/available</t>
        </is>
      </c>
      <c r="K113" s="2" t="inlineStr">
        <is>
          <t>Implemented/available</t>
        </is>
      </c>
      <c r="L113" s="3">
        <f>Calc!B113</f>
        <v>100</v>
      </c>
      <c r="M113" s="3">
        <f>Calc!C113</f>
        <v>100</v>
      </c>
      <c r="N113" s="3">
        <f>Verification!F113</f>
        <v>100</v>
      </c>
      <c r="O113" s="3">
        <f>Calc!E113</f>
        <v>100</v>
      </c>
      <c r="P113" s="3">
        <f>Calc!F113</f>
        <v>100</v>
      </c>
      <c r="Q113" s="3">
        <f>Calc!G113</f>
        <v>100</v>
      </c>
      <c r="R113" s="3">
        <f>Calc!H113</f>
        <v>50</v>
      </c>
      <c r="S113" s="3">
        <f>AVERAGE(L113:R113)</f>
        <v>92.8571428571429</v>
      </c>
      <c r="T113" s="2">
        <f>RANK(S113,$S$2:$S$113,0)+(COUNTIF($S$2:$S$113,S113)-1)/2</f>
        <v>18</v>
      </c>
      <c r="U113" s="2">
        <f>Coverage!I113</f>
        <v>7</v>
      </c>
      <c r="V113" s="4">
        <f>Coverage!J113</f>
        <v>1</v>
      </c>
      <c r="W113" s="3">
        <f>IFERROR(SUMPRODUCT(L113:R113,Coverage!B113:H113)/U113,0)</f>
        <v>92.8571428571429</v>
      </c>
      <c r="X113" s="2" t="inlineStr">
        <is>
          <t>No independent verification recorded</t>
        </is>
      </c>
    </row>
  </sheetData>
  <autoFilter ref="A1:X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42" customWidth="1" min="3" max="3"/>
    <col width="14" customWidth="1" min="4" max="4"/>
    <col width="16" customWidth="1" min="5" max="5"/>
    <col width="88" customWidth="1" min="6" max="6"/>
    <col width="85" customWidth="1" min="7" max="7"/>
    <col width="82" customWidth="1" min="8" max="8"/>
  </cols>
  <sheetData>
    <row r="1" ht="32" customHeight="1">
      <c r="A1" s="1" t="inlineStr">
        <is>
          <t>Code</t>
        </is>
      </c>
      <c r="B1" s="1" t="inlineStr">
        <is>
          <t>Metric</t>
        </is>
      </c>
      <c r="C1" s="1" t="inlineStr">
        <is>
          <t>Source field(s)</t>
        </is>
      </c>
      <c r="D1" s="1" t="inlineStr">
        <is>
          <t>Exact weight</t>
        </is>
      </c>
      <c r="E1" s="1" t="inlineStr">
        <is>
          <t>Displayed weight</t>
        </is>
      </c>
      <c r="F1" s="1" t="inlineStr">
        <is>
          <t>Scoring criteria</t>
        </is>
      </c>
      <c r="G1" s="1" t="inlineStr">
        <is>
          <t>Unavailable-data treatment</t>
        </is>
      </c>
      <c r="H1" s="1" t="inlineStr">
        <is>
          <t>Why this metric is retained</t>
        </is>
      </c>
    </row>
    <row r="2">
      <c r="A2" s="2" t="inlineStr">
        <is>
          <t>G1</t>
        </is>
      </c>
      <c r="B2" s="2" t="inlineStr">
        <is>
          <t>Governance structure status</t>
        </is>
      </c>
      <c r="C2" s="2" t="inlineStr">
        <is>
          <t>024_governance_structure_status</t>
        </is>
      </c>
      <c r="D2" s="2" t="n">
        <v>0.1428571428571428</v>
      </c>
      <c r="E2" s="2" t="inlineStr">
        <is>
          <t>14.29%</t>
        </is>
      </c>
      <c r="F2" s="2" t="inlineStr">
        <is>
          <t>Implemented/available=100; In progress=67; Considering=33; Not planning=0.</t>
        </is>
      </c>
      <c r="G2" s="2" t="inlineStr">
        <is>
          <t>Unknown, not applicable, blank, or unrecognized=0 in final score; omitted from observed-only diagnostics. Explicit negative response counts as observed zero.</t>
        </is>
      </c>
      <c r="H2" s="2" t="inlineStr">
        <is>
          <t>Reports whether a governance structure is implemented or at an earlier stated stage; the data show responses across the status ladder.</t>
        </is>
      </c>
    </row>
    <row r="3">
      <c r="A3" s="2" t="inlineStr">
        <is>
          <t>G2</t>
        </is>
      </c>
      <c r="B3" s="2" t="inlineStr">
        <is>
          <t>Bylaws or equivalent formal rules</t>
        </is>
      </c>
      <c r="C3" s="2" t="inlineStr">
        <is>
          <t>108_bylaws_status</t>
        </is>
      </c>
      <c r="D3" s="2" t="n">
        <v>0.1428571428571428</v>
      </c>
      <c r="E3" s="2" t="inlineStr">
        <is>
          <t>14.29%</t>
        </is>
      </c>
      <c r="F3" s="2" t="inlineStr">
        <is>
          <t>Implemented/available=100; In progress=67; Considering=33; Not planning=0.</t>
        </is>
      </c>
      <c r="G3" s="2" t="inlineStr">
        <is>
          <t>Unknown, not applicable, blank, or unrecognized=0 in final score; omitted from observed-only diagnostics. Explicit negative response counts as observed zero.</t>
        </is>
      </c>
      <c r="H3" s="2" t="inlineStr">
        <is>
          <t>Captures written bylaws or equivalent rules as a distinct formal-governance element; report its comparatively high missingness.</t>
        </is>
      </c>
    </row>
    <row r="4">
      <c r="A4" s="2" t="inlineStr">
        <is>
          <t>G3</t>
        </is>
      </c>
      <c r="B4" s="2" t="inlineStr">
        <is>
          <t>Board or steering-body presence</t>
        </is>
      </c>
      <c r="C4" s="2" t="inlineStr">
        <is>
          <t>050_board_structure + 950_board_structure_other</t>
        </is>
      </c>
      <c r="D4" s="2" t="n">
        <v>0.1428571428571428</v>
      </c>
      <c r="E4" s="2" t="inlineStr">
        <is>
          <t>14.29%</t>
        </is>
      </c>
      <c r="F4" s="2" t="inlineStr">
        <is>
          <t>Recognized advisory/steering or multi-board category=100; None=0; Other=100 only when field 950 substantiates a relevant board/committee; otherwise 0 pending review.</t>
        </is>
      </c>
      <c r="G4" s="2" t="inlineStr">
        <is>
          <t>Blank=0 and unavailable. Other is scored 0 provisionally and flagged unless field 950 supports a relevant body; reviewer override 0/100 available. None is an observed zero.</t>
        </is>
      </c>
      <c r="H4" s="2" t="inlineStr">
        <is>
          <t>Captures whether a board/steering body exists. Corrects the former error that credited the explicit response None.</t>
        </is>
      </c>
    </row>
    <row r="5">
      <c r="A5" s="2" t="inlineStr">
        <is>
          <t>G4</t>
        </is>
      </c>
      <c r="B5" s="2" t="inlineStr">
        <is>
          <t>Web accessibility status</t>
        </is>
      </c>
      <c r="C5" s="2" t="inlineStr">
        <is>
          <t>029_web_accessibility_status</t>
        </is>
      </c>
      <c r="D5" s="2" t="n">
        <v>0.1428571428571428</v>
      </c>
      <c r="E5" s="2" t="inlineStr">
        <is>
          <t>14.29%</t>
        </is>
      </c>
      <c r="F5" s="2" t="inlineStr">
        <is>
          <t>Implemented/available=100; In progress=67; Considering=33; Not planning=0.</t>
        </is>
      </c>
      <c r="G5" s="2" t="inlineStr">
        <is>
          <t>Blank or unrecognized=0 and unavailable. Explicit None counts as observed zero.</t>
        </is>
      </c>
      <c r="H5" s="2" t="inlineStr">
        <is>
          <t>Captures the reported maturity of web accessibility status.</t>
        </is>
      </c>
    </row>
    <row r="6">
      <c r="A6" s="2" t="inlineStr">
        <is>
          <t>G5</t>
        </is>
      </c>
      <c r="B6" s="2" t="inlineStr">
        <is>
          <t>Equity commitment status</t>
        </is>
      </c>
      <c r="C6" s="2" t="inlineStr">
        <is>
          <t>035_commitment_to_equity_status</t>
        </is>
      </c>
      <c r="D6" s="2" t="n">
        <v>0.1428571428571428</v>
      </c>
      <c r="E6" s="2" t="inlineStr">
        <is>
          <t>14.29%</t>
        </is>
      </c>
      <c r="F6" s="2" t="inlineStr">
        <is>
          <t>Implemented/available=100; In progress=67; Considering=33; Not planning=0.</t>
        </is>
      </c>
      <c r="G6" s="2" t="inlineStr">
        <is>
          <t>Unknown, not applicable, blank, or unrecognized=0 in final score; omitted from observed-only diagnostics. Explicit negative response counts as observed zero.</t>
        </is>
      </c>
      <c r="H6" s="2" t="inlineStr">
        <is>
          <t>Captures the reported maturity of explicit equity commitments.</t>
        </is>
      </c>
    </row>
    <row r="7">
      <c r="A7" s="2" t="inlineStr">
        <is>
          <t>G6</t>
        </is>
      </c>
      <c r="B7" s="2" t="inlineStr">
        <is>
          <t>Privacy commitment status</t>
        </is>
      </c>
      <c r="C7" s="2" t="inlineStr">
        <is>
          <t>044_commitment_to_privacy_status</t>
        </is>
      </c>
      <c r="D7" s="2" t="n">
        <v>0.1428571428571428</v>
      </c>
      <c r="E7" s="2" t="inlineStr">
        <is>
          <t>14.29%</t>
        </is>
      </c>
      <c r="F7" s="2" t="inlineStr">
        <is>
          <t>Implemented/available=100; In progress=67; Considering=33; Not planning=0.</t>
        </is>
      </c>
      <c r="G7" s="2" t="inlineStr">
        <is>
          <t>Unknown, not applicable, blank, or unrecognized=0 in final score; omitted from observed-only diagnostics. Explicit negative response counts as observed zero.</t>
        </is>
      </c>
      <c r="H7" s="2" t="inlineStr">
        <is>
          <t>Captures the reported maturity of privacy commitments relevant to users and their data.</t>
        </is>
      </c>
    </row>
    <row r="8">
      <c r="A8" s="2" t="inlineStr">
        <is>
          <t>G7</t>
        </is>
      </c>
      <c r="B8" s="2" t="inlineStr">
        <is>
          <t>Community governance formality</t>
        </is>
      </c>
      <c r="C8" s="2" t="inlineStr">
        <is>
          <t>048_community_governance_status</t>
        </is>
      </c>
      <c r="D8" s="2" t="n">
        <v>0.1428571428571428</v>
      </c>
      <c r="E8" s="2" t="inlineStr">
        <is>
          <t>14.29%</t>
        </is>
      </c>
      <c r="F8" s="2" t="inlineStr">
        <is>
          <t>Formal=100; Ad hoc=50; None=0.</t>
        </is>
      </c>
      <c r="G8" s="2" t="inlineStr">
        <is>
          <t>Unknown, not applicable, blank, or unrecognized=0 in final score; omitted from observed-only diagnostics. Explicit negative response counts as observed zero.</t>
        </is>
      </c>
      <c r="H8" s="2" t="inlineStr">
        <is>
          <t>Measures formal versus ad hoc community participation in governance; all source service names match the governance dataset.</t>
        </is>
      </c>
    </row>
    <row r="9">
      <c r="A9" s="2" t="inlineStr">
        <is>
          <t>Total</t>
        </is>
      </c>
      <c r="B9" s="2" t="inlineStr"/>
      <c r="C9" s="2" t="inlineStr"/>
      <c r="D9" s="2" t="n">
        <v>1</v>
      </c>
      <c r="E9" s="2" t="inlineStr">
        <is>
          <t>100.00%</t>
        </is>
      </c>
      <c r="F9" s="2" t="inlineStr"/>
      <c r="G9" s="2" t="inlineStr"/>
      <c r="H9" s="2" t="inlineStr">
        <is>
          <t>Exact weight per metric is 1/7; 14.29% is display rounding.</t>
        </is>
      </c>
    </row>
  </sheetData>
  <autoFilter ref="A1:H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0" customWidth="1" min="1" max="1"/>
    <col width="125" customWidth="1" min="2" max="2"/>
  </cols>
  <sheetData>
    <row r="1" ht="32" customHeight="1">
      <c r="A1" s="1" t="inlineStr">
        <is>
          <t>Methodology and interpretation</t>
        </is>
      </c>
      <c r="B1" s="1" t="inlineStr">
        <is>
          <t>Details</t>
        </is>
      </c>
    </row>
    <row r="2">
      <c r="A2" s="2" t="inlineStr">
        <is>
          <t>Scope</t>
        </is>
      </c>
      <c r="B2" s="2" t="inlineStr">
        <is>
          <t>Seven indicators represent governance-structure status, formal rules, governing-body presence, community participation in governance, accessibility, equity, and privacy.</t>
        </is>
      </c>
    </row>
    <row r="3">
      <c r="A3" s="2" t="inlineStr">
        <is>
          <t>Equal weighting</t>
        </is>
      </c>
      <c r="B3" s="2" t="inlineStr">
        <is>
          <t>Each top-level metric receives exactly 1/7 of the score (14.2857%; displayed as 14.29%). Equal weighting is a transparent design choice, not an empirically estimated claim of equal causal importance.</t>
        </is>
      </c>
    </row>
    <row r="4">
      <c r="A4" s="2" t="inlineStr">
        <is>
          <t>Final formula</t>
        </is>
      </c>
      <c r="B4" s="2" t="inlineStr">
        <is>
          <t>Governance Practices Score = (G1 + G2 + G3 + G4 + G5 + G6 + G7) / 7. Each metric is scored from 0 to 100.</t>
        </is>
      </c>
    </row>
    <row r="5">
      <c r="A5" s="2" t="inlineStr">
        <is>
          <t>No coverage gate</t>
        </is>
      </c>
      <c r="B5" s="2" t="inlineStr">
        <is>
          <t>Every infrastructure receives a score. There is no minimum coverage or eligibility rule; the denominator stays seven.</t>
        </is>
      </c>
    </row>
    <row r="6">
      <c r="A6" s="2" t="inlineStr">
        <is>
          <t>Zero-fill assumption</t>
        </is>
      </c>
      <c r="B6" s="2" t="inlineStr">
        <is>
          <t>Unknown, Not applicable, blank, and unrecognized responses score zero in the final composite. This makes the score reflect reported performance and data completeness; zero does not prove absence of the underlying practice.</t>
        </is>
      </c>
    </row>
    <row r="7">
      <c r="A7" s="2" t="inlineStr">
        <is>
          <t>Coverage diagnostics</t>
        </is>
      </c>
      <c r="B7" s="2" t="inlineStr">
        <is>
          <t>Observed metric count and observed coverage (count/7) are reported but do not gate scoring. Explicit negative responses such as Not planning or None count as observed zero. Unknown, N/A, blank, and unresolved status values are excluded from observed coverage.</t>
        </is>
      </c>
    </row>
    <row r="8">
      <c r="A8" s="2" t="inlineStr">
        <is>
          <t>Observed-only mean</t>
        </is>
      </c>
      <c r="B8" s="2" t="inlineStr">
        <is>
          <t>Average the metric scores with observed data only. This is descriptive and uses a variable denominator; it is not the final score or primary zero-filled ranking.</t>
        </is>
      </c>
    </row>
    <row r="9">
      <c r="A9" s="2" t="inlineStr">
        <is>
          <t>048 source merge</t>
        </is>
      </c>
      <c r="B9" s="2" t="inlineStr">
        <is>
          <t>Community governance fields 048 and 049 are imported from the Community Engagement verification workbook and matched by exact service name. All 112 names match; the current Community Engagement index does not score 048 as a separate metric.</t>
        </is>
      </c>
    </row>
    <row r="10">
      <c r="A10" s="2" t="inlineStr">
        <is>
          <t>050 correction</t>
        </is>
      </c>
      <c r="B10" s="2" t="inlineStr">
        <is>
          <t>The prior binary rule awarded points to any nonblank value and therefore treated None as positive. The revised rule scores None=0 and requires field 950 evidence to count Other as a governing body. Other cases are flagged for review and may be overridden in Verification.</t>
        </is>
      </c>
    </row>
    <row r="11">
      <c r="A11" s="2" t="inlineStr">
        <is>
          <t>Fields excluded from score</t>
        </is>
      </c>
      <c r="B11" s="2" t="inlineStr">
        <is>
          <t>026 Governance records and 033 Transparent pricing are excluded as requested. Field 046 Values frameworks and 100 Board level remain descriptive; 046 contains heterogeneous frameworks and is blank for 76 entries, while 100 has only 15 responses. URLs and summaries are evidence/context, not additional metrics.</t>
        </is>
      </c>
    </row>
    <row r="12">
      <c r="A12" s="2" t="inlineStr">
        <is>
          <t>Why 033 is excluded</t>
        </is>
      </c>
      <c r="B12" s="2" t="inlineStr">
        <is>
          <t>The prior source has 59 No direct costs and 47 Implemented/available responses. Treating both as fully transparent pricing places 94.6% at the score ceiling and conflates absence of charge with price transparency.</t>
        </is>
      </c>
    </row>
    <row r="13">
      <c r="A13" s="2" t="inlineStr">
        <is>
          <t>Sensitivity analysis</t>
        </is>
      </c>
      <c r="B13" s="2" t="inlineStr">
        <is>
          <t>The zero-filled seven-metric score is the main result. Observed-only, complete-case, and six-metric results excluding G3 are included only as sensitivity checks; none exclude entries from the primary score.</t>
        </is>
      </c>
    </row>
    <row r="14">
      <c r="A14" s="2" t="inlineStr">
        <is>
          <t>Evidence limitation</t>
        </is>
      </c>
      <c r="B14" s="2" t="inlineStr">
        <is>
          <t>The source verification_status and verification_notes fields are empty for all entries. Scores are therefore based on recorded fields and have not been independently verified through every linked source.</t>
        </is>
      </c>
    </row>
    <row r="15">
      <c r="A15" s="2" t="inlineStr">
        <is>
          <t>Interpretation caution</t>
        </is>
      </c>
      <c r="B15" s="2" t="inlineStr">
        <is>
          <t>G1, G2, and G3 are related structural-governance indicators. Retaining all three gives the formal governance cluster 3/7 of the total metric weight. Sensitivity results show how much G3 influences rankings.</t>
        </is>
      </c>
    </row>
    <row r="16">
      <c r="A16" s="2" t="inlineStr">
        <is>
          <t>No bands</t>
        </is>
      </c>
      <c r="B16" s="2" t="inlineStr">
        <is>
          <t>No 70-point cutoff or high/medium/low performance bands are applied.</t>
        </is>
      </c>
    </row>
  </sheetData>
  <autoFilter ref="A1:B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3" customWidth="1" min="1" max="1"/>
    <col width="40" customWidth="1" min="2" max="2"/>
    <col width="95" customWidth="1" min="3" max="3"/>
  </cols>
  <sheetData>
    <row r="1" ht="32" customHeight="1">
      <c r="A1" s="1" t="inlineStr">
        <is>
          <t>Parameter</t>
        </is>
      </c>
      <c r="B1" s="1" t="inlineStr">
        <is>
          <t>Value</t>
        </is>
      </c>
      <c r="C1" s="1" t="inlineStr">
        <is>
          <t>Explanation</t>
        </is>
      </c>
    </row>
    <row r="2">
      <c r="A2" s="2" t="inlineStr">
        <is>
          <t>Number of metrics</t>
        </is>
      </c>
      <c r="B2" s="2" t="n">
        <v>7</v>
      </c>
      <c r="C2" s="2" t="inlineStr">
        <is>
          <t>G1 through G7</t>
        </is>
      </c>
    </row>
    <row r="3">
      <c r="A3" s="2" t="inlineStr">
        <is>
          <t>Exact metric weight</t>
        </is>
      </c>
      <c r="B3" s="2" t="n">
        <v>0.1428571428571428</v>
      </c>
      <c r="C3" s="2" t="inlineStr">
        <is>
          <t>Each metric contributes equally; exact weight sums to 100%.</t>
        </is>
      </c>
    </row>
    <row r="4">
      <c r="A4" s="2" t="inlineStr">
        <is>
          <t>Displayed metric weight</t>
        </is>
      </c>
      <c r="B4" s="2" t="inlineStr">
        <is>
          <t>14.29%</t>
        </is>
      </c>
      <c r="C4" s="2" t="inlineStr">
        <is>
          <t>Rounded display only.</t>
        </is>
      </c>
    </row>
    <row r="5">
      <c r="A5" s="2" t="inlineStr">
        <is>
          <t>Final score denominator</t>
        </is>
      </c>
      <c r="B5" s="2" t="n">
        <v>7</v>
      </c>
      <c r="C5" s="2" t="inlineStr">
        <is>
          <t>Fixed for every infrastructure.</t>
        </is>
      </c>
    </row>
    <row r="6">
      <c r="A6" s="2" t="inlineStr">
        <is>
          <t>Coverage eligibility threshold</t>
        </is>
      </c>
      <c r="B6" s="2" t="inlineStr">
        <is>
          <t>None</t>
        </is>
      </c>
      <c r="C6" s="2" t="inlineStr">
        <is>
          <t>Coverage is diagnostic only; all entries are scored.</t>
        </is>
      </c>
    </row>
    <row r="7">
      <c r="A7" s="2" t="inlineStr">
        <is>
          <t>Unavailable-data treatment</t>
        </is>
      </c>
      <c r="B7" s="2" t="n">
        <v>0</v>
      </c>
      <c r="C7" s="2" t="inlineStr">
        <is>
          <t>Unknown, N/A, blank, or unrecognized values contribute zero to the final score.</t>
        </is>
      </c>
    </row>
    <row r="8">
      <c r="A8" s="2" t="inlineStr">
        <is>
          <t>Status ladder</t>
        </is>
      </c>
      <c r="B8" s="2" t="inlineStr">
        <is>
          <t>100 / 67 / 33 / 0</t>
        </is>
      </c>
      <c r="C8" s="2" t="inlineStr">
        <is>
          <t>Implemented / In progress / Considering / Not planning.</t>
        </is>
      </c>
    </row>
    <row r="9">
      <c r="A9" s="2" t="inlineStr">
        <is>
          <t>Community governance ladder</t>
        </is>
      </c>
      <c r="B9" s="2" t="inlineStr">
        <is>
          <t>100 / 50 / 0</t>
        </is>
      </c>
      <c r="C9" s="2" t="inlineStr">
        <is>
          <t>Formal / Ad hoc / None.</t>
        </is>
      </c>
    </row>
    <row r="10">
      <c r="A10" s="2" t="inlineStr">
        <is>
          <t>050 Other handling</t>
        </is>
      </c>
      <c r="B10" s="2" t="inlineStr">
        <is>
          <t>Review + override</t>
        </is>
      </c>
      <c r="C10" s="2" t="inlineStr">
        <is>
          <t>Use 950 description; score 100 only when a relevant board or committee is substantiated.</t>
        </is>
      </c>
    </row>
  </sheetData>
  <autoFilter ref="A1:C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2" customWidth="1" min="1" max="1"/>
    <col width="44" customWidth="1" min="2" max="2"/>
    <col width="14" customWidth="1" min="3" max="3"/>
    <col width="18" customWidth="1" min="4" max="4"/>
    <col width="23" customWidth="1" min="5" max="5"/>
    <col width="23" customWidth="1" min="6" max="6"/>
    <col width="21" customWidth="1" min="7" max="7"/>
    <col width="25" customWidth="1" min="8" max="8"/>
    <col width="25" customWidth="1" min="9" max="9"/>
    <col width="86" customWidth="1" min="10" max="10"/>
  </cols>
  <sheetData>
    <row r="1" ht="32" customHeight="1">
      <c r="A1" s="1" t="inlineStr">
        <is>
          <t>Metric</t>
        </is>
      </c>
      <c r="B1" s="1" t="inlineStr">
        <is>
          <t>Source field(s)</t>
        </is>
      </c>
      <c r="C1" s="1" t="inlineStr">
        <is>
          <t>Observed n</t>
        </is>
      </c>
      <c r="D1" s="1" t="inlineStr">
        <is>
          <t>Observed coverage</t>
        </is>
      </c>
      <c r="E1" s="1" t="inlineStr">
        <is>
          <t>Mean among observed</t>
        </is>
      </c>
      <c r="F1" s="1" t="inlineStr">
        <is>
          <t>Mean under zero-fill</t>
        </is>
      </c>
      <c r="G1" s="1" t="inlineStr">
        <is>
          <t>SD among observed</t>
        </is>
      </c>
      <c r="H1" s="1" t="inlineStr">
        <is>
          <t>% at 100 among observed</t>
        </is>
      </c>
      <c r="I1" s="1" t="inlineStr">
        <is>
          <t>% at 0 among observed</t>
        </is>
      </c>
      <c r="J1" s="1" t="inlineStr">
        <is>
          <t>Reading</t>
        </is>
      </c>
    </row>
    <row r="2">
      <c r="A2" s="2" t="inlineStr">
        <is>
          <t>G1 Governance structure status</t>
        </is>
      </c>
      <c r="B2" s="2" t="inlineStr">
        <is>
          <t>024_governance_structure_status</t>
        </is>
      </c>
      <c r="C2" s="2" t="n">
        <v>107</v>
      </c>
      <c r="D2" s="4" t="n">
        <v>0.9553571428571429</v>
      </c>
      <c r="E2" s="3" t="n">
        <v>82.57009345794393</v>
      </c>
      <c r="F2" s="3" t="n">
        <v>78.88392857142857</v>
      </c>
      <c r="G2" s="3" t="n">
        <v>30.37433500661487</v>
      </c>
      <c r="H2" s="4" t="n">
        <v>0.7009345794392523</v>
      </c>
      <c r="I2" s="4" t="n">
        <v>0.06542056074766354</v>
      </c>
      <c r="J2" s="2" t="inlineStr">
        <is>
          <t>Broad status variation; unknown values are zero-filled.</t>
        </is>
      </c>
    </row>
    <row r="3">
      <c r="A3" s="2" t="inlineStr">
        <is>
          <t>G2 Bylaws or equivalent formal rules</t>
        </is>
      </c>
      <c r="B3" s="2" t="inlineStr">
        <is>
          <t>108_bylaws_status</t>
        </is>
      </c>
      <c r="C3" s="2" t="n">
        <v>83</v>
      </c>
      <c r="D3" s="4" t="n">
        <v>0.7410714285714286</v>
      </c>
      <c r="E3" s="3" t="n">
        <v>69.46987951807229</v>
      </c>
      <c r="F3" s="3" t="n">
        <v>51.48214285714285</v>
      </c>
      <c r="G3" s="3" t="n">
        <v>44.28422367221248</v>
      </c>
      <c r="H3" s="4" t="n">
        <v>0.6626506024096386</v>
      </c>
      <c r="I3" s="4" t="n">
        <v>0.2650602409638554</v>
      </c>
      <c r="J3" s="2" t="inlineStr">
        <is>
          <t>29 unknown values; zero-fill materially affects its mean.</t>
        </is>
      </c>
    </row>
    <row r="4">
      <c r="A4" s="2" t="inlineStr">
        <is>
          <t>G3 Board or steering-body presence</t>
        </is>
      </c>
      <c r="B4" s="2" t="inlineStr">
        <is>
          <t>050_board_structure + 950_board_structure_other</t>
        </is>
      </c>
      <c r="C4" s="2" t="n">
        <v>107</v>
      </c>
      <c r="D4" s="4" t="n">
        <v>0.9553571428571429</v>
      </c>
      <c r="E4" s="3" t="n">
        <v>75.70093457943925</v>
      </c>
      <c r="F4" s="3" t="n">
        <v>72.32142857142857</v>
      </c>
      <c r="G4" s="3" t="n">
        <v>42.88894917975239</v>
      </c>
      <c r="H4" s="4" t="n">
        <v>0.7570093457943925</v>
      </c>
      <c r="I4" s="4" t="n">
        <v>0.2429906542056075</v>
      </c>
      <c r="J4" s="2" t="inlineStr">
        <is>
          <t>Other values need review; explicit None correctly scores zero.</t>
        </is>
      </c>
    </row>
    <row r="5">
      <c r="A5" s="2" t="inlineStr">
        <is>
          <t>G4 Web accessibility status</t>
        </is>
      </c>
      <c r="B5" s="2" t="inlineStr">
        <is>
          <t>029_web_accessibility_status</t>
        </is>
      </c>
      <c r="C5" s="2" t="n">
        <v>102</v>
      </c>
      <c r="D5" s="4" t="n">
        <v>0.9107142857142857</v>
      </c>
      <c r="E5" s="3" t="n">
        <v>62.75490196078432</v>
      </c>
      <c r="F5" s="3" t="n">
        <v>57.15178571428572</v>
      </c>
      <c r="G5" s="3" t="n">
        <v>32.53307103955755</v>
      </c>
      <c r="H5" s="4" t="n">
        <v>0.3333333333333333</v>
      </c>
      <c r="I5" s="4" t="n">
        <v>0.08823529411764706</v>
      </c>
      <c r="J5" s="2" t="inlineStr">
        <is>
          <t>Accessibility applicability field is sparse; use status as recorded.</t>
        </is>
      </c>
    </row>
    <row r="6">
      <c r="A6" s="2" t="inlineStr">
        <is>
          <t>G5 Equity commitment status</t>
        </is>
      </c>
      <c r="B6" s="2" t="inlineStr">
        <is>
          <t>035_commitment_to_equity_status</t>
        </is>
      </c>
      <c r="C6" s="2" t="n">
        <v>103</v>
      </c>
      <c r="D6" s="4" t="n">
        <v>0.9196428571428571</v>
      </c>
      <c r="E6" s="3" t="n">
        <v>62.10679611650485</v>
      </c>
      <c r="F6" s="3" t="n">
        <v>57.11607142857143</v>
      </c>
      <c r="G6" s="3" t="n">
        <v>35.47757739054516</v>
      </c>
      <c r="H6" s="4" t="n">
        <v>0.3883495145631068</v>
      </c>
      <c r="I6" s="4" t="n">
        <v>0.116504854368932</v>
      </c>
      <c r="J6" s="2" t="inlineStr">
        <is>
          <t>Equity commitment has good spread across status levels.</t>
        </is>
      </c>
    </row>
    <row r="7">
      <c r="A7" s="2" t="inlineStr">
        <is>
          <t>G6 Privacy commitment status</t>
        </is>
      </c>
      <c r="B7" s="2" t="inlineStr">
        <is>
          <t>044_commitment_to_privacy_status</t>
        </is>
      </c>
      <c r="C7" s="2" t="n">
        <v>99</v>
      </c>
      <c r="D7" s="4" t="n">
        <v>0.8839285714285714</v>
      </c>
      <c r="E7" s="3" t="n">
        <v>79.45454545454545</v>
      </c>
      <c r="F7" s="3" t="n">
        <v>70.23214285714286</v>
      </c>
      <c r="G7" s="3" t="n">
        <v>36.93818826182621</v>
      </c>
      <c r="H7" s="4" t="n">
        <v>0.7373737373737373</v>
      </c>
      <c r="I7" s="4" t="n">
        <v>0.1414141414141414</v>
      </c>
      <c r="J7" s="2" t="inlineStr">
        <is>
          <t>High implemented share; still retains non-ceiling variation.</t>
        </is>
      </c>
    </row>
    <row r="8">
      <c r="A8" s="2" t="inlineStr">
        <is>
          <t>G7 Community governance formality</t>
        </is>
      </c>
      <c r="B8" s="2" t="inlineStr">
        <is>
          <t>048_community_governance_status</t>
        </is>
      </c>
      <c r="C8" s="2" t="n">
        <v>106</v>
      </c>
      <c r="D8" s="4" t="n">
        <v>0.9464285714285714</v>
      </c>
      <c r="E8" s="3" t="n">
        <v>65.56603773584905</v>
      </c>
      <c r="F8" s="3" t="n">
        <v>62.05357142857143</v>
      </c>
      <c r="G8" s="3" t="n">
        <v>37.84477204440417</v>
      </c>
      <c r="H8" s="4" t="n">
        <v>0.4905660377358491</v>
      </c>
      <c r="I8" s="4" t="n">
        <v>0.1792452830188679</v>
      </c>
      <c r="J8" s="2" t="inlineStr">
        <is>
          <t>Community governance is sourced from the matched CE sheet; six blanks.</t>
        </is>
      </c>
    </row>
    <row r="9">
      <c r="A9" s="2" t="n"/>
      <c r="B9" s="2" t="n"/>
      <c r="C9" s="2" t="n"/>
      <c r="D9" s="2" t="n"/>
      <c r="E9" s="2" t="n"/>
      <c r="F9" s="2" t="n"/>
      <c r="G9" s="2" t="n"/>
      <c r="H9" s="2" t="n"/>
      <c r="I9" s="2" t="n"/>
      <c r="J9" s="2" t="n"/>
    </row>
    <row r="10">
      <c r="A10" s="2" t="inlineStr">
        <is>
          <t>Component summary</t>
        </is>
      </c>
      <c r="B10" s="2" t="inlineStr">
        <is>
          <t>Value</t>
        </is>
      </c>
      <c r="C10" s="2" t="n"/>
      <c r="D10" s="2" t="n"/>
      <c r="E10" s="2" t="n"/>
      <c r="F10" s="2" t="n"/>
      <c r="G10" s="2" t="n"/>
      <c r="H10" s="2" t="n"/>
      <c r="I10" s="2" t="n"/>
      <c r="J10" s="2" t="n"/>
    </row>
    <row r="11">
      <c r="A11" s="2" t="inlineStr">
        <is>
          <t>Entries scored</t>
        </is>
      </c>
      <c r="B11" s="2" t="n">
        <v>112</v>
      </c>
      <c r="C11" s="2" t="n"/>
      <c r="D11" s="2" t="n"/>
      <c r="E11" s="2" t="n"/>
      <c r="F11" s="2" t="n"/>
      <c r="G11" s="2" t="n"/>
      <c r="H11" s="2" t="n"/>
      <c r="I11" s="2" t="n"/>
      <c r="J11" s="2" t="n"/>
    </row>
    <row r="12">
      <c r="A12" s="2" t="inlineStr">
        <is>
          <t>Metrics</t>
        </is>
      </c>
      <c r="B12" s="2" t="n">
        <v>7</v>
      </c>
      <c r="C12" s="2" t="n"/>
      <c r="D12" s="2" t="n"/>
      <c r="E12" s="2" t="n"/>
      <c r="F12" s="2" t="n"/>
      <c r="G12" s="2" t="n"/>
      <c r="H12" s="2" t="n"/>
      <c r="I12" s="2" t="n"/>
      <c r="J12" s="2" t="n"/>
    </row>
    <row r="13">
      <c r="A13" s="2" t="inlineStr">
        <is>
          <t>Weight per metric</t>
        </is>
      </c>
      <c r="B13" s="2" t="inlineStr">
        <is>
          <t>1/7 = 14.2857% (display 14.29%)</t>
        </is>
      </c>
      <c r="C13" s="2" t="n"/>
      <c r="D13" s="2" t="n"/>
      <c r="E13" s="2" t="n"/>
      <c r="F13" s="2" t="n"/>
      <c r="G13" s="2" t="n"/>
      <c r="H13" s="2" t="n"/>
      <c r="I13" s="2" t="n"/>
      <c r="J13" s="2" t="n"/>
    </row>
    <row r="14">
      <c r="A14" s="2" t="inlineStr">
        <is>
          <t>Mean zero-filled score</t>
        </is>
      </c>
      <c r="B14" s="2" t="n">
        <v>64.17729591836735</v>
      </c>
      <c r="C14" s="2" t="n"/>
      <c r="D14" s="2" t="n"/>
      <c r="E14" s="2" t="n"/>
      <c r="F14" s="2" t="n"/>
      <c r="G14" s="2" t="n"/>
      <c r="H14" s="2" t="n"/>
      <c r="I14" s="2" t="n"/>
      <c r="J14" s="2" t="n"/>
    </row>
    <row r="15">
      <c r="A15" s="2" t="inlineStr">
        <is>
          <t>Median zero-filled score</t>
        </is>
      </c>
      <c r="B15" s="2" t="n">
        <v>70.21428571428572</v>
      </c>
      <c r="C15" s="2" t="n"/>
      <c r="D15" s="2" t="n"/>
      <c r="E15" s="2" t="n"/>
      <c r="F15" s="2" t="n"/>
      <c r="G15" s="2" t="n"/>
      <c r="H15" s="2" t="n"/>
      <c r="I15" s="2" t="n"/>
      <c r="J15" s="2" t="n"/>
    </row>
    <row r="16">
      <c r="A16" s="2" t="inlineStr">
        <is>
          <t>Score standard deviation</t>
        </is>
      </c>
      <c r="B16" s="2" t="n">
        <v>26.00008582021967</v>
      </c>
      <c r="C16" s="2" t="n"/>
      <c r="D16" s="2" t="n"/>
      <c r="E16" s="2" t="n"/>
      <c r="F16" s="2" t="n"/>
      <c r="G16" s="2" t="n"/>
      <c r="H16" s="2" t="n"/>
      <c r="I16" s="2" t="n"/>
      <c r="J16" s="2" t="n"/>
    </row>
    <row r="17">
      <c r="A17" s="2" t="inlineStr">
        <is>
          <t>Minimum score</t>
        </is>
      </c>
      <c r="B17" s="2" t="n">
        <v>0</v>
      </c>
      <c r="C17" s="2" t="n"/>
      <c r="D17" s="2" t="n"/>
      <c r="E17" s="2" t="n"/>
      <c r="F17" s="2" t="n"/>
      <c r="G17" s="2" t="n"/>
      <c r="H17" s="2" t="n"/>
      <c r="I17" s="2" t="n"/>
      <c r="J17" s="2" t="n"/>
    </row>
    <row r="18">
      <c r="A18" s="2" t="inlineStr">
        <is>
          <t>Maximum score</t>
        </is>
      </c>
      <c r="B18" s="2" t="n">
        <v>100</v>
      </c>
      <c r="C18" s="2" t="n"/>
      <c r="D18" s="2" t="n"/>
      <c r="E18" s="2" t="n"/>
      <c r="F18" s="2" t="n"/>
      <c r="G18" s="2" t="n"/>
      <c r="H18" s="2" t="n"/>
      <c r="I18" s="2" t="n"/>
      <c r="J18" s="2" t="n"/>
    </row>
    <row r="19">
      <c r="A19" s="2" t="inlineStr">
        <is>
          <t>Mean observed coverage</t>
        </is>
      </c>
      <c r="B19" s="2" t="n">
        <v>0.9017857142857143</v>
      </c>
      <c r="C19" s="2" t="n"/>
      <c r="D19" s="2" t="n"/>
      <c r="E19" s="2" t="n"/>
      <c r="F19" s="2" t="n"/>
      <c r="G19" s="2" t="n"/>
      <c r="H19" s="2" t="n"/>
      <c r="I19" s="2" t="n"/>
      <c r="J19" s="2" t="n"/>
    </row>
    <row r="20">
      <c r="A20" s="2" t="inlineStr">
        <is>
          <t>All seven metrics observed</t>
        </is>
      </c>
      <c r="B20" s="2" t="n">
        <v>68</v>
      </c>
      <c r="C20" s="2" t="n"/>
      <c r="D20" s="2" t="n"/>
      <c r="E20" s="2" t="n"/>
      <c r="F20" s="2" t="n"/>
      <c r="G20" s="2" t="n"/>
      <c r="H20" s="2" t="n"/>
      <c r="I20" s="2" t="n"/>
      <c r="J20" s="2" t="n"/>
    </row>
    <row r="21">
      <c r="A21" s="2" t="inlineStr">
        <is>
          <t>Verification data</t>
        </is>
      </c>
      <c r="B21" s="2" t="inlineStr">
        <is>
          <t>verification_status and verification_notes are blank across the source entries.</t>
        </is>
      </c>
      <c r="C21" s="2" t="n"/>
      <c r="D21" s="2" t="n"/>
      <c r="E21" s="2" t="n"/>
      <c r="F21" s="2" t="n"/>
      <c r="G21" s="2" t="n"/>
      <c r="H21" s="2" t="n"/>
      <c r="I21" s="2" t="n"/>
      <c r="J21" s="2" t="n"/>
    </row>
  </sheetData>
  <autoFilter ref="A1:J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 width="22" customWidth="1" min="3" max="3"/>
    <col width="25" customWidth="1" min="4" max="4"/>
    <col width="24" customWidth="1" min="5" max="5"/>
    <col width="24" customWidth="1" min="6" max="6"/>
    <col width="90" customWidth="1" min="7" max="7"/>
  </cols>
  <sheetData>
    <row r="1" ht="32" customHeight="1">
      <c r="A1" s="1" t="inlineStr">
        <is>
          <t>Sensitivity variant</t>
        </is>
      </c>
      <c r="B1" s="1" t="inlineStr">
        <is>
          <t>Entries</t>
        </is>
      </c>
      <c r="C1" s="1" t="inlineStr">
        <is>
          <t>Spearman rho vs baseline</t>
        </is>
      </c>
      <c r="D1" s="1" t="inlineStr">
        <is>
          <t>Mean absolute score change</t>
        </is>
      </c>
      <c r="E1" s="1" t="inlineStr">
        <is>
          <t>Max absolute score change</t>
        </is>
      </c>
      <c r="F1" s="1" t="inlineStr">
        <is>
          <t>Entries moving &gt;=10 ranks</t>
        </is>
      </c>
      <c r="G1" s="1" t="inlineStr">
        <is>
          <t>Interpretation</t>
        </is>
      </c>
    </row>
    <row r="2">
      <c r="A2" s="2" t="inlineStr">
        <is>
          <t>Baseline: seven-metric zero-filled</t>
        </is>
      </c>
      <c r="B2" s="2" t="n">
        <v>112</v>
      </c>
      <c r="C2" s="2" t="n">
        <v>1</v>
      </c>
      <c r="D2" s="2" t="n">
        <v>0</v>
      </c>
      <c r="E2" s="2" t="n">
        <v>0</v>
      </c>
      <c r="F2" s="2" t="n">
        <v>0</v>
      </c>
      <c r="G2" s="2" t="inlineStr">
        <is>
          <t>Primary result; all entries scored.</t>
        </is>
      </c>
    </row>
    <row r="3">
      <c r="A3" s="2" t="inlineStr">
        <is>
          <t>Observed-only mean</t>
        </is>
      </c>
      <c r="B3" s="2" t="n">
        <v>112</v>
      </c>
      <c r="C3" s="2" t="n">
        <v>0.9342237020274308</v>
      </c>
      <c r="D3" s="2" t="n">
        <v>5.65172193877551</v>
      </c>
      <c r="E3" s="2" t="n">
        <v>47.85714285714286</v>
      </c>
      <c r="F3" s="2" t="n">
        <v>40</v>
      </c>
      <c r="G3" s="2" t="inlineStr">
        <is>
          <t>Diagnostic only; variable denominator and partial coverage.</t>
        </is>
      </c>
    </row>
    <row r="4">
      <c r="A4" s="2" t="inlineStr">
        <is>
          <t>Complete-data subset, same seven metrics</t>
        </is>
      </c>
      <c r="B4" s="2" t="n">
        <v>68</v>
      </c>
      <c r="C4" s="2" t="n">
        <v>1</v>
      </c>
      <c r="D4" s="2" t="n">
        <v>0</v>
      </c>
      <c r="E4" s="2" t="n">
        <v>0</v>
      </c>
      <c r="F4" s="2" t="n">
        <v>0</v>
      </c>
      <c r="G4" s="2" t="inlineStr">
        <is>
          <t>Sensitivity only; does not exclude other entries from the main score.</t>
        </is>
      </c>
    </row>
    <row r="5">
      <c r="A5" s="2" t="inlineStr">
        <is>
          <t>Six-metric variant excluding G3</t>
        </is>
      </c>
      <c r="B5" s="2" t="n">
        <v>112</v>
      </c>
      <c r="C5" s="2" t="n">
        <v>0.9798553996654565</v>
      </c>
      <c r="D5" s="2" t="n">
        <v>4.729379251700681</v>
      </c>
      <c r="E5" s="2" t="n">
        <v>13.5</v>
      </c>
      <c r="F5" s="2" t="n">
        <v>12</v>
      </c>
      <c r="G5" s="2" t="inlineStr">
        <is>
          <t>Sensitivity check for the influence of board-presence metric; not the official metric set.</t>
        </is>
      </c>
    </row>
    <row r="6">
      <c r="A6" s="2" t="n"/>
      <c r="B6" s="2" t="n"/>
      <c r="C6" s="2" t="n"/>
      <c r="D6" s="2" t="n"/>
      <c r="E6" s="2" t="n"/>
      <c r="F6" s="2" t="n"/>
      <c r="G6" s="2" t="n"/>
    </row>
    <row r="7">
      <c r="A7" s="2" t="inlineStr">
        <is>
          <t>Note</t>
        </is>
      </c>
      <c r="B7" s="2" t="inlineStr">
        <is>
          <t>G3 sensitivity uses provisional 050/950 coding. Refresh this workbook after reviewer overrides to update all result and sensitivity tables.</t>
        </is>
      </c>
      <c r="C7" s="2" t="n"/>
      <c r="D7" s="2" t="n"/>
      <c r="E7" s="2" t="n"/>
      <c r="F7" s="2" t="n"/>
      <c r="G7" s="2" t="n"/>
    </row>
  </sheetData>
  <autoFilter ref="A1:G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37" customWidth="1" min="1" max="1"/>
    <col width="17" customWidth="1" min="2" max="2"/>
    <col width="17" customWidth="1" min="3" max="3"/>
    <col width="17" customWidth="1" min="4" max="4"/>
    <col width="17" customWidth="1" min="5" max="5"/>
    <col width="17" customWidth="1" min="6" max="6"/>
    <col width="17" customWidth="1" min="7" max="7"/>
    <col width="17" customWidth="1" min="8" max="8"/>
    <col width="22" customWidth="1" min="9" max="9"/>
    <col width="18" customWidth="1" min="10" max="10"/>
    <col width="20" customWidth="1" min="11" max="11"/>
    <col width="22" customWidth="1" min="12" max="12"/>
  </cols>
  <sheetData>
    <row r="1" ht="32" customHeight="1">
      <c r="A1" s="1" t="inlineStr">
        <is>
          <t>Service</t>
        </is>
      </c>
      <c r="B1" s="1" t="inlineStr">
        <is>
          <t>G1 observed</t>
        </is>
      </c>
      <c r="C1" s="1" t="inlineStr">
        <is>
          <t>G2 observed</t>
        </is>
      </c>
      <c r="D1" s="1" t="inlineStr">
        <is>
          <t>G3 observed</t>
        </is>
      </c>
      <c r="E1" s="1" t="inlineStr">
        <is>
          <t>G4 observed</t>
        </is>
      </c>
      <c r="F1" s="1" t="inlineStr">
        <is>
          <t>G5 observed</t>
        </is>
      </c>
      <c r="G1" s="1" t="inlineStr">
        <is>
          <t>G6 observed</t>
        </is>
      </c>
      <c r="H1" s="1" t="inlineStr">
        <is>
          <t>G7 observed</t>
        </is>
      </c>
      <c r="I1" s="1" t="inlineStr">
        <is>
          <t>Available metrics (of 7)</t>
        </is>
      </c>
      <c r="J1" s="1" t="inlineStr">
        <is>
          <t>Observed coverage</t>
        </is>
      </c>
      <c r="K1" s="1" t="inlineStr">
        <is>
          <t>Observed-only mean</t>
        </is>
      </c>
      <c r="L1" s="1" t="inlineStr">
        <is>
          <t>Zero-filled final score</t>
        </is>
      </c>
    </row>
    <row r="2">
      <c r="A2" s="2" t="inlineStr">
        <is>
          <t>2i2c</t>
        </is>
      </c>
      <c r="B2" s="2" t="n">
        <v>1</v>
      </c>
      <c r="C2" s="2" t="n">
        <v>0</v>
      </c>
      <c r="D2" s="2" t="n">
        <v>1</v>
      </c>
      <c r="E2" s="2" t="n">
        <v>1</v>
      </c>
      <c r="F2" s="2" t="n">
        <v>1</v>
      </c>
      <c r="G2" s="2" t="n">
        <v>1</v>
      </c>
      <c r="H2" s="2" t="n">
        <v>1</v>
      </c>
      <c r="I2" s="2" t="n">
        <v>6</v>
      </c>
      <c r="J2" s="4" t="n">
        <v>0.8571428571428571</v>
      </c>
      <c r="K2" s="3">
        <f>Scoring!W2</f>
        <v>55.5</v>
      </c>
      <c r="L2" s="3">
        <f>Scoring!S2</f>
        <v>47.5714285714286</v>
      </c>
    </row>
    <row r="3">
      <c r="A3" s="2" t="inlineStr">
        <is>
          <t>Academic Preservation Trust (APTrust)</t>
        </is>
      </c>
      <c r="B3" s="2" t="n">
        <v>1</v>
      </c>
      <c r="C3" s="2" t="n">
        <v>1</v>
      </c>
      <c r="D3" s="2" t="n">
        <v>1</v>
      </c>
      <c r="E3" s="2" t="n">
        <v>1</v>
      </c>
      <c r="F3" s="2" t="n">
        <v>1</v>
      </c>
      <c r="G3" s="2" t="n">
        <v>1</v>
      </c>
      <c r="H3" s="2" t="n">
        <v>1</v>
      </c>
      <c r="I3" s="2" t="n">
        <v>7</v>
      </c>
      <c r="J3" s="4" t="n">
        <v>1</v>
      </c>
      <c r="K3" s="3">
        <f>Scoring!W3</f>
        <v>76.1428571428571</v>
      </c>
      <c r="L3" s="3">
        <f>Scoring!S3</f>
        <v>76.1428571428571</v>
      </c>
    </row>
    <row r="4">
      <c r="A4" s="2" t="inlineStr">
        <is>
          <t>AfricArXiv</t>
        </is>
      </c>
      <c r="B4" s="2" t="n">
        <v>1</v>
      </c>
      <c r="C4" s="2" t="n">
        <v>1</v>
      </c>
      <c r="D4" s="2" t="n">
        <v>1</v>
      </c>
      <c r="E4" s="2" t="n">
        <v>1</v>
      </c>
      <c r="F4" s="2" t="n">
        <v>1</v>
      </c>
      <c r="G4" s="2" t="n">
        <v>1</v>
      </c>
      <c r="H4" s="2" t="n">
        <v>1</v>
      </c>
      <c r="I4" s="2" t="n">
        <v>7</v>
      </c>
      <c r="J4" s="4" t="n">
        <v>1</v>
      </c>
      <c r="K4" s="3">
        <f>Scoring!W4</f>
        <v>69.1428571428571</v>
      </c>
      <c r="L4" s="3">
        <f>Scoring!S4</f>
        <v>69.1428571428571</v>
      </c>
    </row>
    <row r="5">
      <c r="A5" s="2" t="inlineStr">
        <is>
          <t>Arches Heritage Data Management Platform</t>
        </is>
      </c>
      <c r="B5" s="2" t="n">
        <v>1</v>
      </c>
      <c r="C5" s="2" t="n">
        <v>1</v>
      </c>
      <c r="D5" s="2" t="n">
        <v>1</v>
      </c>
      <c r="E5" s="2" t="n">
        <v>1</v>
      </c>
      <c r="F5" s="2" t="n">
        <v>1</v>
      </c>
      <c r="G5" s="2" t="n">
        <v>1</v>
      </c>
      <c r="H5" s="2" t="n">
        <v>1</v>
      </c>
      <c r="I5" s="2" t="n">
        <v>7</v>
      </c>
      <c r="J5" s="4" t="n">
        <v>1</v>
      </c>
      <c r="K5" s="3">
        <f>Scoring!W5</f>
        <v>71.4285714285714</v>
      </c>
      <c r="L5" s="3">
        <f>Scoring!S5</f>
        <v>71.4285714285714</v>
      </c>
    </row>
    <row r="6">
      <c r="A6" s="2" t="inlineStr">
        <is>
          <t>Archipelago Commons</t>
        </is>
      </c>
      <c r="B6" s="2" t="n">
        <v>1</v>
      </c>
      <c r="C6" s="2" t="n">
        <v>1</v>
      </c>
      <c r="D6" s="2" t="n">
        <v>1</v>
      </c>
      <c r="E6" s="2" t="n">
        <v>1</v>
      </c>
      <c r="F6" s="2" t="n">
        <v>1</v>
      </c>
      <c r="G6" s="2" t="n">
        <v>1</v>
      </c>
      <c r="H6" s="2" t="n">
        <v>1</v>
      </c>
      <c r="I6" s="2" t="n">
        <v>7</v>
      </c>
      <c r="J6" s="4" t="n">
        <v>1</v>
      </c>
      <c r="K6" s="3">
        <f>Scoring!W6</f>
        <v>90.4285714285714</v>
      </c>
      <c r="L6" s="3">
        <f>Scoring!S6</f>
        <v>90.4285714285714</v>
      </c>
    </row>
    <row r="7">
      <c r="A7" s="2" t="inlineStr">
        <is>
          <t>Archival Resource Key</t>
        </is>
      </c>
      <c r="B7" s="2" t="n">
        <v>1</v>
      </c>
      <c r="C7" s="2" t="n">
        <v>0</v>
      </c>
      <c r="D7" s="2" t="n">
        <v>1</v>
      </c>
      <c r="E7" s="2" t="n">
        <v>1</v>
      </c>
      <c r="F7" s="2" t="n">
        <v>1</v>
      </c>
      <c r="G7" s="2" t="n">
        <v>0</v>
      </c>
      <c r="H7" s="2" t="n">
        <v>1</v>
      </c>
      <c r="I7" s="2" t="n">
        <v>5</v>
      </c>
      <c r="J7" s="4" t="n">
        <v>0.7142857142857143</v>
      </c>
      <c r="K7" s="3">
        <f>Scoring!W7</f>
        <v>63.4</v>
      </c>
      <c r="L7" s="3">
        <f>Scoring!S7</f>
        <v>45.2857142857143</v>
      </c>
    </row>
    <row r="8">
      <c r="A8" s="2" t="inlineStr">
        <is>
          <t>Archivematica</t>
        </is>
      </c>
      <c r="B8" s="2" t="n">
        <v>1</v>
      </c>
      <c r="C8" s="2" t="n">
        <v>1</v>
      </c>
      <c r="D8" s="2" t="n">
        <v>1</v>
      </c>
      <c r="E8" s="2" t="n">
        <v>1</v>
      </c>
      <c r="F8" s="2" t="n">
        <v>1</v>
      </c>
      <c r="G8" s="2" t="n">
        <v>1</v>
      </c>
      <c r="H8" s="2" t="n">
        <v>1</v>
      </c>
      <c r="I8" s="2" t="n">
        <v>7</v>
      </c>
      <c r="J8" s="4" t="n">
        <v>1</v>
      </c>
      <c r="K8" s="3">
        <f>Scoring!W8</f>
        <v>33.1428571428571</v>
      </c>
      <c r="L8" s="3">
        <f>Scoring!S8</f>
        <v>33.1428571428571</v>
      </c>
    </row>
    <row r="9">
      <c r="A9" s="2" t="inlineStr">
        <is>
          <t>ArchivesSpace</t>
        </is>
      </c>
      <c r="B9" s="2" t="n">
        <v>1</v>
      </c>
      <c r="C9" s="2" t="n">
        <v>1</v>
      </c>
      <c r="D9" s="2" t="n">
        <v>1</v>
      </c>
      <c r="E9" s="2" t="n">
        <v>1</v>
      </c>
      <c r="F9" s="2" t="n">
        <v>1</v>
      </c>
      <c r="G9" s="2" t="n">
        <v>1</v>
      </c>
      <c r="H9" s="2" t="n">
        <v>1</v>
      </c>
      <c r="I9" s="2" t="n">
        <v>7</v>
      </c>
      <c r="J9" s="4" t="n">
        <v>1</v>
      </c>
      <c r="K9" s="3">
        <f>Scoring!W9</f>
        <v>100</v>
      </c>
      <c r="L9" s="3">
        <f>Scoring!S9</f>
        <v>100</v>
      </c>
    </row>
    <row r="10">
      <c r="A10" s="2" t="inlineStr">
        <is>
          <t>ARGOS</t>
        </is>
      </c>
      <c r="B10" s="2" t="n">
        <v>1</v>
      </c>
      <c r="C10" s="2" t="n">
        <v>1</v>
      </c>
      <c r="D10" s="2" t="n">
        <v>1</v>
      </c>
      <c r="E10" s="2" t="n">
        <v>1</v>
      </c>
      <c r="F10" s="2" t="n">
        <v>1</v>
      </c>
      <c r="G10" s="2" t="n">
        <v>1</v>
      </c>
      <c r="H10" s="2" t="n">
        <v>1</v>
      </c>
      <c r="I10" s="2" t="n">
        <v>7</v>
      </c>
      <c r="J10" s="4" t="n">
        <v>1</v>
      </c>
      <c r="K10" s="3">
        <f>Scoring!W10</f>
        <v>95.2857142857143</v>
      </c>
      <c r="L10" s="3">
        <f>Scoring!S10</f>
        <v>95.2857142857143</v>
      </c>
    </row>
    <row r="11">
      <c r="A11" s="2" t="inlineStr">
        <is>
          <t>arXiv</t>
        </is>
      </c>
      <c r="B11" s="2" t="n">
        <v>1</v>
      </c>
      <c r="C11" s="2" t="n">
        <v>1</v>
      </c>
      <c r="D11" s="2" t="n">
        <v>1</v>
      </c>
      <c r="E11" s="2" t="n">
        <v>1</v>
      </c>
      <c r="F11" s="2" t="n">
        <v>0</v>
      </c>
      <c r="G11" s="2" t="n">
        <v>1</v>
      </c>
      <c r="H11" s="2" t="n">
        <v>1</v>
      </c>
      <c r="I11" s="2" t="n">
        <v>6</v>
      </c>
      <c r="J11" s="4" t="n">
        <v>0.8571428571428571</v>
      </c>
      <c r="K11" s="3">
        <f>Scoring!W11</f>
        <v>100</v>
      </c>
      <c r="L11" s="3">
        <f>Scoring!S11</f>
        <v>85.7142857142857</v>
      </c>
    </row>
    <row r="12">
      <c r="A12" s="2" t="inlineStr">
        <is>
          <t>AtoM</t>
        </is>
      </c>
      <c r="B12" s="2" t="n">
        <v>1</v>
      </c>
      <c r="C12" s="2" t="n">
        <v>1</v>
      </c>
      <c r="D12" s="2" t="n">
        <v>0</v>
      </c>
      <c r="E12" s="2" t="n">
        <v>1</v>
      </c>
      <c r="F12" s="2" t="n">
        <v>1</v>
      </c>
      <c r="G12" s="2" t="n">
        <v>1</v>
      </c>
      <c r="H12" s="2" t="n">
        <v>0</v>
      </c>
      <c r="I12" s="2" t="n">
        <v>5</v>
      </c>
      <c r="J12" s="4" t="n">
        <v>0.7142857142857143</v>
      </c>
      <c r="K12" s="3">
        <f>Scoring!W12</f>
        <v>53.2</v>
      </c>
      <c r="L12" s="3">
        <f>Scoring!S12</f>
        <v>38</v>
      </c>
    </row>
    <row r="13">
      <c r="A13" s="2" t="inlineStr">
        <is>
          <t>Avalon Media System</t>
        </is>
      </c>
      <c r="B13" s="2" t="n">
        <v>1</v>
      </c>
      <c r="C13" s="2" t="n">
        <v>1</v>
      </c>
      <c r="D13" s="2" t="n">
        <v>1</v>
      </c>
      <c r="E13" s="2" t="n">
        <v>1</v>
      </c>
      <c r="F13" s="2" t="n">
        <v>1</v>
      </c>
      <c r="G13" s="2" t="n">
        <v>1</v>
      </c>
      <c r="H13" s="2" t="n">
        <v>1</v>
      </c>
      <c r="I13" s="2" t="n">
        <v>7</v>
      </c>
      <c r="J13" s="4" t="n">
        <v>1</v>
      </c>
      <c r="K13" s="3">
        <f>Scoring!W13</f>
        <v>71.4285714285714</v>
      </c>
      <c r="L13" s="3">
        <f>Scoring!S13</f>
        <v>71.4285714285714</v>
      </c>
    </row>
    <row r="14">
      <c r="A14" s="2" t="inlineStr">
        <is>
          <t>Biodiversity Heritage Library</t>
        </is>
      </c>
      <c r="B14" s="2" t="n">
        <v>1</v>
      </c>
      <c r="C14" s="2" t="n">
        <v>1</v>
      </c>
      <c r="D14" s="2" t="n">
        <v>1</v>
      </c>
      <c r="E14" s="2" t="n">
        <v>1</v>
      </c>
      <c r="F14" s="2" t="n">
        <v>1</v>
      </c>
      <c r="G14" s="2" t="n">
        <v>1</v>
      </c>
      <c r="H14" s="2" t="n">
        <v>1</v>
      </c>
      <c r="I14" s="2" t="n">
        <v>7</v>
      </c>
      <c r="J14" s="4" t="n">
        <v>1</v>
      </c>
      <c r="K14" s="3">
        <f>Scoring!W14</f>
        <v>80.8571428571429</v>
      </c>
      <c r="L14" s="3">
        <f>Scoring!S14</f>
        <v>80.8571428571429</v>
      </c>
    </row>
    <row r="15">
      <c r="A15" s="2" t="inlineStr">
        <is>
          <t>bioRxiv</t>
        </is>
      </c>
      <c r="B15" s="2" t="n">
        <v>1</v>
      </c>
      <c r="C15" s="2" t="n">
        <v>0</v>
      </c>
      <c r="D15" s="2" t="n">
        <v>1</v>
      </c>
      <c r="E15" s="2" t="n">
        <v>1</v>
      </c>
      <c r="F15" s="2" t="n">
        <v>1</v>
      </c>
      <c r="G15" s="2" t="n">
        <v>1</v>
      </c>
      <c r="H15" s="2" t="n">
        <v>1</v>
      </c>
      <c r="I15" s="2" t="n">
        <v>6</v>
      </c>
      <c r="J15" s="4" t="n">
        <v>0.8571428571428571</v>
      </c>
      <c r="K15" s="3">
        <f>Scoring!W15</f>
        <v>69.5</v>
      </c>
      <c r="L15" s="3">
        <f>Scoring!S15</f>
        <v>59.5714285714286</v>
      </c>
    </row>
    <row r="16">
      <c r="A16" s="2" t="inlineStr">
        <is>
          <t>BitCurator Environment</t>
        </is>
      </c>
      <c r="B16" s="2" t="n">
        <v>1</v>
      </c>
      <c r="C16" s="2" t="n">
        <v>1</v>
      </c>
      <c r="D16" s="2" t="n">
        <v>1</v>
      </c>
      <c r="E16" s="2" t="n">
        <v>1</v>
      </c>
      <c r="F16" s="2" t="n">
        <v>1</v>
      </c>
      <c r="G16" s="2" t="n">
        <v>1</v>
      </c>
      <c r="H16" s="2" t="n">
        <v>1</v>
      </c>
      <c r="I16" s="2" t="n">
        <v>7</v>
      </c>
      <c r="J16" s="4" t="n">
        <v>1</v>
      </c>
      <c r="K16" s="3">
        <f>Scoring!W16</f>
        <v>90.4285714285714</v>
      </c>
      <c r="L16" s="3">
        <f>Scoring!S16</f>
        <v>90.4285714285714</v>
      </c>
    </row>
    <row r="17">
      <c r="A17" s="2" t="inlineStr">
        <is>
          <t>Blacklight</t>
        </is>
      </c>
      <c r="B17" s="2" t="n">
        <v>1</v>
      </c>
      <c r="C17" s="2" t="n">
        <v>1</v>
      </c>
      <c r="D17" s="2" t="n">
        <v>1</v>
      </c>
      <c r="E17" s="2" t="n">
        <v>1</v>
      </c>
      <c r="F17" s="2" t="n">
        <v>1</v>
      </c>
      <c r="G17" s="2" t="n">
        <v>1</v>
      </c>
      <c r="H17" s="2" t="n">
        <v>1</v>
      </c>
      <c r="I17" s="2" t="n">
        <v>7</v>
      </c>
      <c r="J17" s="4" t="n">
        <v>1</v>
      </c>
      <c r="K17" s="3">
        <f>Scoring!W17</f>
        <v>55</v>
      </c>
      <c r="L17" s="3">
        <f>Scoring!S17</f>
        <v>55</v>
      </c>
    </row>
    <row r="18">
      <c r="A18" s="2" t="inlineStr">
        <is>
          <t>BrCRIS</t>
        </is>
      </c>
      <c r="B18" s="2" t="n">
        <v>0</v>
      </c>
      <c r="C18" s="2" t="n">
        <v>0</v>
      </c>
      <c r="D18" s="2" t="n">
        <v>1</v>
      </c>
      <c r="E18" s="2" t="n">
        <v>1</v>
      </c>
      <c r="F18" s="2" t="n">
        <v>1</v>
      </c>
      <c r="G18" s="2" t="n">
        <v>1</v>
      </c>
      <c r="H18" s="2" t="n">
        <v>1</v>
      </c>
      <c r="I18" s="2" t="n">
        <v>5</v>
      </c>
      <c r="J18" s="4" t="n">
        <v>0.7142857142857143</v>
      </c>
      <c r="K18" s="3">
        <f>Scoring!W18</f>
        <v>70</v>
      </c>
      <c r="L18" s="3">
        <f>Scoring!S18</f>
        <v>50</v>
      </c>
    </row>
    <row r="19">
      <c r="A19" s="2" t="inlineStr">
        <is>
          <t>Browsertrix</t>
        </is>
      </c>
      <c r="B19" s="2" t="n">
        <v>1</v>
      </c>
      <c r="C19" s="2" t="n">
        <v>1</v>
      </c>
      <c r="D19" s="2" t="n">
        <v>1</v>
      </c>
      <c r="E19" s="2" t="n">
        <v>0</v>
      </c>
      <c r="F19" s="2" t="n">
        <v>0</v>
      </c>
      <c r="G19" s="2" t="n">
        <v>1</v>
      </c>
      <c r="H19" s="2" t="n">
        <v>1</v>
      </c>
      <c r="I19" s="2" t="n">
        <v>5</v>
      </c>
      <c r="J19" s="4" t="n">
        <v>0.7142857142857143</v>
      </c>
      <c r="K19" s="3">
        <f>Scoring!W19</f>
        <v>20</v>
      </c>
      <c r="L19" s="3">
        <f>Scoring!S19</f>
        <v>14.2857142857143</v>
      </c>
    </row>
    <row r="20">
      <c r="A20" s="2" t="inlineStr">
        <is>
          <t>CLOCKSS</t>
        </is>
      </c>
      <c r="B20" s="2" t="n">
        <v>1</v>
      </c>
      <c r="C20" s="2" t="n">
        <v>1</v>
      </c>
      <c r="D20" s="2" t="n">
        <v>1</v>
      </c>
      <c r="E20" s="2" t="n">
        <v>1</v>
      </c>
      <c r="F20" s="2" t="n">
        <v>1</v>
      </c>
      <c r="G20" s="2" t="n">
        <v>1</v>
      </c>
      <c r="H20" s="2" t="n">
        <v>1</v>
      </c>
      <c r="I20" s="2" t="n">
        <v>7</v>
      </c>
      <c r="J20" s="4" t="n">
        <v>1</v>
      </c>
      <c r="K20" s="3">
        <f>Scoring!W20</f>
        <v>95.2857142857143</v>
      </c>
      <c r="L20" s="3">
        <f>Scoring!S20</f>
        <v>95.2857142857143</v>
      </c>
    </row>
    <row r="21">
      <c r="A21" s="2" t="inlineStr">
        <is>
          <t>COAR International Repository Directory (IRD)</t>
        </is>
      </c>
      <c r="B21" s="2" t="n">
        <v>1</v>
      </c>
      <c r="C21" s="2" t="n">
        <v>1</v>
      </c>
      <c r="D21" s="2" t="n">
        <v>1</v>
      </c>
      <c r="E21" s="2" t="n">
        <v>1</v>
      </c>
      <c r="F21" s="2" t="n">
        <v>1</v>
      </c>
      <c r="G21" s="2" t="n">
        <v>1</v>
      </c>
      <c r="H21" s="2" t="n">
        <v>1</v>
      </c>
      <c r="I21" s="2" t="n">
        <v>7</v>
      </c>
      <c r="J21" s="4" t="n">
        <v>1</v>
      </c>
      <c r="K21" s="3">
        <f>Scoring!W21</f>
        <v>64.2857142857143</v>
      </c>
      <c r="L21" s="3">
        <f>Scoring!S21</f>
        <v>64.2857142857143</v>
      </c>
    </row>
    <row r="22">
      <c r="A22" s="2" t="inlineStr">
        <is>
          <t>COAR Notify</t>
        </is>
      </c>
      <c r="B22" s="2" t="n">
        <v>1</v>
      </c>
      <c r="C22" s="2" t="n">
        <v>1</v>
      </c>
      <c r="D22" s="2" t="n">
        <v>1</v>
      </c>
      <c r="E22" s="2" t="n">
        <v>1</v>
      </c>
      <c r="F22" s="2" t="n">
        <v>1</v>
      </c>
      <c r="G22" s="2" t="n">
        <v>1</v>
      </c>
      <c r="H22" s="2" t="n">
        <v>1</v>
      </c>
      <c r="I22" s="2" t="n">
        <v>7</v>
      </c>
      <c r="J22" s="4" t="n">
        <v>1</v>
      </c>
      <c r="K22" s="3">
        <f>Scoring!W22</f>
        <v>40.4285714285714</v>
      </c>
      <c r="L22" s="3">
        <f>Scoring!S22</f>
        <v>40.4285714285714</v>
      </c>
    </row>
    <row r="23">
      <c r="A23" s="2" t="inlineStr">
        <is>
          <t>CollectiveAccess</t>
        </is>
      </c>
      <c r="B23" s="2" t="n">
        <v>1</v>
      </c>
      <c r="C23" s="2" t="n">
        <v>1</v>
      </c>
      <c r="D23" s="2" t="n">
        <v>1</v>
      </c>
      <c r="E23" s="2" t="n">
        <v>1</v>
      </c>
      <c r="F23" s="2" t="n">
        <v>1</v>
      </c>
      <c r="G23" s="2" t="n">
        <v>1</v>
      </c>
      <c r="H23" s="2" t="n">
        <v>1</v>
      </c>
      <c r="I23" s="2" t="n">
        <v>7</v>
      </c>
      <c r="J23" s="4" t="n">
        <v>1</v>
      </c>
      <c r="K23" s="3">
        <f>Scoring!W23</f>
        <v>16.7142857142857</v>
      </c>
      <c r="L23" s="3">
        <f>Scoring!S23</f>
        <v>16.7142857142857</v>
      </c>
    </row>
    <row r="24">
      <c r="A24" s="2" t="inlineStr">
        <is>
          <t>CORE</t>
        </is>
      </c>
      <c r="B24" s="2" t="n">
        <v>1</v>
      </c>
      <c r="C24" s="2" t="n">
        <v>1</v>
      </c>
      <c r="D24" s="2" t="n">
        <v>1</v>
      </c>
      <c r="E24" s="2" t="n">
        <v>1</v>
      </c>
      <c r="F24" s="2" t="n">
        <v>1</v>
      </c>
      <c r="G24" s="2" t="n">
        <v>1</v>
      </c>
      <c r="H24" s="2" t="n">
        <v>1</v>
      </c>
      <c r="I24" s="2" t="n">
        <v>7</v>
      </c>
      <c r="J24" s="4" t="n">
        <v>1</v>
      </c>
      <c r="K24" s="3">
        <f>Scoring!W24</f>
        <v>90.4285714285714</v>
      </c>
      <c r="L24" s="3">
        <f>Scoring!S24</f>
        <v>90.4285714285714</v>
      </c>
    </row>
    <row r="25">
      <c r="A25" s="2" t="inlineStr">
        <is>
          <t>COUNTER Code of Practice</t>
        </is>
      </c>
      <c r="B25" s="2" t="n">
        <v>1</v>
      </c>
      <c r="C25" s="2" t="n">
        <v>1</v>
      </c>
      <c r="D25" s="2" t="n">
        <v>1</v>
      </c>
      <c r="E25" s="2" t="n">
        <v>1</v>
      </c>
      <c r="F25" s="2" t="n">
        <v>1</v>
      </c>
      <c r="G25" s="2" t="n">
        <v>1</v>
      </c>
      <c r="H25" s="2" t="n">
        <v>1</v>
      </c>
      <c r="I25" s="2" t="n">
        <v>7</v>
      </c>
      <c r="J25" s="4" t="n">
        <v>1</v>
      </c>
      <c r="K25" s="3">
        <f>Scoring!W25</f>
        <v>95.2857142857143</v>
      </c>
      <c r="L25" s="3">
        <f>Scoring!S25</f>
        <v>95.2857142857143</v>
      </c>
    </row>
    <row r="26">
      <c r="A26" s="2" t="inlineStr">
        <is>
          <t>Creative Commons Licenses</t>
        </is>
      </c>
      <c r="B26" s="2" t="n">
        <v>1</v>
      </c>
      <c r="C26" s="2" t="n">
        <v>0</v>
      </c>
      <c r="D26" s="2" t="n">
        <v>1</v>
      </c>
      <c r="E26" s="2" t="n">
        <v>1</v>
      </c>
      <c r="F26" s="2" t="n">
        <v>1</v>
      </c>
      <c r="G26" s="2" t="n">
        <v>1</v>
      </c>
      <c r="H26" s="2" t="n">
        <v>1</v>
      </c>
      <c r="I26" s="2" t="n">
        <v>6</v>
      </c>
      <c r="J26" s="4" t="n">
        <v>0.8571428571428571</v>
      </c>
      <c r="K26" s="3">
        <f>Scoring!W26</f>
        <v>66.6666666666667</v>
      </c>
      <c r="L26" s="3">
        <f>Scoring!S26</f>
        <v>57.1428571428571</v>
      </c>
    </row>
    <row r="27">
      <c r="A27" s="2" t="inlineStr">
        <is>
          <t>Crossref Metadata Retrieval</t>
        </is>
      </c>
      <c r="B27" s="2" t="n">
        <v>1</v>
      </c>
      <c r="C27" s="2" t="n">
        <v>1</v>
      </c>
      <c r="D27" s="2" t="n">
        <v>1</v>
      </c>
      <c r="E27" s="2" t="n">
        <v>1</v>
      </c>
      <c r="F27" s="2" t="n">
        <v>1</v>
      </c>
      <c r="G27" s="2" t="n">
        <v>1</v>
      </c>
      <c r="H27" s="2" t="n">
        <v>1</v>
      </c>
      <c r="I27" s="2" t="n">
        <v>7</v>
      </c>
      <c r="J27" s="4" t="n">
        <v>1</v>
      </c>
      <c r="K27" s="3">
        <f>Scoring!W27</f>
        <v>95.2857142857143</v>
      </c>
      <c r="L27" s="3">
        <f>Scoring!S27</f>
        <v>95.2857142857143</v>
      </c>
    </row>
    <row r="28">
      <c r="A28" s="2" t="inlineStr">
        <is>
          <t>D4Science Infrastructure</t>
        </is>
      </c>
      <c r="B28" s="2" t="n">
        <v>1</v>
      </c>
      <c r="C28" s="2" t="n">
        <v>1</v>
      </c>
      <c r="D28" s="2" t="n">
        <v>0</v>
      </c>
      <c r="E28" s="2" t="n">
        <v>1</v>
      </c>
      <c r="F28" s="2" t="n">
        <v>1</v>
      </c>
      <c r="G28" s="2" t="n">
        <v>1</v>
      </c>
      <c r="H28" s="2" t="n">
        <v>0</v>
      </c>
      <c r="I28" s="2" t="n">
        <v>5</v>
      </c>
      <c r="J28" s="4" t="n">
        <v>0.7142857142857143</v>
      </c>
      <c r="K28" s="3">
        <f>Scoring!W28</f>
        <v>46.6</v>
      </c>
      <c r="L28" s="3">
        <f>Scoring!S28</f>
        <v>33.2857142857143</v>
      </c>
    </row>
    <row r="29">
      <c r="A29" s="2" t="inlineStr">
        <is>
          <t>DART (Digital Archivist's Resource Tool)</t>
        </is>
      </c>
      <c r="B29" s="2" t="n">
        <v>1</v>
      </c>
      <c r="C29" s="2" t="n">
        <v>1</v>
      </c>
      <c r="D29" s="2" t="n">
        <v>1</v>
      </c>
      <c r="E29" s="2" t="n">
        <v>1</v>
      </c>
      <c r="F29" s="2" t="n">
        <v>1</v>
      </c>
      <c r="G29" s="2" t="n">
        <v>1</v>
      </c>
      <c r="H29" s="2" t="n">
        <v>1</v>
      </c>
      <c r="I29" s="2" t="n">
        <v>7</v>
      </c>
      <c r="J29" s="4" t="n">
        <v>1</v>
      </c>
      <c r="K29" s="3">
        <f>Scoring!W29</f>
        <v>81</v>
      </c>
      <c r="L29" s="3">
        <f>Scoring!S29</f>
        <v>81</v>
      </c>
    </row>
    <row r="30">
      <c r="A30" s="2" t="inlineStr">
        <is>
          <t>Database Information System</t>
        </is>
      </c>
      <c r="B30" s="2" t="n">
        <v>1</v>
      </c>
      <c r="C30" s="2" t="n">
        <v>0</v>
      </c>
      <c r="D30" s="2" t="n">
        <v>1</v>
      </c>
      <c r="E30" s="2" t="n">
        <v>0</v>
      </c>
      <c r="F30" s="2" t="n">
        <v>0</v>
      </c>
      <c r="G30" s="2" t="n">
        <v>1</v>
      </c>
      <c r="H30" s="2" t="n">
        <v>1</v>
      </c>
      <c r="I30" s="2" t="n">
        <v>4</v>
      </c>
      <c r="J30" s="4" t="n">
        <v>0.5714285714285714</v>
      </c>
      <c r="K30" s="3">
        <f>Scoring!W30</f>
        <v>87.5</v>
      </c>
      <c r="L30" s="3">
        <f>Scoring!S30</f>
        <v>50</v>
      </c>
    </row>
    <row r="31">
      <c r="A31" s="2" t="inlineStr">
        <is>
          <t>Data Citation Corpus</t>
        </is>
      </c>
      <c r="B31" s="2" t="n">
        <v>1</v>
      </c>
      <c r="C31" s="2" t="n">
        <v>1</v>
      </c>
      <c r="D31" s="2" t="n">
        <v>1</v>
      </c>
      <c r="E31" s="2" t="n">
        <v>1</v>
      </c>
      <c r="F31" s="2" t="n">
        <v>1</v>
      </c>
      <c r="G31" s="2" t="n">
        <v>1</v>
      </c>
      <c r="H31" s="2" t="n">
        <v>1</v>
      </c>
      <c r="I31" s="2" t="n">
        <v>7</v>
      </c>
      <c r="J31" s="4" t="n">
        <v>1</v>
      </c>
      <c r="K31" s="3">
        <f>Scoring!W31</f>
        <v>40.4285714285714</v>
      </c>
      <c r="L31" s="3">
        <f>Scoring!S31</f>
        <v>40.4285714285714</v>
      </c>
    </row>
    <row r="32">
      <c r="A32" s="2" t="inlineStr">
        <is>
          <t>DataCite</t>
        </is>
      </c>
      <c r="B32" s="2" t="n">
        <v>1</v>
      </c>
      <c r="C32" s="2" t="n">
        <v>1</v>
      </c>
      <c r="D32" s="2" t="n">
        <v>1</v>
      </c>
      <c r="E32" s="2" t="n">
        <v>1</v>
      </c>
      <c r="F32" s="2" t="n">
        <v>1</v>
      </c>
      <c r="G32" s="2" t="n">
        <v>1</v>
      </c>
      <c r="H32" s="2" t="n">
        <v>1</v>
      </c>
      <c r="I32" s="2" t="n">
        <v>7</v>
      </c>
      <c r="J32" s="4" t="n">
        <v>1</v>
      </c>
      <c r="K32" s="3">
        <f>Scoring!W32</f>
        <v>95.2857142857143</v>
      </c>
      <c r="L32" s="3">
        <f>Scoring!S32</f>
        <v>95.2857142857143</v>
      </c>
    </row>
    <row r="33">
      <c r="A33" s="2" t="inlineStr">
        <is>
          <t>Data Stewardship Wizard</t>
        </is>
      </c>
      <c r="B33" s="2" t="n">
        <v>1</v>
      </c>
      <c r="C33" s="2" t="n">
        <v>1</v>
      </c>
      <c r="D33" s="2" t="n">
        <v>1</v>
      </c>
      <c r="E33" s="2" t="n">
        <v>1</v>
      </c>
      <c r="F33" s="2" t="n">
        <v>1</v>
      </c>
      <c r="G33" s="2" t="n">
        <v>1</v>
      </c>
      <c r="H33" s="2" t="n">
        <v>1</v>
      </c>
      <c r="I33" s="2" t="n">
        <v>7</v>
      </c>
      <c r="J33" s="4" t="n">
        <v>1</v>
      </c>
      <c r="K33" s="3">
        <f>Scoring!W33</f>
        <v>59.5714285714286</v>
      </c>
      <c r="L33" s="3">
        <f>Scoring!S33</f>
        <v>59.5714285714286</v>
      </c>
    </row>
    <row r="34">
      <c r="A34" s="2" t="inlineStr">
        <is>
          <t>Dataverse</t>
        </is>
      </c>
      <c r="B34" s="2" t="n">
        <v>1</v>
      </c>
      <c r="C34" s="2" t="n">
        <v>0</v>
      </c>
      <c r="D34" s="2" t="n">
        <v>1</v>
      </c>
      <c r="E34" s="2" t="n">
        <v>1</v>
      </c>
      <c r="F34" s="2" t="n">
        <v>1</v>
      </c>
      <c r="G34" s="2" t="n">
        <v>1</v>
      </c>
      <c r="H34" s="2" t="n">
        <v>1</v>
      </c>
      <c r="I34" s="2" t="n">
        <v>6</v>
      </c>
      <c r="J34" s="4" t="n">
        <v>0.8571428571428571</v>
      </c>
      <c r="K34" s="3">
        <f>Scoring!W34</f>
        <v>69.5</v>
      </c>
      <c r="L34" s="3">
        <f>Scoring!S34</f>
        <v>59.5714285714286</v>
      </c>
    </row>
    <row r="35">
      <c r="A35" s="2" t="inlineStr">
        <is>
          <t>DLCM Backend</t>
        </is>
      </c>
      <c r="B35" s="2" t="n">
        <v>1</v>
      </c>
      <c r="C35" s="2" t="n">
        <v>1</v>
      </c>
      <c r="D35" s="2" t="n">
        <v>1</v>
      </c>
      <c r="E35" s="2" t="n">
        <v>1</v>
      </c>
      <c r="F35" s="2" t="n">
        <v>1</v>
      </c>
      <c r="G35" s="2" t="n">
        <v>1</v>
      </c>
      <c r="H35" s="2" t="n">
        <v>1</v>
      </c>
      <c r="I35" s="2" t="n">
        <v>7</v>
      </c>
      <c r="J35" s="4" t="n">
        <v>1</v>
      </c>
      <c r="K35" s="3">
        <f>Scoring!W35</f>
        <v>38</v>
      </c>
      <c r="L35" s="3">
        <f>Scoring!S35</f>
        <v>38</v>
      </c>
    </row>
    <row r="36">
      <c r="A36" s="2" t="inlineStr">
        <is>
          <t>DLCM Portal</t>
        </is>
      </c>
      <c r="B36" s="2" t="n">
        <v>1</v>
      </c>
      <c r="C36" s="2" t="n">
        <v>1</v>
      </c>
      <c r="D36" s="2" t="n">
        <v>1</v>
      </c>
      <c r="E36" s="2" t="n">
        <v>1</v>
      </c>
      <c r="F36" s="2" t="n">
        <v>1</v>
      </c>
      <c r="G36" s="2" t="n">
        <v>1</v>
      </c>
      <c r="H36" s="2" t="n">
        <v>1</v>
      </c>
      <c r="I36" s="2" t="n">
        <v>7</v>
      </c>
      <c r="J36" s="4" t="n">
        <v>1</v>
      </c>
      <c r="K36" s="3">
        <f>Scoring!W36</f>
        <v>38</v>
      </c>
      <c r="L36" s="3">
        <f>Scoring!S36</f>
        <v>38</v>
      </c>
    </row>
    <row r="37">
      <c r="A37" s="2" t="inlineStr">
        <is>
          <t>DMP Tool</t>
        </is>
      </c>
      <c r="B37" s="2" t="n">
        <v>1</v>
      </c>
      <c r="C37" s="2" t="n">
        <v>1</v>
      </c>
      <c r="D37" s="2" t="n">
        <v>1</v>
      </c>
      <c r="E37" s="2" t="n">
        <v>1</v>
      </c>
      <c r="F37" s="2" t="n">
        <v>1</v>
      </c>
      <c r="G37" s="2" t="n">
        <v>1</v>
      </c>
      <c r="H37" s="2" t="n">
        <v>1</v>
      </c>
      <c r="I37" s="2" t="n">
        <v>7</v>
      </c>
      <c r="J37" s="4" t="n">
        <v>1</v>
      </c>
      <c r="K37" s="3">
        <f>Scoring!W37</f>
        <v>28.5714285714286</v>
      </c>
      <c r="L37" s="3">
        <f>Scoring!S37</f>
        <v>28.5714285714286</v>
      </c>
    </row>
    <row r="38">
      <c r="A38" s="2" t="inlineStr">
        <is>
          <t>DOAJ (Directory of Open Access Journals)</t>
        </is>
      </c>
      <c r="B38" s="2" t="n">
        <v>1</v>
      </c>
      <c r="C38" s="2" t="n">
        <v>1</v>
      </c>
      <c r="D38" s="2" t="n">
        <v>1</v>
      </c>
      <c r="E38" s="2" t="n">
        <v>1</v>
      </c>
      <c r="F38" s="2" t="n">
        <v>1</v>
      </c>
      <c r="G38" s="2" t="n">
        <v>1</v>
      </c>
      <c r="H38" s="2" t="n">
        <v>1</v>
      </c>
      <c r="I38" s="2" t="n">
        <v>7</v>
      </c>
      <c r="J38" s="4" t="n">
        <v>1</v>
      </c>
      <c r="K38" s="3">
        <f>Scoring!W38</f>
        <v>100</v>
      </c>
      <c r="L38" s="3">
        <f>Scoring!S38</f>
        <v>100</v>
      </c>
    </row>
    <row r="39">
      <c r="A39" s="2" t="inlineStr">
        <is>
          <t>dokieli</t>
        </is>
      </c>
      <c r="B39" s="2" t="n">
        <v>0</v>
      </c>
      <c r="C39" s="2" t="n">
        <v>0</v>
      </c>
      <c r="D39" s="2" t="n">
        <v>0</v>
      </c>
      <c r="E39" s="2" t="n">
        <v>1</v>
      </c>
      <c r="F39" s="2" t="n">
        <v>0</v>
      </c>
      <c r="G39" s="2" t="n">
        <v>0</v>
      </c>
      <c r="H39" s="2" t="n">
        <v>1</v>
      </c>
      <c r="I39" s="2" t="n">
        <v>2</v>
      </c>
      <c r="J39" s="4" t="n">
        <v>0.2857142857142857</v>
      </c>
      <c r="K39" s="3">
        <f>Scoring!W39</f>
        <v>50</v>
      </c>
      <c r="L39" s="3">
        <f>Scoring!S39</f>
        <v>14.2857142857143</v>
      </c>
    </row>
    <row r="40">
      <c r="A40" s="2" t="inlineStr">
        <is>
          <t>Dryad</t>
        </is>
      </c>
      <c r="B40" s="2" t="n">
        <v>1</v>
      </c>
      <c r="C40" s="2" t="n">
        <v>1</v>
      </c>
      <c r="D40" s="2" t="n">
        <v>1</v>
      </c>
      <c r="E40" s="2" t="n">
        <v>1</v>
      </c>
      <c r="F40" s="2" t="n">
        <v>1</v>
      </c>
      <c r="G40" s="2" t="n">
        <v>1</v>
      </c>
      <c r="H40" s="2" t="n">
        <v>1</v>
      </c>
      <c r="I40" s="2" t="n">
        <v>7</v>
      </c>
      <c r="J40" s="4" t="n">
        <v>1</v>
      </c>
      <c r="K40" s="3">
        <f>Scoring!W40</f>
        <v>81</v>
      </c>
      <c r="L40" s="3">
        <f>Scoring!S40</f>
        <v>81</v>
      </c>
    </row>
    <row r="41">
      <c r="A41" s="2" t="inlineStr">
        <is>
          <t>DSpace</t>
        </is>
      </c>
      <c r="B41" s="2" t="n">
        <v>1</v>
      </c>
      <c r="C41" s="2" t="n">
        <v>1</v>
      </c>
      <c r="D41" s="2" t="n">
        <v>1</v>
      </c>
      <c r="E41" s="2" t="n">
        <v>1</v>
      </c>
      <c r="F41" s="2" t="n">
        <v>1</v>
      </c>
      <c r="G41" s="2" t="n">
        <v>1</v>
      </c>
      <c r="H41" s="2" t="n">
        <v>1</v>
      </c>
      <c r="I41" s="2" t="n">
        <v>7</v>
      </c>
      <c r="J41" s="4" t="n">
        <v>1</v>
      </c>
      <c r="K41" s="3">
        <f>Scoring!W41</f>
        <v>100</v>
      </c>
      <c r="L41" s="3">
        <f>Scoring!S41</f>
        <v>100</v>
      </c>
    </row>
    <row r="42">
      <c r="A42" s="2" t="inlineStr">
        <is>
          <t>DuraCloud</t>
        </is>
      </c>
      <c r="B42" s="2" t="n">
        <v>0</v>
      </c>
      <c r="C42" s="2" t="n">
        <v>1</v>
      </c>
      <c r="D42" s="2" t="n">
        <v>1</v>
      </c>
      <c r="E42" s="2" t="n">
        <v>0</v>
      </c>
      <c r="F42" s="2" t="n">
        <v>0</v>
      </c>
      <c r="G42" s="2" t="n">
        <v>0</v>
      </c>
      <c r="H42" s="2" t="n">
        <v>0</v>
      </c>
      <c r="I42" s="2" t="n">
        <v>2</v>
      </c>
      <c r="J42" s="4" t="n">
        <v>0.2857142857142857</v>
      </c>
      <c r="K42" s="3">
        <f>Scoring!W42</f>
        <v>0</v>
      </c>
      <c r="L42" s="3">
        <f>Scoring!S42</f>
        <v>0</v>
      </c>
    </row>
    <row r="43">
      <c r="A43" s="2" t="inlineStr">
        <is>
          <t>Episciences</t>
        </is>
      </c>
      <c r="B43" s="2" t="n">
        <v>1</v>
      </c>
      <c r="C43" s="2" t="n">
        <v>1</v>
      </c>
      <c r="D43" s="2" t="n">
        <v>1</v>
      </c>
      <c r="E43" s="2" t="n">
        <v>1</v>
      </c>
      <c r="F43" s="2" t="n">
        <v>1</v>
      </c>
      <c r="G43" s="2" t="n">
        <v>1</v>
      </c>
      <c r="H43" s="2" t="n">
        <v>1</v>
      </c>
      <c r="I43" s="2" t="n">
        <v>7</v>
      </c>
      <c r="J43" s="4" t="n">
        <v>1</v>
      </c>
      <c r="K43" s="3">
        <f>Scoring!W43</f>
        <v>78.5714285714286</v>
      </c>
      <c r="L43" s="3">
        <f>Scoring!S43</f>
        <v>78.5714285714286</v>
      </c>
    </row>
    <row r="44">
      <c r="A44" s="2" t="inlineStr">
        <is>
          <t>EPrints</t>
        </is>
      </c>
      <c r="B44" s="2" t="n">
        <v>1</v>
      </c>
      <c r="C44" s="2" t="n">
        <v>0</v>
      </c>
      <c r="D44" s="2" t="n">
        <v>0</v>
      </c>
      <c r="E44" s="2" t="n">
        <v>1</v>
      </c>
      <c r="F44" s="2" t="n">
        <v>0</v>
      </c>
      <c r="G44" s="2" t="n">
        <v>0</v>
      </c>
      <c r="H44" s="2" t="n">
        <v>0</v>
      </c>
      <c r="I44" s="2" t="n">
        <v>2</v>
      </c>
      <c r="J44" s="4" t="n">
        <v>0.2857142857142857</v>
      </c>
      <c r="K44" s="3">
        <f>Scoring!W44</f>
        <v>67</v>
      </c>
      <c r="L44" s="3">
        <f>Scoring!S44</f>
        <v>19.1428571428571</v>
      </c>
    </row>
    <row r="45">
      <c r="A45" s="2" t="inlineStr">
        <is>
          <t>Érudit</t>
        </is>
      </c>
      <c r="B45" s="2" t="n">
        <v>1</v>
      </c>
      <c r="C45" s="2" t="n">
        <v>1</v>
      </c>
      <c r="D45" s="2" t="n">
        <v>1</v>
      </c>
      <c r="E45" s="2" t="n">
        <v>1</v>
      </c>
      <c r="F45" s="2" t="n">
        <v>1</v>
      </c>
      <c r="G45" s="2" t="n">
        <v>1</v>
      </c>
      <c r="H45" s="2" t="n">
        <v>1</v>
      </c>
      <c r="I45" s="2" t="n">
        <v>7</v>
      </c>
      <c r="J45" s="4" t="n">
        <v>1</v>
      </c>
      <c r="K45" s="3">
        <f>Scoring!W45</f>
        <v>100</v>
      </c>
      <c r="L45" s="3">
        <f>Scoring!S45</f>
        <v>100</v>
      </c>
    </row>
    <row r="46">
      <c r="A46" s="2" t="inlineStr">
        <is>
          <t>Europe PMC</t>
        </is>
      </c>
      <c r="B46" s="2" t="n">
        <v>1</v>
      </c>
      <c r="C46" s="2" t="n">
        <v>1</v>
      </c>
      <c r="D46" s="2" t="n">
        <v>1</v>
      </c>
      <c r="E46" s="2" t="n">
        <v>1</v>
      </c>
      <c r="F46" s="2" t="n">
        <v>1</v>
      </c>
      <c r="G46" s="2" t="n">
        <v>1</v>
      </c>
      <c r="H46" s="2" t="n">
        <v>1</v>
      </c>
      <c r="I46" s="2" t="n">
        <v>7</v>
      </c>
      <c r="J46" s="4" t="n">
        <v>1</v>
      </c>
      <c r="K46" s="3">
        <f>Scoring!W46</f>
        <v>100</v>
      </c>
      <c r="L46" s="3">
        <f>Scoring!S46</f>
        <v>100</v>
      </c>
    </row>
    <row r="47">
      <c r="A47" s="2" t="inlineStr">
        <is>
          <t>FAIR Wizard</t>
        </is>
      </c>
      <c r="B47" s="2" t="n">
        <v>1</v>
      </c>
      <c r="C47" s="2" t="n">
        <v>1</v>
      </c>
      <c r="D47" s="2" t="n">
        <v>1</v>
      </c>
      <c r="E47" s="2" t="n">
        <v>1</v>
      </c>
      <c r="F47" s="2" t="n">
        <v>1</v>
      </c>
      <c r="G47" s="2" t="n">
        <v>1</v>
      </c>
      <c r="H47" s="2" t="n">
        <v>1</v>
      </c>
      <c r="I47" s="2" t="n">
        <v>7</v>
      </c>
      <c r="J47" s="4" t="n">
        <v>1</v>
      </c>
      <c r="K47" s="3">
        <f>Scoring!W47</f>
        <v>45.2857142857143</v>
      </c>
      <c r="L47" s="3">
        <f>Scoring!S47</f>
        <v>45.2857142857143</v>
      </c>
    </row>
    <row r="48">
      <c r="A48" s="2" t="inlineStr">
        <is>
          <t>Fedora</t>
        </is>
      </c>
      <c r="B48" s="2" t="n">
        <v>1</v>
      </c>
      <c r="C48" s="2" t="n">
        <v>1</v>
      </c>
      <c r="D48" s="2" t="n">
        <v>1</v>
      </c>
      <c r="E48" s="2" t="n">
        <v>1</v>
      </c>
      <c r="F48" s="2" t="n">
        <v>1</v>
      </c>
      <c r="G48" s="2" t="n">
        <v>1</v>
      </c>
      <c r="H48" s="2" t="n">
        <v>1</v>
      </c>
      <c r="I48" s="2" t="n">
        <v>7</v>
      </c>
      <c r="J48" s="4" t="n">
        <v>1</v>
      </c>
      <c r="K48" s="3">
        <f>Scoring!W48</f>
        <v>90.4285714285714</v>
      </c>
      <c r="L48" s="3">
        <f>Scoring!S48</f>
        <v>90.4285714285714</v>
      </c>
    </row>
    <row r="49">
      <c r="A49" s="2" t="inlineStr">
        <is>
          <t>fido</t>
        </is>
      </c>
      <c r="B49" s="2" t="n">
        <v>1</v>
      </c>
      <c r="C49" s="2" t="n">
        <v>0</v>
      </c>
      <c r="D49" s="2" t="n">
        <v>1</v>
      </c>
      <c r="E49" s="2" t="n">
        <v>1</v>
      </c>
      <c r="F49" s="2" t="n">
        <v>1</v>
      </c>
      <c r="G49" s="2" t="n">
        <v>1</v>
      </c>
      <c r="H49" s="2" t="n">
        <v>1</v>
      </c>
      <c r="I49" s="2" t="n">
        <v>6</v>
      </c>
      <c r="J49" s="4" t="n">
        <v>0.8571428571428571</v>
      </c>
      <c r="K49" s="3">
        <f>Scoring!W49</f>
        <v>83.3333333333333</v>
      </c>
      <c r="L49" s="3">
        <f>Scoring!S49</f>
        <v>71.4285714285714</v>
      </c>
    </row>
    <row r="50">
      <c r="A50" s="2" t="inlineStr">
        <is>
          <t>Fulcrum</t>
        </is>
      </c>
      <c r="B50" s="2" t="n">
        <v>1</v>
      </c>
      <c r="C50" s="2" t="n">
        <v>0</v>
      </c>
      <c r="D50" s="2" t="n">
        <v>1</v>
      </c>
      <c r="E50" s="2" t="n">
        <v>1</v>
      </c>
      <c r="F50" s="2" t="n">
        <v>1</v>
      </c>
      <c r="G50" s="2" t="n">
        <v>1</v>
      </c>
      <c r="H50" s="2" t="n">
        <v>1</v>
      </c>
      <c r="I50" s="2" t="n">
        <v>6</v>
      </c>
      <c r="J50" s="4" t="n">
        <v>0.8571428571428571</v>
      </c>
      <c r="K50" s="3">
        <f>Scoring!W50</f>
        <v>75</v>
      </c>
      <c r="L50" s="3">
        <f>Scoring!S50</f>
        <v>64.2857142857143</v>
      </c>
    </row>
    <row r="51">
      <c r="A51" s="2" t="inlineStr">
        <is>
          <t>Galaxy</t>
        </is>
      </c>
      <c r="B51" s="2" t="n">
        <v>1</v>
      </c>
      <c r="C51" s="2" t="n">
        <v>1</v>
      </c>
      <c r="D51" s="2" t="n">
        <v>1</v>
      </c>
      <c r="E51" s="2" t="n">
        <v>1</v>
      </c>
      <c r="F51" s="2" t="n">
        <v>1</v>
      </c>
      <c r="G51" s="2" t="n">
        <v>1</v>
      </c>
      <c r="H51" s="2" t="n">
        <v>1</v>
      </c>
      <c r="I51" s="2" t="n">
        <v>7</v>
      </c>
      <c r="J51" s="4" t="n">
        <v>1</v>
      </c>
      <c r="K51" s="3">
        <f>Scoring!W51</f>
        <v>95.2857142857143</v>
      </c>
      <c r="L51" s="3">
        <f>Scoring!S51</f>
        <v>95.2857142857143</v>
      </c>
    </row>
    <row r="52">
      <c r="A52" s="2" t="inlineStr">
        <is>
          <t>GeoServer</t>
        </is>
      </c>
      <c r="B52" s="2" t="n">
        <v>1</v>
      </c>
      <c r="C52" s="2" t="n">
        <v>1</v>
      </c>
      <c r="D52" s="2" t="n">
        <v>1</v>
      </c>
      <c r="E52" s="2" t="n">
        <v>1</v>
      </c>
      <c r="F52" s="2" t="n">
        <v>1</v>
      </c>
      <c r="G52" s="2" t="n">
        <v>1</v>
      </c>
      <c r="H52" s="2" t="n">
        <v>1</v>
      </c>
      <c r="I52" s="2" t="n">
        <v>7</v>
      </c>
      <c r="J52" s="4" t="n">
        <v>1</v>
      </c>
      <c r="K52" s="3">
        <f>Scoring!W52</f>
        <v>57.1428571428571</v>
      </c>
      <c r="L52" s="3">
        <f>Scoring!S52</f>
        <v>57.1428571428571</v>
      </c>
    </row>
    <row r="53">
      <c r="A53" s="2" t="inlineStr">
        <is>
          <t>Hyku</t>
        </is>
      </c>
      <c r="B53" s="2" t="n">
        <v>1</v>
      </c>
      <c r="C53" s="2" t="n">
        <v>1</v>
      </c>
      <c r="D53" s="2" t="n">
        <v>1</v>
      </c>
      <c r="E53" s="2" t="n">
        <v>1</v>
      </c>
      <c r="F53" s="2" t="n">
        <v>1</v>
      </c>
      <c r="G53" s="2" t="n">
        <v>1</v>
      </c>
      <c r="H53" s="2" t="n">
        <v>1</v>
      </c>
      <c r="I53" s="2" t="n">
        <v>7</v>
      </c>
      <c r="J53" s="4" t="n">
        <v>1</v>
      </c>
      <c r="K53" s="3">
        <f>Scoring!W53</f>
        <v>90.4285714285714</v>
      </c>
      <c r="L53" s="3">
        <f>Scoring!S53</f>
        <v>90.4285714285714</v>
      </c>
    </row>
    <row r="54">
      <c r="A54" s="2" t="inlineStr">
        <is>
          <t>Hyrax</t>
        </is>
      </c>
      <c r="B54" s="2" t="n">
        <v>1</v>
      </c>
      <c r="C54" s="2" t="n">
        <v>1</v>
      </c>
      <c r="D54" s="2" t="n">
        <v>1</v>
      </c>
      <c r="E54" s="2" t="n">
        <v>1</v>
      </c>
      <c r="F54" s="2" t="n">
        <v>1</v>
      </c>
      <c r="G54" s="2" t="n">
        <v>1</v>
      </c>
      <c r="H54" s="2" t="n">
        <v>1</v>
      </c>
      <c r="I54" s="2" t="n">
        <v>7</v>
      </c>
      <c r="J54" s="4" t="n">
        <v>1</v>
      </c>
      <c r="K54" s="3">
        <f>Scoring!W54</f>
        <v>85.8571428571429</v>
      </c>
      <c r="L54" s="3">
        <f>Scoring!S54</f>
        <v>85.8571428571429</v>
      </c>
    </row>
    <row r="55">
      <c r="A55" s="2" t="inlineStr">
        <is>
          <t>IIIF</t>
        </is>
      </c>
      <c r="B55" s="2" t="n">
        <v>1</v>
      </c>
      <c r="C55" s="2" t="n">
        <v>1</v>
      </c>
      <c r="D55" s="2" t="n">
        <v>1</v>
      </c>
      <c r="E55" s="2" t="n">
        <v>0</v>
      </c>
      <c r="F55" s="2" t="n">
        <v>1</v>
      </c>
      <c r="G55" s="2" t="n">
        <v>1</v>
      </c>
      <c r="H55" s="2" t="n">
        <v>1</v>
      </c>
      <c r="I55" s="2" t="n">
        <v>6</v>
      </c>
      <c r="J55" s="4" t="n">
        <v>0.8571428571428571</v>
      </c>
      <c r="K55" s="3">
        <f>Scoring!W55</f>
        <v>100</v>
      </c>
      <c r="L55" s="3">
        <f>Scoring!S55</f>
        <v>85.7142857142857</v>
      </c>
    </row>
    <row r="56">
      <c r="A56" s="2" t="inlineStr">
        <is>
          <t>ImpactU</t>
        </is>
      </c>
      <c r="B56" s="2" t="n">
        <v>0</v>
      </c>
      <c r="C56" s="2" t="n">
        <v>0</v>
      </c>
      <c r="D56" s="2" t="n">
        <v>1</v>
      </c>
      <c r="E56" s="2" t="n">
        <v>0</v>
      </c>
      <c r="F56" s="2" t="n">
        <v>0</v>
      </c>
      <c r="G56" s="2" t="n">
        <v>0</v>
      </c>
      <c r="H56" s="2" t="n">
        <v>1</v>
      </c>
      <c r="I56" s="2" t="n">
        <v>2</v>
      </c>
      <c r="J56" s="4" t="n">
        <v>0.2857142857142857</v>
      </c>
      <c r="K56" s="3">
        <f>Scoring!W56</f>
        <v>0</v>
      </c>
      <c r="L56" s="3">
        <f>Scoring!S56</f>
        <v>0</v>
      </c>
    </row>
    <row r="57">
      <c r="A57" s="2" t="inlineStr">
        <is>
          <t>International Generic Sample Number (IGSN)</t>
        </is>
      </c>
      <c r="B57" s="2" t="n">
        <v>1</v>
      </c>
      <c r="C57" s="2" t="n">
        <v>1</v>
      </c>
      <c r="D57" s="2" t="n">
        <v>1</v>
      </c>
      <c r="E57" s="2" t="n">
        <v>1</v>
      </c>
      <c r="F57" s="2" t="n">
        <v>1</v>
      </c>
      <c r="G57" s="2" t="n">
        <v>1</v>
      </c>
      <c r="H57" s="2" t="n">
        <v>0</v>
      </c>
      <c r="I57" s="2" t="n">
        <v>6</v>
      </c>
      <c r="J57" s="4" t="n">
        <v>0.8571428571428571</v>
      </c>
      <c r="K57" s="3">
        <f>Scoring!W57</f>
        <v>72.1666666666667</v>
      </c>
      <c r="L57" s="3">
        <f>Scoring!S57</f>
        <v>61.8571428571429</v>
      </c>
    </row>
    <row r="58">
      <c r="A58" s="2" t="inlineStr">
        <is>
          <t>InvenioRDM</t>
        </is>
      </c>
      <c r="B58" s="2" t="n">
        <v>1</v>
      </c>
      <c r="C58" s="2" t="n">
        <v>1</v>
      </c>
      <c r="D58" s="2" t="n">
        <v>1</v>
      </c>
      <c r="E58" s="2" t="n">
        <v>1</v>
      </c>
      <c r="F58" s="2" t="n">
        <v>1</v>
      </c>
      <c r="G58" s="2" t="n">
        <v>0</v>
      </c>
      <c r="H58" s="2" t="n">
        <v>1</v>
      </c>
      <c r="I58" s="2" t="n">
        <v>6</v>
      </c>
      <c r="J58" s="4" t="n">
        <v>0.8571428571428571</v>
      </c>
      <c r="K58" s="3">
        <f>Scoring!W58</f>
        <v>94.5</v>
      </c>
      <c r="L58" s="3">
        <f>Scoring!S58</f>
        <v>81</v>
      </c>
    </row>
    <row r="59">
      <c r="A59" s="2" t="inlineStr">
        <is>
          <t>iRODS</t>
        </is>
      </c>
      <c r="B59" s="2" t="n">
        <v>1</v>
      </c>
      <c r="C59" s="2" t="n">
        <v>1</v>
      </c>
      <c r="D59" s="2" t="n">
        <v>1</v>
      </c>
      <c r="E59" s="2" t="n">
        <v>1</v>
      </c>
      <c r="F59" s="2" t="n">
        <v>1</v>
      </c>
      <c r="G59" s="2" t="n">
        <v>1</v>
      </c>
      <c r="H59" s="2" t="n">
        <v>1</v>
      </c>
      <c r="I59" s="2" t="n">
        <v>7</v>
      </c>
      <c r="J59" s="4" t="n">
        <v>1</v>
      </c>
      <c r="K59" s="3">
        <f>Scoring!W59</f>
        <v>50</v>
      </c>
      <c r="L59" s="3">
        <f>Scoring!S59</f>
        <v>50</v>
      </c>
    </row>
    <row r="60">
      <c r="A60" s="2" t="inlineStr">
        <is>
          <t>Islandora</t>
        </is>
      </c>
      <c r="B60" s="2" t="n">
        <v>1</v>
      </c>
      <c r="C60" s="2" t="n">
        <v>1</v>
      </c>
      <c r="D60" s="2" t="n">
        <v>1</v>
      </c>
      <c r="E60" s="2" t="n">
        <v>1</v>
      </c>
      <c r="F60" s="2" t="n">
        <v>1</v>
      </c>
      <c r="G60" s="2" t="n">
        <v>0</v>
      </c>
      <c r="H60" s="2" t="n">
        <v>1</v>
      </c>
      <c r="I60" s="2" t="n">
        <v>6</v>
      </c>
      <c r="J60" s="4" t="n">
        <v>0.8571428571428571</v>
      </c>
      <c r="K60" s="3">
        <f>Scoring!W60</f>
        <v>83.3333333333333</v>
      </c>
      <c r="L60" s="3">
        <f>Scoring!S60</f>
        <v>71.4285714285714</v>
      </c>
    </row>
    <row r="61">
      <c r="A61" s="2" t="inlineStr">
        <is>
          <t>Janeway</t>
        </is>
      </c>
      <c r="B61" s="2" t="n">
        <v>1</v>
      </c>
      <c r="C61" s="2" t="n">
        <v>0</v>
      </c>
      <c r="D61" s="2" t="n">
        <v>1</v>
      </c>
      <c r="E61" s="2" t="n">
        <v>1</v>
      </c>
      <c r="F61" s="2" t="n">
        <v>1</v>
      </c>
      <c r="G61" s="2" t="n">
        <v>1</v>
      </c>
      <c r="H61" s="2" t="n">
        <v>1</v>
      </c>
      <c r="I61" s="2" t="n">
        <v>6</v>
      </c>
      <c r="J61" s="4" t="n">
        <v>0.8571428571428571</v>
      </c>
      <c r="K61" s="3">
        <f>Scoring!W61</f>
        <v>86.1666666666667</v>
      </c>
      <c r="L61" s="3">
        <f>Scoring!S61</f>
        <v>73.8571428571429</v>
      </c>
    </row>
    <row r="62">
      <c r="A62" s="2" t="inlineStr">
        <is>
          <t>JHOVE</t>
        </is>
      </c>
      <c r="B62" s="2" t="n">
        <v>1</v>
      </c>
      <c r="C62" s="2" t="n">
        <v>1</v>
      </c>
      <c r="D62" s="2" t="n">
        <v>1</v>
      </c>
      <c r="E62" s="2" t="n">
        <v>1</v>
      </c>
      <c r="F62" s="2" t="n">
        <v>1</v>
      </c>
      <c r="G62" s="2" t="n">
        <v>1</v>
      </c>
      <c r="H62" s="2" t="n">
        <v>1</v>
      </c>
      <c r="I62" s="2" t="n">
        <v>7</v>
      </c>
      <c r="J62" s="4" t="n">
        <v>1</v>
      </c>
      <c r="K62" s="3">
        <f>Scoring!W62</f>
        <v>69.1428571428571</v>
      </c>
      <c r="L62" s="3">
        <f>Scoring!S62</f>
        <v>69.1428571428571</v>
      </c>
    </row>
    <row r="63">
      <c r="A63" s="2" t="inlineStr">
        <is>
          <t>LA Referencia</t>
        </is>
      </c>
      <c r="B63" s="2" t="n">
        <v>1</v>
      </c>
      <c r="C63" s="2" t="n">
        <v>0</v>
      </c>
      <c r="D63" s="2" t="n">
        <v>1</v>
      </c>
      <c r="E63" s="2" t="n">
        <v>1</v>
      </c>
      <c r="F63" s="2" t="n">
        <v>1</v>
      </c>
      <c r="G63" s="2" t="n">
        <v>1</v>
      </c>
      <c r="H63" s="2" t="n">
        <v>1</v>
      </c>
      <c r="I63" s="2" t="n">
        <v>6</v>
      </c>
      <c r="J63" s="4" t="n">
        <v>0.8571428571428571</v>
      </c>
      <c r="K63" s="3">
        <f>Scoring!W63</f>
        <v>72.1666666666667</v>
      </c>
      <c r="L63" s="3">
        <f>Scoring!S63</f>
        <v>61.8571428571429</v>
      </c>
    </row>
    <row r="64">
      <c r="A64" s="2" t="inlineStr">
        <is>
          <t>Manifold</t>
        </is>
      </c>
      <c r="B64" s="2" t="n">
        <v>0</v>
      </c>
      <c r="C64" s="2" t="n">
        <v>0</v>
      </c>
      <c r="D64" s="2" t="n">
        <v>1</v>
      </c>
      <c r="E64" s="2" t="n">
        <v>1</v>
      </c>
      <c r="F64" s="2" t="n">
        <v>1</v>
      </c>
      <c r="G64" s="2" t="n">
        <v>0</v>
      </c>
      <c r="H64" s="2" t="n">
        <v>1</v>
      </c>
      <c r="I64" s="2" t="n">
        <v>4</v>
      </c>
      <c r="J64" s="4" t="n">
        <v>0.5714285714285714</v>
      </c>
      <c r="K64" s="3">
        <f>Scoring!W64</f>
        <v>66.75</v>
      </c>
      <c r="L64" s="3">
        <f>Scoring!S64</f>
        <v>38.1428571428571</v>
      </c>
    </row>
    <row r="65">
      <c r="A65" s="2" t="inlineStr">
        <is>
          <t>medRxiv</t>
        </is>
      </c>
      <c r="B65" s="2" t="n">
        <v>1</v>
      </c>
      <c r="C65" s="2" t="n">
        <v>0</v>
      </c>
      <c r="D65" s="2" t="n">
        <v>1</v>
      </c>
      <c r="E65" s="2" t="n">
        <v>1</v>
      </c>
      <c r="F65" s="2" t="n">
        <v>1</v>
      </c>
      <c r="G65" s="2" t="n">
        <v>1</v>
      </c>
      <c r="H65" s="2" t="n">
        <v>1</v>
      </c>
      <c r="I65" s="2" t="n">
        <v>6</v>
      </c>
      <c r="J65" s="4" t="n">
        <v>0.8571428571428571</v>
      </c>
      <c r="K65" s="3">
        <f>Scoring!W65</f>
        <v>69.5</v>
      </c>
      <c r="L65" s="3">
        <f>Scoring!S65</f>
        <v>59.5714285714286</v>
      </c>
    </row>
    <row r="66">
      <c r="A66" s="2" t="inlineStr">
        <is>
          <t>Metadata Encoding and Transmission Standard (METS)</t>
        </is>
      </c>
      <c r="B66" s="2" t="n">
        <v>1</v>
      </c>
      <c r="C66" s="2" t="n">
        <v>1</v>
      </c>
      <c r="D66" s="2" t="n">
        <v>1</v>
      </c>
      <c r="E66" s="2" t="n">
        <v>1</v>
      </c>
      <c r="F66" s="2" t="n">
        <v>1</v>
      </c>
      <c r="G66" s="2" t="n">
        <v>1</v>
      </c>
      <c r="H66" s="2" t="n">
        <v>1</v>
      </c>
      <c r="I66" s="2" t="n">
        <v>7</v>
      </c>
      <c r="J66" s="4" t="n">
        <v>1</v>
      </c>
      <c r="K66" s="3">
        <f>Scoring!W66</f>
        <v>50</v>
      </c>
      <c r="L66" s="3">
        <f>Scoring!S66</f>
        <v>50</v>
      </c>
    </row>
    <row r="67">
      <c r="A67" s="2" t="inlineStr">
        <is>
          <t>Mirador</t>
        </is>
      </c>
      <c r="B67" s="2" t="n">
        <v>1</v>
      </c>
      <c r="C67" s="2" t="n">
        <v>0</v>
      </c>
      <c r="D67" s="2" t="n">
        <v>1</v>
      </c>
      <c r="E67" s="2" t="n">
        <v>1</v>
      </c>
      <c r="F67" s="2" t="n">
        <v>1</v>
      </c>
      <c r="G67" s="2" t="n">
        <v>0</v>
      </c>
      <c r="H67" s="2" t="n">
        <v>1</v>
      </c>
      <c r="I67" s="2" t="n">
        <v>5</v>
      </c>
      <c r="J67" s="4" t="n">
        <v>0.7142857142857143</v>
      </c>
      <c r="K67" s="3">
        <f>Scoring!W67</f>
        <v>56.6</v>
      </c>
      <c r="L67" s="3">
        <f>Scoring!S67</f>
        <v>40.4285714285714</v>
      </c>
    </row>
    <row r="68">
      <c r="A68" s="2" t="inlineStr">
        <is>
          <t>Mukurtu CMS</t>
        </is>
      </c>
      <c r="B68" s="2" t="n">
        <v>1</v>
      </c>
      <c r="C68" s="2" t="n">
        <v>0</v>
      </c>
      <c r="D68" s="2" t="n">
        <v>1</v>
      </c>
      <c r="E68" s="2" t="n">
        <v>1</v>
      </c>
      <c r="F68" s="2" t="n">
        <v>1</v>
      </c>
      <c r="G68" s="2" t="n">
        <v>1</v>
      </c>
      <c r="H68" s="2" t="n">
        <v>1</v>
      </c>
      <c r="I68" s="2" t="n">
        <v>6</v>
      </c>
      <c r="J68" s="4" t="n">
        <v>0.8571428571428571</v>
      </c>
      <c r="K68" s="3">
        <f>Scoring!W68</f>
        <v>80.6666666666667</v>
      </c>
      <c r="L68" s="3">
        <f>Scoring!S68</f>
        <v>69.1428571428571</v>
      </c>
    </row>
    <row r="69">
      <c r="A69" s="2" t="inlineStr">
        <is>
          <t>MyCoRe</t>
        </is>
      </c>
      <c r="B69" s="2" t="n">
        <v>1</v>
      </c>
      <c r="C69" s="2" t="n">
        <v>1</v>
      </c>
      <c r="D69" s="2" t="n">
        <v>1</v>
      </c>
      <c r="E69" s="2" t="n">
        <v>1</v>
      </c>
      <c r="F69" s="2" t="n">
        <v>0</v>
      </c>
      <c r="G69" s="2" t="n">
        <v>1</v>
      </c>
      <c r="H69" s="2" t="n">
        <v>1</v>
      </c>
      <c r="I69" s="2" t="n">
        <v>6</v>
      </c>
      <c r="J69" s="4" t="n">
        <v>0.8571428571428571</v>
      </c>
      <c r="K69" s="3">
        <f>Scoring!W69</f>
        <v>41.6666666666667</v>
      </c>
      <c r="L69" s="3">
        <f>Scoring!S69</f>
        <v>35.7142857142857</v>
      </c>
    </row>
    <row r="70">
      <c r="A70" s="2" t="inlineStr">
        <is>
          <t>NumPy</t>
        </is>
      </c>
      <c r="B70" s="2" t="n">
        <v>1</v>
      </c>
      <c r="C70" s="2" t="n">
        <v>1</v>
      </c>
      <c r="D70" s="2" t="n">
        <v>1</v>
      </c>
      <c r="E70" s="2" t="n">
        <v>1</v>
      </c>
      <c r="F70" s="2" t="n">
        <v>1</v>
      </c>
      <c r="G70" s="2" t="n">
        <v>1</v>
      </c>
      <c r="H70" s="2" t="n">
        <v>1</v>
      </c>
      <c r="I70" s="2" t="n">
        <v>7</v>
      </c>
      <c r="J70" s="4" t="n">
        <v>1</v>
      </c>
      <c r="K70" s="3">
        <f>Scoring!W70</f>
        <v>76.2857142857143</v>
      </c>
      <c r="L70" s="3">
        <f>Scoring!S70</f>
        <v>76.2857142857143</v>
      </c>
    </row>
    <row r="71">
      <c r="A71" s="2" t="inlineStr">
        <is>
          <t>OA.Report</t>
        </is>
      </c>
      <c r="B71" s="2" t="n">
        <v>1</v>
      </c>
      <c r="C71" s="2" t="n">
        <v>1</v>
      </c>
      <c r="D71" s="2" t="n">
        <v>1</v>
      </c>
      <c r="E71" s="2" t="n">
        <v>1</v>
      </c>
      <c r="F71" s="2" t="n">
        <v>1</v>
      </c>
      <c r="G71" s="2" t="n">
        <v>1</v>
      </c>
      <c r="H71" s="2" t="n">
        <v>1</v>
      </c>
      <c r="I71" s="2" t="n">
        <v>7</v>
      </c>
      <c r="J71" s="4" t="n">
        <v>1</v>
      </c>
      <c r="K71" s="3">
        <f>Scoring!W71</f>
        <v>90.4285714285714</v>
      </c>
      <c r="L71" s="3">
        <f>Scoring!S71</f>
        <v>90.4285714285714</v>
      </c>
    </row>
    <row r="72">
      <c r="A72" s="2" t="inlineStr">
        <is>
          <t>OA Switchboard</t>
        </is>
      </c>
      <c r="B72" s="2" t="n">
        <v>1</v>
      </c>
      <c r="C72" s="2" t="n">
        <v>1</v>
      </c>
      <c r="D72" s="2" t="n">
        <v>0</v>
      </c>
      <c r="E72" s="2" t="n">
        <v>0</v>
      </c>
      <c r="F72" s="2" t="n">
        <v>1</v>
      </c>
      <c r="G72" s="2" t="n">
        <v>1</v>
      </c>
      <c r="H72" s="2" t="n">
        <v>1</v>
      </c>
      <c r="I72" s="2" t="n">
        <v>5</v>
      </c>
      <c r="J72" s="4" t="n">
        <v>0.7142857142857143</v>
      </c>
      <c r="K72" s="3">
        <f>Scoring!W72</f>
        <v>100</v>
      </c>
      <c r="L72" s="3">
        <f>Scoring!S72</f>
        <v>71.4285714285714</v>
      </c>
    </row>
    <row r="73">
      <c r="A73" s="2" t="inlineStr">
        <is>
          <t>Omeka</t>
        </is>
      </c>
      <c r="B73" s="2" t="n">
        <v>1</v>
      </c>
      <c r="C73" s="2" t="n">
        <v>1</v>
      </c>
      <c r="D73" s="2" t="n">
        <v>1</v>
      </c>
      <c r="E73" s="2" t="n">
        <v>1</v>
      </c>
      <c r="F73" s="2" t="n">
        <v>1</v>
      </c>
      <c r="G73" s="2" t="n">
        <v>1</v>
      </c>
      <c r="H73" s="2" t="n">
        <v>1</v>
      </c>
      <c r="I73" s="2" t="n">
        <v>7</v>
      </c>
      <c r="J73" s="4" t="n">
        <v>1</v>
      </c>
      <c r="K73" s="3">
        <f>Scoring!W73</f>
        <v>88.1428571428571</v>
      </c>
      <c r="L73" s="3">
        <f>Scoring!S73</f>
        <v>88.1428571428571</v>
      </c>
    </row>
    <row r="74">
      <c r="A74" s="2" t="inlineStr">
        <is>
          <t>OpenAIRE Graph</t>
        </is>
      </c>
      <c r="B74" s="2" t="n">
        <v>1</v>
      </c>
      <c r="C74" s="2" t="n">
        <v>1</v>
      </c>
      <c r="D74" s="2" t="n">
        <v>1</v>
      </c>
      <c r="E74" s="2" t="n">
        <v>1</v>
      </c>
      <c r="F74" s="2" t="n">
        <v>1</v>
      </c>
      <c r="G74" s="2" t="n">
        <v>1</v>
      </c>
      <c r="H74" s="2" t="n">
        <v>1</v>
      </c>
      <c r="I74" s="2" t="n">
        <v>7</v>
      </c>
      <c r="J74" s="4" t="n">
        <v>1</v>
      </c>
      <c r="K74" s="3">
        <f>Scoring!W74</f>
        <v>90.4285714285714</v>
      </c>
      <c r="L74" s="3">
        <f>Scoring!S74</f>
        <v>90.4285714285714</v>
      </c>
    </row>
    <row r="75">
      <c r="A75" s="2" t="inlineStr">
        <is>
          <t>OpenAlex</t>
        </is>
      </c>
      <c r="B75" s="2" t="n">
        <v>1</v>
      </c>
      <c r="C75" s="2" t="n">
        <v>0</v>
      </c>
      <c r="D75" s="2" t="n">
        <v>1</v>
      </c>
      <c r="E75" s="2" t="n">
        <v>1</v>
      </c>
      <c r="F75" s="2" t="n">
        <v>1</v>
      </c>
      <c r="G75" s="2" t="n">
        <v>1</v>
      </c>
      <c r="H75" s="2" t="n">
        <v>1</v>
      </c>
      <c r="I75" s="2" t="n">
        <v>6</v>
      </c>
      <c r="J75" s="4" t="n">
        <v>0.8571428571428571</v>
      </c>
      <c r="K75" s="3">
        <f>Scoring!W75</f>
        <v>88.8333333333333</v>
      </c>
      <c r="L75" s="3">
        <f>Scoring!S75</f>
        <v>76.1428571428571</v>
      </c>
    </row>
    <row r="76">
      <c r="A76" s="2" t="inlineStr">
        <is>
          <t>OpenAPC</t>
        </is>
      </c>
      <c r="B76" s="2" t="n">
        <v>1</v>
      </c>
      <c r="C76" s="2" t="n">
        <v>1</v>
      </c>
      <c r="D76" s="2" t="n">
        <v>1</v>
      </c>
      <c r="E76" s="2" t="n">
        <v>1</v>
      </c>
      <c r="F76" s="2" t="n">
        <v>1</v>
      </c>
      <c r="G76" s="2" t="n">
        <v>1</v>
      </c>
      <c r="H76" s="2" t="n">
        <v>1</v>
      </c>
      <c r="I76" s="2" t="n">
        <v>7</v>
      </c>
      <c r="J76" s="4" t="n">
        <v>1</v>
      </c>
      <c r="K76" s="3">
        <f>Scoring!W76</f>
        <v>14.2857142857143</v>
      </c>
      <c r="L76" s="3">
        <f>Scoring!S76</f>
        <v>14.2857142857143</v>
      </c>
    </row>
    <row r="77">
      <c r="A77" s="2" t="inlineStr">
        <is>
          <t>OpenCitations</t>
        </is>
      </c>
      <c r="B77" s="2" t="n">
        <v>1</v>
      </c>
      <c r="C77" s="2" t="n">
        <v>1</v>
      </c>
      <c r="D77" s="2" t="n">
        <v>1</v>
      </c>
      <c r="E77" s="2" t="n">
        <v>1</v>
      </c>
      <c r="F77" s="2" t="n">
        <v>1</v>
      </c>
      <c r="G77" s="2" t="n">
        <v>1</v>
      </c>
      <c r="H77" s="2" t="n">
        <v>1</v>
      </c>
      <c r="I77" s="2" t="n">
        <v>7</v>
      </c>
      <c r="J77" s="4" t="n">
        <v>1</v>
      </c>
      <c r="K77" s="3">
        <f>Scoring!W77</f>
        <v>80.8571428571429</v>
      </c>
      <c r="L77" s="3">
        <f>Scoring!S77</f>
        <v>80.8571428571429</v>
      </c>
    </row>
    <row r="78">
      <c r="A78" s="2" t="inlineStr">
        <is>
          <t>openCost</t>
        </is>
      </c>
      <c r="B78" s="2" t="n">
        <v>1</v>
      </c>
      <c r="C78" s="2" t="n">
        <v>1</v>
      </c>
      <c r="D78" s="2" t="n">
        <v>1</v>
      </c>
      <c r="E78" s="2" t="n">
        <v>1</v>
      </c>
      <c r="F78" s="2" t="n">
        <v>1</v>
      </c>
      <c r="G78" s="2" t="n">
        <v>1</v>
      </c>
      <c r="H78" s="2" t="n">
        <v>0</v>
      </c>
      <c r="I78" s="2" t="n">
        <v>6</v>
      </c>
      <c r="J78" s="4" t="n">
        <v>0.8571428571428571</v>
      </c>
      <c r="K78" s="3">
        <f>Scoring!W78</f>
        <v>0</v>
      </c>
      <c r="L78" s="3">
        <f>Scoring!S78</f>
        <v>0</v>
      </c>
    </row>
    <row r="79">
      <c r="A79" s="2" t="inlineStr">
        <is>
          <t>Open Data Editor</t>
        </is>
      </c>
      <c r="B79" s="2" t="n">
        <v>1</v>
      </c>
      <c r="C79" s="2" t="n">
        <v>1</v>
      </c>
      <c r="D79" s="2" t="n">
        <v>1</v>
      </c>
      <c r="E79" s="2" t="n">
        <v>1</v>
      </c>
      <c r="F79" s="2" t="n">
        <v>1</v>
      </c>
      <c r="G79" s="2" t="n">
        <v>1</v>
      </c>
      <c r="H79" s="2" t="n">
        <v>1</v>
      </c>
      <c r="I79" s="2" t="n">
        <v>7</v>
      </c>
      <c r="J79" s="4" t="n">
        <v>1</v>
      </c>
      <c r="K79" s="3">
        <f>Scoring!W79</f>
        <v>80.8571428571429</v>
      </c>
      <c r="L79" s="3">
        <f>Scoring!S79</f>
        <v>80.8571428571429</v>
      </c>
    </row>
    <row r="80">
      <c r="A80" s="2" t="inlineStr">
        <is>
          <t>OpenEdition</t>
        </is>
      </c>
      <c r="B80" s="2" t="n">
        <v>1</v>
      </c>
      <c r="C80" s="2" t="n">
        <v>1</v>
      </c>
      <c r="D80" s="2" t="n">
        <v>1</v>
      </c>
      <c r="E80" s="2" t="n">
        <v>1</v>
      </c>
      <c r="F80" s="2" t="n">
        <v>1</v>
      </c>
      <c r="G80" s="2" t="n">
        <v>1</v>
      </c>
      <c r="H80" s="2" t="n">
        <v>1</v>
      </c>
      <c r="I80" s="2" t="n">
        <v>7</v>
      </c>
      <c r="J80" s="4" t="n">
        <v>1</v>
      </c>
      <c r="K80" s="3">
        <f>Scoring!W80</f>
        <v>80.8571428571429</v>
      </c>
      <c r="L80" s="3">
        <f>Scoring!S80</f>
        <v>80.8571428571429</v>
      </c>
    </row>
    <row r="81">
      <c r="A81" s="2" t="inlineStr">
        <is>
          <t>Open Journal Systems (OJS)</t>
        </is>
      </c>
      <c r="B81" s="2" t="n">
        <v>1</v>
      </c>
      <c r="C81" s="2" t="n">
        <v>1</v>
      </c>
      <c r="D81" s="2" t="n">
        <v>1</v>
      </c>
      <c r="E81" s="2" t="n">
        <v>1</v>
      </c>
      <c r="F81" s="2" t="n">
        <v>1</v>
      </c>
      <c r="G81" s="2" t="n">
        <v>1</v>
      </c>
      <c r="H81" s="2" t="n">
        <v>1</v>
      </c>
      <c r="I81" s="2" t="n">
        <v>7</v>
      </c>
      <c r="J81" s="4" t="n">
        <v>1</v>
      </c>
      <c r="K81" s="3">
        <f>Scoring!W81</f>
        <v>95.2857142857143</v>
      </c>
      <c r="L81" s="3">
        <f>Scoring!S81</f>
        <v>95.2857142857143</v>
      </c>
    </row>
    <row r="82">
      <c r="A82" s="2" t="inlineStr">
        <is>
          <t>Open Monograph Press (OMP)</t>
        </is>
      </c>
      <c r="B82" s="2" t="n">
        <v>1</v>
      </c>
      <c r="C82" s="2" t="n">
        <v>1</v>
      </c>
      <c r="D82" s="2" t="n">
        <v>1</v>
      </c>
      <c r="E82" s="2" t="n">
        <v>1</v>
      </c>
      <c r="F82" s="2" t="n">
        <v>1</v>
      </c>
      <c r="G82" s="2" t="n">
        <v>1</v>
      </c>
      <c r="H82" s="2" t="n">
        <v>1</v>
      </c>
      <c r="I82" s="2" t="n">
        <v>7</v>
      </c>
      <c r="J82" s="4" t="n">
        <v>1</v>
      </c>
      <c r="K82" s="3">
        <f>Scoring!W82</f>
        <v>95.2857142857143</v>
      </c>
      <c r="L82" s="3">
        <f>Scoring!S82</f>
        <v>95.2857142857143</v>
      </c>
    </row>
    <row r="83">
      <c r="A83" s="2" t="inlineStr">
        <is>
          <t>Open Preprint Systems (OPS)</t>
        </is>
      </c>
      <c r="B83" s="2" t="n">
        <v>1</v>
      </c>
      <c r="C83" s="2" t="n">
        <v>1</v>
      </c>
      <c r="D83" s="2" t="n">
        <v>1</v>
      </c>
      <c r="E83" s="2" t="n">
        <v>1</v>
      </c>
      <c r="F83" s="2" t="n">
        <v>1</v>
      </c>
      <c r="G83" s="2" t="n">
        <v>1</v>
      </c>
      <c r="H83" s="2" t="n">
        <v>1</v>
      </c>
      <c r="I83" s="2" t="n">
        <v>7</v>
      </c>
      <c r="J83" s="4" t="n">
        <v>1</v>
      </c>
      <c r="K83" s="3">
        <f>Scoring!W83</f>
        <v>95.2857142857143</v>
      </c>
      <c r="L83" s="3">
        <f>Scoring!S83</f>
        <v>95.2857142857143</v>
      </c>
    </row>
    <row r="84">
      <c r="A84" s="2" t="inlineStr">
        <is>
          <t>Openverse</t>
        </is>
      </c>
      <c r="B84" s="2" t="n">
        <v>1</v>
      </c>
      <c r="C84" s="2" t="n">
        <v>1</v>
      </c>
      <c r="D84" s="2" t="n">
        <v>1</v>
      </c>
      <c r="E84" s="2" t="n">
        <v>1</v>
      </c>
      <c r="F84" s="2" t="n">
        <v>1</v>
      </c>
      <c r="G84" s="2" t="n">
        <v>1</v>
      </c>
      <c r="H84" s="2" t="n">
        <v>1</v>
      </c>
      <c r="I84" s="2" t="n">
        <v>7</v>
      </c>
      <c r="J84" s="4" t="n">
        <v>1</v>
      </c>
      <c r="K84" s="3">
        <f>Scoring!W84</f>
        <v>64.2857142857143</v>
      </c>
      <c r="L84" s="3">
        <f>Scoring!S84</f>
        <v>64.2857142857143</v>
      </c>
    </row>
    <row r="85">
      <c r="A85" s="2" t="inlineStr">
        <is>
          <t>O Portal Brasileiro de Publicações e Dados Científicos em Acesso Aberto (The Brazilian Open Access Publications and Scientific Data Portal) (Oasisbr)</t>
        </is>
      </c>
      <c r="B85" s="2" t="n">
        <v>1</v>
      </c>
      <c r="C85" s="2" t="n">
        <v>0</v>
      </c>
      <c r="D85" s="2" t="n">
        <v>1</v>
      </c>
      <c r="E85" s="2" t="n">
        <v>1</v>
      </c>
      <c r="F85" s="2" t="n">
        <v>1</v>
      </c>
      <c r="G85" s="2" t="n">
        <v>1</v>
      </c>
      <c r="H85" s="2" t="n">
        <v>1</v>
      </c>
      <c r="I85" s="2" t="n">
        <v>6</v>
      </c>
      <c r="J85" s="4" t="n">
        <v>0.8571428571428571</v>
      </c>
      <c r="K85" s="3">
        <f>Scoring!W85</f>
        <v>33.1666666666667</v>
      </c>
      <c r="L85" s="3">
        <f>Scoring!S85</f>
        <v>28.4285714285714</v>
      </c>
    </row>
    <row r="86">
      <c r="A86" s="2" t="inlineStr">
        <is>
          <t>OSF (Open Science Framework)</t>
        </is>
      </c>
      <c r="B86" s="2" t="n">
        <v>1</v>
      </c>
      <c r="C86" s="2" t="n">
        <v>1</v>
      </c>
      <c r="D86" s="2" t="n">
        <v>1</v>
      </c>
      <c r="E86" s="2" t="n">
        <v>1</v>
      </c>
      <c r="F86" s="2" t="n">
        <v>1</v>
      </c>
      <c r="G86" s="2" t="n">
        <v>1</v>
      </c>
      <c r="H86" s="2" t="n">
        <v>1</v>
      </c>
      <c r="I86" s="2" t="n">
        <v>7</v>
      </c>
      <c r="J86" s="4" t="n">
        <v>1</v>
      </c>
      <c r="K86" s="3">
        <f>Scoring!W86</f>
        <v>100</v>
      </c>
      <c r="L86" s="3">
        <f>Scoring!S86</f>
        <v>100</v>
      </c>
    </row>
    <row r="87">
      <c r="A87" s="2" t="inlineStr">
        <is>
          <t>Oxford Common File Layout</t>
        </is>
      </c>
      <c r="B87" s="2" t="n">
        <v>1</v>
      </c>
      <c r="C87" s="2" t="n">
        <v>0</v>
      </c>
      <c r="D87" s="2" t="n">
        <v>1</v>
      </c>
      <c r="E87" s="2" t="n">
        <v>0</v>
      </c>
      <c r="F87" s="2" t="n">
        <v>1</v>
      </c>
      <c r="G87" s="2" t="n">
        <v>0</v>
      </c>
      <c r="H87" s="2" t="n">
        <v>1</v>
      </c>
      <c r="I87" s="2" t="n">
        <v>4</v>
      </c>
      <c r="J87" s="4" t="n">
        <v>0.5714285714285714</v>
      </c>
      <c r="K87" s="3">
        <f>Scoring!W87</f>
        <v>41.5</v>
      </c>
      <c r="L87" s="3">
        <f>Scoring!S87</f>
        <v>23.7142857142857</v>
      </c>
    </row>
    <row r="88">
      <c r="A88" s="2" t="inlineStr">
        <is>
          <t>Peer Community In</t>
        </is>
      </c>
      <c r="B88" s="2" t="n">
        <v>1</v>
      </c>
      <c r="C88" s="2" t="n">
        <v>0</v>
      </c>
      <c r="D88" s="2" t="n">
        <v>1</v>
      </c>
      <c r="E88" s="2" t="n">
        <v>1</v>
      </c>
      <c r="F88" s="2" t="n">
        <v>1</v>
      </c>
      <c r="G88" s="2" t="n">
        <v>0</v>
      </c>
      <c r="H88" s="2" t="n">
        <v>1</v>
      </c>
      <c r="I88" s="2" t="n">
        <v>5</v>
      </c>
      <c r="J88" s="4" t="n">
        <v>0.7142857142857143</v>
      </c>
      <c r="K88" s="3">
        <f>Scoring!W88</f>
        <v>80</v>
      </c>
      <c r="L88" s="3">
        <f>Scoring!S88</f>
        <v>57.1428571428571</v>
      </c>
    </row>
    <row r="89">
      <c r="A89" s="2" t="inlineStr">
        <is>
          <t>PKP Preservation Network</t>
        </is>
      </c>
      <c r="B89" s="2" t="n">
        <v>1</v>
      </c>
      <c r="C89" s="2" t="n">
        <v>1</v>
      </c>
      <c r="D89" s="2" t="n">
        <v>1</v>
      </c>
      <c r="E89" s="2" t="n">
        <v>1</v>
      </c>
      <c r="F89" s="2" t="n">
        <v>1</v>
      </c>
      <c r="G89" s="2" t="n">
        <v>1</v>
      </c>
      <c r="H89" s="2" t="n">
        <v>1</v>
      </c>
      <c r="I89" s="2" t="n">
        <v>7</v>
      </c>
      <c r="J89" s="4" t="n">
        <v>1</v>
      </c>
      <c r="K89" s="3">
        <f>Scoring!W89</f>
        <v>95.2857142857143</v>
      </c>
      <c r="L89" s="3">
        <f>Scoring!S89</f>
        <v>95.2857142857143</v>
      </c>
    </row>
    <row r="90">
      <c r="A90" s="2" t="inlineStr">
        <is>
          <t>PREreview</t>
        </is>
      </c>
      <c r="B90" s="2" t="n">
        <v>1</v>
      </c>
      <c r="C90" s="2" t="n">
        <v>0</v>
      </c>
      <c r="D90" s="2" t="n">
        <v>1</v>
      </c>
      <c r="E90" s="2" t="n">
        <v>1</v>
      </c>
      <c r="F90" s="2" t="n">
        <v>1</v>
      </c>
      <c r="G90" s="2" t="n">
        <v>1</v>
      </c>
      <c r="H90" s="2" t="n">
        <v>1</v>
      </c>
      <c r="I90" s="2" t="n">
        <v>6</v>
      </c>
      <c r="J90" s="4" t="n">
        <v>0.8571428571428571</v>
      </c>
      <c r="K90" s="3">
        <f>Scoring!W90</f>
        <v>86.1666666666667</v>
      </c>
      <c r="L90" s="3">
        <f>Scoring!S90</f>
        <v>73.8571428571429</v>
      </c>
    </row>
    <row r="91">
      <c r="A91" s="2" t="inlineStr">
        <is>
          <t>Pressbooks</t>
        </is>
      </c>
      <c r="B91" s="2" t="n">
        <v>1</v>
      </c>
      <c r="C91" s="2" t="n">
        <v>0</v>
      </c>
      <c r="D91" s="2" t="n">
        <v>1</v>
      </c>
      <c r="E91" s="2" t="n">
        <v>1</v>
      </c>
      <c r="F91" s="2" t="n">
        <v>1</v>
      </c>
      <c r="G91" s="2" t="n">
        <v>1</v>
      </c>
      <c r="H91" s="2" t="n">
        <v>1</v>
      </c>
      <c r="I91" s="2" t="n">
        <v>6</v>
      </c>
      <c r="J91" s="4" t="n">
        <v>0.8571428571428571</v>
      </c>
      <c r="K91" s="3">
        <f>Scoring!W91</f>
        <v>50</v>
      </c>
      <c r="L91" s="3">
        <f>Scoring!S91</f>
        <v>42.8571428571429</v>
      </c>
    </row>
    <row r="92">
      <c r="A92" s="2" t="inlineStr">
        <is>
          <t>Public Access Submission System</t>
        </is>
      </c>
      <c r="B92" s="2" t="n">
        <v>1</v>
      </c>
      <c r="C92" s="2" t="n">
        <v>1</v>
      </c>
      <c r="D92" s="2" t="n">
        <v>1</v>
      </c>
      <c r="E92" s="2" t="n">
        <v>1</v>
      </c>
      <c r="F92" s="2" t="n">
        <v>1</v>
      </c>
      <c r="G92" s="2" t="n">
        <v>1</v>
      </c>
      <c r="H92" s="2" t="n">
        <v>1</v>
      </c>
      <c r="I92" s="2" t="n">
        <v>7</v>
      </c>
      <c r="J92" s="4" t="n">
        <v>1</v>
      </c>
      <c r="K92" s="3">
        <f>Scoring!W92</f>
        <v>76.1428571428571</v>
      </c>
      <c r="L92" s="3">
        <f>Scoring!S92</f>
        <v>76.1428571428571</v>
      </c>
    </row>
    <row r="93">
      <c r="A93" s="2" t="inlineStr">
        <is>
          <t>Public Utility Data Liberation (PUDL)</t>
        </is>
      </c>
      <c r="B93" s="2" t="n">
        <v>1</v>
      </c>
      <c r="C93" s="2" t="n">
        <v>1</v>
      </c>
      <c r="D93" s="2" t="n">
        <v>1</v>
      </c>
      <c r="E93" s="2" t="n">
        <v>1</v>
      </c>
      <c r="F93" s="2" t="n">
        <v>1</v>
      </c>
      <c r="G93" s="2" t="n">
        <v>1</v>
      </c>
      <c r="H93" s="2" t="n">
        <v>1</v>
      </c>
      <c r="I93" s="2" t="n">
        <v>7</v>
      </c>
      <c r="J93" s="4" t="n">
        <v>1</v>
      </c>
      <c r="K93" s="3">
        <f>Scoring!W93</f>
        <v>54.8571428571429</v>
      </c>
      <c r="L93" s="3">
        <f>Scoring!S93</f>
        <v>54.8571428571429</v>
      </c>
    </row>
    <row r="94">
      <c r="A94" s="2" t="inlineStr">
        <is>
          <t>PubPub</t>
        </is>
      </c>
      <c r="B94" s="2" t="n">
        <v>1</v>
      </c>
      <c r="C94" s="2" t="n">
        <v>0</v>
      </c>
      <c r="D94" s="2" t="n">
        <v>1</v>
      </c>
      <c r="E94" s="2" t="n">
        <v>1</v>
      </c>
      <c r="F94" s="2" t="n">
        <v>1</v>
      </c>
      <c r="G94" s="2" t="n">
        <v>1</v>
      </c>
      <c r="H94" s="2" t="n">
        <v>1</v>
      </c>
      <c r="I94" s="2" t="n">
        <v>6</v>
      </c>
      <c r="J94" s="4" t="n">
        <v>0.8571428571428571</v>
      </c>
      <c r="K94" s="3">
        <f>Scoring!W94</f>
        <v>91.6666666666667</v>
      </c>
      <c r="L94" s="3">
        <f>Scoring!S94</f>
        <v>78.5714285714286</v>
      </c>
    </row>
    <row r="95">
      <c r="A95" s="2" t="inlineStr">
        <is>
          <t>Pundit</t>
        </is>
      </c>
      <c r="B95" s="2" t="n">
        <v>1</v>
      </c>
      <c r="C95" s="2" t="n">
        <v>1</v>
      </c>
      <c r="D95" s="2" t="n">
        <v>1</v>
      </c>
      <c r="E95" s="2" t="n">
        <v>1</v>
      </c>
      <c r="F95" s="2" t="n">
        <v>1</v>
      </c>
      <c r="G95" s="2" t="n">
        <v>1</v>
      </c>
      <c r="H95" s="2" t="n">
        <v>1</v>
      </c>
      <c r="I95" s="2" t="n">
        <v>7</v>
      </c>
      <c r="J95" s="4" t="n">
        <v>1</v>
      </c>
      <c r="K95" s="3">
        <f>Scoring!W95</f>
        <v>23.7142857142857</v>
      </c>
      <c r="L95" s="3">
        <f>Scoring!S95</f>
        <v>23.7142857142857</v>
      </c>
    </row>
    <row r="96">
      <c r="A96" s="2" t="inlineStr">
        <is>
          <t>pyOpenSci</t>
        </is>
      </c>
      <c r="B96" s="2" t="n">
        <v>1</v>
      </c>
      <c r="C96" s="2" t="n">
        <v>0</v>
      </c>
      <c r="D96" s="2" t="n">
        <v>1</v>
      </c>
      <c r="E96" s="2" t="n">
        <v>1</v>
      </c>
      <c r="F96" s="2" t="n">
        <v>1</v>
      </c>
      <c r="G96" s="2" t="n">
        <v>0</v>
      </c>
      <c r="H96" s="2" t="n">
        <v>1</v>
      </c>
      <c r="I96" s="2" t="n">
        <v>5</v>
      </c>
      <c r="J96" s="4" t="n">
        <v>0.7142857142857143</v>
      </c>
      <c r="K96" s="3">
        <f>Scoring!W96</f>
        <v>76.8</v>
      </c>
      <c r="L96" s="3">
        <f>Scoring!S96</f>
        <v>54.8571428571429</v>
      </c>
    </row>
    <row r="97">
      <c r="A97" s="2" t="inlineStr">
        <is>
          <t>Renku</t>
        </is>
      </c>
      <c r="B97" s="2" t="n">
        <v>1</v>
      </c>
      <c r="C97" s="2" t="n">
        <v>1</v>
      </c>
      <c r="D97" s="2" t="n">
        <v>1</v>
      </c>
      <c r="E97" s="2" t="n">
        <v>0</v>
      </c>
      <c r="F97" s="2" t="n">
        <v>1</v>
      </c>
      <c r="G97" s="2" t="n">
        <v>1</v>
      </c>
      <c r="H97" s="2" t="n">
        <v>1</v>
      </c>
      <c r="I97" s="2" t="n">
        <v>6</v>
      </c>
      <c r="J97" s="4" t="n">
        <v>0.8571428571428571</v>
      </c>
      <c r="K97" s="3">
        <f>Scoring!W97</f>
        <v>27.6666666666667</v>
      </c>
      <c r="L97" s="3">
        <f>Scoring!S97</f>
        <v>23.7142857142857</v>
      </c>
    </row>
    <row r="98">
      <c r="A98" s="2" t="inlineStr">
        <is>
          <t>RePEc</t>
        </is>
      </c>
      <c r="B98" s="2" t="n">
        <v>1</v>
      </c>
      <c r="C98" s="2" t="n">
        <v>1</v>
      </c>
      <c r="D98" s="2" t="n">
        <v>1</v>
      </c>
      <c r="E98" s="2" t="n">
        <v>0</v>
      </c>
      <c r="F98" s="2" t="n">
        <v>0</v>
      </c>
      <c r="G98" s="2" t="n">
        <v>1</v>
      </c>
      <c r="H98" s="2" t="n">
        <v>1</v>
      </c>
      <c r="I98" s="2" t="n">
        <v>5</v>
      </c>
      <c r="J98" s="4" t="n">
        <v>0.7142857142857143</v>
      </c>
      <c r="K98" s="3">
        <f>Scoring!W98</f>
        <v>83.4</v>
      </c>
      <c r="L98" s="3">
        <f>Scoring!S98</f>
        <v>59.5714285714286</v>
      </c>
    </row>
    <row r="99">
      <c r="A99" s="2" t="inlineStr">
        <is>
          <t>Research Organization Registry (ROR)</t>
        </is>
      </c>
      <c r="B99" s="2" t="n">
        <v>1</v>
      </c>
      <c r="C99" s="2" t="n">
        <v>1</v>
      </c>
      <c r="D99" s="2" t="n">
        <v>1</v>
      </c>
      <c r="E99" s="2" t="n">
        <v>1</v>
      </c>
      <c r="F99" s="2" t="n">
        <v>1</v>
      </c>
      <c r="G99" s="2" t="n">
        <v>1</v>
      </c>
      <c r="H99" s="2" t="n">
        <v>1</v>
      </c>
      <c r="I99" s="2" t="n">
        <v>7</v>
      </c>
      <c r="J99" s="4" t="n">
        <v>1</v>
      </c>
      <c r="K99" s="3">
        <f>Scoring!W99</f>
        <v>80.8571428571429</v>
      </c>
      <c r="L99" s="3">
        <f>Scoring!S99</f>
        <v>80.8571428571429</v>
      </c>
    </row>
    <row r="100">
      <c r="A100" s="2" t="inlineStr">
        <is>
          <t>Rogue Scholar</t>
        </is>
      </c>
      <c r="B100" s="2" t="n">
        <v>1</v>
      </c>
      <c r="C100" s="2" t="n">
        <v>0</v>
      </c>
      <c r="D100" s="2" t="n">
        <v>1</v>
      </c>
      <c r="E100" s="2" t="n">
        <v>1</v>
      </c>
      <c r="F100" s="2" t="n">
        <v>1</v>
      </c>
      <c r="G100" s="2" t="n">
        <v>1</v>
      </c>
      <c r="H100" s="2" t="n">
        <v>1</v>
      </c>
      <c r="I100" s="2" t="n">
        <v>6</v>
      </c>
      <c r="J100" s="4" t="n">
        <v>0.8571428571428571</v>
      </c>
      <c r="K100" s="3">
        <f>Scoring!W100</f>
        <v>41.6666666666667</v>
      </c>
      <c r="L100" s="3">
        <f>Scoring!S100</f>
        <v>35.7142857142857</v>
      </c>
    </row>
    <row r="101">
      <c r="A101" s="2" t="inlineStr">
        <is>
          <t>RSpace</t>
        </is>
      </c>
      <c r="B101" s="2" t="n">
        <v>1</v>
      </c>
      <c r="C101" s="2" t="n">
        <v>1</v>
      </c>
      <c r="D101" s="2" t="n">
        <v>1</v>
      </c>
      <c r="E101" s="2" t="n">
        <v>1</v>
      </c>
      <c r="F101" s="2" t="n">
        <v>1</v>
      </c>
      <c r="G101" s="2" t="n">
        <v>1</v>
      </c>
      <c r="H101" s="2" t="n">
        <v>1</v>
      </c>
      <c r="I101" s="2" t="n">
        <v>7</v>
      </c>
      <c r="J101" s="4" t="n">
        <v>1</v>
      </c>
      <c r="K101" s="3">
        <f>Scoring!W101</f>
        <v>47.5714285714286</v>
      </c>
      <c r="L101" s="3">
        <f>Scoring!S101</f>
        <v>47.5714285714286</v>
      </c>
    </row>
    <row r="102">
      <c r="A102" s="2" t="inlineStr">
        <is>
          <t>Sciety</t>
        </is>
      </c>
      <c r="B102" s="2" t="n">
        <v>1</v>
      </c>
      <c r="C102" s="2" t="n">
        <v>1</v>
      </c>
      <c r="D102" s="2" t="n">
        <v>1</v>
      </c>
      <c r="E102" s="2" t="n">
        <v>1</v>
      </c>
      <c r="F102" s="2" t="n">
        <v>1</v>
      </c>
      <c r="G102" s="2" t="n">
        <v>1</v>
      </c>
      <c r="H102" s="2" t="n">
        <v>1</v>
      </c>
      <c r="I102" s="2" t="n">
        <v>7</v>
      </c>
      <c r="J102" s="4" t="n">
        <v>1</v>
      </c>
      <c r="K102" s="3">
        <f>Scoring!W102</f>
        <v>71.2857142857143</v>
      </c>
      <c r="L102" s="3">
        <f>Scoring!S102</f>
        <v>71.2857142857143</v>
      </c>
    </row>
    <row r="103">
      <c r="A103" s="2" t="inlineStr">
        <is>
          <t>Synapse</t>
        </is>
      </c>
      <c r="B103" s="2" t="n">
        <v>1</v>
      </c>
      <c r="C103" s="2" t="n">
        <v>1</v>
      </c>
      <c r="D103" s="2" t="n">
        <v>1</v>
      </c>
      <c r="E103" s="2" t="n">
        <v>1</v>
      </c>
      <c r="F103" s="2" t="n">
        <v>1</v>
      </c>
      <c r="G103" s="2" t="n">
        <v>1</v>
      </c>
      <c r="H103" s="2" t="n">
        <v>1</v>
      </c>
      <c r="I103" s="2" t="n">
        <v>7</v>
      </c>
      <c r="J103" s="4" t="n">
        <v>1</v>
      </c>
      <c r="K103" s="3">
        <f>Scoring!W103</f>
        <v>33.2857142857143</v>
      </c>
      <c r="L103" s="3">
        <f>Scoring!S103</f>
        <v>33.2857142857143</v>
      </c>
    </row>
    <row r="104">
      <c r="A104" s="2" t="inlineStr">
        <is>
          <t>TagTeam</t>
        </is>
      </c>
      <c r="B104" s="2" t="n">
        <v>1</v>
      </c>
      <c r="C104" s="2" t="n">
        <v>1</v>
      </c>
      <c r="D104" s="2" t="n">
        <v>1</v>
      </c>
      <c r="E104" s="2" t="n">
        <v>1</v>
      </c>
      <c r="F104" s="2" t="n">
        <v>1</v>
      </c>
      <c r="G104" s="2" t="n">
        <v>1</v>
      </c>
      <c r="H104" s="2" t="n">
        <v>1</v>
      </c>
      <c r="I104" s="2" t="n">
        <v>7</v>
      </c>
      <c r="J104" s="4" t="n">
        <v>1</v>
      </c>
      <c r="K104" s="3">
        <f>Scoring!W104</f>
        <v>50</v>
      </c>
      <c r="L104" s="3">
        <f>Scoring!S104</f>
        <v>50</v>
      </c>
    </row>
    <row r="105">
      <c r="A105" s="2" t="inlineStr">
        <is>
          <t>Thoth Open Metadata</t>
        </is>
      </c>
      <c r="B105" s="2" t="n">
        <v>1</v>
      </c>
      <c r="C105" s="2" t="n">
        <v>1</v>
      </c>
      <c r="D105" s="2" t="n">
        <v>1</v>
      </c>
      <c r="E105" s="2" t="n">
        <v>1</v>
      </c>
      <c r="F105" s="2" t="n">
        <v>1</v>
      </c>
      <c r="G105" s="2" t="n">
        <v>1</v>
      </c>
      <c r="H105" s="2" t="n">
        <v>1</v>
      </c>
      <c r="I105" s="2" t="n">
        <v>7</v>
      </c>
      <c r="J105" s="4" t="n">
        <v>1</v>
      </c>
      <c r="K105" s="3">
        <f>Scoring!W105</f>
        <v>90.5714285714286</v>
      </c>
      <c r="L105" s="3">
        <f>Scoring!S105</f>
        <v>90.5714285714286</v>
      </c>
    </row>
    <row r="106">
      <c r="A106" s="2" t="inlineStr">
        <is>
          <t>Tropy</t>
        </is>
      </c>
      <c r="B106" s="2" t="n">
        <v>1</v>
      </c>
      <c r="C106" s="2" t="n">
        <v>1</v>
      </c>
      <c r="D106" s="2" t="n">
        <v>1</v>
      </c>
      <c r="E106" s="2" t="n">
        <v>1</v>
      </c>
      <c r="F106" s="2" t="n">
        <v>1</v>
      </c>
      <c r="G106" s="2" t="n">
        <v>1</v>
      </c>
      <c r="H106" s="2" t="n">
        <v>1</v>
      </c>
      <c r="I106" s="2" t="n">
        <v>7</v>
      </c>
      <c r="J106" s="4" t="n">
        <v>1</v>
      </c>
      <c r="K106" s="3">
        <f>Scoring!W106</f>
        <v>73.7142857142857</v>
      </c>
      <c r="L106" s="3">
        <f>Scoring!S106</f>
        <v>73.7142857142857</v>
      </c>
    </row>
    <row r="107">
      <c r="A107" s="2" t="inlineStr">
        <is>
          <t>veraPDF</t>
        </is>
      </c>
      <c r="B107" s="2" t="n">
        <v>1</v>
      </c>
      <c r="C107" s="2" t="n">
        <v>1</v>
      </c>
      <c r="D107" s="2" t="n">
        <v>1</v>
      </c>
      <c r="E107" s="2" t="n">
        <v>1</v>
      </c>
      <c r="F107" s="2" t="n">
        <v>1</v>
      </c>
      <c r="G107" s="2" t="n">
        <v>1</v>
      </c>
      <c r="H107" s="2" t="n">
        <v>1</v>
      </c>
      <c r="I107" s="2" t="n">
        <v>7</v>
      </c>
      <c r="J107" s="4" t="n">
        <v>1</v>
      </c>
      <c r="K107" s="3">
        <f>Scoring!W107</f>
        <v>42.8571428571429</v>
      </c>
      <c r="L107" s="3">
        <f>Scoring!S107</f>
        <v>42.8571428571429</v>
      </c>
    </row>
    <row r="108">
      <c r="A108" s="2" t="inlineStr">
        <is>
          <t>ViPER</t>
        </is>
      </c>
      <c r="B108" s="2" t="n">
        <v>1</v>
      </c>
      <c r="C108" s="2" t="n">
        <v>0</v>
      </c>
      <c r="D108" s="2" t="n">
        <v>1</v>
      </c>
      <c r="E108" s="2" t="n">
        <v>1</v>
      </c>
      <c r="F108" s="2" t="n">
        <v>1</v>
      </c>
      <c r="G108" s="2" t="n">
        <v>1</v>
      </c>
      <c r="H108" s="2" t="n">
        <v>1</v>
      </c>
      <c r="I108" s="2" t="n">
        <v>6</v>
      </c>
      <c r="J108" s="4" t="n">
        <v>0.8571428571428571</v>
      </c>
      <c r="K108" s="3">
        <f>Scoring!W108</f>
        <v>83.3333333333333</v>
      </c>
      <c r="L108" s="3">
        <f>Scoring!S108</f>
        <v>71.4285714285714</v>
      </c>
    </row>
    <row r="109">
      <c r="A109" s="2" t="inlineStr">
        <is>
          <t>Vireo ETD</t>
        </is>
      </c>
      <c r="B109" s="2" t="n">
        <v>1</v>
      </c>
      <c r="C109" s="2" t="n">
        <v>1</v>
      </c>
      <c r="D109" s="2" t="n">
        <v>1</v>
      </c>
      <c r="E109" s="2" t="n">
        <v>1</v>
      </c>
      <c r="F109" s="2" t="n">
        <v>1</v>
      </c>
      <c r="G109" s="2" t="n">
        <v>0</v>
      </c>
      <c r="H109" s="2" t="n">
        <v>1</v>
      </c>
      <c r="I109" s="2" t="n">
        <v>6</v>
      </c>
      <c r="J109" s="4" t="n">
        <v>0.8571428571428571</v>
      </c>
      <c r="K109" s="3">
        <f>Scoring!W109</f>
        <v>83.3333333333333</v>
      </c>
      <c r="L109" s="3">
        <f>Scoring!S109</f>
        <v>71.4285714285714</v>
      </c>
    </row>
    <row r="110">
      <c r="A110" s="2" t="inlineStr">
        <is>
          <t>VIVO</t>
        </is>
      </c>
      <c r="B110" s="2" t="n">
        <v>1</v>
      </c>
      <c r="C110" s="2" t="n">
        <v>1</v>
      </c>
      <c r="D110" s="2" t="n">
        <v>1</v>
      </c>
      <c r="E110" s="2" t="n">
        <v>1</v>
      </c>
      <c r="F110" s="2" t="n">
        <v>1</v>
      </c>
      <c r="G110" s="2" t="n">
        <v>1</v>
      </c>
      <c r="H110" s="2" t="n">
        <v>1</v>
      </c>
      <c r="I110" s="2" t="n">
        <v>7</v>
      </c>
      <c r="J110" s="4" t="n">
        <v>1</v>
      </c>
      <c r="K110" s="3">
        <f>Scoring!W110</f>
        <v>85.7142857142857</v>
      </c>
      <c r="L110" s="3">
        <f>Scoring!S110</f>
        <v>85.7142857142857</v>
      </c>
    </row>
    <row r="111">
      <c r="A111" s="2" t="inlineStr">
        <is>
          <t>VuFind®</t>
        </is>
      </c>
      <c r="B111" s="2" t="n">
        <v>1</v>
      </c>
      <c r="C111" s="2" t="n">
        <v>1</v>
      </c>
      <c r="D111" s="2" t="n">
        <v>1</v>
      </c>
      <c r="E111" s="2" t="n">
        <v>1</v>
      </c>
      <c r="F111" s="2" t="n">
        <v>1</v>
      </c>
      <c r="G111" s="2" t="n">
        <v>1</v>
      </c>
      <c r="H111" s="2" t="n">
        <v>1</v>
      </c>
      <c r="I111" s="2" t="n">
        <v>7</v>
      </c>
      <c r="J111" s="4" t="n">
        <v>1</v>
      </c>
      <c r="K111" s="3">
        <f>Scoring!W111</f>
        <v>100</v>
      </c>
      <c r="L111" s="3">
        <f>Scoring!S111</f>
        <v>100</v>
      </c>
    </row>
    <row r="112">
      <c r="A112" s="2" t="inlineStr">
        <is>
          <t>Zenodo</t>
        </is>
      </c>
      <c r="B112" s="2" t="n">
        <v>1</v>
      </c>
      <c r="C112" s="2" t="n">
        <v>0</v>
      </c>
      <c r="D112" s="2" t="n">
        <v>1</v>
      </c>
      <c r="E112" s="2" t="n">
        <v>0</v>
      </c>
      <c r="F112" s="2" t="n">
        <v>1</v>
      </c>
      <c r="G112" s="2" t="n">
        <v>1</v>
      </c>
      <c r="H112" s="2" t="n">
        <v>1</v>
      </c>
      <c r="I112" s="2" t="n">
        <v>5</v>
      </c>
      <c r="J112" s="4" t="n">
        <v>0.7142857142857143</v>
      </c>
      <c r="K112" s="3">
        <f>Scoring!W112</f>
        <v>76.6</v>
      </c>
      <c r="L112" s="3">
        <f>Scoring!S112</f>
        <v>54.7142857142857</v>
      </c>
    </row>
    <row r="113">
      <c r="A113" s="2" t="inlineStr">
        <is>
          <t>Zotero</t>
        </is>
      </c>
      <c r="B113" s="2" t="n">
        <v>1</v>
      </c>
      <c r="C113" s="2" t="n">
        <v>1</v>
      </c>
      <c r="D113" s="2" t="n">
        <v>1</v>
      </c>
      <c r="E113" s="2" t="n">
        <v>1</v>
      </c>
      <c r="F113" s="2" t="n">
        <v>1</v>
      </c>
      <c r="G113" s="2" t="n">
        <v>1</v>
      </c>
      <c r="H113" s="2" t="n">
        <v>1</v>
      </c>
      <c r="I113" s="2" t="n">
        <v>7</v>
      </c>
      <c r="J113" s="4" t="n">
        <v>1</v>
      </c>
      <c r="K113" s="3">
        <f>Scoring!W113</f>
        <v>92.8571428571429</v>
      </c>
      <c r="L113" s="3">
        <f>Scoring!S113</f>
        <v>92.8571428571429</v>
      </c>
    </row>
  </sheetData>
  <autoFilter ref="A1:L113"/>
  <pageMargins left="0.75" right="0.75" top="1" bottom="1" header="0.5" footer="0.5"/>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38" customWidth="1" min="1" max="1"/>
    <col width="35" customWidth="1" min="2" max="2"/>
    <col width="58" customWidth="1" min="3" max="3"/>
    <col width="18" customWidth="1" min="4" max="4"/>
    <col width="25" customWidth="1" min="5" max="5"/>
    <col width="18" customWidth="1" min="6" max="6"/>
    <col width="25" customWidth="1" min="7" max="7"/>
    <col width="76" customWidth="1" min="8" max="8"/>
  </cols>
  <sheetData>
    <row r="1" ht="32" customHeight="1">
      <c r="A1" s="1" t="inlineStr">
        <is>
          <t>Service</t>
        </is>
      </c>
      <c r="B1" s="1" t="inlineStr">
        <is>
          <t>050 board structure</t>
        </is>
      </c>
      <c r="C1" s="1" t="inlineStr">
        <is>
          <t>950 other detail</t>
        </is>
      </c>
      <c r="D1" s="1" t="inlineStr">
        <is>
          <t>Provisional G3</t>
        </is>
      </c>
      <c r="E1" s="1" t="inlineStr">
        <is>
          <t>Reviewer override (0 or 100)</t>
        </is>
      </c>
      <c r="F1" s="1" t="inlineStr">
        <is>
          <t>Final G3</t>
        </is>
      </c>
      <c r="G1" s="1" t="inlineStr">
        <is>
          <t>Review status</t>
        </is>
      </c>
      <c r="H1" s="1" t="inlineStr">
        <is>
          <t>Reviewer notes</t>
        </is>
      </c>
    </row>
    <row r="2">
      <c r="A2" s="2" t="inlineStr">
        <is>
          <t>2i2c</t>
        </is>
      </c>
      <c r="B2" s="2" t="inlineStr">
        <is>
          <t>Advisory board or steering committee</t>
        </is>
      </c>
      <c r="C2" s="2" t="n"/>
      <c r="D2" s="3" t="n">
        <v>100</v>
      </c>
      <c r="E2" s="5" t="n"/>
      <c r="F2" s="3">
        <f>IF(ISNUMBER(E2),E2,D2)</f>
        <v>100</v>
      </c>
      <c r="G2" s="2" t="inlineStr">
        <is>
          <t>No G3 review flagged</t>
        </is>
      </c>
      <c r="H2" s="2" t="inlineStr">
        <is>
          <t>Allowed override values are 0 or 100; use only after checking the described body's role.</t>
        </is>
      </c>
    </row>
    <row r="3">
      <c r="A3" s="2" t="inlineStr">
        <is>
          <t>Academic Preservation Trust (APTrust)</t>
        </is>
      </c>
      <c r="B3" s="2" t="inlineStr">
        <is>
          <t>Multi-board governance</t>
        </is>
      </c>
      <c r="C3" s="2" t="n"/>
      <c r="D3" s="3" t="n">
        <v>100</v>
      </c>
      <c r="E3" s="5" t="n"/>
      <c r="F3" s="3">
        <f>IF(ISNUMBER(E3),E3,D3)</f>
        <v>100</v>
      </c>
      <c r="G3" s="2" t="inlineStr">
        <is>
          <t>No G3 review flagged</t>
        </is>
      </c>
      <c r="H3" s="2" t="inlineStr">
        <is>
          <t>Allowed override values are 0 or 100; use only after checking the described body's role.</t>
        </is>
      </c>
    </row>
    <row r="4">
      <c r="A4" s="2" t="inlineStr">
        <is>
          <t>AfricArXiv</t>
        </is>
      </c>
      <c r="B4" s="2" t="inlineStr">
        <is>
          <t>Advisory board or steering committee</t>
        </is>
      </c>
      <c r="C4" s="2" t="n"/>
      <c r="D4" s="3" t="n">
        <v>100</v>
      </c>
      <c r="E4" s="5" t="n"/>
      <c r="F4" s="3">
        <f>IF(ISNUMBER(E4),E4,D4)</f>
        <v>100</v>
      </c>
      <c r="G4" s="2" t="inlineStr">
        <is>
          <t>No G3 review flagged</t>
        </is>
      </c>
      <c r="H4" s="2" t="inlineStr">
        <is>
          <t>Allowed override values are 0 or 100; use only after checking the described body's role.</t>
        </is>
      </c>
    </row>
    <row r="5">
      <c r="A5" s="2" t="inlineStr">
        <is>
          <t>Arches Heritage Data Management Platform</t>
        </is>
      </c>
      <c r="B5" s="2" t="inlineStr">
        <is>
          <t>Advisory board or steering committee</t>
        </is>
      </c>
      <c r="C5" s="2" t="n"/>
      <c r="D5" s="3" t="n">
        <v>100</v>
      </c>
      <c r="E5" s="5" t="n"/>
      <c r="F5" s="3">
        <f>IF(ISNUMBER(E5),E5,D5)</f>
        <v>100</v>
      </c>
      <c r="G5" s="2" t="inlineStr">
        <is>
          <t>No G3 review flagged</t>
        </is>
      </c>
      <c r="H5" s="2" t="inlineStr">
        <is>
          <t>Allowed override values are 0 or 100; use only after checking the described body's role.</t>
        </is>
      </c>
    </row>
    <row r="6">
      <c r="A6" s="2" t="inlineStr">
        <is>
          <t>Archipelago Commons</t>
        </is>
      </c>
      <c r="B6" s="2" t="inlineStr">
        <is>
          <t>Advisory board or steering committee</t>
        </is>
      </c>
      <c r="C6" s="2" t="n"/>
      <c r="D6" s="3" t="n">
        <v>100</v>
      </c>
      <c r="E6" s="5" t="n"/>
      <c r="F6" s="3">
        <f>IF(ISNUMBER(E6),E6,D6)</f>
        <v>100</v>
      </c>
      <c r="G6" s="2" t="inlineStr">
        <is>
          <t>No G3 review flagged</t>
        </is>
      </c>
      <c r="H6" s="2" t="inlineStr">
        <is>
          <t>Allowed override values are 0 or 100; use only after checking the described body's role.</t>
        </is>
      </c>
    </row>
    <row r="7">
      <c r="A7" s="2" t="inlineStr">
        <is>
          <t>Archival Resource Key</t>
        </is>
      </c>
      <c r="B7" s="2" t="inlineStr">
        <is>
          <t>Advisory board or steering committee</t>
        </is>
      </c>
      <c r="C7" s="2" t="n"/>
      <c r="D7" s="3" t="n">
        <v>100</v>
      </c>
      <c r="E7" s="5" t="n"/>
      <c r="F7" s="3">
        <f>IF(ISNUMBER(E7),E7,D7)</f>
        <v>100</v>
      </c>
      <c r="G7" s="2" t="inlineStr">
        <is>
          <t>No G3 review flagged</t>
        </is>
      </c>
      <c r="H7" s="2" t="inlineStr">
        <is>
          <t>Allowed override values are 0 or 100; use only after checking the described body's role.</t>
        </is>
      </c>
    </row>
    <row r="8">
      <c r="A8" s="2" t="inlineStr">
        <is>
          <t>Archivematica</t>
        </is>
      </c>
      <c r="B8" s="2" t="inlineStr">
        <is>
          <t>None</t>
        </is>
      </c>
      <c r="C8" s="2" t="n"/>
      <c r="D8" s="3" t="n">
        <v>0</v>
      </c>
      <c r="E8" s="5" t="n"/>
      <c r="F8" s="3">
        <f>IF(ISNUMBER(E8),E8,D8)</f>
        <v>0</v>
      </c>
      <c r="G8" s="2" t="inlineStr">
        <is>
          <t>No G3 review flagged</t>
        </is>
      </c>
      <c r="H8" s="2" t="inlineStr">
        <is>
          <t>Allowed override values are 0 or 100; use only after checking the described body's role.</t>
        </is>
      </c>
    </row>
    <row r="9">
      <c r="A9" s="2" t="inlineStr">
        <is>
          <t>ArchivesSpace</t>
        </is>
      </c>
      <c r="B9" s="2" t="inlineStr">
        <is>
          <t>Advisory board or steering committee</t>
        </is>
      </c>
      <c r="C9" s="2" t="n"/>
      <c r="D9" s="3" t="n">
        <v>100</v>
      </c>
      <c r="E9" s="5" t="n"/>
      <c r="F9" s="3">
        <f>IF(ISNUMBER(E9),E9,D9)</f>
        <v>100</v>
      </c>
      <c r="G9" s="2" t="inlineStr">
        <is>
          <t>No G3 review flagged</t>
        </is>
      </c>
      <c r="H9" s="2" t="inlineStr">
        <is>
          <t>Allowed override values are 0 or 100; use only after checking the described body's role.</t>
        </is>
      </c>
    </row>
    <row r="10">
      <c r="A10" s="2" t="inlineStr">
        <is>
          <t>ARGOS</t>
        </is>
      </c>
      <c r="B10" s="2" t="inlineStr">
        <is>
          <t>Advisory board or steering committee</t>
        </is>
      </c>
      <c r="C10" s="2" t="n"/>
      <c r="D10" s="3" t="n">
        <v>100</v>
      </c>
      <c r="E10" s="5" t="n"/>
      <c r="F10" s="3">
        <f>IF(ISNUMBER(E10),E10,D10)</f>
        <v>100</v>
      </c>
      <c r="G10" s="2" t="inlineStr">
        <is>
          <t>No G3 review flagged</t>
        </is>
      </c>
      <c r="H10" s="2" t="inlineStr">
        <is>
          <t>Allowed override values are 0 or 100; use only after checking the described body's role.</t>
        </is>
      </c>
    </row>
    <row r="11">
      <c r="A11" s="2" t="inlineStr">
        <is>
          <t>arXiv</t>
        </is>
      </c>
      <c r="B11" s="2" t="inlineStr">
        <is>
          <t>Multi-board governance</t>
        </is>
      </c>
      <c r="C11" s="2" t="n"/>
      <c r="D11" s="3" t="n">
        <v>100</v>
      </c>
      <c r="E11" s="5" t="n"/>
      <c r="F11" s="3">
        <f>IF(ISNUMBER(E11),E11,D11)</f>
        <v>100</v>
      </c>
      <c r="G11" s="2" t="inlineStr">
        <is>
          <t>No G3 review flagged</t>
        </is>
      </c>
      <c r="H11" s="2" t="inlineStr">
        <is>
          <t>Allowed override values are 0 or 100; use only after checking the described body's role.</t>
        </is>
      </c>
    </row>
    <row r="12">
      <c r="A12" s="2" t="inlineStr">
        <is>
          <t>AtoM</t>
        </is>
      </c>
      <c r="B12" s="2" t="n"/>
      <c r="C12" s="2" t="n"/>
      <c r="D12" s="3" t="n">
        <v>0</v>
      </c>
      <c r="E12" s="5" t="n"/>
      <c r="F12" s="3">
        <f>IF(ISNUMBER(E12),E12,D12)</f>
        <v>0</v>
      </c>
      <c r="G12" s="2" t="inlineStr">
        <is>
          <t>No G3 review flagged</t>
        </is>
      </c>
      <c r="H12" s="2" t="inlineStr">
        <is>
          <t>Allowed override values are 0 or 100; use only after checking the described body's role.</t>
        </is>
      </c>
    </row>
    <row r="13">
      <c r="A13" s="2" t="inlineStr">
        <is>
          <t>Avalon Media System</t>
        </is>
      </c>
      <c r="B13" s="2" t="inlineStr">
        <is>
          <t>Advisory board or steering committee</t>
        </is>
      </c>
      <c r="C13" s="2" t="n"/>
      <c r="D13" s="3" t="n">
        <v>100</v>
      </c>
      <c r="E13" s="5" t="n"/>
      <c r="F13" s="3">
        <f>IF(ISNUMBER(E13),E13,D13)</f>
        <v>100</v>
      </c>
      <c r="G13" s="2" t="inlineStr">
        <is>
          <t>No G3 review flagged</t>
        </is>
      </c>
      <c r="H13" s="2" t="inlineStr">
        <is>
          <t>Allowed override values are 0 or 100; use only after checking the described body's role.</t>
        </is>
      </c>
    </row>
    <row r="14">
      <c r="A14" s="2" t="inlineStr">
        <is>
          <t>Biodiversity Heritage Library</t>
        </is>
      </c>
      <c r="B14" s="2" t="inlineStr">
        <is>
          <t>Advisory board or steering committee</t>
        </is>
      </c>
      <c r="C14" s="2" t="n"/>
      <c r="D14" s="3" t="n">
        <v>100</v>
      </c>
      <c r="E14" s="5" t="n"/>
      <c r="F14" s="3">
        <f>IF(ISNUMBER(E14),E14,D14)</f>
        <v>100</v>
      </c>
      <c r="G14" s="2" t="inlineStr">
        <is>
          <t>No G3 review flagged</t>
        </is>
      </c>
      <c r="H14" s="2" t="inlineStr">
        <is>
          <t>Allowed override values are 0 or 100; use only after checking the described body's role.</t>
        </is>
      </c>
    </row>
    <row r="15">
      <c r="A15" s="2" t="inlineStr">
        <is>
          <t>bioRxiv</t>
        </is>
      </c>
      <c r="B15" s="2" t="inlineStr">
        <is>
          <t>Advisory board or steering committee</t>
        </is>
      </c>
      <c r="C15" s="2" t="n"/>
      <c r="D15" s="3" t="n">
        <v>100</v>
      </c>
      <c r="E15" s="5" t="n"/>
      <c r="F15" s="3">
        <f>IF(ISNUMBER(E15),E15,D15)</f>
        <v>100</v>
      </c>
      <c r="G15" s="2" t="inlineStr">
        <is>
          <t>No G3 review flagged</t>
        </is>
      </c>
      <c r="H15" s="2" t="inlineStr">
        <is>
          <t>Allowed override values are 0 or 100; use only after checking the described body's role.</t>
        </is>
      </c>
    </row>
    <row r="16">
      <c r="A16" s="2" t="inlineStr">
        <is>
          <t>BitCurator Environment</t>
        </is>
      </c>
      <c r="B16" s="2" t="inlineStr">
        <is>
          <t>Advisory board or steering committee</t>
        </is>
      </c>
      <c r="C16" s="2" t="n"/>
      <c r="D16" s="3" t="n">
        <v>100</v>
      </c>
      <c r="E16" s="5" t="n"/>
      <c r="F16" s="3">
        <f>IF(ISNUMBER(E16),E16,D16)</f>
        <v>100</v>
      </c>
      <c r="G16" s="2" t="inlineStr">
        <is>
          <t>No G3 review flagged</t>
        </is>
      </c>
      <c r="H16" s="2" t="inlineStr">
        <is>
          <t>Allowed override values are 0 or 100; use only after checking the described body's role.</t>
        </is>
      </c>
    </row>
    <row r="17">
      <c r="A17" s="2" t="inlineStr">
        <is>
          <t>Blacklight</t>
        </is>
      </c>
      <c r="B17" s="2" t="inlineStr">
        <is>
          <t>None</t>
        </is>
      </c>
      <c r="C17" s="2" t="n"/>
      <c r="D17" s="3" t="n">
        <v>0</v>
      </c>
      <c r="E17" s="5" t="n"/>
      <c r="F17" s="3">
        <f>IF(ISNUMBER(E17),E17,D17)</f>
        <v>0</v>
      </c>
      <c r="G17" s="2" t="inlineStr">
        <is>
          <t>No G3 review flagged</t>
        </is>
      </c>
      <c r="H17" s="2" t="inlineStr">
        <is>
          <t>Allowed override values are 0 or 100; use only after checking the described body's role.</t>
        </is>
      </c>
    </row>
    <row r="18">
      <c r="A18" s="2" t="inlineStr">
        <is>
          <t>BrCRIS</t>
        </is>
      </c>
      <c r="B18" s="2" t="inlineStr">
        <is>
          <t>Advisory board or steering committee</t>
        </is>
      </c>
      <c r="C18" s="2" t="n"/>
      <c r="D18" s="3" t="n">
        <v>100</v>
      </c>
      <c r="E18" s="5" t="n"/>
      <c r="F18" s="3">
        <f>IF(ISNUMBER(E18),E18,D18)</f>
        <v>100</v>
      </c>
      <c r="G18" s="2" t="inlineStr">
        <is>
          <t>No G3 review flagged</t>
        </is>
      </c>
      <c r="H18" s="2" t="inlineStr">
        <is>
          <t>Allowed override values are 0 or 100; use only after checking the described body's role.</t>
        </is>
      </c>
    </row>
    <row r="19">
      <c r="A19" s="2" t="inlineStr">
        <is>
          <t>Browsertrix</t>
        </is>
      </c>
      <c r="B19" s="2" t="inlineStr">
        <is>
          <t>None</t>
        </is>
      </c>
      <c r="C19" s="2" t="n"/>
      <c r="D19" s="3" t="n">
        <v>0</v>
      </c>
      <c r="E19" s="5" t="n"/>
      <c r="F19" s="3">
        <f>IF(ISNUMBER(E19),E19,D19)</f>
        <v>0</v>
      </c>
      <c r="G19" s="2" t="inlineStr">
        <is>
          <t>No G3 review flagged</t>
        </is>
      </c>
      <c r="H19" s="2" t="inlineStr">
        <is>
          <t>Allowed override values are 0 or 100; use only after checking the described body's role.</t>
        </is>
      </c>
    </row>
    <row r="20">
      <c r="A20" s="2" t="inlineStr">
        <is>
          <t>CLOCKSS</t>
        </is>
      </c>
      <c r="B20" s="2" t="inlineStr">
        <is>
          <t>Advisory board or steering committee</t>
        </is>
      </c>
      <c r="C20" s="2" t="n"/>
      <c r="D20" s="3" t="n">
        <v>100</v>
      </c>
      <c r="E20" s="5" t="n"/>
      <c r="F20" s="3">
        <f>IF(ISNUMBER(E20),E20,D20)</f>
        <v>100</v>
      </c>
      <c r="G20" s="2" t="inlineStr">
        <is>
          <t>No G3 review flagged</t>
        </is>
      </c>
      <c r="H20" s="2" t="inlineStr">
        <is>
          <t>Allowed override values are 0 or 100; use only after checking the described body's role.</t>
        </is>
      </c>
    </row>
    <row r="21">
      <c r="A21" s="2" t="inlineStr">
        <is>
          <t>COAR International Repository Directory (IRD)</t>
        </is>
      </c>
      <c r="B21" s="2" t="inlineStr">
        <is>
          <t>Advisory board or steering committee</t>
        </is>
      </c>
      <c r="C21" s="2" t="n"/>
      <c r="D21" s="3" t="n">
        <v>100</v>
      </c>
      <c r="E21" s="5" t="n"/>
      <c r="F21" s="3">
        <f>IF(ISNUMBER(E21),E21,D21)</f>
        <v>100</v>
      </c>
      <c r="G21" s="2" t="inlineStr">
        <is>
          <t>No G3 review flagged</t>
        </is>
      </c>
      <c r="H21" s="2" t="inlineStr">
        <is>
          <t>Allowed override values are 0 or 100; use only after checking the described body's role.</t>
        </is>
      </c>
    </row>
    <row r="22">
      <c r="A22" s="2" t="inlineStr">
        <is>
          <t>COAR Notify</t>
        </is>
      </c>
      <c r="B22" s="2" t="inlineStr">
        <is>
          <t>Other</t>
        </is>
      </c>
      <c r="C22" s="2" t="inlineStr">
        <is>
          <t>Editorial Board</t>
        </is>
      </c>
      <c r="D22" s="3" t="n">
        <v>0</v>
      </c>
      <c r="E22" s="5" t="n"/>
      <c r="F22" s="3">
        <f>IF(ISNUMBER(E22),E22,D22)</f>
        <v>0</v>
      </c>
      <c r="G22" s="2" t="inlineStr">
        <is>
          <t>Review Other response</t>
        </is>
      </c>
      <c r="H22" s="2" t="inlineStr">
        <is>
          <t>Allowed override values are 0 or 100; use only after checking the described body's role.</t>
        </is>
      </c>
    </row>
    <row r="23">
      <c r="A23" s="2" t="inlineStr">
        <is>
          <t>CollectiveAccess</t>
        </is>
      </c>
      <c r="B23" s="2" t="inlineStr">
        <is>
          <t>None</t>
        </is>
      </c>
      <c r="C23" s="2" t="n"/>
      <c r="D23" s="3" t="n">
        <v>0</v>
      </c>
      <c r="E23" s="5" t="n"/>
      <c r="F23" s="3">
        <f>IF(ISNUMBER(E23),E23,D23)</f>
        <v>0</v>
      </c>
      <c r="G23" s="2" t="inlineStr">
        <is>
          <t>No G3 review flagged</t>
        </is>
      </c>
      <c r="H23" s="2" t="inlineStr">
        <is>
          <t>Allowed override values are 0 or 100; use only after checking the described body's role.</t>
        </is>
      </c>
    </row>
    <row r="24">
      <c r="A24" s="2" t="inlineStr">
        <is>
          <t>CORE</t>
        </is>
      </c>
      <c r="B24" s="2" t="inlineStr">
        <is>
          <t>Multi-board governance</t>
        </is>
      </c>
      <c r="C24" s="2" t="n"/>
      <c r="D24" s="3" t="n">
        <v>100</v>
      </c>
      <c r="E24" s="5" t="n"/>
      <c r="F24" s="3">
        <f>IF(ISNUMBER(E24),E24,D24)</f>
        <v>100</v>
      </c>
      <c r="G24" s="2" t="inlineStr">
        <is>
          <t>No G3 review flagged</t>
        </is>
      </c>
      <c r="H24" s="2" t="inlineStr">
        <is>
          <t>Allowed override values are 0 or 100; use only after checking the described body's role.</t>
        </is>
      </c>
    </row>
    <row r="25">
      <c r="A25" s="2" t="inlineStr">
        <is>
          <t>COUNTER Code of Practice</t>
        </is>
      </c>
      <c r="B25" s="2" t="inlineStr">
        <is>
          <t>Multi-board governance</t>
        </is>
      </c>
      <c r="C25" s="2" t="n"/>
      <c r="D25" s="3" t="n">
        <v>100</v>
      </c>
      <c r="E25" s="5" t="n"/>
      <c r="F25" s="3">
        <f>IF(ISNUMBER(E25),E25,D25)</f>
        <v>100</v>
      </c>
      <c r="G25" s="2" t="inlineStr">
        <is>
          <t>No G3 review flagged</t>
        </is>
      </c>
      <c r="H25" s="2" t="inlineStr">
        <is>
          <t>Allowed override values are 0 or 100; use only after checking the described body's role.</t>
        </is>
      </c>
    </row>
    <row r="26">
      <c r="A26" s="2" t="inlineStr">
        <is>
          <t>Creative Commons Licenses</t>
        </is>
      </c>
      <c r="B26" s="2" t="inlineStr">
        <is>
          <t>Advisory board or steering committee</t>
        </is>
      </c>
      <c r="C26" s="2" t="n"/>
      <c r="D26" s="3" t="n">
        <v>100</v>
      </c>
      <c r="E26" s="5" t="n"/>
      <c r="F26" s="3">
        <f>IF(ISNUMBER(E26),E26,D26)</f>
        <v>100</v>
      </c>
      <c r="G26" s="2" t="inlineStr">
        <is>
          <t>No G3 review flagged</t>
        </is>
      </c>
      <c r="H26" s="2" t="inlineStr">
        <is>
          <t>Allowed override values are 0 or 100; use only after checking the described body's role.</t>
        </is>
      </c>
    </row>
    <row r="27">
      <c r="A27" s="2" t="inlineStr">
        <is>
          <t>Crossref Metadata Retrieval</t>
        </is>
      </c>
      <c r="B27" s="2" t="inlineStr">
        <is>
          <t>Multi-board governance</t>
        </is>
      </c>
      <c r="C27" s="2" t="n"/>
      <c r="D27" s="3" t="n">
        <v>100</v>
      </c>
      <c r="E27" s="5" t="n"/>
      <c r="F27" s="3">
        <f>IF(ISNUMBER(E27),E27,D27)</f>
        <v>100</v>
      </c>
      <c r="G27" s="2" t="inlineStr">
        <is>
          <t>No G3 review flagged</t>
        </is>
      </c>
      <c r="H27" s="2" t="inlineStr">
        <is>
          <t>Allowed override values are 0 or 100; use only after checking the described body's role.</t>
        </is>
      </c>
    </row>
    <row r="28">
      <c r="A28" s="2" t="inlineStr">
        <is>
          <t>D4Science Infrastructure</t>
        </is>
      </c>
      <c r="B28" s="2" t="n"/>
      <c r="C28" s="2" t="n"/>
      <c r="D28" s="3" t="n">
        <v>0</v>
      </c>
      <c r="E28" s="5" t="n"/>
      <c r="F28" s="3">
        <f>IF(ISNUMBER(E28),E28,D28)</f>
        <v>0</v>
      </c>
      <c r="G28" s="2" t="inlineStr">
        <is>
          <t>No G3 review flagged</t>
        </is>
      </c>
      <c r="H28" s="2" t="inlineStr">
        <is>
          <t>Allowed override values are 0 or 100; use only after checking the described body's role.</t>
        </is>
      </c>
    </row>
    <row r="29">
      <c r="A29" s="2" t="inlineStr">
        <is>
          <t>DART (Digital Archivist's Resource Tool)</t>
        </is>
      </c>
      <c r="B29" s="2" t="inlineStr">
        <is>
          <t>Advisory board or steering committee</t>
        </is>
      </c>
      <c r="C29" s="2" t="n"/>
      <c r="D29" s="3" t="n">
        <v>100</v>
      </c>
      <c r="E29" s="5" t="n"/>
      <c r="F29" s="3">
        <f>IF(ISNUMBER(E29),E29,D29)</f>
        <v>100</v>
      </c>
      <c r="G29" s="2" t="inlineStr">
        <is>
          <t>No G3 review flagged</t>
        </is>
      </c>
      <c r="H29" s="2" t="inlineStr">
        <is>
          <t>Allowed override values are 0 or 100; use only after checking the described body's role.</t>
        </is>
      </c>
    </row>
    <row r="30">
      <c r="A30" s="2" t="inlineStr">
        <is>
          <t>Database Information System</t>
        </is>
      </c>
      <c r="B30" s="2" t="inlineStr">
        <is>
          <t>Advisory board or steering committee</t>
        </is>
      </c>
      <c r="C30" s="2" t="n"/>
      <c r="D30" s="3" t="n">
        <v>100</v>
      </c>
      <c r="E30" s="5" t="n"/>
      <c r="F30" s="3">
        <f>IF(ISNUMBER(E30),E30,D30)</f>
        <v>100</v>
      </c>
      <c r="G30" s="2" t="inlineStr">
        <is>
          <t>No G3 review flagged</t>
        </is>
      </c>
      <c r="H30" s="2" t="inlineStr">
        <is>
          <t>Allowed override values are 0 or 100; use only after checking the described body's role.</t>
        </is>
      </c>
    </row>
    <row r="31">
      <c r="A31" s="2" t="inlineStr">
        <is>
          <t>Data Citation Corpus</t>
        </is>
      </c>
      <c r="B31" s="2" t="inlineStr">
        <is>
          <t>None</t>
        </is>
      </c>
      <c r="C31" s="2" t="n"/>
      <c r="D31" s="3" t="n">
        <v>0</v>
      </c>
      <c r="E31" s="5" t="n"/>
      <c r="F31" s="3">
        <f>IF(ISNUMBER(E31),E31,D31)</f>
        <v>0</v>
      </c>
      <c r="G31" s="2" t="inlineStr">
        <is>
          <t>No G3 review flagged</t>
        </is>
      </c>
      <c r="H31" s="2" t="inlineStr">
        <is>
          <t>Allowed override values are 0 or 100; use only after checking the described body's role.</t>
        </is>
      </c>
    </row>
    <row r="32">
      <c r="A32" s="2" t="inlineStr">
        <is>
          <t>DataCite</t>
        </is>
      </c>
      <c r="B32" s="2" t="inlineStr">
        <is>
          <t>Advisory board or steering committee</t>
        </is>
      </c>
      <c r="C32" s="2" t="n"/>
      <c r="D32" s="3" t="n">
        <v>100</v>
      </c>
      <c r="E32" s="5" t="n"/>
      <c r="F32" s="3">
        <f>IF(ISNUMBER(E32),E32,D32)</f>
        <v>100</v>
      </c>
      <c r="G32" s="2" t="inlineStr">
        <is>
          <t>No G3 review flagged</t>
        </is>
      </c>
      <c r="H32" s="2" t="inlineStr">
        <is>
          <t>Allowed override values are 0 or 100; use only after checking the described body's role.</t>
        </is>
      </c>
    </row>
    <row r="33">
      <c r="A33" s="2" t="inlineStr">
        <is>
          <t>Data Stewardship Wizard</t>
        </is>
      </c>
      <c r="B33" s="2" t="inlineStr">
        <is>
          <t>Advisory board or steering committee</t>
        </is>
      </c>
      <c r="C33" s="2" t="n"/>
      <c r="D33" s="3" t="n">
        <v>100</v>
      </c>
      <c r="E33" s="5" t="n"/>
      <c r="F33" s="3">
        <f>IF(ISNUMBER(E33),E33,D33)</f>
        <v>100</v>
      </c>
      <c r="G33" s="2" t="inlineStr">
        <is>
          <t>No G3 review flagged</t>
        </is>
      </c>
      <c r="H33" s="2" t="inlineStr">
        <is>
          <t>Allowed override values are 0 or 100; use only after checking the described body's role.</t>
        </is>
      </c>
    </row>
    <row r="34">
      <c r="A34" s="2" t="inlineStr">
        <is>
          <t>Dataverse</t>
        </is>
      </c>
      <c r="B34" s="2" t="inlineStr">
        <is>
          <t>None</t>
        </is>
      </c>
      <c r="C34" s="2" t="n"/>
      <c r="D34" s="3" t="n">
        <v>0</v>
      </c>
      <c r="E34" s="5" t="n"/>
      <c r="F34" s="3">
        <f>IF(ISNUMBER(E34),E34,D34)</f>
        <v>0</v>
      </c>
      <c r="G34" s="2" t="inlineStr">
        <is>
          <t>No G3 review flagged</t>
        </is>
      </c>
      <c r="H34" s="2" t="inlineStr">
        <is>
          <t>Allowed override values are 0 or 100; use only after checking the described body's role.</t>
        </is>
      </c>
    </row>
    <row r="35">
      <c r="A35" s="2" t="inlineStr">
        <is>
          <t>DLCM Backend</t>
        </is>
      </c>
      <c r="B35" s="2" t="inlineStr">
        <is>
          <t>Advisory board or steering committee</t>
        </is>
      </c>
      <c r="C35" s="2" t="n"/>
      <c r="D35" s="3" t="n">
        <v>100</v>
      </c>
      <c r="E35" s="5" t="n"/>
      <c r="F35" s="3">
        <f>IF(ISNUMBER(E35),E35,D35)</f>
        <v>100</v>
      </c>
      <c r="G35" s="2" t="inlineStr">
        <is>
          <t>No G3 review flagged</t>
        </is>
      </c>
      <c r="H35" s="2" t="inlineStr">
        <is>
          <t>Allowed override values are 0 or 100; use only after checking the described body's role.</t>
        </is>
      </c>
    </row>
    <row r="36">
      <c r="A36" s="2" t="inlineStr">
        <is>
          <t>DLCM Portal</t>
        </is>
      </c>
      <c r="B36" s="2" t="inlineStr">
        <is>
          <t>Advisory board or steering committee</t>
        </is>
      </c>
      <c r="C36" s="2" t="n"/>
      <c r="D36" s="3" t="n">
        <v>100</v>
      </c>
      <c r="E36" s="5" t="n"/>
      <c r="F36" s="3">
        <f>IF(ISNUMBER(E36),E36,D36)</f>
        <v>100</v>
      </c>
      <c r="G36" s="2" t="inlineStr">
        <is>
          <t>No G3 review flagged</t>
        </is>
      </c>
      <c r="H36" s="2" t="inlineStr">
        <is>
          <t>Allowed override values are 0 or 100; use only after checking the described body's role.</t>
        </is>
      </c>
    </row>
    <row r="37">
      <c r="A37" s="2" t="inlineStr">
        <is>
          <t>DMP Tool</t>
        </is>
      </c>
      <c r="B37" s="2" t="inlineStr">
        <is>
          <t>None</t>
        </is>
      </c>
      <c r="C37" s="2" t="n"/>
      <c r="D37" s="3" t="n">
        <v>0</v>
      </c>
      <c r="E37" s="5" t="n"/>
      <c r="F37" s="3">
        <f>IF(ISNUMBER(E37),E37,D37)</f>
        <v>0</v>
      </c>
      <c r="G37" s="2" t="inlineStr">
        <is>
          <t>No G3 review flagged</t>
        </is>
      </c>
      <c r="H37" s="2" t="inlineStr">
        <is>
          <t>Allowed override values are 0 or 100; use only after checking the described body's role.</t>
        </is>
      </c>
    </row>
    <row r="38">
      <c r="A38" s="2" t="inlineStr">
        <is>
          <t>DOAJ (Directory of Open Access Journals)</t>
        </is>
      </c>
      <c r="B38" s="2" t="inlineStr">
        <is>
          <t>Advisory board or steering committee | Other</t>
        </is>
      </c>
      <c r="C38" s="2" t="inlineStr">
        <is>
          <t>Foundation Board &amp; Advisory Board</t>
        </is>
      </c>
      <c r="D38" s="3" t="n">
        <v>100</v>
      </c>
      <c r="E38" s="5" t="n"/>
      <c r="F38" s="3">
        <f>IF(ISNUMBER(E38),E38,D38)</f>
        <v>100</v>
      </c>
      <c r="G38" s="2" t="inlineStr">
        <is>
          <t>No G3 review flagged</t>
        </is>
      </c>
      <c r="H38" s="2" t="inlineStr">
        <is>
          <t>Allowed override values are 0 or 100; use only after checking the described body's role.</t>
        </is>
      </c>
    </row>
    <row r="39">
      <c r="A39" s="2" t="inlineStr">
        <is>
          <t>dokieli</t>
        </is>
      </c>
      <c r="B39" s="2" t="n"/>
      <c r="C39" s="2" t="n"/>
      <c r="D39" s="3" t="n">
        <v>0</v>
      </c>
      <c r="E39" s="5" t="n"/>
      <c r="F39" s="3">
        <f>IF(ISNUMBER(E39),E39,D39)</f>
        <v>0</v>
      </c>
      <c r="G39" s="2" t="inlineStr">
        <is>
          <t>No G3 review flagged</t>
        </is>
      </c>
      <c r="H39" s="2" t="inlineStr">
        <is>
          <t>Allowed override values are 0 or 100; use only after checking the described body's role.</t>
        </is>
      </c>
    </row>
    <row r="40">
      <c r="A40" s="2" t="inlineStr">
        <is>
          <t>Dryad</t>
        </is>
      </c>
      <c r="B40" s="2" t="inlineStr">
        <is>
          <t>Other</t>
        </is>
      </c>
      <c r="C40" s="2" t="n"/>
      <c r="D40" s="3" t="n">
        <v>0</v>
      </c>
      <c r="E40" s="5" t="n"/>
      <c r="F40" s="3">
        <f>IF(ISNUMBER(E40),E40,D40)</f>
        <v>0</v>
      </c>
      <c r="G40" s="2" t="inlineStr">
        <is>
          <t>Review Other response</t>
        </is>
      </c>
      <c r="H40" s="2" t="inlineStr">
        <is>
          <t>Allowed override values are 0 or 100; use only after checking the described body's role.</t>
        </is>
      </c>
    </row>
    <row r="41">
      <c r="A41" s="2" t="inlineStr">
        <is>
          <t>DSpace</t>
        </is>
      </c>
      <c r="B41" s="2" t="inlineStr">
        <is>
          <t>Advisory board or steering committee</t>
        </is>
      </c>
      <c r="C41" s="2" t="n"/>
      <c r="D41" s="3" t="n">
        <v>100</v>
      </c>
      <c r="E41" s="5" t="n"/>
      <c r="F41" s="3">
        <f>IF(ISNUMBER(E41),E41,D41)</f>
        <v>100</v>
      </c>
      <c r="G41" s="2" t="inlineStr">
        <is>
          <t>No G3 review flagged</t>
        </is>
      </c>
      <c r="H41" s="2" t="inlineStr">
        <is>
          <t>Allowed override values are 0 or 100; use only after checking the described body's role.</t>
        </is>
      </c>
    </row>
    <row r="42">
      <c r="A42" s="2" t="inlineStr">
        <is>
          <t>DuraCloud</t>
        </is>
      </c>
      <c r="B42" s="2" t="inlineStr">
        <is>
          <t>None</t>
        </is>
      </c>
      <c r="C42" s="2" t="n"/>
      <c r="D42" s="3" t="n">
        <v>0</v>
      </c>
      <c r="E42" s="5" t="n"/>
      <c r="F42" s="3">
        <f>IF(ISNUMBER(E42),E42,D42)</f>
        <v>0</v>
      </c>
      <c r="G42" s="2" t="inlineStr">
        <is>
          <t>No G3 review flagged</t>
        </is>
      </c>
      <c r="H42" s="2" t="inlineStr">
        <is>
          <t>Allowed override values are 0 or 100; use only after checking the described body's role.</t>
        </is>
      </c>
    </row>
    <row r="43">
      <c r="A43" s="2" t="inlineStr">
        <is>
          <t>Episciences</t>
        </is>
      </c>
      <c r="B43" s="2" t="inlineStr">
        <is>
          <t>Multi-board governance</t>
        </is>
      </c>
      <c r="C43" s="2" t="n"/>
      <c r="D43" s="3" t="n">
        <v>100</v>
      </c>
      <c r="E43" s="5" t="n"/>
      <c r="F43" s="3">
        <f>IF(ISNUMBER(E43),E43,D43)</f>
        <v>100</v>
      </c>
      <c r="G43" s="2" t="inlineStr">
        <is>
          <t>No G3 review flagged</t>
        </is>
      </c>
      <c r="H43" s="2" t="inlineStr">
        <is>
          <t>Allowed override values are 0 or 100; use only after checking the described body's role.</t>
        </is>
      </c>
    </row>
    <row r="44">
      <c r="A44" s="2" t="inlineStr">
        <is>
          <t>EPrints</t>
        </is>
      </c>
      <c r="B44" s="2" t="n"/>
      <c r="C44" s="2" t="n"/>
      <c r="D44" s="3" t="n">
        <v>0</v>
      </c>
      <c r="E44" s="5" t="n"/>
      <c r="F44" s="3">
        <f>IF(ISNUMBER(E44),E44,D44)</f>
        <v>0</v>
      </c>
      <c r="G44" s="2" t="inlineStr">
        <is>
          <t>No G3 review flagged</t>
        </is>
      </c>
      <c r="H44" s="2" t="inlineStr">
        <is>
          <t>Allowed override values are 0 or 100; use only after checking the described body's role.</t>
        </is>
      </c>
    </row>
    <row r="45">
      <c r="A45" s="2" t="inlineStr">
        <is>
          <t>Érudit</t>
        </is>
      </c>
      <c r="B45" s="2" t="inlineStr">
        <is>
          <t>Multi-board governance</t>
        </is>
      </c>
      <c r="C45" s="2" t="n"/>
      <c r="D45" s="3" t="n">
        <v>100</v>
      </c>
      <c r="E45" s="5" t="n"/>
      <c r="F45" s="3">
        <f>IF(ISNUMBER(E45),E45,D45)</f>
        <v>100</v>
      </c>
      <c r="G45" s="2" t="inlineStr">
        <is>
          <t>No G3 review flagged</t>
        </is>
      </c>
      <c r="H45" s="2" t="inlineStr">
        <is>
          <t>Allowed override values are 0 or 100; use only after checking the described body's role.</t>
        </is>
      </c>
    </row>
    <row r="46">
      <c r="A46" s="2" t="inlineStr">
        <is>
          <t>Europe PMC</t>
        </is>
      </c>
      <c r="B46" s="2" t="inlineStr">
        <is>
          <t>Advisory board or steering committee</t>
        </is>
      </c>
      <c r="C46" s="2" t="n"/>
      <c r="D46" s="3" t="n">
        <v>100</v>
      </c>
      <c r="E46" s="5" t="n"/>
      <c r="F46" s="3">
        <f>IF(ISNUMBER(E46),E46,D46)</f>
        <v>100</v>
      </c>
      <c r="G46" s="2" t="inlineStr">
        <is>
          <t>No G3 review flagged</t>
        </is>
      </c>
      <c r="H46" s="2" t="inlineStr">
        <is>
          <t>Allowed override values are 0 or 100; use only after checking the described body's role.</t>
        </is>
      </c>
    </row>
    <row r="47">
      <c r="A47" s="2" t="inlineStr">
        <is>
          <t>FAIR Wizard</t>
        </is>
      </c>
      <c r="B47" s="2" t="inlineStr">
        <is>
          <t>None</t>
        </is>
      </c>
      <c r="C47" s="2" t="n"/>
      <c r="D47" s="3" t="n">
        <v>0</v>
      </c>
      <c r="E47" s="5" t="n"/>
      <c r="F47" s="3">
        <f>IF(ISNUMBER(E47),E47,D47)</f>
        <v>0</v>
      </c>
      <c r="G47" s="2" t="inlineStr">
        <is>
          <t>No G3 review flagged</t>
        </is>
      </c>
      <c r="H47" s="2" t="inlineStr">
        <is>
          <t>Allowed override values are 0 or 100; use only after checking the described body's role.</t>
        </is>
      </c>
    </row>
    <row r="48">
      <c r="A48" s="2" t="inlineStr">
        <is>
          <t>Fedora</t>
        </is>
      </c>
      <c r="B48" s="2" t="inlineStr">
        <is>
          <t>Advisory board or steering committee</t>
        </is>
      </c>
      <c r="C48" s="2" t="n"/>
      <c r="D48" s="3" t="n">
        <v>100</v>
      </c>
      <c r="E48" s="5" t="n"/>
      <c r="F48" s="3">
        <f>IF(ISNUMBER(E48),E48,D48)</f>
        <v>100</v>
      </c>
      <c r="G48" s="2" t="inlineStr">
        <is>
          <t>No G3 review flagged</t>
        </is>
      </c>
      <c r="H48" s="2" t="inlineStr">
        <is>
          <t>Allowed override values are 0 or 100; use only after checking the described body's role.</t>
        </is>
      </c>
    </row>
    <row r="49">
      <c r="A49" s="2" t="inlineStr">
        <is>
          <t>fido</t>
        </is>
      </c>
      <c r="B49" s="2" t="inlineStr">
        <is>
          <t>Advisory board or steering committee</t>
        </is>
      </c>
      <c r="C49" s="2" t="n"/>
      <c r="D49" s="3" t="n">
        <v>100</v>
      </c>
      <c r="E49" s="5" t="n"/>
      <c r="F49" s="3">
        <f>IF(ISNUMBER(E49),E49,D49)</f>
        <v>100</v>
      </c>
      <c r="G49" s="2" t="inlineStr">
        <is>
          <t>No G3 review flagged</t>
        </is>
      </c>
      <c r="H49" s="2" t="inlineStr">
        <is>
          <t>Allowed override values are 0 or 100; use only after checking the described body's role.</t>
        </is>
      </c>
    </row>
    <row r="50">
      <c r="A50" s="2" t="inlineStr">
        <is>
          <t>Fulcrum</t>
        </is>
      </c>
      <c r="B50" s="2" t="inlineStr">
        <is>
          <t>Other</t>
        </is>
      </c>
      <c r="C50" s="2" t="n"/>
      <c r="D50" s="3" t="n">
        <v>0</v>
      </c>
      <c r="E50" s="5" t="n"/>
      <c r="F50" s="3">
        <f>IF(ISNUMBER(E50),E50,D50)</f>
        <v>0</v>
      </c>
      <c r="G50" s="2" t="inlineStr">
        <is>
          <t>Review Other response</t>
        </is>
      </c>
      <c r="H50" s="2" t="inlineStr">
        <is>
          <t>Allowed override values are 0 or 100; use only after checking the described body's role.</t>
        </is>
      </c>
    </row>
    <row r="51">
      <c r="A51" s="2" t="inlineStr">
        <is>
          <t>Galaxy</t>
        </is>
      </c>
      <c r="B51" s="2" t="inlineStr">
        <is>
          <t>Multi-board governance</t>
        </is>
      </c>
      <c r="C51" s="2" t="n"/>
      <c r="D51" s="3" t="n">
        <v>100</v>
      </c>
      <c r="E51" s="5" t="n"/>
      <c r="F51" s="3">
        <f>IF(ISNUMBER(E51),E51,D51)</f>
        <v>100</v>
      </c>
      <c r="G51" s="2" t="inlineStr">
        <is>
          <t>No G3 review flagged</t>
        </is>
      </c>
      <c r="H51" s="2" t="inlineStr">
        <is>
          <t>Allowed override values are 0 or 100; use only after checking the described body's role.</t>
        </is>
      </c>
    </row>
    <row r="52">
      <c r="A52" s="2" t="inlineStr">
        <is>
          <t>GeoServer</t>
        </is>
      </c>
      <c r="B52" s="2" t="inlineStr">
        <is>
          <t>Advisory board or steering committee</t>
        </is>
      </c>
      <c r="C52" s="2" t="n"/>
      <c r="D52" s="3" t="n">
        <v>100</v>
      </c>
      <c r="E52" s="5" t="n"/>
      <c r="F52" s="3">
        <f>IF(ISNUMBER(E52),E52,D52)</f>
        <v>100</v>
      </c>
      <c r="G52" s="2" t="inlineStr">
        <is>
          <t>No G3 review flagged</t>
        </is>
      </c>
      <c r="H52" s="2" t="inlineStr">
        <is>
          <t>Allowed override values are 0 or 100; use only after checking the described body's role.</t>
        </is>
      </c>
    </row>
    <row r="53">
      <c r="A53" s="2" t="inlineStr">
        <is>
          <t>Hyku</t>
        </is>
      </c>
      <c r="B53" s="2" t="inlineStr">
        <is>
          <t>Advisory board or steering committee</t>
        </is>
      </c>
      <c r="C53" s="2" t="n"/>
      <c r="D53" s="3" t="n">
        <v>100</v>
      </c>
      <c r="E53" s="5" t="n"/>
      <c r="F53" s="3">
        <f>IF(ISNUMBER(E53),E53,D53)</f>
        <v>100</v>
      </c>
      <c r="G53" s="2" t="inlineStr">
        <is>
          <t>No G3 review flagged</t>
        </is>
      </c>
      <c r="H53" s="2" t="inlineStr">
        <is>
          <t>Allowed override values are 0 or 100; use only after checking the described body's role.</t>
        </is>
      </c>
    </row>
    <row r="54">
      <c r="A54" s="2" t="inlineStr">
        <is>
          <t>Hyrax</t>
        </is>
      </c>
      <c r="B54" s="2" t="inlineStr">
        <is>
          <t>Advisory board or steering committee</t>
        </is>
      </c>
      <c r="C54" s="2" t="n"/>
      <c r="D54" s="3" t="n">
        <v>100</v>
      </c>
      <c r="E54" s="5" t="n"/>
      <c r="F54" s="3">
        <f>IF(ISNUMBER(E54),E54,D54)</f>
        <v>100</v>
      </c>
      <c r="G54" s="2" t="inlineStr">
        <is>
          <t>No G3 review flagged</t>
        </is>
      </c>
      <c r="H54" s="2" t="inlineStr">
        <is>
          <t>Allowed override values are 0 or 100; use only after checking the described body's role.</t>
        </is>
      </c>
    </row>
    <row r="55">
      <c r="A55" s="2" t="inlineStr">
        <is>
          <t>IIIF</t>
        </is>
      </c>
      <c r="B55" s="2" t="inlineStr">
        <is>
          <t>Advisory board or steering committee</t>
        </is>
      </c>
      <c r="C55" s="2" t="n"/>
      <c r="D55" s="3" t="n">
        <v>100</v>
      </c>
      <c r="E55" s="5" t="n"/>
      <c r="F55" s="3">
        <f>IF(ISNUMBER(E55),E55,D55)</f>
        <v>100</v>
      </c>
      <c r="G55" s="2" t="inlineStr">
        <is>
          <t>No G3 review flagged</t>
        </is>
      </c>
      <c r="H55" s="2" t="inlineStr">
        <is>
          <t>Allowed override values are 0 or 100; use only after checking the described body's role.</t>
        </is>
      </c>
    </row>
    <row r="56">
      <c r="A56" s="2" t="inlineStr">
        <is>
          <t>ImpactU</t>
        </is>
      </c>
      <c r="B56" s="2" t="inlineStr">
        <is>
          <t>None</t>
        </is>
      </c>
      <c r="C56" s="2" t="n"/>
      <c r="D56" s="3" t="n">
        <v>0</v>
      </c>
      <c r="E56" s="5" t="n"/>
      <c r="F56" s="3">
        <f>IF(ISNUMBER(E56),E56,D56)</f>
        <v>0</v>
      </c>
      <c r="G56" s="2" t="inlineStr">
        <is>
          <t>No G3 review flagged</t>
        </is>
      </c>
      <c r="H56" s="2" t="inlineStr">
        <is>
          <t>Allowed override values are 0 or 100; use only after checking the described body's role.</t>
        </is>
      </c>
    </row>
    <row r="57">
      <c r="A57" s="2" t="inlineStr">
        <is>
          <t>International Generic Sample Number (IGSN)</t>
        </is>
      </c>
      <c r="B57" s="2" t="inlineStr">
        <is>
          <t>Advisory board or steering committee</t>
        </is>
      </c>
      <c r="C57" s="2" t="n"/>
      <c r="D57" s="3" t="n">
        <v>100</v>
      </c>
      <c r="E57" s="5" t="n"/>
      <c r="F57" s="3">
        <f>IF(ISNUMBER(E57),E57,D57)</f>
        <v>100</v>
      </c>
      <c r="G57" s="2" t="inlineStr">
        <is>
          <t>No G3 review flagged</t>
        </is>
      </c>
      <c r="H57" s="2" t="inlineStr">
        <is>
          <t>Allowed override values are 0 or 100; use only after checking the described body's role.</t>
        </is>
      </c>
    </row>
    <row r="58">
      <c r="A58" s="2" t="inlineStr">
        <is>
          <t>InvenioRDM</t>
        </is>
      </c>
      <c r="B58" s="2" t="inlineStr">
        <is>
          <t>Advisory board or steering committee</t>
        </is>
      </c>
      <c r="C58" s="2" t="n"/>
      <c r="D58" s="3" t="n">
        <v>100</v>
      </c>
      <c r="E58" s="5" t="n"/>
      <c r="F58" s="3">
        <f>IF(ISNUMBER(E58),E58,D58)</f>
        <v>100</v>
      </c>
      <c r="G58" s="2" t="inlineStr">
        <is>
          <t>No G3 review flagged</t>
        </is>
      </c>
      <c r="H58" s="2" t="inlineStr">
        <is>
          <t>Allowed override values are 0 or 100; use only after checking the described body's role.</t>
        </is>
      </c>
    </row>
    <row r="59">
      <c r="A59" s="2" t="inlineStr">
        <is>
          <t>iRODS</t>
        </is>
      </c>
      <c r="B59" s="2" t="inlineStr">
        <is>
          <t>Advisory board or steering committee</t>
        </is>
      </c>
      <c r="C59" s="2" t="inlineStr">
        <is>
          <t>In addition to the Executive Committee (which makes decisions on budgets and by laws), there is an Advisory Board that is advisory/strategic: https://irods.org/advisory-board/</t>
        </is>
      </c>
      <c r="D59" s="3" t="n">
        <v>100</v>
      </c>
      <c r="E59" s="5" t="n"/>
      <c r="F59" s="3">
        <f>IF(ISNUMBER(E59),E59,D59)</f>
        <v>100</v>
      </c>
      <c r="G59" s="2" t="inlineStr">
        <is>
          <t>No G3 review flagged</t>
        </is>
      </c>
      <c r="H59" s="2" t="inlineStr">
        <is>
          <t>Allowed override values are 0 or 100; use only after checking the described body's role.</t>
        </is>
      </c>
    </row>
    <row r="60">
      <c r="A60" s="2" t="inlineStr">
        <is>
          <t>Islandora</t>
        </is>
      </c>
      <c r="B60" s="2" t="inlineStr">
        <is>
          <t>Advisory board or steering committee</t>
        </is>
      </c>
      <c r="C60" s="2" t="n"/>
      <c r="D60" s="3" t="n">
        <v>100</v>
      </c>
      <c r="E60" s="5" t="n"/>
      <c r="F60" s="3">
        <f>IF(ISNUMBER(E60),E60,D60)</f>
        <v>100</v>
      </c>
      <c r="G60" s="2" t="inlineStr">
        <is>
          <t>No G3 review flagged</t>
        </is>
      </c>
      <c r="H60" s="2" t="inlineStr">
        <is>
          <t>Allowed override values are 0 or 100; use only after checking the described body's role.</t>
        </is>
      </c>
    </row>
    <row r="61">
      <c r="A61" s="2" t="inlineStr">
        <is>
          <t>Janeway</t>
        </is>
      </c>
      <c r="B61" s="2" t="inlineStr">
        <is>
          <t>Advisory board or steering committee</t>
        </is>
      </c>
      <c r="C61" s="2" t="n"/>
      <c r="D61" s="3" t="n">
        <v>100</v>
      </c>
      <c r="E61" s="5" t="n"/>
      <c r="F61" s="3">
        <f>IF(ISNUMBER(E61),E61,D61)</f>
        <v>100</v>
      </c>
      <c r="G61" s="2" t="inlineStr">
        <is>
          <t>No G3 review flagged</t>
        </is>
      </c>
      <c r="H61" s="2" t="inlineStr">
        <is>
          <t>Allowed override values are 0 or 100; use only after checking the described body's role.</t>
        </is>
      </c>
    </row>
    <row r="62">
      <c r="A62" s="2" t="inlineStr">
        <is>
          <t>JHOVE</t>
        </is>
      </c>
      <c r="B62" s="2" t="inlineStr">
        <is>
          <t>Advisory board or steering committee</t>
        </is>
      </c>
      <c r="C62" s="2" t="n"/>
      <c r="D62" s="3" t="n">
        <v>100</v>
      </c>
      <c r="E62" s="5" t="n"/>
      <c r="F62" s="3">
        <f>IF(ISNUMBER(E62),E62,D62)</f>
        <v>100</v>
      </c>
      <c r="G62" s="2" t="inlineStr">
        <is>
          <t>No G3 review flagged</t>
        </is>
      </c>
      <c r="H62" s="2" t="inlineStr">
        <is>
          <t>Allowed override values are 0 or 100; use only after checking the described body's role.</t>
        </is>
      </c>
    </row>
    <row r="63">
      <c r="A63" s="2" t="inlineStr">
        <is>
          <t>LA Referencia</t>
        </is>
      </c>
      <c r="B63" s="2" t="inlineStr">
        <is>
          <t>Multi-board governance</t>
        </is>
      </c>
      <c r="C63" s="2" t="n"/>
      <c r="D63" s="3" t="n">
        <v>100</v>
      </c>
      <c r="E63" s="5" t="n"/>
      <c r="F63" s="3">
        <f>IF(ISNUMBER(E63),E63,D63)</f>
        <v>100</v>
      </c>
      <c r="G63" s="2" t="inlineStr">
        <is>
          <t>No G3 review flagged</t>
        </is>
      </c>
      <c r="H63" s="2" t="inlineStr">
        <is>
          <t>Allowed override values are 0 or 100; use only after checking the described body's role.</t>
        </is>
      </c>
    </row>
    <row r="64">
      <c r="A64" s="2" t="inlineStr">
        <is>
          <t>Manifold</t>
        </is>
      </c>
      <c r="B64" s="2" t="inlineStr">
        <is>
          <t>Advisory board or steering committee</t>
        </is>
      </c>
      <c r="C64" s="2" t="n"/>
      <c r="D64" s="3" t="n">
        <v>100</v>
      </c>
      <c r="E64" s="5" t="n"/>
      <c r="F64" s="3">
        <f>IF(ISNUMBER(E64),E64,D64)</f>
        <v>100</v>
      </c>
      <c r="G64" s="2" t="inlineStr">
        <is>
          <t>No G3 review flagged</t>
        </is>
      </c>
      <c r="H64" s="2" t="inlineStr">
        <is>
          <t>Allowed override values are 0 or 100; use only after checking the described body's role.</t>
        </is>
      </c>
    </row>
    <row r="65">
      <c r="A65" s="2" t="inlineStr">
        <is>
          <t>medRxiv</t>
        </is>
      </c>
      <c r="B65" s="2" t="inlineStr">
        <is>
          <t>Advisory board or steering committee</t>
        </is>
      </c>
      <c r="C65" s="2" t="n"/>
      <c r="D65" s="3" t="n">
        <v>100</v>
      </c>
      <c r="E65" s="5" t="n"/>
      <c r="F65" s="3">
        <f>IF(ISNUMBER(E65),E65,D65)</f>
        <v>100</v>
      </c>
      <c r="G65" s="2" t="inlineStr">
        <is>
          <t>No G3 review flagged</t>
        </is>
      </c>
      <c r="H65" s="2" t="inlineStr">
        <is>
          <t>Allowed override values are 0 or 100; use only after checking the described body's role.</t>
        </is>
      </c>
    </row>
    <row r="66">
      <c r="A66" s="2" t="inlineStr">
        <is>
          <t>Metadata Encoding and Transmission Standard (METS)</t>
        </is>
      </c>
      <c r="B66" s="2" t="inlineStr">
        <is>
          <t>Advisory board or steering committee</t>
        </is>
      </c>
      <c r="C66" s="2" t="n"/>
      <c r="D66" s="3" t="n">
        <v>100</v>
      </c>
      <c r="E66" s="5" t="n"/>
      <c r="F66" s="3">
        <f>IF(ISNUMBER(E66),E66,D66)</f>
        <v>100</v>
      </c>
      <c r="G66" s="2" t="inlineStr">
        <is>
          <t>No G3 review flagged</t>
        </is>
      </c>
      <c r="H66" s="2" t="inlineStr">
        <is>
          <t>Allowed override values are 0 or 100; use only after checking the described body's role.</t>
        </is>
      </c>
    </row>
    <row r="67">
      <c r="A67" s="2" t="inlineStr">
        <is>
          <t>Mirador</t>
        </is>
      </c>
      <c r="B67" s="2" t="inlineStr">
        <is>
          <t>None</t>
        </is>
      </c>
      <c r="C67" s="2" t="n"/>
      <c r="D67" s="3" t="n">
        <v>0</v>
      </c>
      <c r="E67" s="5" t="n"/>
      <c r="F67" s="3">
        <f>IF(ISNUMBER(E67),E67,D67)</f>
        <v>0</v>
      </c>
      <c r="G67" s="2" t="inlineStr">
        <is>
          <t>No G3 review flagged</t>
        </is>
      </c>
      <c r="H67" s="2" t="inlineStr">
        <is>
          <t>Allowed override values are 0 or 100; use only after checking the described body's role.</t>
        </is>
      </c>
    </row>
    <row r="68">
      <c r="A68" s="2" t="inlineStr">
        <is>
          <t>Mukurtu CMS</t>
        </is>
      </c>
      <c r="B68" s="2" t="inlineStr">
        <is>
          <t>Advisory board or steering committee</t>
        </is>
      </c>
      <c r="C68" s="2" t="n"/>
      <c r="D68" s="3" t="n">
        <v>100</v>
      </c>
      <c r="E68" s="5" t="n"/>
      <c r="F68" s="3">
        <f>IF(ISNUMBER(E68),E68,D68)</f>
        <v>100</v>
      </c>
      <c r="G68" s="2" t="inlineStr">
        <is>
          <t>No G3 review flagged</t>
        </is>
      </c>
      <c r="H68" s="2" t="inlineStr">
        <is>
          <t>Allowed override values are 0 or 100; use only after checking the described body's role.</t>
        </is>
      </c>
    </row>
    <row r="69">
      <c r="A69" s="2" t="inlineStr">
        <is>
          <t>MyCoRe</t>
        </is>
      </c>
      <c r="B69" s="2" t="inlineStr">
        <is>
          <t>None</t>
        </is>
      </c>
      <c r="C69" s="2" t="n"/>
      <c r="D69" s="3" t="n">
        <v>0</v>
      </c>
      <c r="E69" s="5" t="n"/>
      <c r="F69" s="3">
        <f>IF(ISNUMBER(E69),E69,D69)</f>
        <v>0</v>
      </c>
      <c r="G69" s="2" t="inlineStr">
        <is>
          <t>No G3 review flagged</t>
        </is>
      </c>
      <c r="H69" s="2" t="inlineStr">
        <is>
          <t>Allowed override values are 0 or 100; use only after checking the described body's role.</t>
        </is>
      </c>
    </row>
    <row r="70">
      <c r="A70" s="2" t="inlineStr">
        <is>
          <t>NumPy</t>
        </is>
      </c>
      <c r="B70" s="2" t="inlineStr">
        <is>
          <t>Advisory board or steering committee</t>
        </is>
      </c>
      <c r="C70" s="2" t="n"/>
      <c r="D70" s="3" t="n">
        <v>100</v>
      </c>
      <c r="E70" s="5" t="n"/>
      <c r="F70" s="3">
        <f>IF(ISNUMBER(E70),E70,D70)</f>
        <v>100</v>
      </c>
      <c r="G70" s="2" t="inlineStr">
        <is>
          <t>No G3 review flagged</t>
        </is>
      </c>
      <c r="H70" s="2" t="inlineStr">
        <is>
          <t>Allowed override values are 0 or 100; use only after checking the described body's role.</t>
        </is>
      </c>
    </row>
    <row r="71">
      <c r="A71" s="2" t="inlineStr">
        <is>
          <t>OA.Report</t>
        </is>
      </c>
      <c r="B71" s="2" t="inlineStr">
        <is>
          <t>Advisory board or steering committee</t>
        </is>
      </c>
      <c r="C71" s="2" t="n"/>
      <c r="D71" s="3" t="n">
        <v>100</v>
      </c>
      <c r="E71" s="5" t="n"/>
      <c r="F71" s="3">
        <f>IF(ISNUMBER(E71),E71,D71)</f>
        <v>100</v>
      </c>
      <c r="G71" s="2" t="inlineStr">
        <is>
          <t>No G3 review flagged</t>
        </is>
      </c>
      <c r="H71" s="2" t="inlineStr">
        <is>
          <t>Allowed override values are 0 or 100; use only after checking the described body's role.</t>
        </is>
      </c>
    </row>
    <row r="72">
      <c r="A72" s="2" t="inlineStr">
        <is>
          <t>OA Switchboard</t>
        </is>
      </c>
      <c r="B72" s="2" t="n"/>
      <c r="C72" s="2" t="n"/>
      <c r="D72" s="3" t="n">
        <v>0</v>
      </c>
      <c r="E72" s="5" t="n"/>
      <c r="F72" s="3">
        <f>IF(ISNUMBER(E72),E72,D72)</f>
        <v>0</v>
      </c>
      <c r="G72" s="2" t="inlineStr">
        <is>
          <t>No G3 review flagged</t>
        </is>
      </c>
      <c r="H72" s="2" t="inlineStr">
        <is>
          <t>Allowed override values are 0 or 100; use only after checking the described body's role.</t>
        </is>
      </c>
    </row>
    <row r="73">
      <c r="A73" s="2" t="inlineStr">
        <is>
          <t>Omeka</t>
        </is>
      </c>
      <c r="B73" s="2" t="inlineStr">
        <is>
          <t>Advisory board or steering committee</t>
        </is>
      </c>
      <c r="C73" s="2" t="n"/>
      <c r="D73" s="3" t="n">
        <v>100</v>
      </c>
      <c r="E73" s="5" t="n"/>
      <c r="F73" s="3">
        <f>IF(ISNUMBER(E73),E73,D73)</f>
        <v>100</v>
      </c>
      <c r="G73" s="2" t="inlineStr">
        <is>
          <t>No G3 review flagged</t>
        </is>
      </c>
      <c r="H73" s="2" t="inlineStr">
        <is>
          <t>Allowed override values are 0 or 100; use only after checking the described body's role.</t>
        </is>
      </c>
    </row>
    <row r="74">
      <c r="A74" s="2" t="inlineStr">
        <is>
          <t>OpenAIRE Graph</t>
        </is>
      </c>
      <c r="B74" s="2" t="inlineStr">
        <is>
          <t>Advisory board or steering committee</t>
        </is>
      </c>
      <c r="C74" s="2" t="n"/>
      <c r="D74" s="3" t="n">
        <v>100</v>
      </c>
      <c r="E74" s="5" t="n"/>
      <c r="F74" s="3">
        <f>IF(ISNUMBER(E74),E74,D74)</f>
        <v>100</v>
      </c>
      <c r="G74" s="2" t="inlineStr">
        <is>
          <t>No G3 review flagged</t>
        </is>
      </c>
      <c r="H74" s="2" t="inlineStr">
        <is>
          <t>Allowed override values are 0 or 100; use only after checking the described body's role.</t>
        </is>
      </c>
    </row>
    <row r="75">
      <c r="A75" s="2" t="inlineStr">
        <is>
          <t>OpenAlex</t>
        </is>
      </c>
      <c r="B75" s="2" t="inlineStr">
        <is>
          <t>Advisory board or steering committee</t>
        </is>
      </c>
      <c r="C75" s="2" t="n"/>
      <c r="D75" s="3" t="n">
        <v>100</v>
      </c>
      <c r="E75" s="5" t="n"/>
      <c r="F75" s="3">
        <f>IF(ISNUMBER(E75),E75,D75)</f>
        <v>100</v>
      </c>
      <c r="G75" s="2" t="inlineStr">
        <is>
          <t>No G3 review flagged</t>
        </is>
      </c>
      <c r="H75" s="2" t="inlineStr">
        <is>
          <t>Allowed override values are 0 or 100; use only after checking the described body's role.</t>
        </is>
      </c>
    </row>
    <row r="76">
      <c r="A76" s="2" t="inlineStr">
        <is>
          <t>OpenAPC</t>
        </is>
      </c>
      <c r="B76" s="2" t="inlineStr">
        <is>
          <t>None</t>
        </is>
      </c>
      <c r="C76" s="2" t="n"/>
      <c r="D76" s="3" t="n">
        <v>0</v>
      </c>
      <c r="E76" s="5" t="n"/>
      <c r="F76" s="3">
        <f>IF(ISNUMBER(E76),E76,D76)</f>
        <v>0</v>
      </c>
      <c r="G76" s="2" t="inlineStr">
        <is>
          <t>No G3 review flagged</t>
        </is>
      </c>
      <c r="H76" s="2" t="inlineStr">
        <is>
          <t>Allowed override values are 0 or 100; use only after checking the described body's role.</t>
        </is>
      </c>
    </row>
    <row r="77">
      <c r="A77" s="2" t="inlineStr">
        <is>
          <t>OpenCitations</t>
        </is>
      </c>
      <c r="B77" s="2" t="inlineStr">
        <is>
          <t>Advisory board or steering committee</t>
        </is>
      </c>
      <c r="C77" s="2" t="n"/>
      <c r="D77" s="3" t="n">
        <v>100</v>
      </c>
      <c r="E77" s="5" t="n"/>
      <c r="F77" s="3">
        <f>IF(ISNUMBER(E77),E77,D77)</f>
        <v>100</v>
      </c>
      <c r="G77" s="2" t="inlineStr">
        <is>
          <t>No G3 review flagged</t>
        </is>
      </c>
      <c r="H77" s="2" t="inlineStr">
        <is>
          <t>Allowed override values are 0 or 100; use only after checking the described body's role.</t>
        </is>
      </c>
    </row>
    <row r="78">
      <c r="A78" s="2" t="inlineStr">
        <is>
          <t>openCost</t>
        </is>
      </c>
      <c r="B78" s="2" t="inlineStr">
        <is>
          <t>None</t>
        </is>
      </c>
      <c r="C78" s="2" t="n"/>
      <c r="D78" s="3" t="n">
        <v>0</v>
      </c>
      <c r="E78" s="5" t="n"/>
      <c r="F78" s="3">
        <f>IF(ISNUMBER(E78),E78,D78)</f>
        <v>0</v>
      </c>
      <c r="G78" s="2" t="inlineStr">
        <is>
          <t>No G3 review flagged</t>
        </is>
      </c>
      <c r="H78" s="2" t="inlineStr">
        <is>
          <t>Allowed override values are 0 or 100; use only after checking the described body's role.</t>
        </is>
      </c>
    </row>
    <row r="79">
      <c r="A79" s="2" t="inlineStr">
        <is>
          <t>Open Data Editor</t>
        </is>
      </c>
      <c r="B79" s="2" t="inlineStr">
        <is>
          <t>Advisory board or steering committee</t>
        </is>
      </c>
      <c r="C79" s="2" t="n"/>
      <c r="D79" s="3" t="n">
        <v>100</v>
      </c>
      <c r="E79" s="5" t="n"/>
      <c r="F79" s="3">
        <f>IF(ISNUMBER(E79),E79,D79)</f>
        <v>100</v>
      </c>
      <c r="G79" s="2" t="inlineStr">
        <is>
          <t>No G3 review flagged</t>
        </is>
      </c>
      <c r="H79" s="2" t="inlineStr">
        <is>
          <t>Allowed override values are 0 or 100; use only after checking the described body's role.</t>
        </is>
      </c>
    </row>
    <row r="80">
      <c r="A80" s="2" t="inlineStr">
        <is>
          <t>OpenEdition</t>
        </is>
      </c>
      <c r="B80" s="2" t="inlineStr">
        <is>
          <t>Multi-board governance</t>
        </is>
      </c>
      <c r="C80" s="2" t="n"/>
      <c r="D80" s="3" t="n">
        <v>100</v>
      </c>
      <c r="E80" s="5" t="n"/>
      <c r="F80" s="3">
        <f>IF(ISNUMBER(E80),E80,D80)</f>
        <v>100</v>
      </c>
      <c r="G80" s="2" t="inlineStr">
        <is>
          <t>No G3 review flagged</t>
        </is>
      </c>
      <c r="H80" s="2" t="inlineStr">
        <is>
          <t>Allowed override values are 0 or 100; use only after checking the described body's role.</t>
        </is>
      </c>
    </row>
    <row r="81">
      <c r="A81" s="2" t="inlineStr">
        <is>
          <t>Open Journal Systems (OJS)</t>
        </is>
      </c>
      <c r="B81" s="2" t="inlineStr">
        <is>
          <t>Multi-board governance</t>
        </is>
      </c>
      <c r="C81" s="2" t="n"/>
      <c r="D81" s="3" t="n">
        <v>100</v>
      </c>
      <c r="E81" s="5" t="n"/>
      <c r="F81" s="3">
        <f>IF(ISNUMBER(E81),E81,D81)</f>
        <v>100</v>
      </c>
      <c r="G81" s="2" t="inlineStr">
        <is>
          <t>No G3 review flagged</t>
        </is>
      </c>
      <c r="H81" s="2" t="inlineStr">
        <is>
          <t>Allowed override values are 0 or 100; use only after checking the described body's role.</t>
        </is>
      </c>
    </row>
    <row r="82">
      <c r="A82" s="2" t="inlineStr">
        <is>
          <t>Open Monograph Press (OMP)</t>
        </is>
      </c>
      <c r="B82" s="2" t="inlineStr">
        <is>
          <t>Multi-board governance</t>
        </is>
      </c>
      <c r="C82" s="2" t="n"/>
      <c r="D82" s="3" t="n">
        <v>100</v>
      </c>
      <c r="E82" s="5" t="n"/>
      <c r="F82" s="3">
        <f>IF(ISNUMBER(E82),E82,D82)</f>
        <v>100</v>
      </c>
      <c r="G82" s="2" t="inlineStr">
        <is>
          <t>No G3 review flagged</t>
        </is>
      </c>
      <c r="H82" s="2" t="inlineStr">
        <is>
          <t>Allowed override values are 0 or 100; use only after checking the described body's role.</t>
        </is>
      </c>
    </row>
    <row r="83">
      <c r="A83" s="2" t="inlineStr">
        <is>
          <t>Open Preprint Systems (OPS)</t>
        </is>
      </c>
      <c r="B83" s="2" t="inlineStr">
        <is>
          <t>Multi-board governance</t>
        </is>
      </c>
      <c r="C83" s="2" t="n"/>
      <c r="D83" s="3" t="n">
        <v>100</v>
      </c>
      <c r="E83" s="5" t="n"/>
      <c r="F83" s="3">
        <f>IF(ISNUMBER(E83),E83,D83)</f>
        <v>100</v>
      </c>
      <c r="G83" s="2" t="inlineStr">
        <is>
          <t>No G3 review flagged</t>
        </is>
      </c>
      <c r="H83" s="2" t="inlineStr">
        <is>
          <t>Allowed override values are 0 or 100; use only after checking the described body's role.</t>
        </is>
      </c>
    </row>
    <row r="84">
      <c r="A84" s="2" t="inlineStr">
        <is>
          <t>Openverse</t>
        </is>
      </c>
      <c r="B84" s="2" t="inlineStr">
        <is>
          <t>None</t>
        </is>
      </c>
      <c r="C84" s="2" t="n"/>
      <c r="D84" s="3" t="n">
        <v>0</v>
      </c>
      <c r="E84" s="5" t="n"/>
      <c r="F84" s="3">
        <f>IF(ISNUMBER(E84),E84,D84)</f>
        <v>0</v>
      </c>
      <c r="G84" s="2" t="inlineStr">
        <is>
          <t>No G3 review flagged</t>
        </is>
      </c>
      <c r="H84" s="2" t="inlineStr">
        <is>
          <t>Allowed override values are 0 or 100; use only after checking the described body's role.</t>
        </is>
      </c>
    </row>
    <row r="85">
      <c r="A85" s="2" t="inlineStr">
        <is>
          <t>O Portal Brasileiro de Publicações e Dados Científicos em Acesso Aberto (The Brazilian Open Access Publications and Scientific Data Portal) (Oasisbr)</t>
        </is>
      </c>
      <c r="B85" s="2" t="inlineStr">
        <is>
          <t>Other</t>
        </is>
      </c>
      <c r="C85" s="2" t="n"/>
      <c r="D85" s="3" t="n">
        <v>0</v>
      </c>
      <c r="E85" s="5" t="n"/>
      <c r="F85" s="3">
        <f>IF(ISNUMBER(E85),E85,D85)</f>
        <v>0</v>
      </c>
      <c r="G85" s="2" t="inlineStr">
        <is>
          <t>Review Other response</t>
        </is>
      </c>
      <c r="H85" s="2" t="inlineStr">
        <is>
          <t>Allowed override values are 0 or 100; use only after checking the described body's role.</t>
        </is>
      </c>
    </row>
    <row r="86">
      <c r="A86" s="2" t="inlineStr">
        <is>
          <t>OSF (Open Science Framework)</t>
        </is>
      </c>
      <c r="B86" s="2" t="inlineStr">
        <is>
          <t>Advisory board or steering committee</t>
        </is>
      </c>
      <c r="C86" s="2" t="n"/>
      <c r="D86" s="3" t="n">
        <v>100</v>
      </c>
      <c r="E86" s="5" t="n"/>
      <c r="F86" s="3">
        <f>IF(ISNUMBER(E86),E86,D86)</f>
        <v>100</v>
      </c>
      <c r="G86" s="2" t="inlineStr">
        <is>
          <t>No G3 review flagged</t>
        </is>
      </c>
      <c r="H86" s="2" t="inlineStr">
        <is>
          <t>Allowed override values are 0 or 100; use only after checking the described body's role.</t>
        </is>
      </c>
    </row>
    <row r="87">
      <c r="A87" s="2" t="inlineStr">
        <is>
          <t>Oxford Common File Layout</t>
        </is>
      </c>
      <c r="B87" s="2" t="inlineStr">
        <is>
          <t>Advisory board or steering committee</t>
        </is>
      </c>
      <c r="C87" s="2" t="n"/>
      <c r="D87" s="3" t="n">
        <v>100</v>
      </c>
      <c r="E87" s="5" t="n"/>
      <c r="F87" s="3">
        <f>IF(ISNUMBER(E87),E87,D87)</f>
        <v>100</v>
      </c>
      <c r="G87" s="2" t="inlineStr">
        <is>
          <t>No G3 review flagged</t>
        </is>
      </c>
      <c r="H87" s="2" t="inlineStr">
        <is>
          <t>Allowed override values are 0 or 100; use only after checking the described body's role.</t>
        </is>
      </c>
    </row>
    <row r="88">
      <c r="A88" s="2" t="inlineStr">
        <is>
          <t>Peer Community In</t>
        </is>
      </c>
      <c r="B88" s="2" t="inlineStr">
        <is>
          <t>Advisory board or steering committee</t>
        </is>
      </c>
      <c r="C88" s="2" t="n"/>
      <c r="D88" s="3" t="n">
        <v>100</v>
      </c>
      <c r="E88" s="5" t="n"/>
      <c r="F88" s="3">
        <f>IF(ISNUMBER(E88),E88,D88)</f>
        <v>100</v>
      </c>
      <c r="G88" s="2" t="inlineStr">
        <is>
          <t>No G3 review flagged</t>
        </is>
      </c>
      <c r="H88" s="2" t="inlineStr">
        <is>
          <t>Allowed override values are 0 or 100; use only after checking the described body's role.</t>
        </is>
      </c>
    </row>
    <row r="89">
      <c r="A89" s="2" t="inlineStr">
        <is>
          <t>PKP Preservation Network</t>
        </is>
      </c>
      <c r="B89" s="2" t="inlineStr">
        <is>
          <t>Multi-board governance</t>
        </is>
      </c>
      <c r="C89" s="2" t="n"/>
      <c r="D89" s="3" t="n">
        <v>100</v>
      </c>
      <c r="E89" s="5" t="n"/>
      <c r="F89" s="3">
        <f>IF(ISNUMBER(E89),E89,D89)</f>
        <v>100</v>
      </c>
      <c r="G89" s="2" t="inlineStr">
        <is>
          <t>No G3 review flagged</t>
        </is>
      </c>
      <c r="H89" s="2" t="inlineStr">
        <is>
          <t>Allowed override values are 0 or 100; use only after checking the described body's role.</t>
        </is>
      </c>
    </row>
    <row r="90">
      <c r="A90" s="2" t="inlineStr">
        <is>
          <t>PREreview</t>
        </is>
      </c>
      <c r="B90" s="2" t="inlineStr">
        <is>
          <t>Advisory board or steering committee</t>
        </is>
      </c>
      <c r="C90" s="2" t="n"/>
      <c r="D90" s="3" t="n">
        <v>100</v>
      </c>
      <c r="E90" s="5" t="n"/>
      <c r="F90" s="3">
        <f>IF(ISNUMBER(E90),E90,D90)</f>
        <v>100</v>
      </c>
      <c r="G90" s="2" t="inlineStr">
        <is>
          <t>No G3 review flagged</t>
        </is>
      </c>
      <c r="H90" s="2" t="inlineStr">
        <is>
          <t>Allowed override values are 0 or 100; use only after checking the described body's role.</t>
        </is>
      </c>
    </row>
    <row r="91">
      <c r="A91" s="2" t="inlineStr">
        <is>
          <t>Pressbooks</t>
        </is>
      </c>
      <c r="B91" s="2" t="inlineStr">
        <is>
          <t>None</t>
        </is>
      </c>
      <c r="C91" s="2" t="n"/>
      <c r="D91" s="3" t="n">
        <v>0</v>
      </c>
      <c r="E91" s="5" t="n"/>
      <c r="F91" s="3">
        <f>IF(ISNUMBER(E91),E91,D91)</f>
        <v>0</v>
      </c>
      <c r="G91" s="2" t="inlineStr">
        <is>
          <t>No G3 review flagged</t>
        </is>
      </c>
      <c r="H91" s="2" t="inlineStr">
        <is>
          <t>Allowed override values are 0 or 100; use only after checking the described body's role.</t>
        </is>
      </c>
    </row>
    <row r="92">
      <c r="A92" s="2" t="inlineStr">
        <is>
          <t>Public Access Submission System</t>
        </is>
      </c>
      <c r="B92" s="2" t="inlineStr">
        <is>
          <t>Other</t>
        </is>
      </c>
      <c r="C92" s="2" t="n"/>
      <c r="D92" s="3" t="n">
        <v>0</v>
      </c>
      <c r="E92" s="5" t="n"/>
      <c r="F92" s="3">
        <f>IF(ISNUMBER(E92),E92,D92)</f>
        <v>0</v>
      </c>
      <c r="G92" s="2" t="inlineStr">
        <is>
          <t>Review Other response</t>
        </is>
      </c>
      <c r="H92" s="2" t="inlineStr">
        <is>
          <t>Allowed override values are 0 or 100; use only after checking the described body's role.</t>
        </is>
      </c>
    </row>
    <row r="93">
      <c r="A93" s="2" t="inlineStr">
        <is>
          <t>Public Utility Data Liberation (PUDL)</t>
        </is>
      </c>
      <c r="B93" s="2" t="inlineStr">
        <is>
          <t>Other</t>
        </is>
      </c>
      <c r="C93" s="2" t="inlineStr">
        <is>
          <t>Board of directors</t>
        </is>
      </c>
      <c r="D93" s="3" t="n">
        <v>100</v>
      </c>
      <c r="E93" s="5" t="n"/>
      <c r="F93" s="3">
        <f>IF(ISNUMBER(E93),E93,D93)</f>
        <v>100</v>
      </c>
      <c r="G93" s="2" t="inlineStr">
        <is>
          <t>Review Other response</t>
        </is>
      </c>
      <c r="H93" s="2" t="inlineStr">
        <is>
          <t>Allowed override values are 0 or 100; use only after checking the described body's role.</t>
        </is>
      </c>
    </row>
    <row r="94">
      <c r="A94" s="2" t="inlineStr">
        <is>
          <t>PubPub</t>
        </is>
      </c>
      <c r="B94" s="2" t="inlineStr">
        <is>
          <t>Advisory board or steering committee</t>
        </is>
      </c>
      <c r="C94" s="2" t="n"/>
      <c r="D94" s="3" t="n">
        <v>100</v>
      </c>
      <c r="E94" s="5" t="n"/>
      <c r="F94" s="3">
        <f>IF(ISNUMBER(E94),E94,D94)</f>
        <v>100</v>
      </c>
      <c r="G94" s="2" t="inlineStr">
        <is>
          <t>No G3 review flagged</t>
        </is>
      </c>
      <c r="H94" s="2" t="inlineStr">
        <is>
          <t>Allowed override values are 0 or 100; use only after checking the described body's role.</t>
        </is>
      </c>
    </row>
    <row r="95">
      <c r="A95" s="2" t="inlineStr">
        <is>
          <t>Pundit</t>
        </is>
      </c>
      <c r="B95" s="2" t="inlineStr">
        <is>
          <t>None</t>
        </is>
      </c>
      <c r="C95" s="2" t="n"/>
      <c r="D95" s="3" t="n">
        <v>0</v>
      </c>
      <c r="E95" s="5" t="n"/>
      <c r="F95" s="3">
        <f>IF(ISNUMBER(E95),E95,D95)</f>
        <v>0</v>
      </c>
      <c r="G95" s="2" t="inlineStr">
        <is>
          <t>No G3 review flagged</t>
        </is>
      </c>
      <c r="H95" s="2" t="inlineStr">
        <is>
          <t>Allowed override values are 0 or 100; use only after checking the described body's role.</t>
        </is>
      </c>
    </row>
    <row r="96">
      <c r="A96" s="2" t="inlineStr">
        <is>
          <t>pyOpenSci</t>
        </is>
      </c>
      <c r="B96" s="2" t="inlineStr">
        <is>
          <t>Advisory board or steering committee</t>
        </is>
      </c>
      <c r="C96" s="2" t="n"/>
      <c r="D96" s="3" t="n">
        <v>100</v>
      </c>
      <c r="E96" s="5" t="n"/>
      <c r="F96" s="3">
        <f>IF(ISNUMBER(E96),E96,D96)</f>
        <v>100</v>
      </c>
      <c r="G96" s="2" t="inlineStr">
        <is>
          <t>No G3 review flagged</t>
        </is>
      </c>
      <c r="H96" s="2" t="inlineStr">
        <is>
          <t>Allowed override values are 0 or 100; use only after checking the described body's role.</t>
        </is>
      </c>
    </row>
    <row r="97">
      <c r="A97" s="2" t="inlineStr">
        <is>
          <t>Renku</t>
        </is>
      </c>
      <c r="B97" s="2" t="inlineStr">
        <is>
          <t>None</t>
        </is>
      </c>
      <c r="C97" s="2" t="n"/>
      <c r="D97" s="3" t="n">
        <v>0</v>
      </c>
      <c r="E97" s="5" t="n"/>
      <c r="F97" s="3">
        <f>IF(ISNUMBER(E97),E97,D97)</f>
        <v>0</v>
      </c>
      <c r="G97" s="2" t="inlineStr">
        <is>
          <t>No G3 review flagged</t>
        </is>
      </c>
      <c r="H97" s="2" t="inlineStr">
        <is>
          <t>Allowed override values are 0 or 100; use only after checking the described body's role.</t>
        </is>
      </c>
    </row>
    <row r="98">
      <c r="A98" s="2" t="inlineStr">
        <is>
          <t>RePEc</t>
        </is>
      </c>
      <c r="B98" s="2" t="inlineStr">
        <is>
          <t>Advisory board or steering committee</t>
        </is>
      </c>
      <c r="C98" s="2" t="n"/>
      <c r="D98" s="3" t="n">
        <v>100</v>
      </c>
      <c r="E98" s="5" t="n"/>
      <c r="F98" s="3">
        <f>IF(ISNUMBER(E98),E98,D98)</f>
        <v>100</v>
      </c>
      <c r="G98" s="2" t="inlineStr">
        <is>
          <t>No G3 review flagged</t>
        </is>
      </c>
      <c r="H98" s="2" t="inlineStr">
        <is>
          <t>Allowed override values are 0 or 100; use only after checking the described body's role.</t>
        </is>
      </c>
    </row>
    <row r="99">
      <c r="A99" s="2" t="inlineStr">
        <is>
          <t>Research Organization Registry (ROR)</t>
        </is>
      </c>
      <c r="B99" s="2" t="inlineStr">
        <is>
          <t>Advisory board or steering committee</t>
        </is>
      </c>
      <c r="C99" s="2" t="n"/>
      <c r="D99" s="3" t="n">
        <v>100</v>
      </c>
      <c r="E99" s="5" t="n"/>
      <c r="F99" s="3">
        <f>IF(ISNUMBER(E99),E99,D99)</f>
        <v>100</v>
      </c>
      <c r="G99" s="2" t="inlineStr">
        <is>
          <t>No G3 review flagged</t>
        </is>
      </c>
      <c r="H99" s="2" t="inlineStr">
        <is>
          <t>Allowed override values are 0 or 100; use only after checking the described body's role.</t>
        </is>
      </c>
    </row>
    <row r="100">
      <c r="A100" s="2" t="inlineStr">
        <is>
          <t>Rogue Scholar</t>
        </is>
      </c>
      <c r="B100" s="2" t="inlineStr">
        <is>
          <t>None</t>
        </is>
      </c>
      <c r="C100" s="2" t="n"/>
      <c r="D100" s="3" t="n">
        <v>0</v>
      </c>
      <c r="E100" s="5" t="n"/>
      <c r="F100" s="3">
        <f>IF(ISNUMBER(E100),E100,D100)</f>
        <v>0</v>
      </c>
      <c r="G100" s="2" t="inlineStr">
        <is>
          <t>No G3 review flagged</t>
        </is>
      </c>
      <c r="H100" s="2" t="inlineStr">
        <is>
          <t>Allowed override values are 0 or 100; use only after checking the described body's role.</t>
        </is>
      </c>
    </row>
    <row r="101">
      <c r="A101" s="2" t="inlineStr">
        <is>
          <t>RSpace</t>
        </is>
      </c>
      <c r="B101" s="2" t="inlineStr">
        <is>
          <t>Other</t>
        </is>
      </c>
      <c r="C101" s="2" t="inlineStr">
        <is>
          <t>Board of directors of UK limited company</t>
        </is>
      </c>
      <c r="D101" s="3" t="n">
        <v>100</v>
      </c>
      <c r="E101" s="5" t="n"/>
      <c r="F101" s="3">
        <f>IF(ISNUMBER(E101),E101,D101)</f>
        <v>100</v>
      </c>
      <c r="G101" s="2" t="inlineStr">
        <is>
          <t>Review Other response</t>
        </is>
      </c>
      <c r="H101" s="2" t="inlineStr">
        <is>
          <t>Allowed override values are 0 or 100; use only after checking the described body's role.</t>
        </is>
      </c>
    </row>
    <row r="102">
      <c r="A102" s="2" t="inlineStr">
        <is>
          <t>Sciety</t>
        </is>
      </c>
      <c r="B102" s="2" t="inlineStr">
        <is>
          <t>Multi-board governance</t>
        </is>
      </c>
      <c r="C102" s="2" t="n"/>
      <c r="D102" s="3" t="n">
        <v>100</v>
      </c>
      <c r="E102" s="5" t="n"/>
      <c r="F102" s="3">
        <f>IF(ISNUMBER(E102),E102,D102)</f>
        <v>100</v>
      </c>
      <c r="G102" s="2" t="inlineStr">
        <is>
          <t>No G3 review flagged</t>
        </is>
      </c>
      <c r="H102" s="2" t="inlineStr">
        <is>
          <t>Allowed override values are 0 or 100; use only after checking the described body's role.</t>
        </is>
      </c>
    </row>
    <row r="103">
      <c r="A103" s="2" t="inlineStr">
        <is>
          <t>Synapse</t>
        </is>
      </c>
      <c r="B103" s="2" t="inlineStr">
        <is>
          <t>Advisory board or steering committee</t>
        </is>
      </c>
      <c r="C103" s="2" t="n"/>
      <c r="D103" s="3" t="n">
        <v>100</v>
      </c>
      <c r="E103" s="5" t="n"/>
      <c r="F103" s="3">
        <f>IF(ISNUMBER(E103),E103,D103)</f>
        <v>100</v>
      </c>
      <c r="G103" s="2" t="inlineStr">
        <is>
          <t>No G3 review flagged</t>
        </is>
      </c>
      <c r="H103" s="2" t="inlineStr">
        <is>
          <t>Allowed override values are 0 or 100; use only after checking the described body's role.</t>
        </is>
      </c>
    </row>
    <row r="104">
      <c r="A104" s="2" t="inlineStr">
        <is>
          <t>TagTeam</t>
        </is>
      </c>
      <c r="B104" s="2" t="inlineStr">
        <is>
          <t>None</t>
        </is>
      </c>
      <c r="C104" s="2" t="n"/>
      <c r="D104" s="3" t="n">
        <v>0</v>
      </c>
      <c r="E104" s="5" t="n"/>
      <c r="F104" s="3">
        <f>IF(ISNUMBER(E104),E104,D104)</f>
        <v>0</v>
      </c>
      <c r="G104" s="2" t="inlineStr">
        <is>
          <t>No G3 review flagged</t>
        </is>
      </c>
      <c r="H104" s="2" t="inlineStr">
        <is>
          <t>Allowed override values are 0 or 100; use only after checking the described body's role.</t>
        </is>
      </c>
    </row>
    <row r="105">
      <c r="A105" s="2" t="inlineStr">
        <is>
          <t>Thoth Open Metadata</t>
        </is>
      </c>
      <c r="B105" s="2" t="inlineStr">
        <is>
          <t>Other</t>
        </is>
      </c>
      <c r="C105" s="2" t="inlineStr">
        <is>
          <t>Board of Directors</t>
        </is>
      </c>
      <c r="D105" s="3" t="n">
        <v>100</v>
      </c>
      <c r="E105" s="5" t="n"/>
      <c r="F105" s="3">
        <f>IF(ISNUMBER(E105),E105,D105)</f>
        <v>100</v>
      </c>
      <c r="G105" s="2" t="inlineStr">
        <is>
          <t>Review Other response</t>
        </is>
      </c>
      <c r="H105" s="2" t="inlineStr">
        <is>
          <t>Allowed override values are 0 or 100; use only after checking the described body's role.</t>
        </is>
      </c>
    </row>
    <row r="106">
      <c r="A106" s="2" t="inlineStr">
        <is>
          <t>Tropy</t>
        </is>
      </c>
      <c r="B106" s="2" t="inlineStr">
        <is>
          <t>Advisory board or steering committee</t>
        </is>
      </c>
      <c r="C106" s="2" t="n"/>
      <c r="D106" s="3" t="n">
        <v>100</v>
      </c>
      <c r="E106" s="5" t="n"/>
      <c r="F106" s="3">
        <f>IF(ISNUMBER(E106),E106,D106)</f>
        <v>100</v>
      </c>
      <c r="G106" s="2" t="inlineStr">
        <is>
          <t>No G3 review flagged</t>
        </is>
      </c>
      <c r="H106" s="2" t="inlineStr">
        <is>
          <t>Allowed override values are 0 or 100; use only after checking the described body's role.</t>
        </is>
      </c>
    </row>
    <row r="107">
      <c r="A107" s="2" t="inlineStr">
        <is>
          <t>veraPDF</t>
        </is>
      </c>
      <c r="B107" s="2" t="inlineStr">
        <is>
          <t>None</t>
        </is>
      </c>
      <c r="C107" s="2" t="n"/>
      <c r="D107" s="3" t="n">
        <v>0</v>
      </c>
      <c r="E107" s="5" t="n"/>
      <c r="F107" s="3">
        <f>IF(ISNUMBER(E107),E107,D107)</f>
        <v>0</v>
      </c>
      <c r="G107" s="2" t="inlineStr">
        <is>
          <t>No G3 review flagged</t>
        </is>
      </c>
      <c r="H107" s="2" t="inlineStr">
        <is>
          <t>Allowed override values are 0 or 100; use only after checking the described body's role.</t>
        </is>
      </c>
    </row>
    <row r="108">
      <c r="A108" s="2" t="inlineStr">
        <is>
          <t>ViPER</t>
        </is>
      </c>
      <c r="B108" s="2" t="inlineStr">
        <is>
          <t>Advisory board or steering committee</t>
        </is>
      </c>
      <c r="C108" s="2" t="n"/>
      <c r="D108" s="3" t="n">
        <v>100</v>
      </c>
      <c r="E108" s="5" t="n"/>
      <c r="F108" s="3">
        <f>IF(ISNUMBER(E108),E108,D108)</f>
        <v>100</v>
      </c>
      <c r="G108" s="2" t="inlineStr">
        <is>
          <t>No G3 review flagged</t>
        </is>
      </c>
      <c r="H108" s="2" t="inlineStr">
        <is>
          <t>Allowed override values are 0 or 100; use only after checking the described body's role.</t>
        </is>
      </c>
    </row>
    <row r="109">
      <c r="A109" s="2" t="inlineStr">
        <is>
          <t>Vireo ETD</t>
        </is>
      </c>
      <c r="B109" s="2" t="inlineStr">
        <is>
          <t>Advisory board or steering committee</t>
        </is>
      </c>
      <c r="C109" s="2" t="n"/>
      <c r="D109" s="3" t="n">
        <v>100</v>
      </c>
      <c r="E109" s="5" t="n"/>
      <c r="F109" s="3">
        <f>IF(ISNUMBER(E109),E109,D109)</f>
        <v>100</v>
      </c>
      <c r="G109" s="2" t="inlineStr">
        <is>
          <t>No G3 review flagged</t>
        </is>
      </c>
      <c r="H109" s="2" t="inlineStr">
        <is>
          <t>Allowed override values are 0 or 100; use only after checking the described body's role.</t>
        </is>
      </c>
    </row>
    <row r="110">
      <c r="A110" s="2" t="inlineStr">
        <is>
          <t>VIVO</t>
        </is>
      </c>
      <c r="B110" s="2" t="inlineStr">
        <is>
          <t>Advisory board or steering committee</t>
        </is>
      </c>
      <c r="C110" s="2" t="n"/>
      <c r="D110" s="3" t="n">
        <v>100</v>
      </c>
      <c r="E110" s="5" t="n"/>
      <c r="F110" s="3">
        <f>IF(ISNUMBER(E110),E110,D110)</f>
        <v>100</v>
      </c>
      <c r="G110" s="2" t="inlineStr">
        <is>
          <t>No G3 review flagged</t>
        </is>
      </c>
      <c r="H110" s="2" t="inlineStr">
        <is>
          <t>Allowed override values are 0 or 100; use only after checking the described body's role.</t>
        </is>
      </c>
    </row>
    <row r="111">
      <c r="A111" s="2" t="inlineStr">
        <is>
          <t>VuFind®</t>
        </is>
      </c>
      <c r="B111" s="2" t="inlineStr">
        <is>
          <t>Advisory board or steering committee</t>
        </is>
      </c>
      <c r="C111" s="2" t="n"/>
      <c r="D111" s="3" t="n">
        <v>100</v>
      </c>
      <c r="E111" s="5" t="n"/>
      <c r="F111" s="3">
        <f>IF(ISNUMBER(E111),E111,D111)</f>
        <v>100</v>
      </c>
      <c r="G111" s="2" t="inlineStr">
        <is>
          <t>No G3 review flagged</t>
        </is>
      </c>
      <c r="H111" s="2" t="inlineStr">
        <is>
          <t>Allowed override values are 0 or 100; use only after checking the described body's role.</t>
        </is>
      </c>
    </row>
    <row r="112">
      <c r="A112" s="2" t="inlineStr">
        <is>
          <t>Zenodo</t>
        </is>
      </c>
      <c r="B112" s="2" t="inlineStr">
        <is>
          <t>Advisory board or steering committee</t>
        </is>
      </c>
      <c r="C112" s="2" t="n"/>
      <c r="D112" s="3" t="n">
        <v>100</v>
      </c>
      <c r="E112" s="5" t="n"/>
      <c r="F112" s="3">
        <f>IF(ISNUMBER(E112),E112,D112)</f>
        <v>100</v>
      </c>
      <c r="G112" s="2" t="inlineStr">
        <is>
          <t>No G3 review flagged</t>
        </is>
      </c>
      <c r="H112" s="2" t="inlineStr">
        <is>
          <t>Allowed override values are 0 or 100; use only after checking the described body's role.</t>
        </is>
      </c>
    </row>
    <row r="113">
      <c r="A113" s="2" t="inlineStr">
        <is>
          <t>Zotero</t>
        </is>
      </c>
      <c r="B113" s="2" t="inlineStr">
        <is>
          <t>Advisory board or steering committee</t>
        </is>
      </c>
      <c r="C113" s="2" t="n"/>
      <c r="D113" s="3" t="n">
        <v>100</v>
      </c>
      <c r="E113" s="5" t="n"/>
      <c r="F113" s="3">
        <f>IF(ISNUMBER(E113),E113,D113)</f>
        <v>100</v>
      </c>
      <c r="G113" s="2" t="inlineStr">
        <is>
          <t>No G3 review flagged</t>
        </is>
      </c>
      <c r="H113" s="2" t="inlineStr">
        <is>
          <t>Allowed override values are 0 or 100; use only after checking the described body's role.</t>
        </is>
      </c>
    </row>
  </sheetData>
  <autoFilter ref="A1:H113"/>
  <dataValidations count="1">
    <dataValidation sqref="E2:E113" showDropDown="0" showInputMessage="0" showErrorMessage="0" allowBlank="1" errorTitle="Invalid G3 override" error="Enter 0 or 100 only." type="list">
      <formula1>"0,100"</formula1>
    </dataValidation>
  </dataValidations>
  <pageMargins left="0.75" right="0.75" top="1" bottom="1" header="0.5" footer="0.5"/>
  <legacyDrawing r:id="anysvml"/>
</worksheet>
</file>

<file path=xl/worksheets/sheet10.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76" customWidth="1" min="3" max="3"/>
    <col width="38" customWidth="1" min="4" max="4"/>
    <col width="88" customWidth="1" min="5" max="5"/>
    <col width="70" customWidth="1" min="6" max="6"/>
  </cols>
  <sheetData>
    <row r="1" ht="32" customHeight="1">
      <c r="A1" s="1" t="inlineStr">
        <is>
          <t>Service</t>
        </is>
      </c>
      <c r="B1" s="1" t="inlineStr">
        <is>
          <t>Metric / field</t>
        </is>
      </c>
      <c r="C1" s="1" t="inlineStr">
        <is>
          <t>Raw value</t>
        </is>
      </c>
      <c r="D1" s="1" t="inlineStr">
        <is>
          <t>Provisional treatment</t>
        </is>
      </c>
      <c r="E1" s="1" t="inlineStr">
        <is>
          <t>Review reason / action</t>
        </is>
      </c>
      <c r="F1" s="1" t="inlineStr">
        <is>
          <t>Reviewer notes</t>
        </is>
      </c>
    </row>
    <row r="2">
      <c r="A2" s="2" t="inlineStr">
        <is>
          <t>Archipelago Commons</t>
        </is>
      </c>
      <c r="B2" s="2" t="inlineStr">
        <is>
          <t>G1: 024_governance_structure_status</t>
        </is>
      </c>
      <c r="C2" s="2" t="inlineStr">
        <is>
          <t>Implemented/available</t>
        </is>
      </c>
      <c r="D2" s="2" t="inlineStr">
        <is>
          <t>Status scored 100; no paired URL supplied</t>
        </is>
      </c>
      <c r="E2" s="2" t="inlineStr">
        <is>
          <t>Review official evidence where available; this is a documentation check, not an eligibility rule.</t>
        </is>
      </c>
      <c r="F2" s="2" t="inlineStr"/>
    </row>
    <row r="3">
      <c r="A3" s="2" t="inlineStr">
        <is>
          <t>COAR Notify</t>
        </is>
      </c>
      <c r="B3" s="2" t="inlineStr">
        <is>
          <t>G3: 050/950</t>
        </is>
      </c>
      <c r="C3" s="2" t="inlineStr">
        <is>
          <t>Other | Editorial Board</t>
        </is>
      </c>
      <c r="D3" s="2" t="n">
        <v>0</v>
      </c>
      <c r="E3" s="2" t="inlineStr">
        <is>
          <t>Confirm the described body governs, oversees, or advises this infrastructure; then enter 0 or 100 on Verification.</t>
        </is>
      </c>
      <c r="F3" s="2" t="inlineStr"/>
    </row>
    <row r="4">
      <c r="A4" s="2" t="inlineStr">
        <is>
          <t>DMP Tool</t>
        </is>
      </c>
      <c r="B4" s="2" t="inlineStr">
        <is>
          <t>G4: 029_web_accessibility_status</t>
        </is>
      </c>
      <c r="C4" s="2" t="inlineStr">
        <is>
          <t>Implemented/available</t>
        </is>
      </c>
      <c r="D4" s="2" t="inlineStr">
        <is>
          <t>Status scored 100; no paired URL supplied</t>
        </is>
      </c>
      <c r="E4" s="2" t="inlineStr">
        <is>
          <t>Review official evidence where available; this is a documentation check, not an eligibility rule.</t>
        </is>
      </c>
      <c r="F4" s="2" t="inlineStr"/>
    </row>
    <row r="5">
      <c r="A5" s="2" t="inlineStr">
        <is>
          <t>DOAJ (Directory of Open Access Journals)</t>
        </is>
      </c>
      <c r="B5" s="2" t="inlineStr">
        <is>
          <t>G4: 029_web_accessibility_status</t>
        </is>
      </c>
      <c r="C5" s="2" t="inlineStr">
        <is>
          <t>Implemented/available</t>
        </is>
      </c>
      <c r="D5" s="2" t="inlineStr">
        <is>
          <t>Status scored 100; no paired URL supplied</t>
        </is>
      </c>
      <c r="E5" s="2" t="inlineStr">
        <is>
          <t>Review official evidence where available; this is a documentation check, not an eligibility rule.</t>
        </is>
      </c>
      <c r="F5" s="2" t="inlineStr"/>
    </row>
    <row r="6">
      <c r="A6" s="2" t="inlineStr">
        <is>
          <t>Dryad</t>
        </is>
      </c>
      <c r="B6" s="2" t="inlineStr">
        <is>
          <t>G3: 050/950</t>
        </is>
      </c>
      <c r="C6" s="2" t="inlineStr">
        <is>
          <t xml:space="preserve">Other | </t>
        </is>
      </c>
      <c r="D6" s="2" t="n">
        <v>0</v>
      </c>
      <c r="E6" s="2" t="inlineStr">
        <is>
          <t>Confirm the described body governs, oversees, or advises this infrastructure; then enter 0 or 100 on Verification.</t>
        </is>
      </c>
      <c r="F6" s="2" t="inlineStr"/>
    </row>
    <row r="7">
      <c r="A7" s="2" t="inlineStr">
        <is>
          <t>Dryad</t>
        </is>
      </c>
      <c r="B7" s="2" t="inlineStr">
        <is>
          <t>G4: 029_web_accessibility_status</t>
        </is>
      </c>
      <c r="C7" s="2" t="inlineStr">
        <is>
          <t>Implemented/available</t>
        </is>
      </c>
      <c r="D7" s="2" t="inlineStr">
        <is>
          <t>Status scored 100; no paired URL supplied</t>
        </is>
      </c>
      <c r="E7" s="2" t="inlineStr">
        <is>
          <t>Review official evidence where available; this is a documentation check, not an eligibility rule.</t>
        </is>
      </c>
      <c r="F7" s="2" t="inlineStr"/>
    </row>
    <row r="8">
      <c r="A8" s="2" t="inlineStr">
        <is>
          <t>fido</t>
        </is>
      </c>
      <c r="B8" s="2" t="inlineStr">
        <is>
          <t>G7: 048/049</t>
        </is>
      </c>
      <c r="C8" s="2" t="inlineStr">
        <is>
          <t>Formal</t>
        </is>
      </c>
      <c r="D8" s="2" t="inlineStr">
        <is>
          <t>Formal scored 100; no paired URL supplied</t>
        </is>
      </c>
      <c r="E8" s="2" t="inlineStr">
        <is>
          <t>Review official evidence where available; this is a documentation check, not an eligibility rule.</t>
        </is>
      </c>
      <c r="F8" s="2" t="inlineStr"/>
    </row>
    <row r="9">
      <c r="A9" s="2" t="inlineStr">
        <is>
          <t>Fulcrum</t>
        </is>
      </c>
      <c r="B9" s="2" t="inlineStr">
        <is>
          <t>G3: 050/950</t>
        </is>
      </c>
      <c r="C9" s="2" t="inlineStr">
        <is>
          <t xml:space="preserve">Other | </t>
        </is>
      </c>
      <c r="D9" s="2" t="n">
        <v>0</v>
      </c>
      <c r="E9" s="2" t="inlineStr">
        <is>
          <t>Confirm the described body governs, oversees, or advises this infrastructure; then enter 0 or 100 on Verification.</t>
        </is>
      </c>
      <c r="F9" s="2" t="inlineStr"/>
    </row>
    <row r="10">
      <c r="A10" s="2" t="inlineStr">
        <is>
          <t>Janeway</t>
        </is>
      </c>
      <c r="B10" s="2" t="inlineStr">
        <is>
          <t>G4: 029_web_accessibility_status</t>
        </is>
      </c>
      <c r="C10" s="2" t="inlineStr">
        <is>
          <t>Implemented/available</t>
        </is>
      </c>
      <c r="D10" s="2" t="inlineStr">
        <is>
          <t>Status scored 100; no paired URL supplied</t>
        </is>
      </c>
      <c r="E10" s="2" t="inlineStr">
        <is>
          <t>Review official evidence where available; this is a documentation check, not an eligibility rule.</t>
        </is>
      </c>
      <c r="F10" s="2" t="inlineStr"/>
    </row>
    <row r="11">
      <c r="A11" s="2" t="inlineStr">
        <is>
          <t>LA Referencia</t>
        </is>
      </c>
      <c r="B11" s="2" t="inlineStr">
        <is>
          <t>G7: 048/049</t>
        </is>
      </c>
      <c r="C11" s="2" t="inlineStr">
        <is>
          <t>Formal</t>
        </is>
      </c>
      <c r="D11" s="2" t="inlineStr">
        <is>
          <t>Formal scored 100; no paired URL supplied</t>
        </is>
      </c>
      <c r="E11" s="2" t="inlineStr">
        <is>
          <t>Review official evidence where available; this is a documentation check, not an eligibility rule.</t>
        </is>
      </c>
      <c r="F11" s="2" t="inlineStr"/>
    </row>
    <row r="12">
      <c r="A12" s="2" t="inlineStr">
        <is>
          <t>Manifold</t>
        </is>
      </c>
      <c r="B12" s="2" t="inlineStr">
        <is>
          <t>G4: 029_web_accessibility_status</t>
        </is>
      </c>
      <c r="C12" s="2" t="inlineStr">
        <is>
          <t>Implemented/available</t>
        </is>
      </c>
      <c r="D12" s="2" t="inlineStr">
        <is>
          <t>Status scored 100; no paired URL supplied</t>
        </is>
      </c>
      <c r="E12" s="2" t="inlineStr">
        <is>
          <t>Review official evidence where available; this is a documentation check, not an eligibility rule.</t>
        </is>
      </c>
      <c r="F12" s="2" t="inlineStr"/>
    </row>
    <row r="13">
      <c r="A13" s="2" t="inlineStr">
        <is>
          <t>Omeka</t>
        </is>
      </c>
      <c r="B13" s="2" t="inlineStr">
        <is>
          <t>G4: 029_web_accessibility_status</t>
        </is>
      </c>
      <c r="C13" s="2" t="inlineStr">
        <is>
          <t>Implemented/available</t>
        </is>
      </c>
      <c r="D13" s="2" t="inlineStr">
        <is>
          <t>Status scored 100; no paired URL supplied</t>
        </is>
      </c>
      <c r="E13" s="2" t="inlineStr">
        <is>
          <t>Review official evidence where available; this is a documentation check, not an eligibility rule.</t>
        </is>
      </c>
      <c r="F13" s="2" t="inlineStr"/>
    </row>
    <row r="14">
      <c r="A14" s="2" t="inlineStr">
        <is>
          <t>OpenAlex</t>
        </is>
      </c>
      <c r="B14" s="2" t="inlineStr">
        <is>
          <t>G7: 048/049</t>
        </is>
      </c>
      <c r="C14" s="2" t="inlineStr">
        <is>
          <t>Formal</t>
        </is>
      </c>
      <c r="D14" s="2" t="inlineStr">
        <is>
          <t>Formal scored 100; no paired URL supplied</t>
        </is>
      </c>
      <c r="E14" s="2" t="inlineStr">
        <is>
          <t>Review official evidence where available; this is a documentation check, not an eligibility rule.</t>
        </is>
      </c>
      <c r="F14" s="2" t="inlineStr"/>
    </row>
    <row r="15">
      <c r="A15" s="2" t="inlineStr">
        <is>
          <t>O Portal Brasileiro de Publicações e Dados Científicos em Acesso Aberto (The Brazilian Open Access Publications and Scientific Data Portal) (Oasisbr)</t>
        </is>
      </c>
      <c r="B15" s="2" t="inlineStr">
        <is>
          <t>G3: 050/950</t>
        </is>
      </c>
      <c r="C15" s="2" t="inlineStr">
        <is>
          <t xml:space="preserve">Other | </t>
        </is>
      </c>
      <c r="D15" s="2" t="n">
        <v>0</v>
      </c>
      <c r="E15" s="2" t="inlineStr">
        <is>
          <t>Confirm the described body governs, oversees, or advises this infrastructure; then enter 0 or 100 on Verification.</t>
        </is>
      </c>
      <c r="F15" s="2" t="inlineStr"/>
    </row>
    <row r="16">
      <c r="A16" s="2" t="inlineStr">
        <is>
          <t>Peer Community In</t>
        </is>
      </c>
      <c r="B16" s="2" t="inlineStr">
        <is>
          <t>G7: 048/049</t>
        </is>
      </c>
      <c r="C16" s="2" t="inlineStr">
        <is>
          <t>Formal</t>
        </is>
      </c>
      <c r="D16" s="2" t="inlineStr">
        <is>
          <t>Formal scored 100; no paired URL supplied</t>
        </is>
      </c>
      <c r="E16" s="2" t="inlineStr">
        <is>
          <t>Review official evidence where available; this is a documentation check, not an eligibility rule.</t>
        </is>
      </c>
      <c r="F16" s="2" t="inlineStr"/>
    </row>
    <row r="17">
      <c r="A17" s="2" t="inlineStr">
        <is>
          <t>Public Access Submission System</t>
        </is>
      </c>
      <c r="B17" s="2" t="inlineStr">
        <is>
          <t>G3: 050/950</t>
        </is>
      </c>
      <c r="C17" s="2" t="inlineStr">
        <is>
          <t xml:space="preserve">Other | </t>
        </is>
      </c>
      <c r="D17" s="2" t="n">
        <v>0</v>
      </c>
      <c r="E17" s="2" t="inlineStr">
        <is>
          <t>Confirm the described body governs, oversees, or advises this infrastructure; then enter 0 or 100 on Verification.</t>
        </is>
      </c>
      <c r="F17" s="2" t="inlineStr"/>
    </row>
    <row r="18">
      <c r="A18" s="2" t="inlineStr">
        <is>
          <t>Public Utility Data Liberation (PUDL)</t>
        </is>
      </c>
      <c r="B18" s="2" t="inlineStr">
        <is>
          <t>G3: 050/950</t>
        </is>
      </c>
      <c r="C18" s="2" t="inlineStr">
        <is>
          <t>Other | Board of directors</t>
        </is>
      </c>
      <c r="D18" s="2" t="n">
        <v>100</v>
      </c>
      <c r="E18" s="2" t="inlineStr">
        <is>
          <t>Confirm the described body governs, oversees, or advises this infrastructure; then enter 0 or 100 on Verification.</t>
        </is>
      </c>
      <c r="F18" s="2" t="inlineStr"/>
    </row>
    <row r="19">
      <c r="A19" s="2" t="inlineStr">
        <is>
          <t>RSpace</t>
        </is>
      </c>
      <c r="B19" s="2" t="inlineStr">
        <is>
          <t>G3: 050/950</t>
        </is>
      </c>
      <c r="C19" s="2" t="inlineStr">
        <is>
          <t>Other | Board of directors of UK limited company</t>
        </is>
      </c>
      <c r="D19" s="2" t="n">
        <v>100</v>
      </c>
      <c r="E19" s="2" t="inlineStr">
        <is>
          <t>Confirm the described body governs, oversees, or advises this infrastructure; then enter 0 or 100 on Verification.</t>
        </is>
      </c>
      <c r="F19" s="2" t="inlineStr"/>
    </row>
    <row r="20">
      <c r="A20" s="2" t="inlineStr">
        <is>
          <t>Sciety</t>
        </is>
      </c>
      <c r="B20" s="2" t="inlineStr">
        <is>
          <t>G7: 048/049</t>
        </is>
      </c>
      <c r="C20" s="2" t="inlineStr">
        <is>
          <t>Formal</t>
        </is>
      </c>
      <c r="D20" s="2" t="inlineStr">
        <is>
          <t>Formal scored 100; no paired URL supplied</t>
        </is>
      </c>
      <c r="E20" s="2" t="inlineStr">
        <is>
          <t>Review official evidence where available; this is a documentation check, not an eligibility rule.</t>
        </is>
      </c>
      <c r="F20" s="2" t="inlineStr"/>
    </row>
    <row r="21">
      <c r="A21" s="2" t="inlineStr">
        <is>
          <t>Thoth Open Metadata</t>
        </is>
      </c>
      <c r="B21" s="2" t="inlineStr">
        <is>
          <t>G3: 050/950</t>
        </is>
      </c>
      <c r="C21" s="2" t="inlineStr">
        <is>
          <t>Other | Board of Directors</t>
        </is>
      </c>
      <c r="D21" s="2" t="n">
        <v>100</v>
      </c>
      <c r="E21" s="2" t="inlineStr">
        <is>
          <t>Confirm the described body governs, oversees, or advises this infrastructure; then enter 0 or 100 on Verification.</t>
        </is>
      </c>
      <c r="F21" s="2" t="inlineStr"/>
    </row>
    <row r="22">
      <c r="A22" s="2" t="inlineStr">
        <is>
          <t>veraPDF</t>
        </is>
      </c>
      <c r="B22" s="2" t="inlineStr">
        <is>
          <t>G7: 048/049</t>
        </is>
      </c>
      <c r="C22" s="2" t="inlineStr">
        <is>
          <t>Formal</t>
        </is>
      </c>
      <c r="D22" s="2" t="inlineStr">
        <is>
          <t>Formal scored 100; no paired URL supplied</t>
        </is>
      </c>
      <c r="E22" s="2" t="inlineStr">
        <is>
          <t>Review official evidence where available; this is a documentation check, not an eligibility rule.</t>
        </is>
      </c>
      <c r="F22" s="2" t="inlineStr"/>
    </row>
    <row r="23">
      <c r="A23" s="2" t="inlineStr">
        <is>
          <t>ViPER</t>
        </is>
      </c>
      <c r="B23" s="2" t="inlineStr">
        <is>
          <t>G7: 048/049</t>
        </is>
      </c>
      <c r="C23" s="2" t="inlineStr">
        <is>
          <t>Formal</t>
        </is>
      </c>
      <c r="D23" s="2" t="inlineStr">
        <is>
          <t>Formal scored 100; no paired URL supplied</t>
        </is>
      </c>
      <c r="E23" s="2" t="inlineStr">
        <is>
          <t>Review official evidence where available; this is a documentation check, not an eligibility rule.</t>
        </is>
      </c>
      <c r="F23" s="2" t="inlineStr"/>
    </row>
  </sheetData>
  <autoFilter ref="A1:F2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3"/>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8" customWidth="1" min="3" max="3"/>
    <col width="18" customWidth="1" min="4" max="4"/>
    <col width="18" customWidth="1" min="5" max="5"/>
    <col width="18" customWidth="1" min="6" max="6"/>
    <col width="18" customWidth="1" min="7" max="7"/>
    <col width="18" customWidth="1" min="8" max="8"/>
    <col width="76" customWidth="1" min="9" max="9"/>
    <col width="20" customWidth="1" min="10" max="10"/>
    <col width="23" customWidth="1" min="11" max="11"/>
    <col width="20" customWidth="1" min="12" max="12"/>
    <col width="20" customWidth="1" min="13" max="13"/>
    <col width="22" customWidth="1" min="14" max="14"/>
    <col width="90" customWidth="1" min="15" max="15"/>
  </cols>
  <sheetData>
    <row r="1" ht="32" customHeight="1">
      <c r="A1" s="1" t="inlineStr">
        <is>
          <t>Service</t>
        </is>
      </c>
      <c r="B1" s="1" t="inlineStr">
        <is>
          <t>G1</t>
        </is>
      </c>
      <c r="C1" s="1" t="inlineStr">
        <is>
          <t>G2</t>
        </is>
      </c>
      <c r="D1" s="1" t="inlineStr">
        <is>
          <t>G3 provisional</t>
        </is>
      </c>
      <c r="E1" s="1" t="inlineStr">
        <is>
          <t>G4</t>
        </is>
      </c>
      <c r="F1" s="1" t="inlineStr">
        <is>
          <t>G5</t>
        </is>
      </c>
      <c r="G1" s="1" t="inlineStr">
        <is>
          <t>G6</t>
        </is>
      </c>
      <c r="H1" s="1" t="inlineStr">
        <is>
          <t>G7</t>
        </is>
      </c>
      <c r="I1" s="1" t="inlineStr">
        <is>
          <t>G3 coding rationale</t>
        </is>
      </c>
      <c r="J1" s="1" t="inlineStr">
        <is>
          <t>G3 review flag</t>
        </is>
      </c>
      <c r="K1" s="1" t="inlineStr">
        <is>
          <t>Python-checked zero-filled score</t>
        </is>
      </c>
      <c r="L1" s="1" t="inlineStr">
        <is>
          <t>Available metrics</t>
        </is>
      </c>
      <c r="M1" s="1" t="inlineStr">
        <is>
          <t>Observed coverage</t>
        </is>
      </c>
      <c r="N1" s="1" t="inlineStr">
        <is>
          <t>Observed-only mean</t>
        </is>
      </c>
      <c r="O1" s="1" t="inlineStr">
        <is>
          <t>Data-quality flags</t>
        </is>
      </c>
    </row>
    <row r="2">
      <c r="A2" s="2" t="inlineStr">
        <is>
          <t>2i2c</t>
        </is>
      </c>
      <c r="B2" s="2" t="n">
        <v>67</v>
      </c>
      <c r="C2" s="2" t="n">
        <v>0</v>
      </c>
      <c r="D2" s="2" t="n">
        <v>100</v>
      </c>
      <c r="E2" s="2" t="n">
        <v>33</v>
      </c>
      <c r="F2" s="2" t="n">
        <v>33</v>
      </c>
      <c r="G2" s="2" t="n">
        <v>100</v>
      </c>
      <c r="H2" s="2" t="n">
        <v>0</v>
      </c>
      <c r="I2" s="2" t="inlineStr">
        <is>
          <t>Recognized board or steering-body category</t>
        </is>
      </c>
      <c r="J2" s="2" t="inlineStr">
        <is>
          <t>No</t>
        </is>
      </c>
      <c r="K2" s="2" t="n">
        <v>47.57142857142857</v>
      </c>
      <c r="L2" s="2" t="n">
        <v>6</v>
      </c>
      <c r="M2" s="2" t="n">
        <v>0.8571428571428571</v>
      </c>
      <c r="N2" s="2" t="n">
        <v>55.5</v>
      </c>
      <c r="O2" s="2" t="inlineStr">
        <is>
          <t>108_bylaws_status unavailable/unknown scored 0; No independent verification recorded</t>
        </is>
      </c>
    </row>
    <row r="3">
      <c r="A3" s="2" t="inlineStr">
        <is>
          <t>Academic Preservation Trust (APTrust)</t>
        </is>
      </c>
      <c r="B3" s="2" t="n">
        <v>100</v>
      </c>
      <c r="C3" s="2" t="n">
        <v>100</v>
      </c>
      <c r="D3" s="2" t="n">
        <v>100</v>
      </c>
      <c r="E3" s="2" t="n">
        <v>33</v>
      </c>
      <c r="F3" s="2" t="n">
        <v>100</v>
      </c>
      <c r="G3" s="2" t="n">
        <v>0</v>
      </c>
      <c r="H3" s="2" t="n">
        <v>100</v>
      </c>
      <c r="I3" s="2" t="inlineStr">
        <is>
          <t>Recognized board or steering-body category</t>
        </is>
      </c>
      <c r="J3" s="2" t="inlineStr">
        <is>
          <t>No</t>
        </is>
      </c>
      <c r="K3" s="2" t="n">
        <v>76.14285714285714</v>
      </c>
      <c r="L3" s="2" t="n">
        <v>7</v>
      </c>
      <c r="M3" s="2" t="n">
        <v>1</v>
      </c>
      <c r="N3" s="2" t="n">
        <v>76.14285714285714</v>
      </c>
      <c r="O3" s="2" t="inlineStr">
        <is>
          <t>No independent verification recorded</t>
        </is>
      </c>
    </row>
    <row r="4">
      <c r="A4" s="2" t="inlineStr">
        <is>
          <t>AfricArXiv</t>
        </is>
      </c>
      <c r="B4" s="2" t="n">
        <v>100</v>
      </c>
      <c r="C4" s="2" t="n">
        <v>0</v>
      </c>
      <c r="D4" s="2" t="n">
        <v>100</v>
      </c>
      <c r="E4" s="2" t="n">
        <v>67</v>
      </c>
      <c r="F4" s="2" t="n">
        <v>67</v>
      </c>
      <c r="G4" s="2" t="n">
        <v>100</v>
      </c>
      <c r="H4" s="2" t="n">
        <v>50</v>
      </c>
      <c r="I4" s="2" t="inlineStr">
        <is>
          <t>Recognized board or steering-body category</t>
        </is>
      </c>
      <c r="J4" s="2" t="inlineStr">
        <is>
          <t>No</t>
        </is>
      </c>
      <c r="K4" s="2" t="n">
        <v>69.14285714285714</v>
      </c>
      <c r="L4" s="2" t="n">
        <v>7</v>
      </c>
      <c r="M4" s="2" t="n">
        <v>1</v>
      </c>
      <c r="N4" s="2" t="n">
        <v>69.14285714285714</v>
      </c>
      <c r="O4" s="2" t="inlineStr">
        <is>
          <t>No independent verification recorded</t>
        </is>
      </c>
    </row>
    <row r="5">
      <c r="A5" s="2" t="inlineStr">
        <is>
          <t>Arches Heritage Data Management Platform</t>
        </is>
      </c>
      <c r="B5" s="2" t="n">
        <v>100</v>
      </c>
      <c r="C5" s="2" t="n">
        <v>100</v>
      </c>
      <c r="D5" s="2" t="n">
        <v>100</v>
      </c>
      <c r="E5" s="2" t="n">
        <v>100</v>
      </c>
      <c r="F5" s="2" t="n">
        <v>0</v>
      </c>
      <c r="G5" s="2" t="n">
        <v>0</v>
      </c>
      <c r="H5" s="2" t="n">
        <v>100</v>
      </c>
      <c r="I5" s="2" t="inlineStr">
        <is>
          <t>Recognized board or steering-body category</t>
        </is>
      </c>
      <c r="J5" s="2" t="inlineStr">
        <is>
          <t>No</t>
        </is>
      </c>
      <c r="K5" s="2" t="n">
        <v>71.42857142857143</v>
      </c>
      <c r="L5" s="2" t="n">
        <v>7</v>
      </c>
      <c r="M5" s="2" t="n">
        <v>1</v>
      </c>
      <c r="N5" s="2" t="n">
        <v>71.42857142857143</v>
      </c>
      <c r="O5" s="2" t="inlineStr">
        <is>
          <t>No independent verification recorded</t>
        </is>
      </c>
    </row>
    <row r="6">
      <c r="A6" s="2" t="inlineStr">
        <is>
          <t>Archipelago Commons</t>
        </is>
      </c>
      <c r="B6" s="2" t="n">
        <v>100</v>
      </c>
      <c r="C6" s="2" t="n">
        <v>100</v>
      </c>
      <c r="D6" s="2" t="n">
        <v>100</v>
      </c>
      <c r="E6" s="2" t="n">
        <v>100</v>
      </c>
      <c r="F6" s="2" t="n">
        <v>100</v>
      </c>
      <c r="G6" s="2" t="n">
        <v>33</v>
      </c>
      <c r="H6" s="2" t="n">
        <v>100</v>
      </c>
      <c r="I6" s="2" t="inlineStr">
        <is>
          <t>Recognized board or steering-body category</t>
        </is>
      </c>
      <c r="J6" s="2" t="inlineStr">
        <is>
          <t>No</t>
        </is>
      </c>
      <c r="K6" s="2" t="n">
        <v>90.42857142857143</v>
      </c>
      <c r="L6" s="2" t="n">
        <v>7</v>
      </c>
      <c r="M6" s="2" t="n">
        <v>1</v>
      </c>
      <c r="N6" s="2" t="n">
        <v>90.42857142857143</v>
      </c>
      <c r="O6" s="2" t="inlineStr">
        <is>
          <t>No independent verification recorded</t>
        </is>
      </c>
    </row>
    <row r="7">
      <c r="A7" s="2" t="inlineStr">
        <is>
          <t>Archival Resource Key</t>
        </is>
      </c>
      <c r="B7" s="2" t="n">
        <v>67</v>
      </c>
      <c r="C7" s="2" t="n">
        <v>0</v>
      </c>
      <c r="D7" s="2" t="n">
        <v>100</v>
      </c>
      <c r="E7" s="2" t="n">
        <v>67</v>
      </c>
      <c r="F7" s="2" t="n">
        <v>33</v>
      </c>
      <c r="G7" s="2" t="n">
        <v>0</v>
      </c>
      <c r="H7" s="2" t="n">
        <v>50</v>
      </c>
      <c r="I7" s="2" t="inlineStr">
        <is>
          <t>Recognized board or steering-body category</t>
        </is>
      </c>
      <c r="J7" s="2" t="inlineStr">
        <is>
          <t>No</t>
        </is>
      </c>
      <c r="K7" s="2" t="n">
        <v>45.28571428571428</v>
      </c>
      <c r="L7" s="2" t="n">
        <v>5</v>
      </c>
      <c r="M7" s="2" t="n">
        <v>0.7142857142857143</v>
      </c>
      <c r="N7" s="2" t="n">
        <v>63.4</v>
      </c>
      <c r="O7" s="2" t="inlineStr">
        <is>
          <t>108_bylaws_status unavailable/unknown scored 0; 044_commitment_to_privacy_status unavailable/unknown scored 0; No independent verification recorded</t>
        </is>
      </c>
    </row>
    <row r="8">
      <c r="A8" s="2" t="inlineStr">
        <is>
          <t>Archivematica</t>
        </is>
      </c>
      <c r="B8" s="2" t="n">
        <v>33</v>
      </c>
      <c r="C8" s="2" t="n">
        <v>33</v>
      </c>
      <c r="D8" s="2" t="n">
        <v>0</v>
      </c>
      <c r="E8" s="2" t="n">
        <v>33</v>
      </c>
      <c r="F8" s="2" t="n">
        <v>33</v>
      </c>
      <c r="G8" s="2" t="n">
        <v>100</v>
      </c>
      <c r="H8" s="2" t="n">
        <v>0</v>
      </c>
      <c r="I8" s="2" t="inlineStr">
        <is>
          <t>Explicitly reports no board/steering body</t>
        </is>
      </c>
      <c r="J8" s="2" t="inlineStr">
        <is>
          <t>No</t>
        </is>
      </c>
      <c r="K8" s="2" t="n">
        <v>33.14285714285715</v>
      </c>
      <c r="L8" s="2" t="n">
        <v>7</v>
      </c>
      <c r="M8" s="2" t="n">
        <v>1</v>
      </c>
      <c r="N8" s="2" t="n">
        <v>33.14285714285715</v>
      </c>
      <c r="O8" s="2" t="inlineStr">
        <is>
          <t>No independent verification recorded</t>
        </is>
      </c>
    </row>
    <row r="9">
      <c r="A9" s="2" t="inlineStr">
        <is>
          <t>ArchivesSpace</t>
        </is>
      </c>
      <c r="B9" s="2" t="n">
        <v>100</v>
      </c>
      <c r="C9" s="2" t="n">
        <v>100</v>
      </c>
      <c r="D9" s="2" t="n">
        <v>100</v>
      </c>
      <c r="E9" s="2" t="n">
        <v>100</v>
      </c>
      <c r="F9" s="2" t="n">
        <v>100</v>
      </c>
      <c r="G9" s="2" t="n">
        <v>100</v>
      </c>
      <c r="H9" s="2" t="n">
        <v>100</v>
      </c>
      <c r="I9" s="2" t="inlineStr">
        <is>
          <t>Recognized board or steering-body category</t>
        </is>
      </c>
      <c r="J9" s="2" t="inlineStr">
        <is>
          <t>No</t>
        </is>
      </c>
      <c r="K9" s="2" t="n">
        <v>100</v>
      </c>
      <c r="L9" s="2" t="n">
        <v>7</v>
      </c>
      <c r="M9" s="2" t="n">
        <v>1</v>
      </c>
      <c r="N9" s="2" t="n">
        <v>100</v>
      </c>
      <c r="O9" s="2" t="inlineStr">
        <is>
          <t>No independent verification recorded</t>
        </is>
      </c>
    </row>
    <row r="10">
      <c r="A10" s="2" t="inlineStr">
        <is>
          <t>ARGOS</t>
        </is>
      </c>
      <c r="B10" s="2" t="n">
        <v>100</v>
      </c>
      <c r="C10" s="2" t="n">
        <v>100</v>
      </c>
      <c r="D10" s="2" t="n">
        <v>100</v>
      </c>
      <c r="E10" s="2" t="n">
        <v>67</v>
      </c>
      <c r="F10" s="2" t="n">
        <v>100</v>
      </c>
      <c r="G10" s="2" t="n">
        <v>100</v>
      </c>
      <c r="H10" s="2" t="n">
        <v>100</v>
      </c>
      <c r="I10" s="2" t="inlineStr">
        <is>
          <t>Recognized board or steering-body category</t>
        </is>
      </c>
      <c r="J10" s="2" t="inlineStr">
        <is>
          <t>No</t>
        </is>
      </c>
      <c r="K10" s="2" t="n">
        <v>95.28571428571429</v>
      </c>
      <c r="L10" s="2" t="n">
        <v>7</v>
      </c>
      <c r="M10" s="2" t="n">
        <v>1</v>
      </c>
      <c r="N10" s="2" t="n">
        <v>95.28571428571429</v>
      </c>
      <c r="O10" s="2" t="inlineStr">
        <is>
          <t>No independent verification recorded</t>
        </is>
      </c>
    </row>
    <row r="11">
      <c r="A11" s="2" t="inlineStr">
        <is>
          <t>arXiv</t>
        </is>
      </c>
      <c r="B11" s="2" t="n">
        <v>100</v>
      </c>
      <c r="C11" s="2" t="n">
        <v>100</v>
      </c>
      <c r="D11" s="2" t="n">
        <v>100</v>
      </c>
      <c r="E11" s="2" t="n">
        <v>100</v>
      </c>
      <c r="F11" s="2" t="n">
        <v>0</v>
      </c>
      <c r="G11" s="2" t="n">
        <v>100</v>
      </c>
      <c r="H11" s="2" t="n">
        <v>100</v>
      </c>
      <c r="I11" s="2" t="inlineStr">
        <is>
          <t>Recognized board or steering-body category</t>
        </is>
      </c>
      <c r="J11" s="2" t="inlineStr">
        <is>
          <t>No</t>
        </is>
      </c>
      <c r="K11" s="2" t="n">
        <v>85.71428571428571</v>
      </c>
      <c r="L11" s="2" t="n">
        <v>6</v>
      </c>
      <c r="M11" s="2" t="n">
        <v>0.8571428571428571</v>
      </c>
      <c r="N11" s="2" t="n">
        <v>100</v>
      </c>
      <c r="O11" s="2" t="inlineStr">
        <is>
          <t>035_commitment_to_equity_status unavailable/unknown scored 0; No independent verification recorded</t>
        </is>
      </c>
    </row>
    <row r="12">
      <c r="A12" s="2" t="inlineStr">
        <is>
          <t>AtoM</t>
        </is>
      </c>
      <c r="B12" s="2" t="n">
        <v>33</v>
      </c>
      <c r="C12" s="2" t="n">
        <v>33</v>
      </c>
      <c r="D12" s="2" t="n">
        <v>0</v>
      </c>
      <c r="E12" s="2" t="n">
        <v>67</v>
      </c>
      <c r="F12" s="2" t="n">
        <v>33</v>
      </c>
      <c r="G12" s="2" t="n">
        <v>100</v>
      </c>
      <c r="H12" s="2" t="n">
        <v>0</v>
      </c>
      <c r="I12" s="2" t="inlineStr">
        <is>
          <t>Blank or unrecognized board-structure response</t>
        </is>
      </c>
      <c r="J12" s="2" t="inlineStr">
        <is>
          <t>No</t>
        </is>
      </c>
      <c r="K12" s="2" t="n">
        <v>38</v>
      </c>
      <c r="L12" s="2" t="n">
        <v>5</v>
      </c>
      <c r="M12" s="2" t="n">
        <v>0.7142857142857143</v>
      </c>
      <c r="N12" s="2" t="n">
        <v>53.2</v>
      </c>
      <c r="O12" s="2" t="inlineStr">
        <is>
          <t>048 community governance missing/unrecognized scored 0; No independent verification recorded</t>
        </is>
      </c>
    </row>
    <row r="13">
      <c r="A13" s="2" t="inlineStr">
        <is>
          <t>Avalon Media System</t>
        </is>
      </c>
      <c r="B13" s="2" t="n">
        <v>100</v>
      </c>
      <c r="C13" s="2" t="n">
        <v>100</v>
      </c>
      <c r="D13" s="2" t="n">
        <v>100</v>
      </c>
      <c r="E13" s="2" t="n">
        <v>67</v>
      </c>
      <c r="F13" s="2" t="n">
        <v>33</v>
      </c>
      <c r="G13" s="2" t="n">
        <v>0</v>
      </c>
      <c r="H13" s="2" t="n">
        <v>100</v>
      </c>
      <c r="I13" s="2" t="inlineStr">
        <is>
          <t>Recognized board or steering-body category</t>
        </is>
      </c>
      <c r="J13" s="2" t="inlineStr">
        <is>
          <t>No</t>
        </is>
      </c>
      <c r="K13" s="2" t="n">
        <v>71.42857142857143</v>
      </c>
      <c r="L13" s="2" t="n">
        <v>7</v>
      </c>
      <c r="M13" s="2" t="n">
        <v>1</v>
      </c>
      <c r="N13" s="2" t="n">
        <v>71.42857142857143</v>
      </c>
      <c r="O13" s="2" t="inlineStr">
        <is>
          <t>No independent verification recorded</t>
        </is>
      </c>
    </row>
    <row r="14">
      <c r="A14" s="2" t="inlineStr">
        <is>
          <t>Biodiversity Heritage Library</t>
        </is>
      </c>
      <c r="B14" s="2" t="n">
        <v>100</v>
      </c>
      <c r="C14" s="2" t="n">
        <v>100</v>
      </c>
      <c r="D14" s="2" t="n">
        <v>100</v>
      </c>
      <c r="E14" s="2" t="n">
        <v>33</v>
      </c>
      <c r="F14" s="2" t="n">
        <v>33</v>
      </c>
      <c r="G14" s="2" t="n">
        <v>100</v>
      </c>
      <c r="H14" s="2" t="n">
        <v>100</v>
      </c>
      <c r="I14" s="2" t="inlineStr">
        <is>
          <t>Recognized board or steering-body category</t>
        </is>
      </c>
      <c r="J14" s="2" t="inlineStr">
        <is>
          <t>No</t>
        </is>
      </c>
      <c r="K14" s="2" t="n">
        <v>80.85714285714286</v>
      </c>
      <c r="L14" s="2" t="n">
        <v>7</v>
      </c>
      <c r="M14" s="2" t="n">
        <v>1</v>
      </c>
      <c r="N14" s="2" t="n">
        <v>80.85714285714286</v>
      </c>
      <c r="O14" s="2" t="inlineStr">
        <is>
          <t>No independent verification recorded</t>
        </is>
      </c>
    </row>
    <row r="15">
      <c r="A15" s="2" t="inlineStr">
        <is>
          <t>bioRxiv</t>
        </is>
      </c>
      <c r="B15" s="2" t="n">
        <v>67</v>
      </c>
      <c r="C15" s="2" t="n">
        <v>0</v>
      </c>
      <c r="D15" s="2" t="n">
        <v>100</v>
      </c>
      <c r="E15" s="2" t="n">
        <v>33</v>
      </c>
      <c r="F15" s="2" t="n">
        <v>67</v>
      </c>
      <c r="G15" s="2" t="n">
        <v>100</v>
      </c>
      <c r="H15" s="2" t="n">
        <v>50</v>
      </c>
      <c r="I15" s="2" t="inlineStr">
        <is>
          <t>Recognized board or steering-body category</t>
        </is>
      </c>
      <c r="J15" s="2" t="inlineStr">
        <is>
          <t>No</t>
        </is>
      </c>
      <c r="K15" s="2" t="n">
        <v>59.57142857142857</v>
      </c>
      <c r="L15" s="2" t="n">
        <v>6</v>
      </c>
      <c r="M15" s="2" t="n">
        <v>0.8571428571428571</v>
      </c>
      <c r="N15" s="2" t="n">
        <v>69.5</v>
      </c>
      <c r="O15" s="2" t="inlineStr">
        <is>
          <t>108_bylaws_status unavailable/unknown scored 0; No independent verification recorded</t>
        </is>
      </c>
    </row>
    <row r="16">
      <c r="A16" s="2" t="inlineStr">
        <is>
          <t>BitCurator Environment</t>
        </is>
      </c>
      <c r="B16" s="2" t="n">
        <v>100</v>
      </c>
      <c r="C16" s="2" t="n">
        <v>100</v>
      </c>
      <c r="D16" s="2" t="n">
        <v>100</v>
      </c>
      <c r="E16" s="2" t="n">
        <v>33</v>
      </c>
      <c r="F16" s="2" t="n">
        <v>100</v>
      </c>
      <c r="G16" s="2" t="n">
        <v>100</v>
      </c>
      <c r="H16" s="2" t="n">
        <v>100</v>
      </c>
      <c r="I16" s="2" t="inlineStr">
        <is>
          <t>Recognized board or steering-body category</t>
        </is>
      </c>
      <c r="J16" s="2" t="inlineStr">
        <is>
          <t>No</t>
        </is>
      </c>
      <c r="K16" s="2" t="n">
        <v>90.42857142857143</v>
      </c>
      <c r="L16" s="2" t="n">
        <v>7</v>
      </c>
      <c r="M16" s="2" t="n">
        <v>1</v>
      </c>
      <c r="N16" s="2" t="n">
        <v>90.42857142857143</v>
      </c>
      <c r="O16" s="2" t="inlineStr">
        <is>
          <t>No independent verification recorded</t>
        </is>
      </c>
    </row>
    <row r="17">
      <c r="A17" s="2" t="inlineStr">
        <is>
          <t>Blacklight</t>
        </is>
      </c>
      <c r="B17" s="2" t="n">
        <v>67</v>
      </c>
      <c r="C17" s="2" t="n">
        <v>67</v>
      </c>
      <c r="D17" s="2" t="n">
        <v>0</v>
      </c>
      <c r="E17" s="2" t="n">
        <v>67</v>
      </c>
      <c r="F17" s="2" t="n">
        <v>67</v>
      </c>
      <c r="G17" s="2" t="n">
        <v>67</v>
      </c>
      <c r="H17" s="2" t="n">
        <v>50</v>
      </c>
      <c r="I17" s="2" t="inlineStr">
        <is>
          <t>Explicitly reports no board/steering body</t>
        </is>
      </c>
      <c r="J17" s="2" t="inlineStr">
        <is>
          <t>No</t>
        </is>
      </c>
      <c r="K17" s="2" t="n">
        <v>55</v>
      </c>
      <c r="L17" s="2" t="n">
        <v>7</v>
      </c>
      <c r="M17" s="2" t="n">
        <v>1</v>
      </c>
      <c r="N17" s="2" t="n">
        <v>55</v>
      </c>
      <c r="O17" s="2" t="inlineStr">
        <is>
          <t>No independent verification recorded</t>
        </is>
      </c>
    </row>
    <row r="18">
      <c r="A18" s="2" t="inlineStr">
        <is>
          <t>BrCRIS</t>
        </is>
      </c>
      <c r="B18" s="2" t="n">
        <v>0</v>
      </c>
      <c r="C18" s="2" t="n">
        <v>0</v>
      </c>
      <c r="D18" s="2" t="n">
        <v>100</v>
      </c>
      <c r="E18" s="2" t="n">
        <v>67</v>
      </c>
      <c r="F18" s="2" t="n">
        <v>33</v>
      </c>
      <c r="G18" s="2" t="n">
        <v>100</v>
      </c>
      <c r="H18" s="2" t="n">
        <v>50</v>
      </c>
      <c r="I18" s="2" t="inlineStr">
        <is>
          <t>Recognized board or steering-body category</t>
        </is>
      </c>
      <c r="J18" s="2" t="inlineStr">
        <is>
          <t>No</t>
        </is>
      </c>
      <c r="K18" s="2" t="n">
        <v>50</v>
      </c>
      <c r="L18" s="2" t="n">
        <v>5</v>
      </c>
      <c r="M18" s="2" t="n">
        <v>0.7142857142857143</v>
      </c>
      <c r="N18" s="2" t="n">
        <v>70</v>
      </c>
      <c r="O18" s="2" t="inlineStr">
        <is>
          <t>024_governance_structure_status unavailable/unknown scored 0; 108_bylaws_status unavailable/unknown scored 0; No independent verification recorded</t>
        </is>
      </c>
    </row>
    <row r="19">
      <c r="A19" s="2" t="inlineStr">
        <is>
          <t>Browsertrix</t>
        </is>
      </c>
      <c r="B19" s="2" t="n">
        <v>0</v>
      </c>
      <c r="C19" s="2" t="n">
        <v>0</v>
      </c>
      <c r="D19" s="2" t="n">
        <v>0</v>
      </c>
      <c r="E19" s="2" t="n">
        <v>0</v>
      </c>
      <c r="F19" s="2" t="n">
        <v>0</v>
      </c>
      <c r="G19" s="2" t="n">
        <v>100</v>
      </c>
      <c r="H19" s="2" t="n">
        <v>0</v>
      </c>
      <c r="I19" s="2" t="inlineStr">
        <is>
          <t>Explicitly reports no board/steering body</t>
        </is>
      </c>
      <c r="J19" s="2" t="inlineStr">
        <is>
          <t>No</t>
        </is>
      </c>
      <c r="K19" s="2" t="n">
        <v>14.28571428571429</v>
      </c>
      <c r="L19" s="2" t="n">
        <v>5</v>
      </c>
      <c r="M19" s="2" t="n">
        <v>0.7142857142857143</v>
      </c>
      <c r="N19" s="2" t="n">
        <v>20</v>
      </c>
      <c r="O19" s="2" t="inlineStr">
        <is>
          <t>029_web_accessibility_status unavailable/unknown scored 0; 035_commitment_to_equity_status unavailable/unknown scored 0; No independent verification recorded</t>
        </is>
      </c>
    </row>
    <row r="20">
      <c r="A20" s="2" t="inlineStr">
        <is>
          <t>CLOCKSS</t>
        </is>
      </c>
      <c r="B20" s="2" t="n">
        <v>100</v>
      </c>
      <c r="C20" s="2" t="n">
        <v>100</v>
      </c>
      <c r="D20" s="2" t="n">
        <v>100</v>
      </c>
      <c r="E20" s="2" t="n">
        <v>67</v>
      </c>
      <c r="F20" s="2" t="n">
        <v>100</v>
      </c>
      <c r="G20" s="2" t="n">
        <v>100</v>
      </c>
      <c r="H20" s="2" t="n">
        <v>100</v>
      </c>
      <c r="I20" s="2" t="inlineStr">
        <is>
          <t>Recognized board or steering-body category</t>
        </is>
      </c>
      <c r="J20" s="2" t="inlineStr">
        <is>
          <t>No</t>
        </is>
      </c>
      <c r="K20" s="2" t="n">
        <v>95.28571428571429</v>
      </c>
      <c r="L20" s="2" t="n">
        <v>7</v>
      </c>
      <c r="M20" s="2" t="n">
        <v>1</v>
      </c>
      <c r="N20" s="2" t="n">
        <v>95.28571428571429</v>
      </c>
      <c r="O20" s="2" t="inlineStr">
        <is>
          <t>No independent verification recorded</t>
        </is>
      </c>
    </row>
    <row r="21">
      <c r="A21" s="2" t="inlineStr">
        <is>
          <t>COAR International Repository Directory (IRD)</t>
        </is>
      </c>
      <c r="B21" s="2" t="n">
        <v>100</v>
      </c>
      <c r="C21" s="2" t="n">
        <v>67</v>
      </c>
      <c r="D21" s="2" t="n">
        <v>100</v>
      </c>
      <c r="E21" s="2" t="n">
        <v>33</v>
      </c>
      <c r="F21" s="2" t="n">
        <v>100</v>
      </c>
      <c r="G21" s="2" t="n">
        <v>0</v>
      </c>
      <c r="H21" s="2" t="n">
        <v>50</v>
      </c>
      <c r="I21" s="2" t="inlineStr">
        <is>
          <t>Recognized board or steering-body category</t>
        </is>
      </c>
      <c r="J21" s="2" t="inlineStr">
        <is>
          <t>No</t>
        </is>
      </c>
      <c r="K21" s="2" t="n">
        <v>64.28571428571429</v>
      </c>
      <c r="L21" s="2" t="n">
        <v>7</v>
      </c>
      <c r="M21" s="2" t="n">
        <v>1</v>
      </c>
      <c r="N21" s="2" t="n">
        <v>64.28571428571429</v>
      </c>
      <c r="O21" s="2" t="inlineStr">
        <is>
          <t>No independent verification recorded</t>
        </is>
      </c>
    </row>
    <row r="22">
      <c r="A22" s="2" t="inlineStr">
        <is>
          <t>COAR Notify</t>
        </is>
      </c>
      <c r="B22" s="2" t="n">
        <v>100</v>
      </c>
      <c r="C22" s="2" t="n">
        <v>0</v>
      </c>
      <c r="D22" s="2" t="n">
        <v>0</v>
      </c>
      <c r="E22" s="2" t="n">
        <v>33</v>
      </c>
      <c r="F22" s="2" t="n">
        <v>100</v>
      </c>
      <c r="G22" s="2" t="n">
        <v>0</v>
      </c>
      <c r="H22" s="2" t="n">
        <v>50</v>
      </c>
      <c r="I22" s="2" t="inlineStr">
        <is>
          <t>Other response needs review; no qualifying governance body established</t>
        </is>
      </c>
      <c r="J22" s="2" t="inlineStr">
        <is>
          <t>Yes</t>
        </is>
      </c>
      <c r="K22" s="2" t="n">
        <v>40.42857142857143</v>
      </c>
      <c r="L22" s="2" t="n">
        <v>7</v>
      </c>
      <c r="M22" s="2" t="n">
        <v>1</v>
      </c>
      <c r="N22" s="2" t="n">
        <v>40.42857142857143</v>
      </c>
      <c r="O22" s="2" t="inlineStr">
        <is>
          <t>Review 050 Other response; override available; No independent verification recorded</t>
        </is>
      </c>
    </row>
    <row r="23">
      <c r="A23" s="2" t="inlineStr">
        <is>
          <t>CollectiveAccess</t>
        </is>
      </c>
      <c r="B23" s="2" t="n">
        <v>0</v>
      </c>
      <c r="C23" s="2" t="n">
        <v>0</v>
      </c>
      <c r="D23" s="2" t="n">
        <v>0</v>
      </c>
      <c r="E23" s="2" t="n">
        <v>67</v>
      </c>
      <c r="F23" s="2" t="n">
        <v>0</v>
      </c>
      <c r="G23" s="2" t="n">
        <v>0</v>
      </c>
      <c r="H23" s="2" t="n">
        <v>50</v>
      </c>
      <c r="I23" s="2" t="inlineStr">
        <is>
          <t>Explicitly reports no board/steering body</t>
        </is>
      </c>
      <c r="J23" s="2" t="inlineStr">
        <is>
          <t>No</t>
        </is>
      </c>
      <c r="K23" s="2" t="n">
        <v>16.71428571428572</v>
      </c>
      <c r="L23" s="2" t="n">
        <v>7</v>
      </c>
      <c r="M23" s="2" t="n">
        <v>1</v>
      </c>
      <c r="N23" s="2" t="n">
        <v>16.71428571428572</v>
      </c>
      <c r="O23" s="2" t="inlineStr">
        <is>
          <t>No independent verification recorded</t>
        </is>
      </c>
    </row>
    <row r="24">
      <c r="A24" s="2" t="inlineStr">
        <is>
          <t>CORE</t>
        </is>
      </c>
      <c r="B24" s="2" t="n">
        <v>100</v>
      </c>
      <c r="C24" s="2" t="n">
        <v>100</v>
      </c>
      <c r="D24" s="2" t="n">
        <v>100</v>
      </c>
      <c r="E24" s="2" t="n">
        <v>100</v>
      </c>
      <c r="F24" s="2" t="n">
        <v>33</v>
      </c>
      <c r="G24" s="2" t="n">
        <v>100</v>
      </c>
      <c r="H24" s="2" t="n">
        <v>100</v>
      </c>
      <c r="I24" s="2" t="inlineStr">
        <is>
          <t>Recognized board or steering-body category</t>
        </is>
      </c>
      <c r="J24" s="2" t="inlineStr">
        <is>
          <t>No</t>
        </is>
      </c>
      <c r="K24" s="2" t="n">
        <v>90.42857142857143</v>
      </c>
      <c r="L24" s="2" t="n">
        <v>7</v>
      </c>
      <c r="M24" s="2" t="n">
        <v>1</v>
      </c>
      <c r="N24" s="2" t="n">
        <v>90.42857142857143</v>
      </c>
      <c r="O24" s="2" t="inlineStr">
        <is>
          <t>No independent verification recorded</t>
        </is>
      </c>
    </row>
    <row r="25">
      <c r="A25" s="2" t="inlineStr">
        <is>
          <t>COUNTER Code of Practice</t>
        </is>
      </c>
      <c r="B25" s="2" t="n">
        <v>100</v>
      </c>
      <c r="C25" s="2" t="n">
        <v>100</v>
      </c>
      <c r="D25" s="2" t="n">
        <v>100</v>
      </c>
      <c r="E25" s="2" t="n">
        <v>100</v>
      </c>
      <c r="F25" s="2" t="n">
        <v>67</v>
      </c>
      <c r="G25" s="2" t="n">
        <v>100</v>
      </c>
      <c r="H25" s="2" t="n">
        <v>100</v>
      </c>
      <c r="I25" s="2" t="inlineStr">
        <is>
          <t>Recognized board or steering-body category</t>
        </is>
      </c>
      <c r="J25" s="2" t="inlineStr">
        <is>
          <t>No</t>
        </is>
      </c>
      <c r="K25" s="2" t="n">
        <v>95.28571428571429</v>
      </c>
      <c r="L25" s="2" t="n">
        <v>7</v>
      </c>
      <c r="M25" s="2" t="n">
        <v>1</v>
      </c>
      <c r="N25" s="2" t="n">
        <v>95.28571428571429</v>
      </c>
      <c r="O25" s="2" t="inlineStr">
        <is>
          <t>No independent verification recorded</t>
        </is>
      </c>
    </row>
    <row r="26">
      <c r="A26" s="2" t="inlineStr">
        <is>
          <t>Creative Commons Licenses</t>
        </is>
      </c>
      <c r="B26" s="2" t="n">
        <v>100</v>
      </c>
      <c r="C26" s="2" t="n">
        <v>0</v>
      </c>
      <c r="D26" s="2" t="n">
        <v>100</v>
      </c>
      <c r="E26" s="2" t="n">
        <v>33</v>
      </c>
      <c r="F26" s="2" t="n">
        <v>67</v>
      </c>
      <c r="G26" s="2" t="n">
        <v>100</v>
      </c>
      <c r="H26" s="2" t="n">
        <v>0</v>
      </c>
      <c r="I26" s="2" t="inlineStr">
        <is>
          <t>Recognized board or steering-body category</t>
        </is>
      </c>
      <c r="J26" s="2" t="inlineStr">
        <is>
          <t>No</t>
        </is>
      </c>
      <c r="K26" s="2" t="n">
        <v>57.14285714285715</v>
      </c>
      <c r="L26" s="2" t="n">
        <v>6</v>
      </c>
      <c r="M26" s="2" t="n">
        <v>0.8571428571428571</v>
      </c>
      <c r="N26" s="2" t="n">
        <v>66.66666666666667</v>
      </c>
      <c r="O26" s="2" t="inlineStr">
        <is>
          <t>108_bylaws_status unavailable/unknown scored 0; No independent verification recorded</t>
        </is>
      </c>
    </row>
    <row r="27">
      <c r="A27" s="2" t="inlineStr">
        <is>
          <t>Crossref Metadata Retrieval</t>
        </is>
      </c>
      <c r="B27" s="2" t="n">
        <v>100</v>
      </c>
      <c r="C27" s="2" t="n">
        <v>100</v>
      </c>
      <c r="D27" s="2" t="n">
        <v>100</v>
      </c>
      <c r="E27" s="2" t="n">
        <v>67</v>
      </c>
      <c r="F27" s="2" t="n">
        <v>100</v>
      </c>
      <c r="G27" s="2" t="n">
        <v>100</v>
      </c>
      <c r="H27" s="2" t="n">
        <v>100</v>
      </c>
      <c r="I27" s="2" t="inlineStr">
        <is>
          <t>Recognized board or steering-body category</t>
        </is>
      </c>
      <c r="J27" s="2" t="inlineStr">
        <is>
          <t>No</t>
        </is>
      </c>
      <c r="K27" s="2" t="n">
        <v>95.28571428571429</v>
      </c>
      <c r="L27" s="2" t="n">
        <v>7</v>
      </c>
      <c r="M27" s="2" t="n">
        <v>1</v>
      </c>
      <c r="N27" s="2" t="n">
        <v>95.28571428571429</v>
      </c>
      <c r="O27" s="2" t="inlineStr">
        <is>
          <t>No independent verification recorded</t>
        </is>
      </c>
    </row>
    <row r="28">
      <c r="A28" s="2" t="inlineStr">
        <is>
          <t>D4Science Infrastructure</t>
        </is>
      </c>
      <c r="B28" s="2" t="n">
        <v>67</v>
      </c>
      <c r="C28" s="2" t="n">
        <v>0</v>
      </c>
      <c r="D28" s="2" t="n">
        <v>0</v>
      </c>
      <c r="E28" s="2" t="n">
        <v>33</v>
      </c>
      <c r="F28" s="2" t="n">
        <v>33</v>
      </c>
      <c r="G28" s="2" t="n">
        <v>100</v>
      </c>
      <c r="H28" s="2" t="n">
        <v>0</v>
      </c>
      <c r="I28" s="2" t="inlineStr">
        <is>
          <t>Blank or unrecognized board-structure response</t>
        </is>
      </c>
      <c r="J28" s="2" t="inlineStr">
        <is>
          <t>No</t>
        </is>
      </c>
      <c r="K28" s="2" t="n">
        <v>33.28571428571428</v>
      </c>
      <c r="L28" s="2" t="n">
        <v>5</v>
      </c>
      <c r="M28" s="2" t="n">
        <v>0.7142857142857143</v>
      </c>
      <c r="N28" s="2" t="n">
        <v>46.6</v>
      </c>
      <c r="O28" s="2" t="inlineStr">
        <is>
          <t>048 community governance missing/unrecognized scored 0; No independent verification recorded</t>
        </is>
      </c>
    </row>
    <row r="29">
      <c r="A29" s="2" t="inlineStr">
        <is>
          <t>DART (Digital Archivist's Resource Tool)</t>
        </is>
      </c>
      <c r="B29" s="2" t="n">
        <v>100</v>
      </c>
      <c r="C29" s="2" t="n">
        <v>100</v>
      </c>
      <c r="D29" s="2" t="n">
        <v>100</v>
      </c>
      <c r="E29" s="2" t="n">
        <v>67</v>
      </c>
      <c r="F29" s="2" t="n">
        <v>100</v>
      </c>
      <c r="G29" s="2" t="n">
        <v>0</v>
      </c>
      <c r="H29" s="2" t="n">
        <v>100</v>
      </c>
      <c r="I29" s="2" t="inlineStr">
        <is>
          <t>Recognized board or steering-body category</t>
        </is>
      </c>
      <c r="J29" s="2" t="inlineStr">
        <is>
          <t>No</t>
        </is>
      </c>
      <c r="K29" s="2" t="n">
        <v>81</v>
      </c>
      <c r="L29" s="2" t="n">
        <v>7</v>
      </c>
      <c r="M29" s="2" t="n">
        <v>1</v>
      </c>
      <c r="N29" s="2" t="n">
        <v>81</v>
      </c>
      <c r="O29" s="2" t="inlineStr">
        <is>
          <t>No independent verification recorded</t>
        </is>
      </c>
    </row>
    <row r="30">
      <c r="A30" s="2" t="inlineStr">
        <is>
          <t>Database Information System</t>
        </is>
      </c>
      <c r="B30" s="2" t="n">
        <v>100</v>
      </c>
      <c r="C30" s="2" t="n">
        <v>0</v>
      </c>
      <c r="D30" s="2" t="n">
        <v>100</v>
      </c>
      <c r="E30" s="2" t="n">
        <v>0</v>
      </c>
      <c r="F30" s="2" t="n">
        <v>0</v>
      </c>
      <c r="G30" s="2" t="n">
        <v>100</v>
      </c>
      <c r="H30" s="2" t="n">
        <v>50</v>
      </c>
      <c r="I30" s="2" t="inlineStr">
        <is>
          <t>Recognized board or steering-body category</t>
        </is>
      </c>
      <c r="J30" s="2" t="inlineStr">
        <is>
          <t>No</t>
        </is>
      </c>
      <c r="K30" s="2" t="n">
        <v>50</v>
      </c>
      <c r="L30" s="2" t="n">
        <v>4</v>
      </c>
      <c r="M30" s="2" t="n">
        <v>0.5714285714285714</v>
      </c>
      <c r="N30" s="2" t="n">
        <v>87.5</v>
      </c>
      <c r="O30" s="2" t="inlineStr">
        <is>
          <t>108_bylaws_status unavailable/unknown scored 0; 029_web_accessibility_status unavailable/unknown scored 0; 035_commitment_to_equity_status unavailable/unknown scored 0; No independent verification recorded</t>
        </is>
      </c>
    </row>
    <row r="31">
      <c r="A31" s="2" t="inlineStr">
        <is>
          <t>Data Citation Corpus</t>
        </is>
      </c>
      <c r="B31" s="2" t="n">
        <v>100</v>
      </c>
      <c r="C31" s="2" t="n">
        <v>0</v>
      </c>
      <c r="D31" s="2" t="n">
        <v>0</v>
      </c>
      <c r="E31" s="2" t="n">
        <v>33</v>
      </c>
      <c r="F31" s="2" t="n">
        <v>0</v>
      </c>
      <c r="G31" s="2" t="n">
        <v>100</v>
      </c>
      <c r="H31" s="2" t="n">
        <v>50</v>
      </c>
      <c r="I31" s="2" t="inlineStr">
        <is>
          <t>Explicitly reports no board/steering body</t>
        </is>
      </c>
      <c r="J31" s="2" t="inlineStr">
        <is>
          <t>No</t>
        </is>
      </c>
      <c r="K31" s="2" t="n">
        <v>40.42857142857143</v>
      </c>
      <c r="L31" s="2" t="n">
        <v>7</v>
      </c>
      <c r="M31" s="2" t="n">
        <v>1</v>
      </c>
      <c r="N31" s="2" t="n">
        <v>40.42857142857143</v>
      </c>
      <c r="O31" s="2" t="inlineStr">
        <is>
          <t>No independent verification recorded</t>
        </is>
      </c>
    </row>
    <row r="32">
      <c r="A32" s="2" t="inlineStr">
        <is>
          <t>DataCite</t>
        </is>
      </c>
      <c r="B32" s="2" t="n">
        <v>100</v>
      </c>
      <c r="C32" s="2" t="n">
        <v>100</v>
      </c>
      <c r="D32" s="2" t="n">
        <v>100</v>
      </c>
      <c r="E32" s="2" t="n">
        <v>67</v>
      </c>
      <c r="F32" s="2" t="n">
        <v>100</v>
      </c>
      <c r="G32" s="2" t="n">
        <v>100</v>
      </c>
      <c r="H32" s="2" t="n">
        <v>100</v>
      </c>
      <c r="I32" s="2" t="inlineStr">
        <is>
          <t>Recognized board or steering-body category</t>
        </is>
      </c>
      <c r="J32" s="2" t="inlineStr">
        <is>
          <t>No</t>
        </is>
      </c>
      <c r="K32" s="2" t="n">
        <v>95.28571428571429</v>
      </c>
      <c r="L32" s="2" t="n">
        <v>7</v>
      </c>
      <c r="M32" s="2" t="n">
        <v>1</v>
      </c>
      <c r="N32" s="2" t="n">
        <v>95.28571428571429</v>
      </c>
      <c r="O32" s="2" t="inlineStr">
        <is>
          <t>No independent verification recorded</t>
        </is>
      </c>
    </row>
    <row r="33">
      <c r="A33" s="2" t="inlineStr">
        <is>
          <t>Data Stewardship Wizard</t>
        </is>
      </c>
      <c r="B33" s="2" t="n">
        <v>100</v>
      </c>
      <c r="C33" s="2" t="n">
        <v>0</v>
      </c>
      <c r="D33" s="2" t="n">
        <v>100</v>
      </c>
      <c r="E33" s="2" t="n">
        <v>67</v>
      </c>
      <c r="F33" s="2" t="n">
        <v>100</v>
      </c>
      <c r="G33" s="2" t="n">
        <v>0</v>
      </c>
      <c r="H33" s="2" t="n">
        <v>50</v>
      </c>
      <c r="I33" s="2" t="inlineStr">
        <is>
          <t>Recognized board or steering-body category</t>
        </is>
      </c>
      <c r="J33" s="2" t="inlineStr">
        <is>
          <t>No</t>
        </is>
      </c>
      <c r="K33" s="2" t="n">
        <v>59.57142857142857</v>
      </c>
      <c r="L33" s="2" t="n">
        <v>7</v>
      </c>
      <c r="M33" s="2" t="n">
        <v>1</v>
      </c>
      <c r="N33" s="2" t="n">
        <v>59.57142857142857</v>
      </c>
      <c r="O33" s="2" t="inlineStr">
        <is>
          <t>No independent verification recorded</t>
        </is>
      </c>
    </row>
    <row r="34">
      <c r="A34" s="2" t="inlineStr">
        <is>
          <t>Dataverse</t>
        </is>
      </c>
      <c r="B34" s="2" t="n">
        <v>100</v>
      </c>
      <c r="C34" s="2" t="n">
        <v>0</v>
      </c>
      <c r="D34" s="2" t="n">
        <v>0</v>
      </c>
      <c r="E34" s="2" t="n">
        <v>67</v>
      </c>
      <c r="F34" s="2" t="n">
        <v>100</v>
      </c>
      <c r="G34" s="2" t="n">
        <v>100</v>
      </c>
      <c r="H34" s="2" t="n">
        <v>50</v>
      </c>
      <c r="I34" s="2" t="inlineStr">
        <is>
          <t>Explicitly reports no board/steering body</t>
        </is>
      </c>
      <c r="J34" s="2" t="inlineStr">
        <is>
          <t>No</t>
        </is>
      </c>
      <c r="K34" s="2" t="n">
        <v>59.57142857142857</v>
      </c>
      <c r="L34" s="2" t="n">
        <v>6</v>
      </c>
      <c r="M34" s="2" t="n">
        <v>0.8571428571428571</v>
      </c>
      <c r="N34" s="2" t="n">
        <v>69.5</v>
      </c>
      <c r="O34" s="2" t="inlineStr">
        <is>
          <t>108_bylaws_status unavailable/unknown scored 0; No independent verification recorded</t>
        </is>
      </c>
    </row>
    <row r="35">
      <c r="A35" s="2" t="inlineStr">
        <is>
          <t>DLCM Backend</t>
        </is>
      </c>
      <c r="B35" s="2" t="n">
        <v>100</v>
      </c>
      <c r="C35" s="2" t="n">
        <v>0</v>
      </c>
      <c r="D35" s="2" t="n">
        <v>100</v>
      </c>
      <c r="E35" s="2" t="n">
        <v>33</v>
      </c>
      <c r="F35" s="2" t="n">
        <v>0</v>
      </c>
      <c r="G35" s="2" t="n">
        <v>33</v>
      </c>
      <c r="H35" s="2" t="n">
        <v>0</v>
      </c>
      <c r="I35" s="2" t="inlineStr">
        <is>
          <t>Recognized board or steering-body category</t>
        </is>
      </c>
      <c r="J35" s="2" t="inlineStr">
        <is>
          <t>No</t>
        </is>
      </c>
      <c r="K35" s="2" t="n">
        <v>38</v>
      </c>
      <c r="L35" s="2" t="n">
        <v>7</v>
      </c>
      <c r="M35" s="2" t="n">
        <v>1</v>
      </c>
      <c r="N35" s="2" t="n">
        <v>38</v>
      </c>
      <c r="O35" s="2" t="inlineStr">
        <is>
          <t>No independent verification recorded</t>
        </is>
      </c>
    </row>
    <row r="36">
      <c r="A36" s="2" t="inlineStr">
        <is>
          <t>DLCM Portal</t>
        </is>
      </c>
      <c r="B36" s="2" t="n">
        <v>100</v>
      </c>
      <c r="C36" s="2" t="n">
        <v>0</v>
      </c>
      <c r="D36" s="2" t="n">
        <v>100</v>
      </c>
      <c r="E36" s="2" t="n">
        <v>33</v>
      </c>
      <c r="F36" s="2" t="n">
        <v>0</v>
      </c>
      <c r="G36" s="2" t="n">
        <v>33</v>
      </c>
      <c r="H36" s="2" t="n">
        <v>0</v>
      </c>
      <c r="I36" s="2" t="inlineStr">
        <is>
          <t>Recognized board or steering-body category</t>
        </is>
      </c>
      <c r="J36" s="2" t="inlineStr">
        <is>
          <t>No</t>
        </is>
      </c>
      <c r="K36" s="2" t="n">
        <v>38</v>
      </c>
      <c r="L36" s="2" t="n">
        <v>7</v>
      </c>
      <c r="M36" s="2" t="n">
        <v>1</v>
      </c>
      <c r="N36" s="2" t="n">
        <v>38</v>
      </c>
      <c r="O36" s="2" t="inlineStr">
        <is>
          <t>No independent verification recorded</t>
        </is>
      </c>
    </row>
    <row r="37">
      <c r="A37" s="2" t="inlineStr">
        <is>
          <t>DMP Tool</t>
        </is>
      </c>
      <c r="B37" s="2" t="n">
        <v>0</v>
      </c>
      <c r="C37" s="2" t="n">
        <v>0</v>
      </c>
      <c r="D37" s="2" t="n">
        <v>0</v>
      </c>
      <c r="E37" s="2" t="n">
        <v>100</v>
      </c>
      <c r="F37" s="2" t="n">
        <v>0</v>
      </c>
      <c r="G37" s="2" t="n">
        <v>100</v>
      </c>
      <c r="H37" s="2" t="n">
        <v>0</v>
      </c>
      <c r="I37" s="2" t="inlineStr">
        <is>
          <t>Explicitly reports no board/steering body</t>
        </is>
      </c>
      <c r="J37" s="2" t="inlineStr">
        <is>
          <t>No</t>
        </is>
      </c>
      <c r="K37" s="2" t="n">
        <v>28.57142857142857</v>
      </c>
      <c r="L37" s="2" t="n">
        <v>7</v>
      </c>
      <c r="M37" s="2" t="n">
        <v>1</v>
      </c>
      <c r="N37" s="2" t="n">
        <v>28.57142857142857</v>
      </c>
      <c r="O37" s="2" t="inlineStr">
        <is>
          <t>No independent verification recorded</t>
        </is>
      </c>
    </row>
    <row r="38">
      <c r="A38" s="2" t="inlineStr">
        <is>
          <t>DOAJ (Directory of Open Access Journals)</t>
        </is>
      </c>
      <c r="B38" s="2" t="n">
        <v>100</v>
      </c>
      <c r="C38" s="2" t="n">
        <v>100</v>
      </c>
      <c r="D38" s="2" t="n">
        <v>100</v>
      </c>
      <c r="E38" s="2" t="n">
        <v>100</v>
      </c>
      <c r="F38" s="2" t="n">
        <v>100</v>
      </c>
      <c r="G38" s="2" t="n">
        <v>100</v>
      </c>
      <c r="H38" s="2" t="n">
        <v>100</v>
      </c>
      <c r="I38" s="2" t="inlineStr">
        <is>
          <t>Recognized board or steering-body category</t>
        </is>
      </c>
      <c r="J38" s="2" t="inlineStr">
        <is>
          <t>No</t>
        </is>
      </c>
      <c r="K38" s="2" t="n">
        <v>100</v>
      </c>
      <c r="L38" s="2" t="n">
        <v>7</v>
      </c>
      <c r="M38" s="2" t="n">
        <v>1</v>
      </c>
      <c r="N38" s="2" t="n">
        <v>100</v>
      </c>
      <c r="O38" s="2" t="inlineStr">
        <is>
          <t>No independent verification recorded</t>
        </is>
      </c>
    </row>
    <row r="39">
      <c r="A39" s="2" t="inlineStr">
        <is>
          <t>dokieli</t>
        </is>
      </c>
      <c r="B39" s="2" t="n">
        <v>0</v>
      </c>
      <c r="C39" s="2" t="n">
        <v>0</v>
      </c>
      <c r="D39" s="2" t="n">
        <v>0</v>
      </c>
      <c r="E39" s="2" t="n">
        <v>100</v>
      </c>
      <c r="F39" s="2" t="n">
        <v>0</v>
      </c>
      <c r="G39" s="2" t="n">
        <v>0</v>
      </c>
      <c r="H39" s="2" t="n">
        <v>0</v>
      </c>
      <c r="I39" s="2" t="inlineStr">
        <is>
          <t>Blank or unrecognized board-structure response</t>
        </is>
      </c>
      <c r="J39" s="2" t="inlineStr">
        <is>
          <t>No</t>
        </is>
      </c>
      <c r="K39" s="2" t="n">
        <v>14.28571428571429</v>
      </c>
      <c r="L39" s="2" t="n">
        <v>2</v>
      </c>
      <c r="M39" s="2" t="n">
        <v>0.2857142857142857</v>
      </c>
      <c r="N39" s="2" t="n">
        <v>50</v>
      </c>
      <c r="O39" s="2" t="inlineStr">
        <is>
          <t>024_governance_structure_status unavailable/unknown scored 0; 108_bylaws_status unavailable/unknown scored 0; 035_commitment_to_equity_status unavailable/unknown scored 0; 044_commitment_to_privacy_status unavailable/unknown scored 0; No independent verification recorded</t>
        </is>
      </c>
    </row>
    <row r="40">
      <c r="A40" s="2" t="inlineStr">
        <is>
          <t>Dryad</t>
        </is>
      </c>
      <c r="B40" s="2" t="n">
        <v>100</v>
      </c>
      <c r="C40" s="2" t="n">
        <v>100</v>
      </c>
      <c r="D40" s="2" t="n">
        <v>0</v>
      </c>
      <c r="E40" s="2" t="n">
        <v>100</v>
      </c>
      <c r="F40" s="2" t="n">
        <v>67</v>
      </c>
      <c r="G40" s="2" t="n">
        <v>100</v>
      </c>
      <c r="H40" s="2" t="n">
        <v>100</v>
      </c>
      <c r="I40" s="2" t="inlineStr">
        <is>
          <t>Other response needs review; no qualifying governance body established</t>
        </is>
      </c>
      <c r="J40" s="2" t="inlineStr">
        <is>
          <t>Yes</t>
        </is>
      </c>
      <c r="K40" s="2" t="n">
        <v>81</v>
      </c>
      <c r="L40" s="2" t="n">
        <v>7</v>
      </c>
      <c r="M40" s="2" t="n">
        <v>1</v>
      </c>
      <c r="N40" s="2" t="n">
        <v>81</v>
      </c>
      <c r="O40" s="2" t="inlineStr">
        <is>
          <t>Review 050 Other response; override available; No independent verification recorded</t>
        </is>
      </c>
    </row>
    <row r="41">
      <c r="A41" s="2" t="inlineStr">
        <is>
          <t>DSpace</t>
        </is>
      </c>
      <c r="B41" s="2" t="n">
        <v>100</v>
      </c>
      <c r="C41" s="2" t="n">
        <v>100</v>
      </c>
      <c r="D41" s="2" t="n">
        <v>100</v>
      </c>
      <c r="E41" s="2" t="n">
        <v>100</v>
      </c>
      <c r="F41" s="2" t="n">
        <v>100</v>
      </c>
      <c r="G41" s="2" t="n">
        <v>100</v>
      </c>
      <c r="H41" s="2" t="n">
        <v>100</v>
      </c>
      <c r="I41" s="2" t="inlineStr">
        <is>
          <t>Recognized board or steering-body category</t>
        </is>
      </c>
      <c r="J41" s="2" t="inlineStr">
        <is>
          <t>No</t>
        </is>
      </c>
      <c r="K41" s="2" t="n">
        <v>100</v>
      </c>
      <c r="L41" s="2" t="n">
        <v>7</v>
      </c>
      <c r="M41" s="2" t="n">
        <v>1</v>
      </c>
      <c r="N41" s="2" t="n">
        <v>100</v>
      </c>
      <c r="O41" s="2" t="inlineStr">
        <is>
          <t>No independent verification recorded</t>
        </is>
      </c>
    </row>
    <row r="42">
      <c r="A42" s="2" t="inlineStr">
        <is>
          <t>DuraCloud</t>
        </is>
      </c>
      <c r="B42" s="2" t="n">
        <v>0</v>
      </c>
      <c r="C42" s="2" t="n">
        <v>0</v>
      </c>
      <c r="D42" s="2" t="n">
        <v>0</v>
      </c>
      <c r="E42" s="2" t="n">
        <v>0</v>
      </c>
      <c r="F42" s="2" t="n">
        <v>0</v>
      </c>
      <c r="G42" s="2" t="n">
        <v>0</v>
      </c>
      <c r="H42" s="2" t="n">
        <v>0</v>
      </c>
      <c r="I42" s="2" t="inlineStr">
        <is>
          <t>Explicitly reports no board/steering body</t>
        </is>
      </c>
      <c r="J42" s="2" t="inlineStr">
        <is>
          <t>No</t>
        </is>
      </c>
      <c r="K42" s="2" t="n">
        <v>0</v>
      </c>
      <c r="L42" s="2" t="n">
        <v>2</v>
      </c>
      <c r="M42" s="2" t="n">
        <v>0.2857142857142857</v>
      </c>
      <c r="N42" s="2" t="n">
        <v>0</v>
      </c>
      <c r="O42" s="2" t="inlineStr">
        <is>
          <t>024_governance_structure_status unavailable/unknown scored 0; 029_web_accessibility_status unavailable/unknown scored 0; 035_commitment_to_equity_status unavailable/unknown scored 0; 044_commitment_to_privacy_status unavailable/unknown scored 0; 048 community governance missing/unrecognized scored 0; No independent verification recorded</t>
        </is>
      </c>
    </row>
    <row r="43">
      <c r="A43" s="2" t="inlineStr">
        <is>
          <t>Episciences</t>
        </is>
      </c>
      <c r="B43" s="2" t="n">
        <v>100</v>
      </c>
      <c r="C43" s="2" t="n">
        <v>100</v>
      </c>
      <c r="D43" s="2" t="n">
        <v>100</v>
      </c>
      <c r="E43" s="2" t="n">
        <v>67</v>
      </c>
      <c r="F43" s="2" t="n">
        <v>33</v>
      </c>
      <c r="G43" s="2" t="n">
        <v>100</v>
      </c>
      <c r="H43" s="2" t="n">
        <v>50</v>
      </c>
      <c r="I43" s="2" t="inlineStr">
        <is>
          <t>Recognized board or steering-body category</t>
        </is>
      </c>
      <c r="J43" s="2" t="inlineStr">
        <is>
          <t>No</t>
        </is>
      </c>
      <c r="K43" s="2" t="n">
        <v>78.57142857142857</v>
      </c>
      <c r="L43" s="2" t="n">
        <v>7</v>
      </c>
      <c r="M43" s="2" t="n">
        <v>1</v>
      </c>
      <c r="N43" s="2" t="n">
        <v>78.57142857142857</v>
      </c>
      <c r="O43" s="2" t="inlineStr">
        <is>
          <t>No independent verification recorded</t>
        </is>
      </c>
    </row>
    <row r="44">
      <c r="A44" s="2" t="inlineStr">
        <is>
          <t>EPrints</t>
        </is>
      </c>
      <c r="B44" s="2" t="n">
        <v>67</v>
      </c>
      <c r="C44" s="2" t="n">
        <v>0</v>
      </c>
      <c r="D44" s="2" t="n">
        <v>0</v>
      </c>
      <c r="E44" s="2" t="n">
        <v>67</v>
      </c>
      <c r="F44" s="2" t="n">
        <v>0</v>
      </c>
      <c r="G44" s="2" t="n">
        <v>0</v>
      </c>
      <c r="H44" s="2" t="n">
        <v>0</v>
      </c>
      <c r="I44" s="2" t="inlineStr">
        <is>
          <t>Blank or unrecognized board-structure response</t>
        </is>
      </c>
      <c r="J44" s="2" t="inlineStr">
        <is>
          <t>No</t>
        </is>
      </c>
      <c r="K44" s="2" t="n">
        <v>19.14285714285714</v>
      </c>
      <c r="L44" s="2" t="n">
        <v>2</v>
      </c>
      <c r="M44" s="2" t="n">
        <v>0.2857142857142857</v>
      </c>
      <c r="N44" s="2" t="n">
        <v>67</v>
      </c>
      <c r="O44" s="2" t="inlineStr">
        <is>
          <t>108_bylaws_status unavailable/unknown scored 0; 035_commitment_to_equity_status unavailable/unknown scored 0; 044_commitment_to_privacy_status unavailable/unknown scored 0; 048 community governance missing/unrecognized scored 0; No independent verification recorded</t>
        </is>
      </c>
    </row>
    <row r="45">
      <c r="A45" s="2" t="inlineStr">
        <is>
          <t>Érudit</t>
        </is>
      </c>
      <c r="B45" s="2" t="n">
        <v>100</v>
      </c>
      <c r="C45" s="2" t="n">
        <v>100</v>
      </c>
      <c r="D45" s="2" t="n">
        <v>100</v>
      </c>
      <c r="E45" s="2" t="n">
        <v>100</v>
      </c>
      <c r="F45" s="2" t="n">
        <v>100</v>
      </c>
      <c r="G45" s="2" t="n">
        <v>100</v>
      </c>
      <c r="H45" s="2" t="n">
        <v>100</v>
      </c>
      <c r="I45" s="2" t="inlineStr">
        <is>
          <t>Recognized board or steering-body category</t>
        </is>
      </c>
      <c r="J45" s="2" t="inlineStr">
        <is>
          <t>No</t>
        </is>
      </c>
      <c r="K45" s="2" t="n">
        <v>100</v>
      </c>
      <c r="L45" s="2" t="n">
        <v>7</v>
      </c>
      <c r="M45" s="2" t="n">
        <v>1</v>
      </c>
      <c r="N45" s="2" t="n">
        <v>100</v>
      </c>
      <c r="O45" s="2" t="inlineStr">
        <is>
          <t>No independent verification recorded</t>
        </is>
      </c>
    </row>
    <row r="46">
      <c r="A46" s="2" t="inlineStr">
        <is>
          <t>Europe PMC</t>
        </is>
      </c>
      <c r="B46" s="2" t="n">
        <v>100</v>
      </c>
      <c r="C46" s="2" t="n">
        <v>100</v>
      </c>
      <c r="D46" s="2" t="n">
        <v>100</v>
      </c>
      <c r="E46" s="2" t="n">
        <v>100</v>
      </c>
      <c r="F46" s="2" t="n">
        <v>100</v>
      </c>
      <c r="G46" s="2" t="n">
        <v>100</v>
      </c>
      <c r="H46" s="2" t="n">
        <v>100</v>
      </c>
      <c r="I46" s="2" t="inlineStr">
        <is>
          <t>Recognized board or steering-body category</t>
        </is>
      </c>
      <c r="J46" s="2" t="inlineStr">
        <is>
          <t>No</t>
        </is>
      </c>
      <c r="K46" s="2" t="n">
        <v>100</v>
      </c>
      <c r="L46" s="2" t="n">
        <v>7</v>
      </c>
      <c r="M46" s="2" t="n">
        <v>1</v>
      </c>
      <c r="N46" s="2" t="n">
        <v>100</v>
      </c>
      <c r="O46" s="2" t="inlineStr">
        <is>
          <t>No independent verification recorded</t>
        </is>
      </c>
    </row>
    <row r="47">
      <c r="A47" s="2" t="inlineStr">
        <is>
          <t>FAIR Wizard</t>
        </is>
      </c>
      <c r="B47" s="2" t="n">
        <v>67</v>
      </c>
      <c r="C47" s="2" t="n">
        <v>0</v>
      </c>
      <c r="D47" s="2" t="n">
        <v>0</v>
      </c>
      <c r="E47" s="2" t="n">
        <v>67</v>
      </c>
      <c r="F47" s="2" t="n">
        <v>33</v>
      </c>
      <c r="G47" s="2" t="n">
        <v>100</v>
      </c>
      <c r="H47" s="2" t="n">
        <v>50</v>
      </c>
      <c r="I47" s="2" t="inlineStr">
        <is>
          <t>Explicitly reports no board/steering body</t>
        </is>
      </c>
      <c r="J47" s="2" t="inlineStr">
        <is>
          <t>No</t>
        </is>
      </c>
      <c r="K47" s="2" t="n">
        <v>45.28571428571428</v>
      </c>
      <c r="L47" s="2" t="n">
        <v>7</v>
      </c>
      <c r="M47" s="2" t="n">
        <v>1</v>
      </c>
      <c r="N47" s="2" t="n">
        <v>45.28571428571428</v>
      </c>
      <c r="O47" s="2" t="inlineStr">
        <is>
          <t>No independent verification recorded</t>
        </is>
      </c>
    </row>
    <row r="48">
      <c r="A48" s="2" t="inlineStr">
        <is>
          <t>Fedora</t>
        </is>
      </c>
      <c r="B48" s="2" t="n">
        <v>100</v>
      </c>
      <c r="C48" s="2" t="n">
        <v>100</v>
      </c>
      <c r="D48" s="2" t="n">
        <v>100</v>
      </c>
      <c r="E48" s="2" t="n">
        <v>33</v>
      </c>
      <c r="F48" s="2" t="n">
        <v>100</v>
      </c>
      <c r="G48" s="2" t="n">
        <v>100</v>
      </c>
      <c r="H48" s="2" t="n">
        <v>100</v>
      </c>
      <c r="I48" s="2" t="inlineStr">
        <is>
          <t>Recognized board or steering-body category</t>
        </is>
      </c>
      <c r="J48" s="2" t="inlineStr">
        <is>
          <t>No</t>
        </is>
      </c>
      <c r="K48" s="2" t="n">
        <v>90.42857142857143</v>
      </c>
      <c r="L48" s="2" t="n">
        <v>7</v>
      </c>
      <c r="M48" s="2" t="n">
        <v>1</v>
      </c>
      <c r="N48" s="2" t="n">
        <v>90.42857142857143</v>
      </c>
      <c r="O48" s="2" t="inlineStr">
        <is>
          <t>No independent verification recorded</t>
        </is>
      </c>
    </row>
    <row r="49">
      <c r="A49" s="2" t="inlineStr">
        <is>
          <t>fido</t>
        </is>
      </c>
      <c r="B49" s="2" t="n">
        <v>100</v>
      </c>
      <c r="C49" s="2" t="n">
        <v>0</v>
      </c>
      <c r="D49" s="2" t="n">
        <v>100</v>
      </c>
      <c r="E49" s="2" t="n">
        <v>33</v>
      </c>
      <c r="F49" s="2" t="n">
        <v>67</v>
      </c>
      <c r="G49" s="2" t="n">
        <v>100</v>
      </c>
      <c r="H49" s="2" t="n">
        <v>100</v>
      </c>
      <c r="I49" s="2" t="inlineStr">
        <is>
          <t>Recognized board or steering-body category</t>
        </is>
      </c>
      <c r="J49" s="2" t="inlineStr">
        <is>
          <t>No</t>
        </is>
      </c>
      <c r="K49" s="2" t="n">
        <v>71.42857142857143</v>
      </c>
      <c r="L49" s="2" t="n">
        <v>6</v>
      </c>
      <c r="M49" s="2" t="n">
        <v>0.8571428571428571</v>
      </c>
      <c r="N49" s="2" t="n">
        <v>83.33333333333333</v>
      </c>
      <c r="O49" s="2" t="inlineStr">
        <is>
          <t>108_bylaws_status unavailable/unknown scored 0; No independent verification recorded</t>
        </is>
      </c>
    </row>
    <row r="50">
      <c r="A50" s="2" t="inlineStr">
        <is>
          <t>Fulcrum</t>
        </is>
      </c>
      <c r="B50" s="2" t="n">
        <v>100</v>
      </c>
      <c r="C50" s="2" t="n">
        <v>0</v>
      </c>
      <c r="D50" s="2" t="n">
        <v>0</v>
      </c>
      <c r="E50" s="2" t="n">
        <v>100</v>
      </c>
      <c r="F50" s="2" t="n">
        <v>100</v>
      </c>
      <c r="G50" s="2" t="n">
        <v>100</v>
      </c>
      <c r="H50" s="2" t="n">
        <v>50</v>
      </c>
      <c r="I50" s="2" t="inlineStr">
        <is>
          <t>Other response needs review; no qualifying governance body established</t>
        </is>
      </c>
      <c r="J50" s="2" t="inlineStr">
        <is>
          <t>Yes</t>
        </is>
      </c>
      <c r="K50" s="2" t="n">
        <v>64.28571428571429</v>
      </c>
      <c r="L50" s="2" t="n">
        <v>6</v>
      </c>
      <c r="M50" s="2" t="n">
        <v>0.8571428571428571</v>
      </c>
      <c r="N50" s="2" t="n">
        <v>75</v>
      </c>
      <c r="O50" s="2" t="inlineStr">
        <is>
          <t>Review 050 Other response; override available; 108_bylaws_status unavailable/unknown scored 0; No independent verification recorded</t>
        </is>
      </c>
    </row>
    <row r="51">
      <c r="A51" s="2" t="inlineStr">
        <is>
          <t>Galaxy</t>
        </is>
      </c>
      <c r="B51" s="2" t="n">
        <v>100</v>
      </c>
      <c r="C51" s="2" t="n">
        <v>100</v>
      </c>
      <c r="D51" s="2" t="n">
        <v>100</v>
      </c>
      <c r="E51" s="2" t="n">
        <v>67</v>
      </c>
      <c r="F51" s="2" t="n">
        <v>100</v>
      </c>
      <c r="G51" s="2" t="n">
        <v>100</v>
      </c>
      <c r="H51" s="2" t="n">
        <v>100</v>
      </c>
      <c r="I51" s="2" t="inlineStr">
        <is>
          <t>Recognized board or steering-body category</t>
        </is>
      </c>
      <c r="J51" s="2" t="inlineStr">
        <is>
          <t>No</t>
        </is>
      </c>
      <c r="K51" s="2" t="n">
        <v>95.28571428571429</v>
      </c>
      <c r="L51" s="2" t="n">
        <v>7</v>
      </c>
      <c r="M51" s="2" t="n">
        <v>1</v>
      </c>
      <c r="N51" s="2" t="n">
        <v>95.28571428571429</v>
      </c>
      <c r="O51" s="2" t="inlineStr">
        <is>
          <t>No independent verification recorded</t>
        </is>
      </c>
    </row>
    <row r="52">
      <c r="A52" s="2" t="inlineStr">
        <is>
          <t>GeoServer</t>
        </is>
      </c>
      <c r="B52" s="2" t="n">
        <v>100</v>
      </c>
      <c r="C52" s="2" t="n">
        <v>100</v>
      </c>
      <c r="D52" s="2" t="n">
        <v>100</v>
      </c>
      <c r="E52" s="2" t="n">
        <v>0</v>
      </c>
      <c r="F52" s="2" t="n">
        <v>0</v>
      </c>
      <c r="G52" s="2" t="n">
        <v>0</v>
      </c>
      <c r="H52" s="2" t="n">
        <v>100</v>
      </c>
      <c r="I52" s="2" t="inlineStr">
        <is>
          <t>Recognized board or steering-body category</t>
        </is>
      </c>
      <c r="J52" s="2" t="inlineStr">
        <is>
          <t>No</t>
        </is>
      </c>
      <c r="K52" s="2" t="n">
        <v>57.14285714285715</v>
      </c>
      <c r="L52" s="2" t="n">
        <v>7</v>
      </c>
      <c r="M52" s="2" t="n">
        <v>1</v>
      </c>
      <c r="N52" s="2" t="n">
        <v>57.14285714285715</v>
      </c>
      <c r="O52" s="2" t="inlineStr">
        <is>
          <t>No independent verification recorded</t>
        </is>
      </c>
    </row>
    <row r="53">
      <c r="A53" s="2" t="inlineStr">
        <is>
          <t>Hyku</t>
        </is>
      </c>
      <c r="B53" s="2" t="n">
        <v>100</v>
      </c>
      <c r="C53" s="2" t="n">
        <v>100</v>
      </c>
      <c r="D53" s="2" t="n">
        <v>100</v>
      </c>
      <c r="E53" s="2" t="n">
        <v>100</v>
      </c>
      <c r="F53" s="2" t="n">
        <v>33</v>
      </c>
      <c r="G53" s="2" t="n">
        <v>100</v>
      </c>
      <c r="H53" s="2" t="n">
        <v>100</v>
      </c>
      <c r="I53" s="2" t="inlineStr">
        <is>
          <t>Recognized board or steering-body category</t>
        </is>
      </c>
      <c r="J53" s="2" t="inlineStr">
        <is>
          <t>No</t>
        </is>
      </c>
      <c r="K53" s="2" t="n">
        <v>90.42857142857143</v>
      </c>
      <c r="L53" s="2" t="n">
        <v>7</v>
      </c>
      <c r="M53" s="2" t="n">
        <v>1</v>
      </c>
      <c r="N53" s="2" t="n">
        <v>90.42857142857143</v>
      </c>
      <c r="O53" s="2" t="inlineStr">
        <is>
          <t>No independent verification recorded</t>
        </is>
      </c>
    </row>
    <row r="54">
      <c r="A54" s="2" t="inlineStr">
        <is>
          <t>Hyrax</t>
        </is>
      </c>
      <c r="B54" s="2" t="n">
        <v>100</v>
      </c>
      <c r="C54" s="2" t="n">
        <v>100</v>
      </c>
      <c r="D54" s="2" t="n">
        <v>100</v>
      </c>
      <c r="E54" s="2" t="n">
        <v>67</v>
      </c>
      <c r="F54" s="2" t="n">
        <v>67</v>
      </c>
      <c r="G54" s="2" t="n">
        <v>67</v>
      </c>
      <c r="H54" s="2" t="n">
        <v>100</v>
      </c>
      <c r="I54" s="2" t="inlineStr">
        <is>
          <t>Recognized board or steering-body category</t>
        </is>
      </c>
      <c r="J54" s="2" t="inlineStr">
        <is>
          <t>No</t>
        </is>
      </c>
      <c r="K54" s="2" t="n">
        <v>85.85714285714286</v>
      </c>
      <c r="L54" s="2" t="n">
        <v>7</v>
      </c>
      <c r="M54" s="2" t="n">
        <v>1</v>
      </c>
      <c r="N54" s="2" t="n">
        <v>85.85714285714286</v>
      </c>
      <c r="O54" s="2" t="inlineStr">
        <is>
          <t>No independent verification recorded</t>
        </is>
      </c>
    </row>
    <row r="55">
      <c r="A55" s="2" t="inlineStr">
        <is>
          <t>IIIF</t>
        </is>
      </c>
      <c r="B55" s="2" t="n">
        <v>100</v>
      </c>
      <c r="C55" s="2" t="n">
        <v>100</v>
      </c>
      <c r="D55" s="2" t="n">
        <v>100</v>
      </c>
      <c r="E55" s="2" t="n">
        <v>0</v>
      </c>
      <c r="F55" s="2" t="n">
        <v>100</v>
      </c>
      <c r="G55" s="2" t="n">
        <v>100</v>
      </c>
      <c r="H55" s="2" t="n">
        <v>100</v>
      </c>
      <c r="I55" s="2" t="inlineStr">
        <is>
          <t>Recognized board or steering-body category</t>
        </is>
      </c>
      <c r="J55" s="2" t="inlineStr">
        <is>
          <t>No</t>
        </is>
      </c>
      <c r="K55" s="2" t="n">
        <v>85.71428571428571</v>
      </c>
      <c r="L55" s="2" t="n">
        <v>6</v>
      </c>
      <c r="M55" s="2" t="n">
        <v>0.8571428571428571</v>
      </c>
      <c r="N55" s="2" t="n">
        <v>100</v>
      </c>
      <c r="O55" s="2" t="inlineStr">
        <is>
          <t>029_web_accessibility_status unavailable/unknown scored 0; No independent verification recorded</t>
        </is>
      </c>
    </row>
    <row r="56">
      <c r="A56" s="2" t="inlineStr">
        <is>
          <t>ImpactU</t>
        </is>
      </c>
      <c r="B56" s="2" t="n">
        <v>0</v>
      </c>
      <c r="C56" s="2" t="n">
        <v>0</v>
      </c>
      <c r="D56" s="2" t="n">
        <v>0</v>
      </c>
      <c r="E56" s="2" t="n">
        <v>0</v>
      </c>
      <c r="F56" s="2" t="n">
        <v>0</v>
      </c>
      <c r="G56" s="2" t="n">
        <v>0</v>
      </c>
      <c r="H56" s="2" t="n">
        <v>0</v>
      </c>
      <c r="I56" s="2" t="inlineStr">
        <is>
          <t>Explicitly reports no board/steering body</t>
        </is>
      </c>
      <c r="J56" s="2" t="inlineStr">
        <is>
          <t>No</t>
        </is>
      </c>
      <c r="K56" s="2" t="n">
        <v>0</v>
      </c>
      <c r="L56" s="2" t="n">
        <v>2</v>
      </c>
      <c r="M56" s="2" t="n">
        <v>0.2857142857142857</v>
      </c>
      <c r="N56" s="2" t="n">
        <v>0</v>
      </c>
      <c r="O56" s="2" t="inlineStr">
        <is>
          <t>024_governance_structure_status unavailable/unknown scored 0; 108_bylaws_status unavailable/unknown scored 0; 029_web_accessibility_status unavailable/unknown scored 0; 035_commitment_to_equity_status unavailable/unknown scored 0; 044_commitment_to_privacy_status unavailable/unknown scored 0; No independent verification recorded</t>
        </is>
      </c>
    </row>
    <row r="57">
      <c r="A57" s="2" t="inlineStr">
        <is>
          <t>International Generic Sample Number (IGSN)</t>
        </is>
      </c>
      <c r="B57" s="2" t="n">
        <v>100</v>
      </c>
      <c r="C57" s="2" t="n">
        <v>100</v>
      </c>
      <c r="D57" s="2" t="n">
        <v>100</v>
      </c>
      <c r="E57" s="2" t="n">
        <v>67</v>
      </c>
      <c r="F57" s="2" t="n">
        <v>33</v>
      </c>
      <c r="G57" s="2" t="n">
        <v>33</v>
      </c>
      <c r="H57" s="2" t="n">
        <v>0</v>
      </c>
      <c r="I57" s="2" t="inlineStr">
        <is>
          <t>Recognized board or steering-body category</t>
        </is>
      </c>
      <c r="J57" s="2" t="inlineStr">
        <is>
          <t>No</t>
        </is>
      </c>
      <c r="K57" s="2" t="n">
        <v>61.85714285714285</v>
      </c>
      <c r="L57" s="2" t="n">
        <v>6</v>
      </c>
      <c r="M57" s="2" t="n">
        <v>0.8571428571428571</v>
      </c>
      <c r="N57" s="2" t="n">
        <v>72.16666666666667</v>
      </c>
      <c r="O57" s="2" t="inlineStr">
        <is>
          <t>048 community governance missing/unrecognized scored 0; No independent verification recorded</t>
        </is>
      </c>
    </row>
    <row r="58">
      <c r="A58" s="2" t="inlineStr">
        <is>
          <t>InvenioRDM</t>
        </is>
      </c>
      <c r="B58" s="2" t="n">
        <v>100</v>
      </c>
      <c r="C58" s="2" t="n">
        <v>100</v>
      </c>
      <c r="D58" s="2" t="n">
        <v>100</v>
      </c>
      <c r="E58" s="2" t="n">
        <v>67</v>
      </c>
      <c r="F58" s="2" t="n">
        <v>100</v>
      </c>
      <c r="G58" s="2" t="n">
        <v>0</v>
      </c>
      <c r="H58" s="2" t="n">
        <v>100</v>
      </c>
      <c r="I58" s="2" t="inlineStr">
        <is>
          <t>Recognized board or steering-body category</t>
        </is>
      </c>
      <c r="J58" s="2" t="inlineStr">
        <is>
          <t>No</t>
        </is>
      </c>
      <c r="K58" s="2" t="n">
        <v>81</v>
      </c>
      <c r="L58" s="2" t="n">
        <v>6</v>
      </c>
      <c r="M58" s="2" t="n">
        <v>0.8571428571428571</v>
      </c>
      <c r="N58" s="2" t="n">
        <v>94.5</v>
      </c>
      <c r="O58" s="2" t="inlineStr">
        <is>
          <t>044_commitment_to_privacy_status unavailable/unknown scored 0; No independent verification recorded</t>
        </is>
      </c>
    </row>
    <row r="59">
      <c r="A59" s="2" t="inlineStr">
        <is>
          <t>iRODS</t>
        </is>
      </c>
      <c r="B59" s="2" t="n">
        <v>100</v>
      </c>
      <c r="C59" s="2" t="n">
        <v>100</v>
      </c>
      <c r="D59" s="2" t="n">
        <v>100</v>
      </c>
      <c r="E59" s="2" t="n">
        <v>0</v>
      </c>
      <c r="F59" s="2" t="n">
        <v>0</v>
      </c>
      <c r="G59" s="2" t="n">
        <v>0</v>
      </c>
      <c r="H59" s="2" t="n">
        <v>50</v>
      </c>
      <c r="I59" s="2" t="inlineStr">
        <is>
          <t>Recognized board or steering-body category</t>
        </is>
      </c>
      <c r="J59" s="2" t="inlineStr">
        <is>
          <t>No</t>
        </is>
      </c>
      <c r="K59" s="2" t="n">
        <v>50</v>
      </c>
      <c r="L59" s="2" t="n">
        <v>7</v>
      </c>
      <c r="M59" s="2" t="n">
        <v>1</v>
      </c>
      <c r="N59" s="2" t="n">
        <v>50</v>
      </c>
      <c r="O59" s="2" t="inlineStr">
        <is>
          <t>No independent verification recorded</t>
        </is>
      </c>
    </row>
    <row r="60">
      <c r="A60" s="2" t="inlineStr">
        <is>
          <t>Islandora</t>
        </is>
      </c>
      <c r="B60" s="2" t="n">
        <v>100</v>
      </c>
      <c r="C60" s="2" t="n">
        <v>100</v>
      </c>
      <c r="D60" s="2" t="n">
        <v>100</v>
      </c>
      <c r="E60" s="2" t="n">
        <v>100</v>
      </c>
      <c r="F60" s="2" t="n">
        <v>100</v>
      </c>
      <c r="G60" s="2" t="n">
        <v>0</v>
      </c>
      <c r="H60" s="2" t="n">
        <v>0</v>
      </c>
      <c r="I60" s="2" t="inlineStr">
        <is>
          <t>Recognized board or steering-body category</t>
        </is>
      </c>
      <c r="J60" s="2" t="inlineStr">
        <is>
          <t>No</t>
        </is>
      </c>
      <c r="K60" s="2" t="n">
        <v>71.42857142857143</v>
      </c>
      <c r="L60" s="2" t="n">
        <v>6</v>
      </c>
      <c r="M60" s="2" t="n">
        <v>0.8571428571428571</v>
      </c>
      <c r="N60" s="2" t="n">
        <v>83.33333333333333</v>
      </c>
      <c r="O60" s="2" t="inlineStr">
        <is>
          <t>044_commitment_to_privacy_status unavailable/unknown scored 0; No independent verification recorded</t>
        </is>
      </c>
    </row>
    <row r="61">
      <c r="A61" s="2" t="inlineStr">
        <is>
          <t>Janeway</t>
        </is>
      </c>
      <c r="B61" s="2" t="n">
        <v>67</v>
      </c>
      <c r="C61" s="2" t="n">
        <v>0</v>
      </c>
      <c r="D61" s="2" t="n">
        <v>100</v>
      </c>
      <c r="E61" s="2" t="n">
        <v>100</v>
      </c>
      <c r="F61" s="2" t="n">
        <v>100</v>
      </c>
      <c r="G61" s="2" t="n">
        <v>100</v>
      </c>
      <c r="H61" s="2" t="n">
        <v>50</v>
      </c>
      <c r="I61" s="2" t="inlineStr">
        <is>
          <t>Recognized board or steering-body category</t>
        </is>
      </c>
      <c r="J61" s="2" t="inlineStr">
        <is>
          <t>No</t>
        </is>
      </c>
      <c r="K61" s="2" t="n">
        <v>73.85714285714286</v>
      </c>
      <c r="L61" s="2" t="n">
        <v>6</v>
      </c>
      <c r="M61" s="2" t="n">
        <v>0.8571428571428571</v>
      </c>
      <c r="N61" s="2" t="n">
        <v>86.16666666666667</v>
      </c>
      <c r="O61" s="2" t="inlineStr">
        <is>
          <t>108_bylaws_status unavailable/unknown scored 0; No independent verification recorded</t>
        </is>
      </c>
    </row>
    <row r="62">
      <c r="A62" s="2" t="inlineStr">
        <is>
          <t>JHOVE</t>
        </is>
      </c>
      <c r="B62" s="2" t="n">
        <v>100</v>
      </c>
      <c r="C62" s="2" t="n">
        <v>0</v>
      </c>
      <c r="D62" s="2" t="n">
        <v>100</v>
      </c>
      <c r="E62" s="2" t="n">
        <v>67</v>
      </c>
      <c r="F62" s="2" t="n">
        <v>67</v>
      </c>
      <c r="G62" s="2" t="n">
        <v>100</v>
      </c>
      <c r="H62" s="2" t="n">
        <v>50</v>
      </c>
      <c r="I62" s="2" t="inlineStr">
        <is>
          <t>Recognized board or steering-body category</t>
        </is>
      </c>
      <c r="J62" s="2" t="inlineStr">
        <is>
          <t>No</t>
        </is>
      </c>
      <c r="K62" s="2" t="n">
        <v>69.14285714285714</v>
      </c>
      <c r="L62" s="2" t="n">
        <v>7</v>
      </c>
      <c r="M62" s="2" t="n">
        <v>1</v>
      </c>
      <c r="N62" s="2" t="n">
        <v>69.14285714285714</v>
      </c>
      <c r="O62" s="2" t="inlineStr">
        <is>
          <t>No independent verification recorded</t>
        </is>
      </c>
    </row>
    <row r="63">
      <c r="A63" s="2" t="inlineStr">
        <is>
          <t>LA Referencia</t>
        </is>
      </c>
      <c r="B63" s="2" t="n">
        <v>100</v>
      </c>
      <c r="C63" s="2" t="n">
        <v>0</v>
      </c>
      <c r="D63" s="2" t="n">
        <v>100</v>
      </c>
      <c r="E63" s="2" t="n">
        <v>33</v>
      </c>
      <c r="F63" s="2" t="n">
        <v>33</v>
      </c>
      <c r="G63" s="2" t="n">
        <v>67</v>
      </c>
      <c r="H63" s="2" t="n">
        <v>100</v>
      </c>
      <c r="I63" s="2" t="inlineStr">
        <is>
          <t>Recognized board or steering-body category</t>
        </is>
      </c>
      <c r="J63" s="2" t="inlineStr">
        <is>
          <t>No</t>
        </is>
      </c>
      <c r="K63" s="2" t="n">
        <v>61.85714285714285</v>
      </c>
      <c r="L63" s="2" t="n">
        <v>6</v>
      </c>
      <c r="M63" s="2" t="n">
        <v>0.8571428571428571</v>
      </c>
      <c r="N63" s="2" t="n">
        <v>72.16666666666667</v>
      </c>
      <c r="O63" s="2" t="inlineStr">
        <is>
          <t>108_bylaws_status unavailable/unknown scored 0; No independent verification recorded</t>
        </is>
      </c>
    </row>
    <row r="64">
      <c r="A64" s="2" t="inlineStr">
        <is>
          <t>Manifold</t>
        </is>
      </c>
      <c r="B64" s="2" t="n">
        <v>0</v>
      </c>
      <c r="C64" s="2" t="n">
        <v>0</v>
      </c>
      <c r="D64" s="2" t="n">
        <v>100</v>
      </c>
      <c r="E64" s="2" t="n">
        <v>100</v>
      </c>
      <c r="F64" s="2" t="n">
        <v>67</v>
      </c>
      <c r="G64" s="2" t="n">
        <v>0</v>
      </c>
      <c r="H64" s="2" t="n">
        <v>0</v>
      </c>
      <c r="I64" s="2" t="inlineStr">
        <is>
          <t>Recognized board or steering-body category</t>
        </is>
      </c>
      <c r="J64" s="2" t="inlineStr">
        <is>
          <t>No</t>
        </is>
      </c>
      <c r="K64" s="2" t="n">
        <v>38.14285714285715</v>
      </c>
      <c r="L64" s="2" t="n">
        <v>4</v>
      </c>
      <c r="M64" s="2" t="n">
        <v>0.5714285714285714</v>
      </c>
      <c r="N64" s="2" t="n">
        <v>66.75</v>
      </c>
      <c r="O64" s="2" t="inlineStr">
        <is>
          <t>024_governance_structure_status unavailable/unknown scored 0; 108_bylaws_status unavailable/unknown scored 0; 044_commitment_to_privacy_status unavailable/unknown scored 0; No independent verification recorded</t>
        </is>
      </c>
    </row>
    <row r="65">
      <c r="A65" s="2" t="inlineStr">
        <is>
          <t>medRxiv</t>
        </is>
      </c>
      <c r="B65" s="2" t="n">
        <v>67</v>
      </c>
      <c r="C65" s="2" t="n">
        <v>0</v>
      </c>
      <c r="D65" s="2" t="n">
        <v>100</v>
      </c>
      <c r="E65" s="2" t="n">
        <v>33</v>
      </c>
      <c r="F65" s="2" t="n">
        <v>67</v>
      </c>
      <c r="G65" s="2" t="n">
        <v>100</v>
      </c>
      <c r="H65" s="2" t="n">
        <v>50</v>
      </c>
      <c r="I65" s="2" t="inlineStr">
        <is>
          <t>Recognized board or steering-body category</t>
        </is>
      </c>
      <c r="J65" s="2" t="inlineStr">
        <is>
          <t>No</t>
        </is>
      </c>
      <c r="K65" s="2" t="n">
        <v>59.57142857142857</v>
      </c>
      <c r="L65" s="2" t="n">
        <v>6</v>
      </c>
      <c r="M65" s="2" t="n">
        <v>0.8571428571428571</v>
      </c>
      <c r="N65" s="2" t="n">
        <v>69.5</v>
      </c>
      <c r="O65" s="2" t="inlineStr">
        <is>
          <t>108_bylaws_status unavailable/unknown scored 0; No independent verification recorded</t>
        </is>
      </c>
    </row>
    <row r="66">
      <c r="A66" s="2" t="inlineStr">
        <is>
          <t>Metadata Encoding and Transmission Standard (METS)</t>
        </is>
      </c>
      <c r="B66" s="2" t="n">
        <v>100</v>
      </c>
      <c r="C66" s="2" t="n">
        <v>100</v>
      </c>
      <c r="D66" s="2" t="n">
        <v>100</v>
      </c>
      <c r="E66" s="2" t="n">
        <v>0</v>
      </c>
      <c r="F66" s="2" t="n">
        <v>0</v>
      </c>
      <c r="G66" s="2" t="n">
        <v>0</v>
      </c>
      <c r="H66" s="2" t="n">
        <v>50</v>
      </c>
      <c r="I66" s="2" t="inlineStr">
        <is>
          <t>Recognized board or steering-body category</t>
        </is>
      </c>
      <c r="J66" s="2" t="inlineStr">
        <is>
          <t>No</t>
        </is>
      </c>
      <c r="K66" s="2" t="n">
        <v>50</v>
      </c>
      <c r="L66" s="2" t="n">
        <v>7</v>
      </c>
      <c r="M66" s="2" t="n">
        <v>1</v>
      </c>
      <c r="N66" s="2" t="n">
        <v>50</v>
      </c>
      <c r="O66" s="2" t="inlineStr">
        <is>
          <t>No independent verification recorded</t>
        </is>
      </c>
    </row>
    <row r="67">
      <c r="A67" s="2" t="inlineStr">
        <is>
          <t>Mirador</t>
        </is>
      </c>
      <c r="B67" s="2" t="n">
        <v>33</v>
      </c>
      <c r="C67" s="2" t="n">
        <v>0</v>
      </c>
      <c r="D67" s="2" t="n">
        <v>0</v>
      </c>
      <c r="E67" s="2" t="n">
        <v>100</v>
      </c>
      <c r="F67" s="2" t="n">
        <v>100</v>
      </c>
      <c r="G67" s="2" t="n">
        <v>0</v>
      </c>
      <c r="H67" s="2" t="n">
        <v>50</v>
      </c>
      <c r="I67" s="2" t="inlineStr">
        <is>
          <t>Explicitly reports no board/steering body</t>
        </is>
      </c>
      <c r="J67" s="2" t="inlineStr">
        <is>
          <t>No</t>
        </is>
      </c>
      <c r="K67" s="2" t="n">
        <v>40.42857142857143</v>
      </c>
      <c r="L67" s="2" t="n">
        <v>5</v>
      </c>
      <c r="M67" s="2" t="n">
        <v>0.7142857142857143</v>
      </c>
      <c r="N67" s="2" t="n">
        <v>56.6</v>
      </c>
      <c r="O67" s="2" t="inlineStr">
        <is>
          <t>108_bylaws_status unavailable/unknown scored 0; 044_commitment_to_privacy_status unavailable/unknown scored 0; No independent verification recorded</t>
        </is>
      </c>
    </row>
    <row r="68">
      <c r="A68" s="2" t="inlineStr">
        <is>
          <t>Mukurtu CMS</t>
        </is>
      </c>
      <c r="B68" s="2" t="n">
        <v>67</v>
      </c>
      <c r="C68" s="2" t="n">
        <v>0</v>
      </c>
      <c r="D68" s="2" t="n">
        <v>100</v>
      </c>
      <c r="E68" s="2" t="n">
        <v>67</v>
      </c>
      <c r="F68" s="2" t="n">
        <v>100</v>
      </c>
      <c r="G68" s="2" t="n">
        <v>100</v>
      </c>
      <c r="H68" s="2" t="n">
        <v>50</v>
      </c>
      <c r="I68" s="2" t="inlineStr">
        <is>
          <t>Recognized board or steering-body category</t>
        </is>
      </c>
      <c r="J68" s="2" t="inlineStr">
        <is>
          <t>No</t>
        </is>
      </c>
      <c r="K68" s="2" t="n">
        <v>69.14285714285714</v>
      </c>
      <c r="L68" s="2" t="n">
        <v>6</v>
      </c>
      <c r="M68" s="2" t="n">
        <v>0.8571428571428571</v>
      </c>
      <c r="N68" s="2" t="n">
        <v>80.66666666666667</v>
      </c>
      <c r="O68" s="2" t="inlineStr">
        <is>
          <t>108_bylaws_status unavailable/unknown scored 0; No independent verification recorded</t>
        </is>
      </c>
    </row>
    <row r="69">
      <c r="A69" s="2" t="inlineStr">
        <is>
          <t>MyCoRe</t>
        </is>
      </c>
      <c r="B69" s="2" t="n">
        <v>0</v>
      </c>
      <c r="C69" s="2" t="n">
        <v>0</v>
      </c>
      <c r="D69" s="2" t="n">
        <v>0</v>
      </c>
      <c r="E69" s="2" t="n">
        <v>100</v>
      </c>
      <c r="F69" s="2" t="n">
        <v>0</v>
      </c>
      <c r="G69" s="2" t="n">
        <v>100</v>
      </c>
      <c r="H69" s="2" t="n">
        <v>50</v>
      </c>
      <c r="I69" s="2" t="inlineStr">
        <is>
          <t>Explicitly reports no board/steering body</t>
        </is>
      </c>
      <c r="J69" s="2" t="inlineStr">
        <is>
          <t>No</t>
        </is>
      </c>
      <c r="K69" s="2" t="n">
        <v>35.71428571428572</v>
      </c>
      <c r="L69" s="2" t="n">
        <v>6</v>
      </c>
      <c r="M69" s="2" t="n">
        <v>0.8571428571428571</v>
      </c>
      <c r="N69" s="2" t="n">
        <v>41.66666666666666</v>
      </c>
      <c r="O69" s="2" t="inlineStr">
        <is>
          <t>035_commitment_to_equity_status unavailable/unknown scored 0; No independent verification recorded</t>
        </is>
      </c>
    </row>
    <row r="70">
      <c r="A70" s="2" t="inlineStr">
        <is>
          <t>NumPy</t>
        </is>
      </c>
      <c r="B70" s="2" t="n">
        <v>100</v>
      </c>
      <c r="C70" s="2" t="n">
        <v>100</v>
      </c>
      <c r="D70" s="2" t="n">
        <v>100</v>
      </c>
      <c r="E70" s="2" t="n">
        <v>67</v>
      </c>
      <c r="F70" s="2" t="n">
        <v>67</v>
      </c>
      <c r="G70" s="2" t="n">
        <v>0</v>
      </c>
      <c r="H70" s="2" t="n">
        <v>100</v>
      </c>
      <c r="I70" s="2" t="inlineStr">
        <is>
          <t>Recognized board or steering-body category</t>
        </is>
      </c>
      <c r="J70" s="2" t="inlineStr">
        <is>
          <t>No</t>
        </is>
      </c>
      <c r="K70" s="2" t="n">
        <v>76.28571428571429</v>
      </c>
      <c r="L70" s="2" t="n">
        <v>7</v>
      </c>
      <c r="M70" s="2" t="n">
        <v>1</v>
      </c>
      <c r="N70" s="2" t="n">
        <v>76.28571428571429</v>
      </c>
      <c r="O70" s="2" t="inlineStr">
        <is>
          <t>No independent verification recorded</t>
        </is>
      </c>
    </row>
    <row r="71">
      <c r="A71" s="2" t="inlineStr">
        <is>
          <t>OA.Report</t>
        </is>
      </c>
      <c r="B71" s="2" t="n">
        <v>100</v>
      </c>
      <c r="C71" s="2" t="n">
        <v>100</v>
      </c>
      <c r="D71" s="2" t="n">
        <v>100</v>
      </c>
      <c r="E71" s="2" t="n">
        <v>100</v>
      </c>
      <c r="F71" s="2" t="n">
        <v>33</v>
      </c>
      <c r="G71" s="2" t="n">
        <v>100</v>
      </c>
      <c r="H71" s="2" t="n">
        <v>100</v>
      </c>
      <c r="I71" s="2" t="inlineStr">
        <is>
          <t>Recognized board or steering-body category</t>
        </is>
      </c>
      <c r="J71" s="2" t="inlineStr">
        <is>
          <t>No</t>
        </is>
      </c>
      <c r="K71" s="2" t="n">
        <v>90.42857142857143</v>
      </c>
      <c r="L71" s="2" t="n">
        <v>7</v>
      </c>
      <c r="M71" s="2" t="n">
        <v>1</v>
      </c>
      <c r="N71" s="2" t="n">
        <v>90.42857142857143</v>
      </c>
      <c r="O71" s="2" t="inlineStr">
        <is>
          <t>No independent verification recorded</t>
        </is>
      </c>
    </row>
    <row r="72">
      <c r="A72" s="2" t="inlineStr">
        <is>
          <t>OA Switchboard</t>
        </is>
      </c>
      <c r="B72" s="2" t="n">
        <v>100</v>
      </c>
      <c r="C72" s="2" t="n">
        <v>100</v>
      </c>
      <c r="D72" s="2" t="n">
        <v>0</v>
      </c>
      <c r="E72" s="2" t="n">
        <v>0</v>
      </c>
      <c r="F72" s="2" t="n">
        <v>100</v>
      </c>
      <c r="G72" s="2" t="n">
        <v>100</v>
      </c>
      <c r="H72" s="2" t="n">
        <v>100</v>
      </c>
      <c r="I72" s="2" t="inlineStr">
        <is>
          <t>Blank or unrecognized board-structure response</t>
        </is>
      </c>
      <c r="J72" s="2" t="inlineStr">
        <is>
          <t>No</t>
        </is>
      </c>
      <c r="K72" s="2" t="n">
        <v>71.42857142857143</v>
      </c>
      <c r="L72" s="2" t="n">
        <v>5</v>
      </c>
      <c r="M72" s="2" t="n">
        <v>0.7142857142857143</v>
      </c>
      <c r="N72" s="2" t="n">
        <v>100</v>
      </c>
      <c r="O72" s="2" t="inlineStr">
        <is>
          <t>029_web_accessibility_status unavailable/unknown scored 0; No independent verification recorded</t>
        </is>
      </c>
    </row>
    <row r="73">
      <c r="A73" s="2" t="inlineStr">
        <is>
          <t>Omeka</t>
        </is>
      </c>
      <c r="B73" s="2" t="n">
        <v>100</v>
      </c>
      <c r="C73" s="2" t="n">
        <v>100</v>
      </c>
      <c r="D73" s="2" t="n">
        <v>100</v>
      </c>
      <c r="E73" s="2" t="n">
        <v>100</v>
      </c>
      <c r="F73" s="2" t="n">
        <v>67</v>
      </c>
      <c r="G73" s="2" t="n">
        <v>100</v>
      </c>
      <c r="H73" s="2" t="n">
        <v>50</v>
      </c>
      <c r="I73" s="2" t="inlineStr">
        <is>
          <t>Recognized board or steering-body category</t>
        </is>
      </c>
      <c r="J73" s="2" t="inlineStr">
        <is>
          <t>No</t>
        </is>
      </c>
      <c r="K73" s="2" t="n">
        <v>88.14285714285714</v>
      </c>
      <c r="L73" s="2" t="n">
        <v>7</v>
      </c>
      <c r="M73" s="2" t="n">
        <v>1</v>
      </c>
      <c r="N73" s="2" t="n">
        <v>88.14285714285714</v>
      </c>
      <c r="O73" s="2" t="inlineStr">
        <is>
          <t>No independent verification recorded</t>
        </is>
      </c>
    </row>
    <row r="74">
      <c r="A74" s="2" t="inlineStr">
        <is>
          <t>OpenAIRE Graph</t>
        </is>
      </c>
      <c r="B74" s="2" t="n">
        <v>100</v>
      </c>
      <c r="C74" s="2" t="n">
        <v>100</v>
      </c>
      <c r="D74" s="2" t="n">
        <v>100</v>
      </c>
      <c r="E74" s="2" t="n">
        <v>33</v>
      </c>
      <c r="F74" s="2" t="n">
        <v>100</v>
      </c>
      <c r="G74" s="2" t="n">
        <v>100</v>
      </c>
      <c r="H74" s="2" t="n">
        <v>100</v>
      </c>
      <c r="I74" s="2" t="inlineStr">
        <is>
          <t>Recognized board or steering-body category</t>
        </is>
      </c>
      <c r="J74" s="2" t="inlineStr">
        <is>
          <t>No</t>
        </is>
      </c>
      <c r="K74" s="2" t="n">
        <v>90.42857142857143</v>
      </c>
      <c r="L74" s="2" t="n">
        <v>7</v>
      </c>
      <c r="M74" s="2" t="n">
        <v>1</v>
      </c>
      <c r="N74" s="2" t="n">
        <v>90.42857142857143</v>
      </c>
      <c r="O74" s="2" t="inlineStr">
        <is>
          <t>No independent verification recorded</t>
        </is>
      </c>
    </row>
    <row r="75">
      <c r="A75" s="2" t="inlineStr">
        <is>
          <t>OpenAlex</t>
        </is>
      </c>
      <c r="B75" s="2" t="n">
        <v>100</v>
      </c>
      <c r="C75" s="2" t="n">
        <v>0</v>
      </c>
      <c r="D75" s="2" t="n">
        <v>100</v>
      </c>
      <c r="E75" s="2" t="n">
        <v>100</v>
      </c>
      <c r="F75" s="2" t="n">
        <v>33</v>
      </c>
      <c r="G75" s="2" t="n">
        <v>100</v>
      </c>
      <c r="H75" s="2" t="n">
        <v>100</v>
      </c>
      <c r="I75" s="2" t="inlineStr">
        <is>
          <t>Recognized board or steering-body category</t>
        </is>
      </c>
      <c r="J75" s="2" t="inlineStr">
        <is>
          <t>No</t>
        </is>
      </c>
      <c r="K75" s="2" t="n">
        <v>76.14285714285714</v>
      </c>
      <c r="L75" s="2" t="n">
        <v>6</v>
      </c>
      <c r="M75" s="2" t="n">
        <v>0.8571428571428571</v>
      </c>
      <c r="N75" s="2" t="n">
        <v>88.83333333333333</v>
      </c>
      <c r="O75" s="2" t="inlineStr">
        <is>
          <t>108_bylaws_status unavailable/unknown scored 0; No independent verification recorded</t>
        </is>
      </c>
    </row>
    <row r="76">
      <c r="A76" s="2" t="inlineStr">
        <is>
          <t>OpenAPC</t>
        </is>
      </c>
      <c r="B76" s="2" t="n">
        <v>0</v>
      </c>
      <c r="C76" s="2" t="n">
        <v>0</v>
      </c>
      <c r="D76" s="2" t="n">
        <v>0</v>
      </c>
      <c r="E76" s="2" t="n">
        <v>0</v>
      </c>
      <c r="F76" s="2" t="n">
        <v>100</v>
      </c>
      <c r="G76" s="2" t="n">
        <v>0</v>
      </c>
      <c r="H76" s="2" t="n">
        <v>0</v>
      </c>
      <c r="I76" s="2" t="inlineStr">
        <is>
          <t>Explicitly reports no board/steering body</t>
        </is>
      </c>
      <c r="J76" s="2" t="inlineStr">
        <is>
          <t>No</t>
        </is>
      </c>
      <c r="K76" s="2" t="n">
        <v>14.28571428571429</v>
      </c>
      <c r="L76" s="2" t="n">
        <v>7</v>
      </c>
      <c r="M76" s="2" t="n">
        <v>1</v>
      </c>
      <c r="N76" s="2" t="n">
        <v>14.28571428571429</v>
      </c>
      <c r="O76" s="2" t="inlineStr">
        <is>
          <t>No independent verification recorded</t>
        </is>
      </c>
    </row>
    <row r="77">
      <c r="A77" s="2" t="inlineStr">
        <is>
          <t>OpenCitations</t>
        </is>
      </c>
      <c r="B77" s="2" t="n">
        <v>100</v>
      </c>
      <c r="C77" s="2" t="n">
        <v>100</v>
      </c>
      <c r="D77" s="2" t="n">
        <v>100</v>
      </c>
      <c r="E77" s="2" t="n">
        <v>33</v>
      </c>
      <c r="F77" s="2" t="n">
        <v>33</v>
      </c>
      <c r="G77" s="2" t="n">
        <v>100</v>
      </c>
      <c r="H77" s="2" t="n">
        <v>100</v>
      </c>
      <c r="I77" s="2" t="inlineStr">
        <is>
          <t>Recognized board or steering-body category</t>
        </is>
      </c>
      <c r="J77" s="2" t="inlineStr">
        <is>
          <t>No</t>
        </is>
      </c>
      <c r="K77" s="2" t="n">
        <v>80.85714285714286</v>
      </c>
      <c r="L77" s="2" t="n">
        <v>7</v>
      </c>
      <c r="M77" s="2" t="n">
        <v>1</v>
      </c>
      <c r="N77" s="2" t="n">
        <v>80.85714285714286</v>
      </c>
      <c r="O77" s="2" t="inlineStr">
        <is>
          <t>No independent verification recorded</t>
        </is>
      </c>
    </row>
    <row r="78">
      <c r="A78" s="2" t="inlineStr">
        <is>
          <t>openCost</t>
        </is>
      </c>
      <c r="B78" s="2" t="n">
        <v>0</v>
      </c>
      <c r="C78" s="2" t="n">
        <v>0</v>
      </c>
      <c r="D78" s="2" t="n">
        <v>0</v>
      </c>
      <c r="E78" s="2" t="n">
        <v>0</v>
      </c>
      <c r="F78" s="2" t="n">
        <v>0</v>
      </c>
      <c r="G78" s="2" t="n">
        <v>0</v>
      </c>
      <c r="H78" s="2" t="n">
        <v>0</v>
      </c>
      <c r="I78" s="2" t="inlineStr">
        <is>
          <t>Explicitly reports no board/steering body</t>
        </is>
      </c>
      <c r="J78" s="2" t="inlineStr">
        <is>
          <t>No</t>
        </is>
      </c>
      <c r="K78" s="2" t="n">
        <v>0</v>
      </c>
      <c r="L78" s="2" t="n">
        <v>6</v>
      </c>
      <c r="M78" s="2" t="n">
        <v>0.8571428571428571</v>
      </c>
      <c r="N78" s="2" t="n">
        <v>0</v>
      </c>
      <c r="O78" s="2" t="inlineStr">
        <is>
          <t>048 community governance missing/unrecognized scored 0; No independent verification recorded</t>
        </is>
      </c>
    </row>
    <row r="79">
      <c r="A79" s="2" t="inlineStr">
        <is>
          <t>Open Data Editor</t>
        </is>
      </c>
      <c r="B79" s="2" t="n">
        <v>100</v>
      </c>
      <c r="C79" s="2" t="n">
        <v>100</v>
      </c>
      <c r="D79" s="2" t="n">
        <v>100</v>
      </c>
      <c r="E79" s="2" t="n">
        <v>33</v>
      </c>
      <c r="F79" s="2" t="n">
        <v>33</v>
      </c>
      <c r="G79" s="2" t="n">
        <v>100</v>
      </c>
      <c r="H79" s="2" t="n">
        <v>100</v>
      </c>
      <c r="I79" s="2" t="inlineStr">
        <is>
          <t>Recognized board or steering-body category</t>
        </is>
      </c>
      <c r="J79" s="2" t="inlineStr">
        <is>
          <t>No</t>
        </is>
      </c>
      <c r="K79" s="2" t="n">
        <v>80.85714285714286</v>
      </c>
      <c r="L79" s="2" t="n">
        <v>7</v>
      </c>
      <c r="M79" s="2" t="n">
        <v>1</v>
      </c>
      <c r="N79" s="2" t="n">
        <v>80.85714285714286</v>
      </c>
      <c r="O79" s="2" t="inlineStr">
        <is>
          <t>No independent verification recorded</t>
        </is>
      </c>
    </row>
    <row r="80">
      <c r="A80" s="2" t="inlineStr">
        <is>
          <t>OpenEdition</t>
        </is>
      </c>
      <c r="B80" s="2" t="n">
        <v>100</v>
      </c>
      <c r="C80" s="2" t="n">
        <v>100</v>
      </c>
      <c r="D80" s="2" t="n">
        <v>100</v>
      </c>
      <c r="E80" s="2" t="n">
        <v>33</v>
      </c>
      <c r="F80" s="2" t="n">
        <v>33</v>
      </c>
      <c r="G80" s="2" t="n">
        <v>100</v>
      </c>
      <c r="H80" s="2" t="n">
        <v>100</v>
      </c>
      <c r="I80" s="2" t="inlineStr">
        <is>
          <t>Recognized board or steering-body category</t>
        </is>
      </c>
      <c r="J80" s="2" t="inlineStr">
        <is>
          <t>No</t>
        </is>
      </c>
      <c r="K80" s="2" t="n">
        <v>80.85714285714286</v>
      </c>
      <c r="L80" s="2" t="n">
        <v>7</v>
      </c>
      <c r="M80" s="2" t="n">
        <v>1</v>
      </c>
      <c r="N80" s="2" t="n">
        <v>80.85714285714286</v>
      </c>
      <c r="O80" s="2" t="inlineStr">
        <is>
          <t>No independent verification recorded</t>
        </is>
      </c>
    </row>
    <row r="81">
      <c r="A81" s="2" t="inlineStr">
        <is>
          <t>Open Journal Systems (OJS)</t>
        </is>
      </c>
      <c r="B81" s="2" t="n">
        <v>100</v>
      </c>
      <c r="C81" s="2" t="n">
        <v>100</v>
      </c>
      <c r="D81" s="2" t="n">
        <v>100</v>
      </c>
      <c r="E81" s="2" t="n">
        <v>100</v>
      </c>
      <c r="F81" s="2" t="n">
        <v>67</v>
      </c>
      <c r="G81" s="2" t="n">
        <v>100</v>
      </c>
      <c r="H81" s="2" t="n">
        <v>100</v>
      </c>
      <c r="I81" s="2" t="inlineStr">
        <is>
          <t>Recognized board or steering-body category</t>
        </is>
      </c>
      <c r="J81" s="2" t="inlineStr">
        <is>
          <t>No</t>
        </is>
      </c>
      <c r="K81" s="2" t="n">
        <v>95.28571428571429</v>
      </c>
      <c r="L81" s="2" t="n">
        <v>7</v>
      </c>
      <c r="M81" s="2" t="n">
        <v>1</v>
      </c>
      <c r="N81" s="2" t="n">
        <v>95.28571428571429</v>
      </c>
      <c r="O81" s="2" t="inlineStr">
        <is>
          <t>No independent verification recorded</t>
        </is>
      </c>
    </row>
    <row r="82">
      <c r="A82" s="2" t="inlineStr">
        <is>
          <t>Open Monograph Press (OMP)</t>
        </is>
      </c>
      <c r="B82" s="2" t="n">
        <v>100</v>
      </c>
      <c r="C82" s="2" t="n">
        <v>100</v>
      </c>
      <c r="D82" s="2" t="n">
        <v>100</v>
      </c>
      <c r="E82" s="2" t="n">
        <v>100</v>
      </c>
      <c r="F82" s="2" t="n">
        <v>67</v>
      </c>
      <c r="G82" s="2" t="n">
        <v>100</v>
      </c>
      <c r="H82" s="2" t="n">
        <v>100</v>
      </c>
      <c r="I82" s="2" t="inlineStr">
        <is>
          <t>Recognized board or steering-body category</t>
        </is>
      </c>
      <c r="J82" s="2" t="inlineStr">
        <is>
          <t>No</t>
        </is>
      </c>
      <c r="K82" s="2" t="n">
        <v>95.28571428571429</v>
      </c>
      <c r="L82" s="2" t="n">
        <v>7</v>
      </c>
      <c r="M82" s="2" t="n">
        <v>1</v>
      </c>
      <c r="N82" s="2" t="n">
        <v>95.28571428571429</v>
      </c>
      <c r="O82" s="2" t="inlineStr">
        <is>
          <t>No independent verification recorded</t>
        </is>
      </c>
    </row>
    <row r="83">
      <c r="A83" s="2" t="inlineStr">
        <is>
          <t>Open Preprint Systems (OPS)</t>
        </is>
      </c>
      <c r="B83" s="2" t="n">
        <v>100</v>
      </c>
      <c r="C83" s="2" t="n">
        <v>100</v>
      </c>
      <c r="D83" s="2" t="n">
        <v>100</v>
      </c>
      <c r="E83" s="2" t="n">
        <v>100</v>
      </c>
      <c r="F83" s="2" t="n">
        <v>67</v>
      </c>
      <c r="G83" s="2" t="n">
        <v>100</v>
      </c>
      <c r="H83" s="2" t="n">
        <v>100</v>
      </c>
      <c r="I83" s="2" t="inlineStr">
        <is>
          <t>Recognized board or steering-body category</t>
        </is>
      </c>
      <c r="J83" s="2" t="inlineStr">
        <is>
          <t>No</t>
        </is>
      </c>
      <c r="K83" s="2" t="n">
        <v>95.28571428571429</v>
      </c>
      <c r="L83" s="2" t="n">
        <v>7</v>
      </c>
      <c r="M83" s="2" t="n">
        <v>1</v>
      </c>
      <c r="N83" s="2" t="n">
        <v>95.28571428571429</v>
      </c>
      <c r="O83" s="2" t="inlineStr">
        <is>
          <t>No independent verification recorded</t>
        </is>
      </c>
    </row>
    <row r="84">
      <c r="A84" s="2" t="inlineStr">
        <is>
          <t>Openverse</t>
        </is>
      </c>
      <c r="B84" s="2" t="n">
        <v>67</v>
      </c>
      <c r="C84" s="2" t="n">
        <v>33</v>
      </c>
      <c r="D84" s="2" t="n">
        <v>0</v>
      </c>
      <c r="E84" s="2" t="n">
        <v>100</v>
      </c>
      <c r="F84" s="2" t="n">
        <v>100</v>
      </c>
      <c r="G84" s="2" t="n">
        <v>100</v>
      </c>
      <c r="H84" s="2" t="n">
        <v>50</v>
      </c>
      <c r="I84" s="2" t="inlineStr">
        <is>
          <t>Explicitly reports no board/steering body</t>
        </is>
      </c>
      <c r="J84" s="2" t="inlineStr">
        <is>
          <t>No</t>
        </is>
      </c>
      <c r="K84" s="2" t="n">
        <v>64.28571428571429</v>
      </c>
      <c r="L84" s="2" t="n">
        <v>7</v>
      </c>
      <c r="M84" s="2" t="n">
        <v>1</v>
      </c>
      <c r="N84" s="2" t="n">
        <v>64.28571428571429</v>
      </c>
      <c r="O84" s="2" t="inlineStr">
        <is>
          <t>No independent verification recorded</t>
        </is>
      </c>
    </row>
    <row r="85">
      <c r="A85" s="2" t="inlineStr">
        <is>
          <t>O Portal Brasileiro de Publicações e Dados Científicos em Acesso Aberto (The Brazilian Open Access Publications and Scientific Data Portal) (Oasisbr)</t>
        </is>
      </c>
      <c r="B85" s="2" t="n">
        <v>100</v>
      </c>
      <c r="C85" s="2" t="n">
        <v>0</v>
      </c>
      <c r="D85" s="2" t="n">
        <v>0</v>
      </c>
      <c r="E85" s="2" t="n">
        <v>33</v>
      </c>
      <c r="F85" s="2" t="n">
        <v>33</v>
      </c>
      <c r="G85" s="2" t="n">
        <v>33</v>
      </c>
      <c r="H85" s="2" t="n">
        <v>0</v>
      </c>
      <c r="I85" s="2" t="inlineStr">
        <is>
          <t>Other response needs review; no qualifying governance body established</t>
        </is>
      </c>
      <c r="J85" s="2" t="inlineStr">
        <is>
          <t>Yes</t>
        </is>
      </c>
      <c r="K85" s="2" t="n">
        <v>28.42857142857143</v>
      </c>
      <c r="L85" s="2" t="n">
        <v>6</v>
      </c>
      <c r="M85" s="2" t="n">
        <v>0.8571428571428571</v>
      </c>
      <c r="N85" s="2" t="n">
        <v>33.16666666666666</v>
      </c>
      <c r="O85" s="2" t="inlineStr">
        <is>
          <t>Review 050 Other response; override available; 108_bylaws_status unavailable/unknown scored 0; No independent verification recorded</t>
        </is>
      </c>
    </row>
    <row r="86">
      <c r="A86" s="2" t="inlineStr">
        <is>
          <t>OSF (Open Science Framework)</t>
        </is>
      </c>
      <c r="B86" s="2" t="n">
        <v>100</v>
      </c>
      <c r="C86" s="2" t="n">
        <v>100</v>
      </c>
      <c r="D86" s="2" t="n">
        <v>100</v>
      </c>
      <c r="E86" s="2" t="n">
        <v>100</v>
      </c>
      <c r="F86" s="2" t="n">
        <v>100</v>
      </c>
      <c r="G86" s="2" t="n">
        <v>100</v>
      </c>
      <c r="H86" s="2" t="n">
        <v>100</v>
      </c>
      <c r="I86" s="2" t="inlineStr">
        <is>
          <t>Recognized board or steering-body category</t>
        </is>
      </c>
      <c r="J86" s="2" t="inlineStr">
        <is>
          <t>No</t>
        </is>
      </c>
      <c r="K86" s="2" t="n">
        <v>100</v>
      </c>
      <c r="L86" s="2" t="n">
        <v>7</v>
      </c>
      <c r="M86" s="2" t="n">
        <v>1</v>
      </c>
      <c r="N86" s="2" t="n">
        <v>100</v>
      </c>
      <c r="O86" s="2" t="inlineStr">
        <is>
          <t>No independent verification recorded</t>
        </is>
      </c>
    </row>
    <row r="87">
      <c r="A87" s="2" t="inlineStr">
        <is>
          <t>Oxford Common File Layout</t>
        </is>
      </c>
      <c r="B87" s="2" t="n">
        <v>33</v>
      </c>
      <c r="C87" s="2" t="n">
        <v>0</v>
      </c>
      <c r="D87" s="2" t="n">
        <v>100</v>
      </c>
      <c r="E87" s="2" t="n">
        <v>0</v>
      </c>
      <c r="F87" s="2" t="n">
        <v>33</v>
      </c>
      <c r="G87" s="2" t="n">
        <v>0</v>
      </c>
      <c r="H87" s="2" t="n">
        <v>0</v>
      </c>
      <c r="I87" s="2" t="inlineStr">
        <is>
          <t>Recognized board or steering-body category</t>
        </is>
      </c>
      <c r="J87" s="2" t="inlineStr">
        <is>
          <t>No</t>
        </is>
      </c>
      <c r="K87" s="2" t="n">
        <v>23.71428571428572</v>
      </c>
      <c r="L87" s="2" t="n">
        <v>4</v>
      </c>
      <c r="M87" s="2" t="n">
        <v>0.5714285714285714</v>
      </c>
      <c r="N87" s="2" t="n">
        <v>41.5</v>
      </c>
      <c r="O87" s="2" t="inlineStr">
        <is>
          <t>108_bylaws_status unavailable/unknown scored 0; 029_web_accessibility_status unavailable/unknown scored 0; 044_commitment_to_privacy_status unavailable/unknown scored 0; No independent verification recorded</t>
        </is>
      </c>
    </row>
    <row r="88">
      <c r="A88" s="2" t="inlineStr">
        <is>
          <t>Peer Community In</t>
        </is>
      </c>
      <c r="B88" s="2" t="n">
        <v>100</v>
      </c>
      <c r="C88" s="2" t="n">
        <v>0</v>
      </c>
      <c r="D88" s="2" t="n">
        <v>100</v>
      </c>
      <c r="E88" s="2" t="n">
        <v>0</v>
      </c>
      <c r="F88" s="2" t="n">
        <v>100</v>
      </c>
      <c r="G88" s="2" t="n">
        <v>0</v>
      </c>
      <c r="H88" s="2" t="n">
        <v>100</v>
      </c>
      <c r="I88" s="2" t="inlineStr">
        <is>
          <t>Recognized board or steering-body category</t>
        </is>
      </c>
      <c r="J88" s="2" t="inlineStr">
        <is>
          <t>No</t>
        </is>
      </c>
      <c r="K88" s="2" t="n">
        <v>57.14285714285715</v>
      </c>
      <c r="L88" s="2" t="n">
        <v>5</v>
      </c>
      <c r="M88" s="2" t="n">
        <v>0.7142857142857143</v>
      </c>
      <c r="N88" s="2" t="n">
        <v>80</v>
      </c>
      <c r="O88" s="2" t="inlineStr">
        <is>
          <t>108_bylaws_status unavailable/unknown scored 0; 044_commitment_to_privacy_status unavailable/unknown scored 0; No independent verification recorded</t>
        </is>
      </c>
    </row>
    <row r="89">
      <c r="A89" s="2" t="inlineStr">
        <is>
          <t>PKP Preservation Network</t>
        </is>
      </c>
      <c r="B89" s="2" t="n">
        <v>100</v>
      </c>
      <c r="C89" s="2" t="n">
        <v>100</v>
      </c>
      <c r="D89" s="2" t="n">
        <v>100</v>
      </c>
      <c r="E89" s="2" t="n">
        <v>100</v>
      </c>
      <c r="F89" s="2" t="n">
        <v>67</v>
      </c>
      <c r="G89" s="2" t="n">
        <v>100</v>
      </c>
      <c r="H89" s="2" t="n">
        <v>100</v>
      </c>
      <c r="I89" s="2" t="inlineStr">
        <is>
          <t>Recognized board or steering-body category</t>
        </is>
      </c>
      <c r="J89" s="2" t="inlineStr">
        <is>
          <t>No</t>
        </is>
      </c>
      <c r="K89" s="2" t="n">
        <v>95.28571428571429</v>
      </c>
      <c r="L89" s="2" t="n">
        <v>7</v>
      </c>
      <c r="M89" s="2" t="n">
        <v>1</v>
      </c>
      <c r="N89" s="2" t="n">
        <v>95.28571428571429</v>
      </c>
      <c r="O89" s="2" t="inlineStr">
        <is>
          <t>No independent verification recorded</t>
        </is>
      </c>
    </row>
    <row r="90">
      <c r="A90" s="2" t="inlineStr">
        <is>
          <t>PREreview</t>
        </is>
      </c>
      <c r="B90" s="2" t="n">
        <v>100</v>
      </c>
      <c r="C90" s="2" t="n">
        <v>0</v>
      </c>
      <c r="D90" s="2" t="n">
        <v>100</v>
      </c>
      <c r="E90" s="2" t="n">
        <v>67</v>
      </c>
      <c r="F90" s="2" t="n">
        <v>100</v>
      </c>
      <c r="G90" s="2" t="n">
        <v>100</v>
      </c>
      <c r="H90" s="2" t="n">
        <v>50</v>
      </c>
      <c r="I90" s="2" t="inlineStr">
        <is>
          <t>Recognized board or steering-body category</t>
        </is>
      </c>
      <c r="J90" s="2" t="inlineStr">
        <is>
          <t>No</t>
        </is>
      </c>
      <c r="K90" s="2" t="n">
        <v>73.85714285714286</v>
      </c>
      <c r="L90" s="2" t="n">
        <v>6</v>
      </c>
      <c r="M90" s="2" t="n">
        <v>0.8571428571428571</v>
      </c>
      <c r="N90" s="2" t="n">
        <v>86.16666666666667</v>
      </c>
      <c r="O90" s="2" t="inlineStr">
        <is>
          <t>108_bylaws_status unavailable/unknown scored 0; No independent verification recorded</t>
        </is>
      </c>
    </row>
    <row r="91">
      <c r="A91" s="2" t="inlineStr">
        <is>
          <t>Pressbooks</t>
        </is>
      </c>
      <c r="B91" s="2" t="n">
        <v>33</v>
      </c>
      <c r="C91" s="2" t="n">
        <v>0</v>
      </c>
      <c r="D91" s="2" t="n">
        <v>0</v>
      </c>
      <c r="E91" s="2" t="n">
        <v>100</v>
      </c>
      <c r="F91" s="2" t="n">
        <v>67</v>
      </c>
      <c r="G91" s="2" t="n">
        <v>100</v>
      </c>
      <c r="H91" s="2" t="n">
        <v>0</v>
      </c>
      <c r="I91" s="2" t="inlineStr">
        <is>
          <t>Explicitly reports no board/steering body</t>
        </is>
      </c>
      <c r="J91" s="2" t="inlineStr">
        <is>
          <t>No</t>
        </is>
      </c>
      <c r="K91" s="2" t="n">
        <v>42.85714285714285</v>
      </c>
      <c r="L91" s="2" t="n">
        <v>6</v>
      </c>
      <c r="M91" s="2" t="n">
        <v>0.8571428571428571</v>
      </c>
      <c r="N91" s="2" t="n">
        <v>50</v>
      </c>
      <c r="O91" s="2" t="inlineStr">
        <is>
          <t>108_bylaws_status unavailable/unknown scored 0; No independent verification recorded</t>
        </is>
      </c>
    </row>
    <row r="92">
      <c r="A92" s="2" t="inlineStr">
        <is>
          <t>Public Access Submission System</t>
        </is>
      </c>
      <c r="B92" s="2" t="n">
        <v>100</v>
      </c>
      <c r="C92" s="2" t="n">
        <v>100</v>
      </c>
      <c r="D92" s="2" t="n">
        <v>0</v>
      </c>
      <c r="E92" s="2" t="n">
        <v>33</v>
      </c>
      <c r="F92" s="2" t="n">
        <v>100</v>
      </c>
      <c r="G92" s="2" t="n">
        <v>100</v>
      </c>
      <c r="H92" s="2" t="n">
        <v>100</v>
      </c>
      <c r="I92" s="2" t="inlineStr">
        <is>
          <t>Other response needs review; no qualifying governance body established</t>
        </is>
      </c>
      <c r="J92" s="2" t="inlineStr">
        <is>
          <t>Yes</t>
        </is>
      </c>
      <c r="K92" s="2" t="n">
        <v>76.14285714285714</v>
      </c>
      <c r="L92" s="2" t="n">
        <v>7</v>
      </c>
      <c r="M92" s="2" t="n">
        <v>1</v>
      </c>
      <c r="N92" s="2" t="n">
        <v>76.14285714285714</v>
      </c>
      <c r="O92" s="2" t="inlineStr">
        <is>
          <t>Review 050 Other response; override available; No independent verification recorded</t>
        </is>
      </c>
    </row>
    <row r="93">
      <c r="A93" s="2" t="inlineStr">
        <is>
          <t>Public Utility Data Liberation (PUDL)</t>
        </is>
      </c>
      <c r="B93" s="2" t="n">
        <v>67</v>
      </c>
      <c r="C93" s="2" t="n">
        <v>100</v>
      </c>
      <c r="D93" s="2" t="n">
        <v>100</v>
      </c>
      <c r="E93" s="2" t="n">
        <v>0</v>
      </c>
      <c r="F93" s="2" t="n">
        <v>0</v>
      </c>
      <c r="G93" s="2" t="n">
        <v>67</v>
      </c>
      <c r="H93" s="2" t="n">
        <v>50</v>
      </c>
      <c r="I93" s="2" t="inlineStr">
        <is>
          <t>Other field names a board/committee; review its relationship to the infrastructure</t>
        </is>
      </c>
      <c r="J93" s="2" t="inlineStr">
        <is>
          <t>Yes</t>
        </is>
      </c>
      <c r="K93" s="2" t="n">
        <v>54.85714285714285</v>
      </c>
      <c r="L93" s="2" t="n">
        <v>7</v>
      </c>
      <c r="M93" s="2" t="n">
        <v>1</v>
      </c>
      <c r="N93" s="2" t="n">
        <v>54.85714285714285</v>
      </c>
      <c r="O93" s="2" t="inlineStr">
        <is>
          <t>Review 050 Other response; override available; No independent verification recorded</t>
        </is>
      </c>
    </row>
    <row r="94">
      <c r="A94" s="2" t="inlineStr">
        <is>
          <t>PubPub</t>
        </is>
      </c>
      <c r="B94" s="2" t="n">
        <v>100</v>
      </c>
      <c r="C94" s="2" t="n">
        <v>0</v>
      </c>
      <c r="D94" s="2" t="n">
        <v>100</v>
      </c>
      <c r="E94" s="2" t="n">
        <v>100</v>
      </c>
      <c r="F94" s="2" t="n">
        <v>100</v>
      </c>
      <c r="G94" s="2" t="n">
        <v>100</v>
      </c>
      <c r="H94" s="2" t="n">
        <v>50</v>
      </c>
      <c r="I94" s="2" t="inlineStr">
        <is>
          <t>Recognized board or steering-body category</t>
        </is>
      </c>
      <c r="J94" s="2" t="inlineStr">
        <is>
          <t>No</t>
        </is>
      </c>
      <c r="K94" s="2" t="n">
        <v>78.57142857142857</v>
      </c>
      <c r="L94" s="2" t="n">
        <v>6</v>
      </c>
      <c r="M94" s="2" t="n">
        <v>0.8571428571428571</v>
      </c>
      <c r="N94" s="2" t="n">
        <v>91.66666666666667</v>
      </c>
      <c r="O94" s="2" t="inlineStr">
        <is>
          <t>108_bylaws_status unavailable/unknown scored 0; No independent verification recorded</t>
        </is>
      </c>
    </row>
    <row r="95">
      <c r="A95" s="2" t="inlineStr">
        <is>
          <t>Pundit</t>
        </is>
      </c>
      <c r="B95" s="2" t="n">
        <v>33</v>
      </c>
      <c r="C95" s="2" t="n">
        <v>0</v>
      </c>
      <c r="D95" s="2" t="n">
        <v>0</v>
      </c>
      <c r="E95" s="2" t="n">
        <v>0</v>
      </c>
      <c r="F95" s="2" t="n">
        <v>33</v>
      </c>
      <c r="G95" s="2" t="n">
        <v>100</v>
      </c>
      <c r="H95" s="2" t="n">
        <v>0</v>
      </c>
      <c r="I95" s="2" t="inlineStr">
        <is>
          <t>Explicitly reports no board/steering body</t>
        </is>
      </c>
      <c r="J95" s="2" t="inlineStr">
        <is>
          <t>No</t>
        </is>
      </c>
      <c r="K95" s="2" t="n">
        <v>23.71428571428572</v>
      </c>
      <c r="L95" s="2" t="n">
        <v>7</v>
      </c>
      <c r="M95" s="2" t="n">
        <v>1</v>
      </c>
      <c r="N95" s="2" t="n">
        <v>23.71428571428572</v>
      </c>
      <c r="O95" s="2" t="inlineStr">
        <is>
          <t>No independent verification recorded</t>
        </is>
      </c>
    </row>
    <row r="96">
      <c r="A96" s="2" t="inlineStr">
        <is>
          <t>pyOpenSci</t>
        </is>
      </c>
      <c r="B96" s="2" t="n">
        <v>100</v>
      </c>
      <c r="C96" s="2" t="n">
        <v>0</v>
      </c>
      <c r="D96" s="2" t="n">
        <v>100</v>
      </c>
      <c r="E96" s="2" t="n">
        <v>67</v>
      </c>
      <c r="F96" s="2" t="n">
        <v>67</v>
      </c>
      <c r="G96" s="2" t="n">
        <v>0</v>
      </c>
      <c r="H96" s="2" t="n">
        <v>50</v>
      </c>
      <c r="I96" s="2" t="inlineStr">
        <is>
          <t>Recognized board or steering-body category</t>
        </is>
      </c>
      <c r="J96" s="2" t="inlineStr">
        <is>
          <t>No</t>
        </is>
      </c>
      <c r="K96" s="2" t="n">
        <v>54.85714285714285</v>
      </c>
      <c r="L96" s="2" t="n">
        <v>5</v>
      </c>
      <c r="M96" s="2" t="n">
        <v>0.7142857142857143</v>
      </c>
      <c r="N96" s="2" t="n">
        <v>76.8</v>
      </c>
      <c r="O96" s="2" t="inlineStr">
        <is>
          <t>108_bylaws_status unavailable/unknown scored 0; 044_commitment_to_privacy_status unavailable/unknown scored 0; No independent verification recorded</t>
        </is>
      </c>
    </row>
    <row r="97">
      <c r="A97" s="2" t="inlineStr">
        <is>
          <t>Renku</t>
        </is>
      </c>
      <c r="B97" s="2" t="n">
        <v>33</v>
      </c>
      <c r="C97" s="2" t="n">
        <v>0</v>
      </c>
      <c r="D97" s="2" t="n">
        <v>0</v>
      </c>
      <c r="E97" s="2" t="n">
        <v>0</v>
      </c>
      <c r="F97" s="2" t="n">
        <v>33</v>
      </c>
      <c r="G97" s="2" t="n">
        <v>100</v>
      </c>
      <c r="H97" s="2" t="n">
        <v>0</v>
      </c>
      <c r="I97" s="2" t="inlineStr">
        <is>
          <t>Explicitly reports no board/steering body</t>
        </is>
      </c>
      <c r="J97" s="2" t="inlineStr">
        <is>
          <t>No</t>
        </is>
      </c>
      <c r="K97" s="2" t="n">
        <v>23.71428571428572</v>
      </c>
      <c r="L97" s="2" t="n">
        <v>6</v>
      </c>
      <c r="M97" s="2" t="n">
        <v>0.8571428571428571</v>
      </c>
      <c r="N97" s="2" t="n">
        <v>27.66666666666667</v>
      </c>
      <c r="O97" s="2" t="inlineStr">
        <is>
          <t>029_web_accessibility_status unavailable/unknown scored 0; No independent verification recorded</t>
        </is>
      </c>
    </row>
    <row r="98">
      <c r="A98" s="2" t="inlineStr">
        <is>
          <t>RePEc</t>
        </is>
      </c>
      <c r="B98" s="2" t="n">
        <v>67</v>
      </c>
      <c r="C98" s="2" t="n">
        <v>100</v>
      </c>
      <c r="D98" s="2" t="n">
        <v>100</v>
      </c>
      <c r="E98" s="2" t="n">
        <v>0</v>
      </c>
      <c r="F98" s="2" t="n">
        <v>0</v>
      </c>
      <c r="G98" s="2" t="n">
        <v>100</v>
      </c>
      <c r="H98" s="2" t="n">
        <v>50</v>
      </c>
      <c r="I98" s="2" t="inlineStr">
        <is>
          <t>Recognized board or steering-body category</t>
        </is>
      </c>
      <c r="J98" s="2" t="inlineStr">
        <is>
          <t>No</t>
        </is>
      </c>
      <c r="K98" s="2" t="n">
        <v>59.57142857142857</v>
      </c>
      <c r="L98" s="2" t="n">
        <v>5</v>
      </c>
      <c r="M98" s="2" t="n">
        <v>0.7142857142857143</v>
      </c>
      <c r="N98" s="2" t="n">
        <v>83.40000000000001</v>
      </c>
      <c r="O98" s="2" t="inlineStr">
        <is>
          <t>029_web_accessibility_status unavailable/unknown scored 0; 035_commitment_to_equity_status unavailable/unknown scored 0; No independent verification recorded</t>
        </is>
      </c>
    </row>
    <row r="99">
      <c r="A99" s="2" t="inlineStr">
        <is>
          <t>Research Organization Registry (ROR)</t>
        </is>
      </c>
      <c r="B99" s="2" t="n">
        <v>100</v>
      </c>
      <c r="C99" s="2" t="n">
        <v>100</v>
      </c>
      <c r="D99" s="2" t="n">
        <v>100</v>
      </c>
      <c r="E99" s="2" t="n">
        <v>33</v>
      </c>
      <c r="F99" s="2" t="n">
        <v>33</v>
      </c>
      <c r="G99" s="2" t="n">
        <v>100</v>
      </c>
      <c r="H99" s="2" t="n">
        <v>100</v>
      </c>
      <c r="I99" s="2" t="inlineStr">
        <is>
          <t>Recognized board or steering-body category</t>
        </is>
      </c>
      <c r="J99" s="2" t="inlineStr">
        <is>
          <t>No</t>
        </is>
      </c>
      <c r="K99" s="2" t="n">
        <v>80.85714285714286</v>
      </c>
      <c r="L99" s="2" t="n">
        <v>7</v>
      </c>
      <c r="M99" s="2" t="n">
        <v>1</v>
      </c>
      <c r="N99" s="2" t="n">
        <v>80.85714285714286</v>
      </c>
      <c r="O99" s="2" t="inlineStr">
        <is>
          <t>No independent verification recorded</t>
        </is>
      </c>
    </row>
    <row r="100">
      <c r="A100" s="2" t="inlineStr">
        <is>
          <t>Rogue Scholar</t>
        </is>
      </c>
      <c r="B100" s="2" t="n">
        <v>67</v>
      </c>
      <c r="C100" s="2" t="n">
        <v>0</v>
      </c>
      <c r="D100" s="2" t="n">
        <v>0</v>
      </c>
      <c r="E100" s="2" t="n">
        <v>33</v>
      </c>
      <c r="F100" s="2" t="n">
        <v>33</v>
      </c>
      <c r="G100" s="2" t="n">
        <v>67</v>
      </c>
      <c r="H100" s="2" t="n">
        <v>50</v>
      </c>
      <c r="I100" s="2" t="inlineStr">
        <is>
          <t>Explicitly reports no board/steering body</t>
        </is>
      </c>
      <c r="J100" s="2" t="inlineStr">
        <is>
          <t>No</t>
        </is>
      </c>
      <c r="K100" s="2" t="n">
        <v>35.71428571428572</v>
      </c>
      <c r="L100" s="2" t="n">
        <v>6</v>
      </c>
      <c r="M100" s="2" t="n">
        <v>0.8571428571428571</v>
      </c>
      <c r="N100" s="2" t="n">
        <v>41.66666666666666</v>
      </c>
      <c r="O100" s="2" t="inlineStr">
        <is>
          <t>108_bylaws_status unavailable/unknown scored 0; No independent verification recorded</t>
        </is>
      </c>
    </row>
    <row r="101">
      <c r="A101" s="2" t="inlineStr">
        <is>
          <t>RSpace</t>
        </is>
      </c>
      <c r="B101" s="2" t="n">
        <v>33</v>
      </c>
      <c r="C101" s="2" t="n">
        <v>0</v>
      </c>
      <c r="D101" s="2" t="n">
        <v>100</v>
      </c>
      <c r="E101" s="2" t="n">
        <v>67</v>
      </c>
      <c r="F101" s="2" t="n">
        <v>33</v>
      </c>
      <c r="G101" s="2" t="n">
        <v>100</v>
      </c>
      <c r="H101" s="2" t="n">
        <v>0</v>
      </c>
      <c r="I101" s="2" t="inlineStr">
        <is>
          <t>Other field names a board/committee; review its relationship to the infrastructure</t>
        </is>
      </c>
      <c r="J101" s="2" t="inlineStr">
        <is>
          <t>Yes</t>
        </is>
      </c>
      <c r="K101" s="2" t="n">
        <v>47.57142857142857</v>
      </c>
      <c r="L101" s="2" t="n">
        <v>7</v>
      </c>
      <c r="M101" s="2" t="n">
        <v>1</v>
      </c>
      <c r="N101" s="2" t="n">
        <v>47.57142857142857</v>
      </c>
      <c r="O101" s="2" t="inlineStr">
        <is>
          <t>Review 050 Other response; override available; No independent verification recorded</t>
        </is>
      </c>
    </row>
    <row r="102">
      <c r="A102" s="2" t="inlineStr">
        <is>
          <t>Sciety</t>
        </is>
      </c>
      <c r="B102" s="2" t="n">
        <v>100</v>
      </c>
      <c r="C102" s="2" t="n">
        <v>33</v>
      </c>
      <c r="D102" s="2" t="n">
        <v>100</v>
      </c>
      <c r="E102" s="2" t="n">
        <v>33</v>
      </c>
      <c r="F102" s="2" t="n">
        <v>33</v>
      </c>
      <c r="G102" s="2" t="n">
        <v>100</v>
      </c>
      <c r="H102" s="2" t="n">
        <v>100</v>
      </c>
      <c r="I102" s="2" t="inlineStr">
        <is>
          <t>Recognized board or steering-body category</t>
        </is>
      </c>
      <c r="J102" s="2" t="inlineStr">
        <is>
          <t>No</t>
        </is>
      </c>
      <c r="K102" s="2" t="n">
        <v>71.28571428571429</v>
      </c>
      <c r="L102" s="2" t="n">
        <v>7</v>
      </c>
      <c r="M102" s="2" t="n">
        <v>1</v>
      </c>
      <c r="N102" s="2" t="n">
        <v>71.28571428571429</v>
      </c>
      <c r="O102" s="2" t="inlineStr">
        <is>
          <t>No independent verification recorded</t>
        </is>
      </c>
    </row>
    <row r="103">
      <c r="A103" s="2" t="inlineStr">
        <is>
          <t>Synapse</t>
        </is>
      </c>
      <c r="B103" s="2" t="n">
        <v>0</v>
      </c>
      <c r="C103" s="2" t="n">
        <v>0</v>
      </c>
      <c r="D103" s="2" t="n">
        <v>100</v>
      </c>
      <c r="E103" s="2" t="n">
        <v>0</v>
      </c>
      <c r="F103" s="2" t="n">
        <v>33</v>
      </c>
      <c r="G103" s="2" t="n">
        <v>100</v>
      </c>
      <c r="H103" s="2" t="n">
        <v>0</v>
      </c>
      <c r="I103" s="2" t="inlineStr">
        <is>
          <t>Recognized board or steering-body category</t>
        </is>
      </c>
      <c r="J103" s="2" t="inlineStr">
        <is>
          <t>No</t>
        </is>
      </c>
      <c r="K103" s="2" t="n">
        <v>33.28571428571428</v>
      </c>
      <c r="L103" s="2" t="n">
        <v>7</v>
      </c>
      <c r="M103" s="2" t="n">
        <v>1</v>
      </c>
      <c r="N103" s="2" t="n">
        <v>33.28571428571428</v>
      </c>
      <c r="O103" s="2" t="inlineStr">
        <is>
          <t>No independent verification recorded</t>
        </is>
      </c>
    </row>
    <row r="104">
      <c r="A104" s="2" t="inlineStr">
        <is>
          <t>TagTeam</t>
        </is>
      </c>
      <c r="B104" s="2" t="n">
        <v>33</v>
      </c>
      <c r="C104" s="2" t="n">
        <v>0</v>
      </c>
      <c r="D104" s="2" t="n">
        <v>0</v>
      </c>
      <c r="E104" s="2" t="n">
        <v>67</v>
      </c>
      <c r="F104" s="2" t="n">
        <v>100</v>
      </c>
      <c r="G104" s="2" t="n">
        <v>100</v>
      </c>
      <c r="H104" s="2" t="n">
        <v>50</v>
      </c>
      <c r="I104" s="2" t="inlineStr">
        <is>
          <t>Explicitly reports no board/steering body</t>
        </is>
      </c>
      <c r="J104" s="2" t="inlineStr">
        <is>
          <t>No</t>
        </is>
      </c>
      <c r="K104" s="2" t="n">
        <v>50</v>
      </c>
      <c r="L104" s="2" t="n">
        <v>7</v>
      </c>
      <c r="M104" s="2" t="n">
        <v>1</v>
      </c>
      <c r="N104" s="2" t="n">
        <v>50</v>
      </c>
      <c r="O104" s="2" t="inlineStr">
        <is>
          <t>No independent verification recorded</t>
        </is>
      </c>
    </row>
    <row r="105">
      <c r="A105" s="2" t="inlineStr">
        <is>
          <t>Thoth Open Metadata</t>
        </is>
      </c>
      <c r="B105" s="2" t="n">
        <v>100</v>
      </c>
      <c r="C105" s="2" t="n">
        <v>100</v>
      </c>
      <c r="D105" s="2" t="n">
        <v>100</v>
      </c>
      <c r="E105" s="2" t="n">
        <v>67</v>
      </c>
      <c r="F105" s="2" t="n">
        <v>67</v>
      </c>
      <c r="G105" s="2" t="n">
        <v>100</v>
      </c>
      <c r="H105" s="2" t="n">
        <v>100</v>
      </c>
      <c r="I105" s="2" t="inlineStr">
        <is>
          <t>Other field names a board/committee; review its relationship to the infrastructure</t>
        </is>
      </c>
      <c r="J105" s="2" t="inlineStr">
        <is>
          <t>Yes</t>
        </is>
      </c>
      <c r="K105" s="2" t="n">
        <v>90.57142857142857</v>
      </c>
      <c r="L105" s="2" t="n">
        <v>7</v>
      </c>
      <c r="M105" s="2" t="n">
        <v>1</v>
      </c>
      <c r="N105" s="2" t="n">
        <v>90.57142857142857</v>
      </c>
      <c r="O105" s="2" t="inlineStr">
        <is>
          <t>Review 050 Other response; override available; No independent verification recorded</t>
        </is>
      </c>
    </row>
    <row r="106">
      <c r="A106" s="2" t="inlineStr">
        <is>
          <t>Tropy</t>
        </is>
      </c>
      <c r="B106" s="2" t="n">
        <v>100</v>
      </c>
      <c r="C106" s="2" t="n">
        <v>100</v>
      </c>
      <c r="D106" s="2" t="n">
        <v>100</v>
      </c>
      <c r="E106" s="2" t="n">
        <v>33</v>
      </c>
      <c r="F106" s="2" t="n">
        <v>100</v>
      </c>
      <c r="G106" s="2" t="n">
        <v>33</v>
      </c>
      <c r="H106" s="2" t="n">
        <v>50</v>
      </c>
      <c r="I106" s="2" t="inlineStr">
        <is>
          <t>Recognized board or steering-body category</t>
        </is>
      </c>
      <c r="J106" s="2" t="inlineStr">
        <is>
          <t>No</t>
        </is>
      </c>
      <c r="K106" s="2" t="n">
        <v>73.71428571428571</v>
      </c>
      <c r="L106" s="2" t="n">
        <v>7</v>
      </c>
      <c r="M106" s="2" t="n">
        <v>1</v>
      </c>
      <c r="N106" s="2" t="n">
        <v>73.71428571428571</v>
      </c>
      <c r="O106" s="2" t="inlineStr">
        <is>
          <t>No independent verification recorded</t>
        </is>
      </c>
    </row>
    <row r="107">
      <c r="A107" s="2" t="inlineStr">
        <is>
          <t>veraPDF</t>
        </is>
      </c>
      <c r="B107" s="2" t="n">
        <v>67</v>
      </c>
      <c r="C107" s="2" t="n">
        <v>0</v>
      </c>
      <c r="D107" s="2" t="n">
        <v>0</v>
      </c>
      <c r="E107" s="2" t="n">
        <v>67</v>
      </c>
      <c r="F107" s="2" t="n">
        <v>33</v>
      </c>
      <c r="G107" s="2" t="n">
        <v>33</v>
      </c>
      <c r="H107" s="2" t="n">
        <v>100</v>
      </c>
      <c r="I107" s="2" t="inlineStr">
        <is>
          <t>Explicitly reports no board/steering body</t>
        </is>
      </c>
      <c r="J107" s="2" t="inlineStr">
        <is>
          <t>No</t>
        </is>
      </c>
      <c r="K107" s="2" t="n">
        <v>42.85714285714285</v>
      </c>
      <c r="L107" s="2" t="n">
        <v>7</v>
      </c>
      <c r="M107" s="2" t="n">
        <v>1</v>
      </c>
      <c r="N107" s="2" t="n">
        <v>42.85714285714285</v>
      </c>
      <c r="O107" s="2" t="inlineStr">
        <is>
          <t>No independent verification recorded</t>
        </is>
      </c>
    </row>
    <row r="108">
      <c r="A108" s="2" t="inlineStr">
        <is>
          <t>ViPER</t>
        </is>
      </c>
      <c r="B108" s="2" t="n">
        <v>100</v>
      </c>
      <c r="C108" s="2" t="n">
        <v>0</v>
      </c>
      <c r="D108" s="2" t="n">
        <v>100</v>
      </c>
      <c r="E108" s="2" t="n">
        <v>33</v>
      </c>
      <c r="F108" s="2" t="n">
        <v>67</v>
      </c>
      <c r="G108" s="2" t="n">
        <v>100</v>
      </c>
      <c r="H108" s="2" t="n">
        <v>100</v>
      </c>
      <c r="I108" s="2" t="inlineStr">
        <is>
          <t>Recognized board or steering-body category</t>
        </is>
      </c>
      <c r="J108" s="2" t="inlineStr">
        <is>
          <t>No</t>
        </is>
      </c>
      <c r="K108" s="2" t="n">
        <v>71.42857142857143</v>
      </c>
      <c r="L108" s="2" t="n">
        <v>6</v>
      </c>
      <c r="M108" s="2" t="n">
        <v>0.8571428571428571</v>
      </c>
      <c r="N108" s="2" t="n">
        <v>83.33333333333333</v>
      </c>
      <c r="O108" s="2" t="inlineStr">
        <is>
          <t>108_bylaws_status unavailable/unknown scored 0; No independent verification recorded</t>
        </is>
      </c>
    </row>
    <row r="109">
      <c r="A109" s="2" t="inlineStr">
        <is>
          <t>Vireo ETD</t>
        </is>
      </c>
      <c r="B109" s="2" t="n">
        <v>100</v>
      </c>
      <c r="C109" s="2" t="n">
        <v>100</v>
      </c>
      <c r="D109" s="2" t="n">
        <v>100</v>
      </c>
      <c r="E109" s="2" t="n">
        <v>100</v>
      </c>
      <c r="F109" s="2" t="n">
        <v>0</v>
      </c>
      <c r="G109" s="2" t="n">
        <v>0</v>
      </c>
      <c r="H109" s="2" t="n">
        <v>100</v>
      </c>
      <c r="I109" s="2" t="inlineStr">
        <is>
          <t>Recognized board or steering-body category</t>
        </is>
      </c>
      <c r="J109" s="2" t="inlineStr">
        <is>
          <t>No</t>
        </is>
      </c>
      <c r="K109" s="2" t="n">
        <v>71.42857142857143</v>
      </c>
      <c r="L109" s="2" t="n">
        <v>6</v>
      </c>
      <c r="M109" s="2" t="n">
        <v>0.8571428571428571</v>
      </c>
      <c r="N109" s="2" t="n">
        <v>83.33333333333333</v>
      </c>
      <c r="O109" s="2" t="inlineStr">
        <is>
          <t>044_commitment_to_privacy_status unavailable/unknown scored 0; No independent verification recorded</t>
        </is>
      </c>
    </row>
    <row r="110">
      <c r="A110" s="2" t="inlineStr">
        <is>
          <t>VIVO</t>
        </is>
      </c>
      <c r="B110" s="2" t="n">
        <v>100</v>
      </c>
      <c r="C110" s="2" t="n">
        <v>100</v>
      </c>
      <c r="D110" s="2" t="n">
        <v>100</v>
      </c>
      <c r="E110" s="2" t="n">
        <v>67</v>
      </c>
      <c r="F110" s="2" t="n">
        <v>33</v>
      </c>
      <c r="G110" s="2" t="n">
        <v>100</v>
      </c>
      <c r="H110" s="2" t="n">
        <v>100</v>
      </c>
      <c r="I110" s="2" t="inlineStr">
        <is>
          <t>Recognized board or steering-body category</t>
        </is>
      </c>
      <c r="J110" s="2" t="inlineStr">
        <is>
          <t>No</t>
        </is>
      </c>
      <c r="K110" s="2" t="n">
        <v>85.71428571428571</v>
      </c>
      <c r="L110" s="2" t="n">
        <v>7</v>
      </c>
      <c r="M110" s="2" t="n">
        <v>1</v>
      </c>
      <c r="N110" s="2" t="n">
        <v>85.71428571428571</v>
      </c>
      <c r="O110" s="2" t="inlineStr">
        <is>
          <t>No independent verification recorded</t>
        </is>
      </c>
    </row>
    <row r="111">
      <c r="A111" s="2" t="inlineStr">
        <is>
          <t>VuFind®</t>
        </is>
      </c>
      <c r="B111" s="2" t="n">
        <v>100</v>
      </c>
      <c r="C111" s="2" t="n">
        <v>100</v>
      </c>
      <c r="D111" s="2" t="n">
        <v>100</v>
      </c>
      <c r="E111" s="2" t="n">
        <v>100</v>
      </c>
      <c r="F111" s="2" t="n">
        <v>100</v>
      </c>
      <c r="G111" s="2" t="n">
        <v>100</v>
      </c>
      <c r="H111" s="2" t="n">
        <v>100</v>
      </c>
      <c r="I111" s="2" t="inlineStr">
        <is>
          <t>Recognized board or steering-body category</t>
        </is>
      </c>
      <c r="J111" s="2" t="inlineStr">
        <is>
          <t>No</t>
        </is>
      </c>
      <c r="K111" s="2" t="n">
        <v>100</v>
      </c>
      <c r="L111" s="2" t="n">
        <v>7</v>
      </c>
      <c r="M111" s="2" t="n">
        <v>1</v>
      </c>
      <c r="N111" s="2" t="n">
        <v>100</v>
      </c>
      <c r="O111" s="2" t="inlineStr">
        <is>
          <t>No independent verification recorded</t>
        </is>
      </c>
    </row>
    <row r="112">
      <c r="A112" s="2" t="inlineStr">
        <is>
          <t>Zenodo</t>
        </is>
      </c>
      <c r="B112" s="2" t="n">
        <v>33</v>
      </c>
      <c r="C112" s="2" t="n">
        <v>0</v>
      </c>
      <c r="D112" s="2" t="n">
        <v>100</v>
      </c>
      <c r="E112" s="2" t="n">
        <v>0</v>
      </c>
      <c r="F112" s="2" t="n">
        <v>100</v>
      </c>
      <c r="G112" s="2" t="n">
        <v>100</v>
      </c>
      <c r="H112" s="2" t="n">
        <v>50</v>
      </c>
      <c r="I112" s="2" t="inlineStr">
        <is>
          <t>Recognized board or steering-body category</t>
        </is>
      </c>
      <c r="J112" s="2" t="inlineStr">
        <is>
          <t>No</t>
        </is>
      </c>
      <c r="K112" s="2" t="n">
        <v>54.71428571428572</v>
      </c>
      <c r="L112" s="2" t="n">
        <v>5</v>
      </c>
      <c r="M112" s="2" t="n">
        <v>0.7142857142857143</v>
      </c>
      <c r="N112" s="2" t="n">
        <v>76.59999999999999</v>
      </c>
      <c r="O112" s="2" t="inlineStr">
        <is>
          <t>108_bylaws_status unavailable/unknown scored 0; 029_web_accessibility_status unavailable/unknown scored 0; No independent verification recorded</t>
        </is>
      </c>
    </row>
    <row r="113">
      <c r="A113" s="2" t="inlineStr">
        <is>
          <t>Zotero</t>
        </is>
      </c>
      <c r="B113" s="2" t="n">
        <v>100</v>
      </c>
      <c r="C113" s="2" t="n">
        <v>100</v>
      </c>
      <c r="D113" s="2" t="n">
        <v>100</v>
      </c>
      <c r="E113" s="2" t="n">
        <v>100</v>
      </c>
      <c r="F113" s="2" t="n">
        <v>100</v>
      </c>
      <c r="G113" s="2" t="n">
        <v>100</v>
      </c>
      <c r="H113" s="2" t="n">
        <v>50</v>
      </c>
      <c r="I113" s="2" t="inlineStr">
        <is>
          <t>Recognized board or steering-body category</t>
        </is>
      </c>
      <c r="J113" s="2" t="inlineStr">
        <is>
          <t>No</t>
        </is>
      </c>
      <c r="K113" s="2" t="n">
        <v>92.85714285714286</v>
      </c>
      <c r="L113" s="2" t="n">
        <v>7</v>
      </c>
      <c r="M113" s="2" t="n">
        <v>1</v>
      </c>
      <c r="N113" s="2" t="n">
        <v>92.85714285714286</v>
      </c>
      <c r="O113" s="2" t="inlineStr">
        <is>
          <t>No independent verification recorded</t>
        </is>
      </c>
    </row>
  </sheetData>
  <autoFilter ref="A1:O1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13"/>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18" customWidth="1" min="3" max="3"/>
    <col width="18" customWidth="1" min="4" max="4"/>
    <col width="24" customWidth="1" min="5" max="5"/>
    <col width="31" customWidth="1" min="6" max="6"/>
    <col width="34" customWidth="1" min="7" max="7"/>
    <col width="31" customWidth="1" min="8" max="8"/>
    <col width="32" customWidth="1" min="9" max="9"/>
    <col width="25" customWidth="1" min="10" max="10"/>
    <col width="29" customWidth="1" min="11" max="11"/>
    <col width="22" customWidth="1" min="12" max="12"/>
    <col width="28" customWidth="1" min="13" max="13"/>
    <col width="18" customWidth="1" min="14" max="14"/>
    <col width="24" customWidth="1" min="15" max="15"/>
    <col width="20" customWidth="1" min="16" max="16"/>
    <col width="31" customWidth="1" min="17" max="17"/>
    <col width="28" customWidth="1" min="18" max="18"/>
    <col width="38" customWidth="1" min="19" max="19"/>
    <col width="33" customWidth="1" min="20" max="20"/>
    <col width="30" customWidth="1" min="21" max="21"/>
    <col width="34" customWidth="1" min="22" max="22"/>
    <col width="31" customWidth="1" min="23" max="23"/>
    <col width="35" customWidth="1" min="24" max="24"/>
    <col width="32" customWidth="1" min="25" max="25"/>
    <col width="24" customWidth="1" min="26" max="26"/>
    <col width="22" customWidth="1" min="27" max="27"/>
    <col width="21" customWidth="1" min="28" max="28"/>
    <col width="34" customWidth="1" min="29" max="29"/>
    <col width="31" customWidth="1" min="30" max="30"/>
  </cols>
  <sheetData>
    <row r="1" ht="32" customHeight="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024_governance_structure_status</t>
        </is>
      </c>
      <c r="H1" s="1" t="inlineStr">
        <is>
          <t>025_governance_structure_url</t>
        </is>
      </c>
      <c r="I1" s="1" t="inlineStr">
        <is>
          <t>026_governance_records_status</t>
        </is>
      </c>
      <c r="J1" s="1" t="inlineStr">
        <is>
          <t>027_governance_summary</t>
        </is>
      </c>
      <c r="K1" s="1" t="inlineStr">
        <is>
          <t>028_governance_records_url</t>
        </is>
      </c>
      <c r="L1" s="1" t="inlineStr">
        <is>
          <t>050_board_structure</t>
        </is>
      </c>
      <c r="M1" s="1" t="inlineStr">
        <is>
          <t>950_board_structure_other</t>
        </is>
      </c>
      <c r="N1" s="1" t="inlineStr">
        <is>
          <t>100_board_level</t>
        </is>
      </c>
      <c r="O1" s="1" t="inlineStr">
        <is>
          <t>900_board_level_other</t>
        </is>
      </c>
      <c r="P1" s="1" t="inlineStr">
        <is>
          <t>108_bylaws_status</t>
        </is>
      </c>
      <c r="Q1" s="1" t="inlineStr">
        <is>
          <t>029_web_accessibility_status</t>
        </is>
      </c>
      <c r="R1" s="1" t="inlineStr">
        <is>
          <t>030_web_accessibility_url</t>
        </is>
      </c>
      <c r="S1" s="1" t="inlineStr">
        <is>
          <t>031_web_accessibility_applicability</t>
        </is>
      </c>
      <c r="T1" s="1" t="inlineStr">
        <is>
          <t>033_transparent_pricing_status</t>
        </is>
      </c>
      <c r="U1" s="1" t="inlineStr">
        <is>
          <t>034_transparent_pricing_url</t>
        </is>
      </c>
      <c r="V1" s="1" t="inlineStr">
        <is>
          <t>035_commitment_to_equity_status</t>
        </is>
      </c>
      <c r="W1" s="1" t="inlineStr">
        <is>
          <t>036_commitment_to_equity_url</t>
        </is>
      </c>
      <c r="X1" s="1" t="inlineStr">
        <is>
          <t>044_commitment_to_privacy_status</t>
        </is>
      </c>
      <c r="Y1" s="1" t="inlineStr">
        <is>
          <t>045_commitment_to_privacy_url</t>
        </is>
      </c>
      <c r="Z1" s="1" t="inlineStr">
        <is>
          <t>046_values_frameworks</t>
        </is>
      </c>
      <c r="AA1" s="1" t="inlineStr">
        <is>
          <t>verification_status</t>
        </is>
      </c>
      <c r="AB1" s="1" t="inlineStr">
        <is>
          <t>verification_notes</t>
        </is>
      </c>
      <c r="AC1" s="1" t="inlineStr">
        <is>
          <t>048_community_governance_status</t>
        </is>
      </c>
      <c r="AD1" s="1" t="inlineStr">
        <is>
          <t>049_community_governance_url</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In progress</t>
        </is>
      </c>
      <c r="H2" s="2" t="inlineStr">
        <is>
          <t>https://compass.2i2c.org/organization/structure/</t>
        </is>
      </c>
      <c r="I2" s="2" t="inlineStr">
        <is>
          <t>In progress</t>
        </is>
      </c>
      <c r="J2" s="2" t="inlineStr">
        <is>
          <t>&lt;p&gt;2i2c is governed by a &lt;a href="https://compass.2i2c.org/organization/structure/" target="_blank"&gt;Steering Council&lt;/a&gt;, and is a fiscally sponsored project of &lt;a href="https://www.codeforsociety.org/" target="_blank"&gt;Code for Science &amp;amp; Society&lt;/a&gt;, a US-based 501(c)3. Additional governance development is in progress. &lt;/p&gt;</t>
        </is>
      </c>
      <c r="K2" s="2" t="n"/>
      <c r="L2" s="2" t="inlineStr">
        <is>
          <t>Advisory board or steering committee</t>
        </is>
      </c>
      <c r="M2" s="2" t="n"/>
      <c r="N2" s="2" t="n"/>
      <c r="O2" s="2" t="n"/>
      <c r="P2" s="2" t="inlineStr">
        <is>
          <t>Unknown</t>
        </is>
      </c>
      <c r="Q2" s="2" t="inlineStr">
        <is>
          <t>Considering</t>
        </is>
      </c>
      <c r="R2" s="2" t="n"/>
      <c r="S2" s="2" t="n"/>
      <c r="T2" s="2" t="inlineStr">
        <is>
          <t>Implemented/available</t>
        </is>
      </c>
      <c r="U2" s="2" t="inlineStr">
        <is>
          <t>https://docs.google.com/document/d/1FNiDyKNDoe_TgU2WxuNZ5CayYD56tlNJpImQsAIGOmg/edit</t>
        </is>
      </c>
      <c r="V2" s="2" t="inlineStr">
        <is>
          <t>Considering</t>
        </is>
      </c>
      <c r="W2" s="2" t="n"/>
      <c r="X2" s="2" t="inlineStr">
        <is>
          <t>Implemented/available</t>
        </is>
      </c>
      <c r="Y2" s="2" t="inlineStr">
        <is>
          <t>https://docs.2i2c.org/user/topics/policy/privacy/</t>
        </is>
      </c>
      <c r="Z2" s="2" t="n"/>
      <c r="AA2" s="2" t="n"/>
      <c r="AB2" s="2" t="n"/>
      <c r="AC2" s="2" t="inlineStr">
        <is>
          <t>None</t>
        </is>
      </c>
      <c r="AD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Implemented/available</t>
        </is>
      </c>
      <c r="H3" s="2" t="inlineStr">
        <is>
          <t>https://aptrust.org/governance/</t>
        </is>
      </c>
      <c r="I3" s="2" t="inlineStr">
        <is>
          <t>Implemented/available</t>
        </is>
      </c>
      <c r="J3" s="2" t="inlineStr">
        <is>
          <t>The Governing Board is the primary governing body for APTrust; however, member institutions contribute actively to governance through input gathered by the Board. The Board defines and recommends strategic direction to meet operational and strategic goals, and it provides advice and oversight for the budget and finances. The Board meets in person or by phone as needed and holds an annual meeting with all institutional members. The APTrust Advisory Committee comprises two representatives from each of the APTrust Sustaining Member institutions. They are appointed annually by their respective deans, and two members of the committee are selected to serve as co-chairs and liaisons to the APTrust Governing Board, where they are voting members. Advisory Committee members bring expertise in their respective fields, as well as in policy matters and priorities, to APTrust. The group keeps the broader community informed about and connected to the developing digital preservation infrastructure.</t>
        </is>
      </c>
      <c r="K3" s="2" t="inlineStr">
        <is>
          <t>https://aptrust.org/resources/member-meetings/</t>
        </is>
      </c>
      <c r="L3" s="2" t="inlineStr">
        <is>
          <t>Multi-board governance</t>
        </is>
      </c>
      <c r="M3" s="2" t="n"/>
      <c r="N3" s="2" t="n"/>
      <c r="O3" s="2" t="inlineStr">
        <is>
          <t xml:space="preserve">The Governing Board is the primary governing body for APTrust; however, member institutions contribute actively to governance through input gathered by the Board. The Board defines and recommends strategic direction to help meet operational and strategic goals and provides advice and oversight for the budget and finances. The Board meets quarterly in person or by phone as needed and holds an annual meeting of the Board with all institutional members. APTrust is legally constituted as part of the University of Virginia. Activities and operating guidelines of APTrust are subject to the rules and policies of the University of Virginia, as are any contracts between individual member institutions and the University of Virginia.
</t>
        </is>
      </c>
      <c r="P3" s="2" t="inlineStr">
        <is>
          <t>Implemented/available</t>
        </is>
      </c>
      <c r="Q3" s="2" t="inlineStr">
        <is>
          <t>Considering</t>
        </is>
      </c>
      <c r="R3" s="2" t="n"/>
      <c r="S3" s="2" t="n"/>
      <c r="T3" s="2" t="inlineStr">
        <is>
          <t>Implemented/available</t>
        </is>
      </c>
      <c r="U3" s="2" t="inlineStr">
        <is>
          <t>https://aptrust.org/about/services-and-fees/</t>
        </is>
      </c>
      <c r="V3" s="2" t="inlineStr">
        <is>
          <t>Implemented/available</t>
        </is>
      </c>
      <c r="W3" s="2" t="inlineStr">
        <is>
          <t>https://aptrust.org/resources/policies/#vision-mission-and-shared-values</t>
        </is>
      </c>
      <c r="X3" s="2" t="inlineStr">
        <is>
          <t>Not planning</t>
        </is>
      </c>
      <c r="Y3" s="2" t="n"/>
      <c r="Z3" s="2" t="inlineStr">
        <is>
          <t>It Takes a Village Open Source Software Sustainability toolkit</t>
        </is>
      </c>
      <c r="AA3" s="2" t="n"/>
      <c r="AB3" s="2" t="n"/>
      <c r="AC3" s="2" t="inlineStr">
        <is>
          <t>Formal</t>
        </is>
      </c>
      <c r="AD3" s="2" t="inlineStr">
        <is>
          <t>https://aptrust.org/resources/policies/#governance-manual</t>
        </is>
      </c>
    </row>
    <row r="4">
      <c r="A4" s="2" t="inlineStr">
        <is>
          <t>AfricArXiv</t>
        </is>
      </c>
      <c r="B4" s="2" t="inlineStr">
        <is>
          <t>UbuntuNet Alliance</t>
        </is>
      </c>
      <c r="C4" s="2" t="inlineStr">
        <is>
          <t>https://africarxiv.org/</t>
        </is>
      </c>
      <c r="D4" s="2" t="inlineStr">
        <is>
          <t>MW</t>
        </is>
      </c>
      <c r="E4" s="2" t="inlineStr">
        <is>
          <t>Repository service</t>
        </is>
      </c>
      <c r="F4" s="2" t="n"/>
      <c r="G4" s="2" t="inlineStr">
        <is>
          <t>Implemented/available</t>
        </is>
      </c>
      <c r="H4" s="2" t="inlineStr">
        <is>
          <t>https://africarxiv.org/governance</t>
        </is>
      </c>
      <c r="I4" s="2" t="inlineStr">
        <is>
          <t>Not planning</t>
        </is>
      </c>
      <c r="J4" s="2" t="n"/>
      <c r="K4" s="2" t="n"/>
      <c r="L4" s="2" t="inlineStr">
        <is>
          <t>Advisory board or steering committee</t>
        </is>
      </c>
      <c r="M4" s="2" t="n"/>
      <c r="N4" s="2" t="n"/>
      <c r="O4" s="2" t="inlineStr">
        <is>
          <t>n/a</t>
        </is>
      </c>
      <c r="P4" s="2" t="inlineStr">
        <is>
          <t>Not planning</t>
        </is>
      </c>
      <c r="Q4" s="2" t="inlineStr">
        <is>
          <t>In progress</t>
        </is>
      </c>
      <c r="R4" s="2" t="n"/>
      <c r="S4" s="2" t="n"/>
      <c r="T4" s="2" t="inlineStr">
        <is>
          <t>In progress</t>
        </is>
      </c>
      <c r="U4" s="2" t="n"/>
      <c r="V4" s="2" t="inlineStr">
        <is>
          <t>In progress</t>
        </is>
      </c>
      <c r="W4" s="2" t="n"/>
      <c r="X4" s="2" t="inlineStr">
        <is>
          <t>Implemented/available</t>
        </is>
      </c>
      <c r="Y4" s="2" t="inlineStr">
        <is>
          <t>https://africarxiv.ubuntunet.net/info/privacy</t>
        </is>
      </c>
      <c r="Z4" s="2" t="inlineStr">
        <is>
          <t>Helsinki Initiative on Multilingualism</t>
        </is>
      </c>
      <c r="AA4" s="2" t="n"/>
      <c r="AB4" s="2" t="n"/>
      <c r="AC4" s="2" t="inlineStr">
        <is>
          <t>Ad hoc</t>
        </is>
      </c>
      <c r="AD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inlineStr">
        <is>
          <t>Implemented/available</t>
        </is>
      </c>
      <c r="H5" s="2" t="inlineStr">
        <is>
          <t>https://www.archesproject.org/archesgovernance/</t>
        </is>
      </c>
      <c r="I5" s="2" t="inlineStr">
        <is>
          <t>In progress</t>
        </is>
      </c>
      <c r="J5" s="2" t="n"/>
      <c r="K5" s="2" t="n"/>
      <c r="L5" s="2" t="inlineStr">
        <is>
          <t>Advisory board or steering committee</t>
        </is>
      </c>
      <c r="M5" s="2" t="n"/>
      <c r="N5" s="2" t="n"/>
      <c r="O5" s="2" t="inlineStr">
        <is>
          <t>Works to decide on the strategic and operational requirements and priorities of the Arches Project.</t>
        </is>
      </c>
      <c r="P5" s="2" t="inlineStr">
        <is>
          <t>Implemented/available</t>
        </is>
      </c>
      <c r="Q5" s="2" t="inlineStr">
        <is>
          <t>Implemented/available</t>
        </is>
      </c>
      <c r="R5" s="2" t="inlineStr">
        <is>
          <t>https://www.archesproject.org/accessibility/</t>
        </is>
      </c>
      <c r="S5" s="2" t="inlineStr">
        <is>
          <t>Our tool or project</t>
        </is>
      </c>
      <c r="T5" s="2" t="inlineStr">
        <is>
          <t>No direct costs</t>
        </is>
      </c>
      <c r="U5" s="2" t="n"/>
      <c r="V5" s="2" t="inlineStr">
        <is>
          <t>Not planning</t>
        </is>
      </c>
      <c r="W5" s="2" t="n"/>
      <c r="X5" s="2" t="inlineStr">
        <is>
          <t>Not planning</t>
        </is>
      </c>
      <c r="Y5" s="2" t="n"/>
      <c r="Z5" s="2" t="inlineStr">
        <is>
          <t>FAIR Guiding Principles for Scientific Data Management and Stewardship</t>
        </is>
      </c>
      <c r="AA5" s="2" t="n"/>
      <c r="AB5" s="2" t="n"/>
      <c r="AC5" s="2" t="inlineStr">
        <is>
          <t>Formal</t>
        </is>
      </c>
      <c r="AD5" s="2" t="inlineStr">
        <is>
          <t>https://www.archesproject.org/archesgovernance/</t>
        </is>
      </c>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Implemented/available</t>
        </is>
      </c>
      <c r="H6" s="2" t="n"/>
      <c r="I6" s="2" t="inlineStr">
        <is>
          <t>In progress</t>
        </is>
      </c>
      <c r="J6" s="2" t="inlineStr">
        <is>
          <t>Archipelago is governed by an Advisory Board, and is a project of the &lt;a href="https://metro.org"&gt;Metropolitan New York Library Council&lt;/a&gt;, which is governed by a &lt;a href="https://metro.org/team/"&gt;Board of Trustees&lt;/a&gt;.</t>
        </is>
      </c>
      <c r="K6" s="2" t="n"/>
      <c r="L6" s="2" t="inlineStr">
        <is>
          <t>Advisory board or steering committee</t>
        </is>
      </c>
      <c r="M6" s="2" t="n"/>
      <c r="N6" s="2" t="n"/>
      <c r="O6" s="2" t="n"/>
      <c r="P6" s="2" t="inlineStr">
        <is>
          <t>Implemented/available</t>
        </is>
      </c>
      <c r="Q6" s="2" t="inlineStr">
        <is>
          <t>Implemented/available</t>
        </is>
      </c>
      <c r="R6" s="2" t="inlineStr">
        <is>
          <t>https://docs.google.com/document/d/1IXLYykwTbYS34VqzU-4AOD47EKQC95WyKrmZOKZkz6s/edit?usp=sharing</t>
        </is>
      </c>
      <c r="S6" s="2" t="inlineStr">
        <is>
          <t>Our tool or project</t>
        </is>
      </c>
      <c r="T6" s="2" t="inlineStr">
        <is>
          <t>In progress</t>
        </is>
      </c>
      <c r="U6" s="2" t="n"/>
      <c r="V6" s="2" t="inlineStr">
        <is>
          <t>Implemented/available</t>
        </is>
      </c>
      <c r="W6" s="2" t="inlineStr">
        <is>
          <t>https://docs.archipelago.nyc/1.5.0/CODE_OF_CONDUCT/</t>
        </is>
      </c>
      <c r="X6" s="2" t="inlineStr">
        <is>
          <t>Considering</t>
        </is>
      </c>
      <c r="Y6" s="2" t="n"/>
      <c r="Z6" s="2" t="inlineStr">
        <is>
          <t>Contributor Covenant Code of Conduct for Open Source and Other Digital Commons Communities | FAIR Guiding Principles for Scientific Data Management and Stewardship</t>
        </is>
      </c>
      <c r="AA6" s="2" t="n"/>
      <c r="AB6" s="2" t="n"/>
      <c r="AC6" s="2" t="inlineStr">
        <is>
          <t>Formal</t>
        </is>
      </c>
      <c r="AD6" s="2" t="inlineStr">
        <is>
          <t>https://metro.org/wp-content/uploads/2025/05/METROBylaws20242.pdf</t>
        </is>
      </c>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inlineStr">
        <is>
          <t>In progress</t>
        </is>
      </c>
      <c r="H7" s="2" t="n"/>
      <c r="I7" s="2" t="inlineStr">
        <is>
          <t>In progress</t>
        </is>
      </c>
      <c r="J7" s="2" t="inlineStr">
        <is>
          <t>&lt;p&gt;&lt;a href="https://arks.org/community/" target="_blank"&gt;ARK Alliance&lt;/a&gt; is a global community group that works to promote and support the ARK community. Participation is open to all ARK users. Oversight and activities are conducted by committees, including the Advisory Group, Outreach Group, Technical Group, and the Name Assigning Authority Number (NAAN) Group.&lt;/p&gt;</t>
        </is>
      </c>
      <c r="K7" s="2" t="n"/>
      <c r="L7" s="2" t="inlineStr">
        <is>
          <t>Advisory board or steering committee</t>
        </is>
      </c>
      <c r="M7" s="2" t="n"/>
      <c r="N7" s="2" t="n"/>
      <c r="O7" s="2" t="n"/>
      <c r="P7" s="2" t="inlineStr">
        <is>
          <t>Unknown</t>
        </is>
      </c>
      <c r="Q7" s="2" t="inlineStr">
        <is>
          <t>In progress</t>
        </is>
      </c>
      <c r="R7" s="2" t="n"/>
      <c r="S7" s="2" t="n"/>
      <c r="T7" s="2" t="inlineStr">
        <is>
          <t>No direct costs</t>
        </is>
      </c>
      <c r="U7" s="2" t="n"/>
      <c r="V7" s="2" t="inlineStr">
        <is>
          <t>Considering</t>
        </is>
      </c>
      <c r="W7" s="2" t="n"/>
      <c r="X7" s="2" t="inlineStr">
        <is>
          <t>Not applicable</t>
        </is>
      </c>
      <c r="Y7" s="2" t="n"/>
      <c r="Z7" s="2" t="n"/>
      <c r="AA7" s="2" t="n"/>
      <c r="AB7" s="2" t="n"/>
      <c r="AC7" s="2" t="inlineStr">
        <is>
          <t>Ad hoc</t>
        </is>
      </c>
      <c r="AD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Considering</t>
        </is>
      </c>
      <c r="H8" s="2" t="n"/>
      <c r="I8" s="2" t="inlineStr">
        <is>
          <t>Considering</t>
        </is>
      </c>
      <c r="J8" s="2" t="n"/>
      <c r="K8" s="2" t="n"/>
      <c r="L8" s="2" t="inlineStr">
        <is>
          <t>None</t>
        </is>
      </c>
      <c r="M8" s="2" t="n"/>
      <c r="N8" s="2" t="n"/>
      <c r="O8" s="2" t="inlineStr">
        <is>
          <t>We have a board of directors for the company Artefactual not the Archiveamtica software.</t>
        </is>
      </c>
      <c r="P8" s="2" t="inlineStr">
        <is>
          <t>Considering</t>
        </is>
      </c>
      <c r="Q8" s="2" t="inlineStr">
        <is>
          <t>Considering</t>
        </is>
      </c>
      <c r="R8" s="2" t="n"/>
      <c r="S8" s="2" t="n"/>
      <c r="T8" s="2" t="inlineStr">
        <is>
          <t>Implemented/available</t>
        </is>
      </c>
      <c r="U8" s="2" t="inlineStr">
        <is>
          <t>https://www.artefactual.com/pricing</t>
        </is>
      </c>
      <c r="V8" s="2" t="inlineStr">
        <is>
          <t>Considering</t>
        </is>
      </c>
      <c r="W8" s="2" t="n"/>
      <c r="X8" s="2" t="inlineStr">
        <is>
          <t>Implemented/available</t>
        </is>
      </c>
      <c r="Y8" s="2" t="inlineStr">
        <is>
          <t>https://www.artefactual.com/data-collection-and-privacy-notice</t>
        </is>
      </c>
      <c r="Z8" s="2" t="n"/>
      <c r="AA8" s="2" t="n"/>
      <c r="AB8" s="2" t="n"/>
      <c r="AC8" s="2" t="inlineStr">
        <is>
          <t>None</t>
        </is>
      </c>
      <c r="AD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Implemented/available</t>
        </is>
      </c>
      <c r="H9" s="2" t="inlineStr">
        <is>
          <t>https://archivesspace.org/governance-board-and-councils</t>
        </is>
      </c>
      <c r="I9" s="2" t="inlineStr">
        <is>
          <t>Implemented/available</t>
        </is>
      </c>
      <c r="J9" s="2" t="n"/>
      <c r="K9" s="2" t="inlineStr">
        <is>
          <t>https://archivesspace.atlassian.net/wiki/spaces/AC/overview</t>
        </is>
      </c>
      <c r="L9" s="2" t="inlineStr">
        <is>
          <t>Advisory board or steering committee</t>
        </is>
      </c>
      <c r="M9" s="2" t="n"/>
      <c r="N9" s="2" t="n"/>
      <c r="O9" s="2" t="inlineStr">
        <is>
          <t>high level decision-making and strategic discussions, ensuring the financial health of the organization and approval of the annual budget, overseeing and representing the ArchivesSpace community at large in the relationship with Lyrasis, the organizational home</t>
        </is>
      </c>
      <c r="P9" s="2" t="inlineStr">
        <is>
          <t>Implemented/available</t>
        </is>
      </c>
      <c r="Q9" s="2" t="inlineStr">
        <is>
          <t>Implemented/available</t>
        </is>
      </c>
      <c r="R9" s="2" t="inlineStr">
        <is>
          <t>https://archivesspace.org/application/accessibility-vpat</t>
        </is>
      </c>
      <c r="S9" s="2" t="inlineStr">
        <is>
          <t>Our tool or project</t>
        </is>
      </c>
      <c r="T9" s="2" t="inlineStr">
        <is>
          <t>Implemented/available</t>
        </is>
      </c>
      <c r="U9" s="2" t="inlineStr">
        <is>
          <t>https://archivesspace.org/membership/member-benefits</t>
        </is>
      </c>
      <c r="V9" s="2" t="inlineStr">
        <is>
          <t>Implemented/available</t>
        </is>
      </c>
      <c r="W9" s="2" t="inlineStr">
        <is>
          <t>https://archivesspace.org/about/anti-racism-inclusion-initiatives</t>
        </is>
      </c>
      <c r="X9" s="2" t="inlineStr">
        <is>
          <t>Implemented/available</t>
        </is>
      </c>
      <c r="Y9" s="2" t="inlineStr">
        <is>
          <t>https://archivesspace.org/about/lyrasis-privacy-policy</t>
        </is>
      </c>
      <c r="Z9" s="2" t="inlineStr">
        <is>
          <t>It Takes a Village Open Source Software Sustainability toolkit</t>
        </is>
      </c>
      <c r="AA9" s="2" t="n"/>
      <c r="AB9" s="2" t="n"/>
      <c r="AC9" s="2" t="inlineStr">
        <is>
          <t>Formal</t>
        </is>
      </c>
      <c r="AD9" s="2" t="inlineStr">
        <is>
          <t>https://archivesspace.org/governance-board-and-councils</t>
        </is>
      </c>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inlineStr">
        <is>
          <t>Implemented/available</t>
        </is>
      </c>
      <c r="H10" s="2" t="inlineStr">
        <is>
          <t>https://www.openaire.eu/governance</t>
        </is>
      </c>
      <c r="I10" s="2" t="inlineStr">
        <is>
          <t>Not planning</t>
        </is>
      </c>
      <c r="J10" s="2" t="n"/>
      <c r="K10" s="2" t="n"/>
      <c r="L10" s="2" t="inlineStr">
        <is>
          <t>Advisory board or steering committee</t>
        </is>
      </c>
      <c r="M10" s="2" t="n"/>
      <c r="N10" s="2" t="n"/>
      <c r="O10" s="2" t="inlineStr">
        <is>
          <t>The Board is essential in shaping OpenAIRE and thereby the ARGOS roadmap and development. They are regularly consulted and their input and decisions are highly valued and respected.</t>
        </is>
      </c>
      <c r="P10" s="2" t="inlineStr">
        <is>
          <t>Implemented/available</t>
        </is>
      </c>
      <c r="Q10" s="2" t="inlineStr">
        <is>
          <t>In progress</t>
        </is>
      </c>
      <c r="R10" s="2" t="n"/>
      <c r="S10" s="2" t="n"/>
      <c r="T10" s="2" t="inlineStr">
        <is>
          <t>Implemented/available</t>
        </is>
      </c>
      <c r="U10" s="2" t="inlineStr">
        <is>
          <t>https://catalogue.openaire.eu/service/openaire.argos/subscriptions</t>
        </is>
      </c>
      <c r="V10" s="2" t="inlineStr">
        <is>
          <t>Implemented/available</t>
        </is>
      </c>
      <c r="W10" s="2" t="inlineStr">
        <is>
          <t>https://www.openaire.eu/openaire-gep</t>
        </is>
      </c>
      <c r="X10" s="2" t="inlineStr">
        <is>
          <t>Implemented/available</t>
        </is>
      </c>
      <c r="Y10" s="2" t="inlineStr">
        <is>
          <t>https://www.openaire.eu/privacy-policy</t>
        </is>
      </c>
      <c r="Z10" s="2" t="inlineStr">
        <is>
          <t>FAIR Guiding Principles for Scientific Data Management and Stewardship</t>
        </is>
      </c>
      <c r="AA10" s="2" t="n"/>
      <c r="AB10" s="2" t="n"/>
      <c r="AC10" s="2" t="inlineStr">
        <is>
          <t>Formal</t>
        </is>
      </c>
      <c r="AD10" s="2" t="inlineStr">
        <is>
          <t>https://www.openaire.eu/organisation-2</t>
        </is>
      </c>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Implemented/available</t>
        </is>
      </c>
      <c r="H11" s="2" t="inlineStr">
        <is>
          <t>https://info.arxiv.org/about/governance.html</t>
        </is>
      </c>
      <c r="I11" s="2" t="inlineStr">
        <is>
          <t>Implemented/available</t>
        </is>
      </c>
      <c r="J11" s="2" t="inlineStr">
        <is>
          <t>&lt;p&gt;arXiv is &lt;a href="https://info.arxiv.org/about/governance.html" target="_blank"&gt;governed&lt;/a&gt; by the Leadership team with guidance from the arXiv &lt;a href="https://info.arxiv.org/about/people/science_advisory_council.html" target="_blank"&gt;Science Advisory Council&lt;/a&gt;, &lt;a href="https://info.arxiv.org/about/people/institutions_advisory_council.html" target="_blank"&gt;Institutions Advisory Council&lt;/a&gt;, and &lt;a href="https://info.arxiv.org/about/people/editorial_advisory_council.html" target="_blank"&gt;Editorial Advisory Council&lt;/a&gt;. arXiv is housed at &lt;a href="https://www.cornell.edu/" target="_blank"&gt;Cornell University&lt;/a&gt;.&lt;/p&gt;</t>
        </is>
      </c>
      <c r="K11" s="2" t="inlineStr">
        <is>
          <t>https://info.arxiv.org/about/reports/index.html</t>
        </is>
      </c>
      <c r="L11" s="2" t="inlineStr">
        <is>
          <t>Multi-board governance</t>
        </is>
      </c>
      <c r="M11" s="2" t="n"/>
      <c r="N11" s="2" t="n"/>
      <c r="O11" s="2" t="n"/>
      <c r="P11" s="2" t="inlineStr">
        <is>
          <t>Implemented/available</t>
        </is>
      </c>
      <c r="Q11" s="2" t="inlineStr">
        <is>
          <t>Implemented/available</t>
        </is>
      </c>
      <c r="R11" s="2" t="inlineStr">
        <is>
          <t>https://info.arxiv.org/help/web_accessibility.html</t>
        </is>
      </c>
      <c r="S11" s="2" t="inlineStr">
        <is>
          <t>Our website</t>
        </is>
      </c>
      <c r="T11" s="2" t="inlineStr">
        <is>
          <t>Implemented/available</t>
        </is>
      </c>
      <c r="U11" s="2" t="inlineStr">
        <is>
          <t>https://info.arxiv.org/about/funding.html</t>
        </is>
      </c>
      <c r="V11" s="2" t="inlineStr">
        <is>
          <t>Unknown</t>
        </is>
      </c>
      <c r="W11" s="2" t="n"/>
      <c r="X11" s="2" t="inlineStr">
        <is>
          <t>Implemented/available</t>
        </is>
      </c>
      <c r="Y11" s="2" t="inlineStr">
        <is>
          <t>https://info.arxiv.org/help/policies/privacy_policy.html</t>
        </is>
      </c>
      <c r="Z11" s="2" t="n"/>
      <c r="AA11" s="2" t="n"/>
      <c r="AB11" s="2" t="n"/>
      <c r="AC11" s="2" t="inlineStr">
        <is>
          <t>Formal</t>
        </is>
      </c>
      <c r="AD11" s="2" t="inlineStr">
        <is>
          <t>https://info.arxiv.org/about/arXiv_bylaws.html</t>
        </is>
      </c>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Considering</t>
        </is>
      </c>
      <c r="H12" s="2" t="n"/>
      <c r="I12" s="2" t="inlineStr">
        <is>
          <t>Considering</t>
        </is>
      </c>
      <c r="J12" s="2" t="n"/>
      <c r="K12" s="2" t="n"/>
      <c r="L12" s="2" t="n"/>
      <c r="M12" s="2" t="n"/>
      <c r="N12" s="2" t="n"/>
      <c r="O12" s="2" t="inlineStr">
        <is>
          <t xml:space="preserve">Artefactual the company has a board of directors. AtoM does not have a board but there is the AtoM Foundation, a federally incorporated, community driven, soliciting non-profit body. The Foundation was established in 2018 to oversee and support the development, sustainability and adoption of Access to Memory (AtoM). https://accesstomemoryfoundation.org/ </t>
        </is>
      </c>
      <c r="P12" s="2" t="inlineStr">
        <is>
          <t>Considering</t>
        </is>
      </c>
      <c r="Q12" s="2" t="inlineStr">
        <is>
          <t>In progress</t>
        </is>
      </c>
      <c r="R12" s="2" t="n"/>
      <c r="S12" s="2" t="n"/>
      <c r="T12" s="2" t="inlineStr">
        <is>
          <t>Implemented/available</t>
        </is>
      </c>
      <c r="U12" s="2" t="inlineStr">
        <is>
          <t>https://www.artefactual.com/pricing</t>
        </is>
      </c>
      <c r="V12" s="2" t="inlineStr">
        <is>
          <t>Considering</t>
        </is>
      </c>
      <c r="W12" s="2" t="n"/>
      <c r="X12" s="2" t="inlineStr">
        <is>
          <t>Implemented/available</t>
        </is>
      </c>
      <c r="Y12" s="2" t="inlineStr">
        <is>
          <t>https://www.artefactual.com/data-collection-and-privacy-notice</t>
        </is>
      </c>
      <c r="Z12" s="2" t="n"/>
      <c r="AA12" s="2" t="n"/>
      <c r="AB12" s="2" t="n"/>
      <c r="AC12" s="2" t="n"/>
      <c r="AD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Implemented/available</t>
        </is>
      </c>
      <c r="H13" s="2" t="inlineStr">
        <is>
          <t>https://samvera.atlassian.net/wiki/spaces/samvera/pages/1387986974/Samvera+Bylaws</t>
        </is>
      </c>
      <c r="I13" s="2" t="inlineStr">
        <is>
          <t>Implemented/available</t>
        </is>
      </c>
      <c r="J13" s="2" t="inlineStr">
        <is>
          <t>Avalon is a project of Samvera, a distinct series entity hosted by OASIS Open. Samvera is governed by a Board of Directors.</t>
        </is>
      </c>
      <c r="K13" s="2" t="inlineStr">
        <is>
          <t>https://samvera.atlassian.net/wiki/spaces/samvera/pages/426512038/Notes+from+Samvera+Board+meetings+and+calls</t>
        </is>
      </c>
      <c r="L13" s="2" t="inlineStr">
        <is>
          <t>Advisory board or steering committee</t>
        </is>
      </c>
      <c r="M13" s="2" t="n"/>
      <c r="N13" s="2" t="inlineStr">
        <is>
          <t>Other</t>
        </is>
      </c>
      <c r="O13" s="2" t="inlineStr">
        <is>
          <t>Avalon is a project of Samvera, a distinct series entity hosted by OASIS Open. Samvera is governed by a Board of Directors.</t>
        </is>
      </c>
      <c r="P13" s="2" t="inlineStr">
        <is>
          <t>Implemented/available</t>
        </is>
      </c>
      <c r="Q13" s="2" t="inlineStr">
        <is>
          <t>In progress</t>
        </is>
      </c>
      <c r="R13" s="2" t="n"/>
      <c r="S13" s="2" t="n"/>
      <c r="T13" s="2" t="inlineStr">
        <is>
          <t>No direct costs</t>
        </is>
      </c>
      <c r="U13" s="2" t="n"/>
      <c r="V13" s="2" t="inlineStr">
        <is>
          <t>Considering</t>
        </is>
      </c>
      <c r="W13" s="2" t="n"/>
      <c r="X13" s="2" t="inlineStr">
        <is>
          <t>Not planning</t>
        </is>
      </c>
      <c r="Y13" s="2" t="n"/>
      <c r="Z13" s="2" t="n"/>
      <c r="AA13" s="2" t="n"/>
      <c r="AB13" s="2" t="n"/>
      <c r="AC13" s="2" t="inlineStr">
        <is>
          <t>Formal</t>
        </is>
      </c>
      <c r="AD13" s="2" t="inlineStr">
        <is>
          <t>https://samvera.atlassian.net/wiki/spaces/samvera/pages/1387986974/Samvera+Bylaws</t>
        </is>
      </c>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inlineStr">
        <is>
          <t>Implemented/available</t>
        </is>
      </c>
      <c r="H14" s="2" t="inlineStr">
        <is>
          <t>https://about.biodiversitylibrary.org/about/bhl-consortium/</t>
        </is>
      </c>
      <c r="I14" s="2" t="inlineStr">
        <is>
          <t>Implemented/available</t>
        </is>
      </c>
      <c r="J14" s="2" t="inlineStr">
        <is>
          <t>BHL is led by a global consortium of libraries and hosted by the Smithsonian Libraries and Archives.</t>
        </is>
      </c>
      <c r="K14" s="2" t="inlineStr">
        <is>
          <t>https://about.biodiversitylibrary.org/about/strategic-plan/</t>
        </is>
      </c>
      <c r="L14" s="2" t="inlineStr">
        <is>
          <t>Advisory board or steering committee</t>
        </is>
      </c>
      <c r="M14" s="2" t="n"/>
      <c r="N14" s="2" t="inlineStr">
        <is>
          <t>Both</t>
        </is>
      </c>
      <c r="O14" s="2" t="n"/>
      <c r="P14" s="2" t="inlineStr">
        <is>
          <t>Implemented/available</t>
        </is>
      </c>
      <c r="Q14" s="2" t="inlineStr">
        <is>
          <t>Considering</t>
        </is>
      </c>
      <c r="R14" s="2" t="n"/>
      <c r="S14" s="2" t="n"/>
      <c r="T14" s="2" t="inlineStr">
        <is>
          <t>No direct costs</t>
        </is>
      </c>
      <c r="U14" s="2" t="n"/>
      <c r="V14" s="2" t="inlineStr">
        <is>
          <t>Considering</t>
        </is>
      </c>
      <c r="W14" s="2" t="n"/>
      <c r="X14" s="2" t="inlineStr">
        <is>
          <t>Implemented/available</t>
        </is>
      </c>
      <c r="Y14" s="2" t="inlineStr">
        <is>
          <t>https://www.si.edu/privacy</t>
        </is>
      </c>
      <c r="Z14" s="2" t="n"/>
      <c r="AA14" s="2" t="n"/>
      <c r="AB14" s="2" t="n"/>
      <c r="AC14" s="2" t="inlineStr">
        <is>
          <t>Formal</t>
        </is>
      </c>
      <c r="AD14" s="2" t="inlineStr">
        <is>
          <t>https://about.biodiversitylibrary.org/about/bylaws/</t>
        </is>
      </c>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In progress</t>
        </is>
      </c>
      <c r="H15" s="2" t="inlineStr">
        <is>
          <t>https://www.biorxiv.org/content/about-biorxiv</t>
        </is>
      </c>
      <c r="I15" s="2" t="inlineStr">
        <is>
          <t>Not planning</t>
        </is>
      </c>
      <c r="J15" s="2" t="inlineStr">
        <is>
          <t>&lt;p&gt;bioRxiv is governed by an &lt;a href="https://www.biorxiv.org/content/about-biorxiv" target="_blank"&gt;Advisory Board and Affiliates&lt;/a&gt;, and is housed at &lt;a href="https://www.cshl.edu/" target="_blank"&gt;Cold Spring Harbor Laboratory&lt;/a&gt;, which is governed by a &lt;a href="https://www.cshl.edu/about-us/board-of-trustees/" target="_blank"&gt;Board of Trustees&lt;/a&gt;. Additional governance development is in progress. &lt;/p&gt;</t>
        </is>
      </c>
      <c r="K15" s="2" t="n"/>
      <c r="L15" s="2" t="inlineStr">
        <is>
          <t>Advisory board or steering committee</t>
        </is>
      </c>
      <c r="M15" s="2" t="n"/>
      <c r="N15" s="2" t="n"/>
      <c r="O15" s="2" t="n"/>
      <c r="P15" s="2" t="inlineStr">
        <is>
          <t>Unknown</t>
        </is>
      </c>
      <c r="Q15" s="2" t="inlineStr">
        <is>
          <t>Considering</t>
        </is>
      </c>
      <c r="R15" s="2" t="n"/>
      <c r="S15" s="2" t="n"/>
      <c r="T15" s="2" t="inlineStr">
        <is>
          <t>No direct costs</t>
        </is>
      </c>
      <c r="U15" s="2" t="n"/>
      <c r="V15" s="2" t="inlineStr">
        <is>
          <t>In progress</t>
        </is>
      </c>
      <c r="W15" s="2" t="n"/>
      <c r="X15" s="2" t="inlineStr">
        <is>
          <t>Implemented/available</t>
        </is>
      </c>
      <c r="Y15" s="2" t="inlineStr">
        <is>
          <t>http://cshlp.org/misc/preprints_privacy_policy/</t>
        </is>
      </c>
      <c r="Z15" s="2" t="n"/>
      <c r="AA15" s="2" t="n"/>
      <c r="AB15" s="2" t="n"/>
      <c r="AC15" s="2" t="inlineStr">
        <is>
          <t>Ad hoc</t>
        </is>
      </c>
      <c r="AD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inlineStr">
        <is>
          <t>Implemented/available</t>
        </is>
      </c>
      <c r="H16" s="2" t="inlineStr">
        <is>
          <t>https://bitcuratorconsortium.org/about/executive-council/</t>
        </is>
      </c>
      <c r="I16" s="2" t="inlineStr">
        <is>
          <t>In progress</t>
        </is>
      </c>
      <c r="J16" s="2" t="inlineStr">
        <is>
          <t>BitCurator is a project of the BitCurator Consortium (BCC) is an independent, community-led membership association hosted by the Open Library Foundation, a 501(c)(3) Public Charity organization in the United States.</t>
        </is>
      </c>
      <c r="K16" s="2" t="n"/>
      <c r="L16" s="2" t="inlineStr">
        <is>
          <t>Advisory board or steering committee</t>
        </is>
      </c>
      <c r="M16" s="2" t="n"/>
      <c r="N16" s="2" t="inlineStr">
        <is>
          <t>Both</t>
        </is>
      </c>
      <c r="O16" s="2" t="n"/>
      <c r="P16" s="2" t="inlineStr">
        <is>
          <t>Implemented/available</t>
        </is>
      </c>
      <c r="Q16" s="2" t="inlineStr">
        <is>
          <t>Considering</t>
        </is>
      </c>
      <c r="R16" s="2" t="n"/>
      <c r="S16" s="2" t="n"/>
      <c r="T16" s="2" t="inlineStr">
        <is>
          <t>No direct costs</t>
        </is>
      </c>
      <c r="U16" s="2" t="n"/>
      <c r="V16" s="2" t="inlineStr">
        <is>
          <t>Implemented/available</t>
        </is>
      </c>
      <c r="W16" s="2" t="inlineStr">
        <is>
          <t>https://bitcuratorconsortium.org/inclusivity-statement/</t>
        </is>
      </c>
      <c r="X16" s="2" t="inlineStr">
        <is>
          <t>Implemented/available</t>
        </is>
      </c>
      <c r="Y16" s="2" t="inlineStr">
        <is>
          <t>https://bitcuratorconsortium.org/privacy-policy/</t>
        </is>
      </c>
      <c r="Z16" s="2" t="n"/>
      <c r="AA16" s="2" t="n"/>
      <c r="AB16" s="2" t="n"/>
      <c r="AC16" s="2" t="inlineStr">
        <is>
          <t>Formal</t>
        </is>
      </c>
      <c r="AD16" s="2" t="inlineStr">
        <is>
          <t>https://bitcuratorconsortium.org/bitcurator-consortium-charter/</t>
        </is>
      </c>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inlineStr">
        <is>
          <t>In progress</t>
        </is>
      </c>
      <c r="H17" s="2" t="n"/>
      <c r="I17" s="2" t="inlineStr">
        <is>
          <t>In progress</t>
        </is>
      </c>
      <c r="J17" s="2" t="inlineStr">
        <is>
          <t>Blacklight is a collaborative, open source project produced by developers from many diverse organizations. The project does not have a formal governance structure. Development is largely motivated by the needs of each developer’s organization.</t>
        </is>
      </c>
      <c r="K17" s="2" t="n"/>
      <c r="L17" s="2" t="inlineStr">
        <is>
          <t>None</t>
        </is>
      </c>
      <c r="M17" s="2" t="n"/>
      <c r="N17" s="2" t="n"/>
      <c r="O17" s="2" t="n"/>
      <c r="P17" s="2" t="inlineStr">
        <is>
          <t>In progress</t>
        </is>
      </c>
      <c r="Q17" s="2" t="inlineStr">
        <is>
          <t>In progress</t>
        </is>
      </c>
      <c r="R17" s="2" t="n"/>
      <c r="S17" s="2" t="n"/>
      <c r="T17" s="2" t="inlineStr">
        <is>
          <t>No direct costs</t>
        </is>
      </c>
      <c r="U17" s="2" t="n"/>
      <c r="V17" s="2" t="inlineStr">
        <is>
          <t>In progress</t>
        </is>
      </c>
      <c r="W17" s="2" t="n"/>
      <c r="X17" s="2" t="inlineStr">
        <is>
          <t>In progress</t>
        </is>
      </c>
      <c r="Y17" s="2" t="n"/>
      <c r="Z17" s="2" t="n"/>
      <c r="AA17" s="2" t="n"/>
      <c r="AB17" s="2" t="n"/>
      <c r="AC17" s="2" t="inlineStr">
        <is>
          <t>Ad hoc</t>
        </is>
      </c>
      <c r="AD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inlineStr">
        <is>
          <t>Unknown</t>
        </is>
      </c>
      <c r="H18" s="2" t="n"/>
      <c r="I18" s="2" t="inlineStr">
        <is>
          <t>In progress</t>
        </is>
      </c>
      <c r="J18" s="2" t="inlineStr">
        <is>
          <t>&lt;p&gt;BrCRIS is a project led by the &lt;a href="https://www.gov.br/ibict/pt-br" target="_blank"&gt;Instituto Brasileiro de Informação em Ciência e Tecnologia&lt;/a&gt; (IBICT), a national information body and research unit of the &lt;a href="https://www.gov.br/mcti/pt-br" target="_blank"&gt;Ministério da Ciência, Tecnologia e Inovação (MCTI)&lt;/a&gt;. &lt;/p&gt;</t>
        </is>
      </c>
      <c r="K18" s="2" t="inlineStr">
        <is>
          <t>https://brcris.ibict.br/about</t>
        </is>
      </c>
      <c r="L18" s="2" t="inlineStr">
        <is>
          <t>Advisory board or steering committee</t>
        </is>
      </c>
      <c r="M18" s="2" t="n"/>
      <c r="N18" s="2" t="n"/>
      <c r="O18" s="2" t="n"/>
      <c r="P18" s="2" t="inlineStr">
        <is>
          <t>Unknown</t>
        </is>
      </c>
      <c r="Q18" s="2" t="inlineStr">
        <is>
          <t>In progress</t>
        </is>
      </c>
      <c r="R18" s="2" t="n"/>
      <c r="S18" s="2" t="n"/>
      <c r="T18" s="2" t="inlineStr">
        <is>
          <t>Implemented/available</t>
        </is>
      </c>
      <c r="U18" s="2" t="inlineStr">
        <is>
          <t>https://brcris.ibict.br/about</t>
        </is>
      </c>
      <c r="V18" s="2" t="inlineStr">
        <is>
          <t>Considering</t>
        </is>
      </c>
      <c r="W18" s="2" t="n"/>
      <c r="X18" s="2" t="inlineStr">
        <is>
          <t>Implemented/available</t>
        </is>
      </c>
      <c r="Y18" s="2" t="inlineStr">
        <is>
          <t>https://brcris.ibict.br/about</t>
        </is>
      </c>
      <c r="Z18" s="2" t="n"/>
      <c r="AA18" s="2" t="n"/>
      <c r="AB18" s="2" t="n"/>
      <c r="AC18" s="2" t="inlineStr">
        <is>
          <t>Ad hoc</t>
        </is>
      </c>
      <c r="AD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inlineStr">
        <is>
          <t>Not planning</t>
        </is>
      </c>
      <c r="H19" s="2" t="n"/>
      <c r="I19" s="2" t="inlineStr">
        <is>
          <t>Not planning</t>
        </is>
      </c>
      <c r="J19" s="2" t="inlineStr">
        <is>
          <t>Browsertrix's development is overseen by Webrecorder Software LLC.</t>
        </is>
      </c>
      <c r="K19" s="2" t="n"/>
      <c r="L19" s="2" t="inlineStr">
        <is>
          <t>None</t>
        </is>
      </c>
      <c r="M19" s="2" t="n"/>
      <c r="N19" s="2" t="n"/>
      <c r="O19" s="2" t="inlineStr">
        <is>
          <t>To oversee Webrecorder</t>
        </is>
      </c>
      <c r="P19" s="2" t="inlineStr">
        <is>
          <t>Not planning</t>
        </is>
      </c>
      <c r="Q19" s="2" t="inlineStr">
        <is>
          <t>Unknown</t>
        </is>
      </c>
      <c r="R19" s="2" t="n"/>
      <c r="S19" s="2" t="n"/>
      <c r="T19" s="2" t="inlineStr">
        <is>
          <t>Implemented/available</t>
        </is>
      </c>
      <c r="U19" s="2" t="inlineStr">
        <is>
          <t>https://webrecorder.net/browsertrix/pricing/</t>
        </is>
      </c>
      <c r="V19" s="2" t="inlineStr">
        <is>
          <t>Unknown</t>
        </is>
      </c>
      <c r="W19" s="2" t="n"/>
      <c r="X19" s="2" t="inlineStr">
        <is>
          <t>Implemented/available</t>
        </is>
      </c>
      <c r="Y19" s="2" t="inlineStr">
        <is>
          <t>https://webrecorder.net/legal/webrecorder-privacy-policy/</t>
        </is>
      </c>
      <c r="Z19" s="2" t="n"/>
      <c r="AA19" s="2" t="n"/>
      <c r="AB19" s="2" t="n"/>
      <c r="AC19" s="2" t="inlineStr">
        <is>
          <t>None</t>
        </is>
      </c>
      <c r="AD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Implemented/available</t>
        </is>
      </c>
      <c r="H20" s="2" t="inlineStr">
        <is>
          <t>https://clockss.org/digital-archive-community/board-of-directors/</t>
        </is>
      </c>
      <c r="I20" s="2" t="inlineStr">
        <is>
          <t>Considering</t>
        </is>
      </c>
      <c r="J20" s="2" t="n"/>
      <c r="K20" s="2" t="n"/>
      <c r="L20" s="2" t="inlineStr">
        <is>
          <t>Advisory board or steering committee</t>
        </is>
      </c>
      <c r="M20" s="2" t="n"/>
      <c r="N20" s="2" t="n"/>
      <c r="O20" s="2" t="inlineStr">
        <is>
          <t xml:space="preserve">*Select and remove Officers and Agents and set their Terms of Reference
*Agree CLOCKSS strategy
*Ensure that there are funds to deliver the strategy; set and track the budget 
*Agree how to invest CLOCKSS money, or to incur debt
*Check that the strategy is being delivered, and request corrective action where necessary 
*Decide the level of risk that is right for CLOCKSS, require staff to identify risk and propose mitigating activities, agree and monitor this activity 
*Prepare the annual accounts and report, with support from staff 
*Act in the interests of CLOCKSS, not another individual or organization
</t>
        </is>
      </c>
      <c r="P20" s="2" t="inlineStr">
        <is>
          <t>Implemented/available</t>
        </is>
      </c>
      <c r="Q20" s="2" t="inlineStr">
        <is>
          <t>In progress</t>
        </is>
      </c>
      <c r="R20" s="2" t="n"/>
      <c r="S20" s="2" t="n"/>
      <c r="T20" s="2" t="inlineStr">
        <is>
          <t>Implemented/available</t>
        </is>
      </c>
      <c r="U20" s="2" t="inlineStr">
        <is>
          <t>https://clockss.org/join-clockss/</t>
        </is>
      </c>
      <c r="V20" s="2" t="inlineStr">
        <is>
          <t>Implemented/available</t>
        </is>
      </c>
      <c r="W20" s="2" t="inlineStr">
        <is>
          <t>https://clockss.org/biblio-equity-in-action-advancing-collection-development-for-diversity-equity-and-inclusion/</t>
        </is>
      </c>
      <c r="X20" s="2" t="inlineStr">
        <is>
          <t>Implemented/available</t>
        </is>
      </c>
      <c r="Y20" s="2" t="inlineStr">
        <is>
          <t>https://clockss.org/clockss-privacy-policy/</t>
        </is>
      </c>
      <c r="Z20" s="2" t="n"/>
      <c r="AA20" s="2" t="n"/>
      <c r="AB20" s="2" t="n"/>
      <c r="AC20" s="2" t="inlineStr">
        <is>
          <t>Formal</t>
        </is>
      </c>
      <c r="AD20" s="2" t="inlineStr">
        <is>
          <t>https://clockss.org/wp-content/uploads/2024/03/DIGITAL-DISTRIBUTED-COMMUNITY-ARCHIVE-ByLaws.pdf</t>
        </is>
      </c>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inlineStr">
        <is>
          <t>Implemented/available</t>
        </is>
      </c>
      <c r="H21" s="2" t="inlineStr">
        <is>
          <t>https://coar-repositories.org/about-coar/</t>
        </is>
      </c>
      <c r="I21" s="2" t="inlineStr">
        <is>
          <t>Considering</t>
        </is>
      </c>
      <c r="J21" s="2" t="inlineStr">
        <is>
          <t>The Stichting COAR is a not-for-profit foundation that was created on April 3, 2023 in accordance with the Netherlands Civil Code (Art. 2:285 et seq.). It is governed by a board of directors.</t>
        </is>
      </c>
      <c r="K21" s="2" t="n"/>
      <c r="L21" s="2" t="inlineStr">
        <is>
          <t>Advisory board or steering committee</t>
        </is>
      </c>
      <c r="M21" s="2" t="n"/>
      <c r="N21" s="2" t="inlineStr">
        <is>
          <t>Provider</t>
        </is>
      </c>
      <c r="O21" s="2" t="n"/>
      <c r="P21" s="2" t="inlineStr">
        <is>
          <t>In progress</t>
        </is>
      </c>
      <c r="Q21" s="2" t="inlineStr">
        <is>
          <t>Considering</t>
        </is>
      </c>
      <c r="R21" s="2" t="n"/>
      <c r="S21" s="2" t="n"/>
      <c r="T21" s="2" t="inlineStr">
        <is>
          <t>No direct costs</t>
        </is>
      </c>
      <c r="U21" s="2" t="n"/>
      <c r="V21" s="2" t="inlineStr">
        <is>
          <t>Implemented/available</t>
        </is>
      </c>
      <c r="W21" s="2" t="inlineStr">
        <is>
          <t>http://www.coar-repositories.org/</t>
        </is>
      </c>
      <c r="X21" s="2" t="inlineStr">
        <is>
          <t>Not planning</t>
        </is>
      </c>
      <c r="Y21" s="2" t="n"/>
      <c r="Z21" s="2" t="n"/>
      <c r="AA21" s="2" t="n"/>
      <c r="AB21" s="2" t="n"/>
      <c r="AC21" s="2" t="inlineStr">
        <is>
          <t>Ad hoc</t>
        </is>
      </c>
      <c r="AD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inlineStr">
        <is>
          <t>Implemented/available</t>
        </is>
      </c>
      <c r="H22" s="2" t="inlineStr">
        <is>
          <t>https://coar-notify.net/about/editorial/</t>
        </is>
      </c>
      <c r="I22" s="2" t="inlineStr">
        <is>
          <t>Considering</t>
        </is>
      </c>
      <c r="J22" s="2" t="inlineStr">
        <is>
          <t>The Stichting COAR is a not-for-profit foundation that was created on April 3, 2023 in accordance with the Netherlands Civil Code (Art. 2:285 et seq.). It is governed by a board of directors.</t>
        </is>
      </c>
      <c r="K22" s="2" t="n"/>
      <c r="L22" s="2" t="inlineStr">
        <is>
          <t>Other</t>
        </is>
      </c>
      <c r="M22" s="2" t="inlineStr">
        <is>
          <t>Editorial Board</t>
        </is>
      </c>
      <c r="N22" s="2" t="n"/>
      <c r="O22" s="2" t="n"/>
      <c r="P22" s="2" t="inlineStr">
        <is>
          <t>Not planning</t>
        </is>
      </c>
      <c r="Q22" s="2" t="inlineStr">
        <is>
          <t>Considering</t>
        </is>
      </c>
      <c r="R22" s="2" t="n"/>
      <c r="S22" s="2" t="n"/>
      <c r="T22" s="2" t="inlineStr">
        <is>
          <t>No direct costs</t>
        </is>
      </c>
      <c r="U22" s="2" t="n"/>
      <c r="V22" s="2" t="inlineStr">
        <is>
          <t>Implemented/available</t>
        </is>
      </c>
      <c r="W22" s="2" t="inlineStr">
        <is>
          <t>http://www.coar-repositories.org/</t>
        </is>
      </c>
      <c r="X22" s="2" t="inlineStr">
        <is>
          <t>Not planning</t>
        </is>
      </c>
      <c r="Y22" s="2" t="n"/>
      <c r="Z22" s="2" t="n"/>
      <c r="AA22" s="2" t="n"/>
      <c r="AB22" s="2" t="n"/>
      <c r="AC22" s="2" t="inlineStr">
        <is>
          <t>Ad hoc</t>
        </is>
      </c>
      <c r="AD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inlineStr">
        <is>
          <t>Not planning</t>
        </is>
      </c>
      <c r="H23" s="2" t="n"/>
      <c r="I23" s="2" t="inlineStr">
        <is>
          <t>Not planning</t>
        </is>
      </c>
      <c r="J23" s="2" t="n"/>
      <c r="K23" s="2" t="n"/>
      <c r="L23" s="2" t="inlineStr">
        <is>
          <t>None</t>
        </is>
      </c>
      <c r="M23" s="2" t="n"/>
      <c r="N23" s="2" t="n"/>
      <c r="O23" s="2" t="inlineStr">
        <is>
          <t>No board.</t>
        </is>
      </c>
      <c r="P23" s="2" t="inlineStr">
        <is>
          <t>Not planning</t>
        </is>
      </c>
      <c r="Q23" s="2" t="inlineStr">
        <is>
          <t>In progress</t>
        </is>
      </c>
      <c r="R23" s="2" t="n"/>
      <c r="S23" s="2" t="n"/>
      <c r="T23" s="2" t="inlineStr">
        <is>
          <t>No direct costs</t>
        </is>
      </c>
      <c r="U23" s="2" t="n"/>
      <c r="V23" s="2" t="inlineStr">
        <is>
          <t>Not planning</t>
        </is>
      </c>
      <c r="W23" s="2" t="n"/>
      <c r="X23" s="2" t="inlineStr">
        <is>
          <t>Not planning</t>
        </is>
      </c>
      <c r="Y23" s="2" t="n"/>
      <c r="Z23" s="2" t="inlineStr">
        <is>
          <t>It Takes a Village Open Source Software Sustainability toolkit</t>
        </is>
      </c>
      <c r="AA23" s="2" t="n"/>
      <c r="AB23" s="2" t="n"/>
      <c r="AC23" s="2" t="inlineStr">
        <is>
          <t>Ad hoc</t>
        </is>
      </c>
      <c r="AD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Implemented/available</t>
        </is>
      </c>
      <c r="H24" s="2" t="inlineStr">
        <is>
          <t>https://core.ac.uk/governance</t>
        </is>
      </c>
      <c r="I24" s="2" t="inlineStr">
        <is>
          <t>In progress</t>
        </is>
      </c>
      <c r="J24" s="2" t="inlineStr">
        <is>
          <t>&lt;p&gt;CORE is a &lt;a href="https://core.ac.uk/governance" target="_blank"&gt;community governed service&lt;/a&gt;, governed by an Advisory Board, Board of Supporters, The Open University Stakeholder Group, Research networks representatives, and CORE Leadership and management team. &lt;/p&gt;</t>
        </is>
      </c>
      <c r="K24" s="2" t="n"/>
      <c r="L24" s="2" t="inlineStr">
        <is>
          <t>Multi-board governance</t>
        </is>
      </c>
      <c r="M24" s="2" t="n"/>
      <c r="N24" s="2" t="n"/>
      <c r="O24" s="2" t="n"/>
      <c r="P24" s="2" t="inlineStr">
        <is>
          <t>Implemented/available</t>
        </is>
      </c>
      <c r="Q24" s="2" t="inlineStr">
        <is>
          <t>Implemented/available</t>
        </is>
      </c>
      <c r="R24" s="2" t="inlineStr">
        <is>
          <t>https://core.ac.uk/accessibility</t>
        </is>
      </c>
      <c r="S24" s="2" t="inlineStr">
        <is>
          <t>Our website</t>
        </is>
      </c>
      <c r="T24" s="2" t="inlineStr">
        <is>
          <t>Implemented/available</t>
        </is>
      </c>
      <c r="U24" s="2" t="inlineStr">
        <is>
          <t>https://core.ac.uk/membership</t>
        </is>
      </c>
      <c r="V24" s="2" t="inlineStr">
        <is>
          <t>Considering</t>
        </is>
      </c>
      <c r="W24" s="2" t="n"/>
      <c r="X24" s="2" t="inlineStr">
        <is>
          <t>Implemented/available</t>
        </is>
      </c>
      <c r="Y24" s="2" t="inlineStr">
        <is>
          <t>https://core.ac.uk/privacy</t>
        </is>
      </c>
      <c r="Z24" s="2" t="n"/>
      <c r="AA24" s="2" t="n"/>
      <c r="AB24" s="2" t="n"/>
      <c r="AC24" s="2" t="inlineStr">
        <is>
          <t>Formal</t>
        </is>
      </c>
      <c r="AD24" s="2" t="inlineStr">
        <is>
          <t>https://core.ac.uk/governance</t>
        </is>
      </c>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Implemented/available</t>
        </is>
      </c>
      <c r="H25" s="2" t="inlineStr">
        <is>
          <t>https://www.countermetrics.org/about/people/</t>
        </is>
      </c>
      <c r="I25" s="2" t="inlineStr">
        <is>
          <t>Implemented/available</t>
        </is>
      </c>
      <c r="J25" s="2" t="inlineStr">
        <is>
          <t>COUNTER is a non-profit organization supported by a global community of library, publisher and vendor members, who contribute to the development of the Code of Practice through working groups and outreach. We are governed by a Board of Directors responsible for ensuring we deliver on our mission, while our Executive Committee oversees operational activities including technical development of the Code of Practice. 
You can find out more at https://www.countermetrics.org/about/</t>
        </is>
      </c>
      <c r="K25" s="2" t="inlineStr">
        <is>
          <t>https://www.countermetrics.org/category/agm-minutes/</t>
        </is>
      </c>
      <c r="L25" s="2" t="inlineStr">
        <is>
          <t>Multi-board governance</t>
        </is>
      </c>
      <c r="M25" s="2" t="n"/>
      <c r="N25" s="2" t="n"/>
      <c r="O25" s="2" t="n"/>
      <c r="P25" s="2" t="inlineStr">
        <is>
          <t>Implemented/available</t>
        </is>
      </c>
      <c r="Q25" s="2" t="inlineStr">
        <is>
          <t>Implemented/available</t>
        </is>
      </c>
      <c r="R25" s="2" t="inlineStr">
        <is>
          <t>https://www.countermetrics.org/accessibility/</t>
        </is>
      </c>
      <c r="S25" s="2" t="inlineStr">
        <is>
          <t>Our tool or project | Our website</t>
        </is>
      </c>
      <c r="T25" s="2" t="inlineStr">
        <is>
          <t>Implemented/available</t>
        </is>
      </c>
      <c r="U25" s="2" t="inlineStr">
        <is>
          <t>https://www.countermetrics.org/members/</t>
        </is>
      </c>
      <c r="V25" s="2" t="inlineStr">
        <is>
          <t>In progress</t>
        </is>
      </c>
      <c r="W25" s="2" t="n"/>
      <c r="X25" s="2" t="inlineStr">
        <is>
          <t>Implemented/available</t>
        </is>
      </c>
      <c r="Y25" s="2" t="inlineStr">
        <is>
          <t>https://www.countermetrics.org/privacy-data-protection/</t>
        </is>
      </c>
      <c r="Z25" s="2" t="inlineStr">
        <is>
          <t>Principles for Open Scholarly Infrastructure (POSI)</t>
        </is>
      </c>
      <c r="AA25" s="2" t="n"/>
      <c r="AB25" s="2" t="n"/>
      <c r="AC25" s="2" t="inlineStr">
        <is>
          <t>Formal</t>
        </is>
      </c>
      <c r="AD25" s="2" t="inlineStr">
        <is>
          <t>https://find-and-update.company-information.service.gov.uk/company/04865179/filing-history</t>
        </is>
      </c>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Implemented/available</t>
        </is>
      </c>
      <c r="H26" s="2" t="inlineStr">
        <is>
          <t>https://creativecommons.org/mission/team/</t>
        </is>
      </c>
      <c r="I26" s="2" t="inlineStr">
        <is>
          <t>Implemented/available</t>
        </is>
      </c>
      <c r="J26" s="2" t="inlineStr">
        <is>
          <t>&lt;p&gt;Creative Commons is &lt;a href="https://creativecommons.org/mission/team/" target="_blank"&gt;governed by&lt;/a&gt; a Board and Advisory Council. &lt;/p&gt;</t>
        </is>
      </c>
      <c r="K26" s="2" t="inlineStr">
        <is>
          <t>https://drive.google.com/file/d/10rQDv5Hzuss38oi1ovGuoxHagmFzqn_f/view</t>
        </is>
      </c>
      <c r="L26" s="2" t="inlineStr">
        <is>
          <t>Advisory board or steering committee</t>
        </is>
      </c>
      <c r="M26" s="2" t="n"/>
      <c r="N26" s="2" t="n"/>
      <c r="O26" s="2" t="n"/>
      <c r="P26" s="2" t="inlineStr">
        <is>
          <t>Unknown</t>
        </is>
      </c>
      <c r="Q26" s="2" t="inlineStr">
        <is>
          <t>Considering</t>
        </is>
      </c>
      <c r="R26" s="2" t="n"/>
      <c r="S26" s="2" t="n"/>
      <c r="T26" s="2" t="inlineStr">
        <is>
          <t>No direct costs</t>
        </is>
      </c>
      <c r="U26" s="2" t="n"/>
      <c r="V26" s="2" t="inlineStr">
        <is>
          <t>In progress</t>
        </is>
      </c>
      <c r="W26" s="2" t="n"/>
      <c r="X26" s="2" t="inlineStr">
        <is>
          <t>Implemented/available</t>
        </is>
      </c>
      <c r="Y26" s="2" t="inlineStr">
        <is>
          <t>https://creativecommons.org/privacy/</t>
        </is>
      </c>
      <c r="Z26" s="2" t="n"/>
      <c r="AA26" s="2" t="n"/>
      <c r="AB26" s="2" t="n"/>
      <c r="AC26" s="2" t="inlineStr">
        <is>
          <t>None</t>
        </is>
      </c>
      <c r="AD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Implemented/available</t>
        </is>
      </c>
      <c r="H27" s="2" t="inlineStr">
        <is>
          <t>https://www.crossref.org/board-and-governance/</t>
        </is>
      </c>
      <c r="I27" s="2" t="inlineStr">
        <is>
          <t>Implemented/available</t>
        </is>
      </c>
      <c r="J27" s="2" t="inlineStr">
        <is>
          <t>&lt;p&gt;Crossref is governed by a &lt;a href="https://www.crossref.org/board-and-governance/" target="_blank"&gt;Board of Directors&lt;/a&gt;, elected by its members. Their board consists of a representative balance of 16 institutions, publishers, or funders, and they are responsible for the fiduciary and strategic oversight of the organisation. &lt;/p&gt;</t>
        </is>
      </c>
      <c r="K27" s="2" t="inlineStr">
        <is>
          <t>https://www.crossref.org/board-and-governance/</t>
        </is>
      </c>
      <c r="L27" s="2" t="inlineStr">
        <is>
          <t>Multi-board governance</t>
        </is>
      </c>
      <c r="M27" s="2" t="n"/>
      <c r="N27" s="2" t="n"/>
      <c r="O27" s="2" t="n"/>
      <c r="P27" s="2" t="inlineStr">
        <is>
          <t>Implemented/available</t>
        </is>
      </c>
      <c r="Q27" s="2" t="inlineStr">
        <is>
          <t>In progress</t>
        </is>
      </c>
      <c r="R27" s="2" t="n"/>
      <c r="S27" s="2" t="n"/>
      <c r="T27" s="2" t="inlineStr">
        <is>
          <t>Implemented/available</t>
        </is>
      </c>
      <c r="U27" s="2" t="inlineStr">
        <is>
          <t>https://www.crossref.org/fees/</t>
        </is>
      </c>
      <c r="V27" s="2" t="inlineStr">
        <is>
          <t>Implemented/available</t>
        </is>
      </c>
      <c r="W27" s="2" t="inlineStr">
        <is>
          <t>https://www.crossref.org/gem/</t>
        </is>
      </c>
      <c r="X27" s="2" t="inlineStr">
        <is>
          <t>Implemented/available</t>
        </is>
      </c>
      <c r="Y27" s="2" t="inlineStr">
        <is>
          <t>https://www.crossref.org/operations-and-sustainability/privacy/</t>
        </is>
      </c>
      <c r="Z27" s="2" t="inlineStr">
        <is>
          <t>Principles for Open Scholarly Infrastructure (POSI)</t>
        </is>
      </c>
      <c r="AA27" s="2" t="n"/>
      <c r="AB27" s="2" t="n"/>
      <c r="AC27" s="2" t="inlineStr">
        <is>
          <t>Formal</t>
        </is>
      </c>
      <c r="AD27" s="2" t="inlineStr">
        <is>
          <t>https://www.crossref.org/board-and-governance/bylaws/</t>
        </is>
      </c>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inlineStr">
        <is>
          <t>In progress</t>
        </is>
      </c>
      <c r="H28" s="2" t="n"/>
      <c r="I28" s="2" t="inlineStr">
        <is>
          <t>Considering</t>
        </is>
      </c>
      <c r="J28" s="2" t="n"/>
      <c r="K28" s="2" t="n"/>
      <c r="L28" s="2" t="n"/>
      <c r="M28" s="2" t="n"/>
      <c r="N28" s="2" t="n"/>
      <c r="O28" s="2" t="n"/>
      <c r="P28" s="2" t="inlineStr">
        <is>
          <t>Not planning</t>
        </is>
      </c>
      <c r="Q28" s="2" t="inlineStr">
        <is>
          <t>Considering</t>
        </is>
      </c>
      <c r="R28" s="2" t="n"/>
      <c r="S28" s="2" t="n"/>
      <c r="T28" s="2" t="inlineStr">
        <is>
          <t>Implemented/available</t>
        </is>
      </c>
      <c r="U28" s="2" t="inlineStr">
        <is>
          <t>https://www.d4science.org/faq</t>
        </is>
      </c>
      <c r="V28" s="2" t="inlineStr">
        <is>
          <t>Considering</t>
        </is>
      </c>
      <c r="W28" s="2" t="n"/>
      <c r="X28" s="2" t="inlineStr">
        <is>
          <t>Implemented/available</t>
        </is>
      </c>
      <c r="Y28" s="2" t="inlineStr">
        <is>
          <t>https://www.iubenda.com/privacy-policy/441050</t>
        </is>
      </c>
      <c r="Z28" s="2" t="n"/>
      <c r="AA28" s="2" t="n"/>
      <c r="AB28" s="2" t="n"/>
      <c r="AC28" s="2" t="n"/>
      <c r="AD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inlineStr">
        <is>
          <t>Implemented/available</t>
        </is>
      </c>
      <c r="H29" s="2" t="inlineStr">
        <is>
          <t>https://aptrust.org/governance/</t>
        </is>
      </c>
      <c r="I29" s="2" t="inlineStr">
        <is>
          <t>Considering</t>
        </is>
      </c>
      <c r="J29" s="2" t="inlineStr">
        <is>
          <t>The Governing Board is the primary governing body for APTrust. The Board defines and recommends strategic direction to meet operational and strategic goals, and it provides advice and oversight for the budget and finances. The Board meets in person or by phone as needed and holds an annual meeting with all institutional members. The APTrust Advisory Committee comprises two representatives from each of the APTrust Sustaining Member institutions. They are appointed annually by their respective deans, and two members of the committee are selected to serve as co-chairs and liaisons to the APTrust Governing Board, where they are voting members. Advisory Committee members bring expertise in their respective fields, as well as in policy matters and priorities, to APTrust. The group keeps the broader community informed about and connected to the developing digital preservation infrastructure.</t>
        </is>
      </c>
      <c r="K29" s="2" t="n"/>
      <c r="L29" s="2" t="inlineStr">
        <is>
          <t>Advisory board or steering committee</t>
        </is>
      </c>
      <c r="M29" s="2" t="n"/>
      <c r="N29" s="2" t="n"/>
      <c r="O29" s="2" t="inlineStr">
        <is>
          <t xml:space="preserve">The Governing Board is the primary governing body for APTrust; however, member institutions contribute actively to governance through input gathered by the Board. The Board defines and recommends strategic direction to help meet operational and strategic goals and provides advice and oversight for the budget and finances. </t>
        </is>
      </c>
      <c r="P29" s="2" t="inlineStr">
        <is>
          <t>Implemented/available</t>
        </is>
      </c>
      <c r="Q29" s="2" t="inlineStr">
        <is>
          <t>In progress</t>
        </is>
      </c>
      <c r="R29" s="2" t="n"/>
      <c r="S29" s="2" t="n"/>
      <c r="T29" s="2" t="inlineStr">
        <is>
          <t>No direct costs</t>
        </is>
      </c>
      <c r="U29" s="2" t="n"/>
      <c r="V29" s="2" t="inlineStr">
        <is>
          <t>Implemented/available</t>
        </is>
      </c>
      <c r="W29" s="2" t="inlineStr">
        <is>
          <t>https://aptrust.org/resources/policies/#vision-mission-and-shared-values</t>
        </is>
      </c>
      <c r="X29" s="2" t="inlineStr">
        <is>
          <t>Not planning</t>
        </is>
      </c>
      <c r="Y29" s="2" t="n"/>
      <c r="Z29" s="2" t="n"/>
      <c r="AA29" s="2" t="n"/>
      <c r="AB29" s="2" t="n"/>
      <c r="AC29" s="2" t="inlineStr">
        <is>
          <t>Formal</t>
        </is>
      </c>
      <c r="AD29" s="2" t="inlineStr">
        <is>
          <t>https://aptrust.org/resources/policies/#governance-manual</t>
        </is>
      </c>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inlineStr">
        <is>
          <t>Implemented/available</t>
        </is>
      </c>
      <c r="H30" s="2" t="inlineStr">
        <is>
          <t>https://www.ur-library.de/en/ezb-dbis-advisory-board/</t>
        </is>
      </c>
      <c r="I30" s="2" t="inlineStr">
        <is>
          <t>Implemented/available</t>
        </is>
      </c>
      <c r="J30" s="2" t="inlineStr">
        <is>
          <t>The EZB-DBIS Advisory Board represents the wishes and requirements of the participating institutions. The advisory board members advise the Regensburg University Library on strategic issues, provide suggestions for optimization, and offer broad input for the further development of both the EZB and DBIS services.</t>
        </is>
      </c>
      <c r="K30" s="2" t="inlineStr">
        <is>
          <t>https://www.ur-library.de/en/ezb-dbis-advisory-board/</t>
        </is>
      </c>
      <c r="L30" s="2" t="inlineStr">
        <is>
          <t>Advisory board or steering committee</t>
        </is>
      </c>
      <c r="M30" s="2" t="n"/>
      <c r="N30" s="2" t="n"/>
      <c r="O30" s="2" t="n"/>
      <c r="P30" s="2" t="inlineStr">
        <is>
          <t>Unknown</t>
        </is>
      </c>
      <c r="Q30" s="2" t="inlineStr">
        <is>
          <t>Unknown</t>
        </is>
      </c>
      <c r="R30" s="2" t="n"/>
      <c r="S30" s="2" t="n"/>
      <c r="T30" s="2" t="inlineStr">
        <is>
          <t>No direct costs</t>
        </is>
      </c>
      <c r="U30" s="2" t="n"/>
      <c r="V30" s="2" t="inlineStr">
        <is>
          <t>Unknown</t>
        </is>
      </c>
      <c r="W30" s="2" t="n"/>
      <c r="X30" s="2" t="inlineStr">
        <is>
          <t>Implemented/available</t>
        </is>
      </c>
      <c r="Y30" s="2" t="inlineStr">
        <is>
          <t>https://www.uni-regensburg.de/en/data-protection</t>
        </is>
      </c>
      <c r="Z30" s="2" t="n"/>
      <c r="AA30" s="2" t="n"/>
      <c r="AB30" s="2" t="n"/>
      <c r="AC30" s="2" t="inlineStr">
        <is>
          <t>Ad hoc</t>
        </is>
      </c>
      <c r="AD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inlineStr">
        <is>
          <t>Implemented/available</t>
        </is>
      </c>
      <c r="H31" s="2" t="inlineStr">
        <is>
          <t>https://makedatacount.org/learn-about-us/#section-4</t>
        </is>
      </c>
      <c r="I31" s="2" t="inlineStr">
        <is>
          <t>Not planning</t>
        </is>
      </c>
      <c r="J31" s="2" t="inlineStr">
        <is>
          <t>Make Data Count is managed by the Make Data Count Director, a Sustainability Committee, and an Advisory Group. DataCite serves as a the fiscal home of Make Data Count.</t>
        </is>
      </c>
      <c r="K31" s="2" t="n"/>
      <c r="L31" s="2" t="inlineStr">
        <is>
          <t>None</t>
        </is>
      </c>
      <c r="M31" s="2" t="n"/>
      <c r="N31" s="2" t="n"/>
      <c r="O31" s="2" t="n"/>
      <c r="P31" s="2" t="inlineStr">
        <is>
          <t>Not planning</t>
        </is>
      </c>
      <c r="Q31" s="2" t="inlineStr">
        <is>
          <t>Considering</t>
        </is>
      </c>
      <c r="R31" s="2" t="n"/>
      <c r="S31" s="2" t="n"/>
      <c r="T31" s="2" t="inlineStr">
        <is>
          <t>No direct costs</t>
        </is>
      </c>
      <c r="U31" s="2" t="n"/>
      <c r="V31" s="2" t="inlineStr">
        <is>
          <t>Not planning</t>
        </is>
      </c>
      <c r="W31" s="2" t="n"/>
      <c r="X31" s="2" t="inlineStr">
        <is>
          <t>Implemented/available</t>
        </is>
      </c>
      <c r="Y31" s="2" t="inlineStr">
        <is>
          <t>https://makedatacount.org/privacy-policy/</t>
        </is>
      </c>
      <c r="Z31" s="2" t="inlineStr">
        <is>
          <t>Principles for Open Scholarly Infrastructure (POSI)</t>
        </is>
      </c>
      <c r="AA31" s="2" t="n"/>
      <c r="AB31" s="2" t="n"/>
      <c r="AC31" s="2" t="inlineStr">
        <is>
          <t>Ad hoc</t>
        </is>
      </c>
      <c r="AD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Implemented/available</t>
        </is>
      </c>
      <c r="H32" s="2" t="inlineStr">
        <is>
          <t>https://datacite.org/governance/</t>
        </is>
      </c>
      <c r="I32" s="2" t="inlineStr">
        <is>
          <t>Implemented/available</t>
        </is>
      </c>
      <c r="J32" s="2" t="inlineStr">
        <is>
          <t>&lt;p&gt;DataCite is &lt;a href="https://datacite.org/governance/" target="_blank"&gt;governed by&lt;/a&gt; its members and Executive Board.&lt;/p&gt;</t>
        </is>
      </c>
      <c r="K32" s="2" t="inlineStr">
        <is>
          <t>https://datacite.org/governance/</t>
        </is>
      </c>
      <c r="L32" s="2" t="inlineStr">
        <is>
          <t>Advisory board or steering committee</t>
        </is>
      </c>
      <c r="M32" s="2" t="n"/>
      <c r="N32" s="2" t="n"/>
      <c r="O32" s="2" t="n"/>
      <c r="P32" s="2" t="inlineStr">
        <is>
          <t>Implemented/available</t>
        </is>
      </c>
      <c r="Q32" s="2" t="inlineStr">
        <is>
          <t>In progress</t>
        </is>
      </c>
      <c r="R32" s="2" t="n"/>
      <c r="S32" s="2" t="n"/>
      <c r="T32" s="2" t="inlineStr">
        <is>
          <t>Implemented/available</t>
        </is>
      </c>
      <c r="U32" s="2" t="inlineStr">
        <is>
          <t>https://datacite.org/fee-model/</t>
        </is>
      </c>
      <c r="V32" s="2" t="inlineStr">
        <is>
          <t>Implemented/available</t>
        </is>
      </c>
      <c r="W32" s="2" t="inlineStr">
        <is>
          <t>https://datacite.org/commitment-to-equity-and-inclusion/</t>
        </is>
      </c>
      <c r="X32" s="2" t="inlineStr">
        <is>
          <t>Implemented/available</t>
        </is>
      </c>
      <c r="Y32" s="2" t="inlineStr">
        <is>
          <t>https://datacite.org/privacy-policy/</t>
        </is>
      </c>
      <c r="Z32" s="2" t="n"/>
      <c r="AA32" s="2" t="n"/>
      <c r="AB32" s="2" t="n"/>
      <c r="AC32" s="2" t="inlineStr">
        <is>
          <t>Formal</t>
        </is>
      </c>
      <c r="AD32" s="2" t="inlineStr">
        <is>
          <t>https://datacite.org/wp-content/uploads/2023/06/Statutes_26April2022.pdf</t>
        </is>
      </c>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inlineStr">
        <is>
          <t>Implemented/available</t>
        </is>
      </c>
      <c r="H33" s="2" t="inlineStr">
        <is>
          <t>https://ds-wizard.org/about</t>
        </is>
      </c>
      <c r="I33" s="2" t="inlineStr">
        <is>
          <t>Not planning</t>
        </is>
      </c>
      <c r="J33" s="2" t="inlineStr">
        <is>
          <t>Data Stewardship Wizard is hosted by the Czech Technical University in Prague / ELIXIR-CZ.</t>
        </is>
      </c>
      <c r="K33" s="2" t="n"/>
      <c r="L33" s="2" t="inlineStr">
        <is>
          <t>Advisory board or steering committee</t>
        </is>
      </c>
      <c r="M33" s="2" t="n"/>
      <c r="N33" s="2" t="n"/>
      <c r="O33" s="2" t="n"/>
      <c r="P33" s="2" t="inlineStr">
        <is>
          <t>Not planning</t>
        </is>
      </c>
      <c r="Q33" s="2" t="inlineStr">
        <is>
          <t>In progress</t>
        </is>
      </c>
      <c r="R33" s="2" t="n"/>
      <c r="S33" s="2" t="n"/>
      <c r="T33" s="2" t="inlineStr">
        <is>
          <t>No direct costs</t>
        </is>
      </c>
      <c r="U33" s="2" t="n"/>
      <c r="V33" s="2" t="inlineStr">
        <is>
          <t>Implemented/available</t>
        </is>
      </c>
      <c r="W33" s="2" t="inlineStr">
        <is>
          <t>https://discord.com/channels/693010138302513174/1102900416783597620</t>
        </is>
      </c>
      <c r="X33" s="2" t="inlineStr">
        <is>
          <t>Not planning</t>
        </is>
      </c>
      <c r="Y33" s="2" t="n"/>
      <c r="Z33" s="2" t="inlineStr">
        <is>
          <t>FAIR Guiding Principles for Scientific Data Management and Stewardship</t>
        </is>
      </c>
      <c r="AA33" s="2" t="n"/>
      <c r="AB33" s="2" t="n"/>
      <c r="AC33" s="2" t="inlineStr">
        <is>
          <t>Ad hoc</t>
        </is>
      </c>
      <c r="AD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inlineStr">
        <is>
          <t>Implemented/available</t>
        </is>
      </c>
      <c r="H34" s="2" t="inlineStr">
        <is>
          <t>https://github.com/gdcc</t>
        </is>
      </c>
      <c r="I34" s="2" t="inlineStr">
        <is>
          <t>Unknown</t>
        </is>
      </c>
      <c r="J34" s="2" t="inlineStr">
        <is>
          <t>&lt;p&gt;Dataverse is developed at &lt;a href="https://www.iq.harvard.edu/about" target="_blank"&gt;Harvard's Institute for Quantitative Social Science (IQSS)&lt;/a&gt;, along with many collaborators and contributors worldwide. Harvard has &lt;a href="https://www.harvard.edu/about/leadership-and-governance/" target="_blank"&gt;two governing boards&lt;/a&gt;, the Board of Overseers and the Harvard Corporation. There is also a &lt;a href="https://github.com/gdcc" target="_blank"&gt;Global Dataverse Community Consortium&lt;/a&gt;.&lt;/p&gt;</t>
        </is>
      </c>
      <c r="K34" s="2" t="n"/>
      <c r="L34" s="2" t="inlineStr">
        <is>
          <t>None</t>
        </is>
      </c>
      <c r="M34" s="2" t="n"/>
      <c r="N34" s="2" t="n"/>
      <c r="O34" s="2" t="n"/>
      <c r="P34" s="2" t="inlineStr">
        <is>
          <t>Unknown</t>
        </is>
      </c>
      <c r="Q34" s="2" t="inlineStr">
        <is>
          <t>In progress</t>
        </is>
      </c>
      <c r="R34" s="2" t="n"/>
      <c r="S34" s="2" t="n"/>
      <c r="T34" s="2" t="inlineStr">
        <is>
          <t>No direct costs</t>
        </is>
      </c>
      <c r="U34" s="2" t="n"/>
      <c r="V34" s="2" t="inlineStr">
        <is>
          <t>Implemented/available</t>
        </is>
      </c>
      <c r="W34" s="2" t="inlineStr">
        <is>
          <t>https://edib.harvard.edu/</t>
        </is>
      </c>
      <c r="X34" s="2" t="inlineStr">
        <is>
          <t>Implemented/available</t>
        </is>
      </c>
      <c r="Y34" s="2" t="inlineStr">
        <is>
          <t>https://support.dataverse.harvard.edu/harvard-dataverse-privacy-policy</t>
        </is>
      </c>
      <c r="Z34" s="2" t="n"/>
      <c r="AA34" s="2" t="n"/>
      <c r="AB34" s="2" t="n"/>
      <c r="AC34" s="2" t="inlineStr">
        <is>
          <t>Ad hoc</t>
        </is>
      </c>
      <c r="AD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Implemented/available</t>
        </is>
      </c>
      <c r="H35" s="2" t="inlineStr">
        <is>
          <t>https://olos.swiss/about-us</t>
        </is>
      </c>
      <c r="I35" s="2" t="inlineStr">
        <is>
          <t>Not planning</t>
        </is>
      </c>
      <c r="J35" s="2" t="n"/>
      <c r="K35" s="2" t="n"/>
      <c r="L35" s="2" t="inlineStr">
        <is>
          <t>Advisory board or steering committee</t>
        </is>
      </c>
      <c r="M35" s="2" t="n"/>
      <c r="N35" s="2" t="n"/>
      <c r="O35" s="2" t="inlineStr">
        <is>
          <t>Advisory board of OLOS association</t>
        </is>
      </c>
      <c r="P35" s="2" t="inlineStr">
        <is>
          <t>Not planning</t>
        </is>
      </c>
      <c r="Q35" s="2" t="inlineStr">
        <is>
          <t>Considering</t>
        </is>
      </c>
      <c r="R35" s="2" t="n"/>
      <c r="S35" s="2" t="n"/>
      <c r="T35" s="2" t="inlineStr">
        <is>
          <t>Implemented/available</t>
        </is>
      </c>
      <c r="U35" s="2" t="inlineStr">
        <is>
          <t>https://olos.swiss/pricing</t>
        </is>
      </c>
      <c r="V35" s="2" t="inlineStr">
        <is>
          <t>Not planning</t>
        </is>
      </c>
      <c r="W35" s="2" t="n"/>
      <c r="X35" s="2" t="inlineStr">
        <is>
          <t>Considering</t>
        </is>
      </c>
      <c r="Y35" s="2" t="n"/>
      <c r="Z35" s="2" t="inlineStr">
        <is>
          <t>FAIR Guiding Principles for Scientific Data Management and Stewardship</t>
        </is>
      </c>
      <c r="AA35" s="2" t="n"/>
      <c r="AB35" s="2" t="n"/>
      <c r="AC35" s="2" t="inlineStr">
        <is>
          <t>None</t>
        </is>
      </c>
      <c r="AD35" s="2" t="n"/>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Implemented/available</t>
        </is>
      </c>
      <c r="H36" s="2" t="inlineStr">
        <is>
          <t>https://olos.swiss/about-us</t>
        </is>
      </c>
      <c r="I36" s="2" t="inlineStr">
        <is>
          <t>Not planning</t>
        </is>
      </c>
      <c r="J36" s="2" t="n"/>
      <c r="K36" s="2" t="n"/>
      <c r="L36" s="2" t="inlineStr">
        <is>
          <t>Advisory board or steering committee</t>
        </is>
      </c>
      <c r="M36" s="2" t="n"/>
      <c r="N36" s="2" t="n"/>
      <c r="O36" s="2" t="inlineStr">
        <is>
          <t>Advisory board of OLOS association</t>
        </is>
      </c>
      <c r="P36" s="2" t="inlineStr">
        <is>
          <t>Not planning</t>
        </is>
      </c>
      <c r="Q36" s="2" t="inlineStr">
        <is>
          <t>Considering</t>
        </is>
      </c>
      <c r="R36" s="2" t="n"/>
      <c r="S36" s="2" t="n"/>
      <c r="T36" s="2" t="inlineStr">
        <is>
          <t>Implemented/available</t>
        </is>
      </c>
      <c r="U36" s="2" t="inlineStr">
        <is>
          <t>https://olos.swiss/pricing</t>
        </is>
      </c>
      <c r="V36" s="2" t="inlineStr">
        <is>
          <t>Not planning</t>
        </is>
      </c>
      <c r="W36" s="2" t="n"/>
      <c r="X36" s="2" t="inlineStr">
        <is>
          <t>Considering</t>
        </is>
      </c>
      <c r="Y36" s="2" t="n"/>
      <c r="Z36" s="2" t="inlineStr">
        <is>
          <t>FAIR Guiding Principles for Scientific Data Management and Stewardship</t>
        </is>
      </c>
      <c r="AA36" s="2" t="n"/>
      <c r="AB36" s="2" t="n"/>
      <c r="AC36" s="2" t="inlineStr">
        <is>
          <t>None</t>
        </is>
      </c>
      <c r="AD36" s="2" t="n"/>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inlineStr">
        <is>
          <t>Not planning</t>
        </is>
      </c>
      <c r="H37" s="2" t="n"/>
      <c r="I37" s="2" t="inlineStr">
        <is>
          <t>Not planning</t>
        </is>
      </c>
      <c r="J37" s="2" t="inlineStr">
        <is>
          <t>[Please fill in]</t>
        </is>
      </c>
      <c r="K37" s="2" t="n"/>
      <c r="L37" s="2" t="inlineStr">
        <is>
          <t>None</t>
        </is>
      </c>
      <c r="M37" s="2" t="n"/>
      <c r="N37" s="2" t="n"/>
      <c r="O37" s="2" t="n"/>
      <c r="P37" s="2" t="inlineStr">
        <is>
          <t>Not planning</t>
        </is>
      </c>
      <c r="Q37" s="2" t="inlineStr">
        <is>
          <t>Implemented/available</t>
        </is>
      </c>
      <c r="R37" s="2" t="n"/>
      <c r="S37" s="2" t="inlineStr">
        <is>
          <t>Our tool or project</t>
        </is>
      </c>
      <c r="T37" s="2" t="inlineStr">
        <is>
          <t>No direct costs</t>
        </is>
      </c>
      <c r="U37" s="2" t="n"/>
      <c r="V37" s="2" t="inlineStr">
        <is>
          <t>Not planning</t>
        </is>
      </c>
      <c r="W37" s="2" t="n"/>
      <c r="X37" s="2" t="inlineStr">
        <is>
          <t>Implemented/available</t>
        </is>
      </c>
      <c r="Y37" s="2" t="inlineStr">
        <is>
          <t>https://dmptool.org/terms</t>
        </is>
      </c>
      <c r="Z37" s="2" t="n"/>
      <c r="AA37" s="2" t="n"/>
      <c r="AB37" s="2" t="n"/>
      <c r="AC37" s="2" t="inlineStr">
        <is>
          <t>None</t>
        </is>
      </c>
      <c r="AD37" s="2" t="n"/>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Implemented/available</t>
        </is>
      </c>
      <c r="H38" s="2" t="inlineStr">
        <is>
          <t>https://doaj.org/about/advisory-board-council/</t>
        </is>
      </c>
      <c r="I38" s="2" t="inlineStr">
        <is>
          <t>Implemented/available</t>
        </is>
      </c>
      <c r="J38" s="2" t="inlineStr">
        <is>
          <t>&lt;p&gt;DOAJ is an independent organisation run and managed by the DOAJ Foundation, a non-profit community-governed foundation based in Denmark . DOAJ has a &lt;a href="https://doaj.org/about/advisory-board-council/" target="_blank"&gt;Board of Directors and an Advisory Board&lt;/a&gt;, the members of which carry out their duties voluntarily. &lt;/p&gt;</t>
        </is>
      </c>
      <c r="K38" s="2" t="inlineStr">
        <is>
          <t>https://doaj.org/about/advisory-board-council/</t>
        </is>
      </c>
      <c r="L38" s="2" t="inlineStr">
        <is>
          <t>Advisory board or steering committee | Other</t>
        </is>
      </c>
      <c r="M38" s="2" t="inlineStr">
        <is>
          <t>Foundation Board &amp; Advisory Board</t>
        </is>
      </c>
      <c r="N38" s="2" t="n"/>
      <c r="O38" s="2" t="n"/>
      <c r="P38" s="2" t="inlineStr">
        <is>
          <t>Implemented/available</t>
        </is>
      </c>
      <c r="Q38" s="2" t="inlineStr">
        <is>
          <t>Implemented/available</t>
        </is>
      </c>
      <c r="R38" s="2" t="n"/>
      <c r="S38" s="2" t="inlineStr">
        <is>
          <t>Our website</t>
        </is>
      </c>
      <c r="T38" s="2" t="inlineStr">
        <is>
          <t>Implemented/available</t>
        </is>
      </c>
      <c r="U38" s="2" t="inlineStr">
        <is>
          <t>https://doaj.org/support/</t>
        </is>
      </c>
      <c r="V38" s="2" t="inlineStr">
        <is>
          <t>Implemented/available</t>
        </is>
      </c>
      <c r="W38" s="2" t="inlineStr">
        <is>
          <t>https://doaj.org/about/#diversity-equity-and-inclusion</t>
        </is>
      </c>
      <c r="X38" s="2" t="inlineStr">
        <is>
          <t>Implemented/available</t>
        </is>
      </c>
      <c r="Y38" s="2" t="inlineStr">
        <is>
          <t>https://doaj.org/privacy/</t>
        </is>
      </c>
      <c r="Z38" s="2" t="inlineStr">
        <is>
          <t>FOREST Framework for Values-Driven Scholarly Communication | Helsinki Initiative on Multilingualism | Joint Statement of Principles of the Coalition for Diversity and Inclusion in Scholarly Communication (C4DISC) | Principles for Open Scholarly Infrastructure (POSI) | San Francisco Declaration on Research Assessment (DORA)</t>
        </is>
      </c>
      <c r="AA38" s="2" t="n"/>
      <c r="AB38" s="2" t="n"/>
      <c r="AC38" s="2" t="inlineStr">
        <is>
          <t>Formal</t>
        </is>
      </c>
      <c r="AD38" s="2" t="inlineStr">
        <is>
          <t>https://doaj.org/about/advisory-board-council/</t>
        </is>
      </c>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Unknown</t>
        </is>
      </c>
      <c r="H39" s="2" t="n"/>
      <c r="I39" s="2" t="inlineStr">
        <is>
          <t>Unknown</t>
        </is>
      </c>
      <c r="J39" s="2" t="inlineStr">
        <is>
          <t>&lt;p&gt;dokieli is a decentralised article authoring, annotation, and social notifcation tool. No governance is known of at this time. &lt;/p&gt;</t>
        </is>
      </c>
      <c r="K39" s="2" t="n"/>
      <c r="L39" s="2" t="n"/>
      <c r="M39" s="2" t="n"/>
      <c r="N39" s="2" t="n"/>
      <c r="O39" s="2" t="n"/>
      <c r="P39" s="2" t="inlineStr">
        <is>
          <t>Unknown</t>
        </is>
      </c>
      <c r="Q39" s="2" t="inlineStr">
        <is>
          <t>Implemented/available</t>
        </is>
      </c>
      <c r="R39" s="2" t="inlineStr">
        <is>
          <t>https://dokie.li/docs#accessibility-statement</t>
        </is>
      </c>
      <c r="S39" s="2" t="n"/>
      <c r="T39" s="2" t="inlineStr">
        <is>
          <t>No direct costs</t>
        </is>
      </c>
      <c r="U39" s="2" t="n"/>
      <c r="V39" s="2" t="inlineStr">
        <is>
          <t>Unknown</t>
        </is>
      </c>
      <c r="W39" s="2" t="n"/>
      <c r="X39" s="2" t="inlineStr">
        <is>
          <t>Not applicable</t>
        </is>
      </c>
      <c r="Y39" s="2" t="n"/>
      <c r="Z39" s="2" t="n"/>
      <c r="AA39" s="2" t="n"/>
      <c r="AB39" s="2" t="n"/>
      <c r="AC39" s="2" t="inlineStr">
        <is>
          <t>None</t>
        </is>
      </c>
      <c r="AD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inlineStr">
        <is>
          <t>Implemented/available</t>
        </is>
      </c>
      <c r="H40" s="2" t="inlineStr">
        <is>
          <t>https://datadryad.org/stash/about#our-board</t>
        </is>
      </c>
      <c r="I40" s="2" t="inlineStr">
        <is>
          <t>Implemented/available</t>
        </is>
      </c>
      <c r="J40" s="2" t="inlineStr">
        <is>
          <t>&lt;p&gt;Dryad is a not-for-profit membership organization, recognized as a 501(c)3 by the U.S. Internal Revenue Service. Dryad members nominate and elect the &lt;a href="https://datadryad.org/stash/about#our-board" target="_blank"&gt;Board of Directors&lt;/a&gt;, twelve individuals from the stakeholder community who provide strategic planning, fiscal oversight, and oversee the position of the Executive Director.&lt;/p&gt;</t>
        </is>
      </c>
      <c r="K40" s="2" t="inlineStr">
        <is>
          <t>https://blog.datadryad.org/category/governance/</t>
        </is>
      </c>
      <c r="L40" s="2" t="inlineStr">
        <is>
          <t>Other</t>
        </is>
      </c>
      <c r="M40" s="2" t="n"/>
      <c r="N40" s="2" t="n"/>
      <c r="O40" s="2" t="n"/>
      <c r="P40" s="2" t="inlineStr">
        <is>
          <t>Implemented/available</t>
        </is>
      </c>
      <c r="Q40" s="2" t="inlineStr">
        <is>
          <t>Implemented/available</t>
        </is>
      </c>
      <c r="R40" s="2" t="n"/>
      <c r="S40" s="2" t="inlineStr">
        <is>
          <t>Our website</t>
        </is>
      </c>
      <c r="T40" s="2" t="inlineStr">
        <is>
          <t>Implemented/available</t>
        </is>
      </c>
      <c r="U40" s="2" t="inlineStr">
        <is>
          <t>https://datadryad.org/stash/join_us#fees</t>
        </is>
      </c>
      <c r="V40" s="2" t="inlineStr">
        <is>
          <t>In progress</t>
        </is>
      </c>
      <c r="W40" s="2" t="n"/>
      <c r="X40" s="2" t="inlineStr">
        <is>
          <t>Implemented/available</t>
        </is>
      </c>
      <c r="Y40" s="2" t="inlineStr">
        <is>
          <t>https://datadryad.org/stash/terms#privacy</t>
        </is>
      </c>
      <c r="Z40" s="2" t="n"/>
      <c r="AA40" s="2" t="n"/>
      <c r="AB40" s="2" t="n"/>
      <c r="AC40" s="2" t="inlineStr">
        <is>
          <t>Formal</t>
        </is>
      </c>
      <c r="AD40" s="2" t="inlineStr">
        <is>
          <t>https://datadryad.org/docs/DryadBylaws.pdf</t>
        </is>
      </c>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Implemented/available</t>
        </is>
      </c>
      <c r="H41" s="2" t="inlineStr">
        <is>
          <t>https://dspace.org/governance/</t>
        </is>
      </c>
      <c r="I41" s="2" t="inlineStr">
        <is>
          <t>Implemented/available</t>
        </is>
      </c>
      <c r="J41" s="2" t="inlineStr">
        <is>
          <t>&lt;p&gt;&lt;a href="https://wiki.lyrasis.org/display/DSPACE/Project+Governance" target="_blank"&gt;DSpace governance&lt;/a&gt; is based on a representative, community-based membership model incrementally rewarding members who have made the greatest commitments to the project. It consists of a Leadership Group, Steering Group, and Working Groups.&lt;/p&gt;</t>
        </is>
      </c>
      <c r="K41" s="2" t="inlineStr">
        <is>
          <t>https://wiki.lyrasis.org/display/DSPACE/Leadership+Group</t>
        </is>
      </c>
      <c r="L41" s="2" t="inlineStr">
        <is>
          <t>Advisory board or steering committee</t>
        </is>
      </c>
      <c r="M41" s="2" t="n"/>
      <c r="N41" s="2" t="n"/>
      <c r="O41" s="2" t="n"/>
      <c r="P41" s="2" t="inlineStr">
        <is>
          <t>Implemented/available</t>
        </is>
      </c>
      <c r="Q41" s="2" t="inlineStr">
        <is>
          <t>Implemented/available</t>
        </is>
      </c>
      <c r="R41" s="2" t="inlineStr">
        <is>
          <t>https://dspace.org/accessibility/</t>
        </is>
      </c>
      <c r="S41" s="2" t="inlineStr">
        <is>
          <t>Our tool or project</t>
        </is>
      </c>
      <c r="T41" s="2" t="inlineStr">
        <is>
          <t>Implemented/available</t>
        </is>
      </c>
      <c r="U41" s="2" t="inlineStr">
        <is>
          <t>https://dspace.org/membership/</t>
        </is>
      </c>
      <c r="V41" s="2" t="inlineStr">
        <is>
          <t>Implemented/available</t>
        </is>
      </c>
      <c r="W41" s="2" t="inlineStr">
        <is>
          <t>https://lyrasis.org/job-bank/</t>
        </is>
      </c>
      <c r="X41" s="2" t="inlineStr">
        <is>
          <t>Implemented/available</t>
        </is>
      </c>
      <c r="Y41" s="2" t="inlineStr">
        <is>
          <t>https://demo.dspace.org/info/privacy</t>
        </is>
      </c>
      <c r="Z41" s="2" t="inlineStr">
        <is>
          <t>It Takes a Village Open Source Software Sustainability toolkit</t>
        </is>
      </c>
      <c r="AA41" s="2" t="n"/>
      <c r="AB41" s="2" t="n"/>
      <c r="AC41" s="2" t="inlineStr">
        <is>
          <t>Formal</t>
        </is>
      </c>
      <c r="AD41" s="2" t="inlineStr">
        <is>
          <t>https://dspace.org/governance</t>
        </is>
      </c>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inlineStr">
        <is>
          <t>Unknown</t>
        </is>
      </c>
      <c r="H42" s="2" t="n"/>
      <c r="I42" s="2" t="inlineStr">
        <is>
          <t>Not planning</t>
        </is>
      </c>
      <c r="J42" s="2" t="n"/>
      <c r="K42" s="2" t="n"/>
      <c r="L42" s="2" t="inlineStr">
        <is>
          <t>None</t>
        </is>
      </c>
      <c r="M42" s="2" t="n"/>
      <c r="N42" s="2" t="n"/>
      <c r="O42" s="2" t="inlineStr">
        <is>
          <t>N/A</t>
        </is>
      </c>
      <c r="P42" s="2" t="inlineStr">
        <is>
          <t>Not planning</t>
        </is>
      </c>
      <c r="Q42" s="2" t="inlineStr">
        <is>
          <t>Unknown</t>
        </is>
      </c>
      <c r="R42" s="2" t="n"/>
      <c r="S42" s="2" t="n"/>
      <c r="T42" s="2" t="inlineStr">
        <is>
          <t>Not planning</t>
        </is>
      </c>
      <c r="U42" s="2" t="n"/>
      <c r="V42" s="2" t="inlineStr">
        <is>
          <t>Unknown</t>
        </is>
      </c>
      <c r="W42" s="2" t="n"/>
      <c r="X42" s="2" t="inlineStr">
        <is>
          <t>Unknown</t>
        </is>
      </c>
      <c r="Y42" s="2" t="n"/>
      <c r="Z42" s="2" t="n"/>
      <c r="AA42" s="2" t="n"/>
      <c r="AB42" s="2" t="n"/>
      <c r="AC42" s="2" t="n"/>
      <c r="AD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Implemented/available</t>
        </is>
      </c>
      <c r="H43" s="2" t="inlineStr">
        <is>
          <t>https://www.ccsd.cnrs.fr/en/governance/</t>
        </is>
      </c>
      <c r="I43" s="2" t="inlineStr">
        <is>
          <t>Considering</t>
        </is>
      </c>
      <c r="J43" s="2" t="n"/>
      <c r="K43" s="2" t="n"/>
      <c r="L43" s="2" t="inlineStr">
        <is>
          <t>Multi-board governance</t>
        </is>
      </c>
      <c r="M43" s="2" t="n"/>
      <c r="N43" s="2" t="n"/>
      <c r="O43" s="2" t="inlineStr">
        <is>
          <t>&lt;strong&gt;The Steering Committee&lt;/strong&gt;
- Defines the global strategy of the CCSD and arbitrates the priority axes according to the proposals of the orientation committee;
- Approves the budget and overall resources of the CCSD;
ensures the coherence of the pricing policy related to the HAL portals;
- Validates the annual activity report and the financial statement of the CCSD;
- Proposes and deliberate on the admission of a new supervising body;
- Appoints the director of the CCSD;
- Appoints the members of the international scientific council.
&lt;strong&gt;Orientation Committee&lt;/strong&gt;
- Proposes scientific and technical orientations to the Steering committee;
- Centralizes and prioritizes the needs of all users.</t>
        </is>
      </c>
      <c r="P43" s="2" t="inlineStr">
        <is>
          <t>Implemented/available</t>
        </is>
      </c>
      <c r="Q43" s="2" t="inlineStr">
        <is>
          <t>In progress</t>
        </is>
      </c>
      <c r="R43" s="2" t="n"/>
      <c r="S43" s="2" t="n"/>
      <c r="T43" s="2" t="inlineStr">
        <is>
          <t>No direct costs</t>
        </is>
      </c>
      <c r="U43" s="2" t="n"/>
      <c r="V43" s="2" t="inlineStr">
        <is>
          <t>Considering</t>
        </is>
      </c>
      <c r="W43" s="2" t="n"/>
      <c r="X43" s="2" t="inlineStr">
        <is>
          <t>Implemented/available</t>
        </is>
      </c>
      <c r="Y43" s="2" t="inlineStr">
        <is>
          <t>https://www.episciences.org/privacy-and-personal-data/</t>
        </is>
      </c>
      <c r="Z43" s="2" t="inlineStr">
        <is>
          <t>FAIR Guiding Principles for Scientific Data Management and Stewardship</t>
        </is>
      </c>
      <c r="AA43" s="2" t="n"/>
      <c r="AB43" s="2" t="n"/>
      <c r="AC43" s="2" t="inlineStr">
        <is>
          <t>Ad hoc</t>
        </is>
      </c>
      <c r="AD43" s="2" t="inlineStr">
        <is>
          <t>https://www.episciences.org/governance/</t>
        </is>
      </c>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inlineStr">
        <is>
          <t>In progress</t>
        </is>
      </c>
      <c r="H44" s="2" t="n"/>
      <c r="I44" s="2" t="inlineStr">
        <is>
          <t>In progress</t>
        </is>
      </c>
      <c r="J44" s="2" t="n"/>
      <c r="K44" s="2" t="n"/>
      <c r="L44" s="2" t="n"/>
      <c r="M44" s="2" t="n"/>
      <c r="N44" s="2" t="n"/>
      <c r="O44" s="2" t="inlineStr">
        <is>
          <t>Unknown</t>
        </is>
      </c>
      <c r="P44" s="2" t="inlineStr">
        <is>
          <t>Unknown</t>
        </is>
      </c>
      <c r="Q44" s="2" t="inlineStr">
        <is>
          <t>In progress</t>
        </is>
      </c>
      <c r="R44" s="2" t="n"/>
      <c r="S44" s="2" t="n"/>
      <c r="T44" s="2" t="inlineStr">
        <is>
          <t>No direct costs</t>
        </is>
      </c>
      <c r="U44" s="2" t="n"/>
      <c r="V44" s="2" t="inlineStr">
        <is>
          <t>Unknown</t>
        </is>
      </c>
      <c r="W44" s="2" t="n"/>
      <c r="X44" s="2" t="inlineStr">
        <is>
          <t>Unknown</t>
        </is>
      </c>
      <c r="Y44" s="2" t="n"/>
      <c r="Z44" s="2" t="n"/>
      <c r="AA44" s="2" t="n"/>
      <c r="AB44" s="2" t="n"/>
      <c r="AC44" s="2" t="n"/>
      <c r="AD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inlineStr">
        <is>
          <t>Implemented/available</t>
        </is>
      </c>
      <c r="H45" s="2" t="inlineStr">
        <is>
          <t>https://apropos.erudit.org/direction-et-conseils/?lang=en</t>
        </is>
      </c>
      <c r="I45" s="2" t="inlineStr">
        <is>
          <t>Implemented/available</t>
        </is>
      </c>
      <c r="J45" s="2" t="inlineStr">
        <is>
          <t>&lt;p&gt;Érudit is a consortium comprised of three Canadian universities: &lt;a href="https://www.umontreal.ca/en/" target="_blank"&gt;Université de Montréal&lt;/a&gt;, &lt;a href="https://www.ulaval.ca/en" target="_blank"&gt;Université Laval&lt;/a&gt;, and &lt;a href="https://uqam.ca/" target="_blank"&gt;Université du Québec à Montréal&lt;/a&gt;. It is governed by representatives from the research, university library, and scholarly publishing sectors. Its &lt;a href="https://apropos.erudit.org/direction-et-conseils/?lang=en" target="_blank"&gt;governed by &lt;/a&gt;a governing board and scientific director. &lt;/p&gt;</t>
        </is>
      </c>
      <c r="K45" s="2" t="inlineStr">
        <is>
          <t>https://apropos.erudit.org/rapports-annuels/?lang=en</t>
        </is>
      </c>
      <c r="L45" s="2" t="inlineStr">
        <is>
          <t>Multi-board governance</t>
        </is>
      </c>
      <c r="M45" s="2" t="n"/>
      <c r="N45" s="2" t="n"/>
      <c r="O45" s="2" t="n"/>
      <c r="P45" s="2" t="inlineStr">
        <is>
          <t>Implemented/available</t>
        </is>
      </c>
      <c r="Q45" s="2" t="inlineStr">
        <is>
          <t>Implemented/available</t>
        </is>
      </c>
      <c r="R45" s="2" t="inlineStr">
        <is>
          <t>https://apropos.erudit.org/accessibility-statement/?lang=en</t>
        </is>
      </c>
      <c r="S45" s="2" t="inlineStr">
        <is>
          <t>Our website</t>
        </is>
      </c>
      <c r="T45" s="2" t="inlineStr">
        <is>
          <t>No direct costs</t>
        </is>
      </c>
      <c r="U45" s="2" t="n"/>
      <c r="V45" s="2" t="inlineStr">
        <is>
          <t>Implemented/available</t>
        </is>
      </c>
      <c r="W45" s="2" t="inlineStr">
        <is>
          <t>https://apropos.erudit.org/equity-diversity-inclusion/?lang=en</t>
        </is>
      </c>
      <c r="X45" s="2" t="inlineStr">
        <is>
          <t>Implemented/available</t>
        </is>
      </c>
      <c r="Y45" s="2" t="inlineStr">
        <is>
          <t>https://www.iubenda.com/privacy-policy/79766356</t>
        </is>
      </c>
      <c r="Z45" s="2" t="n"/>
      <c r="AA45" s="2" t="n"/>
      <c r="AB45" s="2" t="n"/>
      <c r="AC45" s="2" t="inlineStr">
        <is>
          <t>Formal</t>
        </is>
      </c>
      <c r="AD45" s="2" t="inlineStr">
        <is>
          <t>https://apropos.erudit.org/direction-et-conseils/?lang=en</t>
        </is>
      </c>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Implemented/available</t>
        </is>
      </c>
      <c r="H46" s="2" t="inlineStr">
        <is>
          <t>https://europepmc.org/Governance</t>
        </is>
      </c>
      <c r="I46" s="2" t="inlineStr">
        <is>
          <t>Implemented/available</t>
        </is>
      </c>
      <c r="J46" s="2" t="inlineStr">
        <is>
          <t>&lt;p&gt;Europe PMC is developed by the &lt;a href="https://www.ebi.ac.uk/" target="_blank"&gt;EMBL-EBI&lt;/a&gt; (European Bioinformatics Institute), an outstation of the EMBL. Europe PMC is &lt;a href="https://europepmc.org/Governance" target="_blank"&gt;governed by&lt;/a&gt; an international, independent Scientific Advisory Board that advises the PI of the Europe PMC grant and the Directors of the EMBL-EBI. The Europe PMC Funders are represented by the Funder Committee.&lt;/p&gt;</t>
        </is>
      </c>
      <c r="K46" s="2" t="inlineStr">
        <is>
          <t>https://europepmc.org/Governance</t>
        </is>
      </c>
      <c r="L46" s="2" t="inlineStr">
        <is>
          <t>Advisory board or steering committee</t>
        </is>
      </c>
      <c r="M46" s="2" t="n"/>
      <c r="N46" s="2" t="n"/>
      <c r="O46" s="2" t="n"/>
      <c r="P46" s="2" t="inlineStr">
        <is>
          <t>Implemented/available</t>
        </is>
      </c>
      <c r="Q46" s="2" t="inlineStr">
        <is>
          <t>Implemented/available</t>
        </is>
      </c>
      <c r="R46" s="2" t="inlineStr">
        <is>
          <t>https://europepmc.org/Accessibility</t>
        </is>
      </c>
      <c r="S46" s="2" t="inlineStr">
        <is>
          <t>Our website</t>
        </is>
      </c>
      <c r="T46" s="2" t="inlineStr">
        <is>
          <t>No direct costs</t>
        </is>
      </c>
      <c r="U46" s="2" t="n"/>
      <c r="V46" s="2" t="inlineStr">
        <is>
          <t>Implemented/available</t>
        </is>
      </c>
      <c r="W46" s="2" t="inlineStr">
        <is>
          <t>https://www.ebi.ac.uk/about/equality-in-science</t>
        </is>
      </c>
      <c r="X46" s="2" t="inlineStr">
        <is>
          <t>Implemented/available</t>
        </is>
      </c>
      <c r="Y46" s="2" t="inlineStr">
        <is>
          <t>https://europepmc.org/PrivacyNotice</t>
        </is>
      </c>
      <c r="Z46" s="2" t="n"/>
      <c r="AA46" s="2" t="n"/>
      <c r="AB46" s="2" t="n"/>
      <c r="AC46" s="2" t="inlineStr">
        <is>
          <t>Formal</t>
        </is>
      </c>
      <c r="AD46" s="2" t="inlineStr">
        <is>
          <t>https://europepmc.org/Governance</t>
        </is>
      </c>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inlineStr">
        <is>
          <t>In progress</t>
        </is>
      </c>
      <c r="H47" s="2" t="n"/>
      <c r="I47" s="2" t="inlineStr">
        <is>
          <t>Not planning</t>
        </is>
      </c>
      <c r="J47" s="2" t="inlineStr">
        <is>
          <t>FAIR Wizard is a product of Codevence Solutions s.r.o., a company based in the Czech Republic.</t>
        </is>
      </c>
      <c r="K47" s="2" t="n"/>
      <c r="L47" s="2" t="inlineStr">
        <is>
          <t>None</t>
        </is>
      </c>
      <c r="M47" s="2" t="n"/>
      <c r="N47" s="2" t="inlineStr">
        <is>
          <t>Provider</t>
        </is>
      </c>
      <c r="O47" s="2" t="n"/>
      <c r="P47" s="2" t="inlineStr">
        <is>
          <t>Not planning</t>
        </is>
      </c>
      <c r="Q47" s="2" t="inlineStr">
        <is>
          <t>In progress</t>
        </is>
      </c>
      <c r="R47" s="2" t="n"/>
      <c r="S47" s="2" t="n"/>
      <c r="T47" s="2" t="inlineStr">
        <is>
          <t>Implemented/available</t>
        </is>
      </c>
      <c r="U47" s="2" t="inlineStr">
        <is>
          <t>https://fair-wizard.com/plans</t>
        </is>
      </c>
      <c r="V47" s="2" t="inlineStr">
        <is>
          <t>Considering</t>
        </is>
      </c>
      <c r="W47" s="2" t="n"/>
      <c r="X47" s="2" t="inlineStr">
        <is>
          <t>Implemented/available</t>
        </is>
      </c>
      <c r="Y47" s="2" t="inlineStr">
        <is>
          <t>https://fair-wizard.com/static/documents/privacy-policy.pdf</t>
        </is>
      </c>
      <c r="Z47" s="2" t="inlineStr">
        <is>
          <t>FAIR Guiding Principles for Scientific Data Management and Stewardship</t>
        </is>
      </c>
      <c r="AA47" s="2" t="n"/>
      <c r="AB47" s="2" t="n"/>
      <c r="AC47" s="2" t="inlineStr">
        <is>
          <t>Ad hoc</t>
        </is>
      </c>
      <c r="AD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Implemented/available</t>
        </is>
      </c>
      <c r="H48" s="2" t="inlineStr">
        <is>
          <t>https://wiki.lyrasis.org/display/FF/Project+Governance</t>
        </is>
      </c>
      <c r="I48" s="2" t="inlineStr">
        <is>
          <t>Implemented/available</t>
        </is>
      </c>
      <c r="J48" s="2" t="inlineStr">
        <is>
          <t>Fedora is community-owned, community-supported and community-governed. The Fedora Governance Group is responsible for the strategic leadership of the Fedora Program, its community, and associated technology. This group is responsible for leading the overall Vision &amp; Strategy. Governance details can be found here: &lt;a href="https://fedorarepository.org/governance/" target="_blank"&gt;https://fedorarepository.org/governance/&lt;/a&gt;</t>
        </is>
      </c>
      <c r="K48" s="2" t="inlineStr">
        <is>
          <t>https://wiki.lyrasis.org/display/FF/Meetings</t>
        </is>
      </c>
      <c r="L48" s="2" t="inlineStr">
        <is>
          <t>Advisory board or steering committee</t>
        </is>
      </c>
      <c r="M48" s="2" t="n"/>
      <c r="N48" s="2" t="inlineStr">
        <is>
          <t>Other</t>
        </is>
      </c>
      <c r="O48" s="2" t="inlineStr">
        <is>
          <t xml:space="preserve">Board is that of the Fedora Community </t>
        </is>
      </c>
      <c r="P48" s="2" t="inlineStr">
        <is>
          <t>Implemented/available</t>
        </is>
      </c>
      <c r="Q48" s="2" t="inlineStr">
        <is>
          <t>Considering</t>
        </is>
      </c>
      <c r="R48" s="2" t="n"/>
      <c r="S48" s="2" t="inlineStr">
        <is>
          <t>Our tool or project | Our website</t>
        </is>
      </c>
      <c r="T48" s="2" t="inlineStr">
        <is>
          <t>Implemented/available</t>
        </is>
      </c>
      <c r="U48" s="2" t="inlineStr">
        <is>
          <t>https://fedorarepository.org/membership</t>
        </is>
      </c>
      <c r="V48" s="2" t="inlineStr">
        <is>
          <t>Implemented/available</t>
        </is>
      </c>
      <c r="W48" s="2" t="inlineStr">
        <is>
          <t>https://lyrasis.org/job-bank/</t>
        </is>
      </c>
      <c r="X48" s="2" t="inlineStr">
        <is>
          <t>Implemented/available</t>
        </is>
      </c>
      <c r="Y48" s="2" t="inlineStr">
        <is>
          <t>https://fedorarepository.org/privacy-policy/</t>
        </is>
      </c>
      <c r="Z48" s="2" t="inlineStr">
        <is>
          <t>It Takes a Village Open Source Software Sustainability toolkit</t>
        </is>
      </c>
      <c r="AA48" s="2" t="n"/>
      <c r="AB48" s="2" t="n"/>
      <c r="AC48" s="2" t="inlineStr">
        <is>
          <t>Formal</t>
        </is>
      </c>
      <c r="AD48" s="2" t="inlineStr">
        <is>
          <t>https://wiki.lyrasis.org/display/FF/Project+Governance</t>
        </is>
      </c>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inlineStr">
        <is>
          <t>Implemented/available</t>
        </is>
      </c>
      <c r="H49" s="2" t="inlineStr">
        <is>
          <t>https://openpreservation.org/about-old/board-of-directors/</t>
        </is>
      </c>
      <c r="I49" s="2" t="inlineStr">
        <is>
          <t>Considering</t>
        </is>
      </c>
      <c r="J49" s="2" t="inlineStr">
        <is>
          <t>Fido is a project of the Open Preservation Foundation a company, limited by guarantee, registered in England and Wales and Stichting Open Preservation, registered as a foundation with the Kamer van Koophandel.</t>
        </is>
      </c>
      <c r="K49" s="2" t="n"/>
      <c r="L49" s="2" t="inlineStr">
        <is>
          <t>Advisory board or steering committee</t>
        </is>
      </c>
      <c r="M49" s="2" t="n"/>
      <c r="N49" s="2" t="inlineStr">
        <is>
          <t>Provider</t>
        </is>
      </c>
      <c r="O49" s="2" t="n"/>
      <c r="P49" s="2" t="inlineStr">
        <is>
          <t>Unknown</t>
        </is>
      </c>
      <c r="Q49" s="2" t="inlineStr">
        <is>
          <t>Considering</t>
        </is>
      </c>
      <c r="R49" s="2" t="n"/>
      <c r="S49" s="2" t="n"/>
      <c r="T49" s="2" t="inlineStr">
        <is>
          <t>No direct costs</t>
        </is>
      </c>
      <c r="U49" s="2" t="n"/>
      <c r="V49" s="2" t="inlineStr">
        <is>
          <t>In progress</t>
        </is>
      </c>
      <c r="W49" s="2" t="n"/>
      <c r="X49" s="2" t="inlineStr">
        <is>
          <t>Implemented/available</t>
        </is>
      </c>
      <c r="Y49" s="2" t="inlineStr">
        <is>
          <t>https://openpreservation.org/privacy-policy/</t>
        </is>
      </c>
      <c r="Z49" s="2" t="n"/>
      <c r="AA49" s="2" t="n"/>
      <c r="AB49" s="2" t="n"/>
      <c r="AC49" s="2" t="inlineStr">
        <is>
          <t>Formal</t>
        </is>
      </c>
      <c r="AD49" s="2" t="n"/>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Implemented/available</t>
        </is>
      </c>
      <c r="H50" s="2" t="inlineStr">
        <is>
          <t>https://www.fulcrum.org/about/</t>
        </is>
      </c>
      <c r="I50" s="2" t="inlineStr">
        <is>
          <t>In progress</t>
        </is>
      </c>
      <c r="J50" s="2" t="inlineStr">
        <is>
          <t>&lt;p&gt;&lt;a href="https://www.fulcrum.org/about/" target="_blank"&gt;Fulcrum&lt;/a&gt; has been developed by a group of campus-based publishers working closely with disciplinary faculty and information science specialists, with &lt;a href="https://www.fulcrum.org/partner-with-us/" target="_blank"&gt;publishing services&lt;/a&gt; provided in collaboration with &lt;a href="https://services.publishing.umich.edu/" target="_blank"&gt;Michigan Publishing&lt;/a&gt;, an arm of the &lt;a href="https://www.lib.umich.edu/" target="_blank"&gt;University of Michigan Library&lt;/a&gt;, governed by the &lt;a href="https://regents.umich.edu/" target="_blank"&gt;Regents of the University of Michigan&lt;/a&gt;. &lt;/p&gt;</t>
        </is>
      </c>
      <c r="K50" s="2" t="n"/>
      <c r="L50" s="2" t="inlineStr">
        <is>
          <t>Other</t>
        </is>
      </c>
      <c r="M50" s="2" t="n"/>
      <c r="N50" s="2" t="n"/>
      <c r="O50" s="2" t="n"/>
      <c r="P50" s="2" t="inlineStr">
        <is>
          <t>Unknown</t>
        </is>
      </c>
      <c r="Q50" s="2" t="inlineStr">
        <is>
          <t>Implemented/available</t>
        </is>
      </c>
      <c r="R50" s="2" t="inlineStr">
        <is>
          <t>https://www.fulcrum.org/accessibility/</t>
        </is>
      </c>
      <c r="S50" s="2" t="n"/>
      <c r="T50" s="2" t="inlineStr">
        <is>
          <t>Implemented/available</t>
        </is>
      </c>
      <c r="U50" s="2" t="inlineStr">
        <is>
          <t>https://www.fulcrum.org/partner-with-us/</t>
        </is>
      </c>
      <c r="V50" s="2" t="inlineStr">
        <is>
          <t>Implemented/available</t>
        </is>
      </c>
      <c r="W50" s="2" t="inlineStr">
        <is>
          <t>https://www.lib.umich.edu/about-us/about-library/diversity-equity-inclusion-and-accessibility</t>
        </is>
      </c>
      <c r="X50" s="2" t="inlineStr">
        <is>
          <t>Implemented/available</t>
        </is>
      </c>
      <c r="Y50" s="2" t="inlineStr">
        <is>
          <t>https://www.fulcrum.org/privacy/</t>
        </is>
      </c>
      <c r="Z50" s="2" t="n"/>
      <c r="AA50" s="2" t="n"/>
      <c r="AB50" s="2" t="n"/>
      <c r="AC50" s="2" t="inlineStr">
        <is>
          <t>Ad hoc</t>
        </is>
      </c>
      <c r="AD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inlineStr">
        <is>
          <t>Implemented/available</t>
        </is>
      </c>
      <c r="H51" s="2" t="inlineStr">
        <is>
          <t>https://galaxyproject.org/community/governance/</t>
        </is>
      </c>
      <c r="I51" s="2" t="inlineStr">
        <is>
          <t>Implemented/available</t>
        </is>
      </c>
      <c r="J51" s="2" t="n"/>
      <c r="K51" s="2" t="inlineStr">
        <is>
          <t>https://galaxyproject.org/community/wg/</t>
        </is>
      </c>
      <c r="L51" s="2" t="inlineStr">
        <is>
          <t>Multi-board governance</t>
        </is>
      </c>
      <c r="M51" s="2" t="n"/>
      <c r="N51" s="2" t="n"/>
      <c r="O51" s="2" t="inlineStr">
        <is>
          <t>Collecting feedback from the community and steering the roadmap process.</t>
        </is>
      </c>
      <c r="P51" s="2" t="inlineStr">
        <is>
          <t>Implemented/available</t>
        </is>
      </c>
      <c r="Q51" s="2" t="inlineStr">
        <is>
          <t>In progress</t>
        </is>
      </c>
      <c r="R51" s="2" t="n"/>
      <c r="S51" s="2" t="n"/>
      <c r="T51" s="2" t="inlineStr">
        <is>
          <t>No direct costs</t>
        </is>
      </c>
      <c r="U51" s="2" t="n"/>
      <c r="V51" s="2" t="inlineStr">
        <is>
          <t>Implemented/available</t>
        </is>
      </c>
      <c r="W51" s="2" t="inlineStr">
        <is>
          <t>https://galaxyproject.org/community/coc/</t>
        </is>
      </c>
      <c r="X51" s="2" t="inlineStr">
        <is>
          <t>Implemented/available</t>
        </is>
      </c>
      <c r="Y51" s="2" t="inlineStr">
        <is>
          <t>https://usegalaxy-eu.github.io/gdpr/</t>
        </is>
      </c>
      <c r="Z51" s="2" t="n"/>
      <c r="AA51" s="2" t="n"/>
      <c r="AB51" s="2" t="n"/>
      <c r="AC51" s="2" t="inlineStr">
        <is>
          <t>Formal</t>
        </is>
      </c>
      <c r="AD51" s="2" t="inlineStr">
        <is>
          <t>https://galaxyproject.org/community/governance/</t>
        </is>
      </c>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Implemented/available</t>
        </is>
      </c>
      <c r="H52" s="2" t="inlineStr">
        <is>
          <t>https://docs.geoserver.org/latest/en/developer/policies/psc.html</t>
        </is>
      </c>
      <c r="I52" s="2" t="inlineStr">
        <is>
          <t>Implemented/available</t>
        </is>
      </c>
      <c r="J52" s="2" t="inlineStr">
        <is>
          <t>GeoServer is a volunteer community hosted by the Open Source Geospatial Foundation (OSGeo).</t>
        </is>
      </c>
      <c r="K52" s="2" t="inlineStr">
        <is>
          <t>https://github.com/geoserver/geoserver/wiki/Proposals</t>
        </is>
      </c>
      <c r="L52" s="2" t="inlineStr">
        <is>
          <t>Advisory board or steering committee</t>
        </is>
      </c>
      <c r="M52" s="2" t="n"/>
      <c r="N52" s="2" t="inlineStr">
        <is>
          <t>Provider</t>
        </is>
      </c>
      <c r="O52" s="2" t="n"/>
      <c r="P52" s="2" t="inlineStr">
        <is>
          <t>Implemented/available</t>
        </is>
      </c>
      <c r="Q52" s="2" t="inlineStr">
        <is>
          <t>Not planning</t>
        </is>
      </c>
      <c r="R52" s="2" t="n"/>
      <c r="S52" s="2" t="n"/>
      <c r="T52" s="2" t="inlineStr">
        <is>
          <t>No direct costs</t>
        </is>
      </c>
      <c r="U52" s="2" t="n"/>
      <c r="V52" s="2" t="inlineStr">
        <is>
          <t>Not planning</t>
        </is>
      </c>
      <c r="W52" s="2" t="n"/>
      <c r="X52" s="2" t="inlineStr">
        <is>
          <t>Not planning</t>
        </is>
      </c>
      <c r="Y52" s="2" t="n"/>
      <c r="Z52" s="2" t="inlineStr">
        <is>
          <t>Contributor Covenant Code of Conduct for Open Source and Other Digital Commons Communities</t>
        </is>
      </c>
      <c r="AA52" s="2" t="n"/>
      <c r="AB52" s="2" t="n"/>
      <c r="AC52" s="2" t="inlineStr">
        <is>
          <t>Formal</t>
        </is>
      </c>
      <c r="AD52" s="2" t="inlineStr">
        <is>
          <t>https://docs.geoserver.org/latest/en/developer/policies/index.html</t>
        </is>
      </c>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Implemented/available</t>
        </is>
      </c>
      <c r="H53" s="2" t="inlineStr">
        <is>
          <t>https://samvera.atlassian.net/wiki/spaces/samvera/pages/1387986974/Samvera+Bylaws</t>
        </is>
      </c>
      <c r="I53" s="2" t="inlineStr">
        <is>
          <t>Implemented/available</t>
        </is>
      </c>
      <c r="J53" s="2" t="inlineStr">
        <is>
          <t>&lt;p&gt;Hyku is a project of Samvera, a distinct series entity hosted by &lt;a href="https://www.oasis-open.org/" target="_blank"&gt;OASIS Open&lt;/a&gt;. Samvera is &lt;a href="https://samvera.atlassian.net/wiki/spaces/samvera/pages/1387986974/Samvera+Bylaws" target="_blank"&gt;governed by&lt;/a&gt; a Board of Directors. &lt;/p&gt;</t>
        </is>
      </c>
      <c r="K53" s="2" t="inlineStr">
        <is>
          <t>https://samvera.atlassian.net/wiki/spaces/samvera/pages/426512038/Notes+from+Samvera+Board+meetings+and+calls</t>
        </is>
      </c>
      <c r="L53" s="2" t="inlineStr">
        <is>
          <t>Advisory board or steering committee</t>
        </is>
      </c>
      <c r="M53" s="2" t="n"/>
      <c r="N53" s="2" t="n"/>
      <c r="O53" s="2" t="n"/>
      <c r="P53" s="2" t="inlineStr">
        <is>
          <t>Implemented/available</t>
        </is>
      </c>
      <c r="Q53" s="2" t="inlineStr">
        <is>
          <t>Implemented/available</t>
        </is>
      </c>
      <c r="R53" s="2" t="inlineStr">
        <is>
          <t>https://repo.samvera.org/concern/generic_works/19cc96b4-6e98-4dba-b908-91e3439cad44</t>
        </is>
      </c>
      <c r="S53" s="2" t="inlineStr">
        <is>
          <t>Our tool or project</t>
        </is>
      </c>
      <c r="T53" s="2" t="inlineStr">
        <is>
          <t>No direct costs</t>
        </is>
      </c>
      <c r="U53" s="2" t="n"/>
      <c r="V53" s="2" t="inlineStr">
        <is>
          <t>Considering</t>
        </is>
      </c>
      <c r="W53" s="2" t="n"/>
      <c r="X53" s="2" t="inlineStr">
        <is>
          <t>Implemented/available</t>
        </is>
      </c>
      <c r="Y53" s="2" t="inlineStr">
        <is>
          <t>https://repo.samvera.org/concern/generic_works/66c8c363-ac35-4e65-bb3d-2631b7c80ff6?locale=en</t>
        </is>
      </c>
      <c r="Z53" s="2" t="inlineStr">
        <is>
          <t>COAR Next Generation Repositories Principles | It Takes a Village Open Source Software Sustainability toolkit</t>
        </is>
      </c>
      <c r="AA53" s="2" t="n"/>
      <c r="AB53" s="2" t="n"/>
      <c r="AC53" s="2" t="inlineStr">
        <is>
          <t>Formal</t>
        </is>
      </c>
      <c r="AD53" s="2" t="inlineStr">
        <is>
          <t>https://samvera.atlassian.net/wiki/spaces/samvera/pages/1387986974/Samvera+Bylaws</t>
        </is>
      </c>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Implemented/available</t>
        </is>
      </c>
      <c r="H54" s="2" t="inlineStr">
        <is>
          <t>https://samvera.atlassian.net/wiki/spaces/samvera/pages/1387986974/Samvera+Bylaws</t>
        </is>
      </c>
      <c r="I54" s="2" t="inlineStr">
        <is>
          <t>Implemented/available</t>
        </is>
      </c>
      <c r="J54" s="2" t="inlineStr">
        <is>
          <t>Hyrax is a project of the Samvera Community. Samvera operates as a distinct series entity hosted by the OASIS Open Development Foundation, LLC, under the Charter and Series Agreement.</t>
        </is>
      </c>
      <c r="K54" s="2" t="inlineStr">
        <is>
          <t>https://samvera.atlassian.net/wiki/spaces/samvera/pages/426512038/Notes+from+Samvera+Board+meetings+and+calls</t>
        </is>
      </c>
      <c r="L54" s="2" t="inlineStr">
        <is>
          <t>Advisory board or steering committee</t>
        </is>
      </c>
      <c r="M54" s="2" t="n"/>
      <c r="N54" s="2" t="inlineStr">
        <is>
          <t>Provider</t>
        </is>
      </c>
      <c r="O54" s="2" t="n"/>
      <c r="P54" s="2" t="inlineStr">
        <is>
          <t>Implemented/available</t>
        </is>
      </c>
      <c r="Q54" s="2" t="inlineStr">
        <is>
          <t>In progress</t>
        </is>
      </c>
      <c r="R54" s="2" t="n"/>
      <c r="S54" s="2" t="n"/>
      <c r="T54" s="2" t="inlineStr">
        <is>
          <t>No direct costs</t>
        </is>
      </c>
      <c r="U54" s="2" t="n"/>
      <c r="V54" s="2" t="inlineStr">
        <is>
          <t>In progress</t>
        </is>
      </c>
      <c r="W54" s="2" t="n"/>
      <c r="X54" s="2" t="inlineStr">
        <is>
          <t>In progress</t>
        </is>
      </c>
      <c r="Y54" s="2" t="n"/>
      <c r="Z54" s="2" t="inlineStr">
        <is>
          <t>It Takes a Village Open Source Software Sustainability toolkit</t>
        </is>
      </c>
      <c r="AA54" s="2" t="n"/>
      <c r="AB54" s="2" t="n"/>
      <c r="AC54" s="2" t="inlineStr">
        <is>
          <t>Formal</t>
        </is>
      </c>
      <c r="AD54" s="2" t="inlineStr">
        <is>
          <t>https://samvera.atlassian.net/wiki/spaces/samvera/pages/1387986974/Samvera+Bylaws</t>
        </is>
      </c>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Implemented/available</t>
        </is>
      </c>
      <c r="H55" s="2" t="inlineStr">
        <is>
          <t>https://iiif.io/community/consortium/consortium_committees/</t>
        </is>
      </c>
      <c r="I55" s="2" t="inlineStr">
        <is>
          <t>Implemented/available</t>
        </is>
      </c>
      <c r="J55" s="2" t="inlineStr">
        <is>
          <t>&lt;p&gt;IIIF is &lt;a href="https://iiif.io/community/consortium/consortium_committees" target="_blank"&gt;governed by&lt;/a&gt; an Executive Committee and an Operating Committee. &lt;/p&gt;</t>
        </is>
      </c>
      <c r="K55" s="2" t="inlineStr">
        <is>
          <t>https://iiif.io/community/consortium/mou/</t>
        </is>
      </c>
      <c r="L55" s="2" t="inlineStr">
        <is>
          <t>Advisory board or steering committee</t>
        </is>
      </c>
      <c r="M55" s="2" t="n"/>
      <c r="N55" s="2" t="n"/>
      <c r="O55" s="2" t="n"/>
      <c r="P55" s="2" t="inlineStr">
        <is>
          <t>Implemented/available</t>
        </is>
      </c>
      <c r="Q55" s="2" t="inlineStr">
        <is>
          <t>Not applicable</t>
        </is>
      </c>
      <c r="R55" s="2" t="n"/>
      <c r="S55" s="2" t="n"/>
      <c r="T55" s="2" t="inlineStr">
        <is>
          <t>Implemented/available</t>
        </is>
      </c>
      <c r="U55" s="2" t="inlineStr">
        <is>
          <t>https://iiif.io/community/consortium/join/</t>
        </is>
      </c>
      <c r="V55" s="2" t="inlineStr">
        <is>
          <t>Implemented/available</t>
        </is>
      </c>
      <c r="W55" s="2" t="inlineStr">
        <is>
          <t>https://iiif.io/community/consortium/next_steps/</t>
        </is>
      </c>
      <c r="X55" s="2" t="inlineStr">
        <is>
          <t>Implemented/available</t>
        </is>
      </c>
      <c r="Y55" s="2" t="inlineStr">
        <is>
          <t>https://iiif.io/privacy/</t>
        </is>
      </c>
      <c r="Z55" s="2" t="n"/>
      <c r="AA55" s="2" t="n"/>
      <c r="AB55" s="2" t="n"/>
      <c r="AC55" s="2" t="inlineStr">
        <is>
          <t>Formal</t>
        </is>
      </c>
      <c r="AD55" s="2" t="inlineStr">
        <is>
          <t>https://iiif.io/community/coordinating-committee/</t>
        </is>
      </c>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inlineStr">
        <is>
          <t>Unknown</t>
        </is>
      </c>
      <c r="H56" s="2" t="n"/>
      <c r="I56" s="2" t="inlineStr">
        <is>
          <t>Unknown</t>
        </is>
      </c>
      <c r="J56" s="2" t="inlineStr">
        <is>
          <t>The initiative is coordinated by the Collaborative Laboratory of Computational Social Sciences and Digital Humanities (CoLaV) at the University of Antioquia in collaboration with the University of Valle, the Externado University of Colombia, and the Autonomous Latin American University.</t>
        </is>
      </c>
      <c r="K56" s="2" t="n"/>
      <c r="L56" s="2" t="inlineStr">
        <is>
          <t>None</t>
        </is>
      </c>
      <c r="M56" s="2" t="n"/>
      <c r="N56" s="2" t="n"/>
      <c r="O56" s="2" t="n"/>
      <c r="P56" s="2" t="inlineStr">
        <is>
          <t>Unknown</t>
        </is>
      </c>
      <c r="Q56" s="2" t="inlineStr">
        <is>
          <t>Unknown</t>
        </is>
      </c>
      <c r="R56" s="2" t="n"/>
      <c r="S56" s="2" t="n"/>
      <c r="T56" s="2" t="inlineStr">
        <is>
          <t>No direct costs</t>
        </is>
      </c>
      <c r="U56" s="2" t="n"/>
      <c r="V56" s="2" t="inlineStr">
        <is>
          <t>Unknown</t>
        </is>
      </c>
      <c r="W56" s="2" t="n"/>
      <c r="X56" s="2" t="inlineStr">
        <is>
          <t>Unknown</t>
        </is>
      </c>
      <c r="Y56" s="2" t="n"/>
      <c r="Z56" s="2" t="n"/>
      <c r="AA56" s="2" t="n"/>
      <c r="AB56" s="2" t="n"/>
      <c r="AC56" s="2" t="inlineStr">
        <is>
          <t>None</t>
        </is>
      </c>
      <c r="AD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inlineStr">
        <is>
          <t>Implemented/available</t>
        </is>
      </c>
      <c r="H57" s="2" t="inlineStr">
        <is>
          <t>https://ev.igsn.org/membership/igsn-statutes-en</t>
        </is>
      </c>
      <c r="I57" s="2" t="inlineStr">
        <is>
          <t>In progress</t>
        </is>
      </c>
      <c r="J57" s="2" t="n"/>
      <c r="K57" s="2" t="n"/>
      <c r="L57" s="2" t="inlineStr">
        <is>
          <t>Advisory board or steering committee</t>
        </is>
      </c>
      <c r="M57" s="2" t="n"/>
      <c r="N57" s="2" t="n"/>
      <c r="O57" s="2" t="inlineStr">
        <is>
          <t>The Executive Board is responsible for all affairs of the Association to the extent not entrusted to any other constituent body of the Association by its statutes. Its responsibilities include preparing and convening the General Assembly, appointing working groups, implementing resolutions of the General Assembly, accounting, etc.</t>
        </is>
      </c>
      <c r="P57" s="2" t="inlineStr">
        <is>
          <t>Implemented/available</t>
        </is>
      </c>
      <c r="Q57" s="2" t="inlineStr">
        <is>
          <t>In progress</t>
        </is>
      </c>
      <c r="R57" s="2" t="n"/>
      <c r="S57" s="2" t="n"/>
      <c r="T57" s="2" t="inlineStr">
        <is>
          <t>Implemented/available</t>
        </is>
      </c>
      <c r="U57" s="2" t="inlineStr">
        <is>
          <t>https://datacite.org/fee-model/</t>
        </is>
      </c>
      <c r="V57" s="2" t="inlineStr">
        <is>
          <t>Considering</t>
        </is>
      </c>
      <c r="W57" s="2" t="n"/>
      <c r="X57" s="2" t="inlineStr">
        <is>
          <t>Considering</t>
        </is>
      </c>
      <c r="Y57" s="2" t="n"/>
      <c r="Z57" s="2" t="n"/>
      <c r="AA57" s="2" t="n"/>
      <c r="AB57" s="2" t="n"/>
      <c r="AC57" s="2" t="n"/>
      <c r="AD57" s="2" t="inlineStr">
        <is>
          <t>https://ev.igsn.org/membership/igsn-statutes-en</t>
        </is>
      </c>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Implemented/available</t>
        </is>
      </c>
      <c r="H58" s="2" t="inlineStr">
        <is>
          <t>https://inveniosoftware.org/governance/</t>
        </is>
      </c>
      <c r="I58" s="2" t="inlineStr">
        <is>
          <t>In progress</t>
        </is>
      </c>
      <c r="J58" s="2" t="inlineStr">
        <is>
          <t>&lt;p&gt;Invenio is a community-driven effort, &lt;a href="https://inveniosoftware.org/governance/" target="_blank"&gt;governed by&lt;/a&gt; &lt;a href="https://home.cern/" target="_blank"&gt;CERN&lt;/a&gt; for the benefit of the community.&lt;/p&gt;</t>
        </is>
      </c>
      <c r="K58" s="2" t="n"/>
      <c r="L58" s="2" t="inlineStr">
        <is>
          <t>Advisory board or steering committee</t>
        </is>
      </c>
      <c r="M58" s="2" t="n"/>
      <c r="N58" s="2" t="n"/>
      <c r="O58" s="2" t="n"/>
      <c r="P58" s="2" t="inlineStr">
        <is>
          <t>Implemented/available</t>
        </is>
      </c>
      <c r="Q58" s="2" t="inlineStr">
        <is>
          <t>In progress</t>
        </is>
      </c>
      <c r="R58" s="2" t="n"/>
      <c r="S58" s="2" t="n"/>
      <c r="T58" s="2" t="inlineStr">
        <is>
          <t>No direct costs</t>
        </is>
      </c>
      <c r="U58" s="2" t="n"/>
      <c r="V58" s="2" t="inlineStr">
        <is>
          <t>Implemented/available</t>
        </is>
      </c>
      <c r="W58" s="2" t="inlineStr">
        <is>
          <t>https://inveniosoftware.org/governance/</t>
        </is>
      </c>
      <c r="X58" s="2" t="inlineStr">
        <is>
          <t>Not applicable</t>
        </is>
      </c>
      <c r="Y58" s="2" t="n"/>
      <c r="Z58" s="2" t="n"/>
      <c r="AA58" s="2" t="n"/>
      <c r="AB58" s="2" t="n"/>
      <c r="AC58" s="2" t="inlineStr">
        <is>
          <t>Formal</t>
        </is>
      </c>
      <c r="AD58" s="2" t="inlineStr">
        <is>
          <t>https://inveniosoftware.org/governance/</t>
        </is>
      </c>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Implemented/available</t>
        </is>
      </c>
      <c r="H59" s="2" t="inlineStr">
        <is>
          <t>https://irods.org/uploads/2014/09/bylaws_v113015.pdf</t>
        </is>
      </c>
      <c r="I59" s="2" t="inlineStr">
        <is>
          <t>Not planning</t>
        </is>
      </c>
      <c r="J59" s="2" t="inlineStr">
        <is>
          <t>Governance is determined by Consortium Membership.</t>
        </is>
      </c>
      <c r="K59" s="2" t="n"/>
      <c r="L59" s="2" t="inlineStr">
        <is>
          <t>Advisory board or steering committee</t>
        </is>
      </c>
      <c r="M59" s="2" t="inlineStr">
        <is>
          <t>In addition to the Executive Committee (which makes decisions on budgets and by laws), there is an Advisory Board that is advisory/strategic: https://irods.org/advisory-board/</t>
        </is>
      </c>
      <c r="N59" s="2" t="inlineStr">
        <is>
          <t>Other</t>
        </is>
      </c>
      <c r="O59" s="2" t="inlineStr">
        <is>
          <t>Executive Board members are expected to aid the Consortium through the following actions:
 - Aiding in fundraising, public relations, and acquisition of new Consortium Members;
 - Making amendments and alterations to the Consortium Bylaws;
 - Providing oversight and approval of Consortium activities, staffing, budgets, and deliverables as detailed in the Bylaws.</t>
        </is>
      </c>
      <c r="P59" s="2" t="inlineStr">
        <is>
          <t>Implemented/available</t>
        </is>
      </c>
      <c r="Q59" s="2" t="inlineStr">
        <is>
          <t>Not planning</t>
        </is>
      </c>
      <c r="R59" s="2" t="n"/>
      <c r="S59" s="2" t="n"/>
      <c r="T59" s="2" t="inlineStr">
        <is>
          <t>Implemented/available</t>
        </is>
      </c>
      <c r="U59" s="2" t="inlineStr">
        <is>
          <t>https://irods.org/uploads/members_benefit_sheet.pdf</t>
        </is>
      </c>
      <c r="V59" s="2" t="inlineStr">
        <is>
          <t>Not planning</t>
        </is>
      </c>
      <c r="W59" s="2" t="n"/>
      <c r="X59" s="2" t="inlineStr">
        <is>
          <t>Not planning</t>
        </is>
      </c>
      <c r="Y59" s="2" t="n"/>
      <c r="Z59" s="2" t="inlineStr">
        <is>
          <t>FAIR Guiding Principles for Scientific Data Management and Stewardship</t>
        </is>
      </c>
      <c r="AA59" s="2" t="n"/>
      <c r="AB59" s="2" t="n"/>
      <c r="AC59" s="2" t="inlineStr">
        <is>
          <t>Ad hoc</t>
        </is>
      </c>
      <c r="AD59" s="2" t="inlineStr">
        <is>
          <t>https://irods.org/uploads/2014/09/bylaws_v113015.pdf</t>
        </is>
      </c>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Implemented/available</t>
        </is>
      </c>
      <c r="H60" s="2" t="inlineStr">
        <is>
          <t>https://www.islandora.ca/governance</t>
        </is>
      </c>
      <c r="I60" s="2" t="inlineStr">
        <is>
          <t>Implemented/available</t>
        </is>
      </c>
      <c r="J60" s="2" t="inlineStr">
        <is>
          <t>&lt;p&gt;The Islandora Foundation maintains a &lt;a href="https://github.com/Islandora/islandora-community/wiki/Board-of-Directors-%28BOD%29" target="_blank"&gt;Board&lt;/a&gt; and &lt;a href="https://islandora.webflow.io/by-laws" target="_blank"&gt;By-laws&lt;/a&gt; from which the Islandora Community grows. The Board is elected biannually from the &lt;a href="https://github.com/Islandora/islandora-community/wiki/Leadership-Group-%28LG%29" target="_blank"&gt;Islandora Leadership Group&lt;/a&gt;. &lt;/p&gt;</t>
        </is>
      </c>
      <c r="K60" s="2" t="inlineStr">
        <is>
          <t>https://github.com/Islandora/islandora-community/wiki/Board-of-Directors-%28BOD%29</t>
        </is>
      </c>
      <c r="L60" s="2" t="inlineStr">
        <is>
          <t>Advisory board or steering committee</t>
        </is>
      </c>
      <c r="M60" s="2" t="n"/>
      <c r="N60" s="2" t="n"/>
      <c r="O60" s="2" t="n"/>
      <c r="P60" s="2" t="inlineStr">
        <is>
          <t>Implemented/available</t>
        </is>
      </c>
      <c r="Q60" s="2" t="inlineStr">
        <is>
          <t>Implemented/available</t>
        </is>
      </c>
      <c r="R60" s="2" t="inlineStr">
        <is>
          <t>https://islandora.github.io/documentation/user-documentation/accessibility/</t>
        </is>
      </c>
      <c r="S60" s="2" t="inlineStr">
        <is>
          <t>Our tool or project</t>
        </is>
      </c>
      <c r="T60" s="2" t="inlineStr">
        <is>
          <t>No direct costs</t>
        </is>
      </c>
      <c r="U60" s="2" t="n"/>
      <c r="V60" s="2" t="inlineStr">
        <is>
          <t>Implemented/available</t>
        </is>
      </c>
      <c r="W60" s="2" t="inlineStr">
        <is>
          <t>https://www.islandora.ca/about</t>
        </is>
      </c>
      <c r="X60" s="2" t="inlineStr">
        <is>
          <t>Unknown</t>
        </is>
      </c>
      <c r="Y60" s="2" t="n"/>
      <c r="Z60" s="2" t="n"/>
      <c r="AA60" s="2" t="n"/>
      <c r="AB60" s="2" t="n"/>
      <c r="AC60" s="2" t="inlineStr">
        <is>
          <t>None</t>
        </is>
      </c>
      <c r="AD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In progress</t>
        </is>
      </c>
      <c r="H61" s="2" t="n"/>
      <c r="I61" s="2" t="inlineStr">
        <is>
          <t>In progress</t>
        </is>
      </c>
      <c r="J61" s="2" t="inlineStr">
        <is>
          <t>&lt;p&gt;Janeway is a not for profit making organization, &lt;a href="https://janeway.systems/" target="_blank"&gt;developed&lt;/a&gt; at the Centre for Technology and Publishing, Birkbeck, University of London, and the Open Library of Humanities, UK. For more on Birkbeck's governance, &lt;a href="https://www.bbk.ac.uk/about-us/governance" target="_blank"&gt;click here&lt;/a&gt;. Additional governance development is in progress.&lt;/p&gt;</t>
        </is>
      </c>
      <c r="K61" s="2" t="n"/>
      <c r="L61" s="2" t="inlineStr">
        <is>
          <t>Advisory board or steering committee</t>
        </is>
      </c>
      <c r="M61" s="2" t="n"/>
      <c r="N61" s="2" t="n"/>
      <c r="O61" s="2" t="n"/>
      <c r="P61" s="2" t="inlineStr">
        <is>
          <t>Unknown</t>
        </is>
      </c>
      <c r="Q61" s="2" t="inlineStr">
        <is>
          <t>Implemented/available</t>
        </is>
      </c>
      <c r="R61" s="2" t="n"/>
      <c r="S61" s="2" t="inlineStr">
        <is>
          <t>Our website</t>
        </is>
      </c>
      <c r="T61" s="2" t="inlineStr">
        <is>
          <t>Implemented/available</t>
        </is>
      </c>
      <c r="U61" s="2" t="inlineStr">
        <is>
          <t>https://janeway.systems/hosting</t>
        </is>
      </c>
      <c r="V61" s="2" t="inlineStr">
        <is>
          <t>Implemented/available</t>
        </is>
      </c>
      <c r="W61" s="2" t="inlineStr">
        <is>
          <t>https://www.bbk.ac.uk/about-us/equality/statement</t>
        </is>
      </c>
      <c r="X61" s="2" t="inlineStr">
        <is>
          <t>Implemented/available</t>
        </is>
      </c>
      <c r="Y61" s="2" t="inlineStr">
        <is>
          <t>https://www.openlibhums.org/site/privacy/</t>
        </is>
      </c>
      <c r="Z61" s="2" t="n"/>
      <c r="AA61" s="2" t="n"/>
      <c r="AB61" s="2" t="n"/>
      <c r="AC61" s="2" t="inlineStr">
        <is>
          <t>Ad hoc</t>
        </is>
      </c>
      <c r="AD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Implemented/available</t>
        </is>
      </c>
      <c r="H62" s="2" t="inlineStr">
        <is>
          <t>https://openpreservation.org/about/board-of-directors/</t>
        </is>
      </c>
      <c r="I62" s="2" t="inlineStr">
        <is>
          <t>Not planning</t>
        </is>
      </c>
      <c r="J62" s="2" t="inlineStr">
        <is>
          <t>The OPF operates as an independent, not-for-profit membership organization.</t>
        </is>
      </c>
      <c r="K62" s="2" t="n"/>
      <c r="L62" s="2" t="inlineStr">
        <is>
          <t>Advisory board or steering committee</t>
        </is>
      </c>
      <c r="M62" s="2" t="n"/>
      <c r="N62" s="2" t="n"/>
      <c r="O62" s="2" t="inlineStr">
        <is>
          <t>To oversee the overall strategic direction and sustainability of the Foundation. The Board are drawn from our membership and are expected to approve significant business decisions, ensure compliance with laws and regulations, monitoring financial performance, and appointing and evaluating senior management. While they primarily focusing on long-term vision and not day-to-day operations, their purview is important to our strategic direction.</t>
        </is>
      </c>
      <c r="P62" s="2" t="inlineStr">
        <is>
          <t>Not planning</t>
        </is>
      </c>
      <c r="Q62" s="2" t="inlineStr">
        <is>
          <t>In progress</t>
        </is>
      </c>
      <c r="R62" s="2" t="n"/>
      <c r="S62" s="2" t="n"/>
      <c r="T62" s="2" t="inlineStr">
        <is>
          <t>No direct costs</t>
        </is>
      </c>
      <c r="U62" s="2" t="n"/>
      <c r="V62" s="2" t="inlineStr">
        <is>
          <t>In progress</t>
        </is>
      </c>
      <c r="W62" s="2" t="n"/>
      <c r="X62" s="2" t="inlineStr">
        <is>
          <t>Implemented/available</t>
        </is>
      </c>
      <c r="Y62" s="2" t="inlineStr">
        <is>
          <t>https://openpreservation.org/privacy-policy/</t>
        </is>
      </c>
      <c r="Z62" s="2" t="n"/>
      <c r="AA62" s="2" t="n"/>
      <c r="AB62" s="2" t="n"/>
      <c r="AC62" s="2" t="inlineStr">
        <is>
          <t>Ad hoc</t>
        </is>
      </c>
      <c r="AD62" s="2" t="n"/>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Implemented/available</t>
        </is>
      </c>
      <c r="H63" s="2" t="inlineStr">
        <is>
          <t>https://www.lareferencia.info/en/institutional/partners-and-representatives</t>
        </is>
      </c>
      <c r="I63" s="2" t="inlineStr">
        <is>
          <t>Implemented/available</t>
        </is>
      </c>
      <c r="J63" s="2" t="inlineStr">
        <is>
          <t>&lt;p&gt;La Referencia is &lt;a href="https://www.lareferencia.info/en/institutional/partners-and-representatives" target="_blank"&gt;governed by&lt;/a&gt; a Board of Directors, network of Political Authorities from node countries, and a Technical Committee. &lt;/p&gt;</t>
        </is>
      </c>
      <c r="K63" s="2" t="inlineStr">
        <is>
          <t>https://www.lareferencia.info/es/recursos/documentos/actas-consejo-directivo</t>
        </is>
      </c>
      <c r="L63" s="2" t="inlineStr">
        <is>
          <t>Multi-board governance</t>
        </is>
      </c>
      <c r="M63" s="2" t="n"/>
      <c r="N63" s="2" t="n"/>
      <c r="O63" s="2" t="n"/>
      <c r="P63" s="2" t="inlineStr">
        <is>
          <t>Unknown</t>
        </is>
      </c>
      <c r="Q63" s="2" t="inlineStr">
        <is>
          <t>Considering</t>
        </is>
      </c>
      <c r="R63" s="2" t="n"/>
      <c r="S63" s="2" t="n"/>
      <c r="T63" s="2" t="inlineStr">
        <is>
          <t>No direct costs</t>
        </is>
      </c>
      <c r="U63" s="2" t="n"/>
      <c r="V63" s="2" t="inlineStr">
        <is>
          <t>Considering</t>
        </is>
      </c>
      <c r="W63" s="2" t="n"/>
      <c r="X63" s="2" t="inlineStr">
        <is>
          <t>In progress</t>
        </is>
      </c>
      <c r="Y63" s="2" t="n"/>
      <c r="Z63" s="2" t="n"/>
      <c r="AA63" s="2" t="n"/>
      <c r="AB63" s="2" t="n"/>
      <c r="AC63" s="2" t="inlineStr">
        <is>
          <t>Formal</t>
        </is>
      </c>
      <c r="AD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Unknown</t>
        </is>
      </c>
      <c r="H64" s="2" t="n"/>
      <c r="I64" s="2" t="inlineStr">
        <is>
          <t>Unknown</t>
        </is>
      </c>
      <c r="J64" s="2" t="inlineStr">
        <is>
          <t>&lt;p&gt;Manifold is a collaboration between the &lt;a href="https://www.gc.cuny.edu/" target="_blank"&gt;CUNY Graduate Center&lt;/a&gt;, the &lt;a href="https://www.upress.umn.edu/" target="_blank"&gt;University of Minnesota Press&lt;/a&gt;, and &lt;a href="https://castironcoding.com/" target="_blank"&gt;Cast Iron Coding&lt;/a&gt;. Additional governance information was not provided, and will be updated as made available. &lt;/p&gt;</t>
        </is>
      </c>
      <c r="K64" s="2" t="n"/>
      <c r="L64" s="2" t="inlineStr">
        <is>
          <t>Advisory board or steering committee</t>
        </is>
      </c>
      <c r="M64" s="2" t="n"/>
      <c r="N64" s="2" t="n"/>
      <c r="O64" s="2" t="n"/>
      <c r="P64" s="2" t="inlineStr">
        <is>
          <t>Unknown</t>
        </is>
      </c>
      <c r="Q64" s="2" t="inlineStr">
        <is>
          <t>Implemented/available</t>
        </is>
      </c>
      <c r="R64" s="2" t="n"/>
      <c r="S64" s="2" t="inlineStr">
        <is>
          <t>Our tool or project</t>
        </is>
      </c>
      <c r="T64" s="2" t="inlineStr">
        <is>
          <t>Implemented/available</t>
        </is>
      </c>
      <c r="U64" s="2" t="inlineStr">
        <is>
          <t>https://manifoldapp.org/services</t>
        </is>
      </c>
      <c r="V64" s="2" t="inlineStr">
        <is>
          <t>In progress</t>
        </is>
      </c>
      <c r="W64" s="2" t="n"/>
      <c r="X64" s="2" t="inlineStr">
        <is>
          <t>Unknown</t>
        </is>
      </c>
      <c r="Y64" s="2" t="n"/>
      <c r="Z64" s="2" t="n"/>
      <c r="AA64" s="2" t="n"/>
      <c r="AB64" s="2" t="n"/>
      <c r="AC64" s="2" t="inlineStr">
        <is>
          <t>None</t>
        </is>
      </c>
      <c r="AD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In progress</t>
        </is>
      </c>
      <c r="H65" s="2" t="n"/>
      <c r="I65" s="2" t="inlineStr">
        <is>
          <t>Not planning</t>
        </is>
      </c>
      <c r="J65" s="2" t="inlineStr">
        <is>
          <t>&lt;p&gt;medRxiv is housed at &lt;a href="https://www.cshl.edu/" target="_blank"&gt;Cold Spring Harbor Laboratory&lt;/a&gt;, which is governed by a &lt;a href="https://www.cshl.edu/about-us/board-of-trustees/" target="_blank"&gt;Board of Trustees&lt;/a&gt;. Additional governance development is in progress.&lt;/p&gt;</t>
        </is>
      </c>
      <c r="K65" s="2" t="n"/>
      <c r="L65" s="2" t="inlineStr">
        <is>
          <t>Advisory board or steering committee</t>
        </is>
      </c>
      <c r="M65" s="2" t="n"/>
      <c r="N65" s="2" t="n"/>
      <c r="O65" s="2" t="n"/>
      <c r="P65" s="2" t="inlineStr">
        <is>
          <t>Unknown</t>
        </is>
      </c>
      <c r="Q65" s="2" t="inlineStr">
        <is>
          <t>Considering</t>
        </is>
      </c>
      <c r="R65" s="2" t="n"/>
      <c r="S65" s="2" t="n"/>
      <c r="T65" s="2" t="inlineStr">
        <is>
          <t>No direct costs</t>
        </is>
      </c>
      <c r="U65" s="2" t="n"/>
      <c r="V65" s="2" t="inlineStr">
        <is>
          <t>In progress</t>
        </is>
      </c>
      <c r="W65" s="2" t="n"/>
      <c r="X65" s="2" t="inlineStr">
        <is>
          <t>Implemented/available</t>
        </is>
      </c>
      <c r="Y65" s="2" t="inlineStr">
        <is>
          <t>http://www.cshlp.org/misc/preprints_privacy_policy/</t>
        </is>
      </c>
      <c r="Z65" s="2" t="inlineStr">
        <is>
          <t>COAR Next Generation Repositories Principles | San Francisco Declaration on Research Assessment (DORA)</t>
        </is>
      </c>
      <c r="AA65" s="2" t="n"/>
      <c r="AB65" s="2" t="n"/>
      <c r="AC65" s="2" t="inlineStr">
        <is>
          <t>Ad hoc</t>
        </is>
      </c>
      <c r="AD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Implemented/available</t>
        </is>
      </c>
      <c r="H66" s="2" t="inlineStr">
        <is>
          <t>https://www.loc.gov/standards/mets/mets-board.html</t>
        </is>
      </c>
      <c r="I66" s="2" t="inlineStr">
        <is>
          <t>Implemented/available</t>
        </is>
      </c>
      <c r="J66" s="2" t="inlineStr">
        <is>
          <t>The METS schema is maintained by the METS Editorial Board, an international group of volunteers who represent important communities of interest for METS.</t>
        </is>
      </c>
      <c r="K66" s="2" t="inlineStr">
        <is>
          <t>https://github.com/mets/METS-board/wiki/01-Meeting-Agendas-and-Notes</t>
        </is>
      </c>
      <c r="L66" s="2" t="inlineStr">
        <is>
          <t>Advisory board or steering committee</t>
        </is>
      </c>
      <c r="M66" s="2" t="n"/>
      <c r="N66" s="2" t="n"/>
      <c r="O66" s="2" t="inlineStr">
        <is>
          <t>The METS Editorial Board is responsible for maintenance of the METS schema and its documentation and for engaging with the METS user community.</t>
        </is>
      </c>
      <c r="P66" s="2" t="inlineStr">
        <is>
          <t>Implemented/available</t>
        </is>
      </c>
      <c r="Q66" s="2" t="inlineStr">
        <is>
          <t>Not planning</t>
        </is>
      </c>
      <c r="R66" s="2" t="n"/>
      <c r="S66" s="2" t="n"/>
      <c r="T66" s="2" t="inlineStr">
        <is>
          <t>No direct costs</t>
        </is>
      </c>
      <c r="U66" s="2" t="n"/>
      <c r="V66" s="2" t="inlineStr">
        <is>
          <t>Not planning</t>
        </is>
      </c>
      <c r="W66" s="2" t="n"/>
      <c r="X66" s="2" t="inlineStr">
        <is>
          <t>Not planning</t>
        </is>
      </c>
      <c r="Y66" s="2" t="n"/>
      <c r="Z66" s="2" t="n"/>
      <c r="AA66" s="2" t="n"/>
      <c r="AB66" s="2" t="n"/>
      <c r="AC66" s="2" t="inlineStr">
        <is>
          <t>Ad hoc</t>
        </is>
      </c>
      <c r="AD66" s="2" t="inlineStr">
        <is>
          <t>https://www.loc.gov/standards/mets/mets-boardprocedures.html</t>
        </is>
      </c>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inlineStr">
        <is>
          <t>Considering</t>
        </is>
      </c>
      <c r="H67" s="2" t="n"/>
      <c r="I67" s="2" t="inlineStr">
        <is>
          <t>Implemented/available</t>
        </is>
      </c>
      <c r="J67" s="2" t="inlineStr">
        <is>
          <t>&lt;p&gt;The provider is considering additional governance development. &lt;/p&gt;</t>
        </is>
      </c>
      <c r="K67" s="2" t="inlineStr">
        <is>
          <t>https://docs.google.com/document/d/1wWozmLxUsN7QRWzekiIMjjuShhDIsJw0P0lIaiARSa8/edit</t>
        </is>
      </c>
      <c r="L67" s="2" t="inlineStr">
        <is>
          <t>None</t>
        </is>
      </c>
      <c r="M67" s="2" t="n"/>
      <c r="N67" s="2" t="n"/>
      <c r="O67" s="2" t="n"/>
      <c r="P67" s="2" t="inlineStr">
        <is>
          <t>Unknown</t>
        </is>
      </c>
      <c r="Q67" s="2" t="inlineStr">
        <is>
          <t>Implemented/available</t>
        </is>
      </c>
      <c r="R67" s="2" t="inlineStr">
        <is>
          <t>https://github.com/ProjectMirador/mirador/wiki/M3-Accessibility-Guidelines-for-Contributors</t>
        </is>
      </c>
      <c r="S67" s="2" t="inlineStr">
        <is>
          <t>Our tool or project</t>
        </is>
      </c>
      <c r="T67" s="2" t="inlineStr">
        <is>
          <t>Implemented/available</t>
        </is>
      </c>
      <c r="U67" s="2" t="n"/>
      <c r="V67" s="2" t="inlineStr">
        <is>
          <t>Implemented/available</t>
        </is>
      </c>
      <c r="W67" s="2" t="inlineStr">
        <is>
          <t>https://github.com/cul/mirador/blob/master/CODE_OF_CONDUCT.md#inclusivity</t>
        </is>
      </c>
      <c r="X67" s="2" t="inlineStr">
        <is>
          <t>Unknown</t>
        </is>
      </c>
      <c r="Y67" s="2" t="n"/>
      <c r="Z67" s="2" t="n"/>
      <c r="AA67" s="2" t="n"/>
      <c r="AB67" s="2" t="n"/>
      <c r="AC67" s="2" t="inlineStr">
        <is>
          <t>Ad hoc</t>
        </is>
      </c>
      <c r="AD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inlineStr">
        <is>
          <t>In progress</t>
        </is>
      </c>
      <c r="H68" s="2" t="n"/>
      <c r="I68" s="2" t="inlineStr">
        <is>
          <t>In progress</t>
        </is>
      </c>
      <c r="J68" s="2" t="inlineStr">
        <is>
          <t>&lt;p&gt;Mukurtu CMS is managed by the &lt;a href="https://cdsc.libraries.wsu.edu/" target="_blank"&gt;Center for Digital Scholarship and Curation&lt;/a&gt; at Washington State University, which is governed by a &lt;a href="https://policies.wsu.edu/prf/index/manuals/board-of-regents-policy-manual/" target="_blank"&gt;Board of Regents&lt;/a&gt;. Additional governance development is in progress.&lt;/p&gt;</t>
        </is>
      </c>
      <c r="K68" s="2" t="n"/>
      <c r="L68" s="2" t="inlineStr">
        <is>
          <t>Advisory board or steering committee</t>
        </is>
      </c>
      <c r="M68" s="2" t="n"/>
      <c r="N68" s="2" t="n"/>
      <c r="O68" s="2" t="n"/>
      <c r="P68" s="2" t="inlineStr">
        <is>
          <t>Unknown</t>
        </is>
      </c>
      <c r="Q68" s="2" t="inlineStr">
        <is>
          <t>In progress</t>
        </is>
      </c>
      <c r="R68" s="2" t="n"/>
      <c r="S68" s="2" t="n"/>
      <c r="T68" s="2" t="inlineStr">
        <is>
          <t>Implemented/available</t>
        </is>
      </c>
      <c r="U68" s="2" t="inlineStr">
        <is>
          <t>https://mukurtu.org/get-mukurtu/</t>
        </is>
      </c>
      <c r="V68" s="2" t="inlineStr">
        <is>
          <t>Implemented/available</t>
        </is>
      </c>
      <c r="W68" s="2" t="inlineStr">
        <is>
          <t>https://mukurtu.org/about/</t>
        </is>
      </c>
      <c r="X68" s="2" t="inlineStr">
        <is>
          <t>Implemented/available</t>
        </is>
      </c>
      <c r="Y68" s="2" t="inlineStr">
        <is>
          <t>https://mukurtu.org/privacy/</t>
        </is>
      </c>
      <c r="Z68" s="2" t="n"/>
      <c r="AA68" s="2" t="n"/>
      <c r="AB68" s="2" t="n"/>
      <c r="AC68" s="2" t="inlineStr">
        <is>
          <t>Ad hoc</t>
        </is>
      </c>
      <c r="AD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inlineStr">
        <is>
          <t>Not planning</t>
        </is>
      </c>
      <c r="H69" s="2" t="n"/>
      <c r="I69" s="2" t="inlineStr">
        <is>
          <t>Not planning</t>
        </is>
      </c>
      <c r="J69" s="2" t="n"/>
      <c r="K69" s="2" t="n"/>
      <c r="L69" s="2" t="inlineStr">
        <is>
          <t>None</t>
        </is>
      </c>
      <c r="M69" s="2" t="n"/>
      <c r="N69" s="2" t="n"/>
      <c r="O69" s="2" t="inlineStr">
        <is>
          <t>n.a.</t>
        </is>
      </c>
      <c r="P69" s="2" t="inlineStr">
        <is>
          <t>Not planning</t>
        </is>
      </c>
      <c r="Q69" s="2" t="inlineStr">
        <is>
          <t>Implemented/available</t>
        </is>
      </c>
      <c r="R69" s="2" t="inlineStr">
        <is>
          <t>https://www.mycore.de/en/site/accessibility/</t>
        </is>
      </c>
      <c r="S69" s="2" t="inlineStr">
        <is>
          <t>Our website</t>
        </is>
      </c>
      <c r="T69" s="2" t="inlineStr">
        <is>
          <t>No direct costs</t>
        </is>
      </c>
      <c r="U69" s="2" t="n"/>
      <c r="V69" s="2" t="inlineStr">
        <is>
          <t>Unknown</t>
        </is>
      </c>
      <c r="W69" s="2" t="n"/>
      <c r="X69" s="2" t="inlineStr">
        <is>
          <t>Implemented/available</t>
        </is>
      </c>
      <c r="Y69" s="2" t="inlineStr">
        <is>
          <t>https://www.mycore.de/en/site/privacy/</t>
        </is>
      </c>
      <c r="Z69" s="2" t="n"/>
      <c r="AA69" s="2" t="n"/>
      <c r="AB69" s="2" t="n"/>
      <c r="AC69" s="2" t="inlineStr">
        <is>
          <t>Ad hoc</t>
        </is>
      </c>
      <c r="AD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Implemented/available</t>
        </is>
      </c>
      <c r="H70" s="2" t="inlineStr">
        <is>
          <t>https://numpy.org/devdocs/dev/governance/governance.html#steering-council</t>
        </is>
      </c>
      <c r="I70" s="2" t="inlineStr">
        <is>
          <t>Implemented/available</t>
        </is>
      </c>
      <c r="J70" s="2" t="n"/>
      <c r="K70" s="2" t="inlineStr">
        <is>
          <t>https://github.com/numpy/archive</t>
        </is>
      </c>
      <c r="L70" s="2" t="inlineStr">
        <is>
          <t>Advisory board or steering committee</t>
        </is>
      </c>
      <c r="M70" s="2" t="n"/>
      <c r="N70" s="2" t="n"/>
      <c r="O70" s="2" t="inlineStr">
        <is>
          <t>The governing board makes decisions mainly on administrative issues, such as how funds should be spent, who serves on the steering council, and whom to grant commit rights.</t>
        </is>
      </c>
      <c r="P70" s="2" t="inlineStr">
        <is>
          <t>Implemented/available</t>
        </is>
      </c>
      <c r="Q70" s="2" t="inlineStr">
        <is>
          <t>In progress</t>
        </is>
      </c>
      <c r="R70" s="2" t="n"/>
      <c r="S70" s="2" t="n"/>
      <c r="T70" s="2" t="inlineStr">
        <is>
          <t>No direct costs</t>
        </is>
      </c>
      <c r="U70" s="2" t="n"/>
      <c r="V70" s="2" t="inlineStr">
        <is>
          <t>In progress</t>
        </is>
      </c>
      <c r="W70" s="2" t="n"/>
      <c r="X70" s="2" t="inlineStr">
        <is>
          <t>Not planning</t>
        </is>
      </c>
      <c r="Y70" s="2" t="n"/>
      <c r="Z70" s="2" t="n"/>
      <c r="AA70" s="2" t="n"/>
      <c r="AB70" s="2" t="n"/>
      <c r="AC70" s="2" t="inlineStr">
        <is>
          <t>Formal</t>
        </is>
      </c>
      <c r="AD70" s="2" t="inlineStr">
        <is>
          <t>https://numpy.org/devdocs/dev/governance/index.html</t>
        </is>
      </c>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Implemented/available</t>
        </is>
      </c>
      <c r="H71" s="2" t="inlineStr">
        <is>
          <t>https://oa.works/about/governance/</t>
        </is>
      </c>
      <c r="I71" s="2" t="inlineStr">
        <is>
          <t>Implemented/available</t>
        </is>
      </c>
      <c r="J71" s="2" t="n"/>
      <c r="K71" s="2" t="inlineStr">
        <is>
          <t>https://drive.google.com/drive/folders/1BRmxtsdw5_IIcyRCFoLPSNLs070vbl3T?usp=sharing</t>
        </is>
      </c>
      <c r="L71" s="2" t="inlineStr">
        <is>
          <t>Advisory board or steering committee</t>
        </is>
      </c>
      <c r="M71" s="2" t="n"/>
      <c r="N71" s="2" t="n"/>
      <c r="O71" s="2" t="inlineStr">
        <is>
          <t>Our Articles of Governance states "The Advisory Committee has the power to dictate all activities and affairs of OA.Works through a vote." This provides the committee the broadest possible powers to note only advise, but to bind OA.Work's to act in the communities interests.</t>
        </is>
      </c>
      <c r="P71" s="2" t="inlineStr">
        <is>
          <t>Implemented/available</t>
        </is>
      </c>
      <c r="Q71" s="2" t="inlineStr">
        <is>
          <t>Implemented/available</t>
        </is>
      </c>
      <c r="R71" s="2" t="inlineStr">
        <is>
          <t>https://about.oa.report/help/accessibility-statement</t>
        </is>
      </c>
      <c r="S71" s="2" t="n"/>
      <c r="T71" s="2" t="inlineStr">
        <is>
          <t>In progress</t>
        </is>
      </c>
      <c r="U71" s="2" t="n"/>
      <c r="V71" s="2" t="inlineStr">
        <is>
          <t>Considering</t>
        </is>
      </c>
      <c r="W71" s="2" t="n"/>
      <c r="X71" s="2" t="inlineStr">
        <is>
          <t>Implemented/available</t>
        </is>
      </c>
      <c r="Y71" s="2" t="inlineStr">
        <is>
          <t>https://oa.works/policies/privacy/</t>
        </is>
      </c>
      <c r="Z71" s="2" t="inlineStr">
        <is>
          <t>Principles for Open Scholarly Infrastructure (POSI)</t>
        </is>
      </c>
      <c r="AA71" s="2" t="n"/>
      <c r="AB71" s="2" t="n"/>
      <c r="AC71" s="2" t="inlineStr">
        <is>
          <t>Formal</t>
        </is>
      </c>
      <c r="AD71" s="2" t="inlineStr">
        <is>
          <t>https://oa.works/about/governance/articles-of-governance/</t>
        </is>
      </c>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Implemented/available</t>
        </is>
      </c>
      <c r="H72" s="2" t="inlineStr">
        <is>
          <t>https://www.oaswitchboard.org/governance</t>
        </is>
      </c>
      <c r="I72" s="2" t="inlineStr">
        <is>
          <t>Implemented/available</t>
        </is>
      </c>
      <c r="J72" s="2" t="inlineStr">
        <is>
          <t>&lt;p&gt;OA Switchboard is governed by a &lt;a href="https://www.oaswitchboard.org/governance" target="_blank"&gt;Board of Directors&lt;/a&gt;, and supported additionally by a &lt;a href="https://www.oaswitchboard.org/governance" target="_blank"&gt;Client Advisory Board&lt;/a&gt;, &lt;a href="https://www.oaswitchboard.org/governance" target="_blank"&gt;Advisory Group&lt;/a&gt;, and &lt;a href="https://www.oaswitchboard.org/governance" target="_blank"&gt;Working Groups&lt;/a&gt;. &lt;/p&gt;</t>
        </is>
      </c>
      <c r="K72" s="2" t="inlineStr">
        <is>
          <t>https://www.oaswitchboard.org/governance</t>
        </is>
      </c>
      <c r="L72" s="2" t="n"/>
      <c r="M72" s="2" t="n"/>
      <c r="N72" s="2" t="n"/>
      <c r="O72" s="2" t="n"/>
      <c r="P72" s="2" t="inlineStr">
        <is>
          <t>Implemented/available</t>
        </is>
      </c>
      <c r="Q72" s="2" t="inlineStr">
        <is>
          <t>Unknown</t>
        </is>
      </c>
      <c r="R72" s="2" t="n"/>
      <c r="S72" s="2" t="n"/>
      <c r="T72" s="2" t="inlineStr">
        <is>
          <t>Implemented/available</t>
        </is>
      </c>
      <c r="U72" s="2" t="inlineStr">
        <is>
          <t>https://www.oaswitchboard.org/faq</t>
        </is>
      </c>
      <c r="V72" s="2" t="inlineStr">
        <is>
          <t>Implemented/available</t>
        </is>
      </c>
      <c r="W72" s="2" t="inlineStr">
        <is>
          <t>https://www.oaswitchboard.org/governance</t>
        </is>
      </c>
      <c r="X72" s="2" t="inlineStr">
        <is>
          <t>Implemented/available</t>
        </is>
      </c>
      <c r="Y72" s="2" t="inlineStr">
        <is>
          <t>https://www.oaswitchboard.org/privacy-statement</t>
        </is>
      </c>
      <c r="Z72" s="2" t="n"/>
      <c r="AA72" s="2" t="n"/>
      <c r="AB72" s="2" t="n"/>
      <c r="AC72" s="2" t="inlineStr">
        <is>
          <t>Formal</t>
        </is>
      </c>
      <c r="AD72" s="2" t="inlineStr">
        <is>
          <t>https://www.oaswitchboard.org/governance</t>
        </is>
      </c>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Implemented/available</t>
        </is>
      </c>
      <c r="H73" s="2" t="inlineStr">
        <is>
          <t>https://digitalscholar.org/assets/downloads/Corporation%20for%20Digital%20Scholarship%20%E2%80%93%20Articles%20of%20Incorporation.pdf</t>
        </is>
      </c>
      <c r="I73" s="2" t="inlineStr">
        <is>
          <t>In progress</t>
        </is>
      </c>
      <c r="J73" s="2" t="inlineStr">
        <is>
          <t>Omeka is a project of &lt;a href="https://digitalscholar.org/" target="_blank"&gt;Digital Scholar&lt;/a&gt;, a US-based non-stock corporation that operates following the guidelines laid out by the IRS for 501c3 organizations. See the articles of incorporation, bylaws, and governance documents on the Digital Scholar website.</t>
        </is>
      </c>
      <c r="K73" s="2" t="n"/>
      <c r="L73" s="2" t="inlineStr">
        <is>
          <t>Advisory board or steering committee</t>
        </is>
      </c>
      <c r="M73" s="2" t="n"/>
      <c r="N73" s="2" t="n"/>
      <c r="O73" s="2" t="n"/>
      <c r="P73" s="2" t="inlineStr">
        <is>
          <t>Implemented/available</t>
        </is>
      </c>
      <c r="Q73" s="2" t="inlineStr">
        <is>
          <t>Implemented/available</t>
        </is>
      </c>
      <c r="R73" s="2" t="n"/>
      <c r="S73" s="2" t="inlineStr">
        <is>
          <t>Our tool or project</t>
        </is>
      </c>
      <c r="T73" s="2" t="inlineStr">
        <is>
          <t>Implemented/available</t>
        </is>
      </c>
      <c r="U73" s="2" t="inlineStr">
        <is>
          <t>https://www.omeka.net/signup</t>
        </is>
      </c>
      <c r="V73" s="2" t="inlineStr">
        <is>
          <t>In progress</t>
        </is>
      </c>
      <c r="W73" s="2" t="inlineStr">
        <is>
          <t>https://digitalscholar.org/assets/downloads/Corporation%20for%20Digital%20Scholarship%20%E2%80%93%20Governance%20Policies.pdf</t>
        </is>
      </c>
      <c r="X73" s="2" t="inlineStr">
        <is>
          <t>Implemented/available</t>
        </is>
      </c>
      <c r="Y73" s="2" t="inlineStr">
        <is>
          <t>https://forum.omeka.org/privacy</t>
        </is>
      </c>
      <c r="Z73" s="2" t="n"/>
      <c r="AA73" s="2" t="n"/>
      <c r="AB73" s="2" t="n"/>
      <c r="AC73" s="2" t="inlineStr">
        <is>
          <t>Ad hoc</t>
        </is>
      </c>
      <c r="AD73" s="2" t="inlineStr">
        <is>
          <t>https://digitalscholar.org/assets/downloads/Corporation%20for%20Digital%20Scholarship%20%E2%80%93%20Articles%20of%20Incorporation.pdf</t>
        </is>
      </c>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inlineStr">
        <is>
          <t>Implemented/available</t>
        </is>
      </c>
      <c r="H74" s="2" t="inlineStr">
        <is>
          <t>https://www.openaire.eu/organisation-2</t>
        </is>
      </c>
      <c r="I74" s="2" t="inlineStr">
        <is>
          <t>Unknown</t>
        </is>
      </c>
      <c r="J74" s="2" t="n"/>
      <c r="K74" s="2" t="n"/>
      <c r="L74" s="2" t="inlineStr">
        <is>
          <t>Advisory board or steering committee</t>
        </is>
      </c>
      <c r="M74" s="2" t="n"/>
      <c r="N74" s="2" t="n"/>
      <c r="O74" s="2" t="inlineStr">
        <is>
          <t xml:space="preserve">The Board is essential in shaping OpenAIRE and thereby the OpenAIRE Graph's roadmap and development. They are regularly consulted and their input and decisions are highly valued and respected. </t>
        </is>
      </c>
      <c r="P74" s="2" t="inlineStr">
        <is>
          <t>Implemented/available</t>
        </is>
      </c>
      <c r="Q74" s="2" t="inlineStr">
        <is>
          <t>Considering</t>
        </is>
      </c>
      <c r="R74" s="2" t="n"/>
      <c r="S74" s="2" t="n"/>
      <c r="T74" s="2" t="inlineStr">
        <is>
          <t>No direct costs</t>
        </is>
      </c>
      <c r="U74" s="2" t="n"/>
      <c r="V74" s="2" t="inlineStr">
        <is>
          <t>Implemented/available</t>
        </is>
      </c>
      <c r="W74" s="2" t="inlineStr">
        <is>
          <t>https://www.openaire.eu/openaire-gep</t>
        </is>
      </c>
      <c r="X74" s="2" t="inlineStr">
        <is>
          <t>Implemented/available</t>
        </is>
      </c>
      <c r="Y74" s="2" t="inlineStr">
        <is>
          <t>https://www.openaire.eu/privacy-policy</t>
        </is>
      </c>
      <c r="Z74" s="2" t="inlineStr">
        <is>
          <t>Principles for Open Scholarly Infrastructure (POSI)</t>
        </is>
      </c>
      <c r="AA74" s="2" t="n"/>
      <c r="AB74" s="2" t="n"/>
      <c r="AC74" s="2" t="inlineStr">
        <is>
          <t>Formal</t>
        </is>
      </c>
      <c r="AD74" s="2" t="inlineStr">
        <is>
          <t>https://www.openaire.eu/organisation-2</t>
        </is>
      </c>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inlineStr">
        <is>
          <t>Implemented/available</t>
        </is>
      </c>
      <c r="H75" s="2" t="inlineStr">
        <is>
          <t>https://ourresearch.org/transparency</t>
        </is>
      </c>
      <c r="I75" s="2" t="inlineStr">
        <is>
          <t>Not planning</t>
        </is>
      </c>
      <c r="J75" s="2" t="inlineStr">
        <is>
          <t>&lt;p&gt;OpenAlex is an initiative of OurResearch, which is &lt;a href="https://ourresearch.org/team" target="_blank"&gt;governed by&lt;/a&gt; a Board of Directors.&lt;/p&gt;</t>
        </is>
      </c>
      <c r="K75" s="2" t="n"/>
      <c r="L75" s="2" t="inlineStr">
        <is>
          <t>Advisory board or steering committee</t>
        </is>
      </c>
      <c r="M75" s="2" t="n"/>
      <c r="N75" s="2" t="n"/>
      <c r="O75" s="2" t="n"/>
      <c r="P75" s="2" t="inlineStr">
        <is>
          <t>Unknown</t>
        </is>
      </c>
      <c r="Q75" s="2" t="inlineStr">
        <is>
          <t>Implemented/available</t>
        </is>
      </c>
      <c r="R75" s="2" t="inlineStr">
        <is>
          <t>https://ourresearch.org/accessibility</t>
        </is>
      </c>
      <c r="S75" s="2" t="inlineStr">
        <is>
          <t>Our website</t>
        </is>
      </c>
      <c r="T75" s="2" t="inlineStr">
        <is>
          <t>Implemented/available</t>
        </is>
      </c>
      <c r="U75" s="2" t="inlineStr">
        <is>
          <t>https://openalex.org/pricing</t>
        </is>
      </c>
      <c r="V75" s="2" t="inlineStr">
        <is>
          <t>Considering</t>
        </is>
      </c>
      <c r="W75" s="2" t="n"/>
      <c r="X75" s="2" t="inlineStr">
        <is>
          <t>Implemented/available</t>
        </is>
      </c>
      <c r="Y75" s="2" t="inlineStr">
        <is>
          <t>https://openalex.org/OpenAlex_privacy_policy.pdf</t>
        </is>
      </c>
      <c r="Z75" s="2" t="n"/>
      <c r="AA75" s="2" t="n"/>
      <c r="AB75" s="2" t="n"/>
      <c r="AC75" s="2" t="inlineStr">
        <is>
          <t>Formal</t>
        </is>
      </c>
      <c r="AD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inlineStr">
        <is>
          <t>Not planning</t>
        </is>
      </c>
      <c r="H76" s="2" t="n"/>
      <c r="I76" s="2" t="inlineStr">
        <is>
          <t>Not planning</t>
        </is>
      </c>
      <c r="J76" s="2" t="n"/>
      <c r="K76" s="2" t="n"/>
      <c r="L76" s="2" t="inlineStr">
        <is>
          <t>None</t>
        </is>
      </c>
      <c r="M76" s="2" t="n"/>
      <c r="N76" s="2" t="n"/>
      <c r="O76" s="2" t="inlineStr">
        <is>
          <t>No governing board - not applicable</t>
        </is>
      </c>
      <c r="P76" s="2" t="inlineStr">
        <is>
          <t>Not planning</t>
        </is>
      </c>
      <c r="Q76" s="2" t="inlineStr">
        <is>
          <t>Not planning</t>
        </is>
      </c>
      <c r="R76" s="2" t="n"/>
      <c r="S76" s="2" t="n"/>
      <c r="T76" s="2" t="inlineStr">
        <is>
          <t>No direct costs</t>
        </is>
      </c>
      <c r="U76" s="2" t="n"/>
      <c r="V76" s="2" t="inlineStr">
        <is>
          <t>Implemented/available</t>
        </is>
      </c>
      <c r="W76" s="2" t="inlineStr">
        <is>
          <t>https://github.com/OpenAPC/openapc-de/blob/master/CONDUCT.md</t>
        </is>
      </c>
      <c r="X76" s="2" t="inlineStr">
        <is>
          <t>Not planning</t>
        </is>
      </c>
      <c r="Y76" s="2" t="n"/>
      <c r="Z76" s="2" t="n"/>
      <c r="AA76" s="2" t="n"/>
      <c r="AB76" s="2" t="n"/>
      <c r="AC76" s="2" t="inlineStr">
        <is>
          <t>None</t>
        </is>
      </c>
      <c r="AD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Implemented/available</t>
        </is>
      </c>
      <c r="H77" s="2" t="inlineStr">
        <is>
          <t>https://opencitations.net/governance/</t>
        </is>
      </c>
      <c r="I77" s="2" t="inlineStr">
        <is>
          <t>In progress</t>
        </is>
      </c>
      <c r="J77" s="2" t="inlineStr">
        <is>
          <t>For administrative convenience, OpenCitations is managed by the &lt;a href="https://openscholarlymetadata.org/" target="_blank"&gt;Research Centre for Open Scholarly Metadata&lt;/a&gt; at the &lt;a href="https://www.unibo.it/" target="_blank"&gt;University of Bologna&lt;/a&gt;. OpenCitations' governance comprises the following bodies: the Directors; the Council, comprising one delegate appointed by each OpenCitations Member; the &lt;a href="https://opencitations.net/about" target="_blank"&gt;International Advisory Board&lt;/a&gt; elected by the Council, to guide the future developments of OpenCitations strategically; the Management Team.</t>
        </is>
      </c>
      <c r="K77" s="2" t="n"/>
      <c r="L77" s="2" t="inlineStr">
        <is>
          <t>Advisory board or steering committee</t>
        </is>
      </c>
      <c r="M77" s="2" t="n"/>
      <c r="N77" s="2" t="n"/>
      <c r="O77" s="2" t="n"/>
      <c r="P77" s="2" t="inlineStr">
        <is>
          <t>Implemented/available</t>
        </is>
      </c>
      <c r="Q77" s="2" t="inlineStr">
        <is>
          <t>Considering</t>
        </is>
      </c>
      <c r="R77" s="2" t="n"/>
      <c r="S77" s="2" t="n"/>
      <c r="T77" s="2" t="inlineStr">
        <is>
          <t>No direct costs</t>
        </is>
      </c>
      <c r="U77" s="2" t="n"/>
      <c r="V77" s="2" t="inlineStr">
        <is>
          <t>Considering</t>
        </is>
      </c>
      <c r="W77" s="2" t="n"/>
      <c r="X77" s="2" t="inlineStr">
        <is>
          <t>Implemented/available</t>
        </is>
      </c>
      <c r="Y77" s="2" t="inlineStr">
        <is>
          <t>https://opencitations.net/privacy-policy/</t>
        </is>
      </c>
      <c r="Z77" s="2" t="inlineStr">
        <is>
          <t>FAIR Guiding Principles for Scientific Data Management and Stewardship | Principles for Open Scholarly Infrastructure (POSI)</t>
        </is>
      </c>
      <c r="AA77" s="2" t="n"/>
      <c r="AB77" s="2" t="n"/>
      <c r="AC77" s="2" t="inlineStr">
        <is>
          <t>Formal</t>
        </is>
      </c>
      <c r="AD77" s="2" t="inlineStr">
        <is>
          <t>https://opencitations.net/wp-content/uploads/pdf/oc_bodies.pdf</t>
        </is>
      </c>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inlineStr">
        <is>
          <t>Not planning</t>
        </is>
      </c>
      <c r="H78" s="2" t="n"/>
      <c r="I78" s="2" t="inlineStr">
        <is>
          <t>Not planning</t>
        </is>
      </c>
      <c r="J78" s="2" t="n"/>
      <c r="K78" s="2" t="n"/>
      <c r="L78" s="2" t="inlineStr">
        <is>
          <t>None</t>
        </is>
      </c>
      <c r="M78" s="2" t="n"/>
      <c r="N78" s="2" t="n"/>
      <c r="O78" s="2" t="inlineStr">
        <is>
          <t>No board structure</t>
        </is>
      </c>
      <c r="P78" s="2" t="inlineStr">
        <is>
          <t>Not planning</t>
        </is>
      </c>
      <c r="Q78" s="2" t="inlineStr">
        <is>
          <t>Not planning</t>
        </is>
      </c>
      <c r="R78" s="2" t="n"/>
      <c r="S78" s="2" t="n"/>
      <c r="T78" s="2" t="inlineStr">
        <is>
          <t>No direct costs</t>
        </is>
      </c>
      <c r="U78" s="2" t="n"/>
      <c r="V78" s="2" t="inlineStr">
        <is>
          <t>Not planning</t>
        </is>
      </c>
      <c r="W78" s="2" t="n"/>
      <c r="X78" s="2" t="inlineStr">
        <is>
          <t>Not planning</t>
        </is>
      </c>
      <c r="Y78" s="2" t="n"/>
      <c r="Z78" s="2" t="inlineStr">
        <is>
          <t>FAIR Guiding Principles for Scientific Data Management and Stewardship</t>
        </is>
      </c>
      <c r="AA78" s="2" t="n"/>
      <c r="AB78" s="2" t="n"/>
      <c r="AC78" s="2" t="n"/>
      <c r="AD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Implemented/available</t>
        </is>
      </c>
      <c r="H79" s="2" t="inlineStr">
        <is>
          <t>https://okfn.org/en/who-we-are/governance/</t>
        </is>
      </c>
      <c r="I79" s="2" t="inlineStr">
        <is>
          <t>Implemented/available</t>
        </is>
      </c>
      <c r="J79" s="2" t="inlineStr">
        <is>
          <t>Open Data Editor is a project of the Open Knowledge Foundation (OKFN), a not-for-profit organization incorporated in England &amp; Wales.</t>
        </is>
      </c>
      <c r="K79" s="2" t="inlineStr">
        <is>
          <t>https://okfn.org/en/who-we-are/board/#minutes</t>
        </is>
      </c>
      <c r="L79" s="2" t="inlineStr">
        <is>
          <t>Advisory board or steering committee</t>
        </is>
      </c>
      <c r="M79" s="2" t="n"/>
      <c r="N79" s="2" t="inlineStr">
        <is>
          <t>Provider</t>
        </is>
      </c>
      <c r="O79" s="2" t="n"/>
      <c r="P79" s="2" t="inlineStr">
        <is>
          <t>Implemented/available</t>
        </is>
      </c>
      <c r="Q79" s="2" t="inlineStr">
        <is>
          <t>Considering</t>
        </is>
      </c>
      <c r="R79" s="2" t="n"/>
      <c r="S79" s="2" t="n"/>
      <c r="T79" s="2" t="inlineStr">
        <is>
          <t>No direct costs</t>
        </is>
      </c>
      <c r="U79" s="2" t="n"/>
      <c r="V79" s="2" t="inlineStr">
        <is>
          <t>Considering</t>
        </is>
      </c>
      <c r="W79" s="2" t="n"/>
      <c r="X79" s="2" t="inlineStr">
        <is>
          <t>Implemented/available</t>
        </is>
      </c>
      <c r="Y79" s="2" t="inlineStr">
        <is>
          <t>https://okfn.org/en/privacy-policy/</t>
        </is>
      </c>
      <c r="Z79" s="2" t="n"/>
      <c r="AA79" s="2" t="n"/>
      <c r="AB79" s="2" t="n"/>
      <c r="AC79" s="2" t="inlineStr">
        <is>
          <t>Formal</t>
        </is>
      </c>
      <c r="AD79" s="2" t="inlineStr">
        <is>
          <t>https://okfn.org/en/who-we-are/governance/</t>
        </is>
      </c>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Implemented/available</t>
        </is>
      </c>
      <c r="H80" s="2" t="inlineStr">
        <is>
          <t>https://www.openedition.org/19221</t>
        </is>
      </c>
      <c r="I80" s="2" t="inlineStr">
        <is>
          <t>In progress</t>
        </is>
      </c>
      <c r="J80" s="2" t="n"/>
      <c r="K80" s="2" t="n"/>
      <c r="L80" s="2" t="inlineStr">
        <is>
          <t>Multi-board governance</t>
        </is>
      </c>
      <c r="M80" s="2" t="n"/>
      <c r="N80" s="2" t="n"/>
      <c r="O80" s="2" t="n"/>
      <c r="P80" s="2" t="inlineStr">
        <is>
          <t>Implemented/available</t>
        </is>
      </c>
      <c r="Q80" s="2" t="inlineStr">
        <is>
          <t>Considering</t>
        </is>
      </c>
      <c r="R80" s="2" t="inlineStr">
        <is>
          <t>https://www.openedition.org/21402</t>
        </is>
      </c>
      <c r="S80" s="2" t="n"/>
      <c r="T80" s="2" t="inlineStr">
        <is>
          <t>No direct costs</t>
        </is>
      </c>
      <c r="U80" s="2" t="n"/>
      <c r="V80" s="2" t="inlineStr">
        <is>
          <t>Considering</t>
        </is>
      </c>
      <c r="W80" s="2" t="n"/>
      <c r="X80" s="2" t="inlineStr">
        <is>
          <t>Implemented/available</t>
        </is>
      </c>
      <c r="Y80" s="2" t="inlineStr">
        <is>
          <t>https://www.openedition.org/19362</t>
        </is>
      </c>
      <c r="Z80" s="2" t="n"/>
      <c r="AA80" s="2" t="n"/>
      <c r="AB80" s="2" t="n"/>
      <c r="AC80" s="2" t="inlineStr">
        <is>
          <t>Formal</t>
        </is>
      </c>
      <c r="AD80" s="2" t="inlineStr">
        <is>
          <t>https://www.openedition.org/19221</t>
        </is>
      </c>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Implemented/available</t>
        </is>
      </c>
      <c r="H81" s="2" t="inlineStr">
        <is>
          <t>https://pkp.sfu.ca/about/governance/</t>
        </is>
      </c>
      <c r="I81" s="2" t="inlineStr">
        <is>
          <t>Implemented/available</t>
        </is>
      </c>
      <c r="J81" s="2" t="inlineStr">
        <is>
          <t>&lt;p&gt;Open Preprint Systems is an initiative of the &lt;a href="https://pkp.sfu.ca/about/governance/" target="_blank"&gt;Public Knowledge Project&lt;/a&gt; (PKP), a member of the Core Facility Program at &lt;a href="https://www.sfu.ca/" target="_blank"&gt;Simon Fraser University&lt;/a&gt; since 2022 which operates under the auspices of the Office of the Vice President, Research and International (VPRI) of Simon Fraser University. PKP is additionally guided by an &lt;a href="https://pkp.sfu.ca/about/governance/advisory/" target="_blank"&gt;Advisory Committee&lt;/a&gt;, &lt;a href="https://pkp.sfu.ca/about/governance/sfu-advisory/" target="_blank"&gt;SFU Community Advisory Committee&lt;/a&gt;, &lt;a href="https://pkp.sfu.ca/about/governance/technical/" target="_blank"&gt;Technical Committee&lt;/a&gt;, Members Committee, and a &lt;a href="https://pkp.sfu.ca/about/governance/conduct/" target="_blank"&gt;Code of Conduct Committee&lt;/a&gt;.&lt;/p&gt;</t>
        </is>
      </c>
      <c r="K81" s="2" t="inlineStr">
        <is>
          <t>https://pkp.sfu.ca/interest-groups/</t>
        </is>
      </c>
      <c r="L81" s="2" t="inlineStr">
        <is>
          <t>Multi-board governance</t>
        </is>
      </c>
      <c r="M81" s="2" t="n"/>
      <c r="N81" s="2" t="n"/>
      <c r="O81" s="2" t="n"/>
      <c r="P81" s="2" t="inlineStr">
        <is>
          <t>Implemented/available</t>
        </is>
      </c>
      <c r="Q81" s="2" t="inlineStr">
        <is>
          <t>Implemented/available</t>
        </is>
      </c>
      <c r="R81" s="2" t="inlineStr">
        <is>
          <t>https://pkp.sfu.ca/general-accessibility-statement/</t>
        </is>
      </c>
      <c r="S81" s="2" t="inlineStr">
        <is>
          <t>Our tool or project</t>
        </is>
      </c>
      <c r="T81" s="2" t="inlineStr">
        <is>
          <t>Implemented/available</t>
        </is>
      </c>
      <c r="U81" s="2" t="inlineStr">
        <is>
          <t>https://pkp.sfu.ca/hosting-services/hosting/journals/</t>
        </is>
      </c>
      <c r="V81" s="2" t="inlineStr">
        <is>
          <t>In progress</t>
        </is>
      </c>
      <c r="W81" s="2" t="inlineStr">
        <is>
          <t>https://pkp.sfu.ca/code/</t>
        </is>
      </c>
      <c r="X81" s="2" t="inlineStr">
        <is>
          <t>Implemented/available</t>
        </is>
      </c>
      <c r="Y81" s="2" t="inlineStr">
        <is>
          <t>https://pkp.sfu.ca/privacy-policy/</t>
        </is>
      </c>
      <c r="Z81" s="2" t="n"/>
      <c r="AA81" s="2" t="n"/>
      <c r="AB81" s="2" t="n"/>
      <c r="AC81" s="2" t="inlineStr">
        <is>
          <t>Formal</t>
        </is>
      </c>
      <c r="AD81" s="2" t="inlineStr">
        <is>
          <t>http://www.sfu.ca/policies/gazette/board.html</t>
        </is>
      </c>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Implemented/available</t>
        </is>
      </c>
      <c r="H82" s="2" t="inlineStr">
        <is>
          <t>https://pkp.sfu.ca/about/governance/</t>
        </is>
      </c>
      <c r="I82" s="2" t="inlineStr">
        <is>
          <t>Implemented/available</t>
        </is>
      </c>
      <c r="J82" s="2" t="inlineStr">
        <is>
          <t>&lt;p&gt;Open Preprint Systems is an initiative of the &lt;a href="https://pkp.sfu.ca/about/governance/" target="_blank"&gt;Public Knowledge Project&lt;/a&gt; (PKP), a member of the Core Facility Program at &lt;a href="https://www.sfu.ca/" target="_blank"&gt;Simon Fraser University&lt;/a&gt; since 2022 which operates under the auspices of the Office of the Vice President, Research and International (VPRI) of Simon Fraser University. PKP is additionally guided by an &lt;a href="https://pkp.sfu.ca/about/governance/advisory/" target="_blank"&gt;Advisory Committee&lt;/a&gt;, &lt;a href="https://pkp.sfu.ca/about/governance/sfu-advisory/" target="_blank"&gt;SFU Community Advisory Committee&lt;/a&gt;, &lt;a href="https://pkp.sfu.ca/about/governance/technical/" target="_blank"&gt;Technical Committee&lt;/a&gt;, Members Committee, and a &lt;a href="https://pkp.sfu.ca/about/governance/conduct/" target="_blank"&gt;Code of Conduct Committee&lt;/a&gt;.&lt;/p&gt;</t>
        </is>
      </c>
      <c r="K82" s="2" t="inlineStr">
        <is>
          <t>https://pkp.sfu.ca/interest-groups/</t>
        </is>
      </c>
      <c r="L82" s="2" t="inlineStr">
        <is>
          <t>Multi-board governance</t>
        </is>
      </c>
      <c r="M82" s="2" t="n"/>
      <c r="N82" s="2" t="n"/>
      <c r="O82" s="2" t="n"/>
      <c r="P82" s="2" t="inlineStr">
        <is>
          <t>Implemented/available</t>
        </is>
      </c>
      <c r="Q82" s="2" t="inlineStr">
        <is>
          <t>Implemented/available</t>
        </is>
      </c>
      <c r="R82" s="2" t="inlineStr">
        <is>
          <t>https://pkp.sfu.ca/general-accessibility-statement/</t>
        </is>
      </c>
      <c r="S82" s="2" t="inlineStr">
        <is>
          <t>Our tool or project</t>
        </is>
      </c>
      <c r="T82" s="2" t="inlineStr">
        <is>
          <t>Implemented/available</t>
        </is>
      </c>
      <c r="U82" s="2" t="inlineStr">
        <is>
          <t>https://pkp.sfu.ca/hosting-services/hosting/monographs/</t>
        </is>
      </c>
      <c r="V82" s="2" t="inlineStr">
        <is>
          <t>In progress</t>
        </is>
      </c>
      <c r="W82" s="2" t="inlineStr">
        <is>
          <t>https://pkp.sfu.ca/code/</t>
        </is>
      </c>
      <c r="X82" s="2" t="inlineStr">
        <is>
          <t>Implemented/available</t>
        </is>
      </c>
      <c r="Y82" s="2" t="inlineStr">
        <is>
          <t>https://pkp.sfu.ca/privacy-policy/</t>
        </is>
      </c>
      <c r="Z82" s="2" t="n"/>
      <c r="AA82" s="2" t="n"/>
      <c r="AB82" s="2" t="n"/>
      <c r="AC82" s="2" t="inlineStr">
        <is>
          <t>Formal</t>
        </is>
      </c>
      <c r="AD82" s="2" t="inlineStr">
        <is>
          <t>http://www.sfu.ca/policies/gazette/board.html</t>
        </is>
      </c>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Implemented/available</t>
        </is>
      </c>
      <c r="H83" s="2" t="inlineStr">
        <is>
          <t>https://pkp.sfu.ca/about/governance/</t>
        </is>
      </c>
      <c r="I83" s="2" t="inlineStr">
        <is>
          <t>Implemented/available</t>
        </is>
      </c>
      <c r="J83" s="2" t="inlineStr">
        <is>
          <t>&lt;p&gt;Open Preprint Systems is an initiative of the &lt;a href="https://pkp.sfu.ca/about/governance/" target="_blank"&gt;Public Knowledge Project&lt;/a&gt; (PKP), a member of the Core Facility Program at &lt;a href="https://www.sfu.ca/" target="_blank"&gt;Simon Fraser University&lt;/a&gt; since 2022 which operates under the auspices of the Office of the Vice President, Research and International (VPRI) of Simon Fraser University. PKP is additionally guided by an &lt;a href="https://pkp.sfu.ca/about/governance/advisory/" target="_blank"&gt;Advisory Committee&lt;/a&gt;, &lt;a href="https://pkp.sfu.ca/about/governance/sfu-advisory/" target="_blank"&gt;SFU Community Advisory Committee&lt;/a&gt;, &lt;a href="https://pkp.sfu.ca/about/governance/technical/" target="_blank"&gt;Technical Committee&lt;/a&gt;, Members Committee, and a &lt;a href="https://pkp.sfu.ca/about/governance/conduct/" target="_blank"&gt;Code of Conduct Committee&lt;/a&gt;.&lt;/p&gt;</t>
        </is>
      </c>
      <c r="K83" s="2" t="inlineStr">
        <is>
          <t>https://pkp.sfu.ca/about/governance/advisory/</t>
        </is>
      </c>
      <c r="L83" s="2" t="inlineStr">
        <is>
          <t>Multi-board governance</t>
        </is>
      </c>
      <c r="M83" s="2" t="n"/>
      <c r="N83" s="2" t="n"/>
      <c r="O83" s="2" t="n"/>
      <c r="P83" s="2" t="inlineStr">
        <is>
          <t>Implemented/available</t>
        </is>
      </c>
      <c r="Q83" s="2" t="inlineStr">
        <is>
          <t>Implemented/available</t>
        </is>
      </c>
      <c r="R83" s="2" t="inlineStr">
        <is>
          <t>https://pkp.sfu.ca/general-accessibility-statement/</t>
        </is>
      </c>
      <c r="S83" s="2" t="inlineStr">
        <is>
          <t>Our tool or project</t>
        </is>
      </c>
      <c r="T83" s="2" t="inlineStr">
        <is>
          <t>Implemented/available</t>
        </is>
      </c>
      <c r="U83" s="2" t="inlineStr">
        <is>
          <t>https://pkp.sfu.ca/hosting-services/hosting/preprints/</t>
        </is>
      </c>
      <c r="V83" s="2" t="inlineStr">
        <is>
          <t>In progress</t>
        </is>
      </c>
      <c r="W83" s="2" t="inlineStr">
        <is>
          <t>https://pkp.sfu.ca/code/</t>
        </is>
      </c>
      <c r="X83" s="2" t="inlineStr">
        <is>
          <t>Implemented/available</t>
        </is>
      </c>
      <c r="Y83" s="2" t="inlineStr">
        <is>
          <t>https://pkp.sfu.ca/privacy-policy/</t>
        </is>
      </c>
      <c r="Z83" s="2" t="n"/>
      <c r="AA83" s="2" t="n"/>
      <c r="AB83" s="2" t="n"/>
      <c r="AC83" s="2" t="inlineStr">
        <is>
          <t>Formal</t>
        </is>
      </c>
      <c r="AD83" s="2" t="inlineStr">
        <is>
          <t>https://pkp.sfu.ca/about/governance/advisory/</t>
        </is>
      </c>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In progress</t>
        </is>
      </c>
      <c r="H84" s="2" t="inlineStr">
        <is>
          <t>https://docs.openverse.org/meta/index.html</t>
        </is>
      </c>
      <c r="I84" s="2" t="inlineStr">
        <is>
          <t>Implemented/available</t>
        </is>
      </c>
      <c r="J84" s="2" t="n"/>
      <c r="K84" s="2" t="inlineStr">
        <is>
          <t>https://make.wordpress.org/openverse/</t>
        </is>
      </c>
      <c r="L84" s="2" t="inlineStr">
        <is>
          <t>None</t>
        </is>
      </c>
      <c r="M84" s="2" t="n"/>
      <c r="N84" s="2" t="n"/>
      <c r="O84" s="2" t="inlineStr">
        <is>
          <t>Openverse has no board.</t>
        </is>
      </c>
      <c r="P84" s="2" t="inlineStr">
        <is>
          <t>Considering</t>
        </is>
      </c>
      <c r="Q84" s="2" t="inlineStr">
        <is>
          <t>Implemented/available</t>
        </is>
      </c>
      <c r="R84" s="2" t="inlineStr">
        <is>
          <t>https://wordpress.org/about/accessibility/</t>
        </is>
      </c>
      <c r="S84" s="2" t="n"/>
      <c r="T84" s="2" t="inlineStr">
        <is>
          <t>No direct costs</t>
        </is>
      </c>
      <c r="U84" s="2" t="n"/>
      <c r="V84" s="2" t="inlineStr">
        <is>
          <t>Implemented/available</t>
        </is>
      </c>
      <c r="W84" s="2" t="inlineStr">
        <is>
          <t>https://make.wordpress.org/handbook/diversity-equity-and-inclusion-in-wordpress/</t>
        </is>
      </c>
      <c r="X84" s="2" t="inlineStr">
        <is>
          <t>Implemented/available</t>
        </is>
      </c>
      <c r="Y84" s="2" t="inlineStr">
        <is>
          <t>https://openverse.org/privacy</t>
        </is>
      </c>
      <c r="Z84" s="2" t="n"/>
      <c r="AA84" s="2" t="n"/>
      <c r="AB84" s="2" t="n"/>
      <c r="AC84" s="2" t="inlineStr">
        <is>
          <t>Ad hoc</t>
        </is>
      </c>
      <c r="AD84" s="2" t="inlineStr">
        <is>
          <t>https://docs.openverse.org/meta/decision_making/index.html</t>
        </is>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inlineStr">
        <is>
          <t>Implemented/available</t>
        </is>
      </c>
      <c r="H85" s="2" t="inlineStr">
        <is>
          <t>https://oasisbr.ibict.br/vufind/about/home</t>
        </is>
      </c>
      <c r="I85" s="2" t="inlineStr">
        <is>
          <t>Implemented/available</t>
        </is>
      </c>
      <c r="J85" s="2" t="inlineStr">
        <is>
          <t>&lt;p&gt;The Brazilian Portal of Publications and Scientific Data in Open Access (Oasisbr) is an initiative of the Instituto Brasileiro de Informação em Ciência e Tecnologia (IBICT), a national information body and research unit of the Ministério da Ciência, Tecnologia e Inovação (MCTI). Oasisbr is supported and governed by the nonprofit collaborative repository group &lt;a href="http://rbrd.ibict.br/" target="_blank"&gt;Rede Brasileira de Repositórios Digitais (RBRD)&lt;/a&gt;. &lt;/p&gt;</t>
        </is>
      </c>
      <c r="K85" s="2" t="n"/>
      <c r="L85" s="2" t="inlineStr">
        <is>
          <t>Other</t>
        </is>
      </c>
      <c r="M85" s="2" t="n"/>
      <c r="N85" s="2" t="n"/>
      <c r="O85" s="2" t="n"/>
      <c r="P85" s="2" t="inlineStr">
        <is>
          <t>Unknown</t>
        </is>
      </c>
      <c r="Q85" s="2" t="inlineStr">
        <is>
          <t>Considering</t>
        </is>
      </c>
      <c r="R85" s="2" t="n"/>
      <c r="S85" s="2" t="n"/>
      <c r="T85" s="2" t="inlineStr">
        <is>
          <t>No direct costs</t>
        </is>
      </c>
      <c r="U85" s="2" t="n"/>
      <c r="V85" s="2" t="inlineStr">
        <is>
          <t>Considering</t>
        </is>
      </c>
      <c r="W85" s="2" t="n"/>
      <c r="X85" s="2" t="inlineStr">
        <is>
          <t>Considering</t>
        </is>
      </c>
      <c r="Y85" s="2" t="n"/>
      <c r="Z85" s="2" t="n"/>
      <c r="AA85" s="2" t="n"/>
      <c r="AB85" s="2" t="n"/>
      <c r="AC85" s="2" t="inlineStr">
        <is>
          <t>None</t>
        </is>
      </c>
      <c r="AD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Implemented/available</t>
        </is>
      </c>
      <c r="H86" s="2" t="inlineStr">
        <is>
          <t>https://www.cos.io/about/board</t>
        </is>
      </c>
      <c r="I86" s="2" t="inlineStr">
        <is>
          <t>In progress</t>
        </is>
      </c>
      <c r="J86" s="2" t="inlineStr">
        <is>
          <t>&lt;p&gt;OSF is a project of Center for Open Science, which is &lt;a href="https://www.cos.io/about/board" target="_blank"&gt;governed by&lt;/a&gt; a Board of Directors.&lt;/p&gt;</t>
        </is>
      </c>
      <c r="K86" s="2" t="n"/>
      <c r="L86" s="2" t="inlineStr">
        <is>
          <t>Advisory board or steering committee</t>
        </is>
      </c>
      <c r="M86" s="2" t="n"/>
      <c r="N86" s="2" t="n"/>
      <c r="O86" s="2" t="n"/>
      <c r="P86" s="2" t="inlineStr">
        <is>
          <t>Implemented/available</t>
        </is>
      </c>
      <c r="Q86" s="2" t="inlineStr">
        <is>
          <t>Implemented/available</t>
        </is>
      </c>
      <c r="R86" s="2" t="inlineStr">
        <is>
          <t>https://help.osf.io/hc/en-us/articles/360019737894-FAQs#what-accessibility-standards-does-osf-adhere-to</t>
        </is>
      </c>
      <c r="S86" s="2" t="inlineStr">
        <is>
          <t>Our tool or project</t>
        </is>
      </c>
      <c r="T86" s="2" t="inlineStr">
        <is>
          <t>Implemented/available</t>
        </is>
      </c>
      <c r="U86" s="2" t="inlineStr">
        <is>
          <t>https://www.cos.io/products/osf-preprints</t>
        </is>
      </c>
      <c r="V86" s="2" t="inlineStr">
        <is>
          <t>Implemented/available</t>
        </is>
      </c>
      <c r="W86" s="2" t="inlineStr">
        <is>
          <t>https://www.cos.io/about/diversity-equity-and-inclusion-at-cos</t>
        </is>
      </c>
      <c r="X86" s="2" t="inlineStr">
        <is>
          <t>Implemented/available</t>
        </is>
      </c>
      <c r="Y86" s="2" t="inlineStr">
        <is>
          <t>https://github.com/CenterForOpenScience/cos.io/blob/master/PRIVACY_POLICY.md</t>
        </is>
      </c>
      <c r="Z86" s="2" t="n"/>
      <c r="AA86" s="2" t="n"/>
      <c r="AB86" s="2" t="n"/>
      <c r="AC86" s="2" t="inlineStr">
        <is>
          <t>Formal</t>
        </is>
      </c>
      <c r="AD86" s="2" t="inlineStr">
        <is>
          <t>https://osf.io/pjnse</t>
        </is>
      </c>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Considering</t>
        </is>
      </c>
      <c r="H87" s="2" t="n"/>
      <c r="I87" s="2" t="inlineStr">
        <is>
          <t>Considering</t>
        </is>
      </c>
      <c r="J87" s="2" t="inlineStr">
        <is>
          <t>&lt;p&gt;The OCFL specification is governed by its Editorial Board. The group meets every other week to discuss issues related to the specification and how we can collaborate with the community. We host community meetings to hear about how the community uses the specification; information provided by the community impacts the Editors' decisions about the specification.&lt;/p&gt;
&lt;p&gt;There is no formal governance for the community.&lt;/p&gt;</t>
        </is>
      </c>
      <c r="K87" s="2" t="n"/>
      <c r="L87" s="2" t="inlineStr">
        <is>
          <t>Advisory board or steering committee</t>
        </is>
      </c>
      <c r="M87" s="2" t="n"/>
      <c r="N87" s="2" t="n"/>
      <c r="O87" s="2" t="n"/>
      <c r="P87" s="2" t="inlineStr">
        <is>
          <t>Unknown</t>
        </is>
      </c>
      <c r="Q87" s="2" t="inlineStr">
        <is>
          <t>Unknown</t>
        </is>
      </c>
      <c r="R87" s="2" t="n"/>
      <c r="S87" s="2" t="n"/>
      <c r="T87" s="2" t="inlineStr">
        <is>
          <t>No direct costs</t>
        </is>
      </c>
      <c r="U87" s="2" t="n"/>
      <c r="V87" s="2" t="inlineStr">
        <is>
          <t>Considering</t>
        </is>
      </c>
      <c r="W87" s="2" t="n"/>
      <c r="X87" s="2" t="inlineStr">
        <is>
          <t>Not applicable</t>
        </is>
      </c>
      <c r="Y87" s="2" t="n"/>
      <c r="Z87" s="2" t="n"/>
      <c r="AA87" s="2" t="n"/>
      <c r="AB87" s="2" t="n"/>
      <c r="AC87" s="2" t="inlineStr">
        <is>
          <t>None</t>
        </is>
      </c>
      <c r="AD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Implemented/available</t>
        </is>
      </c>
      <c r="H88" s="2" t="inlineStr">
        <is>
          <t>https://peercommunityin.org/pci-structure-history/</t>
        </is>
      </c>
      <c r="I88" s="2" t="inlineStr">
        <is>
          <t>Implemented/available</t>
        </is>
      </c>
      <c r="J88" s="2" t="inlineStr">
        <is>
          <t>The &lt;a href="https://peercommunityin.org/pci-structure-history/"&gt;Peer Community In initiative&lt;/a&gt;: Members of the PCI association is made up of (i) The representatives of the managing boards of all the thematic PCIs, (ii) The three founders of PCI (Denis Bourguet, Benoit Facon and Thomas Guillemaud) and (iii) The support officer of PCI (currently Barbara Class). The roles of the PCI association are to define the strategy of PCI, to create/abolish thematic PCIs and to fund and organise the functioning of the various thematic PCIs and Peer Community Journal.</t>
        </is>
      </c>
      <c r="K88" s="2" t="n"/>
      <c r="L88" s="2" t="inlineStr">
        <is>
          <t>Advisory board or steering committee</t>
        </is>
      </c>
      <c r="M88" s="2" t="n"/>
      <c r="N88" s="2" t="n"/>
      <c r="O88" s="2" t="n"/>
      <c r="P88" s="2" t="inlineStr">
        <is>
          <t>Unknown</t>
        </is>
      </c>
      <c r="Q88" s="2" t="inlineStr">
        <is>
          <t>Not planning</t>
        </is>
      </c>
      <c r="R88" s="2" t="n"/>
      <c r="S88" s="2" t="n"/>
      <c r="T88" s="2" t="inlineStr">
        <is>
          <t>Implemented/available</t>
        </is>
      </c>
      <c r="U88" s="2" t="inlineStr">
        <is>
          <t>https://peercommunityin.org/pci-finances/</t>
        </is>
      </c>
      <c r="V88" s="2" t="inlineStr">
        <is>
          <t>Implemented/available</t>
        </is>
      </c>
      <c r="W88" s="2" t="inlineStr">
        <is>
          <t>https://peercommunityin.org/</t>
        </is>
      </c>
      <c r="X88" s="2" t="inlineStr">
        <is>
          <t>Not applicable</t>
        </is>
      </c>
      <c r="Y88" s="2" t="n"/>
      <c r="Z88" s="2" t="n"/>
      <c r="AA88" s="2" t="n"/>
      <c r="AB88" s="2" t="n"/>
      <c r="AC88" s="2" t="inlineStr">
        <is>
          <t>Formal</t>
        </is>
      </c>
      <c r="AD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Implemented/available</t>
        </is>
      </c>
      <c r="H89" s="2" t="inlineStr">
        <is>
          <t>https://pkp.sfu.ca/about/governance/</t>
        </is>
      </c>
      <c r="I89" s="2" t="inlineStr">
        <is>
          <t>Implemented/available</t>
        </is>
      </c>
      <c r="J89" s="2" t="n"/>
      <c r="K89" s="2" t="inlineStr">
        <is>
          <t>https://pkp.sfu.ca/interest-groups/</t>
        </is>
      </c>
      <c r="L89" s="2" t="inlineStr">
        <is>
          <t>Multi-board governance</t>
        </is>
      </c>
      <c r="M89" s="2" t="n"/>
      <c r="N89" s="2" t="n"/>
      <c r="O89" s="2" t="inlineStr">
        <is>
          <t>See Open Journal Systems for governance and financial information.</t>
        </is>
      </c>
      <c r="P89" s="2" t="inlineStr">
        <is>
          <t>Implemented/available</t>
        </is>
      </c>
      <c r="Q89" s="2" t="inlineStr">
        <is>
          <t>Implemented/available</t>
        </is>
      </c>
      <c r="R89" s="2" t="inlineStr">
        <is>
          <t>https://pkp.sfu.ca/general-accessibility-statement/</t>
        </is>
      </c>
      <c r="S89" s="2" t="inlineStr">
        <is>
          <t>Our website</t>
        </is>
      </c>
      <c r="T89" s="2" t="inlineStr">
        <is>
          <t>No direct costs</t>
        </is>
      </c>
      <c r="U89" s="2" t="n"/>
      <c r="V89" s="2" t="inlineStr">
        <is>
          <t>In progress</t>
        </is>
      </c>
      <c r="W89" s="2" t="n"/>
      <c r="X89" s="2" t="inlineStr">
        <is>
          <t>Implemented/available</t>
        </is>
      </c>
      <c r="Y89" s="2" t="inlineStr">
        <is>
          <t>https://pkp.sfu.ca/privacy-policy/</t>
        </is>
      </c>
      <c r="Z89" s="2" t="inlineStr">
        <is>
          <t>Principles for Open Scholarly Infrastructure (POSI)</t>
        </is>
      </c>
      <c r="AA89" s="2" t="n"/>
      <c r="AB89" s="2" t="n"/>
      <c r="AC89" s="2" t="inlineStr">
        <is>
          <t>Formal</t>
        </is>
      </c>
      <c r="AD89" s="2" t="inlineStr">
        <is>
          <t>http://www.sfu.ca/policies/gazette/board.html</t>
        </is>
      </c>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Implemented/available</t>
        </is>
      </c>
      <c r="H90" s="2" t="inlineStr">
        <is>
          <t>https://prereview.org/people</t>
        </is>
      </c>
      <c r="I90" s="2" t="inlineStr">
        <is>
          <t>Considering</t>
        </is>
      </c>
      <c r="J90" s="2" t="inlineStr">
        <is>
          <t>&lt;p&gt;PREreview is governed by an &lt;a href="https://content.prereview.org/people/" target="_blank"&gt;Advisory Committee&lt;/a&gt;, and is a fiscally sponsored project of &lt;a href="https://www.codeforsociety.org/" target="_blank"&gt;Code for Science &amp;amp; Society&lt;/a&gt;, a US-based 501(c)3&lt;/p&gt;</t>
        </is>
      </c>
      <c r="K90" s="2" t="n"/>
      <c r="L90" s="2" t="inlineStr">
        <is>
          <t>Advisory board or steering committee</t>
        </is>
      </c>
      <c r="M90" s="2" t="n"/>
      <c r="N90" s="2" t="n"/>
      <c r="O90" s="2" t="n"/>
      <c r="P90" s="2" t="inlineStr">
        <is>
          <t>Unknown</t>
        </is>
      </c>
      <c r="Q90" s="2" t="inlineStr">
        <is>
          <t>In progress</t>
        </is>
      </c>
      <c r="R90" s="2" t="inlineStr">
        <is>
          <t>https://prereview.org/edia-statement</t>
        </is>
      </c>
      <c r="S90" s="2" t="n"/>
      <c r="T90" s="2" t="inlineStr">
        <is>
          <t>Implemented/available</t>
        </is>
      </c>
      <c r="U90" s="2" t="inlineStr">
        <is>
          <t>https://prereview.org/trainings</t>
        </is>
      </c>
      <c r="V90" s="2" t="inlineStr">
        <is>
          <t>Implemented/available</t>
        </is>
      </c>
      <c r="W90" s="2" t="inlineStr">
        <is>
          <t>https://prereview.org/edia-statement</t>
        </is>
      </c>
      <c r="X90" s="2" t="inlineStr">
        <is>
          <t>Implemented/available</t>
        </is>
      </c>
      <c r="Y90" s="2" t="inlineStr">
        <is>
          <t>https://prereview.org/privacy-policy</t>
        </is>
      </c>
      <c r="Z90" s="2" t="inlineStr">
        <is>
          <t>COAR Next Generation Repositories Principles | Joint Statement of Principles of the Coalition for Diversity and Inclusion in Scholarly Communication (C4DISC) | San Francisco Declaration on Research Assessment (DORA)</t>
        </is>
      </c>
      <c r="AA90" s="2" t="n"/>
      <c r="AB90" s="2" t="n"/>
      <c r="AC90" s="2" t="inlineStr">
        <is>
          <t>Ad hoc</t>
        </is>
      </c>
      <c r="AD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Considering</t>
        </is>
      </c>
      <c r="H91" s="2" t="n"/>
      <c r="I91" s="2" t="inlineStr">
        <is>
          <t>Considering</t>
        </is>
      </c>
      <c r="J91" s="2" t="inlineStr">
        <is>
          <t>&lt;p&gt;The provider is considering additional governance development.&lt;/p&gt;</t>
        </is>
      </c>
      <c r="K91" s="2" t="n"/>
      <c r="L91" s="2" t="inlineStr">
        <is>
          <t>None</t>
        </is>
      </c>
      <c r="M91" s="2" t="n"/>
      <c r="N91" s="2" t="n"/>
      <c r="O91" s="2" t="n"/>
      <c r="P91" s="2" t="inlineStr">
        <is>
          <t>Unknown</t>
        </is>
      </c>
      <c r="Q91" s="2" t="inlineStr">
        <is>
          <t>Implemented/available</t>
        </is>
      </c>
      <c r="R91" s="2" t="inlineStr">
        <is>
          <t>https://pressbooks.com/accessibility/</t>
        </is>
      </c>
      <c r="S91" s="2" t="inlineStr">
        <is>
          <t>Our tool or project</t>
        </is>
      </c>
      <c r="T91" s="2" t="inlineStr">
        <is>
          <t>Implemented/available</t>
        </is>
      </c>
      <c r="U91" s="2" t="inlineStr">
        <is>
          <t>https://pressbooks.com/plans-pricing/</t>
        </is>
      </c>
      <c r="V91" s="2" t="inlineStr">
        <is>
          <t>In progress</t>
        </is>
      </c>
      <c r="W91" s="2" t="n"/>
      <c r="X91" s="2" t="inlineStr">
        <is>
          <t>Implemented/available</t>
        </is>
      </c>
      <c r="Y91" s="2" t="inlineStr">
        <is>
          <t>https://pressbooks.com/privacy-policy/</t>
        </is>
      </c>
      <c r="Z91" s="2" t="n"/>
      <c r="AA91" s="2" t="n"/>
      <c r="AB91" s="2" t="n"/>
      <c r="AC91" s="2" t="inlineStr">
        <is>
          <t>None</t>
        </is>
      </c>
      <c r="AD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Implemented/available</t>
        </is>
      </c>
      <c r="H92" s="2" t="inlineStr">
        <is>
          <t>https://www.eclipse.org/org/documents/</t>
        </is>
      </c>
      <c r="I92" s="2" t="inlineStr">
        <is>
          <t>In progress</t>
        </is>
      </c>
      <c r="J92" s="2" t="inlineStr">
        <is>
          <t>&lt;p&gt;The Public Access Submission System (PASS) is a project of the Eclipse Foundation, which is governed by a &lt;a href="https://www.eclipse.org/org/foundation/directors.php" target="_blank"&gt;Board of Directors&lt;/a&gt;.&lt;/p&gt;</t>
        </is>
      </c>
      <c r="K92" s="2" t="n"/>
      <c r="L92" s="2" t="inlineStr">
        <is>
          <t>Other</t>
        </is>
      </c>
      <c r="M92" s="2" t="n"/>
      <c r="N92" s="2" t="n"/>
      <c r="O92" s="2" t="n"/>
      <c r="P92" s="2" t="inlineStr">
        <is>
          <t>Implemented/available</t>
        </is>
      </c>
      <c r="Q92" s="2" t="inlineStr">
        <is>
          <t>Considering</t>
        </is>
      </c>
      <c r="R92" s="2" t="n"/>
      <c r="S92" s="2" t="n"/>
      <c r="T92" s="2" t="inlineStr">
        <is>
          <t>Considering</t>
        </is>
      </c>
      <c r="U92" s="2" t="n"/>
      <c r="V92" s="2" t="inlineStr">
        <is>
          <t>Implemented/available</t>
        </is>
      </c>
      <c r="W92" s="2" t="inlineStr">
        <is>
          <t>https://www.eclipse.org/org/documents/Community_Code_of_Conduct.php</t>
        </is>
      </c>
      <c r="X92" s="2" t="inlineStr">
        <is>
          <t>Implemented/available</t>
        </is>
      </c>
      <c r="Y92" s="2" t="inlineStr">
        <is>
          <t>https://www.eclipse.org/org/documents/eclipse-foundation-hosted-services-privacy-and-acceptable-usage-policy.pdf</t>
        </is>
      </c>
      <c r="Z92" s="2" t="n"/>
      <c r="AA92" s="2" t="n"/>
      <c r="AB92" s="2" t="n"/>
      <c r="AC92" s="2" t="inlineStr">
        <is>
          <t>Formal</t>
        </is>
      </c>
      <c r="AD92" s="2" t="inlineStr">
        <is>
          <t>https://www.eclipse.org/org/workinggroups/about.php</t>
        </is>
      </c>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In progress</t>
        </is>
      </c>
      <c r="H93" s="2" t="n"/>
      <c r="I93" s="2" t="inlineStr">
        <is>
          <t>Not planning</t>
        </is>
      </c>
      <c r="J93" s="2" t="n"/>
      <c r="K93" s="2" t="n"/>
      <c r="L93" s="2" t="inlineStr">
        <is>
          <t>Other</t>
        </is>
      </c>
      <c r="M93" s="2" t="inlineStr">
        <is>
          <t>Board of directors</t>
        </is>
      </c>
      <c r="N93" s="2" t="n"/>
      <c r="O93" s="2" t="inlineStr">
        <is>
          <t>As a democractic worker-owned co-operative, we operate with one vote per member. Currently, all members of Catalyst Cooperative serve on the board. The board has absolute control over the organization, a fiduciary responsibility to the co-operative, and is primarily responsible for ongoing financial planning and decision-making, approving policy changes, and hiring. According to the Catalyst Cooperative bylaws, the board is mandated to serve the following purposes:
"The Cooperative shall strive to perform data and policy analysis in support of creating a more just, livable, and sustainable world for all humanity with focus areas including climate and energy policies, electric utility regulation and finances, and land-use, transportation, and housing policies.
The Cooperative shall strive to provide members with fulfilling work that is equitably compensated, while also allowing them the flexibility to pursue other paths in life. The Cooperative may produce free or low-cost and thus more widely available data products, applications, and policy analyses to help educate the public, inform public policymaking, and level the playing field between profit-maximizing and non-commercial interests.
The Cooperative may also have as one or more of its purposes any purpose or purposes permitted for cooperatives under Colorado law. The Cooperative shall be operated on a cooperative basis for the mutual benefit of its members."
See our &lt;a href="https://catalystcoop-handbook.readthedocs.io/en/latest/bylaws.html#catalyst-cooperative-bylaws" target="_blank"&gt;bylaws&lt;/a&gt; for more information.</t>
        </is>
      </c>
      <c r="P93" s="2" t="inlineStr">
        <is>
          <t>Implemented/available</t>
        </is>
      </c>
      <c r="Q93" s="2" t="inlineStr">
        <is>
          <t>Not planning</t>
        </is>
      </c>
      <c r="R93" s="2" t="n"/>
      <c r="S93" s="2" t="n"/>
      <c r="T93" s="2" t="inlineStr">
        <is>
          <t>No direct costs</t>
        </is>
      </c>
      <c r="U93" s="2" t="n"/>
      <c r="V93" s="2" t="inlineStr">
        <is>
          <t>Not planning</t>
        </is>
      </c>
      <c r="W93" s="2" t="n"/>
      <c r="X93" s="2" t="inlineStr">
        <is>
          <t>In progress</t>
        </is>
      </c>
      <c r="Y93" s="2" t="n"/>
      <c r="Z93" s="2" t="inlineStr">
        <is>
          <t>Contributor Covenant Code of Conduct for Open Source and Other Digital Commons Communities</t>
        </is>
      </c>
      <c r="AA93" s="2" t="n"/>
      <c r="AB93" s="2" t="n"/>
      <c r="AC93" s="2" t="inlineStr">
        <is>
          <t>Ad hoc</t>
        </is>
      </c>
      <c r="AD93" s="2" t="inlineStr">
        <is>
          <t>https://catalystcoop-handbook.readthedocs.io/en/latest/bylaws.html</t>
        </is>
      </c>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Implemented/available</t>
        </is>
      </c>
      <c r="H94" s="2" t="inlineStr">
        <is>
          <t>https://www.knowledgefutures.org/about</t>
        </is>
      </c>
      <c r="I94" s="2" t="inlineStr">
        <is>
          <t>Unknown</t>
        </is>
      </c>
      <c r="J94" s="2" t="inlineStr">
        <is>
          <t>&lt;p&gt;PubPub is an initiative of &lt;a href="https://www.knowledgefutures.org/" target="_blank"&gt;Knowledge Futures&lt;/a&gt;, which is &lt;a href="https://www.knowledgefutures.org/about" target="_blank"&gt;governed by&lt;/a&gt; a Board of Directors.&lt;/p&gt;</t>
        </is>
      </c>
      <c r="K94" s="2" t="n"/>
      <c r="L94" s="2" t="inlineStr">
        <is>
          <t>Advisory board or steering committee</t>
        </is>
      </c>
      <c r="M94" s="2" t="n"/>
      <c r="N94" s="2" t="n"/>
      <c r="O94" s="2" t="n"/>
      <c r="P94" s="2" t="inlineStr">
        <is>
          <t>Unknown</t>
        </is>
      </c>
      <c r="Q94" s="2" t="inlineStr">
        <is>
          <t>Implemented/available</t>
        </is>
      </c>
      <c r="R94" s="2" t="inlineStr">
        <is>
          <t>https://notes.knowledgefutures.org/pub/dwubshpn/release/1</t>
        </is>
      </c>
      <c r="S94" s="2" t="inlineStr">
        <is>
          <t>Our tool or project</t>
        </is>
      </c>
      <c r="T94" s="2" t="inlineStr">
        <is>
          <t>Implemented/available</t>
        </is>
      </c>
      <c r="U94" s="2" t="inlineStr">
        <is>
          <t>https://www.pubpub.org/pricing</t>
        </is>
      </c>
      <c r="V94" s="2" t="inlineStr">
        <is>
          <t>Implemented/available</t>
        </is>
      </c>
      <c r="W94" s="2" t="inlineStr">
        <is>
          <t>https://notes.knowledgefutures.org/pub/cqih29xa/release/24#conduct</t>
        </is>
      </c>
      <c r="X94" s="2" t="inlineStr">
        <is>
          <t>Implemented/available</t>
        </is>
      </c>
      <c r="Y94" s="2" t="inlineStr">
        <is>
          <t>https://www.pubpub.org/legal/privacy</t>
        </is>
      </c>
      <c r="Z94" s="2" t="n"/>
      <c r="AA94" s="2" t="n"/>
      <c r="AB94" s="2" t="n"/>
      <c r="AC94" s="2" t="inlineStr">
        <is>
          <t>Ad hoc</t>
        </is>
      </c>
      <c r="AD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Considering</t>
        </is>
      </c>
      <c r="H95" s="2" t="n"/>
      <c r="I95" s="2" t="inlineStr">
        <is>
          <t>Not planning</t>
        </is>
      </c>
      <c r="J95" s="2" t="inlineStr">
        <is>
          <t>Pundit is developed by Net7, an IT company based in Pisa, Italy.</t>
        </is>
      </c>
      <c r="K95" s="2" t="n"/>
      <c r="L95" s="2" t="inlineStr">
        <is>
          <t>None</t>
        </is>
      </c>
      <c r="M95" s="2" t="n"/>
      <c r="N95" s="2" t="inlineStr">
        <is>
          <t>Provider</t>
        </is>
      </c>
      <c r="O95" s="2" t="n"/>
      <c r="P95" s="2" t="inlineStr">
        <is>
          <t>Not planning</t>
        </is>
      </c>
      <c r="Q95" s="2" t="inlineStr">
        <is>
          <t>Not planning</t>
        </is>
      </c>
      <c r="R95" s="2" t="n"/>
      <c r="S95" s="2" t="n"/>
      <c r="T95" s="2" t="inlineStr">
        <is>
          <t>No direct costs</t>
        </is>
      </c>
      <c r="U95" s="2" t="n"/>
      <c r="V95" s="2" t="inlineStr">
        <is>
          <t>Considering</t>
        </is>
      </c>
      <c r="W95" s="2" t="n"/>
      <c r="X95" s="2" t="inlineStr">
        <is>
          <t>Implemented/available</t>
        </is>
      </c>
      <c r="Y95" s="2" t="inlineStr">
        <is>
          <t>https://www.iubenda.com/privacy-policy/69930136</t>
        </is>
      </c>
      <c r="Z95" s="2" t="n"/>
      <c r="AA95" s="2" t="n"/>
      <c r="AB95" s="2" t="n"/>
      <c r="AC95" s="2" t="inlineStr">
        <is>
          <t>None</t>
        </is>
      </c>
      <c r="AD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Implemented/available</t>
        </is>
      </c>
      <c r="H96" s="2" t="inlineStr">
        <is>
          <t>https://www.pyopensci.org/handbook/governance/structure.html</t>
        </is>
      </c>
      <c r="I96" s="2" t="inlineStr">
        <is>
          <t>Implemented/available</t>
        </is>
      </c>
      <c r="J96" s="2" t="n"/>
      <c r="K96" s="2" t="inlineStr">
        <is>
          <t>https://www.pyopensci.org/handbook/reference/index.html</t>
        </is>
      </c>
      <c r="L96" s="2" t="inlineStr">
        <is>
          <t>Advisory board or steering committee</t>
        </is>
      </c>
      <c r="M96" s="2" t="n"/>
      <c r="N96" s="2" t="n"/>
      <c r="O96" s="2" t="inlineStr">
        <is>
          <t xml:space="preserve">The board provides broad oversight to the organization. They provide input on strategic decisions made and oversight on budget and spending. </t>
        </is>
      </c>
      <c r="P96" s="2" t="inlineStr">
        <is>
          <t>Unknown</t>
        </is>
      </c>
      <c r="Q96" s="2" t="inlineStr">
        <is>
          <t>In progress</t>
        </is>
      </c>
      <c r="R96" s="2" t="n"/>
      <c r="S96" s="2" t="n"/>
      <c r="T96" s="2" t="inlineStr">
        <is>
          <t>In progress</t>
        </is>
      </c>
      <c r="U96" s="2" t="n"/>
      <c r="V96" s="2" t="inlineStr">
        <is>
          <t>In progress</t>
        </is>
      </c>
      <c r="W96" s="2" t="n"/>
      <c r="X96" s="2" t="inlineStr">
        <is>
          <t>Unknown</t>
        </is>
      </c>
      <c r="Y96" s="2" t="n"/>
      <c r="Z96" s="2" t="n"/>
      <c r="AA96" s="2" t="n"/>
      <c r="AB96" s="2" t="n"/>
      <c r="AC96" s="2" t="inlineStr">
        <is>
          <t>Ad hoc</t>
        </is>
      </c>
      <c r="AD96" s="2" t="inlineStr">
        <is>
          <t>https://www.pyopensci.org/handbook/governance/index.html</t>
        </is>
      </c>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inlineStr">
        <is>
          <t>Considering</t>
        </is>
      </c>
      <c r="H97" s="2" t="n"/>
      <c r="I97" s="2" t="inlineStr">
        <is>
          <t>In progress</t>
        </is>
      </c>
      <c r="J97" s="2" t="inlineStr">
        <is>
          <t>Renku software development is led by the Swiss Data Science Center engineering team and external contributors. The project roadmap is determined by the SDSC and other stakeholders within the Swiss academic system.</t>
        </is>
      </c>
      <c r="K97" s="2" t="n"/>
      <c r="L97" s="2" t="inlineStr">
        <is>
          <t>None</t>
        </is>
      </c>
      <c r="M97" s="2" t="n"/>
      <c r="N97" s="2" t="n"/>
      <c r="O97" s="2" t="inlineStr">
        <is>
          <t xml:space="preserve">We do not have a board in a formal sense; the leadership of the Swiss Data Science Center and the academic advisors serve as an advisory body for the activities of the Renku project and its technological and business development. </t>
        </is>
      </c>
      <c r="P97" s="2" t="inlineStr">
        <is>
          <t>Not planning</t>
        </is>
      </c>
      <c r="Q97" s="2" t="inlineStr">
        <is>
          <t>Unknown</t>
        </is>
      </c>
      <c r="R97" s="2" t="n"/>
      <c r="S97" s="2" t="n"/>
      <c r="T97" s="2" t="inlineStr">
        <is>
          <t>No direct costs</t>
        </is>
      </c>
      <c r="U97" s="2" t="n"/>
      <c r="V97" s="2" t="inlineStr">
        <is>
          <t>Considering</t>
        </is>
      </c>
      <c r="W97" s="2" t="n"/>
      <c r="X97" s="2" t="inlineStr">
        <is>
          <t>Implemented/available</t>
        </is>
      </c>
      <c r="Y97" s="2" t="inlineStr">
        <is>
          <t>https://renkulab.io/help/privacy</t>
        </is>
      </c>
      <c r="Z97" s="2" t="inlineStr">
        <is>
          <t>FAIR Guiding Principles for Scientific Data Management and Stewardship</t>
        </is>
      </c>
      <c r="AA97" s="2" t="n"/>
      <c r="AB97" s="2" t="n"/>
      <c r="AC97" s="2" t="inlineStr">
        <is>
          <t>None</t>
        </is>
      </c>
      <c r="AD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In progress</t>
        </is>
      </c>
      <c r="H98" s="2" t="inlineStr">
        <is>
          <t>https://governance.repec.org</t>
        </is>
      </c>
      <c r="I98" s="2" t="inlineStr">
        <is>
          <t>Implemented/available</t>
        </is>
      </c>
      <c r="J98" s="2" t="inlineStr">
        <is>
          <t>Since 2010‒10‒01, RePEc has been an independent project of the Open Library Society. RePEc is run by a board of directors, according to the &lt;a href="https://governance.repec.org/rules.html"&gt;RePEc governance rules&lt;/a&gt;.</t>
        </is>
      </c>
      <c r="K98" s="2" t="inlineStr">
        <is>
          <t>https://governance.repec.org/resolutions.html</t>
        </is>
      </c>
      <c r="L98" s="2" t="inlineStr">
        <is>
          <t>Advisory board or steering committee</t>
        </is>
      </c>
      <c r="M98" s="2" t="n"/>
      <c r="N98" s="2" t="n"/>
      <c r="O98" s="2" t="inlineStr">
        <is>
          <t>Limited. We depend entirely on volunteers, and they decide what they want to work on. We cannot force anyone...</t>
        </is>
      </c>
      <c r="P98" s="2" t="inlineStr">
        <is>
          <t>Implemented/available</t>
        </is>
      </c>
      <c r="Q98" s="2" t="inlineStr">
        <is>
          <t>Unknown</t>
        </is>
      </c>
      <c r="R98" s="2" t="n"/>
      <c r="S98" s="2" t="n"/>
      <c r="T98" s="2" t="inlineStr">
        <is>
          <t>No direct costs</t>
        </is>
      </c>
      <c r="U98" s="2" t="n"/>
      <c r="V98" s="2" t="inlineStr">
        <is>
          <t>Unknown</t>
        </is>
      </c>
      <c r="W98" s="2" t="n"/>
      <c r="X98" s="2" t="inlineStr">
        <is>
          <t>Implemented/available</t>
        </is>
      </c>
      <c r="Y98" s="2" t="inlineStr">
        <is>
          <t>https://ideas.repec.org/privacy.html</t>
        </is>
      </c>
      <c r="Z98" s="2" t="n"/>
      <c r="AA98" s="2" t="n"/>
      <c r="AB98" s="2" t="n"/>
      <c r="AC98" s="2" t="inlineStr">
        <is>
          <t>Ad hoc</t>
        </is>
      </c>
      <c r="AD98" s="2" t="inlineStr">
        <is>
          <t>https://governance.repec.org/rules.html</t>
        </is>
      </c>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Implemented/available</t>
        </is>
      </c>
      <c r="H99" s="2" t="inlineStr">
        <is>
          <t>https://ror.org/about/#governance-model</t>
        </is>
      </c>
      <c r="I99" s="2" t="inlineStr">
        <is>
          <t>Implemented/available</t>
        </is>
      </c>
      <c r="J99" s="2" t="inlineStr">
        <is>
          <t>&lt;p&gt;ROR is operated as a collaborative initiative by &lt;a href="https://cdlib.org/" target="_blank"&gt;California Digital Library&lt;/a&gt;, &lt;a href="https://crossref.org/" target="_blank"&gt;Crossref&lt;/a&gt;, and &lt;a href="https://datacite.org/" target="_blank"&gt;DataCite&lt;/a&gt;. The three ROR governing organizations collectively assume and share responsibility for ROR governance, operations, resourcing, and decision-making. These responsibilities are defined in a &lt;a href="https://ror.org/documents/ROR-Memorandum-of-Agreement-2022.pdf" target="_blank"&gt;Memorandum of Agreement (MOA)&lt;/a&gt;.&lt;/p&gt;</t>
        </is>
      </c>
      <c r="K99" s="2" t="inlineStr">
        <is>
          <t>https://ror.org/about/#governance-model</t>
        </is>
      </c>
      <c r="L99" s="2" t="inlineStr">
        <is>
          <t>Advisory board or steering committee</t>
        </is>
      </c>
      <c r="M99" s="2" t="n"/>
      <c r="N99" s="2" t="n"/>
      <c r="O99" s="2" t="n"/>
      <c r="P99" s="2" t="inlineStr">
        <is>
          <t>Implemented/available</t>
        </is>
      </c>
      <c r="Q99" s="2" t="inlineStr">
        <is>
          <t>Considering</t>
        </is>
      </c>
      <c r="R99" s="2" t="n"/>
      <c r="S99" s="2" t="n"/>
      <c r="T99" s="2" t="inlineStr">
        <is>
          <t>No direct costs</t>
        </is>
      </c>
      <c r="U99" s="2" t="inlineStr">
        <is>
          <t>https://ror.org/about/#business-model</t>
        </is>
      </c>
      <c r="V99" s="2" t="inlineStr">
        <is>
          <t>Considering</t>
        </is>
      </c>
      <c r="W99" s="2" t="n"/>
      <c r="X99" s="2" t="inlineStr">
        <is>
          <t>Implemented/available</t>
        </is>
      </c>
      <c r="Y99" s="2" t="inlineStr">
        <is>
          <t>https://ror.org/privacy/</t>
        </is>
      </c>
      <c r="Z99" s="2" t="inlineStr">
        <is>
          <t>Principles for Open Scholarly Infrastructure (POSI)</t>
        </is>
      </c>
      <c r="AA99" s="2" t="n"/>
      <c r="AB99" s="2" t="n"/>
      <c r="AC99" s="2" t="inlineStr">
        <is>
          <t>Formal</t>
        </is>
      </c>
      <c r="AD99" s="2" t="inlineStr">
        <is>
          <t>https://ror.org/community/#steering-group</t>
        </is>
      </c>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In progress</t>
        </is>
      </c>
      <c r="H100" s="2" t="n"/>
      <c r="I100" s="2" t="inlineStr">
        <is>
          <t>In progress</t>
        </is>
      </c>
      <c r="J100" s="2" t="inlineStr">
        <is>
          <t>&lt;p&gt;No governance is known of at this time. &lt;/p&gt;</t>
        </is>
      </c>
      <c r="K100" s="2" t="n"/>
      <c r="L100" s="2" t="inlineStr">
        <is>
          <t>None</t>
        </is>
      </c>
      <c r="M100" s="2" t="n"/>
      <c r="N100" s="2" t="n"/>
      <c r="O100" s="2" t="n"/>
      <c r="P100" s="2" t="inlineStr">
        <is>
          <t>Unknown</t>
        </is>
      </c>
      <c r="Q100" s="2" t="inlineStr">
        <is>
          <t>Considering</t>
        </is>
      </c>
      <c r="R100" s="2" t="n"/>
      <c r="S100" s="2" t="n"/>
      <c r="T100" s="2" t="inlineStr">
        <is>
          <t>Implemented/available</t>
        </is>
      </c>
      <c r="U100" s="2" t="inlineStr">
        <is>
          <t>https://rogue-scholar.org/#pricing</t>
        </is>
      </c>
      <c r="V100" s="2" t="inlineStr">
        <is>
          <t>Considering</t>
        </is>
      </c>
      <c r="W100" s="2" t="n"/>
      <c r="X100" s="2" t="inlineStr">
        <is>
          <t>In progress</t>
        </is>
      </c>
      <c r="Y100" s="2" t="n"/>
      <c r="Z100" s="2" t="n"/>
      <c r="AA100" s="2" t="n"/>
      <c r="AB100" s="2" t="n"/>
      <c r="AC100" s="2" t="inlineStr">
        <is>
          <t>Ad hoc</t>
        </is>
      </c>
      <c r="AD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Considering</t>
        </is>
      </c>
      <c r="H101" s="2" t="n"/>
      <c r="I101" s="2" t="inlineStr">
        <is>
          <t>Considering</t>
        </is>
      </c>
      <c r="J101" s="2" t="inlineStr">
        <is>
          <t>...</t>
        </is>
      </c>
      <c r="K101" s="2" t="n"/>
      <c r="L101" s="2" t="inlineStr">
        <is>
          <t>Other</t>
        </is>
      </c>
      <c r="M101" s="2" t="inlineStr">
        <is>
          <t>Board of directors of UK limited company</t>
        </is>
      </c>
      <c r="N101" s="2" t="n"/>
      <c r="O101" s="2" t="inlineStr">
        <is>
          <t>The board addresses routine reporting requirements and reviews strategic and financial matters.</t>
        </is>
      </c>
      <c r="P101" s="2" t="inlineStr">
        <is>
          <t>Not planning</t>
        </is>
      </c>
      <c r="Q101" s="2" t="inlineStr">
        <is>
          <t>In progress</t>
        </is>
      </c>
      <c r="R101" s="2" t="n"/>
      <c r="S101" s="2" t="n"/>
      <c r="T101" s="2" t="inlineStr">
        <is>
          <t>Implemented/available</t>
        </is>
      </c>
      <c r="U101" s="2" t="inlineStr">
        <is>
          <t>https://www.researchspace.com/pricing</t>
        </is>
      </c>
      <c r="V101" s="2" t="inlineStr">
        <is>
          <t>Considering</t>
        </is>
      </c>
      <c r="W101" s="2" t="n"/>
      <c r="X101" s="2" t="inlineStr">
        <is>
          <t>Implemented/available</t>
        </is>
      </c>
      <c r="Y101" s="2" t="inlineStr">
        <is>
          <t>https://www.researchspace.com/privacy-policy</t>
        </is>
      </c>
      <c r="Z101" s="2" t="n"/>
      <c r="AA101" s="2" t="n"/>
      <c r="AB101" s="2" t="n"/>
      <c r="AC101" s="2" t="inlineStr">
        <is>
          <t>None</t>
        </is>
      </c>
      <c r="AD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Implemented/available</t>
        </is>
      </c>
      <c r="H102" s="2" t="inlineStr">
        <is>
          <t>https://elifesciences.org/about/people/directors</t>
        </is>
      </c>
      <c r="I102" s="2" t="inlineStr">
        <is>
          <t>Not planning</t>
        </is>
      </c>
      <c r="J102" s="2" t="n"/>
      <c r="K102" s="2" t="n"/>
      <c r="L102" s="2" t="inlineStr">
        <is>
          <t>Multi-board governance</t>
        </is>
      </c>
      <c r="M102" s="2" t="n"/>
      <c r="N102" s="2" t="n"/>
      <c r="O102" s="2" t="inlineStr">
        <is>
          <t xml:space="preserve">The purview of the board is as follows:
Fixing number of directors  
Approval of budget  
Selection and approval of EiC and other board directors  
Entering into agreements that bind the company into the liability of others  
Mergers, sales assignments or transfer of assets  
Creation of a subsidiary  
Approval of compensation for directors  
Change of the corporation status  </t>
        </is>
      </c>
      <c r="P102" s="2" t="inlineStr">
        <is>
          <t>Considering</t>
        </is>
      </c>
      <c r="Q102" s="2" t="inlineStr">
        <is>
          <t>Considering</t>
        </is>
      </c>
      <c r="R102" s="2" t="n"/>
      <c r="S102" s="2" t="n"/>
      <c r="T102" s="2" t="inlineStr">
        <is>
          <t>No direct costs</t>
        </is>
      </c>
      <c r="U102" s="2" t="n"/>
      <c r="V102" s="2" t="inlineStr">
        <is>
          <t>Considering</t>
        </is>
      </c>
      <c r="W102" s="2" t="n"/>
      <c r="X102" s="2" t="inlineStr">
        <is>
          <t>Implemented/available</t>
        </is>
      </c>
      <c r="Y102" s="2" t="inlineStr">
        <is>
          <t>https://sciety.org/legal</t>
        </is>
      </c>
      <c r="Z102" s="2" t="inlineStr">
        <is>
          <t>Principles for Open Scholarly Infrastructure (POSI)</t>
        </is>
      </c>
      <c r="AA102" s="2" t="n"/>
      <c r="AB102" s="2" t="n"/>
      <c r="AC102" s="2" t="inlineStr">
        <is>
          <t>Formal</t>
        </is>
      </c>
      <c r="AD102" s="2" t="n"/>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Not planning</t>
        </is>
      </c>
      <c r="H103" s="2" t="n"/>
      <c r="I103" s="2" t="inlineStr">
        <is>
          <t>Unknown</t>
        </is>
      </c>
      <c r="J103" s="2" t="n"/>
      <c r="K103" s="2" t="n"/>
      <c r="L103" s="2" t="inlineStr">
        <is>
          <t>Advisory board or steering committee</t>
        </is>
      </c>
      <c r="M103" s="2" t="n"/>
      <c r="N103" s="2" t="n"/>
      <c r="O103" s="2" t="inlineStr">
        <is>
          <t xml:space="preserve">Strategic Guidance: The Sage Board guides our long-term direction, ensuring alignment with its mission. This includes setting priorities, approving strategic plans, and identifying major goals to drive scientific impact.
Financial Oversight: Our Board oversees Sage’s finances, ensuring responsible stewardship of resources. This includes reviewing budgets, ensuring transparency in financial reporting, approving major expenditures, and sometimes assisting in fundraising efforts.
Outreach and Advocacy: Sage Board members act as ambassadors for the organization, helping to promote its mission to external audiences, advocate for scientific issues and patient impact, and build partnerships with other institutions.
Leadership and Organizational Health: Our Board oversees the hiring and performance of our President and CEO. They also review high-level staff appointments.
Monitoring and Evaluation: The Board tracks Sage’s organizational progress toward its goals, evaluating the impact of programs and initiatives to ensure alignment with our nonprofit mission. 
</t>
        </is>
      </c>
      <c r="P103" s="2" t="inlineStr">
        <is>
          <t>Not planning</t>
        </is>
      </c>
      <c r="Q103" s="2" t="inlineStr">
        <is>
          <t>Not planning</t>
        </is>
      </c>
      <c r="R103" s="2" t="n"/>
      <c r="S103" s="2" t="n"/>
      <c r="T103" s="2" t="inlineStr">
        <is>
          <t>Implemented/available</t>
        </is>
      </c>
      <c r="U103" s="2" t="inlineStr">
        <is>
          <t>https://help.synapse.org/docs/Synapse-Pricing.2965078125.html</t>
        </is>
      </c>
      <c r="V103" s="2" t="inlineStr">
        <is>
          <t>Considering</t>
        </is>
      </c>
      <c r="W103" s="2" t="n"/>
      <c r="X103" s="2" t="inlineStr">
        <is>
          <t>Implemented/available</t>
        </is>
      </c>
      <c r="Y103" s="2" t="inlineStr">
        <is>
          <t>https://www.synapse.org/TrustCenter:PrivacyPolicy</t>
        </is>
      </c>
      <c r="Z103" s="2" t="inlineStr">
        <is>
          <t>FAIR Guiding Principles for Scientific Data Management and Stewardship</t>
        </is>
      </c>
      <c r="AA103" s="2" t="n"/>
      <c r="AB103" s="2" t="n"/>
      <c r="AC103" s="2" t="inlineStr">
        <is>
          <t>None</t>
        </is>
      </c>
      <c r="AD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Considering</t>
        </is>
      </c>
      <c r="H104" s="2" t="n"/>
      <c r="I104" s="2" t="inlineStr">
        <is>
          <t>Considering</t>
        </is>
      </c>
      <c r="J104" s="2" t="n"/>
      <c r="K104" s="2" t="n"/>
      <c r="L104" s="2" t="inlineStr">
        <is>
          <t>None</t>
        </is>
      </c>
      <c r="M104" s="2" t="n"/>
      <c r="N104" s="2" t="n"/>
      <c r="O104" s="2" t="inlineStr">
        <is>
          <t xml:space="preserve">n/a </t>
        </is>
      </c>
      <c r="P104" s="2" t="inlineStr">
        <is>
          <t>Not planning</t>
        </is>
      </c>
      <c r="Q104" s="2" t="inlineStr">
        <is>
          <t>In progress</t>
        </is>
      </c>
      <c r="R104" s="2" t="n"/>
      <c r="S104" s="2" t="n"/>
      <c r="T104" s="2" t="inlineStr">
        <is>
          <t>No direct costs</t>
        </is>
      </c>
      <c r="U104" s="2" t="n"/>
      <c r="V104" s="2" t="inlineStr">
        <is>
          <t>Implemented/available</t>
        </is>
      </c>
      <c r="W104" s="2" t="inlineStr">
        <is>
          <t>https://cyber.harvard.edu/hoap/Why_tag_for_OATP</t>
        </is>
      </c>
      <c r="X104" s="2" t="inlineStr">
        <is>
          <t>Implemented/available</t>
        </is>
      </c>
      <c r="Y104" s="2" t="inlineStr">
        <is>
          <t>https://cyber.harvard.edu/hoap/TagTeam_terms_of_service#Privacy_Policy</t>
        </is>
      </c>
      <c r="Z104" s="2" t="n"/>
      <c r="AA104" s="2" t="n"/>
      <c r="AB104" s="2" t="n"/>
      <c r="AC104" s="2" t="inlineStr">
        <is>
          <t>Ad hoc</t>
        </is>
      </c>
      <c r="AD104" s="2" t="n"/>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inlineStr">
        <is>
          <t>Implemented/available</t>
        </is>
      </c>
      <c r="H105" s="2" t="inlineStr">
        <is>
          <t>https://thoth.pub/about/about-us#our-governance</t>
        </is>
      </c>
      <c r="I105" s="2" t="inlineStr">
        <is>
          <t>Considering</t>
        </is>
      </c>
      <c r="J105" s="2" t="inlineStr">
        <is>
          <t>Thoth Open Metadata has been set up as a UK Community Interest Company (CIC) limited by guarantee, to ensure that the community’s interest are being met, no private gain (such as paying out dividends to its membership) is sought, and any surplus or assets are used principally for the benefit of the community. Thoth has been formed as a “large membership” CIC, which means that the members have ultimate control over the activities of the CIC. It also requires there to be more members than Directors and allows for the membership to grow as the company grows. These members collectively decide when and how the overall membership will grow. Another key feature of a Community Interest Company is the Asset Lock, which guarantees transfer of resources to a predefined set of organisations in the case of the CIC facing insolvency. The Membership approves the appointments of Thoth’s Board of Directors, which is responsible for proper management of the company’s business.</t>
        </is>
      </c>
      <c r="K105" s="2" t="n"/>
      <c r="L105" s="2" t="inlineStr">
        <is>
          <t>Other</t>
        </is>
      </c>
      <c r="M105" s="2" t="inlineStr">
        <is>
          <t>Board of Directors</t>
        </is>
      </c>
      <c r="N105" s="2" t="n"/>
      <c r="O105" s="2" t="inlineStr">
        <is>
          <t>The Board of Directors is responsible for the overall management of the non-profit CIC.</t>
        </is>
      </c>
      <c r="P105" s="2" t="inlineStr">
        <is>
          <t>Implemented/available</t>
        </is>
      </c>
      <c r="Q105" s="2" t="inlineStr">
        <is>
          <t>In progress</t>
        </is>
      </c>
      <c r="R105" s="2" t="n"/>
      <c r="S105" s="2" t="n"/>
      <c r="T105" s="2" t="inlineStr">
        <is>
          <t>Implemented/available</t>
        </is>
      </c>
      <c r="U105" s="2" t="inlineStr">
        <is>
          <t>https://thoth.pub/pricing</t>
        </is>
      </c>
      <c r="V105" s="2" t="inlineStr">
        <is>
          <t>In progress</t>
        </is>
      </c>
      <c r="W105" s="2" t="n"/>
      <c r="X105" s="2" t="inlineStr">
        <is>
          <t>Implemented/available</t>
        </is>
      </c>
      <c r="Y105" s="2" t="inlineStr">
        <is>
          <t>https://thoth.pub/policies/privacy</t>
        </is>
      </c>
      <c r="Z105" s="2" t="n"/>
      <c r="AA105" s="2" t="n"/>
      <c r="AB105" s="2" t="n"/>
      <c r="AC105" s="2" t="inlineStr">
        <is>
          <t>Formal</t>
        </is>
      </c>
      <c r="AD105" s="2" t="inlineStr">
        <is>
          <t>https://find-and-update.company-information.service.gov.uk/company/14549556/filing-history</t>
        </is>
      </c>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inlineStr">
        <is>
          <t>Implemented/available</t>
        </is>
      </c>
      <c r="H106" s="2" t="inlineStr">
        <is>
          <t>https://digitalscholar.org/governance/leadership/</t>
        </is>
      </c>
      <c r="I106" s="2" t="inlineStr">
        <is>
          <t>In progress</t>
        </is>
      </c>
      <c r="J106" s="2" t="inlineStr">
        <is>
          <t>Tropy is a hosted project of Digital Scholar, a non-stock corporation in the United States that follows 501(c)3 guidelines in its operations.</t>
        </is>
      </c>
      <c r="K106" s="2" t="n"/>
      <c r="L106" s="2" t="inlineStr">
        <is>
          <t>Advisory board or steering committee</t>
        </is>
      </c>
      <c r="M106" s="2" t="n"/>
      <c r="N106" s="2" t="inlineStr">
        <is>
          <t>Provider</t>
        </is>
      </c>
      <c r="O106" s="2" t="n"/>
      <c r="P106" s="2" t="inlineStr">
        <is>
          <t>Implemented/available</t>
        </is>
      </c>
      <c r="Q106" s="2" t="inlineStr">
        <is>
          <t>Considering</t>
        </is>
      </c>
      <c r="R106" s="2" t="n"/>
      <c r="S106" s="2" t="n"/>
      <c r="T106" s="2" t="inlineStr">
        <is>
          <t>No direct costs</t>
        </is>
      </c>
      <c r="U106" s="2" t="n"/>
      <c r="V106" s="2" t="inlineStr">
        <is>
          <t>Implemented/available</t>
        </is>
      </c>
      <c r="W106" s="2" t="inlineStr">
        <is>
          <t>https://digitalscholar.org/governance/anti-discrimination-policy/</t>
        </is>
      </c>
      <c r="X106" s="2" t="inlineStr">
        <is>
          <t>Considering</t>
        </is>
      </c>
      <c r="Y106" s="2" t="n"/>
      <c r="Z106" s="2" t="n"/>
      <c r="AA106" s="2" t="n"/>
      <c r="AB106" s="2" t="n"/>
      <c r="AC106" s="2" t="inlineStr">
        <is>
          <t>Ad hoc</t>
        </is>
      </c>
      <c r="AD106" s="2" t="inlineStr">
        <is>
          <t>https://digitalscholar.org/assets/downloads/Corporation%20for%20Digital%20Scholarship%20%E2%80%93%20Bylaws.pdf</t>
        </is>
      </c>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In progress</t>
        </is>
      </c>
      <c r="H107" s="2" t="n"/>
      <c r="I107" s="2" t="inlineStr">
        <is>
          <t>Not planning</t>
        </is>
      </c>
      <c r="J107" s="2" t="n"/>
      <c r="K107" s="2" t="n"/>
      <c r="L107" s="2" t="inlineStr">
        <is>
          <t>None</t>
        </is>
      </c>
      <c r="M107" s="2" t="n"/>
      <c r="N107" s="2" t="n"/>
      <c r="O107" s="2" t="n"/>
      <c r="P107" s="2" t="inlineStr">
        <is>
          <t>Not planning</t>
        </is>
      </c>
      <c r="Q107" s="2" t="inlineStr">
        <is>
          <t>In progress</t>
        </is>
      </c>
      <c r="R107" s="2" t="n"/>
      <c r="S107" s="2" t="n"/>
      <c r="T107" s="2" t="inlineStr">
        <is>
          <t>No direct costs</t>
        </is>
      </c>
      <c r="U107" s="2" t="n"/>
      <c r="V107" s="2" t="inlineStr">
        <is>
          <t>Considering</t>
        </is>
      </c>
      <c r="W107" s="2" t="n"/>
      <c r="X107" s="2" t="inlineStr">
        <is>
          <t>Considering</t>
        </is>
      </c>
      <c r="Y107" s="2" t="n"/>
      <c r="Z107" s="2" t="n"/>
      <c r="AA107" s="2" t="n"/>
      <c r="AB107" s="2" t="n"/>
      <c r="AC107" s="2" t="inlineStr">
        <is>
          <t>Formal</t>
        </is>
      </c>
      <c r="AD107" s="2" t="n"/>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inlineStr">
        <is>
          <t>Implemented/available</t>
        </is>
      </c>
      <c r="H108" s="2" t="inlineStr">
        <is>
          <t>https://openpreservation.org/about-old/board-of-directors/</t>
        </is>
      </c>
      <c r="I108" s="2" t="inlineStr">
        <is>
          <t>Not planning</t>
        </is>
      </c>
      <c r="J108" s="2" t="inlineStr">
        <is>
          <t>ViPER is a project of the Open Preservation Foundation a company, limited by guarantee, registered in England and Wales and Stichting Open Preservation, registered as a foundation with the Kamer van Koophandel.</t>
        </is>
      </c>
      <c r="K108" s="2" t="n"/>
      <c r="L108" s="2" t="inlineStr">
        <is>
          <t>Advisory board or steering committee</t>
        </is>
      </c>
      <c r="M108" s="2" t="n"/>
      <c r="N108" s="2" t="inlineStr">
        <is>
          <t>Provider</t>
        </is>
      </c>
      <c r="O108" s="2" t="n"/>
      <c r="P108" s="2" t="inlineStr">
        <is>
          <t>Unknown</t>
        </is>
      </c>
      <c r="Q108" s="2" t="inlineStr">
        <is>
          <t>Considering</t>
        </is>
      </c>
      <c r="R108" s="2" t="n"/>
      <c r="S108" s="2" t="n"/>
      <c r="T108" s="2" t="inlineStr">
        <is>
          <t>No direct costs</t>
        </is>
      </c>
      <c r="U108" s="2" t="n"/>
      <c r="V108" s="2" t="inlineStr">
        <is>
          <t>In progress</t>
        </is>
      </c>
      <c r="W108" s="2" t="n"/>
      <c r="X108" s="2" t="inlineStr">
        <is>
          <t>Implemented/available</t>
        </is>
      </c>
      <c r="Y108" s="2" t="inlineStr">
        <is>
          <t>https://openpreservation.org/privacy-policy/</t>
        </is>
      </c>
      <c r="Z108" s="2" t="n"/>
      <c r="AA108" s="2" t="n"/>
      <c r="AB108" s="2" t="n"/>
      <c r="AC108" s="2" t="inlineStr">
        <is>
          <t>Formal</t>
        </is>
      </c>
      <c r="AD108" s="2" t="n"/>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inlineStr">
        <is>
          <t>Implemented/available</t>
        </is>
      </c>
      <c r="H109" s="2" t="inlineStr">
        <is>
          <t>https://www.tdl.org/about-tdl/governance/</t>
        </is>
      </c>
      <c r="I109" s="2" t="inlineStr">
        <is>
          <t>Implemented/available</t>
        </is>
      </c>
      <c r="J109" s="2" t="inlineStr">
        <is>
          <t>Video is a project of the Texas Digital Library (TDL), a consortium of Texas higher education institutions. UT Austin serves as the fiscal agent for TDL.</t>
        </is>
      </c>
      <c r="K109" s="2" t="inlineStr">
        <is>
          <t>https://texasdigitallibrary.atlassian.net/wiki/x/9YBuOw</t>
        </is>
      </c>
      <c r="L109" s="2" t="inlineStr">
        <is>
          <t>Advisory board or steering committee</t>
        </is>
      </c>
      <c r="M109" s="2" t="n"/>
      <c r="N109" s="2" t="n"/>
      <c r="O109" s="2" t="n"/>
      <c r="P109" s="2" t="inlineStr">
        <is>
          <t>Implemented/available</t>
        </is>
      </c>
      <c r="Q109" s="2" t="inlineStr">
        <is>
          <t>Implemented/available</t>
        </is>
      </c>
      <c r="R109" s="2" t="inlineStr">
        <is>
          <t>https://texasdigitallibrary.atlassian.net/wiki/spaces/VUG/pages/2701131781/Accessibility</t>
        </is>
      </c>
      <c r="S109" s="2" t="inlineStr">
        <is>
          <t>Our tool or project</t>
        </is>
      </c>
      <c r="T109" s="2" t="inlineStr">
        <is>
          <t>Implemented/available</t>
        </is>
      </c>
      <c r="U109" s="2" t="inlineStr">
        <is>
          <t>https://www.tdl.org/community/members/membership/fees/</t>
        </is>
      </c>
      <c r="V109" s="2" t="inlineStr">
        <is>
          <t>Not planning</t>
        </is>
      </c>
      <c r="W109" s="2" t="n"/>
      <c r="X109" s="2" t="inlineStr">
        <is>
          <t>Unknown</t>
        </is>
      </c>
      <c r="Y109" s="2" t="n"/>
      <c r="Z109" s="2" t="n"/>
      <c r="AA109" s="2" t="n"/>
      <c r="AB109" s="2" t="n"/>
      <c r="AC109" s="2" t="inlineStr">
        <is>
          <t>Formal</t>
        </is>
      </c>
      <c r="AD109" s="2" t="inlineStr">
        <is>
          <t>https://texasdigitallibrary.atlassian.net/wiki/x/9YBuOw</t>
        </is>
      </c>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Implemented/available</t>
        </is>
      </c>
      <c r="H110" s="2" t="inlineStr">
        <is>
          <t>https://vivoweb.org/governance/</t>
        </is>
      </c>
      <c r="I110" s="2" t="inlineStr">
        <is>
          <t>Implemented/available</t>
        </is>
      </c>
      <c r="J110" s="2" t="inlineStr">
        <is>
          <t>VIVO's Leadership Group sets development priorities and creates strategies for realizing those priorities. The Leadership Group consists of members and elected community representatives. VIVO Committers work with the community to maintain and advance the VIVO codebase by writing code as well as managing code contributions from the community. The VIVO Committers meet regularly to plan new features and enhancements.</t>
        </is>
      </c>
      <c r="K110" s="2" t="inlineStr">
        <is>
          <t>https://wiki.lyrasis.org/display/VIVO/VIVO+Project+Governance</t>
        </is>
      </c>
      <c r="L110" s="2" t="inlineStr">
        <is>
          <t>Advisory board or steering committee</t>
        </is>
      </c>
      <c r="M110" s="2" t="n"/>
      <c r="N110" s="2" t="n"/>
      <c r="O110" s="2" t="inlineStr">
        <is>
          <t>The Leadership Group establishes priorities and is responsible for making strategic decisions in these areas. 
- Annual budget allocation
- Substantial changes in allocations during the year
- Strategic product roadmap
- Strategic community direction</t>
        </is>
      </c>
      <c r="P110" s="2" t="inlineStr">
        <is>
          <t>Implemented/available</t>
        </is>
      </c>
      <c r="Q110" s="2" t="inlineStr">
        <is>
          <t>In progress</t>
        </is>
      </c>
      <c r="R110" s="2" t="n"/>
      <c r="S110" s="2" t="n"/>
      <c r="T110" s="2" t="inlineStr">
        <is>
          <t>No direct costs</t>
        </is>
      </c>
      <c r="U110" s="2" t="n"/>
      <c r="V110" s="2" t="inlineStr">
        <is>
          <t>Considering</t>
        </is>
      </c>
      <c r="W110" s="2" t="n"/>
      <c r="X110" s="2" t="inlineStr">
        <is>
          <t>Implemented/available</t>
        </is>
      </c>
      <c r="Y110" s="2" t="inlineStr">
        <is>
          <t>https://vivoweb.org/privacy-policy/</t>
        </is>
      </c>
      <c r="Z110" s="2" t="inlineStr">
        <is>
          <t>It Takes a Village Open Source Software Sustainability toolkit</t>
        </is>
      </c>
      <c r="AA110" s="2" t="n"/>
      <c r="AB110" s="2" t="n"/>
      <c r="AC110" s="2" t="inlineStr">
        <is>
          <t>Formal</t>
        </is>
      </c>
      <c r="AD110" s="2" t="inlineStr">
        <is>
          <t>https://wiki.lyrasis.org/display/VIVO/VIVO+Project+Charter+v+1.1</t>
        </is>
      </c>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Implemented/available</t>
        </is>
      </c>
      <c r="H111" s="2" t="inlineStr">
        <is>
          <t>https://github.com/vufind-org/vufind/blob/dev/GOVERNANCE.md</t>
        </is>
      </c>
      <c r="I111" s="2" t="inlineStr">
        <is>
          <t>Implemented/available</t>
        </is>
      </c>
      <c r="J111" s="2" t="inlineStr">
        <is>
          <t>&lt;p&gt;VuFind is developed and maintained by the &lt;a href="https://openlibraryfoundation.org/" target="_blank"&gt;Open Library Foundation&lt;/a&gt;, and is governed by a &lt;a href="https://vufind.org/wiki/community:roles_and_responsibilities#project_management_committee" target="_blank"&gt;Project Management Committee&lt;/a&gt; with additional roles outlined &lt;a href="https://github.com/vufind-org/vufind/blob/dev/GOVERNANCE.md" target="_blank"&gt;here&lt;/a&gt;.&lt;/p&gt;</t>
        </is>
      </c>
      <c r="K111" s="2" t="inlineStr">
        <is>
          <t>https://vufind.org/wiki/community:pmc_meetings</t>
        </is>
      </c>
      <c r="L111" s="2" t="inlineStr">
        <is>
          <t>Advisory board or steering committee</t>
        </is>
      </c>
      <c r="M111" s="2" t="n"/>
      <c r="N111" s="2" t="n"/>
      <c r="O111" s="2" t="n"/>
      <c r="P111" s="2" t="inlineStr">
        <is>
          <t>Implemented/available</t>
        </is>
      </c>
      <c r="Q111" s="2" t="inlineStr">
        <is>
          <t>Implemented/available</t>
        </is>
      </c>
      <c r="R111" s="2" t="inlineStr">
        <is>
          <t>https://vufind.org/wiki/accessibility</t>
        </is>
      </c>
      <c r="S111" s="2" t="inlineStr">
        <is>
          <t>Our tool or project</t>
        </is>
      </c>
      <c r="T111" s="2" t="inlineStr">
        <is>
          <t>No direct costs</t>
        </is>
      </c>
      <c r="U111" s="2" t="n"/>
      <c r="V111" s="2" t="inlineStr">
        <is>
          <t>Implemented/available</t>
        </is>
      </c>
      <c r="W111" s="2" t="inlineStr">
        <is>
          <t>https://github.com/vufind-org/vufind/blob/dev/CODE_OF_CONDUCT.md</t>
        </is>
      </c>
      <c r="X111" s="2" t="inlineStr">
        <is>
          <t>Implemented/available</t>
        </is>
      </c>
      <c r="Y111" s="2" t="inlineStr">
        <is>
          <t>https://vufind.org/wiki/configuration:user_privacy</t>
        </is>
      </c>
      <c r="Z111" s="2" t="inlineStr">
        <is>
          <t>It Takes a Village Open Source Software Sustainability toolkit</t>
        </is>
      </c>
      <c r="AA111" s="2" t="n"/>
      <c r="AB111" s="2" t="n"/>
      <c r="AC111" s="2" t="inlineStr">
        <is>
          <t>Formal</t>
        </is>
      </c>
      <c r="AD111" s="2" t="inlineStr">
        <is>
          <t>https://github.com/vufind-org/vufind/blob/dev/GOVERNANCE.md</t>
        </is>
      </c>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inlineStr">
        <is>
          <t>Considering</t>
        </is>
      </c>
      <c r="H112" s="2" t="n"/>
      <c r="I112" s="2" t="inlineStr">
        <is>
          <t>Considering</t>
        </is>
      </c>
      <c r="J112" s="2" t="inlineStr">
        <is>
          <t>&lt;p&gt;Zenodo is a community-driven effort, governed by &lt;a href="https://home.cern/" target="_blank"&gt;CERN&lt;/a&gt; for the benefit of the community. The provider is considering additional governance development.&lt;/p&gt;</t>
        </is>
      </c>
      <c r="K112" s="2" t="n"/>
      <c r="L112" s="2" t="inlineStr">
        <is>
          <t>Advisory board or steering committee</t>
        </is>
      </c>
      <c r="M112" s="2" t="n"/>
      <c r="N112" s="2" t="n"/>
      <c r="O112" s="2" t="n"/>
      <c r="P112" s="2" t="inlineStr">
        <is>
          <t>Unknown</t>
        </is>
      </c>
      <c r="Q112" s="2" t="inlineStr">
        <is>
          <t>Unknown</t>
        </is>
      </c>
      <c r="R112" s="2" t="n"/>
      <c r="S112" s="2" t="n"/>
      <c r="T112" s="2" t="inlineStr">
        <is>
          <t>No direct costs</t>
        </is>
      </c>
      <c r="U112" s="2" t="inlineStr">
        <is>
          <t>https://help.zenodo.org/faq/#cpolicies-1</t>
        </is>
      </c>
      <c r="V112" s="2" t="inlineStr">
        <is>
          <t>Implemented/available</t>
        </is>
      </c>
      <c r="W112" s="2" t="inlineStr">
        <is>
          <t>https://diversity-and-inclusion.web.cern.ch/</t>
        </is>
      </c>
      <c r="X112" s="2" t="inlineStr">
        <is>
          <t>Implemented/available</t>
        </is>
      </c>
      <c r="Y112" s="2" t="inlineStr">
        <is>
          <t>https://about.zenodo.org/privacy-policy/</t>
        </is>
      </c>
      <c r="Z112" s="2" t="n"/>
      <c r="AA112" s="2" t="n"/>
      <c r="AB112" s="2" t="n"/>
      <c r="AC112" s="2" t="inlineStr">
        <is>
          <t>Ad hoc</t>
        </is>
      </c>
      <c r="AD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Implemented/available</t>
        </is>
      </c>
      <c r="H113" s="2" t="inlineStr">
        <is>
          <t>https://digitalscholar.org/governance/leadership/</t>
        </is>
      </c>
      <c r="I113" s="2" t="inlineStr">
        <is>
          <t>In progress</t>
        </is>
      </c>
      <c r="J113" s="2" t="inlineStr">
        <is>
          <t>Zotero is a hosted project of Digital Scholar, a non-stock corporation in the United States that follows 501(c)3 guidelines in its operations.</t>
        </is>
      </c>
      <c r="K113" s="2" t="n"/>
      <c r="L113" s="2" t="inlineStr">
        <is>
          <t>Advisory board or steering committee</t>
        </is>
      </c>
      <c r="M113" s="2" t="n"/>
      <c r="N113" s="2" t="inlineStr">
        <is>
          <t>Provider</t>
        </is>
      </c>
      <c r="O113" s="2" t="n"/>
      <c r="P113" s="2" t="inlineStr">
        <is>
          <t>Implemented/available</t>
        </is>
      </c>
      <c r="Q113" s="2" t="inlineStr">
        <is>
          <t>Implemented/available</t>
        </is>
      </c>
      <c r="R113" s="2" t="inlineStr">
        <is>
          <t>https://www.zotero.org/accessibility</t>
        </is>
      </c>
      <c r="S113" s="2" t="inlineStr">
        <is>
          <t>Our tool or project</t>
        </is>
      </c>
      <c r="T113" s="2" t="inlineStr">
        <is>
          <t>Implemented/available</t>
        </is>
      </c>
      <c r="U113" s="2" t="inlineStr">
        <is>
          <t>https://www.zotero.org/storage</t>
        </is>
      </c>
      <c r="V113" s="2" t="inlineStr">
        <is>
          <t>Implemented/available</t>
        </is>
      </c>
      <c r="W113" s="2" t="inlineStr">
        <is>
          <t>https://digitalscholar.org/governance/anti-discrimination-policy/</t>
        </is>
      </c>
      <c r="X113" s="2" t="inlineStr">
        <is>
          <t>Implemented/available</t>
        </is>
      </c>
      <c r="Y113" s="2" t="inlineStr">
        <is>
          <t>https://www.zotero.org/support/privacy</t>
        </is>
      </c>
      <c r="Z113" s="2" t="n"/>
      <c r="AA113" s="2" t="n"/>
      <c r="AB113" s="2" t="n"/>
      <c r="AC113" s="2" t="inlineStr">
        <is>
          <t>Ad hoc</t>
        </is>
      </c>
      <c r="AD113" s="2" t="inlineStr">
        <is>
          <t>https://digitalscholar.org/assets/downloads/Corporation%20for%20Digital%20Scholarship%20%E2%80%93%20Bylaws.pdf</t>
        </is>
      </c>
    </row>
  </sheetData>
  <autoFilter ref="A1:AD1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 width="78" customWidth="1" min="3" max="3"/>
    <col width="82" customWidth="1" min="4" max="4"/>
  </cols>
  <sheetData>
    <row r="1" ht="32" customHeight="1">
      <c r="A1" s="1" t="inlineStr">
        <is>
          <t>Variable Code</t>
        </is>
      </c>
      <c r="B1" s="1" t="inlineStr">
        <is>
          <t>Readable Field</t>
        </is>
      </c>
      <c r="C1" s="1" t="inlineStr">
        <is>
          <t>Role in Component</t>
        </is>
      </c>
      <c r="D1" s="1" t="inlineStr">
        <is>
          <t>Verification Guidance</t>
        </is>
      </c>
    </row>
    <row r="2">
      <c r="A2" s="2" t="inlineStr">
        <is>
          <t>024_governance_structure_status</t>
        </is>
      </c>
      <c r="B2" s="2" t="inlineStr">
        <is>
          <t>Governance Structure Status</t>
        </is>
      </c>
      <c r="C2" s="2" t="inlineStr">
        <is>
          <t>Status of a documented governance structure.</t>
        </is>
      </c>
      <c r="D2" s="2" t="inlineStr">
        <is>
          <t>Verify against official governance documentation.</t>
        </is>
      </c>
    </row>
    <row r="3">
      <c r="A3" s="2" t="inlineStr">
        <is>
          <t>025_governance_structure_url</t>
        </is>
      </c>
      <c r="B3" s="2" t="inlineStr">
        <is>
          <t>Governance Structure Url</t>
        </is>
      </c>
      <c r="C3" s="2" t="inlineStr">
        <is>
          <t>Governance structure evidence URL.</t>
        </is>
      </c>
      <c r="D3" s="2" t="inlineStr">
        <is>
          <t>Open and verify.</t>
        </is>
      </c>
    </row>
    <row r="4">
      <c r="A4" s="2" t="inlineStr">
        <is>
          <t>026_governance_records_status</t>
        </is>
      </c>
      <c r="B4" s="2" t="inlineStr">
        <is>
          <t>Governance Records Status</t>
        </is>
      </c>
      <c r="C4" s="2" t="inlineStr">
        <is>
          <t>Status of publicly available governance/decision records.</t>
        </is>
      </c>
      <c r="D4" s="2" t="inlineStr">
        <is>
          <t>Verify minutes, decisions, records or equivalent.</t>
        </is>
      </c>
    </row>
    <row r="5">
      <c r="A5" s="2" t="inlineStr">
        <is>
          <t>027_governance_summary</t>
        </is>
      </c>
      <c r="B5" s="2" t="inlineStr">
        <is>
          <t>Governance Summary</t>
        </is>
      </c>
      <c r="C5" s="2" t="inlineStr">
        <is>
          <t>Narrative description of governance arrangements.</t>
        </is>
      </c>
      <c r="D5" s="2" t="inlineStr">
        <is>
          <t>Check consistency with formal governance documentation.</t>
        </is>
      </c>
    </row>
    <row r="6">
      <c r="A6" s="2" t="inlineStr">
        <is>
          <t>028_governance_records_url</t>
        </is>
      </c>
      <c r="B6" s="2" t="inlineStr">
        <is>
          <t>Governance Records Url</t>
        </is>
      </c>
      <c r="C6" s="2" t="inlineStr">
        <is>
          <t>Governance records evidence URL.</t>
        </is>
      </c>
      <c r="D6" s="2" t="inlineStr">
        <is>
          <t>Open and verify.</t>
        </is>
      </c>
    </row>
    <row r="7">
      <c r="A7" s="2" t="inlineStr">
        <is>
          <t>050_board_structure</t>
        </is>
      </c>
      <c r="B7" s="2" t="inlineStr">
        <is>
          <t>Board Structure</t>
        </is>
      </c>
      <c r="C7" s="2" t="inlineStr">
        <is>
          <t>Reported type of board or steering structure.</t>
        </is>
      </c>
      <c r="D7" s="2" t="inlineStr">
        <is>
          <t>Verify board/steering composition and type.</t>
        </is>
      </c>
    </row>
    <row r="8">
      <c r="A8" s="2" t="inlineStr">
        <is>
          <t>950_board_structure_other</t>
        </is>
      </c>
      <c r="B8" s="2" t="inlineStr">
        <is>
          <t>Board Structure Other</t>
        </is>
      </c>
      <c r="C8" s="2" t="inlineStr">
        <is>
          <t>Other board structure description.</t>
        </is>
      </c>
      <c r="D8" s="2" t="inlineStr">
        <is>
          <t>Verify free-text value.</t>
        </is>
      </c>
    </row>
    <row r="9">
      <c r="A9" s="2" t="inlineStr">
        <is>
          <t>100_board_level</t>
        </is>
      </c>
      <c r="B9" s="2" t="inlineStr">
        <is>
          <t>Board Level</t>
        </is>
      </c>
      <c r="C9" s="2" t="inlineStr">
        <is>
          <t>Reported board representation/level information.</t>
        </is>
      </c>
      <c r="D9" s="2" t="inlineStr">
        <is>
          <t>Verify if present.</t>
        </is>
      </c>
    </row>
    <row r="10">
      <c r="A10" s="2" t="inlineStr">
        <is>
          <t>900_board_level_other</t>
        </is>
      </c>
      <c r="B10" s="2" t="inlineStr">
        <is>
          <t>Board Level Other</t>
        </is>
      </c>
      <c r="C10" s="2" t="inlineStr">
        <is>
          <t>Other board-level information.</t>
        </is>
      </c>
      <c r="D10" s="2" t="inlineStr">
        <is>
          <t>Verify free-text value.</t>
        </is>
      </c>
    </row>
    <row r="11">
      <c r="A11" s="2" t="inlineStr">
        <is>
          <t>108_bylaws_status</t>
        </is>
      </c>
      <c r="B11" s="2" t="inlineStr">
        <is>
          <t>Bylaws Status</t>
        </is>
      </c>
      <c r="C11" s="2" t="inlineStr">
        <is>
          <t>Presence/maturity of bylaws or equivalent formal rules.</t>
        </is>
      </c>
      <c r="D11" s="2" t="inlineStr">
        <is>
          <t>Verify the official bylaws/governing document.</t>
        </is>
      </c>
    </row>
    <row r="12">
      <c r="A12" s="2" t="inlineStr">
        <is>
          <t>029_web_accessibility_status</t>
        </is>
      </c>
      <c r="B12" s="2" t="inlineStr">
        <is>
          <t>Web Accessibility Status</t>
        </is>
      </c>
      <c r="C12" s="2" t="inlineStr">
        <is>
          <t>Status of web accessibility commitment/practice.</t>
        </is>
      </c>
      <c r="D12" s="2" t="inlineStr">
        <is>
          <t>Verify statement or policy.</t>
        </is>
      </c>
    </row>
    <row r="13">
      <c r="A13" s="2" t="inlineStr">
        <is>
          <t>030_web_accessibility_url</t>
        </is>
      </c>
      <c r="B13" s="2" t="inlineStr">
        <is>
          <t>Web Accessibility Url</t>
        </is>
      </c>
      <c r="C13" s="2" t="inlineStr">
        <is>
          <t>Accessibility evidence URL.</t>
        </is>
      </c>
      <c r="D13" s="2" t="inlineStr">
        <is>
          <t>Open and verify.</t>
        </is>
      </c>
    </row>
    <row r="14">
      <c r="A14" s="2" t="inlineStr">
        <is>
          <t>031_web_accessibility_applicability</t>
        </is>
      </c>
      <c r="B14" s="2" t="inlineStr">
        <is>
          <t>Web Accessibility Applicability</t>
        </is>
      </c>
      <c r="C14" s="2" t="inlineStr">
        <is>
          <t>Whether accessibility criterion is applicable.</t>
        </is>
      </c>
      <c r="D14" s="2" t="inlineStr">
        <is>
          <t>Check applicability.</t>
        </is>
      </c>
    </row>
    <row r="15">
      <c r="A15" s="2" t="inlineStr">
        <is>
          <t>033_transparent_pricing_status</t>
        </is>
      </c>
      <c r="B15" s="2" t="inlineStr">
        <is>
          <t>Transparent Pricing Status</t>
        </is>
      </c>
      <c r="C15" s="2" t="inlineStr">
        <is>
          <t>Status of transparent pricing or no direct costs.</t>
        </is>
      </c>
      <c r="D15" s="2" t="inlineStr">
        <is>
          <t>Verify pricing/funding page.</t>
        </is>
      </c>
    </row>
    <row r="16">
      <c r="A16" s="2" t="inlineStr">
        <is>
          <t>034_transparent_pricing_url</t>
        </is>
      </c>
      <c r="B16" s="2" t="inlineStr">
        <is>
          <t>Transparent Pricing Url</t>
        </is>
      </c>
      <c r="C16" s="2" t="inlineStr">
        <is>
          <t>Pricing transparency evidence URL.</t>
        </is>
      </c>
      <c r="D16" s="2" t="inlineStr">
        <is>
          <t>Open and verify.</t>
        </is>
      </c>
    </row>
    <row r="17">
      <c r="A17" s="2" t="inlineStr">
        <is>
          <t>035_commitment_to_equity_status</t>
        </is>
      </c>
      <c r="B17" s="2" t="inlineStr">
        <is>
          <t>Commitment To Equity Status</t>
        </is>
      </c>
      <c r="C17" s="2" t="inlineStr">
        <is>
          <t>Status of an explicit equity commitment.</t>
        </is>
      </c>
      <c r="D17" s="2" t="inlineStr">
        <is>
          <t>Verify policy/statement.</t>
        </is>
      </c>
    </row>
    <row r="18">
      <c r="A18" s="2" t="inlineStr">
        <is>
          <t>036_commitment_to_equity_url</t>
        </is>
      </c>
      <c r="B18" s="2" t="inlineStr">
        <is>
          <t>Commitment To Equity Url</t>
        </is>
      </c>
      <c r="C18" s="2" t="inlineStr">
        <is>
          <t>Equity evidence URL.</t>
        </is>
      </c>
      <c r="D18" s="2" t="inlineStr">
        <is>
          <t>Open and verify.</t>
        </is>
      </c>
    </row>
    <row r="19">
      <c r="A19" s="2" t="inlineStr">
        <is>
          <t>044_commitment_to_privacy_status</t>
        </is>
      </c>
      <c r="B19" s="2" t="inlineStr">
        <is>
          <t>Commitment To Privacy Status</t>
        </is>
      </c>
      <c r="C19" s="2" t="inlineStr">
        <is>
          <t>Status of an explicit privacy commitment.</t>
        </is>
      </c>
      <c r="D19" s="2" t="inlineStr">
        <is>
          <t>Verify privacy policy.</t>
        </is>
      </c>
    </row>
    <row r="20">
      <c r="A20" s="2" t="inlineStr">
        <is>
          <t>045_commitment_to_privacy_url</t>
        </is>
      </c>
      <c r="B20" s="2" t="inlineStr">
        <is>
          <t>Commitment To Privacy Url</t>
        </is>
      </c>
      <c r="C20" s="2" t="inlineStr">
        <is>
          <t>Privacy evidence URL.</t>
        </is>
      </c>
      <c r="D20" s="2" t="inlineStr">
        <is>
          <t>Open and verify.</t>
        </is>
      </c>
    </row>
    <row r="21">
      <c r="A21" s="2" t="inlineStr">
        <is>
          <t>046_values_frameworks</t>
        </is>
      </c>
      <c r="B21" s="2" t="inlineStr">
        <is>
          <t>Values Frameworks</t>
        </is>
      </c>
      <c r="C21" s="2" t="inlineStr">
        <is>
          <t>Values/principles/frameworks explicitly adopted or referenced.</t>
        </is>
      </c>
      <c r="D21" s="2" t="inlineStr">
        <is>
          <t>Verify named frameworks and their relevance.</t>
        </is>
      </c>
    </row>
    <row r="22">
      <c r="A22" s="2" t="inlineStr">
        <is>
          <t>048_community_governance_status</t>
        </is>
      </c>
      <c r="B22" s="2" t="inlineStr">
        <is>
          <t>Community Governance Status</t>
        </is>
      </c>
      <c r="C22" s="2" t="inlineStr">
        <is>
          <t>Extent of community participation in governance.</t>
        </is>
      </c>
      <c r="D22" s="2" t="inlineStr">
        <is>
          <t>Verify whether governance is formal, ad hoc, or absent.</t>
        </is>
      </c>
    </row>
    <row r="23">
      <c r="A23" s="2" t="inlineStr">
        <is>
          <t>049_community_governance_url</t>
        </is>
      </c>
      <c r="B23" s="2" t="inlineStr">
        <is>
          <t>Community Governance Url</t>
        </is>
      </c>
      <c r="C23" s="2" t="inlineStr">
        <is>
          <t>Evidence URL for community governance.</t>
        </is>
      </c>
      <c r="D23" s="2" t="inlineStr">
        <is>
          <t>Open and verify.</t>
        </is>
      </c>
    </row>
  </sheetData>
  <autoFilter ref="A1:D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2026-10-15T11:15:32Z</dcterms:created>
  <dcterms:modified xsi:type="dcterms:W3CDTF">2026-10-15T11:15:32Z</dcterms:modified>
</cp:coreProperties>
</file>