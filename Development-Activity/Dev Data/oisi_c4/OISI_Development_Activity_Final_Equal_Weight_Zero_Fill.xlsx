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oring" sheetId="2" state="visible" r:id="rId2"/>
    <sheet name="Metric Rules" sheetId="3" state="visible" r:id="rId3"/>
    <sheet name="Methodology" sheetId="4" state="visible" r:id="rId4"/>
    <sheet name="Parameters" sheetId="5" state="visible" r:id="rId5"/>
    <sheet name="Diagnostics" sheetId="6" state="visible" r:id="rId6"/>
    <sheet name="Sensitivity" sheetId="7" state="visible" r:id="rId7"/>
    <sheet name="Sensitivity Ranks" sheetId="8" state="visible" r:id="rId8"/>
    <sheet name="Correlations" sheetId="9" state="visible" r:id="rId9"/>
    <sheet name="Coverage" sheetId="10" state="visible" r:id="rId10"/>
    <sheet name="Verification" sheetId="11" state="visible" r:id="rId11"/>
    <sheet name="Calc" sheetId="12" state="visible" r:id="rId12"/>
    <sheet name="Data" sheetId="13" state="visible" r:id="rId13"/>
    <sheet name="Repository Register" sheetId="14" state="visible" r:id="rId14"/>
    <sheet name="Extraction Rules" sheetId="15" state="visible" r:id="rId15"/>
    <sheet name="Data Dictionary" sheetId="16" state="visible" r:id="rId16"/>
  </sheets>
  <definedNames>
    <definedName name="_xlnm._FilterDatabase" localSheetId="0" hidden="1">'Summary'!$A$1:$B$22</definedName>
    <definedName name="_xlnm._FilterDatabase" localSheetId="1" hidden="1">'Scoring'!$A$1:$AA$113</definedName>
    <definedName name="_xlnm._FilterDatabase" localSheetId="2" hidden="1">'Metric Rules'!$A$1:$J$15</definedName>
    <definedName name="_xlnm._FilterDatabase" localSheetId="3" hidden="1">'Methodology'!$A$1:$B$20</definedName>
    <definedName name="_xlnm._FilterDatabase" localSheetId="4" hidden="1">'Parameters'!$A$1:$C$12</definedName>
    <definedName name="_xlnm._FilterDatabase" localSheetId="5" hidden="1">'Diagnostics'!$A$1:$K$24</definedName>
    <definedName name="_xlnm._FilterDatabase" localSheetId="6" hidden="1">'Sensitivity'!$A$1:$J$16</definedName>
    <definedName name="_xlnm._FilterDatabase" localSheetId="7" hidden="1">'Sensitivity Ranks'!$A$1:$S$113</definedName>
    <definedName name="_xlnm._FilterDatabase" localSheetId="8" hidden="1">'Correlations'!$A$1:$E$79</definedName>
    <definedName name="_xlnm._FilterDatabase" localSheetId="9" hidden="1">'Coverage'!$A$1:$T$113</definedName>
    <definedName name="_xlnm._FilterDatabase" localSheetId="10" hidden="1">'Verification'!$A$1:$P$113</definedName>
    <definedName name="_xlnm._FilterDatabase" localSheetId="11" hidden="1">'Calc'!$A$1:$R$113</definedName>
    <definedName name="_xlnm._FilterDatabase" localSheetId="12" hidden="1">'Data'!$A$1:$CU$113</definedName>
    <definedName name="_xlnm._FilterDatabase" localSheetId="13" hidden="1">'Repository Register'!$A$1:$R$113</definedName>
    <definedName name="_xlnm._FilterDatabase" localSheetId="14" hidden="1">'Extraction Rules'!$A$1:$C$15</definedName>
    <definedName name="_xlnm._FilterDatabase" localSheetId="15" hidden="1">'Data Dictionary'!$A$1:$C$9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5B55"/>
      </patternFill>
    </fill>
    <fill>
      <patternFill patternType="solid">
        <fgColor rgb="00FCE9E7"/>
      </patternFill>
    </fill>
  </fills>
  <borders count="2">
    <border>
      <left/>
      <right/>
      <top/>
      <bottom/>
      <diagonal/>
    </border>
    <border>
      <bottom style="hair">
        <color rgb="00D5DF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164" fontId="0" fillId="0" borderId="0" pivotButton="0" quotePrefix="0" xfId="0"/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5B55"/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8" customWidth="1" min="2" max="2"/>
  </cols>
  <sheetData>
    <row r="1" ht="34" customHeight="1">
      <c r="A1" s="1" t="inlineStr">
        <is>
          <t>Development Activity: Equal-Metric Results</t>
        </is>
      </c>
      <c r="B1" s="1" t="inlineStr">
        <is>
          <t>Value</t>
        </is>
      </c>
    </row>
    <row r="2">
      <c r="A2" s="2" t="inlineStr">
        <is>
          <t>Main-list entries</t>
        </is>
      </c>
      <c r="B2" s="2" t="n">
        <v>112</v>
      </c>
    </row>
    <row r="3">
      <c r="A3" s="2" t="inlineStr">
        <is>
          <t>Metrics</t>
        </is>
      </c>
      <c r="B3" s="2" t="n">
        <v>13</v>
      </c>
    </row>
    <row r="4">
      <c r="A4" s="2" t="inlineStr">
        <is>
          <t>Exact weight per metric</t>
        </is>
      </c>
      <c r="B4" s="3" t="n">
        <v>0.07692307692307693</v>
      </c>
    </row>
    <row r="5">
      <c r="A5" s="2" t="inlineStr">
        <is>
          <t>Displayed weight per metric</t>
        </is>
      </c>
      <c r="B5" s="2" t="inlineStr">
        <is>
          <t>7.69%</t>
        </is>
      </c>
    </row>
    <row r="6">
      <c r="A6" s="2" t="inlineStr">
        <is>
          <t>Final score denominator</t>
        </is>
      </c>
      <c r="B6" s="2" t="n">
        <v>13</v>
      </c>
    </row>
    <row r="7">
      <c r="A7" s="2" t="inlineStr">
        <is>
          <t>Overall coverage eligibility rule</t>
        </is>
      </c>
      <c r="B7" s="2" t="inlineStr">
        <is>
          <t>None</t>
        </is>
      </c>
    </row>
    <row r="8">
      <c r="A8" s="2" t="inlineStr">
        <is>
          <t>Unavailable metric treatment</t>
        </is>
      </c>
      <c r="B8" s="2" t="inlineStr">
        <is>
          <t>0 in final score</t>
        </is>
      </c>
    </row>
    <row r="9">
      <c r="A9" s="2" t="inlineStr">
        <is>
          <t>Mean zero-filled score</t>
        </is>
      </c>
      <c r="B9" s="4">
        <f>AVERAGE(Scoring!U2:U113)</f>
        <v>45.6722733516484</v>
      </c>
    </row>
    <row r="10">
      <c r="A10" s="2" t="inlineStr">
        <is>
          <t>Median zero-filled score</t>
        </is>
      </c>
      <c r="B10" s="4">
        <f>MEDIAN(Scoring!U2:U113)</f>
        <v>51.6584615384615</v>
      </c>
    </row>
    <row r="11">
      <c r="A11" s="2" t="inlineStr">
        <is>
          <t>Minimum score</t>
        </is>
      </c>
      <c r="B11" s="4">
        <f>MIN(Scoring!U2:U113)</f>
        <v>0</v>
      </c>
    </row>
    <row r="12">
      <c r="A12" s="2" t="inlineStr">
        <is>
          <t>Maximum score</t>
        </is>
      </c>
      <c r="B12" s="4">
        <f>MAX(Scoring!U2:U113)</f>
        <v>93.3953846153846</v>
      </c>
    </row>
    <row r="13">
      <c r="A13" s="2" t="inlineStr">
        <is>
          <t>Mean observed coverage</t>
        </is>
      </c>
      <c r="B13" s="5">
        <f>AVERAGE(Coverage!Q2:Q113)</f>
        <v>0.771291208791209</v>
      </c>
    </row>
    <row r="14">
      <c r="A14" s="2" t="inlineStr">
        <is>
          <t>Entries with all 13 metrics observed</t>
        </is>
      </c>
      <c r="B14" s="2" t="n">
        <v>45</v>
      </c>
    </row>
    <row r="15">
      <c r="A15" s="2" t="inlineStr">
        <is>
          <t>Register assessable=yes</t>
        </is>
      </c>
      <c r="B15" s="2" t="n">
        <v>102</v>
      </c>
    </row>
    <row r="16">
      <c r="A16" s="2" t="inlineStr">
        <is>
          <t>Register assessable=no</t>
        </is>
      </c>
      <c r="B16" s="2" t="n">
        <v>10</v>
      </c>
    </row>
    <row r="17">
      <c r="A17" s="2" t="inlineStr">
        <is>
          <t>Mean final score (Python check)</t>
        </is>
      </c>
      <c r="B17" s="2" t="n">
        <v>45.67227335164835</v>
      </c>
    </row>
    <row r="18">
      <c r="A18" s="2" t="inlineStr">
        <is>
          <t>Repository register input</t>
        </is>
      </c>
      <c r="B18" s="2" t="inlineStr">
        <is>
          <t>repos.csv</t>
        </is>
      </c>
    </row>
    <row r="19">
      <c r="A19" s="2" t="inlineStr">
        <is>
          <t>Git metrics input</t>
        </is>
      </c>
      <c r="B19" s="2" t="inlineStr">
        <is>
          <t>git_metrics.csv</t>
        </is>
      </c>
    </row>
    <row r="20">
      <c r="A20" s="2" t="inlineStr">
        <is>
          <t>GitHub/API input</t>
        </is>
      </c>
      <c r="B20" s="2" t="inlineStr">
        <is>
          <t>gh_metrics.csv</t>
        </is>
      </c>
    </row>
    <row r="21">
      <c r="A21" s="2" t="inlineStr">
        <is>
          <t>Manual metrics input</t>
        </is>
      </c>
      <c r="B21" s="2" t="inlineStr">
        <is>
          <t>manual_metrics.csv</t>
        </is>
      </c>
    </row>
    <row r="22">
      <c r="A22" s="2" t="inlineStr">
        <is>
          <t>Interpretation</t>
        </is>
      </c>
      <c r="B22" s="2" t="inlineStr">
        <is>
          <t>Zero-filled results include missingness/platform availability; review status and metric-level diagnostics before comparing.</t>
        </is>
      </c>
    </row>
  </sheetData>
  <autoFilter ref="A1:B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45B55"/>
    <outlinePr summaryBelow="1" summaryRight="1"/>
    <pageSetUpPr/>
  </sheetPr>
  <dimension ref="A1:AA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32" customWidth="1" min="4" max="4"/>
    <col width="60" customWidth="1" min="5" max="5"/>
    <col width="18" customWidth="1" min="6" max="6"/>
    <col width="20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9" customWidth="1" min="21" max="21"/>
    <col width="18" customWidth="1" min="22" max="22"/>
    <col width="24" customWidth="1" min="23" max="23"/>
    <col width="18" customWidth="1" min="24" max="24"/>
    <col width="20" customWidth="1" min="25" max="25"/>
    <col width="72" customWidth="1" min="26" max="26"/>
    <col width="100" customWidth="1" min="27" max="27"/>
  </cols>
  <sheetData>
    <row r="1" ht="34" customHeight="1">
      <c r="A1" s="1" t="inlineStr">
        <is>
          <t>OISI ID</t>
        </is>
      </c>
      <c r="B1" s="1" t="inlineStr">
        <is>
          <t>Infrastructure</t>
        </is>
      </c>
      <c r="C1" s="1" t="inlineStr">
        <is>
          <t>Classification</t>
        </is>
      </c>
      <c r="D1" s="1" t="inlineStr">
        <is>
          <t>Repository status</t>
        </is>
      </c>
      <c r="E1" s="1" t="inlineStr">
        <is>
          <t>Primary repo(s)</t>
        </is>
      </c>
      <c r="F1" s="1" t="inlineStr">
        <is>
          <t>Git status</t>
        </is>
      </c>
      <c r="G1" s="1" t="inlineStr">
        <is>
          <t>GitHub/API status</t>
        </is>
      </c>
      <c r="H1" s="1" t="inlineStr">
        <is>
          <t>m1_commits</t>
        </is>
      </c>
      <c r="I1" s="1" t="inlineStr">
        <is>
          <t>m2_active_weeks</t>
        </is>
      </c>
      <c r="J1" s="1" t="inlineStr">
        <is>
          <t>m3_recency</t>
        </is>
      </c>
      <c r="K1" s="1" t="inlineStr">
        <is>
          <t>m4_releases</t>
        </is>
      </c>
      <c r="L1" s="1" t="inlineStr">
        <is>
          <t>m5_contributors</t>
        </is>
      </c>
      <c r="M1" s="1" t="inlineStr">
        <is>
          <t>m6_effective_contributors</t>
        </is>
      </c>
      <c r="N1" s="1" t="inlineStr">
        <is>
          <t>m7_retention</t>
        </is>
      </c>
      <c r="O1" s="1" t="inlineStr">
        <is>
          <t>m8_issue_response</t>
        </is>
      </c>
      <c r="P1" s="1" t="inlineStr">
        <is>
          <t>m9_pr_response</t>
        </is>
      </c>
      <c r="Q1" s="1" t="inlineStr">
        <is>
          <t>m10_issue_close90</t>
        </is>
      </c>
      <c r="R1" s="1" t="inlineStr">
        <is>
          <t>m11_pr_decision30</t>
        </is>
      </c>
      <c r="S1" s="1" t="inlineStr">
        <is>
          <t>m12_stars</t>
        </is>
      </c>
      <c r="T1" s="1" t="inlineStr">
        <is>
          <t>m13_forks</t>
        </is>
      </c>
      <c r="U1" s="1" t="inlineStr">
        <is>
          <t>Final score / 100</t>
        </is>
      </c>
      <c r="V1" s="1" t="inlineStr">
        <is>
          <t>Rank (average ties)</t>
        </is>
      </c>
      <c r="W1" s="1" t="inlineStr">
        <is>
          <t>Available metrics (of 13)</t>
        </is>
      </c>
      <c r="X1" s="1" t="inlineStr">
        <is>
          <t>Observed coverage</t>
        </is>
      </c>
      <c r="Y1" s="1" t="inlineStr">
        <is>
          <t>Observed-only mean</t>
        </is>
      </c>
      <c r="Z1" s="1" t="inlineStr">
        <is>
          <t>Assessment interpretation</t>
        </is>
      </c>
      <c r="AA1" s="1" t="inlineStr">
        <is>
          <t>Data-quality notes</t>
        </is>
      </c>
    </row>
    <row r="2">
      <c r="A2" s="2" t="inlineStr">
        <is>
          <t>C4-001</t>
        </is>
      </c>
      <c r="B2" s="2" t="inlineStr">
        <is>
          <t>2i2c</t>
        </is>
      </c>
      <c r="C2" s="2" t="inlineStr">
        <is>
          <t>software</t>
        </is>
      </c>
      <c r="D2" s="2" t="inlineStr">
        <is>
          <t>Ready</t>
        </is>
      </c>
      <c r="E2" s="2" t="inlineStr">
        <is>
          <t>2i2c-org/infrastructure</t>
        </is>
      </c>
      <c r="F2" s="2" t="inlineStr">
        <is>
          <t>complete</t>
        </is>
      </c>
      <c r="G2" s="2" t="inlineStr">
        <is>
          <t>complete</t>
        </is>
      </c>
      <c r="H2" s="4">
        <f>Calc!H2</f>
        <v>100</v>
      </c>
      <c r="I2" s="4">
        <f>Calc!I2</f>
        <v>100</v>
      </c>
      <c r="J2" s="4">
        <f>Calc!J2</f>
        <v>100</v>
      </c>
      <c r="K2" s="4">
        <f>Calc!K2</f>
        <v>0</v>
      </c>
      <c r="L2" s="4">
        <f>Calc!L2</f>
        <v>100</v>
      </c>
      <c r="M2" s="4">
        <f>Calc!M2</f>
        <v>76.91</v>
      </c>
      <c r="N2" s="4">
        <f>Calc!N2</f>
        <v>100</v>
      </c>
      <c r="O2" s="4">
        <f>Calc!O2</f>
        <v>40.74</v>
      </c>
      <c r="P2" s="4">
        <f>Calc!P2</f>
        <v>18.67</v>
      </c>
      <c r="Q2" s="4">
        <f>Calc!Q2</f>
        <v>70.53</v>
      </c>
      <c r="R2" s="4">
        <f>Calc!R2</f>
        <v>98.64</v>
      </c>
      <c r="S2" s="4">
        <f>Calc!S2</f>
        <v>40.13</v>
      </c>
      <c r="T2" s="4">
        <f>Calc!T2</f>
        <v>67.94</v>
      </c>
      <c r="U2" s="4">
        <f>AVERAGE(H2:T2)</f>
        <v>70.2738461538462</v>
      </c>
      <c r="V2" s="4">
        <f>RANK(U2,$U$2:$U$113,0)+(COUNTIF($U$2:$U$113,U2)-1)/2</f>
        <v>25</v>
      </c>
      <c r="W2" s="2">
        <f>Coverage!P2</f>
        <v>13</v>
      </c>
      <c r="X2" s="5">
        <f>Coverage!Q2</f>
        <v>1</v>
      </c>
      <c r="Y2" s="4">
        <f>Coverage!R2</f>
        <v>70.2738461538462</v>
      </c>
      <c r="Z2" s="2" t="inlineStr">
        <is>
          <t>Repository marked assessable in register</t>
        </is>
      </c>
      <c r="AA2" s="2" t="inlineStr">
        <is>
          <t>No missing metric inputs flagged by pipeline availability checks</t>
        </is>
      </c>
    </row>
    <row r="3">
      <c r="A3" s="2" t="inlineStr">
        <is>
          <t>C4-002</t>
        </is>
      </c>
      <c r="B3" s="2" t="inlineStr">
        <is>
          <t>Academic Preservation Trust (APTrust)</t>
        </is>
      </c>
      <c r="C3" s="2" t="inlineStr">
        <is>
          <t>software</t>
        </is>
      </c>
      <c r="D3" s="2" t="inlineStr">
        <is>
          <t>Ready</t>
        </is>
      </c>
      <c r="E3" s="2" t="inlineStr">
        <is>
          <t>APTrust/registry</t>
        </is>
      </c>
      <c r="F3" s="2" t="inlineStr">
        <is>
          <t>complete</t>
        </is>
      </c>
      <c r="G3" s="2" t="inlineStr">
        <is>
          <t>complete</t>
        </is>
      </c>
      <c r="H3" s="4">
        <f>Calc!H3</f>
        <v>73.19</v>
      </c>
      <c r="I3" s="4">
        <f>Calc!I3</f>
        <v>53.85</v>
      </c>
      <c r="J3" s="4">
        <f>Calc!J3</f>
        <v>100</v>
      </c>
      <c r="K3" s="4">
        <f>Calc!K3</f>
        <v>0</v>
      </c>
      <c r="L3" s="4">
        <f>Calc!L3</f>
        <v>40</v>
      </c>
      <c r="M3" s="4">
        <f>Calc!M3</f>
        <v>43.48</v>
      </c>
      <c r="N3" s="4">
        <f>Calc!N3</f>
        <v>75</v>
      </c>
      <c r="O3" s="4">
        <f>Calc!O3</f>
        <v>0</v>
      </c>
      <c r="P3" s="4">
        <f>Calc!P3</f>
        <v>58.33</v>
      </c>
      <c r="Q3" s="4">
        <f>Calc!Q3</f>
        <v>0</v>
      </c>
      <c r="R3" s="4">
        <f>Calc!R3</f>
        <v>66.67</v>
      </c>
      <c r="S3" s="4">
        <f>Calc!S3</f>
        <v>0</v>
      </c>
      <c r="T3" s="4">
        <f>Calc!T3</f>
        <v>0</v>
      </c>
      <c r="U3" s="4">
        <f>AVERAGE(H3:T3)</f>
        <v>39.2707692307692</v>
      </c>
      <c r="V3" s="4">
        <f>RANK(U3,$U$2:$U$113,0)+(COUNTIF($U$2:$U$113,U3)-1)/2</f>
        <v>71</v>
      </c>
      <c r="W3" s="2">
        <f>Coverage!P3</f>
        <v>13</v>
      </c>
      <c r="X3" s="5">
        <f>Coverage!Q3</f>
        <v>1</v>
      </c>
      <c r="Y3" s="4">
        <f>Coverage!R3</f>
        <v>39.2707692307692</v>
      </c>
      <c r="Z3" s="2" t="inlineStr">
        <is>
          <t>Repository marked assessable in register</t>
        </is>
      </c>
      <c r="AA3" s="2" t="inlineStr">
        <is>
          <t>No missing metric inputs flagged by pipeline availability checks</t>
        </is>
      </c>
    </row>
    <row r="4">
      <c r="A4" s="6" t="inlineStr">
        <is>
          <t>C4-003</t>
        </is>
      </c>
      <c r="B4" s="6" t="inlineStr">
        <is>
          <t>AfricArXiv</t>
        </is>
      </c>
      <c r="C4" s="6" t="inlineStr">
        <is>
          <t>not-assessable</t>
        </is>
      </c>
      <c r="D4" s="6" t="inlineStr">
        <is>
          <t>Not assessable</t>
        </is>
      </c>
      <c r="E4" s="6" t="inlineStr"/>
      <c r="F4" s="6" t="n"/>
      <c r="G4" s="6" t="n"/>
      <c r="H4" s="7">
        <f>Calc!H4</f>
        <v>0</v>
      </c>
      <c r="I4" s="7">
        <f>Calc!I4</f>
        <v>0</v>
      </c>
      <c r="J4" s="7">
        <f>Calc!J4</f>
        <v>0</v>
      </c>
      <c r="K4" s="7">
        <f>Calc!K4</f>
        <v>0</v>
      </c>
      <c r="L4" s="7">
        <f>Calc!L4</f>
        <v>0</v>
      </c>
      <c r="M4" s="7">
        <f>Calc!M4</f>
        <v>0</v>
      </c>
      <c r="N4" s="7">
        <f>Calc!N4</f>
        <v>0</v>
      </c>
      <c r="O4" s="7">
        <f>Calc!O4</f>
        <v>0</v>
      </c>
      <c r="P4" s="7">
        <f>Calc!P4</f>
        <v>0</v>
      </c>
      <c r="Q4" s="7">
        <f>Calc!Q4</f>
        <v>0</v>
      </c>
      <c r="R4" s="7">
        <f>Calc!R4</f>
        <v>0</v>
      </c>
      <c r="S4" s="7">
        <f>Calc!S4</f>
        <v>0</v>
      </c>
      <c r="T4" s="7">
        <f>Calc!T4</f>
        <v>0</v>
      </c>
      <c r="U4" s="7">
        <f>AVERAGE(H4:T4)</f>
        <v>0</v>
      </c>
      <c r="V4" s="7">
        <f>RANK(U4,$U$2:$U$113,0)+(COUNTIF($U$2:$U$113,U4)-1)/2</f>
        <v>106</v>
      </c>
      <c r="W4" s="6">
        <f>Coverage!P4</f>
        <v>0</v>
      </c>
      <c r="X4" s="8">
        <f>Coverage!Q4</f>
        <v>0</v>
      </c>
      <c r="Y4" s="7">
        <f>Coverage!R4</f>
        <v>0</v>
      </c>
      <c r="Z4" s="6" t="inlineStr">
        <is>
          <t>NOT ASSESSABLE / EXCLUDED: numeric zero is a policy zero-fill, not measured inactivity</t>
        </is>
      </c>
      <c r="AA4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5">
      <c r="A5" s="2" t="inlineStr">
        <is>
          <t>C4-004</t>
        </is>
      </c>
      <c r="B5" s="2" t="inlineStr">
        <is>
          <t>Arches Heritage Data Management Platform</t>
        </is>
      </c>
      <c r="C5" s="2" t="inlineStr">
        <is>
          <t>software</t>
        </is>
      </c>
      <c r="D5" s="2" t="inlineStr">
        <is>
          <t>Ready</t>
        </is>
      </c>
      <c r="E5" s="2" t="inlineStr">
        <is>
          <t>archesproject/arches</t>
        </is>
      </c>
      <c r="F5" s="2" t="inlineStr">
        <is>
          <t>complete</t>
        </is>
      </c>
      <c r="G5" s="2" t="inlineStr">
        <is>
          <t>complete</t>
        </is>
      </c>
      <c r="H5" s="4">
        <f>Calc!H5</f>
        <v>94.95</v>
      </c>
      <c r="I5" s="4">
        <f>Calc!I5</f>
        <v>98.08</v>
      </c>
      <c r="J5" s="4">
        <f>Calc!J5</f>
        <v>100</v>
      </c>
      <c r="K5" s="4">
        <f>Calc!K5</f>
        <v>100</v>
      </c>
      <c r="L5" s="4">
        <f>Calc!L5</f>
        <v>95.1</v>
      </c>
      <c r="M5" s="4">
        <f>Calc!M5</f>
        <v>92.4</v>
      </c>
      <c r="N5" s="4">
        <f>Calc!N5</f>
        <v>100</v>
      </c>
      <c r="O5" s="4">
        <f>Calc!O5</f>
        <v>30.3</v>
      </c>
      <c r="P5" s="4">
        <f>Calc!P5</f>
        <v>77.46</v>
      </c>
      <c r="Q5" s="4">
        <f>Calc!Q5</f>
        <v>44.44</v>
      </c>
      <c r="R5" s="4">
        <f>Calc!R5</f>
        <v>88.67</v>
      </c>
      <c r="S5" s="4">
        <f>Calc!S5</f>
        <v>52.27</v>
      </c>
      <c r="T5" s="4">
        <f>Calc!T5</f>
        <v>61.39</v>
      </c>
      <c r="U5" s="4">
        <f>AVERAGE(H5:T5)</f>
        <v>79.62</v>
      </c>
      <c r="V5" s="4">
        <f>RANK(U5,$U$2:$U$113,0)+(COUNTIF($U$2:$U$113,U5)-1)/2</f>
        <v>9</v>
      </c>
      <c r="W5" s="2">
        <f>Coverage!P5</f>
        <v>13</v>
      </c>
      <c r="X5" s="5">
        <f>Coverage!Q5</f>
        <v>1</v>
      </c>
      <c r="Y5" s="4">
        <f>Coverage!R5</f>
        <v>79.62</v>
      </c>
      <c r="Z5" s="2" t="inlineStr">
        <is>
          <t>Repository marked assessable in register</t>
        </is>
      </c>
      <c r="AA5" s="2" t="inlineStr">
        <is>
          <t>No missing metric inputs flagged by pipeline availability checks</t>
        </is>
      </c>
    </row>
    <row r="6">
      <c r="A6" s="2" t="inlineStr">
        <is>
          <t>C4-005</t>
        </is>
      </c>
      <c r="B6" s="2" t="inlineStr">
        <is>
          <t>Archipelago Commons</t>
        </is>
      </c>
      <c r="C6" s="2" t="inlineStr">
        <is>
          <t>software</t>
        </is>
      </c>
      <c r="D6" s="2" t="inlineStr">
        <is>
          <t>Org URL -&gt; core module set</t>
        </is>
      </c>
      <c r="E6" s="2" t="inlineStr">
        <is>
          <t>esmero/strawberryfield;esmero/format_strawberryfield;esmero/webform_strawberryfield;esmero/strawberry_runners;esmero/ami;esmero/archipelago-deployment</t>
        </is>
      </c>
      <c r="F6" s="2" t="inlineStr">
        <is>
          <t>complete</t>
        </is>
      </c>
      <c r="G6" s="2" t="inlineStr">
        <is>
          <t>complete</t>
        </is>
      </c>
      <c r="H6" s="4">
        <f>Calc!H6</f>
        <v>75.64</v>
      </c>
      <c r="I6" s="4">
        <f>Calc!I6</f>
        <v>34.62</v>
      </c>
      <c r="J6" s="4">
        <f>Calc!J6</f>
        <v>100</v>
      </c>
      <c r="K6" s="4">
        <f>Calc!K6</f>
        <v>100</v>
      </c>
      <c r="L6" s="4">
        <f>Calc!L6</f>
        <v>31.7</v>
      </c>
      <c r="M6" s="4">
        <f>Calc!M6</f>
        <v>1.89</v>
      </c>
      <c r="N6" s="4">
        <f>Calc!N6</f>
        <v>25</v>
      </c>
      <c r="O6" s="4">
        <f>Calc!O6</f>
        <v>0</v>
      </c>
      <c r="P6" s="4">
        <f>Calc!P6</f>
        <v>17.58</v>
      </c>
      <c r="Q6" s="4">
        <f>Calc!Q6</f>
        <v>0</v>
      </c>
      <c r="R6" s="4">
        <f>Calc!R6</f>
        <v>83.53</v>
      </c>
      <c r="S6" s="4">
        <f>Calc!S6</f>
        <v>15.9</v>
      </c>
      <c r="T6" s="4">
        <f>Calc!T6</f>
        <v>34.87</v>
      </c>
      <c r="U6" s="4">
        <f>AVERAGE(H6:T6)</f>
        <v>40.0561538461538</v>
      </c>
      <c r="V6" s="4">
        <f>RANK(U6,$U$2:$U$113,0)+(COUNTIF($U$2:$U$113,U6)-1)/2</f>
        <v>69</v>
      </c>
      <c r="W6" s="2">
        <f>Coverage!P6</f>
        <v>11</v>
      </c>
      <c r="X6" s="5">
        <f>Coverage!Q6</f>
        <v>0.846153846153846</v>
      </c>
      <c r="Y6" s="4">
        <f>Coverage!R6</f>
        <v>47.3390909090909</v>
      </c>
      <c r="Z6" s="2" t="inlineStr">
        <is>
          <t>Repository marked assessable in register</t>
        </is>
      </c>
      <c r="AA6" s="2" t="inlineStr">
        <is>
          <t>m8_issue_response below minimum eligible sample (n=8); scored 0; m10_issue_close90 below minimum eligible sample (n=6); scored 0</t>
        </is>
      </c>
    </row>
    <row r="7">
      <c r="A7" s="2" t="inlineStr">
        <is>
          <t>C4-006</t>
        </is>
      </c>
      <c r="B7" s="2" t="inlineStr">
        <is>
          <t>Archival Resource Key</t>
        </is>
      </c>
      <c r="C7" s="2" t="inlineStr">
        <is>
          <t>standard</t>
        </is>
      </c>
      <c r="D7" s="2" t="inlineStr">
        <is>
          <t>Resolved URL -&gt; scoreable standard repo</t>
        </is>
      </c>
      <c r="E7" s="2" t="inlineStr">
        <is>
          <t>arks-org/arks.github.io</t>
        </is>
      </c>
      <c r="F7" s="2" t="inlineStr">
        <is>
          <t>complete</t>
        </is>
      </c>
      <c r="G7" s="2" t="n"/>
      <c r="H7" s="4">
        <f>Calc!H7</f>
        <v>51.04</v>
      </c>
      <c r="I7" s="4">
        <f>Calc!I7</f>
        <v>23.08</v>
      </c>
      <c r="J7" s="4">
        <f>Calc!J7</f>
        <v>100</v>
      </c>
      <c r="K7" s="4">
        <f>Calc!K7</f>
        <v>50</v>
      </c>
      <c r="L7" s="4">
        <f>Calc!L7</f>
        <v>46.44</v>
      </c>
      <c r="M7" s="4">
        <f>Calc!M7</f>
        <v>34.75</v>
      </c>
      <c r="N7" s="4">
        <f>Calc!N7</f>
        <v>0</v>
      </c>
      <c r="O7" s="4">
        <f>Calc!O7</f>
        <v>0</v>
      </c>
      <c r="P7" s="4">
        <f>Calc!P7</f>
        <v>0</v>
      </c>
      <c r="Q7" s="4">
        <f>Calc!Q7</f>
        <v>0</v>
      </c>
      <c r="R7" s="4">
        <f>Calc!R7</f>
        <v>0</v>
      </c>
      <c r="S7" s="4">
        <f>Calc!S7</f>
        <v>0</v>
      </c>
      <c r="T7" s="4">
        <f>Calc!T7</f>
        <v>0</v>
      </c>
      <c r="U7" s="4">
        <f>AVERAGE(H7:T7)</f>
        <v>23.4853846153846</v>
      </c>
      <c r="V7" s="4">
        <f>RANK(U7,$U$2:$U$113,0)+(COUNTIF($U$2:$U$113,U7)-1)/2</f>
        <v>83</v>
      </c>
      <c r="W7" s="2">
        <f>Coverage!P7</f>
        <v>7</v>
      </c>
      <c r="X7" s="5">
        <f>Coverage!Q7</f>
        <v>0.538461538461538</v>
      </c>
      <c r="Y7" s="4">
        <f>Coverage!R7</f>
        <v>43.6157142857143</v>
      </c>
      <c r="Z7" s="2" t="inlineStr">
        <is>
          <t>Repository marked assessable in register</t>
        </is>
      </c>
      <c r="AA7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8">
      <c r="A8" s="2" t="inlineStr">
        <is>
          <t>C4-007</t>
        </is>
      </c>
      <c r="B8" s="2" t="inlineStr">
        <is>
          <t>Archivematica</t>
        </is>
      </c>
      <c r="C8" s="2" t="inlineStr">
        <is>
          <t>software</t>
        </is>
      </c>
      <c r="D8" s="2" t="inlineStr">
        <is>
          <t>Ready</t>
        </is>
      </c>
      <c r="E8" s="2" t="inlineStr">
        <is>
          <t>artefactual/archivematica</t>
        </is>
      </c>
      <c r="F8" s="2" t="inlineStr">
        <is>
          <t>complete</t>
        </is>
      </c>
      <c r="G8" s="2" t="inlineStr">
        <is>
          <t>complete</t>
        </is>
      </c>
      <c r="H8" s="4">
        <f>Calc!H8</f>
        <v>73.82</v>
      </c>
      <c r="I8" s="4">
        <f>Calc!I8</f>
        <v>73.08</v>
      </c>
      <c r="J8" s="4">
        <f>Calc!J8</f>
        <v>100</v>
      </c>
      <c r="K8" s="4">
        <f>Calc!K8</f>
        <v>75</v>
      </c>
      <c r="L8" s="4">
        <f>Calc!L8</f>
        <v>46.44</v>
      </c>
      <c r="M8" s="4">
        <f>Calc!M8</f>
        <v>41.9</v>
      </c>
      <c r="N8" s="4">
        <f>Calc!N8</f>
        <v>50</v>
      </c>
      <c r="O8" s="4">
        <f>Calc!O8</f>
        <v>47.5</v>
      </c>
      <c r="P8" s="4">
        <f>Calc!P8</f>
        <v>54.95</v>
      </c>
      <c r="Q8" s="4">
        <f>Calc!Q8</f>
        <v>29.55</v>
      </c>
      <c r="R8" s="4">
        <f>Calc!R8</f>
        <v>86.54</v>
      </c>
      <c r="S8" s="4">
        <f>Calc!S8</f>
        <v>59.26</v>
      </c>
      <c r="T8" s="4">
        <f>Calc!T8</f>
        <v>60.08</v>
      </c>
      <c r="U8" s="4">
        <f>AVERAGE(H8:T8)</f>
        <v>61.3938461538462</v>
      </c>
      <c r="V8" s="4">
        <f>RANK(U8,$U$2:$U$113,0)+(COUNTIF($U$2:$U$113,U8)-1)/2</f>
        <v>40</v>
      </c>
      <c r="W8" s="2">
        <f>Coverage!P8</f>
        <v>13</v>
      </c>
      <c r="X8" s="5">
        <f>Coverage!Q8</f>
        <v>1</v>
      </c>
      <c r="Y8" s="4">
        <f>Coverage!R8</f>
        <v>61.3938461538462</v>
      </c>
      <c r="Z8" s="2" t="inlineStr">
        <is>
          <t>Repository marked assessable in register</t>
        </is>
      </c>
      <c r="AA8" s="2" t="inlineStr">
        <is>
          <t>No missing metric inputs flagged by pipeline availability checks</t>
        </is>
      </c>
    </row>
    <row r="9">
      <c r="A9" s="2" t="inlineStr">
        <is>
          <t>C4-008</t>
        </is>
      </c>
      <c r="B9" s="2" t="inlineStr">
        <is>
          <t>ArchivesSpace</t>
        </is>
      </c>
      <c r="C9" s="2" t="inlineStr">
        <is>
          <t>software</t>
        </is>
      </c>
      <c r="D9" s="2" t="inlineStr">
        <is>
          <t>Ready</t>
        </is>
      </c>
      <c r="E9" s="2" t="inlineStr">
        <is>
          <t>archivesspace/archivesspace</t>
        </is>
      </c>
      <c r="F9" s="2" t="inlineStr">
        <is>
          <t>complete</t>
        </is>
      </c>
      <c r="G9" s="2" t="inlineStr">
        <is>
          <t>complete</t>
        </is>
      </c>
      <c r="H9" s="4">
        <f>Calc!H9</f>
        <v>92.66</v>
      </c>
      <c r="I9" s="4">
        <f>Calc!I9</f>
        <v>98.08</v>
      </c>
      <c r="J9" s="4">
        <f>Calc!J9</f>
        <v>100</v>
      </c>
      <c r="K9" s="4">
        <f>Calc!K9</f>
        <v>100</v>
      </c>
      <c r="L9" s="4">
        <f>Calc!L9</f>
        <v>100</v>
      </c>
      <c r="M9" s="4">
        <f>Calc!M9</f>
        <v>92.4</v>
      </c>
      <c r="N9" s="4">
        <f>Calc!N9</f>
        <v>100</v>
      </c>
      <c r="O9" s="4">
        <f>Calc!O9</f>
        <v>41.18</v>
      </c>
      <c r="P9" s="4">
        <f>Calc!P9</f>
        <v>89.69</v>
      </c>
      <c r="Q9" s="4">
        <f>Calc!Q9</f>
        <v>25</v>
      </c>
      <c r="R9" s="4">
        <f>Calc!R9</f>
        <v>89.77</v>
      </c>
      <c r="S9" s="4">
        <f>Calc!S9</f>
        <v>60.42</v>
      </c>
      <c r="T9" s="4">
        <f>Calc!T9</f>
        <v>63.8</v>
      </c>
      <c r="U9" s="4">
        <f>AVERAGE(H9:T9)</f>
        <v>81</v>
      </c>
      <c r="V9" s="4">
        <f>RANK(U9,$U$2:$U$113,0)+(COUNTIF($U$2:$U$113,U9)-1)/2</f>
        <v>8</v>
      </c>
      <c r="W9" s="2">
        <f>Coverage!P9</f>
        <v>13</v>
      </c>
      <c r="X9" s="5">
        <f>Coverage!Q9</f>
        <v>1</v>
      </c>
      <c r="Y9" s="4">
        <f>Coverage!R9</f>
        <v>81</v>
      </c>
      <c r="Z9" s="2" t="inlineStr">
        <is>
          <t>Repository marked assessable in register</t>
        </is>
      </c>
      <c r="AA9" s="2" t="inlineStr">
        <is>
          <t>No missing metric inputs flagged by pipeline availability checks</t>
        </is>
      </c>
    </row>
    <row r="10">
      <c r="A10" s="2" t="inlineStr">
        <is>
          <t>C4-009</t>
        </is>
      </c>
      <c r="B10" s="2" t="inlineStr">
        <is>
          <t>ARGOS</t>
        </is>
      </c>
      <c r="C10" s="2" t="inlineStr">
        <is>
          <t>software</t>
        </is>
      </c>
      <c r="D10" s="2" t="inlineStr">
        <is>
          <t>Keep (flag)</t>
        </is>
      </c>
      <c r="E10" s="2" t="inlineStr">
        <is>
          <t>OpenCDMP/OpenCDMP</t>
        </is>
      </c>
      <c r="F10" s="2" t="inlineStr">
        <is>
          <t>complete</t>
        </is>
      </c>
      <c r="G10" s="2" t="inlineStr">
        <is>
          <t>complete</t>
        </is>
      </c>
      <c r="H10" s="4">
        <f>Calc!H10</f>
        <v>23.3</v>
      </c>
      <c r="I10" s="4">
        <f>Calc!I10</f>
        <v>7.69</v>
      </c>
      <c r="J10" s="4">
        <f>Calc!J10</f>
        <v>52.13</v>
      </c>
      <c r="K10" s="4">
        <f>Calc!K10</f>
        <v>75</v>
      </c>
      <c r="L10" s="4">
        <f>Calc!L10</f>
        <v>0</v>
      </c>
      <c r="M10" s="4">
        <f>Calc!M10</f>
        <v>0</v>
      </c>
      <c r="N10" s="4">
        <f>Calc!N10</f>
        <v>0</v>
      </c>
      <c r="O10" s="4">
        <f>Calc!O10</f>
        <v>0</v>
      </c>
      <c r="P10" s="4">
        <f>Calc!P10</f>
        <v>0</v>
      </c>
      <c r="Q10" s="4">
        <f>Calc!Q10</f>
        <v>0</v>
      </c>
      <c r="R10" s="4">
        <f>Calc!R10</f>
        <v>0</v>
      </c>
      <c r="S10" s="4">
        <f>Calc!S10</f>
        <v>15.9</v>
      </c>
      <c r="T10" s="4">
        <f>Calc!T10</f>
        <v>23.8</v>
      </c>
      <c r="U10" s="4">
        <f>AVERAGE(H10:T10)</f>
        <v>15.2169230769231</v>
      </c>
      <c r="V10" s="4">
        <f>RANK(U10,$U$2:$U$113,0)+(COUNTIF($U$2:$U$113,U10)-1)/2</f>
        <v>93</v>
      </c>
      <c r="W10" s="2">
        <f>Coverage!P10</f>
        <v>9</v>
      </c>
      <c r="X10" s="5">
        <f>Coverage!Q10</f>
        <v>0.692307692307692</v>
      </c>
      <c r="Y10" s="4">
        <f>Coverage!R10</f>
        <v>21.98</v>
      </c>
      <c r="Z10" s="2" t="inlineStr">
        <is>
          <t>Repository marked assessable in register</t>
        </is>
      </c>
      <c r="AA10" s="2" t="inlineStr">
        <is>
          <t>m8_issue_response below minimum eligible sample (n=2); scored 0; m9_pr_response below minimum eligible sample (n=2); scored 0; m10_issue_close90 below minimum eligible sample (n=2); scored 0; m11_pr_decision30 below minimum eligible sample (n=2); scored 0</t>
        </is>
      </c>
    </row>
    <row r="11">
      <c r="A11" s="2" t="inlineStr">
        <is>
          <t>C4-010</t>
        </is>
      </c>
      <c r="B11" s="2" t="inlineStr">
        <is>
          <t>arXiv</t>
        </is>
      </c>
      <c r="C11" s="2" t="inlineStr">
        <is>
          <t>software</t>
        </is>
      </c>
      <c r="D11" s="2" t="inlineStr">
        <is>
          <t>Org URL -&gt; primary repo</t>
        </is>
      </c>
      <c r="E11" s="2" t="inlineStr">
        <is>
          <t>arXiv/arxiv-browse</t>
        </is>
      </c>
      <c r="F11" s="2" t="inlineStr">
        <is>
          <t>complete</t>
        </is>
      </c>
      <c r="G11" s="2" t="inlineStr">
        <is>
          <t>complete</t>
        </is>
      </c>
      <c r="H11" s="4">
        <f>Calc!H11</f>
        <v>72.62</v>
      </c>
      <c r="I11" s="4">
        <f>Calc!I11</f>
        <v>65.38</v>
      </c>
      <c r="J11" s="4">
        <f>Calc!J11</f>
        <v>100</v>
      </c>
      <c r="K11" s="4">
        <f>Calc!K11</f>
        <v>0</v>
      </c>
      <c r="L11" s="4">
        <f>Calc!L11</f>
        <v>76.15</v>
      </c>
      <c r="M11" s="4">
        <f>Calc!M11</f>
        <v>63.31</v>
      </c>
      <c r="N11" s="4">
        <f>Calc!N11</f>
        <v>75</v>
      </c>
      <c r="O11" s="4">
        <f>Calc!O11</f>
        <v>0</v>
      </c>
      <c r="P11" s="4">
        <f>Calc!P11</f>
        <v>88.37</v>
      </c>
      <c r="Q11" s="4">
        <f>Calc!Q11</f>
        <v>0</v>
      </c>
      <c r="R11" s="4">
        <f>Calc!R11</f>
        <v>91.57</v>
      </c>
      <c r="S11" s="4">
        <f>Calc!S11</f>
        <v>47.71</v>
      </c>
      <c r="T11" s="4">
        <f>Calc!T11</f>
        <v>64.91</v>
      </c>
      <c r="U11" s="4">
        <f>AVERAGE(H11:T11)</f>
        <v>57.3092307692308</v>
      </c>
      <c r="V11" s="4">
        <f>RANK(U11,$U$2:$U$113,0)+(COUNTIF($U$2:$U$113,U11)-1)/2</f>
        <v>49</v>
      </c>
      <c r="W11" s="2">
        <f>Coverage!P11</f>
        <v>11</v>
      </c>
      <c r="X11" s="5">
        <f>Coverage!Q11</f>
        <v>0.846153846153846</v>
      </c>
      <c r="Y11" s="4">
        <f>Coverage!R11</f>
        <v>67.7290909090909</v>
      </c>
      <c r="Z11" s="2" t="inlineStr">
        <is>
          <t>Repository marked assessable in register</t>
        </is>
      </c>
      <c r="AA11" s="2" t="inlineStr">
        <is>
          <t>m8_issue_response below minimum eligible sample (n=5); scored 0; m10_issue_close90 below minimum eligible sample (n=5); scored 0</t>
        </is>
      </c>
    </row>
    <row r="12">
      <c r="A12" s="2" t="inlineStr">
        <is>
          <t>C4-011</t>
        </is>
      </c>
      <c r="B12" s="2" t="inlineStr">
        <is>
          <t>AtoM</t>
        </is>
      </c>
      <c r="C12" s="2" t="inlineStr">
        <is>
          <t>software</t>
        </is>
      </c>
      <c r="D12" s="2" t="inlineStr">
        <is>
          <t>Ready</t>
        </is>
      </c>
      <c r="E12" s="2" t="inlineStr">
        <is>
          <t>artefactual/atom</t>
        </is>
      </c>
      <c r="F12" s="2" t="inlineStr">
        <is>
          <t>complete</t>
        </is>
      </c>
      <c r="G12" s="2" t="inlineStr">
        <is>
          <t>complete</t>
        </is>
      </c>
      <c r="H12" s="4">
        <f>Calc!H12</f>
        <v>68.17</v>
      </c>
      <c r="I12" s="4">
        <f>Calc!I12</f>
        <v>61.54</v>
      </c>
      <c r="J12" s="4">
        <f>Calc!J12</f>
        <v>100</v>
      </c>
      <c r="K12" s="4">
        <f>Calc!K12</f>
        <v>100</v>
      </c>
      <c r="L12" s="4">
        <f>Calc!L12</f>
        <v>71.7</v>
      </c>
      <c r="M12" s="4">
        <f>Calc!M12</f>
        <v>76.03</v>
      </c>
      <c r="N12" s="4">
        <f>Calc!N12</f>
        <v>100</v>
      </c>
      <c r="O12" s="4">
        <f>Calc!O12</f>
        <v>50.53</v>
      </c>
      <c r="P12" s="4">
        <f>Calc!P12</f>
        <v>47.54</v>
      </c>
      <c r="Q12" s="4">
        <f>Calc!Q12</f>
        <v>54.88</v>
      </c>
      <c r="R12" s="4">
        <f>Calc!R12</f>
        <v>55.56</v>
      </c>
      <c r="S12" s="4">
        <f>Calc!S12</f>
        <v>49.7</v>
      </c>
      <c r="T12" s="4">
        <f>Calc!T12</f>
        <v>62.63</v>
      </c>
      <c r="U12" s="4">
        <f>AVERAGE(H12:T12)</f>
        <v>69.0984615384615</v>
      </c>
      <c r="V12" s="4">
        <f>RANK(U12,$U$2:$U$113,0)+(COUNTIF($U$2:$U$113,U12)-1)/2</f>
        <v>27</v>
      </c>
      <c r="W12" s="2">
        <f>Coverage!P12</f>
        <v>13</v>
      </c>
      <c r="X12" s="5">
        <f>Coverage!Q12</f>
        <v>1</v>
      </c>
      <c r="Y12" s="4">
        <f>Coverage!R12</f>
        <v>69.0984615384615</v>
      </c>
      <c r="Z12" s="2" t="inlineStr">
        <is>
          <t>Repository marked assessable in register</t>
        </is>
      </c>
      <c r="AA12" s="2" t="inlineStr">
        <is>
          <t>No missing metric inputs flagged by pipeline availability checks</t>
        </is>
      </c>
    </row>
    <row r="13">
      <c r="A13" s="2" t="inlineStr">
        <is>
          <t>C4-012</t>
        </is>
      </c>
      <c r="B13" s="2" t="inlineStr">
        <is>
          <t>Avalon Media System</t>
        </is>
      </c>
      <c r="C13" s="2" t="inlineStr">
        <is>
          <t>software</t>
        </is>
      </c>
      <c r="D13" s="2" t="inlineStr">
        <is>
          <t>Ready</t>
        </is>
      </c>
      <c r="E13" s="2" t="inlineStr">
        <is>
          <t>avalonmediasystem/avalon</t>
        </is>
      </c>
      <c r="F13" s="2" t="inlineStr">
        <is>
          <t>complete</t>
        </is>
      </c>
      <c r="G13" s="2" t="inlineStr">
        <is>
          <t>complete</t>
        </is>
      </c>
      <c r="H13" s="4">
        <f>Calc!H13</f>
        <v>82.27</v>
      </c>
      <c r="I13" s="4">
        <f>Calc!I13</f>
        <v>76.92</v>
      </c>
      <c r="J13" s="4">
        <f>Calc!J13</f>
        <v>100</v>
      </c>
      <c r="K13" s="4">
        <f>Calc!K13</f>
        <v>75</v>
      </c>
      <c r="L13" s="4">
        <f>Calc!L13</f>
        <v>60</v>
      </c>
      <c r="M13" s="4">
        <f>Calc!M13</f>
        <v>59.55</v>
      </c>
      <c r="N13" s="4">
        <f>Calc!N13</f>
        <v>75</v>
      </c>
      <c r="O13" s="4">
        <f>Calc!O13</f>
        <v>42.74</v>
      </c>
      <c r="P13" s="4">
        <f>Calc!P13</f>
        <v>82.88</v>
      </c>
      <c r="Q13" s="4">
        <f>Calc!Q13</f>
        <v>54.95</v>
      </c>
      <c r="R13" s="4">
        <f>Calc!R13</f>
        <v>91.94</v>
      </c>
      <c r="S13" s="4">
        <f>Calc!S13</f>
        <v>23.3</v>
      </c>
      <c r="T13" s="4">
        <f>Calc!T13</f>
        <v>0</v>
      </c>
      <c r="U13" s="4">
        <f>AVERAGE(H13:T13)</f>
        <v>63.4269230769231</v>
      </c>
      <c r="V13" s="4">
        <f>RANK(U13,$U$2:$U$113,0)+(COUNTIF($U$2:$U$113,U13)-1)/2</f>
        <v>36</v>
      </c>
      <c r="W13" s="2">
        <f>Coverage!P13</f>
        <v>13</v>
      </c>
      <c r="X13" s="5">
        <f>Coverage!Q13</f>
        <v>1</v>
      </c>
      <c r="Y13" s="4">
        <f>Coverage!R13</f>
        <v>63.4269230769231</v>
      </c>
      <c r="Z13" s="2" t="inlineStr">
        <is>
          <t>Repository marked assessable in register</t>
        </is>
      </c>
      <c r="AA13" s="2" t="inlineStr">
        <is>
          <t>No missing metric inputs flagged by pipeline availability checks</t>
        </is>
      </c>
    </row>
    <row r="14">
      <c r="A14" s="2" t="inlineStr">
        <is>
          <t>C4-013</t>
        </is>
      </c>
      <c r="B14" s="2" t="inlineStr">
        <is>
          <t>Biodiversity Heritage Library</t>
        </is>
      </c>
      <c r="C14" s="2" t="inlineStr">
        <is>
          <t>software</t>
        </is>
      </c>
      <c r="D14" s="2" t="inlineStr">
        <is>
          <t>Ready</t>
        </is>
      </c>
      <c r="E14" s="2" t="inlineStr">
        <is>
          <t>gbhl/bhl-us</t>
        </is>
      </c>
      <c r="F14" s="2" t="inlineStr">
        <is>
          <t>complete</t>
        </is>
      </c>
      <c r="G14" s="2" t="inlineStr">
        <is>
          <t>complete</t>
        </is>
      </c>
      <c r="H14" s="4">
        <f>Calc!H14</f>
        <v>69.65</v>
      </c>
      <c r="I14" s="4">
        <f>Calc!I14</f>
        <v>88.46</v>
      </c>
      <c r="J14" s="4">
        <f>Calc!J14</f>
        <v>100</v>
      </c>
      <c r="K14" s="4">
        <f>Calc!K14</f>
        <v>0</v>
      </c>
      <c r="L14" s="4">
        <f>Calc!L14</f>
        <v>20</v>
      </c>
      <c r="M14" s="4">
        <f>Calc!M14</f>
        <v>16.86</v>
      </c>
      <c r="N14" s="4">
        <f>Calc!N14</f>
        <v>25</v>
      </c>
      <c r="O14" s="4">
        <f>Calc!O14</f>
        <v>0</v>
      </c>
      <c r="P14" s="4">
        <f>Calc!P14</f>
        <v>0</v>
      </c>
      <c r="Q14" s="4">
        <f>Calc!Q14</f>
        <v>0</v>
      </c>
      <c r="R14" s="4">
        <f>Calc!R14</f>
        <v>0</v>
      </c>
      <c r="S14" s="4">
        <f>Calc!S14</f>
        <v>23.3</v>
      </c>
      <c r="T14" s="4">
        <f>Calc!T14</f>
        <v>0</v>
      </c>
      <c r="U14" s="4">
        <f>AVERAGE(H14:T14)</f>
        <v>26.4053846153846</v>
      </c>
      <c r="V14" s="4">
        <f>RANK(U14,$U$2:$U$113,0)+(COUNTIF($U$2:$U$113,U14)-1)/2</f>
        <v>79</v>
      </c>
      <c r="W14" s="2">
        <f>Coverage!P14</f>
        <v>9</v>
      </c>
      <c r="X14" s="5">
        <f>Coverage!Q14</f>
        <v>0.692307692307692</v>
      </c>
      <c r="Y14" s="4">
        <f>Coverage!R14</f>
        <v>38.1411111111111</v>
      </c>
      <c r="Z14" s="2" t="inlineStr">
        <is>
          <t>Repository marked assessable in register</t>
        </is>
      </c>
      <c r="AA14" s="2" t="inlineStr">
        <is>
          <t>m8_issue_response unavailable; scored 0; m9_pr_response below minimum eligible sample (n=0); scored 0; m10_issue_close90 unavailable; scored 0; m11_pr_decision30 below minimum eligible sample (n=0); scored 0</t>
        </is>
      </c>
    </row>
    <row r="15">
      <c r="A15" s="6" t="inlineStr">
        <is>
          <t>C4-014</t>
        </is>
      </c>
      <c r="B15" s="6" t="inlineStr">
        <is>
          <t>bioRxiv</t>
        </is>
      </c>
      <c r="C15" s="6" t="inlineStr">
        <is>
          <t>not-assessable</t>
        </is>
      </c>
      <c r="D15" s="6" t="inlineStr">
        <is>
          <t>Not assessable</t>
        </is>
      </c>
      <c r="E15" s="6" t="inlineStr"/>
      <c r="F15" s="6" t="n"/>
      <c r="G15" s="6" t="n"/>
      <c r="H15" s="7">
        <f>Calc!H15</f>
        <v>0</v>
      </c>
      <c r="I15" s="7">
        <f>Calc!I15</f>
        <v>0</v>
      </c>
      <c r="J15" s="7">
        <f>Calc!J15</f>
        <v>0</v>
      </c>
      <c r="K15" s="7">
        <f>Calc!K15</f>
        <v>0</v>
      </c>
      <c r="L15" s="7">
        <f>Calc!L15</f>
        <v>0</v>
      </c>
      <c r="M15" s="7">
        <f>Calc!M15</f>
        <v>0</v>
      </c>
      <c r="N15" s="7">
        <f>Calc!N15</f>
        <v>0</v>
      </c>
      <c r="O15" s="7">
        <f>Calc!O15</f>
        <v>0</v>
      </c>
      <c r="P15" s="7">
        <f>Calc!P15</f>
        <v>0</v>
      </c>
      <c r="Q15" s="7">
        <f>Calc!Q15</f>
        <v>0</v>
      </c>
      <c r="R15" s="7">
        <f>Calc!R15</f>
        <v>0</v>
      </c>
      <c r="S15" s="7">
        <f>Calc!S15</f>
        <v>0</v>
      </c>
      <c r="T15" s="7">
        <f>Calc!T15</f>
        <v>0</v>
      </c>
      <c r="U15" s="7">
        <f>AVERAGE(H15:T15)</f>
        <v>0</v>
      </c>
      <c r="V15" s="7">
        <f>RANK(U15,$U$2:$U$113,0)+(COUNTIF($U$2:$U$113,U15)-1)/2</f>
        <v>106</v>
      </c>
      <c r="W15" s="6">
        <f>Coverage!P15</f>
        <v>0</v>
      </c>
      <c r="X15" s="8">
        <f>Coverage!Q15</f>
        <v>0</v>
      </c>
      <c r="Y15" s="7">
        <f>Coverage!R15</f>
        <v>0</v>
      </c>
      <c r="Z15" s="6" t="inlineStr">
        <is>
          <t>NOT ASSESSABLE / EXCLUDED: numeric zero is a policy zero-fill, not measured inactivity</t>
        </is>
      </c>
      <c r="AA15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16">
      <c r="A16" s="2" t="inlineStr">
        <is>
          <t>C4-015</t>
        </is>
      </c>
      <c r="B16" s="2" t="inlineStr">
        <is>
          <t>BitCurator Environment</t>
        </is>
      </c>
      <c r="C16" s="2" t="inlineStr">
        <is>
          <t>software</t>
        </is>
      </c>
      <c r="D16" s="2" t="inlineStr">
        <is>
          <t>Ready</t>
        </is>
      </c>
      <c r="E16" s="2" t="inlineStr">
        <is>
          <t>bitcurator/bitcurator-salt</t>
        </is>
      </c>
      <c r="F16" s="2" t="inlineStr">
        <is>
          <t>complete</t>
        </is>
      </c>
      <c r="G16" s="2" t="inlineStr">
        <is>
          <t>complete</t>
        </is>
      </c>
      <c r="H16" s="4">
        <f>Calc!H16</f>
        <v>10.03</v>
      </c>
      <c r="I16" s="4">
        <f>Calc!I16</f>
        <v>1.92</v>
      </c>
      <c r="J16" s="4">
        <f>Calc!J16</f>
        <v>18.55</v>
      </c>
      <c r="K16" s="4">
        <f>Calc!K16</f>
        <v>0</v>
      </c>
      <c r="L16" s="4">
        <f>Calc!L16</f>
        <v>0</v>
      </c>
      <c r="M16" s="4">
        <f>Calc!M16</f>
        <v>0</v>
      </c>
      <c r="N16" s="4">
        <f>Calc!N16</f>
        <v>0</v>
      </c>
      <c r="O16" s="4">
        <f>Calc!O16</f>
        <v>0</v>
      </c>
      <c r="P16" s="4">
        <f>Calc!P16</f>
        <v>0</v>
      </c>
      <c r="Q16" s="4">
        <f>Calc!Q16</f>
        <v>0</v>
      </c>
      <c r="R16" s="4">
        <f>Calc!R16</f>
        <v>0</v>
      </c>
      <c r="S16" s="4">
        <f>Calc!S16</f>
        <v>0</v>
      </c>
      <c r="T16" s="4">
        <f>Calc!T16</f>
        <v>0</v>
      </c>
      <c r="U16" s="4">
        <f>AVERAGE(H16:T16)</f>
        <v>2.34615384615385</v>
      </c>
      <c r="V16" s="4">
        <f>RANK(U16,$U$2:$U$113,0)+(COUNTIF($U$2:$U$113,U16)-1)/2</f>
        <v>98</v>
      </c>
      <c r="W16" s="2">
        <f>Coverage!P16</f>
        <v>9</v>
      </c>
      <c r="X16" s="5">
        <f>Coverage!Q16</f>
        <v>0.692307692307692</v>
      </c>
      <c r="Y16" s="4">
        <f>Coverage!R16</f>
        <v>3.38888888888889</v>
      </c>
      <c r="Z16" s="2" t="inlineStr">
        <is>
          <t>Repository marked assessable in register</t>
        </is>
      </c>
      <c r="AA16" s="2" t="inlineStr">
        <is>
          <t>m8_issue_response unavailable; scored 0; m9_pr_response below minimum eligible sample (n=1); scored 0; m10_issue_close90 unavailable; scored 0; m11_pr_decision30 below minimum eligible sample (n=1); scored 0</t>
        </is>
      </c>
    </row>
    <row r="17">
      <c r="A17" s="2" t="inlineStr">
        <is>
          <t>C4-016</t>
        </is>
      </c>
      <c r="B17" s="2" t="inlineStr">
        <is>
          <t>Blacklight</t>
        </is>
      </c>
      <c r="C17" s="2" t="inlineStr">
        <is>
          <t>software</t>
        </is>
      </c>
      <c r="D17" s="2" t="inlineStr">
        <is>
          <t>Org URL -&gt; primary repo</t>
        </is>
      </c>
      <c r="E17" s="2" t="inlineStr">
        <is>
          <t>projectblacklight/blacklight</t>
        </is>
      </c>
      <c r="F17" s="2" t="inlineStr">
        <is>
          <t>complete</t>
        </is>
      </c>
      <c r="G17" s="2" t="inlineStr">
        <is>
          <t>complete</t>
        </is>
      </c>
      <c r="H17" s="4">
        <f>Calc!H17</f>
        <v>68.93</v>
      </c>
      <c r="I17" s="4">
        <f>Calc!I17</f>
        <v>57.69</v>
      </c>
      <c r="J17" s="4">
        <f>Calc!J17</f>
        <v>100</v>
      </c>
      <c r="K17" s="4">
        <f>Calc!K17</f>
        <v>100</v>
      </c>
      <c r="L17" s="4">
        <f>Calc!L17</f>
        <v>71.7</v>
      </c>
      <c r="M17" s="4">
        <f>Calc!M17</f>
        <v>64.07</v>
      </c>
      <c r="N17" s="4">
        <f>Calc!N17</f>
        <v>75</v>
      </c>
      <c r="O17" s="4">
        <f>Calc!O17</f>
        <v>58.33</v>
      </c>
      <c r="P17" s="4">
        <f>Calc!P17</f>
        <v>87.5</v>
      </c>
      <c r="Q17" s="4">
        <f>Calc!Q17</f>
        <v>6.67</v>
      </c>
      <c r="R17" s="4">
        <f>Calc!R17</f>
        <v>80</v>
      </c>
      <c r="S17" s="4">
        <f>Calc!S17</f>
        <v>46.59</v>
      </c>
      <c r="T17" s="4">
        <f>Calc!T17</f>
        <v>34.87</v>
      </c>
      <c r="U17" s="4">
        <f>AVERAGE(H17:T17)</f>
        <v>65.4884615384615</v>
      </c>
      <c r="V17" s="4">
        <f>RANK(U17,$U$2:$U$113,0)+(COUNTIF($U$2:$U$113,U17)-1)/2</f>
        <v>32</v>
      </c>
      <c r="W17" s="2">
        <f>Coverage!P17</f>
        <v>13</v>
      </c>
      <c r="X17" s="5">
        <f>Coverage!Q17</f>
        <v>1</v>
      </c>
      <c r="Y17" s="4">
        <f>Coverage!R17</f>
        <v>65.4884615384615</v>
      </c>
      <c r="Z17" s="2" t="inlineStr">
        <is>
          <t>Repository marked assessable in register</t>
        </is>
      </c>
      <c r="AA17" s="2" t="inlineStr">
        <is>
          <t>No missing metric inputs flagged by pipeline availability checks</t>
        </is>
      </c>
    </row>
    <row r="18">
      <c r="A18" s="2" t="inlineStr">
        <is>
          <t>C4-017</t>
        </is>
      </c>
      <c r="B18" s="2" t="inlineStr">
        <is>
          <t>BrCRIS</t>
        </is>
      </c>
      <c r="C18" s="2" t="inlineStr">
        <is>
          <t>software</t>
        </is>
      </c>
      <c r="D18" s="2" t="inlineStr">
        <is>
          <t>Resolved URL</t>
        </is>
      </c>
      <c r="E18" s="2" t="inlineStr">
        <is>
          <t>brcris-ibict/brcris-interface-busca</t>
        </is>
      </c>
      <c r="F18" s="2" t="inlineStr">
        <is>
          <t>complete</t>
        </is>
      </c>
      <c r="G18" s="2" t="n"/>
      <c r="H18" s="4">
        <f>Calc!H18</f>
        <v>78.07</v>
      </c>
      <c r="I18" s="4">
        <f>Calc!I18</f>
        <v>90.38</v>
      </c>
      <c r="J18" s="4">
        <f>Calc!J18</f>
        <v>100</v>
      </c>
      <c r="K18" s="4">
        <f>Calc!K18</f>
        <v>75</v>
      </c>
      <c r="L18" s="4">
        <f>Calc!L18</f>
        <v>40</v>
      </c>
      <c r="M18" s="4">
        <f>Calc!M18</f>
        <v>29.06</v>
      </c>
      <c r="N18" s="4">
        <f>Calc!N18</f>
        <v>50</v>
      </c>
      <c r="O18" s="4">
        <f>Calc!O18</f>
        <v>0</v>
      </c>
      <c r="P18" s="4">
        <f>Calc!P18</f>
        <v>0</v>
      </c>
      <c r="Q18" s="4">
        <f>Calc!Q18</f>
        <v>0</v>
      </c>
      <c r="R18" s="4">
        <f>Calc!R18</f>
        <v>0</v>
      </c>
      <c r="S18" s="4">
        <f>Calc!S18</f>
        <v>0</v>
      </c>
      <c r="T18" s="4">
        <f>Calc!T18</f>
        <v>0</v>
      </c>
      <c r="U18" s="4">
        <f>AVERAGE(H18:T18)</f>
        <v>35.5776923076923</v>
      </c>
      <c r="V18" s="4">
        <f>RANK(U18,$U$2:$U$113,0)+(COUNTIF($U$2:$U$113,U18)-1)/2</f>
        <v>76</v>
      </c>
      <c r="W18" s="2">
        <f>Coverage!P18</f>
        <v>7</v>
      </c>
      <c r="X18" s="5">
        <f>Coverage!Q18</f>
        <v>0.538461538461538</v>
      </c>
      <c r="Y18" s="4">
        <f>Coverage!R18</f>
        <v>66.0728571428571</v>
      </c>
      <c r="Z18" s="2" t="inlineStr">
        <is>
          <t>Repository marked assessable in register</t>
        </is>
      </c>
      <c r="AA18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19">
      <c r="A19" s="2" t="inlineStr">
        <is>
          <t>C4-018</t>
        </is>
      </c>
      <c r="B19" s="2" t="inlineStr">
        <is>
          <t>Browsertrix</t>
        </is>
      </c>
      <c r="C19" s="2" t="inlineStr">
        <is>
          <t>software</t>
        </is>
      </c>
      <c r="D19" s="2" t="inlineStr">
        <is>
          <t>Ready</t>
        </is>
      </c>
      <c r="E19" s="2" t="inlineStr">
        <is>
          <t>webrecorder/browsertrix</t>
        </is>
      </c>
      <c r="F19" s="2" t="inlineStr">
        <is>
          <t>complete</t>
        </is>
      </c>
      <c r="G19" s="2" t="inlineStr">
        <is>
          <t>complete</t>
        </is>
      </c>
      <c r="H19" s="4">
        <f>Calc!H19</f>
        <v>87.67</v>
      </c>
      <c r="I19" s="4">
        <f>Calc!I19</f>
        <v>100</v>
      </c>
      <c r="J19" s="4">
        <f>Calc!J19</f>
        <v>100</v>
      </c>
      <c r="K19" s="4">
        <f>Calc!K19</f>
        <v>100</v>
      </c>
      <c r="L19" s="4">
        <f>Calc!L19</f>
        <v>63.4</v>
      </c>
      <c r="M19" s="4">
        <f>Calc!M19</f>
        <v>64.07</v>
      </c>
      <c r="N19" s="4">
        <f>Calc!N19</f>
        <v>75</v>
      </c>
      <c r="O19" s="4">
        <f>Calc!O19</f>
        <v>45.59</v>
      </c>
      <c r="P19" s="4">
        <f>Calc!P19</f>
        <v>82.52</v>
      </c>
      <c r="Q19" s="4">
        <f>Calc!Q19</f>
        <v>67.57</v>
      </c>
      <c r="R19" s="4">
        <f>Calc!R19</f>
        <v>92.23</v>
      </c>
      <c r="S19" s="4">
        <f>Calc!S19</f>
        <v>72.33</v>
      </c>
      <c r="T19" s="4">
        <f>Calc!T19</f>
        <v>65.97</v>
      </c>
      <c r="U19" s="4">
        <f>AVERAGE(H19:T19)</f>
        <v>78.1807692307692</v>
      </c>
      <c r="V19" s="4">
        <f>RANK(U19,$U$2:$U$113,0)+(COUNTIF($U$2:$U$113,U19)-1)/2</f>
        <v>12</v>
      </c>
      <c r="W19" s="2">
        <f>Coverage!P19</f>
        <v>13</v>
      </c>
      <c r="X19" s="5">
        <f>Coverage!Q19</f>
        <v>1</v>
      </c>
      <c r="Y19" s="4">
        <f>Coverage!R19</f>
        <v>78.1807692307692</v>
      </c>
      <c r="Z19" s="2" t="inlineStr">
        <is>
          <t>Repository marked assessable in register</t>
        </is>
      </c>
      <c r="AA19" s="2" t="inlineStr">
        <is>
          <t>No missing metric inputs flagged by pipeline availability checks</t>
        </is>
      </c>
    </row>
    <row r="20">
      <c r="A20" s="2" t="inlineStr">
        <is>
          <t>C4-019</t>
        </is>
      </c>
      <c r="B20" s="2" t="inlineStr">
        <is>
          <t>CLOCKSS</t>
        </is>
      </c>
      <c r="C20" s="2" t="inlineStr">
        <is>
          <t>software</t>
        </is>
      </c>
      <c r="D20" s="2" t="inlineStr">
        <is>
          <t>Org URL -&gt; primary repo</t>
        </is>
      </c>
      <c r="E20" s="2" t="inlineStr">
        <is>
          <t>lockss/lockss-daemon</t>
        </is>
      </c>
      <c r="F20" s="2" t="inlineStr">
        <is>
          <t>complete</t>
        </is>
      </c>
      <c r="G20" s="2" t="inlineStr">
        <is>
          <t>complete</t>
        </is>
      </c>
      <c r="H20" s="4">
        <f>Calc!H20</f>
        <v>100</v>
      </c>
      <c r="I20" s="4">
        <f>Calc!I20</f>
        <v>98.08</v>
      </c>
      <c r="J20" s="4">
        <f>Calc!J20</f>
        <v>100</v>
      </c>
      <c r="K20" s="4">
        <f>Calc!K20</f>
        <v>100</v>
      </c>
      <c r="L20" s="4">
        <f>Calc!L20</f>
        <v>63.4</v>
      </c>
      <c r="M20" s="4">
        <f>Calc!M20</f>
        <v>59.27</v>
      </c>
      <c r="N20" s="4">
        <f>Calc!N20</f>
        <v>100</v>
      </c>
      <c r="O20" s="4">
        <f>Calc!O20</f>
        <v>0</v>
      </c>
      <c r="P20" s="4">
        <f>Calc!P20</f>
        <v>0</v>
      </c>
      <c r="Q20" s="4">
        <f>Calc!Q20</f>
        <v>0</v>
      </c>
      <c r="R20" s="4">
        <f>Calc!R20</f>
        <v>0</v>
      </c>
      <c r="S20" s="4">
        <f>Calc!S20</f>
        <v>23.3</v>
      </c>
      <c r="T20" s="4">
        <f>Calc!T20</f>
        <v>15.02</v>
      </c>
      <c r="U20" s="4">
        <f>AVERAGE(H20:T20)</f>
        <v>50.6976923076923</v>
      </c>
      <c r="V20" s="4">
        <f>RANK(U20,$U$2:$U$113,0)+(COUNTIF($U$2:$U$113,U20)-1)/2</f>
        <v>57</v>
      </c>
      <c r="W20" s="2">
        <f>Coverage!P20</f>
        <v>9</v>
      </c>
      <c r="X20" s="5">
        <f>Coverage!Q20</f>
        <v>0.692307692307692</v>
      </c>
      <c r="Y20" s="4">
        <f>Coverage!R20</f>
        <v>73.23</v>
      </c>
      <c r="Z20" s="2" t="inlineStr">
        <is>
          <t>Repository marked assessable in register</t>
        </is>
      </c>
      <c r="AA20" s="2" t="inlineStr">
        <is>
          <t>m8_issue_response below minimum eligible sample (n=0); scored 0; m9_pr_response below minimum eligible sample (n=1); scored 0; m10_issue_close90 below minimum eligible sample (n=0); scored 0; m11_pr_decision30 below minimum eligible sample (n=1); scored 0</t>
        </is>
      </c>
    </row>
    <row r="21">
      <c r="A21" s="2" t="inlineStr">
        <is>
          <t>C4-020</t>
        </is>
      </c>
      <c r="B21" s="2" t="inlineStr">
        <is>
          <t>COAR International Repository Directory (IRD)</t>
        </is>
      </c>
      <c r="C21" s="2" t="inlineStr">
        <is>
          <t>software</t>
        </is>
      </c>
      <c r="D21" s="2" t="inlineStr">
        <is>
          <t>Ready</t>
        </is>
      </c>
      <c r="E21" s="2" t="inlineStr">
        <is>
          <t>antleaf/IRD</t>
        </is>
      </c>
      <c r="F21" s="2" t="inlineStr">
        <is>
          <t>complete</t>
        </is>
      </c>
      <c r="G21" s="2" t="inlineStr">
        <is>
          <t>complete</t>
        </is>
      </c>
      <c r="H21" s="4">
        <f>Calc!H21</f>
        <v>59.97</v>
      </c>
      <c r="I21" s="4">
        <f>Calc!I21</f>
        <v>46.15</v>
      </c>
      <c r="J21" s="4">
        <f>Calc!J21</f>
        <v>100</v>
      </c>
      <c r="K21" s="4">
        <f>Calc!K21</f>
        <v>100</v>
      </c>
      <c r="L21" s="4">
        <f>Calc!L21</f>
        <v>31.7</v>
      </c>
      <c r="M21" s="4">
        <f>Calc!M21</f>
        <v>19.82</v>
      </c>
      <c r="N21" s="4">
        <f>Calc!N21</f>
        <v>25</v>
      </c>
      <c r="O21" s="4">
        <f>Calc!O21</f>
        <v>50</v>
      </c>
      <c r="P21" s="4">
        <f>Calc!P21</f>
        <v>0</v>
      </c>
      <c r="Q21" s="4">
        <f>Calc!Q21</f>
        <v>63.64</v>
      </c>
      <c r="R21" s="4">
        <f>Calc!R21</f>
        <v>0</v>
      </c>
      <c r="S21" s="4">
        <f>Calc!S21</f>
        <v>10.03</v>
      </c>
      <c r="T21" s="4">
        <f>Calc!T21</f>
        <v>15.02</v>
      </c>
      <c r="U21" s="4">
        <f>AVERAGE(H21:T21)</f>
        <v>40.1023076923077</v>
      </c>
      <c r="V21" s="4">
        <f>RANK(U21,$U$2:$U$113,0)+(COUNTIF($U$2:$U$113,U21)-1)/2</f>
        <v>68</v>
      </c>
      <c r="W21" s="2">
        <f>Coverage!P21</f>
        <v>11</v>
      </c>
      <c r="X21" s="5">
        <f>Coverage!Q21</f>
        <v>0.846153846153846</v>
      </c>
      <c r="Y21" s="4">
        <f>Coverage!R21</f>
        <v>47.3936363636364</v>
      </c>
      <c r="Z21" s="2" t="inlineStr">
        <is>
          <t>Repository marked assessable in register</t>
        </is>
      </c>
      <c r="AA21" s="2" t="inlineStr">
        <is>
          <t>m9_pr_response below minimum eligible sample (n=6); scored 0; m11_pr_decision30 below minimum eligible sample (n=6); scored 0</t>
        </is>
      </c>
    </row>
    <row r="22">
      <c r="A22" s="2" t="inlineStr">
        <is>
          <t>C4-021</t>
        </is>
      </c>
      <c r="B22" s="2" t="inlineStr">
        <is>
          <t>COAR Notify</t>
        </is>
      </c>
      <c r="C22" s="2" t="inlineStr">
        <is>
          <t>software</t>
        </is>
      </c>
      <c r="D22" s="2" t="inlineStr">
        <is>
          <t>Ready</t>
        </is>
      </c>
      <c r="E22" s="2" t="inlineStr">
        <is>
          <t>coar-notify/coar-notify.net</t>
        </is>
      </c>
      <c r="F22" s="2" t="inlineStr">
        <is>
          <t>complete</t>
        </is>
      </c>
      <c r="G22" s="2" t="inlineStr">
        <is>
          <t>complete</t>
        </is>
      </c>
      <c r="H22" s="4">
        <f>Calc!H22</f>
        <v>33.33</v>
      </c>
      <c r="I22" s="4">
        <f>Calc!I22</f>
        <v>7.69</v>
      </c>
      <c r="J22" s="4">
        <f>Calc!J22</f>
        <v>77.73</v>
      </c>
      <c r="K22" s="4">
        <f>Calc!K22</f>
        <v>0</v>
      </c>
      <c r="L22" s="4">
        <f>Calc!L22</f>
        <v>31.7</v>
      </c>
      <c r="M22" s="4">
        <f>Calc!M22</f>
        <v>22.3</v>
      </c>
      <c r="N22" s="4">
        <f>Calc!N22</f>
        <v>25</v>
      </c>
      <c r="O22" s="4">
        <f>Calc!O22</f>
        <v>0</v>
      </c>
      <c r="P22" s="4">
        <f>Calc!P22</f>
        <v>0</v>
      </c>
      <c r="Q22" s="4">
        <f>Calc!Q22</f>
        <v>0</v>
      </c>
      <c r="R22" s="4">
        <f>Calc!R22</f>
        <v>0</v>
      </c>
      <c r="S22" s="4">
        <f>Calc!S22</f>
        <v>10.03</v>
      </c>
      <c r="T22" s="4">
        <f>Calc!T22</f>
        <v>23.8</v>
      </c>
      <c r="U22" s="4">
        <f>AVERAGE(H22:T22)</f>
        <v>17.8138461538462</v>
      </c>
      <c r="V22" s="4">
        <f>RANK(U22,$U$2:$U$113,0)+(COUNTIF($U$2:$U$113,U22)-1)/2</f>
        <v>91</v>
      </c>
      <c r="W22" s="2">
        <f>Coverage!P22</f>
        <v>9</v>
      </c>
      <c r="X22" s="5">
        <f>Coverage!Q22</f>
        <v>0.692307692307692</v>
      </c>
      <c r="Y22" s="4">
        <f>Coverage!R22</f>
        <v>25.7311111111111</v>
      </c>
      <c r="Z22" s="2" t="inlineStr">
        <is>
          <t>Repository marked assessable in register</t>
        </is>
      </c>
      <c r="AA22" s="2" t="inlineStr">
        <is>
          <t>m8_issue_response below minimum eligible sample (n=3); scored 0; m9_pr_response below minimum eligible sample (n=3); scored 0; m10_issue_close90 below minimum eligible sample (n=3); scored 0; m11_pr_decision30 below minimum eligible sample (n=3); scored 0</t>
        </is>
      </c>
    </row>
    <row r="23">
      <c r="A23" s="2" t="inlineStr">
        <is>
          <t>C4-022</t>
        </is>
      </c>
      <c r="B23" s="2" t="inlineStr">
        <is>
          <t>CollectiveAccess</t>
        </is>
      </c>
      <c r="C23" s="2" t="inlineStr">
        <is>
          <t>software</t>
        </is>
      </c>
      <c r="D23" s="2" t="inlineStr">
        <is>
          <t>Org URL -&gt; primary repo</t>
        </is>
      </c>
      <c r="E23" s="2" t="inlineStr">
        <is>
          <t>collectiveaccess/providence</t>
        </is>
      </c>
      <c r="F23" s="2" t="inlineStr">
        <is>
          <t>complete</t>
        </is>
      </c>
      <c r="G23" s="2" t="inlineStr">
        <is>
          <t>complete</t>
        </is>
      </c>
      <c r="H23" s="4">
        <f>Calc!H23</f>
        <v>97.46</v>
      </c>
      <c r="I23" s="4">
        <f>Calc!I23</f>
        <v>100</v>
      </c>
      <c r="J23" s="4">
        <f>Calc!J23</f>
        <v>100</v>
      </c>
      <c r="K23" s="4">
        <f>Calc!K23</f>
        <v>75</v>
      </c>
      <c r="L23" s="4">
        <f>Calc!L23</f>
        <v>71.7</v>
      </c>
      <c r="M23" s="4">
        <f>Calc!M23</f>
        <v>50.53</v>
      </c>
      <c r="N23" s="4">
        <f>Calc!N23</f>
        <v>100</v>
      </c>
      <c r="O23" s="4">
        <f>Calc!O23</f>
        <v>59.35</v>
      </c>
      <c r="P23" s="4">
        <f>Calc!P23</f>
        <v>82.35</v>
      </c>
      <c r="Q23" s="4">
        <f>Calc!Q23</f>
        <v>47.66</v>
      </c>
      <c r="R23" s="4">
        <f>Calc!R23</f>
        <v>79.17</v>
      </c>
      <c r="S23" s="4">
        <f>Calc!S23</f>
        <v>55.1</v>
      </c>
      <c r="T23" s="4">
        <f>Calc!T23</f>
        <v>58.68</v>
      </c>
      <c r="U23" s="4">
        <f>AVERAGE(H23:T23)</f>
        <v>75.1538461538462</v>
      </c>
      <c r="V23" s="4">
        <f>RANK(U23,$U$2:$U$113,0)+(COUNTIF($U$2:$U$113,U23)-1)/2</f>
        <v>18</v>
      </c>
      <c r="W23" s="2">
        <f>Coverage!P23</f>
        <v>13</v>
      </c>
      <c r="X23" s="5">
        <f>Coverage!Q23</f>
        <v>1</v>
      </c>
      <c r="Y23" s="4">
        <f>Coverage!R23</f>
        <v>75.1538461538462</v>
      </c>
      <c r="Z23" s="2" t="inlineStr">
        <is>
          <t>Repository marked assessable in register</t>
        </is>
      </c>
      <c r="AA23" s="2" t="inlineStr">
        <is>
          <t>No missing metric inputs flagged by pipeline availability checks</t>
        </is>
      </c>
    </row>
    <row r="24">
      <c r="A24" s="2" t="inlineStr">
        <is>
          <t>C4-023</t>
        </is>
      </c>
      <c r="B24" s="2" t="inlineStr">
        <is>
          <t>CORE</t>
        </is>
      </c>
      <c r="C24" s="2" t="inlineStr">
        <is>
          <t>software</t>
        </is>
      </c>
      <c r="D24" s="2" t="inlineStr">
        <is>
          <t>Resolved URL</t>
        </is>
      </c>
      <c r="E24" s="2" t="inlineStr">
        <is>
          <t>oacore/dashboard</t>
        </is>
      </c>
      <c r="F24" s="2" t="inlineStr">
        <is>
          <t>complete</t>
        </is>
      </c>
      <c r="G24" s="2" t="n"/>
      <c r="H24" s="4">
        <f>Calc!H24</f>
        <v>77.94</v>
      </c>
      <c r="I24" s="4">
        <f>Calc!I24</f>
        <v>75</v>
      </c>
      <c r="J24" s="4">
        <f>Calc!J24</f>
        <v>100</v>
      </c>
      <c r="K24" s="4">
        <f>Calc!K24</f>
        <v>0</v>
      </c>
      <c r="L24" s="4">
        <f>Calc!L24</f>
        <v>71.7</v>
      </c>
      <c r="M24" s="4">
        <f>Calc!M24</f>
        <v>67.5</v>
      </c>
      <c r="N24" s="4">
        <f>Calc!N24</f>
        <v>100</v>
      </c>
      <c r="O24" s="4">
        <f>Calc!O24</f>
        <v>0</v>
      </c>
      <c r="P24" s="4">
        <f>Calc!P24</f>
        <v>0</v>
      </c>
      <c r="Q24" s="4">
        <f>Calc!Q24</f>
        <v>0</v>
      </c>
      <c r="R24" s="4">
        <f>Calc!R24</f>
        <v>0</v>
      </c>
      <c r="S24" s="4">
        <f>Calc!S24</f>
        <v>0</v>
      </c>
      <c r="T24" s="4">
        <f>Calc!T24</f>
        <v>0</v>
      </c>
      <c r="U24" s="4">
        <f>AVERAGE(H24:T24)</f>
        <v>37.8569230769231</v>
      </c>
      <c r="V24" s="4">
        <f>RANK(U24,$U$2:$U$113,0)+(COUNTIF($U$2:$U$113,U24)-1)/2</f>
        <v>74</v>
      </c>
      <c r="W24" s="2">
        <f>Coverage!P24</f>
        <v>7</v>
      </c>
      <c r="X24" s="5">
        <f>Coverage!Q24</f>
        <v>0.538461538461538</v>
      </c>
      <c r="Y24" s="4">
        <f>Coverage!R24</f>
        <v>70.3057142857143</v>
      </c>
      <c r="Z24" s="2" t="inlineStr">
        <is>
          <t>Repository marked assessable in register</t>
        </is>
      </c>
      <c r="AA24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25">
      <c r="A25" s="2" t="inlineStr">
        <is>
          <t>C4-024</t>
        </is>
      </c>
      <c r="B25" s="2" t="inlineStr">
        <is>
          <t>COUNTER Code of Practice</t>
        </is>
      </c>
      <c r="C25" s="2" t="inlineStr">
        <is>
          <t>standard</t>
        </is>
      </c>
      <c r="D25" s="2" t="inlineStr">
        <is>
          <t>Resolved URL -&gt; scoreable standard repo</t>
        </is>
      </c>
      <c r="E25" s="2" t="inlineStr">
        <is>
          <t>Project-Counter/cop5</t>
        </is>
      </c>
      <c r="F25" s="2" t="inlineStr">
        <is>
          <t>complete</t>
        </is>
      </c>
      <c r="G25" s="2" t="n"/>
      <c r="H25" s="4">
        <f>Calc!H25</f>
        <v>53.03</v>
      </c>
      <c r="I25" s="4">
        <f>Calc!I25</f>
        <v>19.23</v>
      </c>
      <c r="J25" s="4">
        <f>Calc!J25</f>
        <v>92.36</v>
      </c>
      <c r="K25" s="4">
        <f>Calc!K25</f>
        <v>0</v>
      </c>
      <c r="L25" s="4">
        <f>Calc!L25</f>
        <v>46.44</v>
      </c>
      <c r="M25" s="4">
        <f>Calc!M25</f>
        <v>58.99</v>
      </c>
      <c r="N25" s="4">
        <f>Calc!N25</f>
        <v>25</v>
      </c>
      <c r="O25" s="4">
        <f>Calc!O25</f>
        <v>0</v>
      </c>
      <c r="P25" s="4">
        <f>Calc!P25</f>
        <v>0</v>
      </c>
      <c r="Q25" s="4">
        <f>Calc!Q25</f>
        <v>0</v>
      </c>
      <c r="R25" s="4">
        <f>Calc!R25</f>
        <v>0</v>
      </c>
      <c r="S25" s="4">
        <f>Calc!S25</f>
        <v>0</v>
      </c>
      <c r="T25" s="4">
        <f>Calc!T25</f>
        <v>0</v>
      </c>
      <c r="U25" s="4">
        <f>AVERAGE(H25:T25)</f>
        <v>22.6961538461538</v>
      </c>
      <c r="V25" s="4">
        <f>RANK(U25,$U$2:$U$113,0)+(COUNTIF($U$2:$U$113,U25)-1)/2</f>
        <v>85</v>
      </c>
      <c r="W25" s="2">
        <f>Coverage!P25</f>
        <v>7</v>
      </c>
      <c r="X25" s="5">
        <f>Coverage!Q25</f>
        <v>0.538461538461538</v>
      </c>
      <c r="Y25" s="4">
        <f>Coverage!R25</f>
        <v>42.15</v>
      </c>
      <c r="Z25" s="2" t="inlineStr">
        <is>
          <t>Repository marked assessable in register</t>
        </is>
      </c>
      <c r="AA25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26">
      <c r="A26" s="2" t="inlineStr">
        <is>
          <t>C4-025</t>
        </is>
      </c>
      <c r="B26" s="2" t="inlineStr">
        <is>
          <t>Creative Commons Licenses</t>
        </is>
      </c>
      <c r="C26" s="2" t="inlineStr">
        <is>
          <t>software</t>
        </is>
      </c>
      <c r="D26" s="2" t="inlineStr">
        <is>
          <t>Org URL -&gt; primary repo</t>
        </is>
      </c>
      <c r="E26" s="2" t="inlineStr">
        <is>
          <t>creativecommons/cc-legal-tools-app</t>
        </is>
      </c>
      <c r="F26" s="2" t="inlineStr">
        <is>
          <t>complete</t>
        </is>
      </c>
      <c r="G26" s="2" t="inlineStr">
        <is>
          <t>complete</t>
        </is>
      </c>
      <c r="H26" s="4">
        <f>Calc!H26</f>
        <v>62.68</v>
      </c>
      <c r="I26" s="4">
        <f>Calc!I26</f>
        <v>30.77</v>
      </c>
      <c r="J26" s="4">
        <f>Calc!J26</f>
        <v>100</v>
      </c>
      <c r="K26" s="4">
        <f>Calc!K26</f>
        <v>0</v>
      </c>
      <c r="L26" s="4">
        <f>Calc!L26</f>
        <v>46.44</v>
      </c>
      <c r="M26" s="4">
        <f>Calc!M26</f>
        <v>32.61</v>
      </c>
      <c r="N26" s="4">
        <f>Calc!N26</f>
        <v>25</v>
      </c>
      <c r="O26" s="4">
        <f>Calc!O26</f>
        <v>63.64</v>
      </c>
      <c r="P26" s="4">
        <f>Calc!P26</f>
        <v>90.62</v>
      </c>
      <c r="Q26" s="4">
        <f>Calc!Q26</f>
        <v>53.85</v>
      </c>
      <c r="R26" s="4">
        <f>Calc!R26</f>
        <v>87.1</v>
      </c>
      <c r="S26" s="4">
        <f>Calc!S26</f>
        <v>64.81</v>
      </c>
      <c r="T26" s="4">
        <f>Calc!T26</f>
        <v>95.48</v>
      </c>
      <c r="U26" s="4">
        <f>AVERAGE(H26:T26)</f>
        <v>57.9230769230769</v>
      </c>
      <c r="V26" s="4">
        <f>RANK(U26,$U$2:$U$113,0)+(COUNTIF($U$2:$U$113,U26)-1)/2</f>
        <v>48</v>
      </c>
      <c r="W26" s="2">
        <f>Coverage!P26</f>
        <v>13</v>
      </c>
      <c r="X26" s="5">
        <f>Coverage!Q26</f>
        <v>1</v>
      </c>
      <c r="Y26" s="4">
        <f>Coverage!R26</f>
        <v>57.9230769230769</v>
      </c>
      <c r="Z26" s="2" t="inlineStr">
        <is>
          <t>Repository marked assessable in register</t>
        </is>
      </c>
      <c r="AA26" s="2" t="inlineStr">
        <is>
          <t>No missing metric inputs flagged by pipeline availability checks</t>
        </is>
      </c>
    </row>
    <row r="27">
      <c r="A27" s="2" t="inlineStr">
        <is>
          <t>C4-026</t>
        </is>
      </c>
      <c r="B27" s="2" t="inlineStr">
        <is>
          <t>Crossref Metadata Retrieval</t>
        </is>
      </c>
      <c r="C27" s="2" t="inlineStr">
        <is>
          <t>software</t>
        </is>
      </c>
      <c r="D27" s="2" t="inlineStr">
        <is>
          <t>Non-GitHub (verify repo)</t>
        </is>
      </c>
      <c r="E27" s="2" t="inlineStr">
        <is>
          <t>https://gitlab.com/crossref/rest_api</t>
        </is>
      </c>
      <c r="F27" s="2" t="inlineStr">
        <is>
          <t>complete</t>
        </is>
      </c>
      <c r="G27" s="2" t="inlineStr">
        <is>
          <t>no GitHub source</t>
        </is>
      </c>
      <c r="H27" s="4">
        <f>Calc!H27</f>
        <v>55.1</v>
      </c>
      <c r="I27" s="4">
        <f>Calc!I27</f>
        <v>46.15</v>
      </c>
      <c r="J27" s="4">
        <f>Calc!J27</f>
        <v>100</v>
      </c>
      <c r="K27" s="4">
        <f>Calc!K27</f>
        <v>100</v>
      </c>
      <c r="L27" s="4">
        <f>Calc!L27</f>
        <v>51.7</v>
      </c>
      <c r="M27" s="4">
        <f>Calc!M27</f>
        <v>50.53</v>
      </c>
      <c r="N27" s="4">
        <f>Calc!N27</f>
        <v>75</v>
      </c>
      <c r="O27" s="4">
        <f>Calc!O27</f>
        <v>0</v>
      </c>
      <c r="P27" s="4">
        <f>Calc!P27</f>
        <v>0</v>
      </c>
      <c r="Q27" s="4">
        <f>Calc!Q27</f>
        <v>0</v>
      </c>
      <c r="R27" s="4">
        <f>Calc!R27</f>
        <v>0</v>
      </c>
      <c r="S27" s="4">
        <f>Calc!S27</f>
        <v>0</v>
      </c>
      <c r="T27" s="4">
        <f>Calc!T27</f>
        <v>0</v>
      </c>
      <c r="U27" s="4">
        <f>AVERAGE(H27:T27)</f>
        <v>36.8061538461538</v>
      </c>
      <c r="V27" s="4">
        <f>RANK(U27,$U$2:$U$113,0)+(COUNTIF($U$2:$U$113,U27)-1)/2</f>
        <v>75</v>
      </c>
      <c r="W27" s="2">
        <f>Coverage!P27</f>
        <v>7</v>
      </c>
      <c r="X27" s="5">
        <f>Coverage!Q27</f>
        <v>0.538461538461538</v>
      </c>
      <c r="Y27" s="4">
        <f>Coverage!R27</f>
        <v>68.3542857142857</v>
      </c>
      <c r="Z27" s="2" t="inlineStr">
        <is>
          <t>Repository marked assessable in register</t>
        </is>
      </c>
      <c r="AA27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28">
      <c r="A28" s="6" t="inlineStr">
        <is>
          <t>C4-027</t>
        </is>
      </c>
      <c r="B28" s="6" t="inlineStr">
        <is>
          <t>D4Science Infrastructure</t>
        </is>
      </c>
      <c r="C28" s="6" t="inlineStr">
        <is>
          <t>needs-decision</t>
        </is>
      </c>
      <c r="D28" s="6" t="inlineStr">
        <is>
          <t>Non-GitHub: choose repo</t>
        </is>
      </c>
      <c r="E28" s="6" t="inlineStr"/>
      <c r="F28" s="6" t="n"/>
      <c r="G28" s="6" t="n"/>
      <c r="H28" s="7">
        <f>Calc!H28</f>
        <v>0</v>
      </c>
      <c r="I28" s="7">
        <f>Calc!I28</f>
        <v>0</v>
      </c>
      <c r="J28" s="7">
        <f>Calc!J28</f>
        <v>0</v>
      </c>
      <c r="K28" s="7">
        <f>Calc!K28</f>
        <v>0</v>
      </c>
      <c r="L28" s="7">
        <f>Calc!L28</f>
        <v>0</v>
      </c>
      <c r="M28" s="7">
        <f>Calc!M28</f>
        <v>0</v>
      </c>
      <c r="N28" s="7">
        <f>Calc!N28</f>
        <v>0</v>
      </c>
      <c r="O28" s="7">
        <f>Calc!O28</f>
        <v>0</v>
      </c>
      <c r="P28" s="7">
        <f>Calc!P28</f>
        <v>0</v>
      </c>
      <c r="Q28" s="7">
        <f>Calc!Q28</f>
        <v>0</v>
      </c>
      <c r="R28" s="7">
        <f>Calc!R28</f>
        <v>0</v>
      </c>
      <c r="S28" s="7">
        <f>Calc!S28</f>
        <v>0</v>
      </c>
      <c r="T28" s="7">
        <f>Calc!T28</f>
        <v>0</v>
      </c>
      <c r="U28" s="7">
        <f>AVERAGE(H28:T28)</f>
        <v>0</v>
      </c>
      <c r="V28" s="7">
        <f>RANK(U28,$U$2:$U$113,0)+(COUNTIF($U$2:$U$113,U28)-1)/2</f>
        <v>106</v>
      </c>
      <c r="W28" s="6">
        <f>Coverage!P28</f>
        <v>0</v>
      </c>
      <c r="X28" s="8">
        <f>Coverage!Q28</f>
        <v>0</v>
      </c>
      <c r="Y28" s="7">
        <f>Coverage!R28</f>
        <v>0</v>
      </c>
      <c r="Z28" s="6" t="inlineStr">
        <is>
          <t>NOT ASSESSABLE / EXCLUDED: numeric zero is a policy zero-fill, not measured inactivity</t>
        </is>
      </c>
      <c r="AA28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29">
      <c r="A29" s="2" t="inlineStr">
        <is>
          <t>C4-028</t>
        </is>
      </c>
      <c r="B29" s="2" t="inlineStr">
        <is>
          <t>DART (Digital Archivist's Resource Tool)</t>
        </is>
      </c>
      <c r="C29" s="2" t="inlineStr">
        <is>
          <t>software</t>
        </is>
      </c>
      <c r="D29" s="2" t="inlineStr">
        <is>
          <t>Ready</t>
        </is>
      </c>
      <c r="E29" s="2" t="inlineStr">
        <is>
          <t>aptrust/dart</t>
        </is>
      </c>
      <c r="F29" s="2" t="inlineStr">
        <is>
          <t>complete</t>
        </is>
      </c>
      <c r="G29" s="2" t="inlineStr">
        <is>
          <t>complete</t>
        </is>
      </c>
      <c r="H29" s="4">
        <f>Calc!H29</f>
        <v>76.54</v>
      </c>
      <c r="I29" s="4">
        <f>Calc!I29</f>
        <v>44.23</v>
      </c>
      <c r="J29" s="4">
        <f>Calc!J29</f>
        <v>100</v>
      </c>
      <c r="K29" s="4">
        <f>Calc!K29</f>
        <v>100</v>
      </c>
      <c r="L29" s="4">
        <f>Calc!L29</f>
        <v>31.7</v>
      </c>
      <c r="M29" s="4">
        <f>Calc!M29</f>
        <v>37.48</v>
      </c>
      <c r="N29" s="4">
        <f>Calc!N29</f>
        <v>25</v>
      </c>
      <c r="O29" s="4">
        <f>Calc!O29</f>
        <v>100</v>
      </c>
      <c r="P29" s="4">
        <f>Calc!P29</f>
        <v>0</v>
      </c>
      <c r="Q29" s="4">
        <f>Calc!Q29</f>
        <v>1.06</v>
      </c>
      <c r="R29" s="4">
        <f>Calc!R29</f>
        <v>0</v>
      </c>
      <c r="S29" s="4">
        <f>Calc!S29</f>
        <v>39.2</v>
      </c>
      <c r="T29" s="4">
        <f>Calc!T29</f>
        <v>0</v>
      </c>
      <c r="U29" s="4">
        <f>AVERAGE(H29:T29)</f>
        <v>42.7084615384615</v>
      </c>
      <c r="V29" s="4">
        <f>RANK(U29,$U$2:$U$113,0)+(COUNTIF($U$2:$U$113,U29)-1)/2</f>
        <v>66</v>
      </c>
      <c r="W29" s="2">
        <f>Coverage!P29</f>
        <v>11</v>
      </c>
      <c r="X29" s="5">
        <f>Coverage!Q29</f>
        <v>0.846153846153846</v>
      </c>
      <c r="Y29" s="4">
        <f>Coverage!R29</f>
        <v>50.4736363636364</v>
      </c>
      <c r="Z29" s="2" t="inlineStr">
        <is>
          <t>Repository marked assessable in register</t>
        </is>
      </c>
      <c r="AA29" s="2" t="inlineStr">
        <is>
          <t>m9_pr_response below minimum eligible sample (n=6); scored 0; m11_pr_decision30 below minimum eligible sample (n=5); scored 0</t>
        </is>
      </c>
    </row>
    <row r="30">
      <c r="A30" s="2" t="inlineStr">
        <is>
          <t>C4-029</t>
        </is>
      </c>
      <c r="B30" s="2" t="inlineStr">
        <is>
          <t>Database Information System</t>
        </is>
      </c>
      <c r="C30" s="2" t="inlineStr">
        <is>
          <t>software</t>
        </is>
      </c>
      <c r="D30" s="2" t="inlineStr">
        <is>
          <t>Keep (dormant/new)</t>
        </is>
      </c>
      <c r="E30" s="2" t="inlineStr">
        <is>
          <t>ub-regensburg/dbis</t>
        </is>
      </c>
      <c r="F30" s="2" t="inlineStr">
        <is>
          <t>complete</t>
        </is>
      </c>
      <c r="G30" s="2" t="inlineStr">
        <is>
          <t>complete</t>
        </is>
      </c>
      <c r="H30" s="4">
        <f>Calc!H30</f>
        <v>0</v>
      </c>
      <c r="I30" s="4">
        <f>Calc!I30</f>
        <v>0</v>
      </c>
      <c r="J30" s="4">
        <f>Calc!J30</f>
        <v>0</v>
      </c>
      <c r="K30" s="4">
        <f>Calc!K30</f>
        <v>0</v>
      </c>
      <c r="L30" s="4">
        <f>Calc!L30</f>
        <v>0</v>
      </c>
      <c r="M30" s="4">
        <f>Calc!M30</f>
        <v>0</v>
      </c>
      <c r="N30" s="4">
        <f>Calc!N30</f>
        <v>0</v>
      </c>
      <c r="O30" s="4">
        <f>Calc!O30</f>
        <v>0</v>
      </c>
      <c r="P30" s="4">
        <f>Calc!P30</f>
        <v>0</v>
      </c>
      <c r="Q30" s="4">
        <f>Calc!Q30</f>
        <v>0</v>
      </c>
      <c r="R30" s="4">
        <f>Calc!R30</f>
        <v>0</v>
      </c>
      <c r="S30" s="4">
        <f>Calc!S30</f>
        <v>0</v>
      </c>
      <c r="T30" s="4">
        <f>Calc!T30</f>
        <v>0</v>
      </c>
      <c r="U30" s="4">
        <f>AVERAGE(H30:T30)</f>
        <v>0</v>
      </c>
      <c r="V30" s="4">
        <f>RANK(U30,$U$2:$U$113,0)+(COUNTIF($U$2:$U$113,U30)-1)/2</f>
        <v>106</v>
      </c>
      <c r="W30" s="2">
        <f>Coverage!P30</f>
        <v>9</v>
      </c>
      <c r="X30" s="5">
        <f>Coverage!Q30</f>
        <v>0.692307692307692</v>
      </c>
      <c r="Y30" s="4">
        <f>Coverage!R30</f>
        <v>0</v>
      </c>
      <c r="Z30" s="2" t="inlineStr">
        <is>
          <t>Repository marked assessable in register</t>
        </is>
      </c>
      <c r="AA30" s="2" t="inlineStr">
        <is>
          <t>m8_issue_response below minimum eligible sample (n=0); scored 0; m9_pr_response below minimum eligible sample (n=0); scored 0; m10_issue_close90 below minimum eligible sample (n=0); scored 0; m11_pr_decision30 below minimum eligible sample (n=0); scored 0</t>
        </is>
      </c>
    </row>
    <row r="31">
      <c r="A31" s="2" t="inlineStr">
        <is>
          <t>C4-030</t>
        </is>
      </c>
      <c r="B31" s="2" t="inlineStr">
        <is>
          <t>Data Citation Corpus</t>
        </is>
      </c>
      <c r="C31" s="2" t="inlineStr">
        <is>
          <t>software</t>
        </is>
      </c>
      <c r="D31" s="2" t="inlineStr">
        <is>
          <t>Keep</t>
        </is>
      </c>
      <c r="E31" s="2" t="inlineStr">
        <is>
          <t>Make-Data-Count-Community/corpus-data-file</t>
        </is>
      </c>
      <c r="F31" s="2" t="inlineStr">
        <is>
          <t>complete</t>
        </is>
      </c>
      <c r="G31" s="2" t="inlineStr">
        <is>
          <t>complete</t>
        </is>
      </c>
      <c r="H31" s="4">
        <f>Calc!H31</f>
        <v>10.03</v>
      </c>
      <c r="I31" s="4">
        <f>Calc!I31</f>
        <v>1.92</v>
      </c>
      <c r="J31" s="4">
        <f>Calc!J31</f>
        <v>80.72</v>
      </c>
      <c r="K31" s="4">
        <f>Calc!K31</f>
        <v>0</v>
      </c>
      <c r="L31" s="4">
        <f>Calc!L31</f>
        <v>0</v>
      </c>
      <c r="M31" s="4">
        <f>Calc!M31</f>
        <v>0</v>
      </c>
      <c r="N31" s="4">
        <f>Calc!N31</f>
        <v>0</v>
      </c>
      <c r="O31" s="4">
        <f>Calc!O31</f>
        <v>0</v>
      </c>
      <c r="P31" s="4">
        <f>Calc!P31</f>
        <v>0</v>
      </c>
      <c r="Q31" s="4">
        <f>Calc!Q31</f>
        <v>0</v>
      </c>
      <c r="R31" s="4">
        <f>Calc!R31</f>
        <v>0</v>
      </c>
      <c r="S31" s="4">
        <f>Calc!S31</f>
        <v>10.03</v>
      </c>
      <c r="T31" s="4">
        <f>Calc!T31</f>
        <v>0</v>
      </c>
      <c r="U31" s="4">
        <f>AVERAGE(H31:T31)</f>
        <v>7.9</v>
      </c>
      <c r="V31" s="4">
        <f>RANK(U31,$U$2:$U$113,0)+(COUNTIF($U$2:$U$113,U31)-1)/2</f>
        <v>95</v>
      </c>
      <c r="W31" s="2">
        <f>Coverage!P31</f>
        <v>9</v>
      </c>
      <c r="X31" s="5">
        <f>Coverage!Q31</f>
        <v>0.692307692307692</v>
      </c>
      <c r="Y31" s="4">
        <f>Coverage!R31</f>
        <v>11.4111111111111</v>
      </c>
      <c r="Z31" s="2" t="inlineStr">
        <is>
          <t>Repository marked assessable in register</t>
        </is>
      </c>
      <c r="AA31" s="2" t="inlineStr">
        <is>
          <t>m8_issue_response below minimum eligible sample (n=0); scored 0; m9_pr_response below minimum eligible sample (n=0); scored 0; m10_issue_close90 below minimum eligible sample (n=0); scored 0; m11_pr_decision30 below minimum eligible sample (n=0); scored 0</t>
        </is>
      </c>
    </row>
    <row r="32">
      <c r="A32" s="2" t="inlineStr">
        <is>
          <t>C4-031</t>
        </is>
      </c>
      <c r="B32" s="2" t="inlineStr">
        <is>
          <t>DataCite</t>
        </is>
      </c>
      <c r="C32" s="2" t="inlineStr">
        <is>
          <t>software</t>
        </is>
      </c>
      <c r="D32" s="2" t="inlineStr">
        <is>
          <t>Org URL -&gt; primary repo</t>
        </is>
      </c>
      <c r="E32" s="2" t="inlineStr">
        <is>
          <t>datacite/lupo</t>
        </is>
      </c>
      <c r="F32" s="2" t="inlineStr">
        <is>
          <t>complete</t>
        </is>
      </c>
      <c r="G32" s="2" t="inlineStr">
        <is>
          <t>complete</t>
        </is>
      </c>
      <c r="H32" s="4">
        <f>Calc!H32</f>
        <v>97.95</v>
      </c>
      <c r="I32" s="4">
        <f>Calc!I32</f>
        <v>96.15</v>
      </c>
      <c r="J32" s="4">
        <f>Calc!J32</f>
        <v>100</v>
      </c>
      <c r="K32" s="4">
        <f>Calc!K32</f>
        <v>100</v>
      </c>
      <c r="L32" s="4">
        <f>Calc!L32</f>
        <v>69.19</v>
      </c>
      <c r="M32" s="4">
        <f>Calc!M32</f>
        <v>67.26</v>
      </c>
      <c r="N32" s="4">
        <f>Calc!N32</f>
        <v>100</v>
      </c>
      <c r="O32" s="4">
        <f>Calc!O32</f>
        <v>40</v>
      </c>
      <c r="P32" s="4">
        <f>Calc!P32</f>
        <v>80.56</v>
      </c>
      <c r="Q32" s="4">
        <f>Calc!Q32</f>
        <v>64.29</v>
      </c>
      <c r="R32" s="4">
        <f>Calc!R32</f>
        <v>88.46</v>
      </c>
      <c r="S32" s="4">
        <f>Calc!S32</f>
        <v>15.9</v>
      </c>
      <c r="T32" s="4">
        <f>Calc!T32</f>
        <v>0</v>
      </c>
      <c r="U32" s="4">
        <f>AVERAGE(H32:T32)</f>
        <v>70.7507692307692</v>
      </c>
      <c r="V32" s="4">
        <f>RANK(U32,$U$2:$U$113,0)+(COUNTIF($U$2:$U$113,U32)-1)/2</f>
        <v>24</v>
      </c>
      <c r="W32" s="2">
        <f>Coverage!P32</f>
        <v>13</v>
      </c>
      <c r="X32" s="5">
        <f>Coverage!Q32</f>
        <v>1</v>
      </c>
      <c r="Y32" s="4">
        <f>Coverage!R32</f>
        <v>70.7507692307692</v>
      </c>
      <c r="Z32" s="2" t="inlineStr">
        <is>
          <t>Repository marked assessable in register</t>
        </is>
      </c>
      <c r="AA32" s="2" t="inlineStr">
        <is>
          <t>No missing metric inputs flagged by pipeline availability checks</t>
        </is>
      </c>
    </row>
    <row r="33">
      <c r="A33" s="2" t="inlineStr">
        <is>
          <t>C4-032</t>
        </is>
      </c>
      <c r="B33" s="2" t="inlineStr">
        <is>
          <t>Data Stewardship Wizard</t>
        </is>
      </c>
      <c r="C33" s="2" t="inlineStr">
        <is>
          <t>software</t>
        </is>
      </c>
      <c r="D33" s="2" t="inlineStr">
        <is>
          <t>Org URL -&gt; product set</t>
        </is>
      </c>
      <c r="E33" s="2" t="inlineStr">
        <is>
          <t>ds-wizard/engine-backend;ds-wizard/engine-frontend</t>
        </is>
      </c>
      <c r="F33" s="2" t="inlineStr">
        <is>
          <t>complete</t>
        </is>
      </c>
      <c r="G33" s="2" t="inlineStr">
        <is>
          <t>complete</t>
        </is>
      </c>
      <c r="H33" s="4">
        <f>Calc!H33</f>
        <v>85.94</v>
      </c>
      <c r="I33" s="4">
        <f>Calc!I33</f>
        <v>94.23</v>
      </c>
      <c r="J33" s="4">
        <f>Calc!J33</f>
        <v>100</v>
      </c>
      <c r="K33" s="4">
        <f>Calc!K33</f>
        <v>100</v>
      </c>
      <c r="L33" s="4">
        <f>Calc!L33</f>
        <v>40</v>
      </c>
      <c r="M33" s="4">
        <f>Calc!M33</f>
        <v>31.62</v>
      </c>
      <c r="N33" s="4">
        <f>Calc!N33</f>
        <v>75</v>
      </c>
      <c r="O33" s="4">
        <f>Calc!O33</f>
        <v>60</v>
      </c>
      <c r="P33" s="4">
        <f>Calc!P33</f>
        <v>2.65</v>
      </c>
      <c r="Q33" s="4">
        <f>Calc!Q33</f>
        <v>0</v>
      </c>
      <c r="R33" s="4">
        <f>Calc!R33</f>
        <v>100</v>
      </c>
      <c r="S33" s="4">
        <f>Calc!S33</f>
        <v>28.17</v>
      </c>
      <c r="T33" s="4">
        <f>Calc!T33</f>
        <v>42.16</v>
      </c>
      <c r="U33" s="4">
        <f>AVERAGE(H33:T33)</f>
        <v>58.4438461538462</v>
      </c>
      <c r="V33" s="4">
        <f>RANK(U33,$U$2:$U$113,0)+(COUNTIF($U$2:$U$113,U33)-1)/2</f>
        <v>46</v>
      </c>
      <c r="W33" s="2">
        <f>Coverage!P33</f>
        <v>12</v>
      </c>
      <c r="X33" s="5">
        <f>Coverage!Q33</f>
        <v>0.923076923076923</v>
      </c>
      <c r="Y33" s="4">
        <f>Coverage!R33</f>
        <v>63.3141666666667</v>
      </c>
      <c r="Z33" s="2" t="inlineStr">
        <is>
          <t>Repository marked assessable in register</t>
        </is>
      </c>
      <c r="AA33" s="2" t="inlineStr">
        <is>
          <t>m10_issue_close90 below minimum eligible sample (n=8); scored 0</t>
        </is>
      </c>
    </row>
    <row r="34">
      <c r="A34" s="2" t="inlineStr">
        <is>
          <t>C4-033</t>
        </is>
      </c>
      <c r="B34" s="2" t="inlineStr">
        <is>
          <t>Dataverse</t>
        </is>
      </c>
      <c r="C34" s="2" t="inlineStr">
        <is>
          <t>software</t>
        </is>
      </c>
      <c r="D34" s="2" t="inlineStr">
        <is>
          <t>Ready</t>
        </is>
      </c>
      <c r="E34" s="2" t="inlineStr">
        <is>
          <t>IQSS/dataverse</t>
        </is>
      </c>
      <c r="F34" s="2" t="inlineStr">
        <is>
          <t>complete</t>
        </is>
      </c>
      <c r="G34" s="2" t="inlineStr">
        <is>
          <t>complete</t>
        </is>
      </c>
      <c r="H34" s="4">
        <f>Calc!H34</f>
        <v>100</v>
      </c>
      <c r="I34" s="4">
        <f>Calc!I34</f>
        <v>98.08</v>
      </c>
      <c r="J34" s="4">
        <f>Calc!J34</f>
        <v>100</v>
      </c>
      <c r="K34" s="4">
        <f>Calc!K34</f>
        <v>100</v>
      </c>
      <c r="L34" s="4">
        <f>Calc!L34</f>
        <v>100</v>
      </c>
      <c r="M34" s="4">
        <f>Calc!M34</f>
        <v>93.78</v>
      </c>
      <c r="N34" s="4">
        <f>Calc!N34</f>
        <v>100</v>
      </c>
      <c r="O34" s="4">
        <f>Calc!O34</f>
        <v>55.95</v>
      </c>
      <c r="P34" s="4">
        <f>Calc!P34</f>
        <v>78.72</v>
      </c>
      <c r="Q34" s="4">
        <f>Calc!Q34</f>
        <v>43.31</v>
      </c>
      <c r="R34" s="4">
        <f>Calc!R34</f>
        <v>59.88</v>
      </c>
      <c r="S34" s="4">
        <f>Calc!S34</f>
        <v>64.97</v>
      </c>
      <c r="T34" s="4">
        <f>Calc!T34</f>
        <v>84.33</v>
      </c>
      <c r="U34" s="4">
        <f>AVERAGE(H34:T34)</f>
        <v>83.0015384615385</v>
      </c>
      <c r="V34" s="4">
        <f>RANK(U34,$U$2:$U$113,0)+(COUNTIF($U$2:$U$113,U34)-1)/2</f>
        <v>5</v>
      </c>
      <c r="W34" s="2">
        <f>Coverage!P34</f>
        <v>13</v>
      </c>
      <c r="X34" s="5">
        <f>Coverage!Q34</f>
        <v>1</v>
      </c>
      <c r="Y34" s="4">
        <f>Coverage!R34</f>
        <v>83.0015384615385</v>
      </c>
      <c r="Z34" s="2" t="inlineStr">
        <is>
          <t>Repository marked assessable in register</t>
        </is>
      </c>
      <c r="AA34" s="2" t="inlineStr">
        <is>
          <t>No missing metric inputs flagged by pipeline availability checks</t>
        </is>
      </c>
    </row>
    <row r="35">
      <c r="A35" s="2" t="inlineStr">
        <is>
          <t>C4-034</t>
        </is>
      </c>
      <c r="B35" s="2" t="inlineStr">
        <is>
          <t>DLCM Backend</t>
        </is>
      </c>
      <c r="C35" s="2" t="inlineStr">
        <is>
          <t>software</t>
        </is>
      </c>
      <c r="D35" s="2" t="inlineStr">
        <is>
          <t>Non-GitHub</t>
        </is>
      </c>
      <c r="E35" s="2" t="inlineStr">
        <is>
          <t>https://gitlab.unige.ch/dlcm/community/dlcm-backend</t>
        </is>
      </c>
      <c r="F35" s="2" t="inlineStr">
        <is>
          <t>complete</t>
        </is>
      </c>
      <c r="G35" s="2" t="inlineStr">
        <is>
          <t>no GitHub source</t>
        </is>
      </c>
      <c r="H35" s="4">
        <f>Calc!H35</f>
        <v>68.43</v>
      </c>
      <c r="I35" s="4">
        <f>Calc!I35</f>
        <v>71.15</v>
      </c>
      <c r="J35" s="4">
        <f>Calc!J35</f>
        <v>100</v>
      </c>
      <c r="K35" s="4">
        <f>Calc!K35</f>
        <v>100</v>
      </c>
      <c r="L35" s="4">
        <f>Calc!L35</f>
        <v>66.44</v>
      </c>
      <c r="M35" s="4">
        <f>Calc!M35</f>
        <v>85.44</v>
      </c>
      <c r="N35" s="4">
        <f>Calc!N35</f>
        <v>100</v>
      </c>
      <c r="O35" s="4">
        <f>Calc!O35</f>
        <v>0</v>
      </c>
      <c r="P35" s="4">
        <f>Calc!P35</f>
        <v>0</v>
      </c>
      <c r="Q35" s="4">
        <f>Calc!Q35</f>
        <v>0</v>
      </c>
      <c r="R35" s="4">
        <f>Calc!R35</f>
        <v>0</v>
      </c>
      <c r="S35" s="4">
        <f>Calc!S35</f>
        <v>0</v>
      </c>
      <c r="T35" s="4">
        <f>Calc!T35</f>
        <v>0</v>
      </c>
      <c r="U35" s="4">
        <f>AVERAGE(H35:T35)</f>
        <v>45.4969230769231</v>
      </c>
      <c r="V35" s="4">
        <f>RANK(U35,$U$2:$U$113,0)+(COUNTIF($U$2:$U$113,U35)-1)/2</f>
        <v>62</v>
      </c>
      <c r="W35" s="2">
        <f>Coverage!P35</f>
        <v>7</v>
      </c>
      <c r="X35" s="5">
        <f>Coverage!Q35</f>
        <v>0.538461538461538</v>
      </c>
      <c r="Y35" s="4">
        <f>Coverage!R35</f>
        <v>84.4942857142857</v>
      </c>
      <c r="Z35" s="2" t="inlineStr">
        <is>
          <t>Repository marked assessable in register</t>
        </is>
      </c>
      <c r="AA35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36">
      <c r="A36" s="2" t="inlineStr">
        <is>
          <t>C4-035</t>
        </is>
      </c>
      <c r="B36" s="2" t="inlineStr">
        <is>
          <t>DLCM Portal</t>
        </is>
      </c>
      <c r="C36" s="2" t="inlineStr">
        <is>
          <t>software</t>
        </is>
      </c>
      <c r="D36" s="2" t="inlineStr">
        <is>
          <t>Non-GitHub</t>
        </is>
      </c>
      <c r="E36" s="2" t="inlineStr">
        <is>
          <t>https://gitlab.unige.ch/dlcm/ui/dlcm-portal</t>
        </is>
      </c>
      <c r="F36" s="2" t="inlineStr">
        <is>
          <t>complete</t>
        </is>
      </c>
      <c r="G36" s="2" t="inlineStr">
        <is>
          <t>no GitHub source</t>
        </is>
      </c>
      <c r="H36" s="4">
        <f>Calc!H36</f>
        <v>74.67</v>
      </c>
      <c r="I36" s="4">
        <f>Calc!I36</f>
        <v>63.46</v>
      </c>
      <c r="J36" s="4">
        <f>Calc!J36</f>
        <v>100</v>
      </c>
      <c r="K36" s="4">
        <f>Calc!K36</f>
        <v>100</v>
      </c>
      <c r="L36" s="4">
        <f>Calc!L36</f>
        <v>56.15</v>
      </c>
      <c r="M36" s="4">
        <f>Calc!M36</f>
        <v>31.87</v>
      </c>
      <c r="N36" s="4">
        <f>Calc!N36</f>
        <v>75</v>
      </c>
      <c r="O36" s="4">
        <f>Calc!O36</f>
        <v>0</v>
      </c>
      <c r="P36" s="4">
        <f>Calc!P36</f>
        <v>0</v>
      </c>
      <c r="Q36" s="4">
        <f>Calc!Q36</f>
        <v>0</v>
      </c>
      <c r="R36" s="4">
        <f>Calc!R36</f>
        <v>0</v>
      </c>
      <c r="S36" s="4">
        <f>Calc!S36</f>
        <v>0</v>
      </c>
      <c r="T36" s="4">
        <f>Calc!T36</f>
        <v>0</v>
      </c>
      <c r="U36" s="4">
        <f>AVERAGE(H36:T36)</f>
        <v>38.55</v>
      </c>
      <c r="V36" s="4">
        <f>RANK(U36,$U$2:$U$113,0)+(COUNTIF($U$2:$U$113,U36)-1)/2</f>
        <v>72</v>
      </c>
      <c r="W36" s="2">
        <f>Coverage!P36</f>
        <v>7</v>
      </c>
      <c r="X36" s="5">
        <f>Coverage!Q36</f>
        <v>0.538461538461538</v>
      </c>
      <c r="Y36" s="4">
        <f>Coverage!R36</f>
        <v>71.5928571428571</v>
      </c>
      <c r="Z36" s="2" t="inlineStr">
        <is>
          <t>Repository marked assessable in register</t>
        </is>
      </c>
      <c r="AA36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37">
      <c r="A37" s="2" t="inlineStr">
        <is>
          <t>C4-036</t>
        </is>
      </c>
      <c r="B37" s="2" t="inlineStr">
        <is>
          <t>DMP Tool</t>
        </is>
      </c>
      <c r="C37" s="2" t="inlineStr">
        <is>
          <t>software</t>
        </is>
      </c>
      <c r="D37" s="2" t="inlineStr">
        <is>
          <t>Replace URL (verify)</t>
        </is>
      </c>
      <c r="E37" s="2" t="inlineStr">
        <is>
          <t>CDLUC3/dmsp_frontend_prototype;CDLUC3/dmsp_backend_prototype</t>
        </is>
      </c>
      <c r="F37" s="2" t="inlineStr">
        <is>
          <t>complete</t>
        </is>
      </c>
      <c r="G37" s="2" t="inlineStr">
        <is>
          <t>complete</t>
        </is>
      </c>
      <c r="H37" s="4">
        <f>Calc!H37</f>
        <v>100</v>
      </c>
      <c r="I37" s="4">
        <f>Calc!I37</f>
        <v>94.23</v>
      </c>
      <c r="J37" s="4">
        <f>Calc!J37</f>
        <v>100</v>
      </c>
      <c r="K37" s="4">
        <f>Calc!K37</f>
        <v>50</v>
      </c>
      <c r="L37" s="4">
        <f>Calc!L37</f>
        <v>63.4</v>
      </c>
      <c r="M37" s="4">
        <f>Calc!M37</f>
        <v>41.29</v>
      </c>
      <c r="N37" s="4">
        <f>Calc!N37</f>
        <v>75</v>
      </c>
      <c r="O37" s="4">
        <f>Calc!O37</f>
        <v>38.36</v>
      </c>
      <c r="P37" s="4">
        <f>Calc!P37</f>
        <v>91.38</v>
      </c>
      <c r="Q37" s="4">
        <f>Calc!Q37</f>
        <v>53.42</v>
      </c>
      <c r="R37" s="4">
        <f>Calc!R37</f>
        <v>99.78</v>
      </c>
      <c r="S37" s="4">
        <f>Calc!S37</f>
        <v>0</v>
      </c>
      <c r="T37" s="4">
        <f>Calc!T37</f>
        <v>15.02</v>
      </c>
      <c r="U37" s="4">
        <f>AVERAGE(H37:T37)</f>
        <v>63.2215384615385</v>
      </c>
      <c r="V37" s="4">
        <f>RANK(U37,$U$2:$U$113,0)+(COUNTIF($U$2:$U$113,U37)-1)/2</f>
        <v>37</v>
      </c>
      <c r="W37" s="2">
        <f>Coverage!P37</f>
        <v>13</v>
      </c>
      <c r="X37" s="5">
        <f>Coverage!Q37</f>
        <v>1</v>
      </c>
      <c r="Y37" s="4">
        <f>Coverage!R37</f>
        <v>63.2215384615385</v>
      </c>
      <c r="Z37" s="2" t="inlineStr">
        <is>
          <t>Repository marked assessable in register</t>
        </is>
      </c>
      <c r="AA37" s="2" t="inlineStr">
        <is>
          <t>No missing metric inputs flagged by pipeline availability checks</t>
        </is>
      </c>
    </row>
    <row r="38">
      <c r="A38" s="2" t="inlineStr">
        <is>
          <t>C4-037</t>
        </is>
      </c>
      <c r="B38" s="2" t="inlineStr">
        <is>
          <t>DOAJ (Directory of Open Access Journals)</t>
        </is>
      </c>
      <c r="C38" s="2" t="inlineStr">
        <is>
          <t>software</t>
        </is>
      </c>
      <c r="D38" s="2" t="inlineStr">
        <is>
          <t>Org URL -&gt; primary repo</t>
        </is>
      </c>
      <c r="E38" s="2" t="inlineStr">
        <is>
          <t>DOAJ/doaj</t>
        </is>
      </c>
      <c r="F38" s="2" t="inlineStr">
        <is>
          <t>complete</t>
        </is>
      </c>
      <c r="G38" s="2" t="inlineStr">
        <is>
          <t>complete</t>
        </is>
      </c>
      <c r="H38" s="4">
        <f>Calc!H38</f>
        <v>95.61</v>
      </c>
      <c r="I38" s="4">
        <f>Calc!I38</f>
        <v>98.08</v>
      </c>
      <c r="J38" s="4">
        <f>Calc!J38</f>
        <v>100</v>
      </c>
      <c r="K38" s="4">
        <f>Calc!K38</f>
        <v>100</v>
      </c>
      <c r="L38" s="4">
        <f>Calc!L38</f>
        <v>80</v>
      </c>
      <c r="M38" s="4">
        <f>Calc!M38</f>
        <v>100</v>
      </c>
      <c r="N38" s="4">
        <f>Calc!N38</f>
        <v>100</v>
      </c>
      <c r="O38" s="4">
        <f>Calc!O38</f>
        <v>0</v>
      </c>
      <c r="P38" s="4">
        <f>Calc!P38</f>
        <v>36.36</v>
      </c>
      <c r="Q38" s="4">
        <f>Calc!Q38</f>
        <v>0</v>
      </c>
      <c r="R38" s="4">
        <f>Calc!R38</f>
        <v>49.45</v>
      </c>
      <c r="S38" s="4">
        <f>Calc!S38</f>
        <v>31.8</v>
      </c>
      <c r="T38" s="4">
        <f>Calc!T38</f>
        <v>15.02</v>
      </c>
      <c r="U38" s="4">
        <f>AVERAGE(H38:T38)</f>
        <v>62.0246153846154</v>
      </c>
      <c r="V38" s="4">
        <f>RANK(U38,$U$2:$U$113,0)+(COUNTIF($U$2:$U$113,U38)-1)/2</f>
        <v>39</v>
      </c>
      <c r="W38" s="2">
        <f>Coverage!P38</f>
        <v>11</v>
      </c>
      <c r="X38" s="5">
        <f>Coverage!Q38</f>
        <v>0.846153846153846</v>
      </c>
      <c r="Y38" s="4">
        <f>Coverage!R38</f>
        <v>73.3018181818182</v>
      </c>
      <c r="Z38" s="2" t="inlineStr">
        <is>
          <t>Repository marked assessable in register</t>
        </is>
      </c>
      <c r="AA38" s="2" t="inlineStr">
        <is>
          <t>m8_issue_response below minimum eligible sample (n=8); scored 0; m10_issue_close90 below minimum eligible sample (n=8); scored 0</t>
        </is>
      </c>
    </row>
    <row r="39">
      <c r="A39" s="2" t="inlineStr">
        <is>
          <t>C4-038</t>
        </is>
      </c>
      <c r="B39" s="2" t="inlineStr">
        <is>
          <t>dokieli</t>
        </is>
      </c>
      <c r="C39" s="2" t="inlineStr">
        <is>
          <t>software</t>
        </is>
      </c>
      <c r="D39" s="2" t="inlineStr">
        <is>
          <t>Ready</t>
        </is>
      </c>
      <c r="E39" s="2" t="inlineStr">
        <is>
          <t>linkeddata/dokieli</t>
        </is>
      </c>
      <c r="F39" s="2" t="inlineStr">
        <is>
          <t>complete</t>
        </is>
      </c>
      <c r="G39" s="2" t="inlineStr">
        <is>
          <t>complete</t>
        </is>
      </c>
      <c r="H39" s="4">
        <f>Calc!H39</f>
        <v>98.73</v>
      </c>
      <c r="I39" s="4">
        <f>Calc!I39</f>
        <v>86.54</v>
      </c>
      <c r="J39" s="4">
        <f>Calc!J39</f>
        <v>100</v>
      </c>
      <c r="K39" s="4">
        <f>Calc!K39</f>
        <v>0</v>
      </c>
      <c r="L39" s="4">
        <f>Calc!L39</f>
        <v>31.7</v>
      </c>
      <c r="M39" s="4">
        <f>Calc!M39</f>
        <v>31.37</v>
      </c>
      <c r="N39" s="4">
        <f>Calc!N39</f>
        <v>50</v>
      </c>
      <c r="O39" s="4">
        <f>Calc!O39</f>
        <v>11.76</v>
      </c>
      <c r="P39" s="4">
        <f>Calc!P39</f>
        <v>40.74</v>
      </c>
      <c r="Q39" s="4">
        <f>Calc!Q39</f>
        <v>26.39</v>
      </c>
      <c r="R39" s="4">
        <f>Calc!R39</f>
        <v>97.56</v>
      </c>
      <c r="S39" s="4">
        <f>Calc!S39</f>
        <v>55.42</v>
      </c>
      <c r="T39" s="4">
        <f>Calc!T39</f>
        <v>53.84</v>
      </c>
      <c r="U39" s="4">
        <f>AVERAGE(H39:T39)</f>
        <v>52.6192307692308</v>
      </c>
      <c r="V39" s="4">
        <f>RANK(U39,$U$2:$U$113,0)+(COUNTIF($U$2:$U$113,U39)-1)/2</f>
        <v>56</v>
      </c>
      <c r="W39" s="2">
        <f>Coverage!P39</f>
        <v>13</v>
      </c>
      <c r="X39" s="5">
        <f>Coverage!Q39</f>
        <v>1</v>
      </c>
      <c r="Y39" s="4">
        <f>Coverage!R39</f>
        <v>52.6192307692308</v>
      </c>
      <c r="Z39" s="2" t="inlineStr">
        <is>
          <t>Repository marked assessable in register</t>
        </is>
      </c>
      <c r="AA39" s="2" t="inlineStr">
        <is>
          <t>No missing metric inputs flagged by pipeline availability checks</t>
        </is>
      </c>
    </row>
    <row r="40">
      <c r="A40" s="2" t="inlineStr">
        <is>
          <t>C4-039</t>
        </is>
      </c>
      <c r="B40" s="2" t="inlineStr">
        <is>
          <t>Dryad</t>
        </is>
      </c>
      <c r="C40" s="2" t="inlineStr">
        <is>
          <t>software</t>
        </is>
      </c>
      <c r="D40" s="2" t="inlineStr">
        <is>
          <t>Replace URL</t>
        </is>
      </c>
      <c r="E40" s="2" t="inlineStr">
        <is>
          <t>datadryad/dryad-app</t>
        </is>
      </c>
      <c r="F40" s="2" t="inlineStr">
        <is>
          <t>complete</t>
        </is>
      </c>
      <c r="G40" s="2" t="inlineStr">
        <is>
          <t>complete</t>
        </is>
      </c>
      <c r="H40" s="4">
        <f>Calc!H40</f>
        <v>100</v>
      </c>
      <c r="I40" s="4">
        <f>Calc!I40</f>
        <v>98.08</v>
      </c>
      <c r="J40" s="4">
        <f>Calc!J40</f>
        <v>100</v>
      </c>
      <c r="K40" s="4">
        <f>Calc!K40</f>
        <v>100</v>
      </c>
      <c r="L40" s="4">
        <f>Calc!L40</f>
        <v>31.7</v>
      </c>
      <c r="M40" s="4">
        <f>Calc!M40</f>
        <v>30.36</v>
      </c>
      <c r="N40" s="4">
        <f>Calc!N40</f>
        <v>75</v>
      </c>
      <c r="O40" s="4">
        <f>Calc!O40</f>
        <v>0</v>
      </c>
      <c r="P40" s="4">
        <f>Calc!P40</f>
        <v>62.13</v>
      </c>
      <c r="Q40" s="4">
        <f>Calc!Q40</f>
        <v>0</v>
      </c>
      <c r="R40" s="4">
        <f>Calc!R40</f>
        <v>98.94</v>
      </c>
      <c r="S40" s="4">
        <f>Calc!S40</f>
        <v>23.3</v>
      </c>
      <c r="T40" s="4">
        <f>Calc!T40</f>
        <v>15.02</v>
      </c>
      <c r="U40" s="4">
        <f>AVERAGE(H40:T40)</f>
        <v>56.5023076923077</v>
      </c>
      <c r="V40" s="4">
        <f>RANK(U40,$U$2:$U$113,0)+(COUNTIF($U$2:$U$113,U40)-1)/2</f>
        <v>52</v>
      </c>
      <c r="W40" s="2">
        <f>Coverage!P40</f>
        <v>11</v>
      </c>
      <c r="X40" s="5">
        <f>Coverage!Q40</f>
        <v>0.846153846153846</v>
      </c>
      <c r="Y40" s="4">
        <f>Coverage!R40</f>
        <v>66.7754545454546</v>
      </c>
      <c r="Z40" s="2" t="inlineStr">
        <is>
          <t>Repository marked assessable in register</t>
        </is>
      </c>
      <c r="AA40" s="2" t="inlineStr">
        <is>
          <t>m8_issue_response below minimum eligible sample (n=0); scored 0; m10_issue_close90 below minimum eligible sample (n=0); scored 0</t>
        </is>
      </c>
    </row>
    <row r="41">
      <c r="A41" s="2" t="inlineStr">
        <is>
          <t>C4-040</t>
        </is>
      </c>
      <c r="B41" s="2" t="inlineStr">
        <is>
          <t>DSpace</t>
        </is>
      </c>
      <c r="C41" s="2" t="inlineStr">
        <is>
          <t>software</t>
        </is>
      </c>
      <c r="D41" s="2" t="inlineStr">
        <is>
          <t>Ready</t>
        </is>
      </c>
      <c r="E41" s="2" t="inlineStr">
        <is>
          <t>DSpace/DSpace</t>
        </is>
      </c>
      <c r="F41" s="2" t="inlineStr">
        <is>
          <t>complete</t>
        </is>
      </c>
      <c r="G41" s="2" t="inlineStr">
        <is>
          <t>complete</t>
        </is>
      </c>
      <c r="H41" s="4">
        <f>Calc!H41</f>
        <v>100</v>
      </c>
      <c r="I41" s="4">
        <f>Calc!I41</f>
        <v>96.15</v>
      </c>
      <c r="J41" s="4">
        <f>Calc!J41</f>
        <v>100</v>
      </c>
      <c r="K41" s="4">
        <f>Calc!K41</f>
        <v>100</v>
      </c>
      <c r="L41" s="4">
        <f>Calc!L41</f>
        <v>100</v>
      </c>
      <c r="M41" s="4">
        <f>Calc!M41</f>
        <v>100</v>
      </c>
      <c r="N41" s="4">
        <f>Calc!N41</f>
        <v>100</v>
      </c>
      <c r="O41" s="4">
        <f>Calc!O41</f>
        <v>95.03</v>
      </c>
      <c r="P41" s="4">
        <f>Calc!P41</f>
        <v>52.08</v>
      </c>
      <c r="Q41" s="4">
        <f>Calc!Q41</f>
        <v>32.59</v>
      </c>
      <c r="R41" s="4">
        <f>Calc!R41</f>
        <v>55.77</v>
      </c>
      <c r="S41" s="4">
        <f>Calc!S41</f>
        <v>67.36</v>
      </c>
      <c r="T41" s="4">
        <f>Calc!T41</f>
        <v>100</v>
      </c>
      <c r="U41" s="4">
        <f>AVERAGE(H41:T41)</f>
        <v>84.5369230769231</v>
      </c>
      <c r="V41" s="4">
        <f>RANK(U41,$U$2:$U$113,0)+(COUNTIF($U$2:$U$113,U41)-1)/2</f>
        <v>3</v>
      </c>
      <c r="W41" s="2">
        <f>Coverage!P41</f>
        <v>13</v>
      </c>
      <c r="X41" s="5">
        <f>Coverage!Q41</f>
        <v>1</v>
      </c>
      <c r="Y41" s="4">
        <f>Coverage!R41</f>
        <v>84.5369230769231</v>
      </c>
      <c r="Z41" s="2" t="inlineStr">
        <is>
          <t>Repository marked assessable in register</t>
        </is>
      </c>
      <c r="AA41" s="2" t="inlineStr">
        <is>
          <t>No missing metric inputs flagged by pipeline availability checks</t>
        </is>
      </c>
    </row>
    <row r="42">
      <c r="A42" s="2" t="inlineStr">
        <is>
          <t>C4-041</t>
        </is>
      </c>
      <c r="B42" s="2" t="inlineStr">
        <is>
          <t>DuraCloud</t>
        </is>
      </c>
      <c r="C42" s="2" t="inlineStr">
        <is>
          <t>software</t>
        </is>
      </c>
      <c r="D42" s="2" t="inlineStr">
        <is>
          <t>Ready</t>
        </is>
      </c>
      <c r="E42" s="2" t="inlineStr">
        <is>
          <t>duracloud/duracloud</t>
        </is>
      </c>
      <c r="F42" s="2" t="inlineStr">
        <is>
          <t>complete</t>
        </is>
      </c>
      <c r="G42" s="2" t="inlineStr">
        <is>
          <t>complete</t>
        </is>
      </c>
      <c r="H42" s="4">
        <f>Calc!H42</f>
        <v>28.17</v>
      </c>
      <c r="I42" s="4">
        <f>Calc!I42</f>
        <v>7.69</v>
      </c>
      <c r="J42" s="4">
        <f>Calc!J42</f>
        <v>71.88</v>
      </c>
      <c r="K42" s="4">
        <f>Calc!K42</f>
        <v>75</v>
      </c>
      <c r="L42" s="4">
        <f>Calc!L42</f>
        <v>20</v>
      </c>
      <c r="M42" s="4">
        <f>Calc!M42</f>
        <v>15.49</v>
      </c>
      <c r="N42" s="4">
        <f>Calc!N42</f>
        <v>25</v>
      </c>
      <c r="O42" s="4">
        <f>Calc!O42</f>
        <v>0</v>
      </c>
      <c r="P42" s="4">
        <f>Calc!P42</f>
        <v>0</v>
      </c>
      <c r="Q42" s="4">
        <f>Calc!Q42</f>
        <v>0</v>
      </c>
      <c r="R42" s="4">
        <f>Calc!R42</f>
        <v>0</v>
      </c>
      <c r="S42" s="4">
        <f>Calc!S42</f>
        <v>10.03</v>
      </c>
      <c r="T42" s="4">
        <f>Calc!T42</f>
        <v>0</v>
      </c>
      <c r="U42" s="4">
        <f>AVERAGE(H42:T42)</f>
        <v>19.4815384615385</v>
      </c>
      <c r="V42" s="4">
        <f>RANK(U42,$U$2:$U$113,0)+(COUNTIF($U$2:$U$113,U42)-1)/2</f>
        <v>87</v>
      </c>
      <c r="W42" s="2">
        <f>Coverage!P42</f>
        <v>9</v>
      </c>
      <c r="X42" s="5">
        <f>Coverage!Q42</f>
        <v>0.692307692307692</v>
      </c>
      <c r="Y42" s="4">
        <f>Coverage!R42</f>
        <v>28.14</v>
      </c>
      <c r="Z42" s="2" t="inlineStr">
        <is>
          <t>Repository marked assessable in register</t>
        </is>
      </c>
      <c r="AA42" s="2" t="inlineStr">
        <is>
          <t>m8_issue_response below minimum eligible sample (n=0); scored 0; m9_pr_response below minimum eligible sample (n=3); scored 0; m10_issue_close90 below minimum eligible sample (n=0); scored 0; m11_pr_decision30 below minimum eligible sample (n=3); scored 0</t>
        </is>
      </c>
    </row>
    <row r="43">
      <c r="A43" s="2" t="inlineStr">
        <is>
          <t>C4-042</t>
        </is>
      </c>
      <c r="B43" s="2" t="inlineStr">
        <is>
          <t>Episciences</t>
        </is>
      </c>
      <c r="C43" s="2" t="inlineStr">
        <is>
          <t>software</t>
        </is>
      </c>
      <c r="D43" s="2" t="inlineStr">
        <is>
          <t>Ready</t>
        </is>
      </c>
      <c r="E43" s="2" t="inlineStr">
        <is>
          <t>CCSDForge/episciences</t>
        </is>
      </c>
      <c r="F43" s="2" t="inlineStr">
        <is>
          <t>complete</t>
        </is>
      </c>
      <c r="G43" s="2" t="inlineStr">
        <is>
          <t>complete</t>
        </is>
      </c>
      <c r="H43" s="4">
        <f>Calc!H43</f>
        <v>100</v>
      </c>
      <c r="I43" s="4">
        <f>Calc!I43</f>
        <v>98.08</v>
      </c>
      <c r="J43" s="4">
        <f>Calc!J43</f>
        <v>100</v>
      </c>
      <c r="K43" s="4">
        <f>Calc!K43</f>
        <v>100</v>
      </c>
      <c r="L43" s="4">
        <f>Calc!L43</f>
        <v>46.44</v>
      </c>
      <c r="M43" s="4">
        <f>Calc!M43</f>
        <v>33.57</v>
      </c>
      <c r="N43" s="4">
        <f>Calc!N43</f>
        <v>75</v>
      </c>
      <c r="O43" s="4">
        <f>Calc!O43</f>
        <v>56.63</v>
      </c>
      <c r="P43" s="4">
        <f>Calc!P43</f>
        <v>46.27</v>
      </c>
      <c r="Q43" s="4">
        <f>Calc!Q43</f>
        <v>46.38</v>
      </c>
      <c r="R43" s="4">
        <f>Calc!R43</f>
        <v>92.18</v>
      </c>
      <c r="S43" s="4">
        <f>Calc!S43</f>
        <v>15.9</v>
      </c>
      <c r="T43" s="4">
        <f>Calc!T43</f>
        <v>15.02</v>
      </c>
      <c r="U43" s="4">
        <f>AVERAGE(H43:T43)</f>
        <v>63.4976923076923</v>
      </c>
      <c r="V43" s="4">
        <f>RANK(U43,$U$2:$U$113,0)+(COUNTIF($U$2:$U$113,U43)-1)/2</f>
        <v>35</v>
      </c>
      <c r="W43" s="2">
        <f>Coverage!P43</f>
        <v>13</v>
      </c>
      <c r="X43" s="5">
        <f>Coverage!Q43</f>
        <v>1</v>
      </c>
      <c r="Y43" s="4">
        <f>Coverage!R43</f>
        <v>63.4976923076923</v>
      </c>
      <c r="Z43" s="2" t="inlineStr">
        <is>
          <t>Repository marked assessable in register</t>
        </is>
      </c>
      <c r="AA43" s="2" t="inlineStr">
        <is>
          <t>No missing metric inputs flagged by pipeline availability checks</t>
        </is>
      </c>
    </row>
    <row r="44">
      <c r="A44" s="2" t="inlineStr">
        <is>
          <t>C4-043</t>
        </is>
      </c>
      <c r="B44" s="2" t="inlineStr">
        <is>
          <t>EPrints</t>
        </is>
      </c>
      <c r="C44" s="2" t="inlineStr">
        <is>
          <t>software</t>
        </is>
      </c>
      <c r="D44" s="2" t="inlineStr">
        <is>
          <t>Ready</t>
        </is>
      </c>
      <c r="E44" s="2" t="inlineStr">
        <is>
          <t>eprints/eprints3.4</t>
        </is>
      </c>
      <c r="F44" s="2" t="inlineStr">
        <is>
          <t>complete</t>
        </is>
      </c>
      <c r="G44" s="2" t="inlineStr">
        <is>
          <t>complete</t>
        </is>
      </c>
      <c r="H44" s="4">
        <f>Calc!H44</f>
        <v>63.78</v>
      </c>
      <c r="I44" s="4">
        <f>Calc!I44</f>
        <v>61.54</v>
      </c>
      <c r="J44" s="4">
        <f>Calc!J44</f>
        <v>100</v>
      </c>
      <c r="K44" s="4">
        <f>Calc!K44</f>
        <v>0</v>
      </c>
      <c r="L44" s="4">
        <f>Calc!L44</f>
        <v>63.4</v>
      </c>
      <c r="M44" s="4">
        <f>Calc!M44</f>
        <v>29.06</v>
      </c>
      <c r="N44" s="4">
        <f>Calc!N44</f>
        <v>75</v>
      </c>
      <c r="O44" s="4">
        <f>Calc!O44</f>
        <v>24</v>
      </c>
      <c r="P44" s="4">
        <f>Calc!P44</f>
        <v>58.82</v>
      </c>
      <c r="Q44" s="4">
        <f>Calc!Q44</f>
        <v>80.85</v>
      </c>
      <c r="R44" s="4">
        <f>Calc!R44</f>
        <v>86.67</v>
      </c>
      <c r="S44" s="4">
        <f>Calc!S44</f>
        <v>25.93</v>
      </c>
      <c r="T44" s="4">
        <f>Calc!T44</f>
        <v>34.87</v>
      </c>
      <c r="U44" s="4">
        <f>AVERAGE(H44:T44)</f>
        <v>54.1476923076923</v>
      </c>
      <c r="V44" s="4">
        <f>RANK(U44,$U$2:$U$113,0)+(COUNTIF($U$2:$U$113,U44)-1)/2</f>
        <v>55</v>
      </c>
      <c r="W44" s="2">
        <f>Coverage!P44</f>
        <v>13</v>
      </c>
      <c r="X44" s="5">
        <f>Coverage!Q44</f>
        <v>1</v>
      </c>
      <c r="Y44" s="4">
        <f>Coverage!R44</f>
        <v>54.1476923076923</v>
      </c>
      <c r="Z44" s="2" t="inlineStr">
        <is>
          <t>Repository marked assessable in register</t>
        </is>
      </c>
      <c r="AA44" s="2" t="inlineStr">
        <is>
          <t>No missing metric inputs flagged by pipeline availability checks</t>
        </is>
      </c>
    </row>
    <row r="45">
      <c r="A45" s="2" t="inlineStr">
        <is>
          <t>C4-044</t>
        </is>
      </c>
      <c r="B45" s="2" t="inlineStr">
        <is>
          <t>Érudit</t>
        </is>
      </c>
      <c r="C45" s="2" t="inlineStr">
        <is>
          <t>software</t>
        </is>
      </c>
      <c r="D45" s="2" t="inlineStr">
        <is>
          <t>Replace URL (GitLab)</t>
        </is>
      </c>
      <c r="E45" s="2" t="inlineStr">
        <is>
          <t>https://gitlab.erudit.org/erudit/portail/eruditorg</t>
        </is>
      </c>
      <c r="F45" s="2" t="inlineStr">
        <is>
          <t>failed: Command '['git', '-C', 'clones\\gitlab.erudit.org_erudit_portail_eruditorg.git', 'symbolic-ref', 'HEAD']' returned non-z</t>
        </is>
      </c>
      <c r="G45" s="2" t="inlineStr">
        <is>
          <t>no GitHub source</t>
        </is>
      </c>
      <c r="H45" s="4">
        <f>Calc!H45</f>
        <v>0</v>
      </c>
      <c r="I45" s="4">
        <f>Calc!I45</f>
        <v>0</v>
      </c>
      <c r="J45" s="4">
        <f>Calc!J45</f>
        <v>0</v>
      </c>
      <c r="K45" s="4">
        <f>Calc!K45</f>
        <v>0</v>
      </c>
      <c r="L45" s="4">
        <f>Calc!L45</f>
        <v>0</v>
      </c>
      <c r="M45" s="4">
        <f>Calc!M45</f>
        <v>0</v>
      </c>
      <c r="N45" s="4">
        <f>Calc!N45</f>
        <v>0</v>
      </c>
      <c r="O45" s="4">
        <f>Calc!O45</f>
        <v>0</v>
      </c>
      <c r="P45" s="4">
        <f>Calc!P45</f>
        <v>0</v>
      </c>
      <c r="Q45" s="4">
        <f>Calc!Q45</f>
        <v>0</v>
      </c>
      <c r="R45" s="4">
        <f>Calc!R45</f>
        <v>0</v>
      </c>
      <c r="S45" s="4">
        <f>Calc!S45</f>
        <v>0</v>
      </c>
      <c r="T45" s="4">
        <f>Calc!T45</f>
        <v>0</v>
      </c>
      <c r="U45" s="4">
        <f>AVERAGE(H45:T45)</f>
        <v>0</v>
      </c>
      <c r="V45" s="4">
        <f>RANK(U45,$U$2:$U$113,0)+(COUNTIF($U$2:$U$113,U45)-1)/2</f>
        <v>106</v>
      </c>
      <c r="W45" s="2">
        <f>Coverage!P45</f>
        <v>0</v>
      </c>
      <c r="X45" s="5">
        <f>Coverage!Q45</f>
        <v>0</v>
      </c>
      <c r="Y45" s="4">
        <f>Coverage!R45</f>
        <v>0</v>
      </c>
      <c r="Z45" s="2" t="inlineStr">
        <is>
          <t>Repository marked assessable in register</t>
        </is>
      </c>
      <c r="AA45" s="2" t="inlineStr">
        <is>
          <t>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46">
      <c r="A46" s="6" t="inlineStr">
        <is>
          <t>C4-045</t>
        </is>
      </c>
      <c r="B46" s="6" t="inlineStr">
        <is>
          <t>Europe PMC</t>
        </is>
      </c>
      <c r="C46" s="6" t="inlineStr">
        <is>
          <t>not-assessable</t>
        </is>
      </c>
      <c r="D46" s="6" t="inlineStr">
        <is>
          <t>Not assessable (verify)</t>
        </is>
      </c>
      <c r="E46" s="6" t="inlineStr"/>
      <c r="F46" s="6" t="n"/>
      <c r="G46" s="6" t="n"/>
      <c r="H46" s="7">
        <f>Calc!H46</f>
        <v>0</v>
      </c>
      <c r="I46" s="7">
        <f>Calc!I46</f>
        <v>0</v>
      </c>
      <c r="J46" s="7">
        <f>Calc!J46</f>
        <v>0</v>
      </c>
      <c r="K46" s="7">
        <f>Calc!K46</f>
        <v>0</v>
      </c>
      <c r="L46" s="7">
        <f>Calc!L46</f>
        <v>0</v>
      </c>
      <c r="M46" s="7">
        <f>Calc!M46</f>
        <v>0</v>
      </c>
      <c r="N46" s="7">
        <f>Calc!N46</f>
        <v>0</v>
      </c>
      <c r="O46" s="7">
        <f>Calc!O46</f>
        <v>0</v>
      </c>
      <c r="P46" s="7">
        <f>Calc!P46</f>
        <v>0</v>
      </c>
      <c r="Q46" s="7">
        <f>Calc!Q46</f>
        <v>0</v>
      </c>
      <c r="R46" s="7">
        <f>Calc!R46</f>
        <v>0</v>
      </c>
      <c r="S46" s="7">
        <f>Calc!S46</f>
        <v>0</v>
      </c>
      <c r="T46" s="7">
        <f>Calc!T46</f>
        <v>0</v>
      </c>
      <c r="U46" s="7">
        <f>AVERAGE(H46:T46)</f>
        <v>0</v>
      </c>
      <c r="V46" s="7">
        <f>RANK(U46,$U$2:$U$113,0)+(COUNTIF($U$2:$U$113,U46)-1)/2</f>
        <v>106</v>
      </c>
      <c r="W46" s="6">
        <f>Coverage!P46</f>
        <v>0</v>
      </c>
      <c r="X46" s="8">
        <f>Coverage!Q46</f>
        <v>0</v>
      </c>
      <c r="Y46" s="7">
        <f>Coverage!R46</f>
        <v>0</v>
      </c>
      <c r="Z46" s="6" t="inlineStr">
        <is>
          <t>NOT ASSESSABLE / EXCLUDED: numeric zero is a policy zero-fill, not measured inactivity</t>
        </is>
      </c>
      <c r="AA46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47">
      <c r="A47" s="2" t="inlineStr">
        <is>
          <t>C4-046</t>
        </is>
      </c>
      <c r="B47" s="2" t="inlineStr">
        <is>
          <t>FAIR Wizard</t>
        </is>
      </c>
      <c r="C47" s="2" t="inlineStr">
        <is>
          <t>software</t>
        </is>
      </c>
      <c r="D47" s="2" t="inlineStr">
        <is>
          <t>Resolved URL</t>
        </is>
      </c>
      <c r="E47" s="2" t="inlineStr">
        <is>
          <t>fair-wizard/fair-wizard-integration-sdk</t>
        </is>
      </c>
      <c r="F47" s="2" t="inlineStr">
        <is>
          <t>complete</t>
        </is>
      </c>
      <c r="G47" s="2" t="n"/>
      <c r="H47" s="4">
        <f>Calc!H47</f>
        <v>28.17</v>
      </c>
      <c r="I47" s="4">
        <f>Calc!I47</f>
        <v>5.77</v>
      </c>
      <c r="J47" s="4">
        <f>Calc!J47</f>
        <v>73.97</v>
      </c>
      <c r="K47" s="4">
        <f>Calc!K47</f>
        <v>100</v>
      </c>
      <c r="L47" s="4">
        <f>Calc!L47</f>
        <v>0</v>
      </c>
      <c r="M47" s="4">
        <f>Calc!M47</f>
        <v>0</v>
      </c>
      <c r="N47" s="4">
        <f>Calc!N47</f>
        <v>25</v>
      </c>
      <c r="O47" s="4">
        <f>Calc!O47</f>
        <v>0</v>
      </c>
      <c r="P47" s="4">
        <f>Calc!P47</f>
        <v>0</v>
      </c>
      <c r="Q47" s="4">
        <f>Calc!Q47</f>
        <v>0</v>
      </c>
      <c r="R47" s="4">
        <f>Calc!R47</f>
        <v>0</v>
      </c>
      <c r="S47" s="4">
        <f>Calc!S47</f>
        <v>0</v>
      </c>
      <c r="T47" s="4">
        <f>Calc!T47</f>
        <v>0</v>
      </c>
      <c r="U47" s="4">
        <f>AVERAGE(H47:T47)</f>
        <v>17.9161538461538</v>
      </c>
      <c r="V47" s="4">
        <f>RANK(U47,$U$2:$U$113,0)+(COUNTIF($U$2:$U$113,U47)-1)/2</f>
        <v>90</v>
      </c>
      <c r="W47" s="2">
        <f>Coverage!P47</f>
        <v>7</v>
      </c>
      <c r="X47" s="5">
        <f>Coverage!Q47</f>
        <v>0.538461538461538</v>
      </c>
      <c r="Y47" s="4">
        <f>Coverage!R47</f>
        <v>33.2728571428571</v>
      </c>
      <c r="Z47" s="2" t="inlineStr">
        <is>
          <t>Repository marked assessable in register</t>
        </is>
      </c>
      <c r="AA47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48">
      <c r="A48" s="2" t="inlineStr">
        <is>
          <t>C4-047</t>
        </is>
      </c>
      <c r="B48" s="2" t="inlineStr">
        <is>
          <t>Fedora</t>
        </is>
      </c>
      <c r="C48" s="2" t="inlineStr">
        <is>
          <t>software</t>
        </is>
      </c>
      <c r="D48" s="2" t="inlineStr">
        <is>
          <t>Ready</t>
        </is>
      </c>
      <c r="E48" s="2" t="inlineStr">
        <is>
          <t>fcrepo/fcrepo</t>
        </is>
      </c>
      <c r="F48" s="2" t="inlineStr">
        <is>
          <t>complete</t>
        </is>
      </c>
      <c r="G48" s="2" t="inlineStr">
        <is>
          <t>complete</t>
        </is>
      </c>
      <c r="H48" s="4">
        <f>Calc!H48</f>
        <v>59.97</v>
      </c>
      <c r="I48" s="4">
        <f>Calc!I48</f>
        <v>53.85</v>
      </c>
      <c r="J48" s="4">
        <f>Calc!J48</f>
        <v>100</v>
      </c>
      <c r="K48" s="4">
        <f>Calc!K48</f>
        <v>100</v>
      </c>
      <c r="L48" s="4">
        <f>Calc!L48</f>
        <v>51.7</v>
      </c>
      <c r="M48" s="4">
        <f>Calc!M48</f>
        <v>38.35</v>
      </c>
      <c r="N48" s="4">
        <f>Calc!N48</f>
        <v>75</v>
      </c>
      <c r="O48" s="4">
        <f>Calc!O48</f>
        <v>0</v>
      </c>
      <c r="P48" s="4">
        <f>Calc!P48</f>
        <v>71.15</v>
      </c>
      <c r="Q48" s="4">
        <f>Calc!Q48</f>
        <v>0</v>
      </c>
      <c r="R48" s="4">
        <f>Calc!R48</f>
        <v>91.84</v>
      </c>
      <c r="S48" s="4">
        <f>Calc!S48</f>
        <v>49.23</v>
      </c>
      <c r="T48" s="4">
        <f>Calc!T48</f>
        <v>47.61</v>
      </c>
      <c r="U48" s="4">
        <f>AVERAGE(H48:T48)</f>
        <v>56.8230769230769</v>
      </c>
      <c r="V48" s="4">
        <f>RANK(U48,$U$2:$U$113,0)+(COUNTIF($U$2:$U$113,U48)-1)/2</f>
        <v>51</v>
      </c>
      <c r="W48" s="2">
        <f>Coverage!P48</f>
        <v>11</v>
      </c>
      <c r="X48" s="5">
        <f>Coverage!Q48</f>
        <v>0.846153846153846</v>
      </c>
      <c r="Y48" s="4">
        <f>Coverage!R48</f>
        <v>67.1545454545455</v>
      </c>
      <c r="Z48" s="2" t="inlineStr">
        <is>
          <t>Repository marked assessable in register</t>
        </is>
      </c>
      <c r="AA48" s="2" t="inlineStr">
        <is>
          <t>m8_issue_response below minimum eligible sample (n=8); scored 0; m10_issue_close90 below minimum eligible sample (n=7); scored 0</t>
        </is>
      </c>
    </row>
    <row r="49">
      <c r="A49" s="2" t="inlineStr">
        <is>
          <t>C4-048</t>
        </is>
      </c>
      <c r="B49" s="2" t="inlineStr">
        <is>
          <t>fido</t>
        </is>
      </c>
      <c r="C49" s="2" t="inlineStr">
        <is>
          <t>software</t>
        </is>
      </c>
      <c r="D49" s="2" t="inlineStr">
        <is>
          <t>Ready</t>
        </is>
      </c>
      <c r="E49" s="2" t="inlineStr">
        <is>
          <t>openpreserve/fido</t>
        </is>
      </c>
      <c r="F49" s="2" t="inlineStr">
        <is>
          <t>complete</t>
        </is>
      </c>
      <c r="G49" s="2" t="inlineStr">
        <is>
          <t>complete</t>
        </is>
      </c>
      <c r="H49" s="4">
        <f>Calc!H49</f>
        <v>33.33</v>
      </c>
      <c r="I49" s="4">
        <f>Calc!I49</f>
        <v>5.77</v>
      </c>
      <c r="J49" s="4">
        <f>Calc!J49</f>
        <v>100</v>
      </c>
      <c r="K49" s="4">
        <f>Calc!K49</f>
        <v>50</v>
      </c>
      <c r="L49" s="4">
        <f>Calc!L49</f>
        <v>0</v>
      </c>
      <c r="M49" s="4">
        <f>Calc!M49</f>
        <v>0</v>
      </c>
      <c r="N49" s="4">
        <f>Calc!N49</f>
        <v>0</v>
      </c>
      <c r="O49" s="4">
        <f>Calc!O49</f>
        <v>0</v>
      </c>
      <c r="P49" s="4">
        <f>Calc!P49</f>
        <v>0</v>
      </c>
      <c r="Q49" s="4">
        <f>Calc!Q49</f>
        <v>0</v>
      </c>
      <c r="R49" s="4">
        <f>Calc!R49</f>
        <v>0</v>
      </c>
      <c r="S49" s="4">
        <f>Calc!S49</f>
        <v>23.3</v>
      </c>
      <c r="T49" s="4">
        <f>Calc!T49</f>
        <v>23.8</v>
      </c>
      <c r="U49" s="4">
        <f>AVERAGE(H49:T49)</f>
        <v>18.1692307692308</v>
      </c>
      <c r="V49" s="4">
        <f>RANK(U49,$U$2:$U$113,0)+(COUNTIF($U$2:$U$113,U49)-1)/2</f>
        <v>89</v>
      </c>
      <c r="W49" s="2">
        <f>Coverage!P49</f>
        <v>9</v>
      </c>
      <c r="X49" s="5">
        <f>Coverage!Q49</f>
        <v>0.692307692307692</v>
      </c>
      <c r="Y49" s="4">
        <f>Coverage!R49</f>
        <v>26.2444444444444</v>
      </c>
      <c r="Z49" s="2" t="inlineStr">
        <is>
          <t>Repository marked assessable in register</t>
        </is>
      </c>
      <c r="AA49" s="2" t="inlineStr">
        <is>
          <t>m8_issue_response below minimum eligible sample (n=3); scored 0; m9_pr_response below minimum eligible sample (n=4); scored 0; m10_issue_close90 below minimum eligible sample (n=3); scored 0; m11_pr_decision30 below minimum eligible sample (n=0); scored 0</t>
        </is>
      </c>
    </row>
    <row r="50">
      <c r="A50" s="2" t="inlineStr">
        <is>
          <t>C4-049</t>
        </is>
      </c>
      <c r="B50" s="2" t="inlineStr">
        <is>
          <t>Fulcrum</t>
        </is>
      </c>
      <c r="C50" s="2" t="inlineStr">
        <is>
          <t>software</t>
        </is>
      </c>
      <c r="D50" s="2" t="inlineStr">
        <is>
          <t>Ready</t>
        </is>
      </c>
      <c r="E50" s="2" t="inlineStr">
        <is>
          <t>mlibrary/heliotrope</t>
        </is>
      </c>
      <c r="F50" s="2" t="inlineStr">
        <is>
          <t>complete</t>
        </is>
      </c>
      <c r="G50" s="2" t="inlineStr">
        <is>
          <t>complete</t>
        </is>
      </c>
      <c r="H50" s="4">
        <f>Calc!H50</f>
        <v>74.08</v>
      </c>
      <c r="I50" s="4">
        <f>Calc!I50</f>
        <v>88.46</v>
      </c>
      <c r="J50" s="4">
        <f>Calc!J50</f>
        <v>100</v>
      </c>
      <c r="K50" s="4">
        <f>Calc!K50</f>
        <v>100</v>
      </c>
      <c r="L50" s="4">
        <f>Calc!L50</f>
        <v>51.7</v>
      </c>
      <c r="M50" s="4">
        <f>Calc!M50</f>
        <v>47.23</v>
      </c>
      <c r="N50" s="4">
        <f>Calc!N50</f>
        <v>75</v>
      </c>
      <c r="O50" s="4">
        <f>Calc!O50</f>
        <v>0</v>
      </c>
      <c r="P50" s="4">
        <f>Calc!P50</f>
        <v>80.67</v>
      </c>
      <c r="Q50" s="4">
        <f>Calc!Q50</f>
        <v>0</v>
      </c>
      <c r="R50" s="4">
        <f>Calc!R50</f>
        <v>99.24</v>
      </c>
      <c r="S50" s="4">
        <f>Calc!S50</f>
        <v>0</v>
      </c>
      <c r="T50" s="4">
        <f>Calc!T50</f>
        <v>15.02</v>
      </c>
      <c r="U50" s="4">
        <f>AVERAGE(H50:T50)</f>
        <v>56.2615384615385</v>
      </c>
      <c r="V50" s="4">
        <f>RANK(U50,$U$2:$U$113,0)+(COUNTIF($U$2:$U$113,U50)-1)/2</f>
        <v>53</v>
      </c>
      <c r="W50" s="2">
        <f>Coverage!P50</f>
        <v>11</v>
      </c>
      <c r="X50" s="5">
        <f>Coverage!Q50</f>
        <v>0.846153846153846</v>
      </c>
      <c r="Y50" s="4">
        <f>Coverage!R50</f>
        <v>66.4909090909091</v>
      </c>
      <c r="Z50" s="2" t="inlineStr">
        <is>
          <t>Repository marked assessable in register</t>
        </is>
      </c>
      <c r="AA50" s="2" t="inlineStr">
        <is>
          <t>m8_issue_response below minimum eligible sample (n=0); scored 0; m10_issue_close90 below minimum eligible sample (n=0); scored 0</t>
        </is>
      </c>
    </row>
    <row r="51">
      <c r="A51" s="2" t="inlineStr">
        <is>
          <t>C4-050</t>
        </is>
      </c>
      <c r="B51" s="2" t="inlineStr">
        <is>
          <t>Galaxy</t>
        </is>
      </c>
      <c r="C51" s="2" t="inlineStr">
        <is>
          <t>software</t>
        </is>
      </c>
      <c r="D51" s="2" t="inlineStr">
        <is>
          <t>Ready</t>
        </is>
      </c>
      <c r="E51" s="2" t="inlineStr">
        <is>
          <t>galaxyproject/galaxy</t>
        </is>
      </c>
      <c r="F51" s="2" t="inlineStr">
        <is>
          <t>complete</t>
        </is>
      </c>
      <c r="G51" s="2" t="inlineStr">
        <is>
          <t>complete</t>
        </is>
      </c>
      <c r="H51" s="4">
        <f>Calc!H51</f>
        <v>100</v>
      </c>
      <c r="I51" s="4">
        <f>Calc!I51</f>
        <v>100</v>
      </c>
      <c r="J51" s="4">
        <f>Calc!J51</f>
        <v>100</v>
      </c>
      <c r="K51" s="4">
        <f>Calc!K51</f>
        <v>100</v>
      </c>
      <c r="L51" s="4">
        <f>Calc!L51</f>
        <v>100</v>
      </c>
      <c r="M51" s="4">
        <f>Calc!M51</f>
        <v>100</v>
      </c>
      <c r="N51" s="4">
        <f>Calc!N51</f>
        <v>100</v>
      </c>
      <c r="O51" s="4">
        <f>Calc!O51</f>
        <v>81.11</v>
      </c>
      <c r="P51" s="4">
        <f>Calc!P51</f>
        <v>85.66</v>
      </c>
      <c r="Q51" s="4">
        <f>Calc!Q51</f>
        <v>47.45</v>
      </c>
      <c r="R51" s="4">
        <f>Calc!R51</f>
        <v>88.3</v>
      </c>
      <c r="S51" s="4">
        <f>Calc!S51</f>
        <v>81.56</v>
      </c>
      <c r="T51" s="4">
        <f>Calc!T51</f>
        <v>100</v>
      </c>
      <c r="U51" s="4">
        <f>AVERAGE(H51:T51)</f>
        <v>91.0830769230769</v>
      </c>
      <c r="V51" s="4">
        <f>RANK(U51,$U$2:$U$113,0)+(COUNTIF($U$2:$U$113,U51)-1)/2</f>
        <v>2</v>
      </c>
      <c r="W51" s="2">
        <f>Coverage!P51</f>
        <v>13</v>
      </c>
      <c r="X51" s="5">
        <f>Coverage!Q51</f>
        <v>1</v>
      </c>
      <c r="Y51" s="4">
        <f>Coverage!R51</f>
        <v>91.0830769230769</v>
      </c>
      <c r="Z51" s="2" t="inlineStr">
        <is>
          <t>Repository marked assessable in register</t>
        </is>
      </c>
      <c r="AA51" s="2" t="inlineStr">
        <is>
          <t>No missing metric inputs flagged by pipeline availability checks</t>
        </is>
      </c>
    </row>
    <row r="52">
      <c r="A52" s="2" t="inlineStr">
        <is>
          <t>C4-051</t>
        </is>
      </c>
      <c r="B52" s="2" t="inlineStr">
        <is>
          <t>GeoServer</t>
        </is>
      </c>
      <c r="C52" s="2" t="inlineStr">
        <is>
          <t>software</t>
        </is>
      </c>
      <c r="D52" s="2" t="inlineStr">
        <is>
          <t>Ready</t>
        </is>
      </c>
      <c r="E52" s="2" t="inlineStr">
        <is>
          <t>geoserver/geoserver</t>
        </is>
      </c>
      <c r="F52" s="2" t="inlineStr">
        <is>
          <t>complete</t>
        </is>
      </c>
      <c r="G52" s="2" t="inlineStr">
        <is>
          <t>complete</t>
        </is>
      </c>
      <c r="H52" s="4">
        <f>Calc!H52</f>
        <v>100</v>
      </c>
      <c r="I52" s="4">
        <f>Calc!I52</f>
        <v>98.08</v>
      </c>
      <c r="J52" s="4">
        <f>Calc!J52</f>
        <v>100</v>
      </c>
      <c r="K52" s="4">
        <f>Calc!K52</f>
        <v>100</v>
      </c>
      <c r="L52" s="4">
        <f>Calc!L52</f>
        <v>100</v>
      </c>
      <c r="M52" s="4">
        <f>Calc!M52</f>
        <v>100</v>
      </c>
      <c r="N52" s="4">
        <f>Calc!N52</f>
        <v>100</v>
      </c>
      <c r="O52" s="4">
        <f>Calc!O52</f>
        <v>0</v>
      </c>
      <c r="P52" s="4">
        <f>Calc!P52</f>
        <v>58.4</v>
      </c>
      <c r="Q52" s="4">
        <f>Calc!Q52</f>
        <v>0</v>
      </c>
      <c r="R52" s="4">
        <f>Calc!R52</f>
        <v>92.82</v>
      </c>
      <c r="S52" s="4">
        <f>Calc!S52</f>
        <v>85.32</v>
      </c>
      <c r="T52" s="4">
        <f>Calc!T52</f>
        <v>100</v>
      </c>
      <c r="U52" s="4">
        <f>AVERAGE(H52:T52)</f>
        <v>79.5861538461538</v>
      </c>
      <c r="V52" s="4">
        <f>RANK(U52,$U$2:$U$113,0)+(COUNTIF($U$2:$U$113,U52)-1)/2</f>
        <v>10</v>
      </c>
      <c r="W52" s="2">
        <f>Coverage!P52</f>
        <v>11</v>
      </c>
      <c r="X52" s="5">
        <f>Coverage!Q52</f>
        <v>0.846153846153846</v>
      </c>
      <c r="Y52" s="4">
        <f>Coverage!R52</f>
        <v>94.0563636363636</v>
      </c>
      <c r="Z52" s="2" t="inlineStr">
        <is>
          <t>Repository marked assessable in register</t>
        </is>
      </c>
      <c r="AA52" s="2" t="inlineStr">
        <is>
          <t>m8_issue_response unavailable; scored 0; m10_issue_close90 unavailable; scored 0</t>
        </is>
      </c>
    </row>
    <row r="53">
      <c r="A53" s="2" t="inlineStr">
        <is>
          <t>C4-052</t>
        </is>
      </c>
      <c r="B53" s="2" t="inlineStr">
        <is>
          <t>Hyku</t>
        </is>
      </c>
      <c r="C53" s="2" t="inlineStr">
        <is>
          <t>software</t>
        </is>
      </c>
      <c r="D53" s="2" t="inlineStr">
        <is>
          <t>Ready</t>
        </is>
      </c>
      <c r="E53" s="2" t="inlineStr">
        <is>
          <t>samvera/hyku</t>
        </is>
      </c>
      <c r="F53" s="2" t="inlineStr">
        <is>
          <t>complete</t>
        </is>
      </c>
      <c r="G53" s="2" t="inlineStr">
        <is>
          <t>complete</t>
        </is>
      </c>
      <c r="H53" s="4">
        <f>Calc!H53</f>
        <v>91.44</v>
      </c>
      <c r="I53" s="4">
        <f>Calc!I53</f>
        <v>92.31</v>
      </c>
      <c r="J53" s="4">
        <f>Calc!J53</f>
        <v>100</v>
      </c>
      <c r="K53" s="4">
        <f>Calc!K53</f>
        <v>100</v>
      </c>
      <c r="L53" s="4">
        <f>Calc!L53</f>
        <v>78.14</v>
      </c>
      <c r="M53" s="4">
        <f>Calc!M53</f>
        <v>85.28</v>
      </c>
      <c r="N53" s="4">
        <f>Calc!N53</f>
        <v>100</v>
      </c>
      <c r="O53" s="4">
        <f>Calc!O53</f>
        <v>28.81</v>
      </c>
      <c r="P53" s="4">
        <f>Calc!P53</f>
        <v>77.92</v>
      </c>
      <c r="Q53" s="4">
        <f>Calc!Q53</f>
        <v>42.98</v>
      </c>
      <c r="R53" s="4">
        <f>Calc!R53</f>
        <v>91.55</v>
      </c>
      <c r="S53" s="4">
        <f>Calc!S53</f>
        <v>30.1</v>
      </c>
      <c r="T53" s="4">
        <f>Calc!T53</f>
        <v>38.82</v>
      </c>
      <c r="U53" s="4">
        <f>AVERAGE(H53:T53)</f>
        <v>73.6423076923077</v>
      </c>
      <c r="V53" s="4">
        <f>RANK(U53,$U$2:$U$113,0)+(COUNTIF($U$2:$U$113,U53)-1)/2</f>
        <v>19</v>
      </c>
      <c r="W53" s="2">
        <f>Coverage!P53</f>
        <v>13</v>
      </c>
      <c r="X53" s="5">
        <f>Coverage!Q53</f>
        <v>1</v>
      </c>
      <c r="Y53" s="4">
        <f>Coverage!R53</f>
        <v>73.6423076923077</v>
      </c>
      <c r="Z53" s="2" t="inlineStr">
        <is>
          <t>Repository marked assessable in register</t>
        </is>
      </c>
      <c r="AA53" s="2" t="inlineStr">
        <is>
          <t>No missing metric inputs flagged by pipeline availability checks</t>
        </is>
      </c>
    </row>
    <row r="54">
      <c r="A54" s="2" t="inlineStr">
        <is>
          <t>C4-053</t>
        </is>
      </c>
      <c r="B54" s="2" t="inlineStr">
        <is>
          <t>Hyrax</t>
        </is>
      </c>
      <c r="C54" s="2" t="inlineStr">
        <is>
          <t>software</t>
        </is>
      </c>
      <c r="D54" s="2" t="inlineStr">
        <is>
          <t>Ready</t>
        </is>
      </c>
      <c r="E54" s="2" t="inlineStr">
        <is>
          <t>samvera/hyrax</t>
        </is>
      </c>
      <c r="F54" s="2" t="inlineStr">
        <is>
          <t>complete</t>
        </is>
      </c>
      <c r="G54" s="2" t="inlineStr">
        <is>
          <t>complete</t>
        </is>
      </c>
      <c r="H54" s="4">
        <f>Calc!H54</f>
        <v>87.5</v>
      </c>
      <c r="I54" s="4">
        <f>Calc!I54</f>
        <v>92.31</v>
      </c>
      <c r="J54" s="4">
        <f>Calc!J54</f>
        <v>100</v>
      </c>
      <c r="K54" s="4">
        <f>Calc!K54</f>
        <v>100</v>
      </c>
      <c r="L54" s="4">
        <f>Calc!L54</f>
        <v>86.44</v>
      </c>
      <c r="M54" s="4">
        <f>Calc!M54</f>
        <v>67.5</v>
      </c>
      <c r="N54" s="4">
        <f>Calc!N54</f>
        <v>100</v>
      </c>
      <c r="O54" s="4">
        <f>Calc!O54</f>
        <v>23.15</v>
      </c>
      <c r="P54" s="4">
        <f>Calc!P54</f>
        <v>67.41</v>
      </c>
      <c r="Q54" s="4">
        <f>Calc!Q54</f>
        <v>26.6</v>
      </c>
      <c r="R54" s="4">
        <f>Calc!R54</f>
        <v>87.06</v>
      </c>
      <c r="S54" s="4">
        <f>Calc!S54</f>
        <v>37.13</v>
      </c>
      <c r="T54" s="4">
        <f>Calc!T54</f>
        <v>51.96</v>
      </c>
      <c r="U54" s="4">
        <f>AVERAGE(H54:T54)</f>
        <v>71.3123076923077</v>
      </c>
      <c r="V54" s="4">
        <f>RANK(U54,$U$2:$U$113,0)+(COUNTIF($U$2:$U$113,U54)-1)/2</f>
        <v>23</v>
      </c>
      <c r="W54" s="2">
        <f>Coverage!P54</f>
        <v>13</v>
      </c>
      <c r="X54" s="5">
        <f>Coverage!Q54</f>
        <v>1</v>
      </c>
      <c r="Y54" s="4">
        <f>Coverage!R54</f>
        <v>71.3123076923077</v>
      </c>
      <c r="Z54" s="2" t="inlineStr">
        <is>
          <t>Repository marked assessable in register</t>
        </is>
      </c>
      <c r="AA54" s="2" t="inlineStr">
        <is>
          <t>No missing metric inputs flagged by pipeline availability checks</t>
        </is>
      </c>
    </row>
    <row r="55">
      <c r="A55" s="6" t="inlineStr">
        <is>
          <t>C4-054</t>
        </is>
      </c>
      <c r="B55" s="6" t="inlineStr">
        <is>
          <t>IIIF</t>
        </is>
      </c>
      <c r="C55" s="6" t="inlineStr">
        <is>
          <t>standard</t>
        </is>
      </c>
      <c r="D55" s="6" t="inlineStr">
        <is>
          <t>Exclude: standard</t>
        </is>
      </c>
      <c r="E55" s="6" t="inlineStr"/>
      <c r="F55" s="6" t="n"/>
      <c r="G55" s="6" t="n"/>
      <c r="H55" s="7">
        <f>Calc!H55</f>
        <v>0</v>
      </c>
      <c r="I55" s="7">
        <f>Calc!I55</f>
        <v>0</v>
      </c>
      <c r="J55" s="7">
        <f>Calc!J55</f>
        <v>0</v>
      </c>
      <c r="K55" s="7">
        <f>Calc!K55</f>
        <v>0</v>
      </c>
      <c r="L55" s="7">
        <f>Calc!L55</f>
        <v>0</v>
      </c>
      <c r="M55" s="7">
        <f>Calc!M55</f>
        <v>0</v>
      </c>
      <c r="N55" s="7">
        <f>Calc!N55</f>
        <v>0</v>
      </c>
      <c r="O55" s="7">
        <f>Calc!O55</f>
        <v>0</v>
      </c>
      <c r="P55" s="7">
        <f>Calc!P55</f>
        <v>0</v>
      </c>
      <c r="Q55" s="7">
        <f>Calc!Q55</f>
        <v>0</v>
      </c>
      <c r="R55" s="7">
        <f>Calc!R55</f>
        <v>0</v>
      </c>
      <c r="S55" s="7">
        <f>Calc!S55</f>
        <v>0</v>
      </c>
      <c r="T55" s="7">
        <f>Calc!T55</f>
        <v>0</v>
      </c>
      <c r="U55" s="7">
        <f>AVERAGE(H55:T55)</f>
        <v>0</v>
      </c>
      <c r="V55" s="7">
        <f>RANK(U55,$U$2:$U$113,0)+(COUNTIF($U$2:$U$113,U55)-1)/2</f>
        <v>106</v>
      </c>
      <c r="W55" s="6">
        <f>Coverage!P55</f>
        <v>0</v>
      </c>
      <c r="X55" s="8">
        <f>Coverage!Q55</f>
        <v>0</v>
      </c>
      <c r="Y55" s="7">
        <f>Coverage!R55</f>
        <v>0</v>
      </c>
      <c r="Z55" s="6" t="inlineStr">
        <is>
          <t>NOT ASSESSABLE / EXCLUDED: numeric zero is a policy zero-fill, not measured inactivity</t>
        </is>
      </c>
      <c r="AA55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56">
      <c r="A56" s="2" t="inlineStr">
        <is>
          <t>C4-055</t>
        </is>
      </c>
      <c r="B56" s="2" t="inlineStr">
        <is>
          <t>ImpactU</t>
        </is>
      </c>
      <c r="C56" s="2" t="inlineStr">
        <is>
          <t>software</t>
        </is>
      </c>
      <c r="D56" s="2" t="inlineStr">
        <is>
          <t>Ready</t>
        </is>
      </c>
      <c r="E56" s="2" t="inlineStr">
        <is>
          <t>colav/impactu</t>
        </is>
      </c>
      <c r="F56" s="2" t="inlineStr">
        <is>
          <t>complete</t>
        </is>
      </c>
      <c r="G56" s="2" t="inlineStr">
        <is>
          <t>complete</t>
        </is>
      </c>
      <c r="H56" s="4">
        <f>Calc!H56</f>
        <v>20.07</v>
      </c>
      <c r="I56" s="4">
        <f>Calc!I56</f>
        <v>3.85</v>
      </c>
      <c r="J56" s="4">
        <f>Calc!J56</f>
        <v>25.33</v>
      </c>
      <c r="K56" s="4">
        <f>Calc!K56</f>
        <v>0</v>
      </c>
      <c r="L56" s="4">
        <f>Calc!L56</f>
        <v>0</v>
      </c>
      <c r="M56" s="4">
        <f>Calc!M56</f>
        <v>0</v>
      </c>
      <c r="N56" s="4">
        <f>Calc!N56</f>
        <v>0</v>
      </c>
      <c r="O56" s="4">
        <f>Calc!O56</f>
        <v>35.38</v>
      </c>
      <c r="P56" s="4">
        <f>Calc!P56</f>
        <v>0</v>
      </c>
      <c r="Q56" s="4">
        <f>Calc!Q56</f>
        <v>26.67</v>
      </c>
      <c r="R56" s="4">
        <f>Calc!R56</f>
        <v>0</v>
      </c>
      <c r="S56" s="4">
        <f>Calc!S56</f>
        <v>0</v>
      </c>
      <c r="T56" s="4">
        <f>Calc!T56</f>
        <v>15.02</v>
      </c>
      <c r="U56" s="4">
        <f>AVERAGE(H56:T56)</f>
        <v>9.71692307692308</v>
      </c>
      <c r="V56" s="4">
        <f>RANK(U56,$U$2:$U$113,0)+(COUNTIF($U$2:$U$113,U56)-1)/2</f>
        <v>94</v>
      </c>
      <c r="W56" s="2">
        <f>Coverage!P56</f>
        <v>11</v>
      </c>
      <c r="X56" s="5">
        <f>Coverage!Q56</f>
        <v>0.846153846153846</v>
      </c>
      <c r="Y56" s="4">
        <f>Coverage!R56</f>
        <v>11.4836363636364</v>
      </c>
      <c r="Z56" s="2" t="inlineStr">
        <is>
          <t>Repository marked assessable in register</t>
        </is>
      </c>
      <c r="AA56" s="2" t="inlineStr">
        <is>
          <t>m9_pr_response below minimum eligible sample (n=1); scored 0; m11_pr_decision30 below minimum eligible sample (n=1); scored 0</t>
        </is>
      </c>
    </row>
    <row r="57">
      <c r="A57" s="6" t="inlineStr">
        <is>
          <t>C4-056</t>
        </is>
      </c>
      <c r="B57" s="6" t="inlineStr">
        <is>
          <t>International Generic Sample Number (IGSN)</t>
        </is>
      </c>
      <c r="C57" s="6" t="inlineStr">
        <is>
          <t>standard</t>
        </is>
      </c>
      <c r="D57" s="6" t="inlineStr">
        <is>
          <t>Exclude: standard</t>
        </is>
      </c>
      <c r="E57" s="6" t="inlineStr"/>
      <c r="F57" s="6" t="n"/>
      <c r="G57" s="6" t="n"/>
      <c r="H57" s="7">
        <f>Calc!H57</f>
        <v>0</v>
      </c>
      <c r="I57" s="7">
        <f>Calc!I57</f>
        <v>0</v>
      </c>
      <c r="J57" s="7">
        <f>Calc!J57</f>
        <v>0</v>
      </c>
      <c r="K57" s="7">
        <f>Calc!K57</f>
        <v>0</v>
      </c>
      <c r="L57" s="7">
        <f>Calc!L57</f>
        <v>0</v>
      </c>
      <c r="M57" s="7">
        <f>Calc!M57</f>
        <v>0</v>
      </c>
      <c r="N57" s="7">
        <f>Calc!N57</f>
        <v>0</v>
      </c>
      <c r="O57" s="7">
        <f>Calc!O57</f>
        <v>0</v>
      </c>
      <c r="P57" s="7">
        <f>Calc!P57</f>
        <v>0</v>
      </c>
      <c r="Q57" s="7">
        <f>Calc!Q57</f>
        <v>0</v>
      </c>
      <c r="R57" s="7">
        <f>Calc!R57</f>
        <v>0</v>
      </c>
      <c r="S57" s="7">
        <f>Calc!S57</f>
        <v>0</v>
      </c>
      <c r="T57" s="7">
        <f>Calc!T57</f>
        <v>0</v>
      </c>
      <c r="U57" s="7">
        <f>AVERAGE(H57:T57)</f>
        <v>0</v>
      </c>
      <c r="V57" s="7">
        <f>RANK(U57,$U$2:$U$113,0)+(COUNTIF($U$2:$U$113,U57)-1)/2</f>
        <v>106</v>
      </c>
      <c r="W57" s="6">
        <f>Coverage!P57</f>
        <v>0</v>
      </c>
      <c r="X57" s="8">
        <f>Coverage!Q57</f>
        <v>0</v>
      </c>
      <c r="Y57" s="7">
        <f>Coverage!R57</f>
        <v>0</v>
      </c>
      <c r="Z57" s="6" t="inlineStr">
        <is>
          <t>NOT ASSESSABLE / EXCLUDED: numeric zero is a policy zero-fill, not measured inactivity</t>
        </is>
      </c>
      <c r="AA57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58">
      <c r="A58" s="2" t="inlineStr">
        <is>
          <t>C4-057</t>
        </is>
      </c>
      <c r="B58" s="2" t="inlineStr">
        <is>
          <t>InvenioRDM</t>
        </is>
      </c>
      <c r="C58" s="2" t="inlineStr">
        <is>
          <t>software</t>
        </is>
      </c>
      <c r="D58" s="2" t="inlineStr">
        <is>
          <t>Ready</t>
        </is>
      </c>
      <c r="E58" s="2" t="inlineStr">
        <is>
          <t>inveniosoftware/invenio-app-rdm</t>
        </is>
      </c>
      <c r="F58" s="2" t="inlineStr">
        <is>
          <t>complete</t>
        </is>
      </c>
      <c r="G58" s="2" t="inlineStr">
        <is>
          <t>complete</t>
        </is>
      </c>
      <c r="H58" s="4">
        <f>Calc!H58</f>
        <v>82.61</v>
      </c>
      <c r="I58" s="4">
        <f>Calc!I58</f>
        <v>96.15</v>
      </c>
      <c r="J58" s="4">
        <f>Calc!J58</f>
        <v>100</v>
      </c>
      <c r="K58" s="4">
        <f>Calc!K58</f>
        <v>100</v>
      </c>
      <c r="L58" s="4">
        <f>Calc!L58</f>
        <v>100</v>
      </c>
      <c r="M58" s="4">
        <f>Calc!M58</f>
        <v>100</v>
      </c>
      <c r="N58" s="4">
        <f>Calc!N58</f>
        <v>100</v>
      </c>
      <c r="O58" s="4">
        <f>Calc!O58</f>
        <v>36.51</v>
      </c>
      <c r="P58" s="4">
        <f>Calc!P58</f>
        <v>57.47</v>
      </c>
      <c r="Q58" s="4">
        <f>Calc!Q58</f>
        <v>48.96</v>
      </c>
      <c r="R58" s="4">
        <f>Calc!R58</f>
        <v>75.51</v>
      </c>
      <c r="S58" s="4">
        <f>Calc!S58</f>
        <v>56.03</v>
      </c>
      <c r="T58" s="4">
        <f>Calc!T58</f>
        <v>77.65</v>
      </c>
      <c r="U58" s="4">
        <f>AVERAGE(H58:T58)</f>
        <v>79.2992307692308</v>
      </c>
      <c r="V58" s="4">
        <f>RANK(U58,$U$2:$U$113,0)+(COUNTIF($U$2:$U$113,U58)-1)/2</f>
        <v>11</v>
      </c>
      <c r="W58" s="2">
        <f>Coverage!P58</f>
        <v>13</v>
      </c>
      <c r="X58" s="5">
        <f>Coverage!Q58</f>
        <v>1</v>
      </c>
      <c r="Y58" s="4">
        <f>Coverage!R58</f>
        <v>79.2992307692308</v>
      </c>
      <c r="Z58" s="2" t="inlineStr">
        <is>
          <t>Repository marked assessable in register</t>
        </is>
      </c>
      <c r="AA58" s="2" t="inlineStr">
        <is>
          <t>No missing metric inputs flagged by pipeline availability checks</t>
        </is>
      </c>
    </row>
    <row r="59">
      <c r="A59" s="2" t="inlineStr">
        <is>
          <t>C4-058</t>
        </is>
      </c>
      <c r="B59" s="2" t="inlineStr">
        <is>
          <t>iRODS</t>
        </is>
      </c>
      <c r="C59" s="2" t="inlineStr">
        <is>
          <t>software</t>
        </is>
      </c>
      <c r="D59" s="2" t="inlineStr">
        <is>
          <t>Ready</t>
        </is>
      </c>
      <c r="E59" s="2" t="inlineStr">
        <is>
          <t>irods/irods</t>
        </is>
      </c>
      <c r="F59" s="2" t="inlineStr">
        <is>
          <t>complete</t>
        </is>
      </c>
      <c r="G59" s="2" t="inlineStr">
        <is>
          <t>complete</t>
        </is>
      </c>
      <c r="H59" s="4">
        <f>Calc!H59</f>
        <v>81.97</v>
      </c>
      <c r="I59" s="4">
        <f>Calc!I59</f>
        <v>88.46</v>
      </c>
      <c r="J59" s="4">
        <f>Calc!J59</f>
        <v>100</v>
      </c>
      <c r="K59" s="4">
        <f>Calc!K59</f>
        <v>75</v>
      </c>
      <c r="L59" s="4">
        <f>Calc!L59</f>
        <v>69.19</v>
      </c>
      <c r="M59" s="4">
        <f>Calc!M59</f>
        <v>55.63</v>
      </c>
      <c r="N59" s="4">
        <f>Calc!N59</f>
        <v>100</v>
      </c>
      <c r="O59" s="4">
        <f>Calc!O59</f>
        <v>42.35</v>
      </c>
      <c r="P59" s="4">
        <f>Calc!P59</f>
        <v>95.56</v>
      </c>
      <c r="Q59" s="4">
        <f>Calc!Q59</f>
        <v>48.55</v>
      </c>
      <c r="R59" s="4">
        <f>Calc!R59</f>
        <v>91.91</v>
      </c>
      <c r="S59" s="4">
        <f>Calc!S59</f>
        <v>41.01</v>
      </c>
      <c r="T59" s="4">
        <f>Calc!T59</f>
        <v>38.82</v>
      </c>
      <c r="U59" s="4">
        <f>AVERAGE(H59:T59)</f>
        <v>71.4192307692308</v>
      </c>
      <c r="V59" s="4">
        <f>RANK(U59,$U$2:$U$113,0)+(COUNTIF($U$2:$U$113,U59)-1)/2</f>
        <v>22</v>
      </c>
      <c r="W59" s="2">
        <f>Coverage!P59</f>
        <v>13</v>
      </c>
      <c r="X59" s="5">
        <f>Coverage!Q59</f>
        <v>1</v>
      </c>
      <c r="Y59" s="4">
        <f>Coverage!R59</f>
        <v>71.4192307692308</v>
      </c>
      <c r="Z59" s="2" t="inlineStr">
        <is>
          <t>Repository marked assessable in register</t>
        </is>
      </c>
      <c r="AA59" s="2" t="inlineStr">
        <is>
          <t>No missing metric inputs flagged by pipeline availability checks</t>
        </is>
      </c>
    </row>
    <row r="60">
      <c r="A60" s="2" t="inlineStr">
        <is>
          <t>C4-059</t>
        </is>
      </c>
      <c r="B60" s="2" t="inlineStr">
        <is>
          <t>Islandora</t>
        </is>
      </c>
      <c r="C60" s="2" t="inlineStr">
        <is>
          <t>software</t>
        </is>
      </c>
      <c r="D60" s="2" t="inlineStr">
        <is>
          <t>Ready</t>
        </is>
      </c>
      <c r="E60" s="2" t="inlineStr">
        <is>
          <t>Islandora/islandora</t>
        </is>
      </c>
      <c r="F60" s="2" t="inlineStr">
        <is>
          <t>complete</t>
        </is>
      </c>
      <c r="G60" s="2" t="inlineStr">
        <is>
          <t>complete</t>
        </is>
      </c>
      <c r="H60" s="4">
        <f>Calc!H60</f>
        <v>42.62</v>
      </c>
      <c r="I60" s="4">
        <f>Calc!I60</f>
        <v>23.08</v>
      </c>
      <c r="J60" s="4">
        <f>Calc!J60</f>
        <v>100</v>
      </c>
      <c r="K60" s="4">
        <f>Calc!K60</f>
        <v>100</v>
      </c>
      <c r="L60" s="4">
        <f>Calc!L60</f>
        <v>60</v>
      </c>
      <c r="M60" s="4">
        <f>Calc!M60</f>
        <v>52.02</v>
      </c>
      <c r="N60" s="4">
        <f>Calc!N60</f>
        <v>50</v>
      </c>
      <c r="O60" s="4">
        <f>Calc!O60</f>
        <v>62.5</v>
      </c>
      <c r="P60" s="4">
        <f>Calc!P60</f>
        <v>80</v>
      </c>
      <c r="Q60" s="4">
        <f>Calc!Q60</f>
        <v>0</v>
      </c>
      <c r="R60" s="4">
        <f>Calc!R60</f>
        <v>84.21</v>
      </c>
      <c r="S60" s="4">
        <f>Calc!S60</f>
        <v>23.3</v>
      </c>
      <c r="T60" s="4">
        <f>Calc!T60</f>
        <v>34.87</v>
      </c>
      <c r="U60" s="4">
        <f>AVERAGE(H60:T60)</f>
        <v>54.8153846153846</v>
      </c>
      <c r="V60" s="4">
        <f>RANK(U60,$U$2:$U$113,0)+(COUNTIF($U$2:$U$113,U60)-1)/2</f>
        <v>54</v>
      </c>
      <c r="W60" s="2">
        <f>Coverage!P60</f>
        <v>12</v>
      </c>
      <c r="X60" s="5">
        <f>Coverage!Q60</f>
        <v>0.923076923076923</v>
      </c>
      <c r="Y60" s="4">
        <f>Coverage!R60</f>
        <v>59.3833333333333</v>
      </c>
      <c r="Z60" s="2" t="inlineStr">
        <is>
          <t>Repository marked assessable in register</t>
        </is>
      </c>
      <c r="AA60" s="2" t="inlineStr">
        <is>
          <t>m10_issue_close90 below minimum eligible sample (n=7); scored 0</t>
        </is>
      </c>
    </row>
    <row r="61">
      <c r="A61" s="2" t="inlineStr">
        <is>
          <t>C4-060</t>
        </is>
      </c>
      <c r="B61" s="2" t="inlineStr">
        <is>
          <t>Janeway</t>
        </is>
      </c>
      <c r="C61" s="2" t="inlineStr">
        <is>
          <t>software</t>
        </is>
      </c>
      <c r="D61" s="2" t="inlineStr">
        <is>
          <t>Ready</t>
        </is>
      </c>
      <c r="E61" s="2" t="inlineStr">
        <is>
          <t>openlibhums/janeway</t>
        </is>
      </c>
      <c r="F61" s="2" t="inlineStr">
        <is>
          <t>complete</t>
        </is>
      </c>
      <c r="G61" s="2" t="inlineStr">
        <is>
          <t>complete</t>
        </is>
      </c>
      <c r="H61" s="4">
        <f>Calc!H61</f>
        <v>83.13</v>
      </c>
      <c r="I61" s="4">
        <f>Calc!I61</f>
        <v>80.77</v>
      </c>
      <c r="J61" s="4">
        <f>Calc!J61</f>
        <v>100</v>
      </c>
      <c r="K61" s="4">
        <f>Calc!K61</f>
        <v>100</v>
      </c>
      <c r="L61" s="4">
        <f>Calc!L61</f>
        <v>63.4</v>
      </c>
      <c r="M61" s="4">
        <f>Calc!M61</f>
        <v>60.79</v>
      </c>
      <c r="N61" s="4">
        <f>Calc!N61</f>
        <v>75</v>
      </c>
      <c r="O61" s="4">
        <f>Calc!O61</f>
        <v>32.26</v>
      </c>
      <c r="P61" s="4">
        <f>Calc!P61</f>
        <v>55.66</v>
      </c>
      <c r="Q61" s="4">
        <f>Calc!Q61</f>
        <v>53.52</v>
      </c>
      <c r="R61" s="4">
        <f>Calc!R61</f>
        <v>70.9</v>
      </c>
      <c r="S61" s="4">
        <f>Calc!S61</f>
        <v>53.39</v>
      </c>
      <c r="T61" s="4">
        <f>Calc!T61</f>
        <v>64.91</v>
      </c>
      <c r="U61" s="4">
        <f>AVERAGE(H61:T61)</f>
        <v>68.7484615384615</v>
      </c>
      <c r="V61" s="4">
        <f>RANK(U61,$U$2:$U$113,0)+(COUNTIF($U$2:$U$113,U61)-1)/2</f>
        <v>29</v>
      </c>
      <c r="W61" s="2">
        <f>Coverage!P61</f>
        <v>13</v>
      </c>
      <c r="X61" s="5">
        <f>Coverage!Q61</f>
        <v>1</v>
      </c>
      <c r="Y61" s="4">
        <f>Coverage!R61</f>
        <v>68.7484615384615</v>
      </c>
      <c r="Z61" s="2" t="inlineStr">
        <is>
          <t>Repository marked assessable in register</t>
        </is>
      </c>
      <c r="AA61" s="2" t="inlineStr">
        <is>
          <t>No missing metric inputs flagged by pipeline availability checks</t>
        </is>
      </c>
    </row>
    <row r="62">
      <c r="A62" s="2" t="inlineStr">
        <is>
          <t>C4-061</t>
        </is>
      </c>
      <c r="B62" s="2" t="inlineStr">
        <is>
          <t>JHOVE</t>
        </is>
      </c>
      <c r="C62" s="2" t="inlineStr">
        <is>
          <t>software</t>
        </is>
      </c>
      <c r="D62" s="2" t="inlineStr">
        <is>
          <t>Ready</t>
        </is>
      </c>
      <c r="E62" s="2" t="inlineStr">
        <is>
          <t>openpreserve/jhove</t>
        </is>
      </c>
      <c r="F62" s="2" t="inlineStr">
        <is>
          <t>complete</t>
        </is>
      </c>
      <c r="G62" s="2" t="inlineStr">
        <is>
          <t>complete</t>
        </is>
      </c>
      <c r="H62" s="4">
        <f>Calc!H62</f>
        <v>28.17</v>
      </c>
      <c r="I62" s="4">
        <f>Calc!I62</f>
        <v>5.77</v>
      </c>
      <c r="J62" s="4">
        <f>Calc!J62</f>
        <v>100</v>
      </c>
      <c r="K62" s="4">
        <f>Calc!K62</f>
        <v>0</v>
      </c>
      <c r="L62" s="4">
        <f>Calc!L62</f>
        <v>31.7</v>
      </c>
      <c r="M62" s="4">
        <f>Calc!M62</f>
        <v>33.33</v>
      </c>
      <c r="N62" s="4">
        <f>Calc!N62</f>
        <v>0</v>
      </c>
      <c r="O62" s="4">
        <f>Calc!O62</f>
        <v>46.67</v>
      </c>
      <c r="P62" s="4">
        <f>Calc!P62</f>
        <v>0</v>
      </c>
      <c r="Q62" s="4">
        <f>Calc!Q62</f>
        <v>0</v>
      </c>
      <c r="R62" s="4">
        <f>Calc!R62</f>
        <v>0</v>
      </c>
      <c r="S62" s="4">
        <f>Calc!S62</f>
        <v>43.36</v>
      </c>
      <c r="T62" s="4">
        <f>Calc!T62</f>
        <v>34.87</v>
      </c>
      <c r="U62" s="4">
        <f>AVERAGE(H62:T62)</f>
        <v>24.9130769230769</v>
      </c>
      <c r="V62" s="4">
        <f>RANK(U62,$U$2:$U$113,0)+(COUNTIF($U$2:$U$113,U62)-1)/2</f>
        <v>81</v>
      </c>
      <c r="W62" s="2">
        <f>Coverage!P62</f>
        <v>11</v>
      </c>
      <c r="X62" s="5">
        <f>Coverage!Q62</f>
        <v>0.846153846153846</v>
      </c>
      <c r="Y62" s="4">
        <f>Coverage!R62</f>
        <v>29.4427272727273</v>
      </c>
      <c r="Z62" s="2" t="inlineStr">
        <is>
          <t>Repository marked assessable in register</t>
        </is>
      </c>
      <c r="AA62" s="2" t="inlineStr">
        <is>
          <t>m9_pr_response below minimum eligible sample (n=8); scored 0; m11_pr_decision30 below minimum eligible sample (n=7); scored 0</t>
        </is>
      </c>
    </row>
    <row r="63">
      <c r="A63" s="2" t="inlineStr">
        <is>
          <t>C4-062</t>
        </is>
      </c>
      <c r="B63" s="2" t="inlineStr">
        <is>
          <t>LA Referencia</t>
        </is>
      </c>
      <c r="C63" s="2" t="inlineStr">
        <is>
          <t>software</t>
        </is>
      </c>
      <c r="D63" s="2" t="inlineStr">
        <is>
          <t>Ready</t>
        </is>
      </c>
      <c r="E63" s="2" t="inlineStr">
        <is>
          <t>lareferencia/lareferencia-platform</t>
        </is>
      </c>
      <c r="F63" s="2" t="inlineStr">
        <is>
          <t>complete</t>
        </is>
      </c>
      <c r="G63" s="2" t="inlineStr">
        <is>
          <t>complete</t>
        </is>
      </c>
      <c r="H63" s="4">
        <f>Calc!H63</f>
        <v>76.98</v>
      </c>
      <c r="I63" s="4">
        <f>Calc!I63</f>
        <v>71.15</v>
      </c>
      <c r="J63" s="4">
        <f>Calc!J63</f>
        <v>100</v>
      </c>
      <c r="K63" s="4">
        <f>Calc!K63</f>
        <v>100</v>
      </c>
      <c r="L63" s="4">
        <f>Calc!L63</f>
        <v>46.44</v>
      </c>
      <c r="M63" s="4">
        <f>Calc!M63</f>
        <v>30.87</v>
      </c>
      <c r="N63" s="4">
        <f>Calc!N63</f>
        <v>25</v>
      </c>
      <c r="O63" s="4">
        <f>Calc!O63</f>
        <v>75</v>
      </c>
      <c r="P63" s="4">
        <f>Calc!P63</f>
        <v>0</v>
      </c>
      <c r="Q63" s="4">
        <f>Calc!Q63</f>
        <v>78.57</v>
      </c>
      <c r="R63" s="4">
        <f>Calc!R63</f>
        <v>0</v>
      </c>
      <c r="S63" s="4">
        <f>Calc!S63</f>
        <v>0</v>
      </c>
      <c r="T63" s="4">
        <f>Calc!T63</f>
        <v>15.02</v>
      </c>
      <c r="U63" s="4">
        <f>AVERAGE(H63:T63)</f>
        <v>47.6176923076923</v>
      </c>
      <c r="V63" s="4">
        <f>RANK(U63,$U$2:$U$113,0)+(COUNTIF($U$2:$U$113,U63)-1)/2</f>
        <v>58</v>
      </c>
      <c r="W63" s="2">
        <f>Coverage!P63</f>
        <v>11</v>
      </c>
      <c r="X63" s="5">
        <f>Coverage!Q63</f>
        <v>0.846153846153846</v>
      </c>
      <c r="Y63" s="4">
        <f>Coverage!R63</f>
        <v>56.2754545454545</v>
      </c>
      <c r="Z63" s="2" t="inlineStr">
        <is>
          <t>Repository marked assessable in register</t>
        </is>
      </c>
      <c r="AA63" s="2" t="inlineStr">
        <is>
          <t>m9_pr_response below minimum eligible sample (n=4); scored 0; m11_pr_decision30 below minimum eligible sample (n=4); scored 0</t>
        </is>
      </c>
    </row>
    <row r="64">
      <c r="A64" s="2" t="inlineStr">
        <is>
          <t>C4-063</t>
        </is>
      </c>
      <c r="B64" s="2" t="inlineStr">
        <is>
          <t>Manifold</t>
        </is>
      </c>
      <c r="C64" s="2" t="inlineStr">
        <is>
          <t>software</t>
        </is>
      </c>
      <c r="D64" s="2" t="inlineStr">
        <is>
          <t>Ready</t>
        </is>
      </c>
      <c r="E64" s="2" t="inlineStr">
        <is>
          <t>ManifoldScholar/manifold</t>
        </is>
      </c>
      <c r="F64" s="2" t="inlineStr">
        <is>
          <t>complete</t>
        </is>
      </c>
      <c r="G64" s="2" t="inlineStr">
        <is>
          <t>complete</t>
        </is>
      </c>
      <c r="H64" s="4">
        <f>Calc!H64</f>
        <v>85.12</v>
      </c>
      <c r="I64" s="4">
        <f>Calc!I64</f>
        <v>80.77</v>
      </c>
      <c r="J64" s="4">
        <f>Calc!J64</f>
        <v>100</v>
      </c>
      <c r="K64" s="4">
        <f>Calc!K64</f>
        <v>100</v>
      </c>
      <c r="L64" s="4">
        <f>Calc!L64</f>
        <v>56.15</v>
      </c>
      <c r="M64" s="4">
        <f>Calc!M64</f>
        <v>75.73</v>
      </c>
      <c r="N64" s="4">
        <f>Calc!N64</f>
        <v>100</v>
      </c>
      <c r="O64" s="4">
        <f>Calc!O64</f>
        <v>0</v>
      </c>
      <c r="P64" s="4">
        <f>Calc!P64</f>
        <v>52.9</v>
      </c>
      <c r="Q64" s="4">
        <f>Calc!Q64</f>
        <v>0</v>
      </c>
      <c r="R64" s="4">
        <f>Calc!R64</f>
        <v>89.31</v>
      </c>
      <c r="S64" s="4">
        <f>Calc!S64</f>
        <v>42.62</v>
      </c>
      <c r="T64" s="4">
        <f>Calc!T64</f>
        <v>15.02</v>
      </c>
      <c r="U64" s="4">
        <f>AVERAGE(H64:T64)</f>
        <v>61.3553846153846</v>
      </c>
      <c r="V64" s="4">
        <f>RANK(U64,$U$2:$U$113,0)+(COUNTIF($U$2:$U$113,U64)-1)/2</f>
        <v>41</v>
      </c>
      <c r="W64" s="2">
        <f>Coverage!P64</f>
        <v>11</v>
      </c>
      <c r="X64" s="5">
        <f>Coverage!Q64</f>
        <v>0.846153846153846</v>
      </c>
      <c r="Y64" s="4">
        <f>Coverage!R64</f>
        <v>72.5109090909091</v>
      </c>
      <c r="Z64" s="2" t="inlineStr">
        <is>
          <t>Repository marked assessable in register</t>
        </is>
      </c>
      <c r="AA64" s="2" t="inlineStr">
        <is>
          <t>m8_issue_response below minimum eligible sample (n=9); scored 0; m10_issue_close90 below minimum eligible sample (n=7); scored 0</t>
        </is>
      </c>
    </row>
    <row r="65">
      <c r="A65" s="6" t="inlineStr">
        <is>
          <t>C4-064</t>
        </is>
      </c>
      <c r="B65" s="6" t="inlineStr">
        <is>
          <t>medRxiv</t>
        </is>
      </c>
      <c r="C65" s="6" t="inlineStr">
        <is>
          <t>not-assessable</t>
        </is>
      </c>
      <c r="D65" s="6" t="inlineStr">
        <is>
          <t>Not assessable</t>
        </is>
      </c>
      <c r="E65" s="6" t="inlineStr"/>
      <c r="F65" s="6" t="n"/>
      <c r="G65" s="6" t="n"/>
      <c r="H65" s="7">
        <f>Calc!H65</f>
        <v>0</v>
      </c>
      <c r="I65" s="7">
        <f>Calc!I65</f>
        <v>0</v>
      </c>
      <c r="J65" s="7">
        <f>Calc!J65</f>
        <v>0</v>
      </c>
      <c r="K65" s="7">
        <f>Calc!K65</f>
        <v>0</v>
      </c>
      <c r="L65" s="7">
        <f>Calc!L65</f>
        <v>0</v>
      </c>
      <c r="M65" s="7">
        <f>Calc!M65</f>
        <v>0</v>
      </c>
      <c r="N65" s="7">
        <f>Calc!N65</f>
        <v>0</v>
      </c>
      <c r="O65" s="7">
        <f>Calc!O65</f>
        <v>0</v>
      </c>
      <c r="P65" s="7">
        <f>Calc!P65</f>
        <v>0</v>
      </c>
      <c r="Q65" s="7">
        <f>Calc!Q65</f>
        <v>0</v>
      </c>
      <c r="R65" s="7">
        <f>Calc!R65</f>
        <v>0</v>
      </c>
      <c r="S65" s="7">
        <f>Calc!S65</f>
        <v>0</v>
      </c>
      <c r="T65" s="7">
        <f>Calc!T65</f>
        <v>0</v>
      </c>
      <c r="U65" s="7">
        <f>AVERAGE(H65:T65)</f>
        <v>0</v>
      </c>
      <c r="V65" s="7">
        <f>RANK(U65,$U$2:$U$113,0)+(COUNTIF($U$2:$U$113,U65)-1)/2</f>
        <v>106</v>
      </c>
      <c r="W65" s="6">
        <f>Coverage!P65</f>
        <v>0</v>
      </c>
      <c r="X65" s="8">
        <f>Coverage!Q65</f>
        <v>0</v>
      </c>
      <c r="Y65" s="7">
        <f>Coverage!R65</f>
        <v>0</v>
      </c>
      <c r="Z65" s="6" t="inlineStr">
        <is>
          <t>NOT ASSESSABLE / EXCLUDED: numeric zero is a policy zero-fill, not measured inactivity</t>
        </is>
      </c>
      <c r="AA65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66">
      <c r="A66" s="2" t="inlineStr">
        <is>
          <t>C4-065</t>
        </is>
      </c>
      <c r="B66" s="2" t="inlineStr">
        <is>
          <t>Metadata Encoding and Transmission Standard (METS)</t>
        </is>
      </c>
      <c r="C66" s="2" t="inlineStr">
        <is>
          <t>standard</t>
        </is>
      </c>
      <c r="D66" s="2" t="inlineStr">
        <is>
          <t>Resolved URL -&gt; scoreable standard repo</t>
        </is>
      </c>
      <c r="E66" s="2" t="inlineStr">
        <is>
          <t>mets/METS-schema</t>
        </is>
      </c>
      <c r="F66" s="2" t="inlineStr">
        <is>
          <t>complete</t>
        </is>
      </c>
      <c r="G66" s="2" t="n"/>
      <c r="H66" s="4">
        <f>Calc!H66</f>
        <v>0</v>
      </c>
      <c r="I66" s="4">
        <f>Calc!I66</f>
        <v>0</v>
      </c>
      <c r="J66" s="4">
        <f>Calc!J66</f>
        <v>0</v>
      </c>
      <c r="K66" s="4">
        <f>Calc!K66</f>
        <v>0</v>
      </c>
      <c r="L66" s="4">
        <f>Calc!L66</f>
        <v>0</v>
      </c>
      <c r="M66" s="4">
        <f>Calc!M66</f>
        <v>0</v>
      </c>
      <c r="N66" s="4">
        <f>Calc!N66</f>
        <v>0</v>
      </c>
      <c r="O66" s="4">
        <f>Calc!O66</f>
        <v>0</v>
      </c>
      <c r="P66" s="4">
        <f>Calc!P66</f>
        <v>0</v>
      </c>
      <c r="Q66" s="4">
        <f>Calc!Q66</f>
        <v>0</v>
      </c>
      <c r="R66" s="4">
        <f>Calc!R66</f>
        <v>0</v>
      </c>
      <c r="S66" s="4">
        <f>Calc!S66</f>
        <v>0</v>
      </c>
      <c r="T66" s="4">
        <f>Calc!T66</f>
        <v>0</v>
      </c>
      <c r="U66" s="4">
        <f>AVERAGE(H66:T66)</f>
        <v>0</v>
      </c>
      <c r="V66" s="4">
        <f>RANK(U66,$U$2:$U$113,0)+(COUNTIF($U$2:$U$113,U66)-1)/2</f>
        <v>106</v>
      </c>
      <c r="W66" s="2">
        <f>Coverage!P66</f>
        <v>7</v>
      </c>
      <c r="X66" s="5">
        <f>Coverage!Q66</f>
        <v>0.538461538461538</v>
      </c>
      <c r="Y66" s="4">
        <f>Coverage!R66</f>
        <v>0</v>
      </c>
      <c r="Z66" s="2" t="inlineStr">
        <is>
          <t>Repository marked assessable in register</t>
        </is>
      </c>
      <c r="AA66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67">
      <c r="A67" s="2" t="inlineStr">
        <is>
          <t>C4-066</t>
        </is>
      </c>
      <c r="B67" s="2" t="inlineStr">
        <is>
          <t>Mirador</t>
        </is>
      </c>
      <c r="C67" s="2" t="inlineStr">
        <is>
          <t>software</t>
        </is>
      </c>
      <c r="D67" s="2" t="inlineStr">
        <is>
          <t>Ready</t>
        </is>
      </c>
      <c r="E67" s="2" t="inlineStr">
        <is>
          <t>projectmirador/mirador</t>
        </is>
      </c>
      <c r="F67" s="2" t="inlineStr">
        <is>
          <t>complete</t>
        </is>
      </c>
      <c r="G67" s="2" t="inlineStr">
        <is>
          <t>complete</t>
        </is>
      </c>
      <c r="H67" s="4">
        <f>Calc!H67</f>
        <v>78.39</v>
      </c>
      <c r="I67" s="4">
        <f>Calc!I67</f>
        <v>57.69</v>
      </c>
      <c r="J67" s="4">
        <f>Calc!J67</f>
        <v>100</v>
      </c>
      <c r="K67" s="4">
        <f>Calc!K67</f>
        <v>100</v>
      </c>
      <c r="L67" s="4">
        <f>Calc!L67</f>
        <v>83.4</v>
      </c>
      <c r="M67" s="4">
        <f>Calc!M67</f>
        <v>54.56</v>
      </c>
      <c r="N67" s="4">
        <f>Calc!N67</f>
        <v>50</v>
      </c>
      <c r="O67" s="4">
        <f>Calc!O67</f>
        <v>51.72</v>
      </c>
      <c r="P67" s="4">
        <f>Calc!P67</f>
        <v>65.44</v>
      </c>
      <c r="Q67" s="4">
        <f>Calc!Q67</f>
        <v>25.58</v>
      </c>
      <c r="R67" s="4">
        <f>Calc!R67</f>
        <v>71.98</v>
      </c>
      <c r="S67" s="4">
        <f>Calc!S67</f>
        <v>53.39</v>
      </c>
      <c r="T67" s="4">
        <f>Calc!T67</f>
        <v>70.6</v>
      </c>
      <c r="U67" s="4">
        <f>AVERAGE(H67:T67)</f>
        <v>66.3653846153846</v>
      </c>
      <c r="V67" s="4">
        <f>RANK(U67,$U$2:$U$113,0)+(COUNTIF($U$2:$U$113,U67)-1)/2</f>
        <v>31</v>
      </c>
      <c r="W67" s="2">
        <f>Coverage!P67</f>
        <v>13</v>
      </c>
      <c r="X67" s="5">
        <f>Coverage!Q67</f>
        <v>1</v>
      </c>
      <c r="Y67" s="4">
        <f>Coverage!R67</f>
        <v>66.3653846153846</v>
      </c>
      <c r="Z67" s="2" t="inlineStr">
        <is>
          <t>Repository marked assessable in register</t>
        </is>
      </c>
      <c r="AA67" s="2" t="inlineStr">
        <is>
          <t>No missing metric inputs flagged by pipeline availability checks</t>
        </is>
      </c>
    </row>
    <row r="68">
      <c r="A68" s="2" t="inlineStr">
        <is>
          <t>C4-067</t>
        </is>
      </c>
      <c r="B68" s="2" t="inlineStr">
        <is>
          <t>Mukurtu CMS</t>
        </is>
      </c>
      <c r="C68" s="2" t="inlineStr">
        <is>
          <t>software</t>
        </is>
      </c>
      <c r="D68" s="2" t="inlineStr">
        <is>
          <t>Ready</t>
        </is>
      </c>
      <c r="E68" s="2" t="inlineStr">
        <is>
          <t>MukurtuCMS/mukurtucms</t>
        </is>
      </c>
      <c r="F68" s="2" t="inlineStr">
        <is>
          <t>complete</t>
        </is>
      </c>
      <c r="G68" s="2" t="inlineStr">
        <is>
          <t>complete</t>
        </is>
      </c>
      <c r="H68" s="4">
        <f>Calc!H68</f>
        <v>23.3</v>
      </c>
      <c r="I68" s="4">
        <f>Calc!I68</f>
        <v>5.77</v>
      </c>
      <c r="J68" s="4">
        <f>Calc!J68</f>
        <v>14.28</v>
      </c>
      <c r="K68" s="4">
        <f>Calc!K68</f>
        <v>0</v>
      </c>
      <c r="L68" s="4">
        <f>Calc!L68</f>
        <v>0</v>
      </c>
      <c r="M68" s="4">
        <f>Calc!M68</f>
        <v>0</v>
      </c>
      <c r="N68" s="4">
        <f>Calc!N68</f>
        <v>0</v>
      </c>
      <c r="O68" s="4">
        <f>Calc!O68</f>
        <v>0</v>
      </c>
      <c r="P68" s="4">
        <f>Calc!P68</f>
        <v>0</v>
      </c>
      <c r="Q68" s="4">
        <f>Calc!Q68</f>
        <v>0</v>
      </c>
      <c r="R68" s="4">
        <f>Calc!R68</f>
        <v>0</v>
      </c>
      <c r="S68" s="4">
        <f>Calc!S68</f>
        <v>31.8</v>
      </c>
      <c r="T68" s="4">
        <f>Calc!T68</f>
        <v>23.8</v>
      </c>
      <c r="U68" s="4">
        <f>AVERAGE(H68:T68)</f>
        <v>7.61153846153846</v>
      </c>
      <c r="V68" s="4">
        <f>RANK(U68,$U$2:$U$113,0)+(COUNTIF($U$2:$U$113,U68)-1)/2</f>
        <v>97</v>
      </c>
      <c r="W68" s="2">
        <f>Coverage!P68</f>
        <v>9</v>
      </c>
      <c r="X68" s="5">
        <f>Coverage!Q68</f>
        <v>0.692307692307692</v>
      </c>
      <c r="Y68" s="4">
        <f>Coverage!R68</f>
        <v>10.9944444444444</v>
      </c>
      <c r="Z68" s="2" t="inlineStr">
        <is>
          <t>Repository marked assessable in register</t>
        </is>
      </c>
      <c r="AA68" s="2" t="inlineStr">
        <is>
          <t>m8_issue_response below minimum eligible sample (n=1); scored 0; m9_pr_response below minimum eligible sample (n=1); scored 0; m10_issue_close90 below minimum eligible sample (n=0); scored 0; m11_pr_decision30 below minimum eligible sample (n=1); scored 0</t>
        </is>
      </c>
    </row>
    <row r="69">
      <c r="A69" s="2" t="inlineStr">
        <is>
          <t>C4-068</t>
        </is>
      </c>
      <c r="B69" s="2" t="inlineStr">
        <is>
          <t>MyCoRe</t>
        </is>
      </c>
      <c r="C69" s="2" t="inlineStr">
        <is>
          <t>software</t>
        </is>
      </c>
      <c r="D69" s="2" t="inlineStr">
        <is>
          <t>Ready</t>
        </is>
      </c>
      <c r="E69" s="2" t="inlineStr">
        <is>
          <t>MyCoRe-Org/mycore</t>
        </is>
      </c>
      <c r="F69" s="2" t="inlineStr">
        <is>
          <t>complete</t>
        </is>
      </c>
      <c r="G69" s="2" t="inlineStr">
        <is>
          <t>complete</t>
        </is>
      </c>
      <c r="H69" s="4">
        <f>Calc!H69</f>
        <v>84.91</v>
      </c>
      <c r="I69" s="4">
        <f>Calc!I69</f>
        <v>94.23</v>
      </c>
      <c r="J69" s="4">
        <f>Calc!J69</f>
        <v>100</v>
      </c>
      <c r="K69" s="4">
        <f>Calc!K69</f>
        <v>100</v>
      </c>
      <c r="L69" s="4">
        <f>Calc!L69</f>
        <v>84.96</v>
      </c>
      <c r="M69" s="4">
        <f>Calc!M69</f>
        <v>86.96</v>
      </c>
      <c r="N69" s="4">
        <f>Calc!N69</f>
        <v>100</v>
      </c>
      <c r="O69" s="4">
        <f>Calc!O69</f>
        <v>0</v>
      </c>
      <c r="P69" s="4">
        <f>Calc!P69</f>
        <v>65.31</v>
      </c>
      <c r="Q69" s="4">
        <f>Calc!Q69</f>
        <v>0</v>
      </c>
      <c r="R69" s="4">
        <f>Calc!R69</f>
        <v>88.95</v>
      </c>
      <c r="S69" s="4">
        <f>Calc!S69</f>
        <v>28.17</v>
      </c>
      <c r="T69" s="4">
        <f>Calc!T69</f>
        <v>0</v>
      </c>
      <c r="U69" s="4">
        <f>AVERAGE(H69:T69)</f>
        <v>64.1146153846154</v>
      </c>
      <c r="V69" s="4">
        <f>RANK(U69,$U$2:$U$113,0)+(COUNTIF($U$2:$U$113,U69)-1)/2</f>
        <v>33</v>
      </c>
      <c r="W69" s="2">
        <f>Coverage!P69</f>
        <v>11</v>
      </c>
      <c r="X69" s="5">
        <f>Coverage!Q69</f>
        <v>0.846153846153846</v>
      </c>
      <c r="Y69" s="4">
        <f>Coverage!R69</f>
        <v>75.7718181818182</v>
      </c>
      <c r="Z69" s="2" t="inlineStr">
        <is>
          <t>Repository marked assessable in register</t>
        </is>
      </c>
      <c r="AA69" s="2" t="inlineStr">
        <is>
          <t>m8_issue_response unavailable; scored 0; m10_issue_close90 unavailable; scored 0</t>
        </is>
      </c>
    </row>
    <row r="70">
      <c r="A70" s="2" t="inlineStr">
        <is>
          <t>C4-069</t>
        </is>
      </c>
      <c r="B70" s="2" t="inlineStr">
        <is>
          <t>NumPy</t>
        </is>
      </c>
      <c r="C70" s="2" t="inlineStr">
        <is>
          <t>software</t>
        </is>
      </c>
      <c r="D70" s="2" t="inlineStr">
        <is>
          <t>Ready</t>
        </is>
      </c>
      <c r="E70" s="2" t="inlineStr">
        <is>
          <t>numpy/numpy</t>
        </is>
      </c>
      <c r="F70" s="2" t="inlineStr">
        <is>
          <t>complete</t>
        </is>
      </c>
      <c r="G70" s="2" t="inlineStr">
        <is>
          <t>complete</t>
        </is>
      </c>
      <c r="H70" s="4">
        <f>Calc!H70</f>
        <v>100</v>
      </c>
      <c r="I70" s="4">
        <f>Calc!I70</f>
        <v>100</v>
      </c>
      <c r="J70" s="4">
        <f>Calc!J70</f>
        <v>100</v>
      </c>
      <c r="K70" s="4">
        <f>Calc!K70</f>
        <v>100</v>
      </c>
      <c r="L70" s="4">
        <f>Calc!L70</f>
        <v>100</v>
      </c>
      <c r="M70" s="4">
        <f>Calc!M70</f>
        <v>81.98</v>
      </c>
      <c r="N70" s="4">
        <f>Calc!N70</f>
        <v>100</v>
      </c>
      <c r="O70" s="4">
        <f>Calc!O70</f>
        <v>93.47</v>
      </c>
      <c r="P70" s="4">
        <f>Calc!P70</f>
        <v>82.18</v>
      </c>
      <c r="Q70" s="4">
        <f>Calc!Q70</f>
        <v>70.02</v>
      </c>
      <c r="R70" s="4">
        <f>Calc!R70</f>
        <v>86.49</v>
      </c>
      <c r="S70" s="4">
        <f>Calc!S70</f>
        <v>100</v>
      </c>
      <c r="T70" s="4">
        <f>Calc!T70</f>
        <v>100</v>
      </c>
      <c r="U70" s="4">
        <f>AVERAGE(H70:T70)</f>
        <v>93.3953846153846</v>
      </c>
      <c r="V70" s="4">
        <f>RANK(U70,$U$2:$U$113,0)+(COUNTIF($U$2:$U$113,U70)-1)/2</f>
        <v>1</v>
      </c>
      <c r="W70" s="2">
        <f>Coverage!P70</f>
        <v>13</v>
      </c>
      <c r="X70" s="5">
        <f>Coverage!Q70</f>
        <v>1</v>
      </c>
      <c r="Y70" s="4">
        <f>Coverage!R70</f>
        <v>93.3953846153846</v>
      </c>
      <c r="Z70" s="2" t="inlineStr">
        <is>
          <t>Repository marked assessable in register</t>
        </is>
      </c>
      <c r="AA70" s="2" t="inlineStr">
        <is>
          <t>No missing metric inputs flagged by pipeline availability checks</t>
        </is>
      </c>
    </row>
    <row r="71">
      <c r="A71" s="2" t="inlineStr">
        <is>
          <t>C4-070</t>
        </is>
      </c>
      <c r="B71" s="2" t="inlineStr">
        <is>
          <t>OA.Report</t>
        </is>
      </c>
      <c r="C71" s="2" t="inlineStr">
        <is>
          <t>software</t>
        </is>
      </c>
      <c r="D71" s="2" t="inlineStr">
        <is>
          <t>Ready</t>
        </is>
      </c>
      <c r="E71" s="2" t="inlineStr">
        <is>
          <t>oaworks/oa-report</t>
        </is>
      </c>
      <c r="F71" s="2" t="inlineStr">
        <is>
          <t>complete</t>
        </is>
      </c>
      <c r="G71" s="2" t="inlineStr">
        <is>
          <t>complete</t>
        </is>
      </c>
      <c r="H71" s="4">
        <f>Calc!H71</f>
        <v>99.09</v>
      </c>
      <c r="I71" s="4">
        <f>Calc!I71</f>
        <v>90.38</v>
      </c>
      <c r="J71" s="4">
        <f>Calc!J71</f>
        <v>100</v>
      </c>
      <c r="K71" s="4">
        <f>Calc!K71</f>
        <v>0</v>
      </c>
      <c r="L71" s="4">
        <f>Calc!L71</f>
        <v>31.7</v>
      </c>
      <c r="M71" s="4">
        <f>Calc!M71</f>
        <v>3.7</v>
      </c>
      <c r="N71" s="4">
        <f>Calc!N71</f>
        <v>50</v>
      </c>
      <c r="O71" s="4">
        <f>Calc!O71</f>
        <v>0</v>
      </c>
      <c r="P71" s="4">
        <f>Calc!P71</f>
        <v>34.62</v>
      </c>
      <c r="Q71" s="4">
        <f>Calc!Q71</f>
        <v>0</v>
      </c>
      <c r="R71" s="4">
        <f>Calc!R71</f>
        <v>96.15</v>
      </c>
      <c r="S71" s="4">
        <f>Calc!S71</f>
        <v>10.03</v>
      </c>
      <c r="T71" s="4">
        <f>Calc!T71</f>
        <v>0</v>
      </c>
      <c r="U71" s="4">
        <f>AVERAGE(H71:T71)</f>
        <v>39.6669230769231</v>
      </c>
      <c r="V71" s="4">
        <f>RANK(U71,$U$2:$U$113,0)+(COUNTIF($U$2:$U$113,U71)-1)/2</f>
        <v>70</v>
      </c>
      <c r="W71" s="2">
        <f>Coverage!P71</f>
        <v>11</v>
      </c>
      <c r="X71" s="5">
        <f>Coverage!Q71</f>
        <v>0.846153846153846</v>
      </c>
      <c r="Y71" s="4">
        <f>Coverage!R71</f>
        <v>46.8790909090909</v>
      </c>
      <c r="Z71" s="2" t="inlineStr">
        <is>
          <t>Repository marked assessable in register</t>
        </is>
      </c>
      <c r="AA71" s="2" t="inlineStr">
        <is>
          <t>m8_issue_response unavailable; scored 0; m10_issue_close90 unavailable; scored 0</t>
        </is>
      </c>
    </row>
    <row r="72">
      <c r="A72" s="2" t="inlineStr">
        <is>
          <t>C4-071</t>
        </is>
      </c>
      <c r="B72" s="2" t="inlineStr">
        <is>
          <t>OA Switchboard</t>
        </is>
      </c>
      <c r="C72" s="2" t="inlineStr">
        <is>
          <t>software</t>
        </is>
      </c>
      <c r="D72" s="2" t="inlineStr">
        <is>
          <t>Non-GitHub</t>
        </is>
      </c>
      <c r="E72" s="2" t="inlineStr">
        <is>
          <t>https://bitbucket.org/oaswitchboard/api</t>
        </is>
      </c>
      <c r="F72" s="2" t="inlineStr">
        <is>
          <t>complete</t>
        </is>
      </c>
      <c r="G72" s="2" t="inlineStr">
        <is>
          <t>no GitHub source</t>
        </is>
      </c>
      <c r="H72" s="4">
        <f>Calc!H72</f>
        <v>47.16</v>
      </c>
      <c r="I72" s="4">
        <f>Calc!I72</f>
        <v>32.69</v>
      </c>
      <c r="J72" s="4">
        <f>Calc!J72</f>
        <v>100</v>
      </c>
      <c r="K72" s="4">
        <f>Calc!K72</f>
        <v>0</v>
      </c>
      <c r="L72" s="4">
        <f>Calc!L72</f>
        <v>0</v>
      </c>
      <c r="M72" s="4">
        <f>Calc!M72</f>
        <v>0</v>
      </c>
      <c r="N72" s="4">
        <f>Calc!N72</f>
        <v>25</v>
      </c>
      <c r="O72" s="4">
        <f>Calc!O72</f>
        <v>0</v>
      </c>
      <c r="P72" s="4">
        <f>Calc!P72</f>
        <v>0</v>
      </c>
      <c r="Q72" s="4">
        <f>Calc!Q72</f>
        <v>0</v>
      </c>
      <c r="R72" s="4">
        <f>Calc!R72</f>
        <v>0</v>
      </c>
      <c r="S72" s="4">
        <f>Calc!S72</f>
        <v>0</v>
      </c>
      <c r="T72" s="4">
        <f>Calc!T72</f>
        <v>0</v>
      </c>
      <c r="U72" s="4">
        <f>AVERAGE(H72:T72)</f>
        <v>15.7576923076923</v>
      </c>
      <c r="V72" s="4">
        <f>RANK(U72,$U$2:$U$113,0)+(COUNTIF($U$2:$U$113,U72)-1)/2</f>
        <v>92</v>
      </c>
      <c r="W72" s="2">
        <f>Coverage!P72</f>
        <v>7</v>
      </c>
      <c r="X72" s="5">
        <f>Coverage!Q72</f>
        <v>0.538461538461538</v>
      </c>
      <c r="Y72" s="4">
        <f>Coverage!R72</f>
        <v>29.2642857142857</v>
      </c>
      <c r="Z72" s="2" t="inlineStr">
        <is>
          <t>Repository marked assessable in register</t>
        </is>
      </c>
      <c r="AA72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73">
      <c r="A73" s="2" t="inlineStr">
        <is>
          <t>C4-072</t>
        </is>
      </c>
      <c r="B73" s="2" t="inlineStr">
        <is>
          <t>Omeka</t>
        </is>
      </c>
      <c r="C73" s="2" t="inlineStr">
        <is>
          <t>software</t>
        </is>
      </c>
      <c r="D73" s="2" t="inlineStr">
        <is>
          <t>Replace URL (Omeka S)</t>
        </is>
      </c>
      <c r="E73" s="2" t="inlineStr">
        <is>
          <t>omeka/omeka-s</t>
        </is>
      </c>
      <c r="F73" s="2" t="inlineStr">
        <is>
          <t>complete</t>
        </is>
      </c>
      <c r="G73" s="2" t="inlineStr">
        <is>
          <t>complete</t>
        </is>
      </c>
      <c r="H73" s="4">
        <f>Calc!H73</f>
        <v>73.55</v>
      </c>
      <c r="I73" s="4">
        <f>Calc!I73</f>
        <v>75</v>
      </c>
      <c r="J73" s="4">
        <f>Calc!J73</f>
        <v>100</v>
      </c>
      <c r="K73" s="4">
        <f>Calc!K73</f>
        <v>75</v>
      </c>
      <c r="L73" s="4">
        <f>Calc!L73</f>
        <v>46.44</v>
      </c>
      <c r="M73" s="4">
        <f>Calc!M73</f>
        <v>47.23</v>
      </c>
      <c r="N73" s="4">
        <f>Calc!N73</f>
        <v>75</v>
      </c>
      <c r="O73" s="4">
        <f>Calc!O73</f>
        <v>45.26</v>
      </c>
      <c r="P73" s="4">
        <f>Calc!P73</f>
        <v>29.23</v>
      </c>
      <c r="Q73" s="4">
        <f>Calc!Q73</f>
        <v>39.36</v>
      </c>
      <c r="R73" s="4">
        <f>Calc!R73</f>
        <v>37.5</v>
      </c>
      <c r="S73" s="4">
        <f>Calc!S73</f>
        <v>62.87</v>
      </c>
      <c r="T73" s="4">
        <f>Calc!T73</f>
        <v>74.41</v>
      </c>
      <c r="U73" s="4">
        <f>AVERAGE(H73:T73)</f>
        <v>60.0653846153846</v>
      </c>
      <c r="V73" s="4">
        <f>RANK(U73,$U$2:$U$113,0)+(COUNTIF($U$2:$U$113,U73)-1)/2</f>
        <v>42</v>
      </c>
      <c r="W73" s="2">
        <f>Coverage!P73</f>
        <v>13</v>
      </c>
      <c r="X73" s="5">
        <f>Coverage!Q73</f>
        <v>1</v>
      </c>
      <c r="Y73" s="4">
        <f>Coverage!R73</f>
        <v>60.0653846153846</v>
      </c>
      <c r="Z73" s="2" t="inlineStr">
        <is>
          <t>Repository marked assessable in register</t>
        </is>
      </c>
      <c r="AA73" s="2" t="inlineStr">
        <is>
          <t>No missing metric inputs flagged by pipeline availability checks</t>
        </is>
      </c>
    </row>
    <row r="74">
      <c r="A74" s="2" t="inlineStr">
        <is>
          <t>C4-073</t>
        </is>
      </c>
      <c r="B74" s="2" t="inlineStr">
        <is>
          <t>OpenAIRE Graph</t>
        </is>
      </c>
      <c r="C74" s="2" t="inlineStr">
        <is>
          <t>software</t>
        </is>
      </c>
      <c r="D74" s="2" t="inlineStr">
        <is>
          <t>Non-GitHub</t>
        </is>
      </c>
      <c r="E74" s="2" t="inlineStr">
        <is>
          <t>https://code-repo.d4science.org/D-Net/dnet-hadoop</t>
        </is>
      </c>
      <c r="F74" s="2" t="inlineStr">
        <is>
          <t>complete</t>
        </is>
      </c>
      <c r="G74" s="2" t="inlineStr">
        <is>
          <t>no GitHub source</t>
        </is>
      </c>
      <c r="H74" s="4">
        <f>Calc!H74</f>
        <v>87.57</v>
      </c>
      <c r="I74" s="4">
        <f>Calc!I74</f>
        <v>86.54</v>
      </c>
      <c r="J74" s="4">
        <f>Calc!J74</f>
        <v>100</v>
      </c>
      <c r="K74" s="4">
        <f>Calc!K74</f>
        <v>75</v>
      </c>
      <c r="L74" s="4">
        <f>Calc!L74</f>
        <v>63.4</v>
      </c>
      <c r="M74" s="4">
        <f>Calc!M74</f>
        <v>73.28</v>
      </c>
      <c r="N74" s="4">
        <f>Calc!N74</f>
        <v>100</v>
      </c>
      <c r="O74" s="4">
        <f>Calc!O74</f>
        <v>0</v>
      </c>
      <c r="P74" s="4">
        <f>Calc!P74</f>
        <v>0</v>
      </c>
      <c r="Q74" s="4">
        <f>Calc!Q74</f>
        <v>0</v>
      </c>
      <c r="R74" s="4">
        <f>Calc!R74</f>
        <v>0</v>
      </c>
      <c r="S74" s="4">
        <f>Calc!S74</f>
        <v>0</v>
      </c>
      <c r="T74" s="4">
        <f>Calc!T74</f>
        <v>0</v>
      </c>
      <c r="U74" s="4">
        <f>AVERAGE(H74:T74)</f>
        <v>45.0607692307692</v>
      </c>
      <c r="V74" s="4">
        <f>RANK(U74,$U$2:$U$113,0)+(COUNTIF($U$2:$U$113,U74)-1)/2</f>
        <v>63</v>
      </c>
      <c r="W74" s="2">
        <f>Coverage!P74</f>
        <v>7</v>
      </c>
      <c r="X74" s="5">
        <f>Coverage!Q74</f>
        <v>0.538461538461538</v>
      </c>
      <c r="Y74" s="4">
        <f>Coverage!R74</f>
        <v>83.6842857142857</v>
      </c>
      <c r="Z74" s="2" t="inlineStr">
        <is>
          <t>Repository marked assessable in register</t>
        </is>
      </c>
      <c r="AA74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75">
      <c r="A75" s="2" t="inlineStr">
        <is>
          <t>C4-074</t>
        </is>
      </c>
      <c r="B75" s="2" t="inlineStr">
        <is>
          <t>OpenAlex</t>
        </is>
      </c>
      <c r="C75" s="2" t="inlineStr">
        <is>
          <t>software</t>
        </is>
      </c>
      <c r="D75" s="2" t="inlineStr">
        <is>
          <t>Replace URL -&gt; product set</t>
        </is>
      </c>
      <c r="E75" s="2" t="inlineStr">
        <is>
          <t>ourresearch/openalex-walden;ourresearch/openalex-elastic-api</t>
        </is>
      </c>
      <c r="F75" s="2" t="inlineStr">
        <is>
          <t>complete</t>
        </is>
      </c>
      <c r="G75" s="2" t="inlineStr">
        <is>
          <t>complete</t>
        </is>
      </c>
      <c r="H75" s="4">
        <f>Calc!H75</f>
        <v>100</v>
      </c>
      <c r="I75" s="4">
        <f>Calc!I75</f>
        <v>100</v>
      </c>
      <c r="J75" s="4">
        <f>Calc!J75</f>
        <v>100</v>
      </c>
      <c r="K75" s="4">
        <f>Calc!K75</f>
        <v>0</v>
      </c>
      <c r="L75" s="4">
        <f>Calc!L75</f>
        <v>71.7</v>
      </c>
      <c r="M75" s="4">
        <f>Calc!M75</f>
        <v>69.7</v>
      </c>
      <c r="N75" s="4">
        <f>Calc!N75</f>
        <v>100</v>
      </c>
      <c r="O75" s="4">
        <f>Calc!O75</f>
        <v>0</v>
      </c>
      <c r="P75" s="4">
        <f>Calc!P75</f>
        <v>73.23</v>
      </c>
      <c r="Q75" s="4">
        <f>Calc!Q75</f>
        <v>0</v>
      </c>
      <c r="R75" s="4">
        <f>Calc!R75</f>
        <v>95.36</v>
      </c>
      <c r="S75" s="4">
        <f>Calc!S75</f>
        <v>47.71</v>
      </c>
      <c r="T75" s="4">
        <f>Calc!T75</f>
        <v>62.63</v>
      </c>
      <c r="U75" s="4">
        <f>AVERAGE(H75:T75)</f>
        <v>63.1023076923077</v>
      </c>
      <c r="V75" s="4">
        <f>RANK(U75,$U$2:$U$113,0)+(COUNTIF($U$2:$U$113,U75)-1)/2</f>
        <v>38</v>
      </c>
      <c r="W75" s="2">
        <f>Coverage!P75</f>
        <v>11</v>
      </c>
      <c r="X75" s="5">
        <f>Coverage!Q75</f>
        <v>0.846153846153846</v>
      </c>
      <c r="Y75" s="4">
        <f>Coverage!R75</f>
        <v>74.5754545454545</v>
      </c>
      <c r="Z75" s="2" t="inlineStr">
        <is>
          <t>Repository marked assessable in register</t>
        </is>
      </c>
      <c r="AA75" s="2" t="inlineStr">
        <is>
          <t>m8_issue_response unavailable; scored 0; m10_issue_close90 unavailable; scored 0</t>
        </is>
      </c>
    </row>
    <row r="76">
      <c r="A76" s="2" t="inlineStr">
        <is>
          <t>C4-075</t>
        </is>
      </c>
      <c r="B76" s="2" t="inlineStr">
        <is>
          <t>OpenAPC</t>
        </is>
      </c>
      <c r="C76" s="2" t="inlineStr">
        <is>
          <t>software</t>
        </is>
      </c>
      <c r="D76" s="2" t="inlineStr">
        <is>
          <t>Ready</t>
        </is>
      </c>
      <c r="E76" s="2" t="inlineStr">
        <is>
          <t>OpenAPC/openapc-de</t>
        </is>
      </c>
      <c r="F76" s="2" t="inlineStr">
        <is>
          <t>complete</t>
        </is>
      </c>
      <c r="G76" s="2" t="inlineStr">
        <is>
          <t>complete</t>
        </is>
      </c>
      <c r="H76" s="4">
        <f>Calc!H76</f>
        <v>100</v>
      </c>
      <c r="I76" s="4">
        <f>Calc!I76</f>
        <v>96.15</v>
      </c>
      <c r="J76" s="4">
        <f>Calc!J76</f>
        <v>100</v>
      </c>
      <c r="K76" s="4">
        <f>Calc!K76</f>
        <v>100</v>
      </c>
      <c r="L76" s="4">
        <f>Calc!L76</f>
        <v>69.19</v>
      </c>
      <c r="M76" s="4">
        <f>Calc!M76</f>
        <v>35.45</v>
      </c>
      <c r="N76" s="4">
        <f>Calc!N76</f>
        <v>100</v>
      </c>
      <c r="O76" s="4">
        <f>Calc!O76</f>
        <v>0</v>
      </c>
      <c r="P76" s="4">
        <f>Calc!P76</f>
        <v>2.43</v>
      </c>
      <c r="Q76" s="4">
        <f>Calc!Q76</f>
        <v>0</v>
      </c>
      <c r="R76" s="4">
        <f>Calc!R76</f>
        <v>97.45</v>
      </c>
      <c r="S76" s="4">
        <f>Calc!S76</f>
        <v>33.33</v>
      </c>
      <c r="T76" s="4">
        <f>Calc!T76</f>
        <v>38.82</v>
      </c>
      <c r="U76" s="4">
        <f>AVERAGE(H76:T76)</f>
        <v>59.4476923076923</v>
      </c>
      <c r="V76" s="4">
        <f>RANK(U76,$U$2:$U$113,0)+(COUNTIF($U$2:$U$113,U76)-1)/2</f>
        <v>43</v>
      </c>
      <c r="W76" s="2">
        <f>Coverage!P76</f>
        <v>11</v>
      </c>
      <c r="X76" s="5">
        <f>Coverage!Q76</f>
        <v>0.846153846153846</v>
      </c>
      <c r="Y76" s="4">
        <f>Coverage!R76</f>
        <v>70.2563636363636</v>
      </c>
      <c r="Z76" s="2" t="inlineStr">
        <is>
          <t>Repository marked assessable in register</t>
        </is>
      </c>
      <c r="AA76" s="2" t="inlineStr">
        <is>
          <t>m8_issue_response below minimum eligible sample (n=1); scored 0; m10_issue_close90 below minimum eligible sample (n=1); scored 0</t>
        </is>
      </c>
    </row>
    <row r="77">
      <c r="A77" s="2" t="inlineStr">
        <is>
          <t>C4-076</t>
        </is>
      </c>
      <c r="B77" s="2" t="inlineStr">
        <is>
          <t>OpenCitations</t>
        </is>
      </c>
      <c r="C77" s="2" t="inlineStr">
        <is>
          <t>software</t>
        </is>
      </c>
      <c r="D77" s="2" t="inlineStr">
        <is>
          <t>Replace URL</t>
        </is>
      </c>
      <c r="E77" s="2" t="inlineStr">
        <is>
          <t>opencitations/oc_meta</t>
        </is>
      </c>
      <c r="F77" s="2" t="inlineStr">
        <is>
          <t>complete</t>
        </is>
      </c>
      <c r="G77" s="2" t="inlineStr">
        <is>
          <t>complete</t>
        </is>
      </c>
      <c r="H77" s="4">
        <f>Calc!H77</f>
        <v>79.86</v>
      </c>
      <c r="I77" s="4">
        <f>Calc!I77</f>
        <v>71.15</v>
      </c>
      <c r="J77" s="4">
        <f>Calc!J77</f>
        <v>100</v>
      </c>
      <c r="K77" s="4">
        <f>Calc!K77</f>
        <v>50</v>
      </c>
      <c r="L77" s="4">
        <f>Calc!L77</f>
        <v>31.7</v>
      </c>
      <c r="M77" s="4">
        <f>Calc!M77</f>
        <v>9.96</v>
      </c>
      <c r="N77" s="4">
        <f>Calc!N77</f>
        <v>50</v>
      </c>
      <c r="O77" s="4">
        <f>Calc!O77</f>
        <v>0</v>
      </c>
      <c r="P77" s="4">
        <f>Calc!P77</f>
        <v>0</v>
      </c>
      <c r="Q77" s="4">
        <f>Calc!Q77</f>
        <v>0</v>
      </c>
      <c r="R77" s="4">
        <f>Calc!R77</f>
        <v>0</v>
      </c>
      <c r="S77" s="4">
        <f>Calc!S77</f>
        <v>0</v>
      </c>
      <c r="T77" s="4">
        <f>Calc!T77</f>
        <v>15.02</v>
      </c>
      <c r="U77" s="4">
        <f>AVERAGE(H77:T77)</f>
        <v>31.3607692307692</v>
      </c>
      <c r="V77" s="4">
        <f>RANK(U77,$U$2:$U$113,0)+(COUNTIF($U$2:$U$113,U77)-1)/2</f>
        <v>77</v>
      </c>
      <c r="W77" s="2">
        <f>Coverage!P77</f>
        <v>9</v>
      </c>
      <c r="X77" s="5">
        <f>Coverage!Q77</f>
        <v>0.692307692307692</v>
      </c>
      <c r="Y77" s="4">
        <f>Coverage!R77</f>
        <v>45.2988888888889</v>
      </c>
      <c r="Z77" s="2" t="inlineStr">
        <is>
          <t>Repository marked assessable in register</t>
        </is>
      </c>
      <c r="AA77" s="2" t="inlineStr">
        <is>
          <t>m8_issue_response below minimum eligible sample (n=4); scored 0; m9_pr_response below minimum eligible sample (n=1); scored 0; m10_issue_close90 below minimum eligible sample (n=1); scored 0; m11_pr_decision30 below minimum eligible sample (n=0); scored 0</t>
        </is>
      </c>
    </row>
    <row r="78">
      <c r="A78" s="2" t="inlineStr">
        <is>
          <t>C4-077</t>
        </is>
      </c>
      <c r="B78" s="2" t="inlineStr">
        <is>
          <t>openCost</t>
        </is>
      </c>
      <c r="C78" s="2" t="inlineStr">
        <is>
          <t>software</t>
        </is>
      </c>
      <c r="D78" s="2" t="inlineStr">
        <is>
          <t>Fix URL (repo root)</t>
        </is>
      </c>
      <c r="E78" s="2" t="inlineStr">
        <is>
          <t>opencost-de/opencost</t>
        </is>
      </c>
      <c r="F78" s="2" t="inlineStr">
        <is>
          <t>complete</t>
        </is>
      </c>
      <c r="G78" s="2" t="inlineStr">
        <is>
          <t>complete</t>
        </is>
      </c>
      <c r="H78" s="4">
        <f>Calc!H78</f>
        <v>57.47</v>
      </c>
      <c r="I78" s="4">
        <f>Calc!I78</f>
        <v>21.15</v>
      </c>
      <c r="J78" s="4">
        <f>Calc!J78</f>
        <v>100</v>
      </c>
      <c r="K78" s="4">
        <f>Calc!K78</f>
        <v>0</v>
      </c>
      <c r="L78" s="4">
        <f>Calc!L78</f>
        <v>40</v>
      </c>
      <c r="M78" s="4">
        <f>Calc!M78</f>
        <v>25.52</v>
      </c>
      <c r="N78" s="4">
        <f>Calc!N78</f>
        <v>25</v>
      </c>
      <c r="O78" s="4">
        <f>Calc!O78</f>
        <v>13.33</v>
      </c>
      <c r="P78" s="4">
        <f>Calc!P78</f>
        <v>0</v>
      </c>
      <c r="Q78" s="4">
        <f>Calc!Q78</f>
        <v>3.85</v>
      </c>
      <c r="R78" s="4">
        <f>Calc!R78</f>
        <v>0</v>
      </c>
      <c r="S78" s="4">
        <f>Calc!S78</f>
        <v>15.9</v>
      </c>
      <c r="T78" s="4">
        <f>Calc!T78</f>
        <v>15.02</v>
      </c>
      <c r="U78" s="4">
        <f>AVERAGE(H78:T78)</f>
        <v>24.4030769230769</v>
      </c>
      <c r="V78" s="4">
        <f>RANK(U78,$U$2:$U$113,0)+(COUNTIF($U$2:$U$113,U78)-1)/2</f>
        <v>82</v>
      </c>
      <c r="W78" s="2">
        <f>Coverage!P78</f>
        <v>11</v>
      </c>
      <c r="X78" s="5">
        <f>Coverage!Q78</f>
        <v>0.846153846153846</v>
      </c>
      <c r="Y78" s="4">
        <f>Coverage!R78</f>
        <v>28.84</v>
      </c>
      <c r="Z78" s="2" t="inlineStr">
        <is>
          <t>Repository marked assessable in register</t>
        </is>
      </c>
      <c r="AA78" s="2" t="inlineStr">
        <is>
          <t>m9_pr_response below minimum eligible sample (n=9); scored 0; m11_pr_decision30 below minimum eligible sample (n=4); scored 0</t>
        </is>
      </c>
    </row>
    <row r="79">
      <c r="A79" s="2" t="inlineStr">
        <is>
          <t>C4-078</t>
        </is>
      </c>
      <c r="B79" s="2" t="inlineStr">
        <is>
          <t>Open Data Editor</t>
        </is>
      </c>
      <c r="C79" s="2" t="inlineStr">
        <is>
          <t>software</t>
        </is>
      </c>
      <c r="D79" s="2" t="inlineStr">
        <is>
          <t>Ready</t>
        </is>
      </c>
      <c r="E79" s="2" t="inlineStr">
        <is>
          <t>okfn/opendataeditor</t>
        </is>
      </c>
      <c r="F79" s="2" t="inlineStr">
        <is>
          <t>complete</t>
        </is>
      </c>
      <c r="G79" s="2" t="inlineStr">
        <is>
          <t>complete</t>
        </is>
      </c>
      <c r="H79" s="4">
        <f>Calc!H79</f>
        <v>43.36</v>
      </c>
      <c r="I79" s="4">
        <f>Calc!I79</f>
        <v>17.31</v>
      </c>
      <c r="J79" s="4">
        <f>Calc!J79</f>
        <v>100</v>
      </c>
      <c r="K79" s="4">
        <f>Calc!K79</f>
        <v>75</v>
      </c>
      <c r="L79" s="4">
        <f>Calc!L79</f>
        <v>56.15</v>
      </c>
      <c r="M79" s="4">
        <f>Calc!M79</f>
        <v>47.23</v>
      </c>
      <c r="N79" s="4">
        <f>Calc!N79</f>
        <v>25</v>
      </c>
      <c r="O79" s="4">
        <f>Calc!O79</f>
        <v>0</v>
      </c>
      <c r="P79" s="4">
        <f>Calc!P79</f>
        <v>14.29</v>
      </c>
      <c r="Q79" s="4">
        <f>Calc!Q79</f>
        <v>0</v>
      </c>
      <c r="R79" s="4">
        <f>Calc!R79</f>
        <v>76.47</v>
      </c>
      <c r="S79" s="4">
        <f>Calc!S79</f>
        <v>54.44</v>
      </c>
      <c r="T79" s="4">
        <f>Calc!T79</f>
        <v>51.96</v>
      </c>
      <c r="U79" s="4">
        <f>AVERAGE(H79:T79)</f>
        <v>43.17</v>
      </c>
      <c r="V79" s="4">
        <f>RANK(U79,$U$2:$U$113,0)+(COUNTIF($U$2:$U$113,U79)-1)/2</f>
        <v>65</v>
      </c>
      <c r="W79" s="2">
        <f>Coverage!P79</f>
        <v>11</v>
      </c>
      <c r="X79" s="5">
        <f>Coverage!Q79</f>
        <v>0.846153846153846</v>
      </c>
      <c r="Y79" s="4">
        <f>Coverage!R79</f>
        <v>51.0190909090909</v>
      </c>
      <c r="Z79" s="2" t="inlineStr">
        <is>
          <t>Repository marked assessable in register</t>
        </is>
      </c>
      <c r="AA79" s="2" t="inlineStr">
        <is>
          <t>m8_issue_response below minimum eligible sample (n=9); scored 0; m10_issue_close90 below minimum eligible sample (n=8); scored 0</t>
        </is>
      </c>
    </row>
    <row r="80">
      <c r="A80" s="2" t="inlineStr">
        <is>
          <t>C4-079</t>
        </is>
      </c>
      <c r="B80" s="2" t="inlineStr">
        <is>
          <t>OpenEdition</t>
        </is>
      </c>
      <c r="C80" s="2" t="inlineStr">
        <is>
          <t>software</t>
        </is>
      </c>
      <c r="D80" s="2" t="inlineStr">
        <is>
          <t>Replace URL</t>
        </is>
      </c>
      <c r="E80" s="2" t="inlineStr">
        <is>
          <t>OpenEdition/lodel</t>
        </is>
      </c>
      <c r="F80" s="2" t="inlineStr">
        <is>
          <t>complete</t>
        </is>
      </c>
      <c r="G80" s="2" t="inlineStr">
        <is>
          <t>complete</t>
        </is>
      </c>
      <c r="H80" s="4">
        <f>Calc!H80</f>
        <v>46</v>
      </c>
      <c r="I80" s="4">
        <f>Calc!I80</f>
        <v>21.15</v>
      </c>
      <c r="J80" s="4">
        <f>Calc!J80</f>
        <v>62.86</v>
      </c>
      <c r="K80" s="4">
        <f>Calc!K80</f>
        <v>50</v>
      </c>
      <c r="L80" s="4">
        <f>Calc!L80</f>
        <v>31.7</v>
      </c>
      <c r="M80" s="4">
        <f>Calc!M80</f>
        <v>28.53</v>
      </c>
      <c r="N80" s="4">
        <f>Calc!N80</f>
        <v>25</v>
      </c>
      <c r="O80" s="4">
        <f>Calc!O80</f>
        <v>0</v>
      </c>
      <c r="P80" s="4">
        <f>Calc!P80</f>
        <v>0</v>
      </c>
      <c r="Q80" s="4">
        <f>Calc!Q80</f>
        <v>0</v>
      </c>
      <c r="R80" s="4">
        <f>Calc!R80</f>
        <v>0</v>
      </c>
      <c r="S80" s="4">
        <f>Calc!S80</f>
        <v>15.9</v>
      </c>
      <c r="T80" s="4">
        <f>Calc!T80</f>
        <v>23.8</v>
      </c>
      <c r="U80" s="4">
        <f>AVERAGE(H80:T80)</f>
        <v>23.4569230769231</v>
      </c>
      <c r="V80" s="4">
        <f>RANK(U80,$U$2:$U$113,0)+(COUNTIF($U$2:$U$113,U80)-1)/2</f>
        <v>84</v>
      </c>
      <c r="W80" s="2">
        <f>Coverage!P80</f>
        <v>9</v>
      </c>
      <c r="X80" s="5">
        <f>Coverage!Q80</f>
        <v>0.692307692307692</v>
      </c>
      <c r="Y80" s="4">
        <f>Coverage!R80</f>
        <v>33.8822222222222</v>
      </c>
      <c r="Z80" s="2" t="inlineStr">
        <is>
          <t>Repository marked assessable in register</t>
        </is>
      </c>
      <c r="AA80" s="2" t="inlineStr">
        <is>
          <t>m8_issue_response below minimum eligible sample (n=0); scored 0; m9_pr_response below minimum eligible sample (n=1); scored 0; m10_issue_close90 below minimum eligible sample (n=0); scored 0; m11_pr_decision30 below minimum eligible sample (n=1); scored 0</t>
        </is>
      </c>
    </row>
    <row r="81">
      <c r="A81" s="2" t="inlineStr">
        <is>
          <t>C4-080</t>
        </is>
      </c>
      <c r="B81" s="2" t="inlineStr">
        <is>
          <t>Open Journal Systems (OJS)</t>
        </is>
      </c>
      <c r="C81" s="2" t="inlineStr">
        <is>
          <t>software</t>
        </is>
      </c>
      <c r="D81" s="2" t="inlineStr">
        <is>
          <t>Ready</t>
        </is>
      </c>
      <c r="E81" s="2" t="inlineStr">
        <is>
          <t>pkp/ojs</t>
        </is>
      </c>
      <c r="F81" s="2" t="inlineStr">
        <is>
          <t>complete</t>
        </is>
      </c>
      <c r="G81" s="2" t="inlineStr">
        <is>
          <t>complete</t>
        </is>
      </c>
      <c r="H81" s="4">
        <f>Calc!H81</f>
        <v>98.79</v>
      </c>
      <c r="I81" s="4">
        <f>Calc!I81</f>
        <v>100</v>
      </c>
      <c r="J81" s="4">
        <f>Calc!J81</f>
        <v>100</v>
      </c>
      <c r="K81" s="4">
        <f>Calc!K81</f>
        <v>100</v>
      </c>
      <c r="L81" s="4">
        <f>Calc!L81</f>
        <v>100</v>
      </c>
      <c r="M81" s="4">
        <f>Calc!M81</f>
        <v>99.4</v>
      </c>
      <c r="N81" s="4">
        <f>Calc!N81</f>
        <v>100</v>
      </c>
      <c r="O81" s="4">
        <f>Calc!O81</f>
        <v>49.66</v>
      </c>
      <c r="P81" s="4">
        <f>Calc!P81</f>
        <v>26.96</v>
      </c>
      <c r="Q81" s="4">
        <f>Calc!Q81</f>
        <v>46.23</v>
      </c>
      <c r="R81" s="4">
        <f>Calc!R81</f>
        <v>71.82</v>
      </c>
      <c r="S81" s="4">
        <f>Calc!S81</f>
        <v>71.42</v>
      </c>
      <c r="T81" s="4">
        <f>Calc!T81</f>
        <v>99.12</v>
      </c>
      <c r="U81" s="4">
        <f>AVERAGE(H81:T81)</f>
        <v>81.8</v>
      </c>
      <c r="V81" s="4">
        <f>RANK(U81,$U$2:$U$113,0)+(COUNTIF($U$2:$U$113,U81)-1)/2</f>
        <v>7</v>
      </c>
      <c r="W81" s="2">
        <f>Coverage!P81</f>
        <v>13</v>
      </c>
      <c r="X81" s="5">
        <f>Coverage!Q81</f>
        <v>1</v>
      </c>
      <c r="Y81" s="4">
        <f>Coverage!R81</f>
        <v>81.8</v>
      </c>
      <c r="Z81" s="2" t="inlineStr">
        <is>
          <t>Repository marked assessable in register</t>
        </is>
      </c>
      <c r="AA81" s="2" t="inlineStr">
        <is>
          <t>No missing metric inputs flagged by pipeline availability checks</t>
        </is>
      </c>
    </row>
    <row r="82">
      <c r="A82" s="2" t="inlineStr">
        <is>
          <t>C4-081</t>
        </is>
      </c>
      <c r="B82" s="2" t="inlineStr">
        <is>
          <t>Open Monograph Press (OMP)</t>
        </is>
      </c>
      <c r="C82" s="2" t="inlineStr">
        <is>
          <t>software</t>
        </is>
      </c>
      <c r="D82" s="2" t="inlineStr">
        <is>
          <t>Ready</t>
        </is>
      </c>
      <c r="E82" s="2" t="inlineStr">
        <is>
          <t>pkp/omp</t>
        </is>
      </c>
      <c r="F82" s="2" t="inlineStr">
        <is>
          <t>complete</t>
        </is>
      </c>
      <c r="G82" s="2" t="inlineStr">
        <is>
          <t>complete</t>
        </is>
      </c>
      <c r="H82" s="4">
        <f>Calc!H82</f>
        <v>87.53</v>
      </c>
      <c r="I82" s="4">
        <f>Calc!I82</f>
        <v>98.08</v>
      </c>
      <c r="J82" s="4">
        <f>Calc!J82</f>
        <v>100</v>
      </c>
      <c r="K82" s="4">
        <f>Calc!K82</f>
        <v>100</v>
      </c>
      <c r="L82" s="4">
        <f>Calc!L82</f>
        <v>86.44</v>
      </c>
      <c r="M82" s="4">
        <f>Calc!M82</f>
        <v>91.76</v>
      </c>
      <c r="N82" s="4">
        <f>Calc!N82</f>
        <v>100</v>
      </c>
      <c r="O82" s="4">
        <f>Calc!O82</f>
        <v>49.66</v>
      </c>
      <c r="P82" s="4">
        <f>Calc!P82</f>
        <v>35.33</v>
      </c>
      <c r="Q82" s="4">
        <f>Calc!Q82</f>
        <v>46.23</v>
      </c>
      <c r="R82" s="4">
        <f>Calc!R82</f>
        <v>82.91</v>
      </c>
      <c r="S82" s="4">
        <f>Calc!S82</f>
        <v>37.13</v>
      </c>
      <c r="T82" s="4">
        <f>Calc!T82</f>
        <v>63.8</v>
      </c>
      <c r="U82" s="4">
        <f>AVERAGE(H82:T82)</f>
        <v>75.2976923076923</v>
      </c>
      <c r="V82" s="4">
        <f>RANK(U82,$U$2:$U$113,0)+(COUNTIF($U$2:$U$113,U82)-1)/2</f>
        <v>17</v>
      </c>
      <c r="W82" s="2">
        <f>Coverage!P82</f>
        <v>13</v>
      </c>
      <c r="X82" s="5">
        <f>Coverage!Q82</f>
        <v>1</v>
      </c>
      <c r="Y82" s="4">
        <f>Coverage!R82</f>
        <v>75.2976923076923</v>
      </c>
      <c r="Z82" s="2" t="inlineStr">
        <is>
          <t>Repository marked assessable in register</t>
        </is>
      </c>
      <c r="AA82" s="2" t="inlineStr">
        <is>
          <t>No missing metric inputs flagged by pipeline availability checks</t>
        </is>
      </c>
    </row>
    <row r="83">
      <c r="A83" s="2" t="inlineStr">
        <is>
          <t>C4-082</t>
        </is>
      </c>
      <c r="B83" s="2" t="inlineStr">
        <is>
          <t>Open Preprint Systems (OPS)</t>
        </is>
      </c>
      <c r="C83" s="2" t="inlineStr">
        <is>
          <t>software</t>
        </is>
      </c>
      <c r="D83" s="2" t="inlineStr">
        <is>
          <t>Ready</t>
        </is>
      </c>
      <c r="E83" s="2" t="inlineStr">
        <is>
          <t>pkp/ops</t>
        </is>
      </c>
      <c r="F83" s="2" t="inlineStr">
        <is>
          <t>complete</t>
        </is>
      </c>
      <c r="G83" s="2" t="inlineStr">
        <is>
          <t>complete</t>
        </is>
      </c>
      <c r="H83" s="4">
        <f>Calc!H83</f>
        <v>85.87</v>
      </c>
      <c r="I83" s="4">
        <f>Calc!I83</f>
        <v>96.15</v>
      </c>
      <c r="J83" s="4">
        <f>Calc!J83</f>
        <v>100</v>
      </c>
      <c r="K83" s="4">
        <f>Calc!K83</f>
        <v>100</v>
      </c>
      <c r="L83" s="4">
        <f>Calc!L83</f>
        <v>84.96</v>
      </c>
      <c r="M83" s="4">
        <f>Calc!M83</f>
        <v>92.82</v>
      </c>
      <c r="N83" s="4">
        <f>Calc!N83</f>
        <v>100</v>
      </c>
      <c r="O83" s="4">
        <f>Calc!O83</f>
        <v>49.66</v>
      </c>
      <c r="P83" s="4">
        <f>Calc!P83</f>
        <v>37.63</v>
      </c>
      <c r="Q83" s="4">
        <f>Calc!Q83</f>
        <v>46.23</v>
      </c>
      <c r="R83" s="4">
        <f>Calc!R83</f>
        <v>81.61</v>
      </c>
      <c r="S83" s="4">
        <f>Calc!S83</f>
        <v>34.71</v>
      </c>
      <c r="T83" s="4">
        <f>Calc!T83</f>
        <v>45.06</v>
      </c>
      <c r="U83" s="4">
        <f>AVERAGE(H83:T83)</f>
        <v>73.4384615384615</v>
      </c>
      <c r="V83" s="4">
        <f>RANK(U83,$U$2:$U$113,0)+(COUNTIF($U$2:$U$113,U83)-1)/2</f>
        <v>20</v>
      </c>
      <c r="W83" s="2">
        <f>Coverage!P83</f>
        <v>13</v>
      </c>
      <c r="X83" s="5">
        <f>Coverage!Q83</f>
        <v>1</v>
      </c>
      <c r="Y83" s="4">
        <f>Coverage!R83</f>
        <v>73.4384615384615</v>
      </c>
      <c r="Z83" s="2" t="inlineStr">
        <is>
          <t>Repository marked assessable in register</t>
        </is>
      </c>
      <c r="AA83" s="2" t="inlineStr">
        <is>
          <t>No missing metric inputs flagged by pipeline availability checks</t>
        </is>
      </c>
    </row>
    <row r="84">
      <c r="A84" s="2" t="inlineStr">
        <is>
          <t>C4-083</t>
        </is>
      </c>
      <c r="B84" s="2" t="inlineStr">
        <is>
          <t>Openverse</t>
        </is>
      </c>
      <c r="C84" s="2" t="inlineStr">
        <is>
          <t>software</t>
        </is>
      </c>
      <c r="D84" s="2" t="inlineStr">
        <is>
          <t>Ready</t>
        </is>
      </c>
      <c r="E84" s="2" t="inlineStr">
        <is>
          <t>WordPress/openverse</t>
        </is>
      </c>
      <c r="F84" s="2" t="inlineStr">
        <is>
          <t>complete</t>
        </is>
      </c>
      <c r="G84" s="2" t="inlineStr">
        <is>
          <t>complete</t>
        </is>
      </c>
      <c r="H84" s="4">
        <f>Calc!H84</f>
        <v>37.13</v>
      </c>
      <c r="I84" s="4">
        <f>Calc!I84</f>
        <v>13.46</v>
      </c>
      <c r="J84" s="4">
        <f>Calc!J84</f>
        <v>100</v>
      </c>
      <c r="K84" s="4">
        <f>Calc!K84</f>
        <v>75</v>
      </c>
      <c r="L84" s="4">
        <f>Calc!L84</f>
        <v>51.7</v>
      </c>
      <c r="M84" s="4">
        <f>Calc!M84</f>
        <v>56.98</v>
      </c>
      <c r="N84" s="4">
        <f>Calc!N84</f>
        <v>0</v>
      </c>
      <c r="O84" s="4">
        <f>Calc!O84</f>
        <v>35.14</v>
      </c>
      <c r="P84" s="4">
        <f>Calc!P84</f>
        <v>8.11</v>
      </c>
      <c r="Q84" s="4">
        <f>Calc!Q84</f>
        <v>35.71</v>
      </c>
      <c r="R84" s="4">
        <f>Calc!R84</f>
        <v>25</v>
      </c>
      <c r="S84" s="4">
        <f>Calc!S84</f>
        <v>62.49</v>
      </c>
      <c r="T84" s="4">
        <f>Calc!T84</f>
        <v>91.11</v>
      </c>
      <c r="U84" s="4">
        <f>AVERAGE(H84:T84)</f>
        <v>45.5253846153846</v>
      </c>
      <c r="V84" s="4">
        <f>RANK(U84,$U$2:$U$113,0)+(COUNTIF($U$2:$U$113,U84)-1)/2</f>
        <v>61</v>
      </c>
      <c r="W84" s="2">
        <f>Coverage!P84</f>
        <v>13</v>
      </c>
      <c r="X84" s="5">
        <f>Coverage!Q84</f>
        <v>1</v>
      </c>
      <c r="Y84" s="4">
        <f>Coverage!R84</f>
        <v>45.5253846153846</v>
      </c>
      <c r="Z84" s="2" t="inlineStr">
        <is>
          <t>Repository marked assessable in register</t>
        </is>
      </c>
      <c r="AA84" s="2" t="inlineStr">
        <is>
          <t>No missing metric inputs flagged by pipeline availability checks</t>
        </is>
      </c>
    </row>
    <row r="85">
      <c r="A85" s="2" t="inlineStr">
        <is>
          <t>C4-084</t>
        </is>
      </c>
      <c r="B85" s="2" t="inlineStr">
        <is>
          <t>O Portal Brasileiro de Publicações e Dados Científicos em Acesso Aberto (The Brazilian Open Access Publications and Scientific Data Portal) (Oasisbr)</t>
        </is>
      </c>
      <c r="C85" s="2" t="inlineStr">
        <is>
          <t>software</t>
        </is>
      </c>
      <c r="D85" s="2" t="inlineStr">
        <is>
          <t>Replace URL + fork rule (decide branch)</t>
        </is>
      </c>
      <c r="E85" s="2" t="inlineStr">
        <is>
          <t>projetos-codic-ibict/vufind-oasisbr</t>
        </is>
      </c>
      <c r="F85" s="2" t="inlineStr">
        <is>
          <t>complete</t>
        </is>
      </c>
      <c r="G85" s="2" t="inlineStr">
        <is>
          <t>complete</t>
        </is>
      </c>
      <c r="H85" s="4">
        <f>Calc!H85</f>
        <v>0</v>
      </c>
      <c r="I85" s="4">
        <f>Calc!I85</f>
        <v>0</v>
      </c>
      <c r="J85" s="4">
        <f>Calc!J85</f>
        <v>0</v>
      </c>
      <c r="K85" s="4">
        <f>Calc!K85</f>
        <v>100</v>
      </c>
      <c r="L85" s="4">
        <f>Calc!L85</f>
        <v>0</v>
      </c>
      <c r="M85" s="4">
        <f>Calc!M85</f>
        <v>0</v>
      </c>
      <c r="N85" s="4">
        <f>Calc!N85</f>
        <v>0</v>
      </c>
      <c r="O85" s="4">
        <f>Calc!O85</f>
        <v>0</v>
      </c>
      <c r="P85" s="4">
        <f>Calc!P85</f>
        <v>0</v>
      </c>
      <c r="Q85" s="4">
        <f>Calc!Q85</f>
        <v>0</v>
      </c>
      <c r="R85" s="4">
        <f>Calc!R85</f>
        <v>0</v>
      </c>
      <c r="S85" s="4">
        <f>Calc!S85</f>
        <v>0</v>
      </c>
      <c r="T85" s="4">
        <f>Calc!T85</f>
        <v>0</v>
      </c>
      <c r="U85" s="4">
        <f>AVERAGE(H85:T85)</f>
        <v>7.69230769230769</v>
      </c>
      <c r="V85" s="4">
        <f>RANK(U85,$U$2:$U$113,0)+(COUNTIF($U$2:$U$113,U85)-1)/2</f>
        <v>96</v>
      </c>
      <c r="W85" s="2">
        <f>Coverage!P85</f>
        <v>9</v>
      </c>
      <c r="X85" s="5">
        <f>Coverage!Q85</f>
        <v>0.692307692307692</v>
      </c>
      <c r="Y85" s="4">
        <f>Coverage!R85</f>
        <v>11.1111111111111</v>
      </c>
      <c r="Z85" s="2" t="inlineStr">
        <is>
          <t>Repository marked assessable in register</t>
        </is>
      </c>
      <c r="AA85" s="2" t="inlineStr">
        <is>
          <t>m8_issue_response unavailable; scored 0; m9_pr_response below minimum eligible sample (n=0); scored 0; m10_issue_close90 unavailable; scored 0; m11_pr_decision30 below minimum eligible sample (n=0); scored 0</t>
        </is>
      </c>
    </row>
    <row r="86">
      <c r="A86" s="2" t="inlineStr">
        <is>
          <t>C4-085</t>
        </is>
      </c>
      <c r="B86" s="2" t="inlineStr">
        <is>
          <t>OSF (Open Science Framework)</t>
        </is>
      </c>
      <c r="C86" s="2" t="inlineStr">
        <is>
          <t>software</t>
        </is>
      </c>
      <c r="D86" s="2" t="inlineStr">
        <is>
          <t>Ready</t>
        </is>
      </c>
      <c r="E86" s="2" t="inlineStr">
        <is>
          <t>CenterForOpenScience/osf.io</t>
        </is>
      </c>
      <c r="F86" s="2" t="inlineStr">
        <is>
          <t>complete</t>
        </is>
      </c>
      <c r="G86" s="2" t="inlineStr">
        <is>
          <t>complete</t>
        </is>
      </c>
      <c r="H86" s="4">
        <f>Calc!H86</f>
        <v>82.56</v>
      </c>
      <c r="I86" s="4">
        <f>Calc!I86</f>
        <v>94.23</v>
      </c>
      <c r="J86" s="4">
        <f>Calc!J86</f>
        <v>100</v>
      </c>
      <c r="K86" s="4">
        <f>Calc!K86</f>
        <v>100</v>
      </c>
      <c r="L86" s="4">
        <f>Calc!L86</f>
        <v>84.96</v>
      </c>
      <c r="M86" s="4">
        <f>Calc!M86</f>
        <v>100</v>
      </c>
      <c r="N86" s="4">
        <f>Calc!N86</f>
        <v>100</v>
      </c>
      <c r="O86" s="4">
        <f>Calc!O86</f>
        <v>36.36</v>
      </c>
      <c r="P86" s="4">
        <f>Calc!P86</f>
        <v>77.08</v>
      </c>
      <c r="Q86" s="4">
        <f>Calc!Q86</f>
        <v>30</v>
      </c>
      <c r="R86" s="4">
        <f>Calc!R86</f>
        <v>92.09</v>
      </c>
      <c r="S86" s="4">
        <f>Calc!S86</f>
        <v>54.1</v>
      </c>
      <c r="T86" s="4">
        <f>Calc!T86</f>
        <v>63.8</v>
      </c>
      <c r="U86" s="4">
        <f>AVERAGE(H86:T86)</f>
        <v>78.0907692307692</v>
      </c>
      <c r="V86" s="4">
        <f>RANK(U86,$U$2:$U$113,0)+(COUNTIF($U$2:$U$113,U86)-1)/2</f>
        <v>13</v>
      </c>
      <c r="W86" s="2">
        <f>Coverage!P86</f>
        <v>13</v>
      </c>
      <c r="X86" s="5">
        <f>Coverage!Q86</f>
        <v>1</v>
      </c>
      <c r="Y86" s="4">
        <f>Coverage!R86</f>
        <v>78.0907692307692</v>
      </c>
      <c r="Z86" s="2" t="inlineStr">
        <is>
          <t>Repository marked assessable in register</t>
        </is>
      </c>
      <c r="AA86" s="2" t="inlineStr">
        <is>
          <t>No missing metric inputs flagged by pipeline availability checks</t>
        </is>
      </c>
    </row>
    <row r="87">
      <c r="A87" s="6" t="inlineStr">
        <is>
          <t>C4-086</t>
        </is>
      </c>
      <c r="B87" s="6" t="inlineStr">
        <is>
          <t>Oxford Common File Layout</t>
        </is>
      </c>
      <c r="C87" s="6" t="inlineStr">
        <is>
          <t>standard</t>
        </is>
      </c>
      <c r="D87" s="6" t="inlineStr">
        <is>
          <t>Exclude: standard</t>
        </is>
      </c>
      <c r="E87" s="6" t="inlineStr">
        <is>
          <t>OCFL/spec</t>
        </is>
      </c>
      <c r="F87" s="6" t="n"/>
      <c r="G87" s="6" t="n"/>
      <c r="H87" s="7">
        <f>Calc!H87</f>
        <v>0</v>
      </c>
      <c r="I87" s="7">
        <f>Calc!I87</f>
        <v>0</v>
      </c>
      <c r="J87" s="7">
        <f>Calc!J87</f>
        <v>0</v>
      </c>
      <c r="K87" s="7">
        <f>Calc!K87</f>
        <v>0</v>
      </c>
      <c r="L87" s="7">
        <f>Calc!L87</f>
        <v>0</v>
      </c>
      <c r="M87" s="7">
        <f>Calc!M87</f>
        <v>0</v>
      </c>
      <c r="N87" s="7">
        <f>Calc!N87</f>
        <v>0</v>
      </c>
      <c r="O87" s="7">
        <f>Calc!O87</f>
        <v>0</v>
      </c>
      <c r="P87" s="7">
        <f>Calc!P87</f>
        <v>0</v>
      </c>
      <c r="Q87" s="7">
        <f>Calc!Q87</f>
        <v>0</v>
      </c>
      <c r="R87" s="7">
        <f>Calc!R87</f>
        <v>0</v>
      </c>
      <c r="S87" s="7">
        <f>Calc!S87</f>
        <v>0</v>
      </c>
      <c r="T87" s="7">
        <f>Calc!T87</f>
        <v>0</v>
      </c>
      <c r="U87" s="7">
        <f>AVERAGE(H87:T87)</f>
        <v>0</v>
      </c>
      <c r="V87" s="7">
        <f>RANK(U87,$U$2:$U$113,0)+(COUNTIF($U$2:$U$113,U87)-1)/2</f>
        <v>106</v>
      </c>
      <c r="W87" s="6">
        <f>Coverage!P87</f>
        <v>0</v>
      </c>
      <c r="X87" s="8">
        <f>Coverage!Q87</f>
        <v>0</v>
      </c>
      <c r="Y87" s="7">
        <f>Coverage!R87</f>
        <v>0</v>
      </c>
      <c r="Z87" s="6" t="inlineStr">
        <is>
          <t>NOT ASSESSABLE / EXCLUDED: numeric zero is a policy zero-fill, not measured inactivity</t>
        </is>
      </c>
      <c r="AA87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88">
      <c r="A88" s="2" t="inlineStr">
        <is>
          <t>C4-087</t>
        </is>
      </c>
      <c r="B88" s="2" t="inlineStr">
        <is>
          <t>Peer Community In</t>
        </is>
      </c>
      <c r="C88" s="2" t="inlineStr">
        <is>
          <t>software</t>
        </is>
      </c>
      <c r="D88" s="2" t="inlineStr">
        <is>
          <t>Ready</t>
        </is>
      </c>
      <c r="E88" s="2" t="inlineStr">
        <is>
          <t>pci-dev/pci</t>
        </is>
      </c>
      <c r="F88" s="2" t="inlineStr">
        <is>
          <t>complete</t>
        </is>
      </c>
      <c r="G88" s="2" t="inlineStr">
        <is>
          <t>complete</t>
        </is>
      </c>
      <c r="H88" s="4">
        <f>Calc!H88</f>
        <v>61.9</v>
      </c>
      <c r="I88" s="4">
        <f>Calc!I88</f>
        <v>48.08</v>
      </c>
      <c r="J88" s="4">
        <f>Calc!J88</f>
        <v>100</v>
      </c>
      <c r="K88" s="4">
        <f>Calc!K88</f>
        <v>100</v>
      </c>
      <c r="L88" s="4">
        <f>Calc!L88</f>
        <v>40</v>
      </c>
      <c r="M88" s="4">
        <f>Calc!M88</f>
        <v>35.45</v>
      </c>
      <c r="N88" s="4">
        <f>Calc!N88</f>
        <v>25</v>
      </c>
      <c r="O88" s="4">
        <f>Calc!O88</f>
        <v>0</v>
      </c>
      <c r="P88" s="4">
        <f>Calc!P88</f>
        <v>2.63</v>
      </c>
      <c r="Q88" s="4">
        <f>Calc!Q88</f>
        <v>0</v>
      </c>
      <c r="R88" s="4">
        <f>Calc!R88</f>
        <v>97.3</v>
      </c>
      <c r="S88" s="4">
        <f>Calc!S88</f>
        <v>0</v>
      </c>
      <c r="T88" s="4">
        <f>Calc!T88</f>
        <v>23.8</v>
      </c>
      <c r="U88" s="4">
        <f>AVERAGE(H88:T88)</f>
        <v>41.0892307692308</v>
      </c>
      <c r="V88" s="4">
        <f>RANK(U88,$U$2:$U$113,0)+(COUNTIF($U$2:$U$113,U88)-1)/2</f>
        <v>67</v>
      </c>
      <c r="W88" s="2">
        <f>Coverage!P88</f>
        <v>11</v>
      </c>
      <c r="X88" s="5">
        <f>Coverage!Q88</f>
        <v>0.846153846153846</v>
      </c>
      <c r="Y88" s="4">
        <f>Coverage!R88</f>
        <v>48.56</v>
      </c>
      <c r="Z88" s="2" t="inlineStr">
        <is>
          <t>Repository marked assessable in register</t>
        </is>
      </c>
      <c r="AA88" s="2" t="inlineStr">
        <is>
          <t>m8_issue_response unavailable; scored 0; m10_issue_close90 unavailable; scored 0</t>
        </is>
      </c>
    </row>
    <row r="89">
      <c r="A89" s="2" t="inlineStr">
        <is>
          <t>C4-088</t>
        </is>
      </c>
      <c r="B89" s="2" t="inlineStr">
        <is>
          <t>PKP Preservation Network</t>
        </is>
      </c>
      <c r="C89" s="2" t="inlineStr">
        <is>
          <t>software</t>
        </is>
      </c>
      <c r="D89" s="2" t="inlineStr">
        <is>
          <t>Ready</t>
        </is>
      </c>
      <c r="E89" s="2" t="inlineStr">
        <is>
          <t>pkp/pln</t>
        </is>
      </c>
      <c r="F89" s="2" t="inlineStr">
        <is>
          <t>complete</t>
        </is>
      </c>
      <c r="G89" s="2" t="inlineStr">
        <is>
          <t>complete</t>
        </is>
      </c>
      <c r="H89" s="4">
        <f>Calc!H89</f>
        <v>55.42</v>
      </c>
      <c r="I89" s="4">
        <f>Calc!I89</f>
        <v>17.31</v>
      </c>
      <c r="J89" s="4">
        <f>Calc!J89</f>
        <v>100</v>
      </c>
      <c r="K89" s="4">
        <f>Calc!K89</f>
        <v>75</v>
      </c>
      <c r="L89" s="4">
        <f>Calc!L89</f>
        <v>31.7</v>
      </c>
      <c r="M89" s="4">
        <f>Calc!M89</f>
        <v>8.77</v>
      </c>
      <c r="N89" s="4">
        <f>Calc!N89</f>
        <v>25</v>
      </c>
      <c r="O89" s="4">
        <f>Calc!O89</f>
        <v>0</v>
      </c>
      <c r="P89" s="4">
        <f>Calc!P89</f>
        <v>0</v>
      </c>
      <c r="Q89" s="4">
        <f>Calc!Q89</f>
        <v>0</v>
      </c>
      <c r="R89" s="4">
        <f>Calc!R89</f>
        <v>0</v>
      </c>
      <c r="S89" s="4">
        <f>Calc!S89</f>
        <v>10.03</v>
      </c>
      <c r="T89" s="4">
        <f>Calc!T89</f>
        <v>30.04</v>
      </c>
      <c r="U89" s="4">
        <f>AVERAGE(H89:T89)</f>
        <v>27.1746153846154</v>
      </c>
      <c r="V89" s="4">
        <f>RANK(U89,$U$2:$U$113,0)+(COUNTIF($U$2:$U$113,U89)-1)/2</f>
        <v>78</v>
      </c>
      <c r="W89" s="2">
        <f>Coverage!P89</f>
        <v>9</v>
      </c>
      <c r="X89" s="5">
        <f>Coverage!Q89</f>
        <v>0.692307692307692</v>
      </c>
      <c r="Y89" s="4">
        <f>Coverage!R89</f>
        <v>39.2522222222222</v>
      </c>
      <c r="Z89" s="2" t="inlineStr">
        <is>
          <t>Repository marked assessable in register</t>
        </is>
      </c>
      <c r="AA89" s="2" t="inlineStr">
        <is>
          <t>m8_issue_response below minimum eligible sample (n=4); scored 0; m9_pr_response below minimum eligible sample (n=9); scored 0; m10_issue_close90 below minimum eligible sample (n=0); scored 0; m11_pr_decision30 below minimum eligible sample (n=7); scored 0</t>
        </is>
      </c>
    </row>
    <row r="90">
      <c r="A90" s="2" t="inlineStr">
        <is>
          <t>C4-089</t>
        </is>
      </c>
      <c r="B90" s="2" t="inlineStr">
        <is>
          <t>PREreview</t>
        </is>
      </c>
      <c r="C90" s="2" t="inlineStr">
        <is>
          <t>software</t>
        </is>
      </c>
      <c r="D90" s="2" t="inlineStr">
        <is>
          <t>Ready</t>
        </is>
      </c>
      <c r="E90" s="2" t="inlineStr">
        <is>
          <t>PREreview/prereview.org</t>
        </is>
      </c>
      <c r="F90" s="2" t="inlineStr">
        <is>
          <t>complete</t>
        </is>
      </c>
      <c r="G90" s="2" t="inlineStr">
        <is>
          <t>complete</t>
        </is>
      </c>
      <c r="H90" s="4">
        <f>Calc!H90</f>
        <v>100</v>
      </c>
      <c r="I90" s="4">
        <f>Calc!I90</f>
        <v>98.08</v>
      </c>
      <c r="J90" s="4">
        <f>Calc!J90</f>
        <v>100</v>
      </c>
      <c r="K90" s="4">
        <f>Calc!K90</f>
        <v>0</v>
      </c>
      <c r="L90" s="4">
        <f>Calc!L90</f>
        <v>31.7</v>
      </c>
      <c r="M90" s="4">
        <f>Calc!M90</f>
        <v>8.77</v>
      </c>
      <c r="N90" s="4">
        <f>Calc!N90</f>
        <v>75</v>
      </c>
      <c r="O90" s="4">
        <f>Calc!O90</f>
        <v>0</v>
      </c>
      <c r="P90" s="4">
        <f>Calc!P90</f>
        <v>100</v>
      </c>
      <c r="Q90" s="4">
        <f>Calc!Q90</f>
        <v>80.85</v>
      </c>
      <c r="R90" s="4">
        <f>Calc!R90</f>
        <v>100</v>
      </c>
      <c r="S90" s="4">
        <f>Calc!S90</f>
        <v>25.93</v>
      </c>
      <c r="T90" s="4">
        <f>Calc!T90</f>
        <v>23.8</v>
      </c>
      <c r="U90" s="4">
        <f>AVERAGE(H90:T90)</f>
        <v>57.2407692307692</v>
      </c>
      <c r="V90" s="4">
        <f>RANK(U90,$U$2:$U$113,0)+(COUNTIF($U$2:$U$113,U90)-1)/2</f>
        <v>50</v>
      </c>
      <c r="W90" s="2">
        <f>Coverage!P90</f>
        <v>13</v>
      </c>
      <c r="X90" s="5">
        <f>Coverage!Q90</f>
        <v>1</v>
      </c>
      <c r="Y90" s="4">
        <f>Coverage!R90</f>
        <v>57.2407692307692</v>
      </c>
      <c r="Z90" s="2" t="inlineStr">
        <is>
          <t>Repository marked assessable in register</t>
        </is>
      </c>
      <c r="AA90" s="2" t="inlineStr">
        <is>
          <t>No missing metric inputs flagged by pipeline availability checks</t>
        </is>
      </c>
    </row>
    <row r="91">
      <c r="A91" s="2" t="inlineStr">
        <is>
          <t>C4-090</t>
        </is>
      </c>
      <c r="B91" s="2" t="inlineStr">
        <is>
          <t>Pressbooks</t>
        </is>
      </c>
      <c r="C91" s="2" t="inlineStr">
        <is>
          <t>software</t>
        </is>
      </c>
      <c r="D91" s="2" t="inlineStr">
        <is>
          <t>Ready</t>
        </is>
      </c>
      <c r="E91" s="2" t="inlineStr">
        <is>
          <t>pressbooks/pressbooks</t>
        </is>
      </c>
      <c r="F91" s="2" t="inlineStr">
        <is>
          <t>complete</t>
        </is>
      </c>
      <c r="G91" s="2" t="inlineStr">
        <is>
          <t>complete</t>
        </is>
      </c>
      <c r="H91" s="4">
        <f>Calc!H91</f>
        <v>72.91</v>
      </c>
      <c r="I91" s="4">
        <f>Calc!I91</f>
        <v>86.54</v>
      </c>
      <c r="J91" s="4">
        <f>Calc!J91</f>
        <v>100</v>
      </c>
      <c r="K91" s="4">
        <f>Calc!K91</f>
        <v>100</v>
      </c>
      <c r="L91" s="4">
        <f>Calc!L91</f>
        <v>69.19</v>
      </c>
      <c r="M91" s="4">
        <f>Calc!M91</f>
        <v>78.26</v>
      </c>
      <c r="N91" s="4">
        <f>Calc!N91</f>
        <v>100</v>
      </c>
      <c r="O91" s="4">
        <f>Calc!O91</f>
        <v>35</v>
      </c>
      <c r="P91" s="4">
        <f>Calc!P91</f>
        <v>74.84</v>
      </c>
      <c r="Q91" s="4">
        <f>Calc!Q91</f>
        <v>35.06</v>
      </c>
      <c r="R91" s="4">
        <f>Calc!R91</f>
        <v>89.86</v>
      </c>
      <c r="S91" s="4">
        <f>Calc!S91</f>
        <v>46.59</v>
      </c>
      <c r="T91" s="4">
        <f>Calc!T91</f>
        <v>51.96</v>
      </c>
      <c r="U91" s="4">
        <f>AVERAGE(H91:T91)</f>
        <v>72.3238461538461</v>
      </c>
      <c r="V91" s="4">
        <f>RANK(U91,$U$2:$U$113,0)+(COUNTIF($U$2:$U$113,U91)-1)/2</f>
        <v>21</v>
      </c>
      <c r="W91" s="2">
        <f>Coverage!P91</f>
        <v>13</v>
      </c>
      <c r="X91" s="5">
        <f>Coverage!Q91</f>
        <v>1</v>
      </c>
      <c r="Y91" s="4">
        <f>Coverage!R91</f>
        <v>72.3238461538461</v>
      </c>
      <c r="Z91" s="2" t="inlineStr">
        <is>
          <t>Repository marked assessable in register</t>
        </is>
      </c>
      <c r="AA91" s="2" t="inlineStr">
        <is>
          <t>No missing metric inputs flagged by pipeline availability checks</t>
        </is>
      </c>
    </row>
    <row r="92">
      <c r="A92" s="2" t="inlineStr">
        <is>
          <t>C4-091</t>
        </is>
      </c>
      <c r="B92" s="2" t="inlineStr">
        <is>
          <t>Public Access Submission System</t>
        </is>
      </c>
      <c r="C92" s="2" t="inlineStr">
        <is>
          <t>software</t>
        </is>
      </c>
      <c r="D92" s="2" t="inlineStr">
        <is>
          <t>Ready -&gt; umbrella expanded to product set</t>
        </is>
      </c>
      <c r="E92" s="2" t="inlineStr">
        <is>
          <t>eclipse-pass/main;eclipse-pass/pass-core;eclipse-pass/pass-ui</t>
        </is>
      </c>
      <c r="F92" s="2" t="inlineStr">
        <is>
          <t>complete</t>
        </is>
      </c>
      <c r="G92" s="2" t="inlineStr">
        <is>
          <t>complete</t>
        </is>
      </c>
      <c r="H92" s="4">
        <f>Calc!H92</f>
        <v>57.47</v>
      </c>
      <c r="I92" s="4">
        <f>Calc!I92</f>
        <v>23.08</v>
      </c>
      <c r="J92" s="4">
        <f>Calc!J92</f>
        <v>96.38</v>
      </c>
      <c r="K92" s="4">
        <f>Calc!K92</f>
        <v>100</v>
      </c>
      <c r="L92" s="4">
        <f>Calc!L92</f>
        <v>46.44</v>
      </c>
      <c r="M92" s="4">
        <f>Calc!M92</f>
        <v>62.66</v>
      </c>
      <c r="N92" s="4">
        <f>Calc!N92</f>
        <v>75</v>
      </c>
      <c r="O92" s="4">
        <f>Calc!O92</f>
        <v>30</v>
      </c>
      <c r="P92" s="4">
        <f>Calc!P92</f>
        <v>92.59</v>
      </c>
      <c r="Q92" s="4">
        <f>Calc!Q92</f>
        <v>68</v>
      </c>
      <c r="R92" s="4">
        <f>Calc!R92</f>
        <v>88.89</v>
      </c>
      <c r="S92" s="4">
        <f>Calc!S92</f>
        <v>10.03</v>
      </c>
      <c r="T92" s="4">
        <f>Calc!T92</f>
        <v>15.02</v>
      </c>
      <c r="U92" s="4">
        <f>AVERAGE(H92:T92)</f>
        <v>58.8892307692308</v>
      </c>
      <c r="V92" s="4">
        <f>RANK(U92,$U$2:$U$113,0)+(COUNTIF($U$2:$U$113,U92)-1)/2</f>
        <v>44</v>
      </c>
      <c r="W92" s="2">
        <f>Coverage!P92</f>
        <v>13</v>
      </c>
      <c r="X92" s="5">
        <f>Coverage!Q92</f>
        <v>1</v>
      </c>
      <c r="Y92" s="4">
        <f>Coverage!R92</f>
        <v>58.8892307692308</v>
      </c>
      <c r="Z92" s="2" t="inlineStr">
        <is>
          <t>Repository marked assessable in register</t>
        </is>
      </c>
      <c r="AA92" s="2" t="inlineStr">
        <is>
          <t>No missing metric inputs flagged by pipeline availability checks</t>
        </is>
      </c>
    </row>
    <row r="93">
      <c r="A93" s="2" t="inlineStr">
        <is>
          <t>C4-092</t>
        </is>
      </c>
      <c r="B93" s="2" t="inlineStr">
        <is>
          <t>Public Utility Data Liberation (PUDL)</t>
        </is>
      </c>
      <c r="C93" s="2" t="inlineStr">
        <is>
          <t>software</t>
        </is>
      </c>
      <c r="D93" s="2" t="inlineStr">
        <is>
          <t>Ready</t>
        </is>
      </c>
      <c r="E93" s="2" t="inlineStr">
        <is>
          <t>catalyst-cooperative/pudl</t>
        </is>
      </c>
      <c r="F93" s="2" t="inlineStr">
        <is>
          <t>complete</t>
        </is>
      </c>
      <c r="G93" s="2" t="inlineStr">
        <is>
          <t>complete</t>
        </is>
      </c>
      <c r="H93" s="4">
        <f>Calc!H93</f>
        <v>86.97</v>
      </c>
      <c r="I93" s="4">
        <f>Calc!I93</f>
        <v>98.08</v>
      </c>
      <c r="J93" s="4">
        <f>Calc!J93</f>
        <v>100</v>
      </c>
      <c r="K93" s="4">
        <f>Calc!K93</f>
        <v>100</v>
      </c>
      <c r="L93" s="4">
        <f>Calc!L93</f>
        <v>89.19</v>
      </c>
      <c r="M93" s="4">
        <f>Calc!M93</f>
        <v>76.82</v>
      </c>
      <c r="N93" s="4">
        <f>Calc!N93</f>
        <v>100</v>
      </c>
      <c r="O93" s="4">
        <f>Calc!O93</f>
        <v>64.81</v>
      </c>
      <c r="P93" s="4">
        <f>Calc!P93</f>
        <v>78.66</v>
      </c>
      <c r="Q93" s="4">
        <f>Calc!Q93</f>
        <v>57.25</v>
      </c>
      <c r="R93" s="4">
        <f>Calc!R93</f>
        <v>89.89</v>
      </c>
      <c r="S93" s="4">
        <f>Calc!S93</f>
        <v>59.26</v>
      </c>
      <c r="T93" s="4">
        <f>Calc!T93</f>
        <v>67.94</v>
      </c>
      <c r="U93" s="4">
        <f>AVERAGE(H93:T93)</f>
        <v>82.2207692307692</v>
      </c>
      <c r="V93" s="4">
        <f>RANK(U93,$U$2:$U$113,0)+(COUNTIF($U$2:$U$113,U93)-1)/2</f>
        <v>6</v>
      </c>
      <c r="W93" s="2">
        <f>Coverage!P93</f>
        <v>13</v>
      </c>
      <c r="X93" s="5">
        <f>Coverage!Q93</f>
        <v>1</v>
      </c>
      <c r="Y93" s="4">
        <f>Coverage!R93</f>
        <v>82.2207692307692</v>
      </c>
      <c r="Z93" s="2" t="inlineStr">
        <is>
          <t>Repository marked assessable in register</t>
        </is>
      </c>
      <c r="AA93" s="2" t="inlineStr">
        <is>
          <t>No missing metric inputs flagged by pipeline availability checks</t>
        </is>
      </c>
    </row>
    <row r="94">
      <c r="A94" s="2" t="inlineStr">
        <is>
          <t>C4-093</t>
        </is>
      </c>
      <c r="B94" s="2" t="inlineStr">
        <is>
          <t>PubPub</t>
        </is>
      </c>
      <c r="C94" s="2" t="inlineStr">
        <is>
          <t>software</t>
        </is>
      </c>
      <c r="D94" s="2" t="inlineStr">
        <is>
          <t>Replace URL</t>
        </is>
      </c>
      <c r="E94" s="2" t="inlineStr">
        <is>
          <t>knowledgefutures/pubpub</t>
        </is>
      </c>
      <c r="F94" s="2" t="inlineStr">
        <is>
          <t>complete</t>
        </is>
      </c>
      <c r="G94" s="2" t="inlineStr">
        <is>
          <t>complete</t>
        </is>
      </c>
      <c r="H94" s="4">
        <f>Calc!H94</f>
        <v>76.1</v>
      </c>
      <c r="I94" s="4">
        <f>Calc!I94</f>
        <v>63.46</v>
      </c>
      <c r="J94" s="4">
        <f>Calc!J94</f>
        <v>100</v>
      </c>
      <c r="K94" s="4">
        <f>Calc!K94</f>
        <v>100</v>
      </c>
      <c r="L94" s="4">
        <f>Calc!L94</f>
        <v>60</v>
      </c>
      <c r="M94" s="4">
        <f>Calc!M94</f>
        <v>56.24</v>
      </c>
      <c r="N94" s="4">
        <f>Calc!N94</f>
        <v>75</v>
      </c>
      <c r="O94" s="4">
        <f>Calc!O94</f>
        <v>0</v>
      </c>
      <c r="P94" s="4">
        <f>Calc!P94</f>
        <v>41.35</v>
      </c>
      <c r="Q94" s="4">
        <f>Calc!Q94</f>
        <v>0</v>
      </c>
      <c r="R94" s="4">
        <f>Calc!R94</f>
        <v>96.97</v>
      </c>
      <c r="S94" s="4">
        <f>Calc!S94</f>
        <v>54.77</v>
      </c>
      <c r="T94" s="4">
        <f>Calc!T94</f>
        <v>34.87</v>
      </c>
      <c r="U94" s="4">
        <f>AVERAGE(H94:T94)</f>
        <v>58.3661538461538</v>
      </c>
      <c r="V94" s="4">
        <f>RANK(U94,$U$2:$U$113,0)+(COUNTIF($U$2:$U$113,U94)-1)/2</f>
        <v>47</v>
      </c>
      <c r="W94" s="2">
        <f>Coverage!P94</f>
        <v>11</v>
      </c>
      <c r="X94" s="5">
        <f>Coverage!Q94</f>
        <v>0.846153846153846</v>
      </c>
      <c r="Y94" s="4">
        <f>Coverage!R94</f>
        <v>68.9781818181818</v>
      </c>
      <c r="Z94" s="2" t="inlineStr">
        <is>
          <t>Repository marked assessable in register</t>
        </is>
      </c>
      <c r="AA94" s="2" t="inlineStr">
        <is>
          <t>m8_issue_response below minimum eligible sample (n=9); scored 0; m10_issue_close90 below minimum eligible sample (n=9); scored 0</t>
        </is>
      </c>
    </row>
    <row r="95">
      <c r="A95" s="2" t="inlineStr">
        <is>
          <t>C4-094</t>
        </is>
      </c>
      <c r="B95" s="2" t="inlineStr">
        <is>
          <t>Pundit</t>
        </is>
      </c>
      <c r="C95" s="2" t="inlineStr">
        <is>
          <t>software</t>
        </is>
      </c>
      <c r="D95" s="2" t="inlineStr">
        <is>
          <t>Ready</t>
        </is>
      </c>
      <c r="E95" s="2" t="inlineStr">
        <is>
          <t>net7/pundit-client</t>
        </is>
      </c>
      <c r="F95" s="2" t="inlineStr">
        <is>
          <t>complete</t>
        </is>
      </c>
      <c r="G95" s="2" t="inlineStr">
        <is>
          <t>complete</t>
        </is>
      </c>
      <c r="H95" s="4">
        <f>Calc!H95</f>
        <v>59.02</v>
      </c>
      <c r="I95" s="4">
        <f>Calc!I95</f>
        <v>11.54</v>
      </c>
      <c r="J95" s="4">
        <f>Calc!J95</f>
        <v>88.54</v>
      </c>
      <c r="K95" s="4">
        <f>Calc!K95</f>
        <v>75</v>
      </c>
      <c r="L95" s="4">
        <f>Calc!L95</f>
        <v>20</v>
      </c>
      <c r="M95" s="4">
        <f>Calc!M95</f>
        <v>16.18</v>
      </c>
      <c r="N95" s="4">
        <f>Calc!N95</f>
        <v>0</v>
      </c>
      <c r="O95" s="4">
        <f>Calc!O95</f>
        <v>0</v>
      </c>
      <c r="P95" s="4">
        <f>Calc!P95</f>
        <v>0</v>
      </c>
      <c r="Q95" s="4">
        <f>Calc!Q95</f>
        <v>0</v>
      </c>
      <c r="R95" s="4">
        <f>Calc!R95</f>
        <v>0</v>
      </c>
      <c r="S95" s="4">
        <f>Calc!S95</f>
        <v>0</v>
      </c>
      <c r="T95" s="4">
        <f>Calc!T95</f>
        <v>15.02</v>
      </c>
      <c r="U95" s="4">
        <f>AVERAGE(H95:T95)</f>
        <v>21.9461538461538</v>
      </c>
      <c r="V95" s="4">
        <f>RANK(U95,$U$2:$U$113,0)+(COUNTIF($U$2:$U$113,U95)-1)/2</f>
        <v>86</v>
      </c>
      <c r="W95" s="2">
        <f>Coverage!P95</f>
        <v>9</v>
      </c>
      <c r="X95" s="5">
        <f>Coverage!Q95</f>
        <v>0.692307692307692</v>
      </c>
      <c r="Y95" s="4">
        <f>Coverage!R95</f>
        <v>31.7</v>
      </c>
      <c r="Z95" s="2" t="inlineStr">
        <is>
          <t>Repository marked assessable in register</t>
        </is>
      </c>
      <c r="AA95" s="2" t="inlineStr">
        <is>
          <t>m8_issue_response below minimum eligible sample (n=0); scored 0; m9_pr_response below minimum eligible sample (n=2); scored 0; m10_issue_close90 below minimum eligible sample (n=0); scored 0; m11_pr_decision30 below minimum eligible sample (n=2); scored 0</t>
        </is>
      </c>
    </row>
    <row r="96">
      <c r="A96" s="6" t="inlineStr">
        <is>
          <t>C4-095</t>
        </is>
      </c>
      <c r="B96" s="6" t="inlineStr">
        <is>
          <t>pyOpenSci</t>
        </is>
      </c>
      <c r="C96" s="6" t="inlineStr">
        <is>
          <t>not-assessable</t>
        </is>
      </c>
      <c r="D96" s="6" t="inlineStr">
        <is>
          <t>Not assessable</t>
        </is>
      </c>
      <c r="E96" s="6" t="inlineStr"/>
      <c r="F96" s="6" t="n"/>
      <c r="G96" s="6" t="n"/>
      <c r="H96" s="7">
        <f>Calc!H96</f>
        <v>0</v>
      </c>
      <c r="I96" s="7">
        <f>Calc!I96</f>
        <v>0</v>
      </c>
      <c r="J96" s="7">
        <f>Calc!J96</f>
        <v>0</v>
      </c>
      <c r="K96" s="7">
        <f>Calc!K96</f>
        <v>0</v>
      </c>
      <c r="L96" s="7">
        <f>Calc!L96</f>
        <v>0</v>
      </c>
      <c r="M96" s="7">
        <f>Calc!M96</f>
        <v>0</v>
      </c>
      <c r="N96" s="7">
        <f>Calc!N96</f>
        <v>0</v>
      </c>
      <c r="O96" s="7">
        <f>Calc!O96</f>
        <v>0</v>
      </c>
      <c r="P96" s="7">
        <f>Calc!P96</f>
        <v>0</v>
      </c>
      <c r="Q96" s="7">
        <f>Calc!Q96</f>
        <v>0</v>
      </c>
      <c r="R96" s="7">
        <f>Calc!R96</f>
        <v>0</v>
      </c>
      <c r="S96" s="7">
        <f>Calc!S96</f>
        <v>0</v>
      </c>
      <c r="T96" s="7">
        <f>Calc!T96</f>
        <v>0</v>
      </c>
      <c r="U96" s="7">
        <f>AVERAGE(H96:T96)</f>
        <v>0</v>
      </c>
      <c r="V96" s="7">
        <f>RANK(U96,$U$2:$U$113,0)+(COUNTIF($U$2:$U$113,U96)-1)/2</f>
        <v>106</v>
      </c>
      <c r="W96" s="6">
        <f>Coverage!P96</f>
        <v>0</v>
      </c>
      <c r="X96" s="8">
        <f>Coverage!Q96</f>
        <v>0</v>
      </c>
      <c r="Y96" s="7">
        <f>Coverage!R96</f>
        <v>0</v>
      </c>
      <c r="Z96" s="6" t="inlineStr">
        <is>
          <t>NOT ASSESSABLE / EXCLUDED: numeric zero is a policy zero-fill, not measured inactivity</t>
        </is>
      </c>
      <c r="AA96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97">
      <c r="A97" s="2" t="inlineStr">
        <is>
          <t>C4-096</t>
        </is>
      </c>
      <c r="B97" s="2" t="inlineStr">
        <is>
          <t>Renku</t>
        </is>
      </c>
      <c r="C97" s="2" t="inlineStr">
        <is>
          <t>software</t>
        </is>
      </c>
      <c r="D97" s="2" t="inlineStr">
        <is>
          <t>Ready -&gt; umbrella expanded to product set</t>
        </is>
      </c>
      <c r="E97" s="2" t="inlineStr">
        <is>
          <t>SwissDataScienceCenter/renku;SwissDataScienceCenter/renku-data-services;SwissDataScienceCenter/renku-ui</t>
        </is>
      </c>
      <c r="F97" s="2" t="inlineStr">
        <is>
          <t>complete</t>
        </is>
      </c>
      <c r="G97" s="2" t="inlineStr">
        <is>
          <t>complete</t>
        </is>
      </c>
      <c r="H97" s="4">
        <f>Calc!H97</f>
        <v>89.92</v>
      </c>
      <c r="I97" s="4">
        <f>Calc!I97</f>
        <v>98.08</v>
      </c>
      <c r="J97" s="4">
        <f>Calc!J97</f>
        <v>100</v>
      </c>
      <c r="K97" s="4">
        <f>Calc!K97</f>
        <v>100</v>
      </c>
      <c r="L97" s="4">
        <f>Calc!L97</f>
        <v>84.96</v>
      </c>
      <c r="M97" s="4">
        <f>Calc!M97</f>
        <v>91.4</v>
      </c>
      <c r="N97" s="4">
        <f>Calc!N97</f>
        <v>100</v>
      </c>
      <c r="O97" s="4">
        <f>Calc!O97</f>
        <v>20</v>
      </c>
      <c r="P97" s="4">
        <f>Calc!P97</f>
        <v>88.13</v>
      </c>
      <c r="Q97" s="4">
        <f>Calc!Q97</f>
        <v>42.86</v>
      </c>
      <c r="R97" s="4">
        <f>Calc!R97</f>
        <v>84.3</v>
      </c>
      <c r="S97" s="4">
        <f>Calc!S97</f>
        <v>52.65</v>
      </c>
      <c r="T97" s="4">
        <f>Calc!T97</f>
        <v>34.87</v>
      </c>
      <c r="U97" s="4">
        <f>AVERAGE(H97:T97)</f>
        <v>75.9361538461538</v>
      </c>
      <c r="V97" s="4">
        <f>RANK(U97,$U$2:$U$113,0)+(COUNTIF($U$2:$U$113,U97)-1)/2</f>
        <v>16</v>
      </c>
      <c r="W97" s="2">
        <f>Coverage!P97</f>
        <v>13</v>
      </c>
      <c r="X97" s="5">
        <f>Coverage!Q97</f>
        <v>1</v>
      </c>
      <c r="Y97" s="4">
        <f>Coverage!R97</f>
        <v>75.9361538461538</v>
      </c>
      <c r="Z97" s="2" t="inlineStr">
        <is>
          <t>Repository marked assessable in register</t>
        </is>
      </c>
      <c r="AA97" s="2" t="inlineStr">
        <is>
          <t>No missing metric inputs flagged by pipeline availability checks</t>
        </is>
      </c>
    </row>
    <row r="98">
      <c r="A98" s="6" t="inlineStr">
        <is>
          <t>C4-097</t>
        </is>
      </c>
      <c r="B98" s="6" t="inlineStr">
        <is>
          <t>RePEc</t>
        </is>
      </c>
      <c r="C98" s="6" t="inlineStr">
        <is>
          <t>not-assessable</t>
        </is>
      </c>
      <c r="D98" s="6" t="inlineStr">
        <is>
          <t>Not assessable</t>
        </is>
      </c>
      <c r="E98" s="6" t="inlineStr"/>
      <c r="F98" s="6" t="n"/>
      <c r="G98" s="6" t="n"/>
      <c r="H98" s="7">
        <f>Calc!H98</f>
        <v>0</v>
      </c>
      <c r="I98" s="7">
        <f>Calc!I98</f>
        <v>0</v>
      </c>
      <c r="J98" s="7">
        <f>Calc!J98</f>
        <v>0</v>
      </c>
      <c r="K98" s="7">
        <f>Calc!K98</f>
        <v>0</v>
      </c>
      <c r="L98" s="7">
        <f>Calc!L98</f>
        <v>0</v>
      </c>
      <c r="M98" s="7">
        <f>Calc!M98</f>
        <v>0</v>
      </c>
      <c r="N98" s="7">
        <f>Calc!N98</f>
        <v>0</v>
      </c>
      <c r="O98" s="7">
        <f>Calc!O98</f>
        <v>0</v>
      </c>
      <c r="P98" s="7">
        <f>Calc!P98</f>
        <v>0</v>
      </c>
      <c r="Q98" s="7">
        <f>Calc!Q98</f>
        <v>0</v>
      </c>
      <c r="R98" s="7">
        <f>Calc!R98</f>
        <v>0</v>
      </c>
      <c r="S98" s="7">
        <f>Calc!S98</f>
        <v>0</v>
      </c>
      <c r="T98" s="7">
        <f>Calc!T98</f>
        <v>0</v>
      </c>
      <c r="U98" s="7">
        <f>AVERAGE(H98:T98)</f>
        <v>0</v>
      </c>
      <c r="V98" s="7">
        <f>RANK(U98,$U$2:$U$113,0)+(COUNTIF($U$2:$U$113,U98)-1)/2</f>
        <v>106</v>
      </c>
      <c r="W98" s="6">
        <f>Coverage!P98</f>
        <v>0</v>
      </c>
      <c r="X98" s="8">
        <f>Coverage!Q98</f>
        <v>0</v>
      </c>
      <c r="Y98" s="7">
        <f>Coverage!R98</f>
        <v>0</v>
      </c>
      <c r="Z98" s="6" t="inlineStr">
        <is>
          <t>NOT ASSESSABLE / EXCLUDED: numeric zero is a policy zero-fill, not measured inactivity</t>
        </is>
      </c>
      <c r="AA98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99">
      <c r="A99" s="2" t="inlineStr">
        <is>
          <t>C4-098</t>
        </is>
      </c>
      <c r="B99" s="2" t="inlineStr">
        <is>
          <t>Research Organization Registry (ROR)</t>
        </is>
      </c>
      <c r="C99" s="2" t="inlineStr">
        <is>
          <t>software</t>
        </is>
      </c>
      <c r="D99" s="2" t="inlineStr">
        <is>
          <t>Replace URL</t>
        </is>
      </c>
      <c r="E99" s="2" t="inlineStr">
        <is>
          <t>ror-community/ror-api</t>
        </is>
      </c>
      <c r="F99" s="2" t="inlineStr">
        <is>
          <t>complete</t>
        </is>
      </c>
      <c r="G99" s="2" t="inlineStr">
        <is>
          <t>complete</t>
        </is>
      </c>
      <c r="H99" s="4">
        <f>Calc!H99</f>
        <v>54.1</v>
      </c>
      <c r="I99" s="4">
        <f>Calc!I99</f>
        <v>25</v>
      </c>
      <c r="J99" s="4">
        <f>Calc!J99</f>
        <v>100</v>
      </c>
      <c r="K99" s="4">
        <f>Calc!K99</f>
        <v>100</v>
      </c>
      <c r="L99" s="4">
        <f>Calc!L99</f>
        <v>20</v>
      </c>
      <c r="M99" s="4">
        <f>Calc!M99</f>
        <v>4.58</v>
      </c>
      <c r="N99" s="4">
        <f>Calc!N99</f>
        <v>25</v>
      </c>
      <c r="O99" s="4">
        <f>Calc!O99</f>
        <v>0</v>
      </c>
      <c r="P99" s="4">
        <f>Calc!P99</f>
        <v>5.88</v>
      </c>
      <c r="Q99" s="4">
        <f>Calc!Q99</f>
        <v>0</v>
      </c>
      <c r="R99" s="4">
        <f>Calc!R99</f>
        <v>97.44</v>
      </c>
      <c r="S99" s="4">
        <f>Calc!S99</f>
        <v>33.33</v>
      </c>
      <c r="T99" s="4">
        <f>Calc!T99</f>
        <v>34.87</v>
      </c>
      <c r="U99" s="4">
        <f>AVERAGE(H99:T99)</f>
        <v>38.4769230769231</v>
      </c>
      <c r="V99" s="4">
        <f>RANK(U99,$U$2:$U$113,0)+(COUNTIF($U$2:$U$113,U99)-1)/2</f>
        <v>73</v>
      </c>
      <c r="W99" s="2">
        <f>Coverage!P99</f>
        <v>11</v>
      </c>
      <c r="X99" s="5">
        <f>Coverage!Q99</f>
        <v>0.846153846153846</v>
      </c>
      <c r="Y99" s="4">
        <f>Coverage!R99</f>
        <v>45.4727272727273</v>
      </c>
      <c r="Z99" s="2" t="inlineStr">
        <is>
          <t>Repository marked assessable in register</t>
        </is>
      </c>
      <c r="AA99" s="2" t="inlineStr">
        <is>
          <t>m8_issue_response below minimum eligible sample (n=0); scored 0; m10_issue_close90 below minimum eligible sample (n=0); scored 0</t>
        </is>
      </c>
    </row>
    <row r="100">
      <c r="A100" s="2" t="inlineStr">
        <is>
          <t>C4-099</t>
        </is>
      </c>
      <c r="B100" s="2" t="inlineStr">
        <is>
          <t>Rogue Scholar</t>
        </is>
      </c>
      <c r="C100" s="2" t="inlineStr">
        <is>
          <t>software</t>
        </is>
      </c>
      <c r="D100" s="2" t="inlineStr">
        <is>
          <t>Ready</t>
        </is>
      </c>
      <c r="E100" s="2" t="inlineStr">
        <is>
          <t>front-matter/rogue-scholar</t>
        </is>
      </c>
      <c r="F100" s="2" t="inlineStr">
        <is>
          <t>complete</t>
        </is>
      </c>
      <c r="G100" s="2" t="inlineStr">
        <is>
          <t>complete</t>
        </is>
      </c>
      <c r="H100" s="4">
        <f>Calc!H100</f>
        <v>86.24</v>
      </c>
      <c r="I100" s="4">
        <f>Calc!I100</f>
        <v>53.85</v>
      </c>
      <c r="J100" s="4">
        <f>Calc!J100</f>
        <v>75.33</v>
      </c>
      <c r="K100" s="4">
        <f>Calc!K100</f>
        <v>50</v>
      </c>
      <c r="L100" s="4">
        <f>Calc!L100</f>
        <v>0</v>
      </c>
      <c r="M100" s="4">
        <f>Calc!M100</f>
        <v>0</v>
      </c>
      <c r="N100" s="4">
        <f>Calc!N100</f>
        <v>25</v>
      </c>
      <c r="O100" s="4">
        <f>Calc!O100</f>
        <v>0</v>
      </c>
      <c r="P100" s="4">
        <f>Calc!P100</f>
        <v>0</v>
      </c>
      <c r="Q100" s="4">
        <f>Calc!Q100</f>
        <v>0</v>
      </c>
      <c r="R100" s="4">
        <f>Calc!R100</f>
        <v>0</v>
      </c>
      <c r="S100" s="4">
        <f>Calc!S100</f>
        <v>23.3</v>
      </c>
      <c r="T100" s="4">
        <f>Calc!T100</f>
        <v>15.02</v>
      </c>
      <c r="U100" s="4">
        <f>AVERAGE(H100:T100)</f>
        <v>25.2876923076923</v>
      </c>
      <c r="V100" s="4">
        <f>RANK(U100,$U$2:$U$113,0)+(COUNTIF($U$2:$U$113,U100)-1)/2</f>
        <v>80</v>
      </c>
      <c r="W100" s="2">
        <f>Coverage!P100</f>
        <v>9</v>
      </c>
      <c r="X100" s="5">
        <f>Coverage!Q100</f>
        <v>0.692307692307692</v>
      </c>
      <c r="Y100" s="4">
        <f>Coverage!R100</f>
        <v>36.5266666666667</v>
      </c>
      <c r="Z100" s="2" t="inlineStr">
        <is>
          <t>Repository marked assessable in register</t>
        </is>
      </c>
      <c r="AA100" s="2" t="inlineStr">
        <is>
          <t>m8_issue_response below minimum eligible sample (n=0); scored 0; m9_pr_response below minimum eligible sample (n=1); scored 0; m10_issue_close90 below minimum eligible sample (n=0); scored 0; m11_pr_decision30 below minimum eligible sample (n=0); scored 0</t>
        </is>
      </c>
    </row>
    <row r="101">
      <c r="A101" s="2" t="inlineStr">
        <is>
          <t>C4-100</t>
        </is>
      </c>
      <c r="B101" s="2" t="inlineStr">
        <is>
          <t>RSpace</t>
        </is>
      </c>
      <c r="C101" s="2" t="inlineStr">
        <is>
          <t>software</t>
        </is>
      </c>
      <c r="D101" s="2" t="inlineStr">
        <is>
          <t>Ready</t>
        </is>
      </c>
      <c r="E101" s="2" t="inlineStr">
        <is>
          <t>rspace-os/rspace-web</t>
        </is>
      </c>
      <c r="F101" s="2" t="inlineStr">
        <is>
          <t>complete</t>
        </is>
      </c>
      <c r="G101" s="2" t="inlineStr">
        <is>
          <t>complete</t>
        </is>
      </c>
      <c r="H101" s="4">
        <f>Calc!H101</f>
        <v>93.46</v>
      </c>
      <c r="I101" s="4">
        <f>Calc!I101</f>
        <v>98.08</v>
      </c>
      <c r="J101" s="4">
        <f>Calc!J101</f>
        <v>100</v>
      </c>
      <c r="K101" s="4">
        <f>Calc!K101</f>
        <v>100</v>
      </c>
      <c r="L101" s="4">
        <f>Calc!L101</f>
        <v>69.19</v>
      </c>
      <c r="M101" s="4">
        <f>Calc!M101</f>
        <v>87.43</v>
      </c>
      <c r="N101" s="4">
        <f>Calc!N101</f>
        <v>100</v>
      </c>
      <c r="O101" s="4">
        <f>Calc!O101</f>
        <v>65</v>
      </c>
      <c r="P101" s="4">
        <f>Calc!P101</f>
        <v>75.89</v>
      </c>
      <c r="Q101" s="4">
        <f>Calc!Q101</f>
        <v>23.33</v>
      </c>
      <c r="R101" s="4">
        <f>Calc!R101</f>
        <v>95.89</v>
      </c>
      <c r="S101" s="4">
        <f>Calc!S101</f>
        <v>41.01</v>
      </c>
      <c r="T101" s="4">
        <f>Calc!T101</f>
        <v>42.16</v>
      </c>
      <c r="U101" s="4">
        <f>AVERAGE(H101:T101)</f>
        <v>76.2646153846154</v>
      </c>
      <c r="V101" s="4">
        <f>RANK(U101,$U$2:$U$113,0)+(COUNTIF($U$2:$U$113,U101)-1)/2</f>
        <v>15</v>
      </c>
      <c r="W101" s="2">
        <f>Coverage!P101</f>
        <v>13</v>
      </c>
      <c r="X101" s="5">
        <f>Coverage!Q101</f>
        <v>1</v>
      </c>
      <c r="Y101" s="4">
        <f>Coverage!R101</f>
        <v>76.2646153846154</v>
      </c>
      <c r="Z101" s="2" t="inlineStr">
        <is>
          <t>Repository marked assessable in register</t>
        </is>
      </c>
      <c r="AA101" s="2" t="inlineStr">
        <is>
          <t>No missing metric inputs flagged by pipeline availability checks</t>
        </is>
      </c>
    </row>
    <row r="102">
      <c r="A102" s="2" t="inlineStr">
        <is>
          <t>C4-101</t>
        </is>
      </c>
      <c r="B102" s="2" t="inlineStr">
        <is>
          <t>Sciety</t>
        </is>
      </c>
      <c r="C102" s="2" t="inlineStr">
        <is>
          <t>software</t>
        </is>
      </c>
      <c r="D102" s="2" t="inlineStr">
        <is>
          <t>Ready</t>
        </is>
      </c>
      <c r="E102" s="2" t="inlineStr">
        <is>
          <t>sciety/sciety</t>
        </is>
      </c>
      <c r="F102" s="2" t="inlineStr">
        <is>
          <t>complete</t>
        </is>
      </c>
      <c r="G102" s="2" t="inlineStr">
        <is>
          <t>complete</t>
        </is>
      </c>
      <c r="H102" s="4">
        <f>Calc!H102</f>
        <v>91.46</v>
      </c>
      <c r="I102" s="4">
        <f>Calc!I102</f>
        <v>50</v>
      </c>
      <c r="J102" s="4">
        <f>Calc!J102</f>
        <v>100</v>
      </c>
      <c r="K102" s="4">
        <f>Calc!K102</f>
        <v>0</v>
      </c>
      <c r="L102" s="4">
        <f>Calc!L102</f>
        <v>71.7</v>
      </c>
      <c r="M102" s="4">
        <f>Calc!M102</f>
        <v>62.79</v>
      </c>
      <c r="N102" s="4">
        <f>Calc!N102</f>
        <v>75</v>
      </c>
      <c r="O102" s="4">
        <f>Calc!O102</f>
        <v>41.38</v>
      </c>
      <c r="P102" s="4">
        <f>Calc!P102</f>
        <v>0</v>
      </c>
      <c r="Q102" s="4">
        <f>Calc!Q102</f>
        <v>89.66</v>
      </c>
      <c r="R102" s="4">
        <f>Calc!R102</f>
        <v>0</v>
      </c>
      <c r="S102" s="4">
        <f>Calc!S102</f>
        <v>0</v>
      </c>
      <c r="T102" s="4">
        <f>Calc!T102</f>
        <v>0</v>
      </c>
      <c r="U102" s="4">
        <f>AVERAGE(H102:T102)</f>
        <v>44.7684615384615</v>
      </c>
      <c r="V102" s="4">
        <f>RANK(U102,$U$2:$U$113,0)+(COUNTIF($U$2:$U$113,U102)-1)/2</f>
        <v>64</v>
      </c>
      <c r="W102" s="2">
        <f>Coverage!P102</f>
        <v>11</v>
      </c>
      <c r="X102" s="5">
        <f>Coverage!Q102</f>
        <v>0.846153846153846</v>
      </c>
      <c r="Y102" s="4">
        <f>Coverage!R102</f>
        <v>52.9081818181818</v>
      </c>
      <c r="Z102" s="2" t="inlineStr">
        <is>
          <t>Repository marked assessable in register</t>
        </is>
      </c>
      <c r="AA102" s="2" t="inlineStr">
        <is>
          <t>m9_pr_response below minimum eligible sample (n=5); scored 0; m11_pr_decision30 below minimum eligible sample (n=5); scored 0</t>
        </is>
      </c>
    </row>
    <row r="103">
      <c r="A103" s="2" t="inlineStr">
        <is>
          <t>C4-102</t>
        </is>
      </c>
      <c r="B103" s="2" t="inlineStr">
        <is>
          <t>Synapse</t>
        </is>
      </c>
      <c r="C103" s="2" t="inlineStr">
        <is>
          <t>software</t>
        </is>
      </c>
      <c r="D103" s="2" t="inlineStr">
        <is>
          <t>Ready</t>
        </is>
      </c>
      <c r="E103" s="2" t="inlineStr">
        <is>
          <t>Sage-Bionetworks/Synapse-Repository-Services</t>
        </is>
      </c>
      <c r="F103" s="2" t="inlineStr">
        <is>
          <t>complete</t>
        </is>
      </c>
      <c r="G103" s="2" t="inlineStr">
        <is>
          <t>complete</t>
        </is>
      </c>
      <c r="H103" s="4">
        <f>Calc!H103</f>
        <v>100</v>
      </c>
      <c r="I103" s="4">
        <f>Calc!I103</f>
        <v>100</v>
      </c>
      <c r="J103" s="4">
        <f>Calc!J103</f>
        <v>100</v>
      </c>
      <c r="K103" s="4">
        <f>Calc!K103</f>
        <v>100</v>
      </c>
      <c r="L103" s="4">
        <f>Calc!L103</f>
        <v>66.44</v>
      </c>
      <c r="M103" s="4">
        <f>Calc!M103</f>
        <v>87.04</v>
      </c>
      <c r="N103" s="4">
        <f>Calc!N103</f>
        <v>100</v>
      </c>
      <c r="O103" s="4">
        <f>Calc!O103</f>
        <v>0</v>
      </c>
      <c r="P103" s="4">
        <f>Calc!P103</f>
        <v>64.59</v>
      </c>
      <c r="Q103" s="4">
        <f>Calc!Q103</f>
        <v>0</v>
      </c>
      <c r="R103" s="4">
        <f>Calc!R103</f>
        <v>94.63</v>
      </c>
      <c r="S103" s="4">
        <f>Calc!S103</f>
        <v>20.07</v>
      </c>
      <c r="T103" s="4">
        <f>Calc!T103</f>
        <v>47.61</v>
      </c>
      <c r="U103" s="4">
        <f>AVERAGE(H103:T103)</f>
        <v>67.7215384615385</v>
      </c>
      <c r="V103" s="4">
        <f>RANK(U103,$U$2:$U$113,0)+(COUNTIF($U$2:$U$113,U103)-1)/2</f>
        <v>30</v>
      </c>
      <c r="W103" s="2">
        <f>Coverage!P103</f>
        <v>11</v>
      </c>
      <c r="X103" s="5">
        <f>Coverage!Q103</f>
        <v>0.846153846153846</v>
      </c>
      <c r="Y103" s="4">
        <f>Coverage!R103</f>
        <v>80.0345454545455</v>
      </c>
      <c r="Z103" s="2" t="inlineStr">
        <is>
          <t>Repository marked assessable in register</t>
        </is>
      </c>
      <c r="AA103" s="2" t="inlineStr">
        <is>
          <t>m8_issue_response unavailable; scored 0; m10_issue_close90 unavailable; scored 0</t>
        </is>
      </c>
    </row>
    <row r="104">
      <c r="A104" s="2" t="inlineStr">
        <is>
          <t>C4-103</t>
        </is>
      </c>
      <c r="B104" s="2" t="inlineStr">
        <is>
          <t>TagTeam</t>
        </is>
      </c>
      <c r="C104" s="2" t="inlineStr">
        <is>
          <t>software</t>
        </is>
      </c>
      <c r="D104" s="2" t="inlineStr">
        <is>
          <t>Keep (dormant)</t>
        </is>
      </c>
      <c r="E104" s="2" t="inlineStr">
        <is>
          <t>berkmancenter/tagteam</t>
        </is>
      </c>
      <c r="F104" s="2" t="inlineStr">
        <is>
          <t>complete</t>
        </is>
      </c>
      <c r="G104" s="2" t="inlineStr">
        <is>
          <t>complete</t>
        </is>
      </c>
      <c r="H104" s="4">
        <f>Calc!H104</f>
        <v>0</v>
      </c>
      <c r="I104" s="4">
        <f>Calc!I104</f>
        <v>0</v>
      </c>
      <c r="J104" s="4">
        <f>Calc!J104</f>
        <v>0</v>
      </c>
      <c r="K104" s="4">
        <f>Calc!K104</f>
        <v>0</v>
      </c>
      <c r="L104" s="4">
        <f>Calc!L104</f>
        <v>0</v>
      </c>
      <c r="M104" s="4">
        <f>Calc!M104</f>
        <v>0</v>
      </c>
      <c r="N104" s="4">
        <f>Calc!N104</f>
        <v>0</v>
      </c>
      <c r="O104" s="4">
        <f>Calc!O104</f>
        <v>0</v>
      </c>
      <c r="P104" s="4">
        <f>Calc!P104</f>
        <v>0</v>
      </c>
      <c r="Q104" s="4">
        <f>Calc!Q104</f>
        <v>0</v>
      </c>
      <c r="R104" s="4">
        <f>Calc!R104</f>
        <v>0</v>
      </c>
      <c r="S104" s="4">
        <f>Calc!S104</f>
        <v>15.9</v>
      </c>
      <c r="T104" s="4">
        <f>Calc!T104</f>
        <v>0</v>
      </c>
      <c r="U104" s="4">
        <f>AVERAGE(H104:T104)</f>
        <v>1.22307692307692</v>
      </c>
      <c r="V104" s="4">
        <f>RANK(U104,$U$2:$U$113,0)+(COUNTIF($U$2:$U$113,U104)-1)/2</f>
        <v>99</v>
      </c>
      <c r="W104" s="2">
        <f>Coverage!P104</f>
        <v>9</v>
      </c>
      <c r="X104" s="5">
        <f>Coverage!Q104</f>
        <v>0.692307692307692</v>
      </c>
      <c r="Y104" s="4">
        <f>Coverage!R104</f>
        <v>1.76666666666667</v>
      </c>
      <c r="Z104" s="2" t="inlineStr">
        <is>
          <t>Repository marked assessable in register</t>
        </is>
      </c>
      <c r="AA104" s="2" t="inlineStr">
        <is>
          <t>m8_issue_response below minimum eligible sample (n=0); scored 0; m9_pr_response below minimum eligible sample (n=0); scored 0; m10_issue_close90 below minimum eligible sample (n=0); scored 0; m11_pr_decision30 below minimum eligible sample (n=0); scored 0</t>
        </is>
      </c>
    </row>
    <row r="105">
      <c r="A105" s="2" t="inlineStr">
        <is>
          <t>C4-104</t>
        </is>
      </c>
      <c r="B105" s="2" t="inlineStr">
        <is>
          <t>Thoth Open Metadata</t>
        </is>
      </c>
      <c r="C105" s="2" t="inlineStr">
        <is>
          <t>software</t>
        </is>
      </c>
      <c r="D105" s="2" t="inlineStr">
        <is>
          <t>Ready</t>
        </is>
      </c>
      <c r="E105" s="2" t="inlineStr">
        <is>
          <t>thoth-pub/thoth</t>
        </is>
      </c>
      <c r="F105" s="2" t="inlineStr">
        <is>
          <t>complete</t>
        </is>
      </c>
      <c r="G105" s="2" t="inlineStr">
        <is>
          <t>complete</t>
        </is>
      </c>
      <c r="H105" s="4">
        <f>Calc!H105</f>
        <v>93.25</v>
      </c>
      <c r="I105" s="4">
        <f>Calc!I105</f>
        <v>76.92</v>
      </c>
      <c r="J105" s="4">
        <f>Calc!J105</f>
        <v>100</v>
      </c>
      <c r="K105" s="4">
        <f>Calc!K105</f>
        <v>100</v>
      </c>
      <c r="L105" s="4">
        <f>Calc!L105</f>
        <v>31.7</v>
      </c>
      <c r="M105" s="4">
        <f>Calc!M105</f>
        <v>16.52</v>
      </c>
      <c r="N105" s="4">
        <f>Calc!N105</f>
        <v>50</v>
      </c>
      <c r="O105" s="4">
        <f>Calc!O105</f>
        <v>2.5</v>
      </c>
      <c r="P105" s="4">
        <f>Calc!P105</f>
        <v>11.64</v>
      </c>
      <c r="Q105" s="4">
        <f>Calc!Q105</f>
        <v>8.33</v>
      </c>
      <c r="R105" s="4">
        <f>Calc!R105</f>
        <v>93.04</v>
      </c>
      <c r="S105" s="4">
        <f>Calc!S105</f>
        <v>0</v>
      </c>
      <c r="T105" s="4">
        <f>Calc!T105</f>
        <v>15.02</v>
      </c>
      <c r="U105" s="4">
        <f>AVERAGE(H105:T105)</f>
        <v>46.0707692307692</v>
      </c>
      <c r="V105" s="4">
        <f>RANK(U105,$U$2:$U$113,0)+(COUNTIF($U$2:$U$113,U105)-1)/2</f>
        <v>60</v>
      </c>
      <c r="W105" s="2">
        <f>Coverage!P105</f>
        <v>13</v>
      </c>
      <c r="X105" s="5">
        <f>Coverage!Q105</f>
        <v>1</v>
      </c>
      <c r="Y105" s="4">
        <f>Coverage!R105</f>
        <v>46.0707692307692</v>
      </c>
      <c r="Z105" s="2" t="inlineStr">
        <is>
          <t>Repository marked assessable in register</t>
        </is>
      </c>
      <c r="AA105" s="2" t="inlineStr">
        <is>
          <t>No missing metric inputs flagged by pipeline availability checks</t>
        </is>
      </c>
    </row>
    <row r="106">
      <c r="A106" s="2" t="inlineStr">
        <is>
          <t>C4-105</t>
        </is>
      </c>
      <c r="B106" s="2" t="inlineStr">
        <is>
          <t>Tropy</t>
        </is>
      </c>
      <c r="C106" s="2" t="inlineStr">
        <is>
          <t>software</t>
        </is>
      </c>
      <c r="D106" s="2" t="inlineStr">
        <is>
          <t>Ready</t>
        </is>
      </c>
      <c r="E106" s="2" t="inlineStr">
        <is>
          <t>tropy/tropy</t>
        </is>
      </c>
      <c r="F106" s="2" t="inlineStr">
        <is>
          <t>complete</t>
        </is>
      </c>
      <c r="G106" s="2" t="inlineStr">
        <is>
          <t>complete</t>
        </is>
      </c>
      <c r="H106" s="4">
        <f>Calc!H106</f>
        <v>96.94</v>
      </c>
      <c r="I106" s="4">
        <f>Calc!I106</f>
        <v>90.38</v>
      </c>
      <c r="J106" s="4">
        <f>Calc!J106</f>
        <v>100</v>
      </c>
      <c r="K106" s="4">
        <f>Calc!K106</f>
        <v>100</v>
      </c>
      <c r="L106" s="4">
        <f>Calc!L106</f>
        <v>46.44</v>
      </c>
      <c r="M106" s="4">
        <f>Calc!M106</f>
        <v>21.08</v>
      </c>
      <c r="N106" s="4">
        <f>Calc!N106</f>
        <v>75</v>
      </c>
      <c r="O106" s="4">
        <f>Calc!O106</f>
        <v>23.64</v>
      </c>
      <c r="P106" s="4">
        <f>Calc!P106</f>
        <v>29.03</v>
      </c>
      <c r="Q106" s="4">
        <f>Calc!Q106</f>
        <v>38.71</v>
      </c>
      <c r="R106" s="4">
        <f>Calc!R106</f>
        <v>72.41</v>
      </c>
      <c r="S106" s="4">
        <f>Calc!S106</f>
        <v>70</v>
      </c>
      <c r="T106" s="4">
        <f>Calc!T106</f>
        <v>62.63</v>
      </c>
      <c r="U106" s="4">
        <f>AVERAGE(H106:T106)</f>
        <v>63.5584615384615</v>
      </c>
      <c r="V106" s="4">
        <f>RANK(U106,$U$2:$U$113,0)+(COUNTIF($U$2:$U$113,U106)-1)/2</f>
        <v>34</v>
      </c>
      <c r="W106" s="2">
        <f>Coverage!P106</f>
        <v>13</v>
      </c>
      <c r="X106" s="5">
        <f>Coverage!Q106</f>
        <v>1</v>
      </c>
      <c r="Y106" s="4">
        <f>Coverage!R106</f>
        <v>63.5584615384615</v>
      </c>
      <c r="Z106" s="2" t="inlineStr">
        <is>
          <t>Repository marked assessable in register</t>
        </is>
      </c>
      <c r="AA106" s="2" t="inlineStr">
        <is>
          <t>No missing metric inputs flagged by pipeline availability checks</t>
        </is>
      </c>
    </row>
    <row r="107">
      <c r="A107" s="2" t="inlineStr">
        <is>
          <t>C4-106</t>
        </is>
      </c>
      <c r="B107" s="2" t="inlineStr">
        <is>
          <t>veraPDF</t>
        </is>
      </c>
      <c r="C107" s="2" t="inlineStr">
        <is>
          <t>software</t>
        </is>
      </c>
      <c r="D107" s="2" t="inlineStr">
        <is>
          <t>Ready</t>
        </is>
      </c>
      <c r="E107" s="2" t="inlineStr">
        <is>
          <t>veraPDF/veraPDF-library</t>
        </is>
      </c>
      <c r="F107" s="2" t="inlineStr">
        <is>
          <t>complete</t>
        </is>
      </c>
      <c r="G107" s="2" t="inlineStr">
        <is>
          <t>complete</t>
        </is>
      </c>
      <c r="H107" s="4">
        <f>Calc!H107</f>
        <v>56.91</v>
      </c>
      <c r="I107" s="4">
        <f>Calc!I107</f>
        <v>53.85</v>
      </c>
      <c r="J107" s="4">
        <f>Calc!J107</f>
        <v>100</v>
      </c>
      <c r="K107" s="4">
        <f>Calc!K107</f>
        <v>100</v>
      </c>
      <c r="L107" s="4">
        <f>Calc!L107</f>
        <v>56.15</v>
      </c>
      <c r="M107" s="4">
        <f>Calc!M107</f>
        <v>55.94</v>
      </c>
      <c r="N107" s="4">
        <f>Calc!N107</f>
        <v>75</v>
      </c>
      <c r="O107" s="4">
        <f>Calc!O107</f>
        <v>94.83</v>
      </c>
      <c r="P107" s="4">
        <f>Calc!P107</f>
        <v>62.5</v>
      </c>
      <c r="Q107" s="4">
        <f>Calc!Q107</f>
        <v>56.82</v>
      </c>
      <c r="R107" s="4">
        <f>Calc!R107</f>
        <v>93.75</v>
      </c>
      <c r="S107" s="4">
        <f>Calc!S107</f>
        <v>55.42</v>
      </c>
      <c r="T107" s="4">
        <f>Calc!T107</f>
        <v>34.87</v>
      </c>
      <c r="U107" s="4">
        <f>AVERAGE(H107:T107)</f>
        <v>68.9261538461539</v>
      </c>
      <c r="V107" s="4">
        <f>RANK(U107,$U$2:$U$113,0)+(COUNTIF($U$2:$U$113,U107)-1)/2</f>
        <v>28</v>
      </c>
      <c r="W107" s="2">
        <f>Coverage!P107</f>
        <v>13</v>
      </c>
      <c r="X107" s="5">
        <f>Coverage!Q107</f>
        <v>1</v>
      </c>
      <c r="Y107" s="4">
        <f>Coverage!R107</f>
        <v>68.9261538461539</v>
      </c>
      <c r="Z107" s="2" t="inlineStr">
        <is>
          <t>Repository marked assessable in register</t>
        </is>
      </c>
      <c r="AA107" s="2" t="inlineStr">
        <is>
          <t>No missing metric inputs flagged by pipeline availability checks</t>
        </is>
      </c>
    </row>
    <row r="108">
      <c r="A108" s="2" t="inlineStr">
        <is>
          <t>C4-107</t>
        </is>
      </c>
      <c r="B108" s="2" t="inlineStr">
        <is>
          <t>ViPER</t>
        </is>
      </c>
      <c r="C108" s="2" t="inlineStr">
        <is>
          <t>software</t>
        </is>
      </c>
      <c r="D108" s="2" t="inlineStr">
        <is>
          <t>Ready</t>
        </is>
      </c>
      <c r="E108" s="2" t="inlineStr">
        <is>
          <t>openpreserve/ViPER</t>
        </is>
      </c>
      <c r="F108" s="2" t="inlineStr">
        <is>
          <t>complete</t>
        </is>
      </c>
      <c r="G108" s="2" t="inlineStr">
        <is>
          <t>complete</t>
        </is>
      </c>
      <c r="H108" s="4">
        <f>Calc!H108</f>
        <v>15.9</v>
      </c>
      <c r="I108" s="4">
        <f>Calc!I108</f>
        <v>3.85</v>
      </c>
      <c r="J108" s="4">
        <f>Calc!J108</f>
        <v>100</v>
      </c>
      <c r="K108" s="4">
        <f>Calc!K108</f>
        <v>100</v>
      </c>
      <c r="L108" s="4">
        <f>Calc!L108</f>
        <v>0</v>
      </c>
      <c r="M108" s="4">
        <f>Calc!M108</f>
        <v>0</v>
      </c>
      <c r="N108" s="4">
        <f>Calc!N108</f>
        <v>0</v>
      </c>
      <c r="O108" s="4">
        <f>Calc!O108</f>
        <v>0</v>
      </c>
      <c r="P108" s="4">
        <f>Calc!P108</f>
        <v>0</v>
      </c>
      <c r="Q108" s="4">
        <f>Calc!Q108</f>
        <v>0</v>
      </c>
      <c r="R108" s="4">
        <f>Calc!R108</f>
        <v>0</v>
      </c>
      <c r="S108" s="4">
        <f>Calc!S108</f>
        <v>15.9</v>
      </c>
      <c r="T108" s="4">
        <f>Calc!T108</f>
        <v>15.02</v>
      </c>
      <c r="U108" s="4">
        <f>AVERAGE(H108:T108)</f>
        <v>19.2823076923077</v>
      </c>
      <c r="V108" s="4">
        <f>RANK(U108,$U$2:$U$113,0)+(COUNTIF($U$2:$U$113,U108)-1)/2</f>
        <v>88</v>
      </c>
      <c r="W108" s="2">
        <f>Coverage!P108</f>
        <v>9</v>
      </c>
      <c r="X108" s="5">
        <f>Coverage!Q108</f>
        <v>0.692307692307692</v>
      </c>
      <c r="Y108" s="4">
        <f>Coverage!R108</f>
        <v>27.8522222222222</v>
      </c>
      <c r="Z108" s="2" t="inlineStr">
        <is>
          <t>Repository marked assessable in register</t>
        </is>
      </c>
      <c r="AA108" s="2" t="inlineStr">
        <is>
          <t>m8_issue_response below minimum eligible sample (n=2); scored 0; m9_pr_response below minimum eligible sample (n=7); scored 0; m10_issue_close90 below minimum eligible sample (n=1); scored 0; m11_pr_decision30 below minimum eligible sample (n=6); scored 0</t>
        </is>
      </c>
    </row>
    <row r="109">
      <c r="A109" s="2" t="inlineStr">
        <is>
          <t>C4-108</t>
        </is>
      </c>
      <c r="B109" s="2" t="inlineStr">
        <is>
          <t>Vireo ETD</t>
        </is>
      </c>
      <c r="C109" s="2" t="inlineStr">
        <is>
          <t>software</t>
        </is>
      </c>
      <c r="D109" s="2" t="inlineStr">
        <is>
          <t>Ready</t>
        </is>
      </c>
      <c r="E109" s="2" t="inlineStr">
        <is>
          <t>TexasDigitalLibrary/Vireo</t>
        </is>
      </c>
      <c r="F109" s="2" t="inlineStr">
        <is>
          <t>complete</t>
        </is>
      </c>
      <c r="G109" s="2" t="inlineStr">
        <is>
          <t>complete</t>
        </is>
      </c>
      <c r="H109" s="4">
        <f>Calc!H109</f>
        <v>56.03</v>
      </c>
      <c r="I109" s="4">
        <f>Calc!I109</f>
        <v>32.69</v>
      </c>
      <c r="J109" s="4">
        <f>Calc!J109</f>
        <v>86.53</v>
      </c>
      <c r="K109" s="4">
        <f>Calc!K109</f>
        <v>75</v>
      </c>
      <c r="L109" s="4">
        <f>Calc!L109</f>
        <v>46.44</v>
      </c>
      <c r="M109" s="4">
        <f>Calc!M109</f>
        <v>57.85</v>
      </c>
      <c r="N109" s="4">
        <f>Calc!N109</f>
        <v>75</v>
      </c>
      <c r="O109" s="4">
        <f>Calc!O109</f>
        <v>17.86</v>
      </c>
      <c r="P109" s="4">
        <f>Calc!P109</f>
        <v>31.03</v>
      </c>
      <c r="Q109" s="4">
        <f>Calc!Q109</f>
        <v>31.82</v>
      </c>
      <c r="R109" s="4">
        <f>Calc!R109</f>
        <v>58.62</v>
      </c>
      <c r="S109" s="4">
        <f>Calc!S109</f>
        <v>23.3</v>
      </c>
      <c r="T109" s="4">
        <f>Calc!T109</f>
        <v>15.02</v>
      </c>
      <c r="U109" s="4">
        <f>AVERAGE(H109:T109)</f>
        <v>46.7069230769231</v>
      </c>
      <c r="V109" s="4">
        <f>RANK(U109,$U$2:$U$113,0)+(COUNTIF($U$2:$U$113,U109)-1)/2</f>
        <v>59</v>
      </c>
      <c r="W109" s="2">
        <f>Coverage!P109</f>
        <v>13</v>
      </c>
      <c r="X109" s="5">
        <f>Coverage!Q109</f>
        <v>1</v>
      </c>
      <c r="Y109" s="4">
        <f>Coverage!R109</f>
        <v>46.7069230769231</v>
      </c>
      <c r="Z109" s="2" t="inlineStr">
        <is>
          <t>Repository marked assessable in register</t>
        </is>
      </c>
      <c r="AA109" s="2" t="inlineStr">
        <is>
          <t>No missing metric inputs flagged by pipeline availability checks</t>
        </is>
      </c>
    </row>
    <row r="110">
      <c r="A110" s="2" t="inlineStr">
        <is>
          <t>C4-109</t>
        </is>
      </c>
      <c r="B110" s="2" t="inlineStr">
        <is>
          <t>VIVO</t>
        </is>
      </c>
      <c r="C110" s="2" t="inlineStr">
        <is>
          <t>software</t>
        </is>
      </c>
      <c r="D110" s="2" t="inlineStr">
        <is>
          <t>Ready -&gt; umbrella expanded to product set</t>
        </is>
      </c>
      <c r="E110" s="2" t="inlineStr">
        <is>
          <t>vivo-project/VIVO;vivo-project/Vitro</t>
        </is>
      </c>
      <c r="F110" s="2" t="inlineStr">
        <is>
          <t>complete</t>
        </is>
      </c>
      <c r="G110" s="2" t="inlineStr">
        <is>
          <t>complete</t>
        </is>
      </c>
      <c r="H110" s="4">
        <f>Calc!H110</f>
        <v>67.5</v>
      </c>
      <c r="I110" s="4">
        <f>Calc!I110</f>
        <v>65.38</v>
      </c>
      <c r="J110" s="4">
        <f>Calc!J110</f>
        <v>100</v>
      </c>
      <c r="K110" s="4">
        <f>Calc!K110</f>
        <v>100</v>
      </c>
      <c r="L110" s="4">
        <f>Calc!L110</f>
        <v>60</v>
      </c>
      <c r="M110" s="4">
        <f>Calc!M110</f>
        <v>66.43</v>
      </c>
      <c r="N110" s="4">
        <f>Calc!N110</f>
        <v>75</v>
      </c>
      <c r="O110" s="4">
        <f>Calc!O110</f>
        <v>19.51</v>
      </c>
      <c r="P110" s="4">
        <f>Calc!P110</f>
        <v>43.94</v>
      </c>
      <c r="Q110" s="4">
        <f>Calc!Q110</f>
        <v>18.18</v>
      </c>
      <c r="R110" s="4">
        <f>Calc!R110</f>
        <v>37.5</v>
      </c>
      <c r="S110" s="4">
        <f>Calc!S110</f>
        <v>47.71</v>
      </c>
      <c r="T110" s="4">
        <f>Calc!T110</f>
        <v>63.8</v>
      </c>
      <c r="U110" s="4">
        <f>AVERAGE(H110:T110)</f>
        <v>58.8423076923077</v>
      </c>
      <c r="V110" s="4">
        <f>RANK(U110,$U$2:$U$113,0)+(COUNTIF($U$2:$U$113,U110)-1)/2</f>
        <v>45</v>
      </c>
      <c r="W110" s="2">
        <f>Coverage!P110</f>
        <v>13</v>
      </c>
      <c r="X110" s="5">
        <f>Coverage!Q110</f>
        <v>1</v>
      </c>
      <c r="Y110" s="4">
        <f>Coverage!R110</f>
        <v>58.8423076923077</v>
      </c>
      <c r="Z110" s="2" t="inlineStr">
        <is>
          <t>Repository marked assessable in register</t>
        </is>
      </c>
      <c r="AA110" s="2" t="inlineStr">
        <is>
          <t>No missing metric inputs flagged by pipeline availability checks</t>
        </is>
      </c>
    </row>
    <row r="111">
      <c r="A111" s="2" t="inlineStr">
        <is>
          <t>C4-110</t>
        </is>
      </c>
      <c r="B111" s="2" t="inlineStr">
        <is>
          <t>VuFind®</t>
        </is>
      </c>
      <c r="C111" s="2" t="inlineStr">
        <is>
          <t>software</t>
        </is>
      </c>
      <c r="D111" s="2" t="inlineStr">
        <is>
          <t>Ready</t>
        </is>
      </c>
      <c r="E111" s="2" t="inlineStr">
        <is>
          <t>vufind-org/vufind</t>
        </is>
      </c>
      <c r="F111" s="2" t="inlineStr">
        <is>
          <t>complete</t>
        </is>
      </c>
      <c r="G111" s="2" t="inlineStr">
        <is>
          <t>complete</t>
        </is>
      </c>
      <c r="H111" s="4">
        <f>Calc!H111</f>
        <v>100</v>
      </c>
      <c r="I111" s="4">
        <f>Calc!I111</f>
        <v>100</v>
      </c>
      <c r="J111" s="4">
        <f>Calc!J111</f>
        <v>100</v>
      </c>
      <c r="K111" s="4">
        <f>Calc!K111</f>
        <v>100</v>
      </c>
      <c r="L111" s="4">
        <f>Calc!L111</f>
        <v>100</v>
      </c>
      <c r="M111" s="4">
        <f>Calc!M111</f>
        <v>96.25</v>
      </c>
      <c r="N111" s="4">
        <f>Calc!N111</f>
        <v>100</v>
      </c>
      <c r="O111" s="4">
        <f>Calc!O111</f>
        <v>0</v>
      </c>
      <c r="P111" s="4">
        <f>Calc!P111</f>
        <v>93.13</v>
      </c>
      <c r="Q111" s="4">
        <f>Calc!Q111</f>
        <v>0</v>
      </c>
      <c r="R111" s="4">
        <f>Calc!R111</f>
        <v>90.01</v>
      </c>
      <c r="S111" s="4">
        <f>Calc!S111</f>
        <v>45.38</v>
      </c>
      <c r="T111" s="4">
        <f>Calc!T111</f>
        <v>75.76</v>
      </c>
      <c r="U111" s="4">
        <f>AVERAGE(H111:T111)</f>
        <v>76.9638461538461</v>
      </c>
      <c r="V111" s="4">
        <f>RANK(U111,$U$2:$U$113,0)+(COUNTIF($U$2:$U$113,U111)-1)/2</f>
        <v>14</v>
      </c>
      <c r="W111" s="2">
        <f>Coverage!P111</f>
        <v>11</v>
      </c>
      <c r="X111" s="5">
        <f>Coverage!Q111</f>
        <v>0.846153846153846</v>
      </c>
      <c r="Y111" s="4">
        <f>Coverage!R111</f>
        <v>90.9572727272727</v>
      </c>
      <c r="Z111" s="2" t="inlineStr">
        <is>
          <t>Repository marked assessable in register</t>
        </is>
      </c>
      <c r="AA111" s="2" t="inlineStr">
        <is>
          <t>m8_issue_response unavailable; scored 0; m10_issue_close90 unavailable; scored 0</t>
        </is>
      </c>
    </row>
    <row r="112">
      <c r="A112" s="2" t="inlineStr">
        <is>
          <t>C4-111</t>
        </is>
      </c>
      <c r="B112" s="2" t="inlineStr">
        <is>
          <t>Zenodo</t>
        </is>
      </c>
      <c r="C112" s="2" t="inlineStr">
        <is>
          <t>software</t>
        </is>
      </c>
      <c r="D112" s="2" t="inlineStr">
        <is>
          <t>Ready</t>
        </is>
      </c>
      <c r="E112" s="2" t="inlineStr">
        <is>
          <t>zenodo/zenodo-rdm</t>
        </is>
      </c>
      <c r="F112" s="2" t="inlineStr">
        <is>
          <t>complete</t>
        </is>
      </c>
      <c r="G112" s="2" t="inlineStr">
        <is>
          <t>complete</t>
        </is>
      </c>
      <c r="H112" s="4">
        <f>Calc!H112</f>
        <v>81.97</v>
      </c>
      <c r="I112" s="4">
        <f>Calc!I112</f>
        <v>84.62</v>
      </c>
      <c r="J112" s="4">
        <f>Calc!J112</f>
        <v>100</v>
      </c>
      <c r="K112" s="4">
        <f>Calc!K112</f>
        <v>100</v>
      </c>
      <c r="L112" s="4">
        <f>Calc!L112</f>
        <v>76.15</v>
      </c>
      <c r="M112" s="4">
        <f>Calc!M112</f>
        <v>58.14</v>
      </c>
      <c r="N112" s="4">
        <f>Calc!N112</f>
        <v>100</v>
      </c>
      <c r="O112" s="4">
        <f>Calc!O112</f>
        <v>25.53</v>
      </c>
      <c r="P112" s="4">
        <f>Calc!P112</f>
        <v>41.48</v>
      </c>
      <c r="Q112" s="4">
        <f>Calc!Q112</f>
        <v>10</v>
      </c>
      <c r="R112" s="4">
        <f>Calc!R112</f>
        <v>81.75</v>
      </c>
      <c r="S112" s="4">
        <f>Calc!S112</f>
        <v>74.92</v>
      </c>
      <c r="T112" s="4">
        <f>Calc!T112</f>
        <v>78.24</v>
      </c>
      <c r="U112" s="4">
        <f>AVERAGE(H112:T112)</f>
        <v>70.2153846153846</v>
      </c>
      <c r="V112" s="4">
        <f>RANK(U112,$U$2:$U$113,0)+(COUNTIF($U$2:$U$113,U112)-1)/2</f>
        <v>26</v>
      </c>
      <c r="W112" s="2">
        <f>Coverage!P112</f>
        <v>13</v>
      </c>
      <c r="X112" s="5">
        <f>Coverage!Q112</f>
        <v>1</v>
      </c>
      <c r="Y112" s="4">
        <f>Coverage!R112</f>
        <v>70.2153846153846</v>
      </c>
      <c r="Z112" s="2" t="inlineStr">
        <is>
          <t>Repository marked assessable in register</t>
        </is>
      </c>
      <c r="AA112" s="2" t="inlineStr">
        <is>
          <t>No missing metric inputs flagged by pipeline availability checks</t>
        </is>
      </c>
    </row>
    <row r="113">
      <c r="A113" s="2" t="inlineStr">
        <is>
          <t>C4-112</t>
        </is>
      </c>
      <c r="B113" s="2" t="inlineStr">
        <is>
          <t>Zotero</t>
        </is>
      </c>
      <c r="C113" s="2" t="inlineStr">
        <is>
          <t>software</t>
        </is>
      </c>
      <c r="D113" s="2" t="inlineStr">
        <is>
          <t>Ready</t>
        </is>
      </c>
      <c r="E113" s="2" t="inlineStr">
        <is>
          <t>zotero/zotero</t>
        </is>
      </c>
      <c r="F113" s="2" t="inlineStr">
        <is>
          <t>complete</t>
        </is>
      </c>
      <c r="G113" s="2" t="inlineStr">
        <is>
          <t>complete</t>
        </is>
      </c>
      <c r="H113" s="4">
        <f>Calc!H113</f>
        <v>100</v>
      </c>
      <c r="I113" s="4">
        <f>Calc!I113</f>
        <v>98.08</v>
      </c>
      <c r="J113" s="4">
        <f>Calc!J113</f>
        <v>100</v>
      </c>
      <c r="K113" s="4">
        <f>Calc!K113</f>
        <v>100</v>
      </c>
      <c r="L113" s="4">
        <f>Calc!L113</f>
        <v>87.85</v>
      </c>
      <c r="M113" s="4">
        <f>Calc!M113</f>
        <v>33.57</v>
      </c>
      <c r="N113" s="4">
        <f>Calc!N113</f>
        <v>100</v>
      </c>
      <c r="O113" s="4">
        <f>Calc!O113</f>
        <v>71.15</v>
      </c>
      <c r="P113" s="4">
        <f>Calc!P113</f>
        <v>68.38</v>
      </c>
      <c r="Q113" s="4">
        <f>Calc!Q113</f>
        <v>63.55</v>
      </c>
      <c r="R113" s="4">
        <f>Calc!R113</f>
        <v>72.2</v>
      </c>
      <c r="S113" s="4">
        <f>Calc!S113</f>
        <v>100</v>
      </c>
      <c r="T113" s="4">
        <f>Calc!T113</f>
        <v>100</v>
      </c>
      <c r="U113" s="4">
        <f>AVERAGE(H113:T113)</f>
        <v>84.2138461538461</v>
      </c>
      <c r="V113" s="4">
        <f>RANK(U113,$U$2:$U$113,0)+(COUNTIF($U$2:$U$113,U113)-1)/2</f>
        <v>4</v>
      </c>
      <c r="W113" s="2">
        <f>Coverage!P113</f>
        <v>13</v>
      </c>
      <c r="X113" s="5">
        <f>Coverage!Q113</f>
        <v>1</v>
      </c>
      <c r="Y113" s="4">
        <f>Coverage!R113</f>
        <v>84.2138461538461</v>
      </c>
      <c r="Z113" s="2" t="inlineStr">
        <is>
          <t>Repository marked assessable in register</t>
        </is>
      </c>
      <c r="AA113" s="2" t="inlineStr">
        <is>
          <t>No missing metric inputs flagged by pipeline availability checks</t>
        </is>
      </c>
    </row>
  </sheetData>
  <autoFilter ref="A1:AA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A3D3D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52" customWidth="1" min="4" max="4"/>
    <col width="16" customWidth="1" style="9" min="5" max="5"/>
    <col width="18" customWidth="1" min="6" max="6"/>
    <col width="75" customWidth="1" min="7" max="7"/>
    <col width="90" customWidth="1" min="8" max="8"/>
    <col width="95" customWidth="1" min="9" max="9"/>
    <col width="85" customWidth="1" min="10" max="10"/>
  </cols>
  <sheetData>
    <row r="1" ht="34" customHeight="1">
      <c r="A1" s="1" t="inlineStr">
        <is>
          <t>Code</t>
        </is>
      </c>
      <c r="B1" s="1" t="inlineStr">
        <is>
          <t>Metric</t>
        </is>
      </c>
      <c r="C1" s="1" t="inlineStr">
        <is>
          <t>Dimension label</t>
        </is>
      </c>
      <c r="D1" s="1" t="inlineStr">
        <is>
          <t>Source field</t>
        </is>
      </c>
      <c r="E1" s="1" t="inlineStr">
        <is>
          <t>Exact weight</t>
        </is>
      </c>
      <c r="F1" s="1" t="inlineStr">
        <is>
          <t>Displayed weight</t>
        </is>
      </c>
      <c r="G1" s="1" t="inlineStr">
        <is>
          <t>Definition</t>
        </is>
      </c>
      <c r="H1" s="1" t="inlineStr">
        <is>
          <t>Scoring rule</t>
        </is>
      </c>
      <c r="I1" s="1" t="inlineStr">
        <is>
          <t>Unavailable-data rule</t>
        </is>
      </c>
      <c r="J1" s="1" t="inlineStr">
        <is>
          <t>Why included / interpretation</t>
        </is>
      </c>
    </row>
    <row r="2">
      <c r="A2" s="2" t="inlineStr">
        <is>
          <t>m1_commits</t>
        </is>
      </c>
      <c r="B2" s="2" t="inlineStr">
        <is>
          <t>Human commits</t>
        </is>
      </c>
      <c r="C2" s="2" t="inlineStr">
        <is>
          <t>Continuity</t>
        </is>
      </c>
      <c r="D2" s="2" t="inlineStr">
        <is>
          <t>git_metrics.csv::human_commits</t>
        </is>
      </c>
      <c r="E2" s="3" t="n">
        <v>0.07692307692307693</v>
      </c>
      <c r="F2" s="2" t="inlineStr">
        <is>
          <t>7.69%</t>
        </is>
      </c>
      <c r="G2" s="2" t="inlineStr">
        <is>
          <t>Non-merge, non-bot commits during the window.</t>
        </is>
      </c>
      <c r="H2" s="2" t="inlineStr">
        <is>
          <t>100 * min(1, log10(1+c) / log10(1001)); 1,000 or more commits = 100.</t>
        </is>
      </c>
      <c r="I2" s="2" t="inlineStr">
        <is>
          <t>Scores 0 in the fixed-denominator final score; not counted as observed coverage. A valid observed zero remains observed.</t>
        </is>
      </c>
      <c r="J2" s="2" t="inlineStr">
        <is>
          <t>Measures recorded development volume. Log scaling limits domination by very large repositories.</t>
        </is>
      </c>
    </row>
    <row r="3">
      <c r="A3" s="2" t="inlineStr">
        <is>
          <t>m2_active_weeks</t>
        </is>
      </c>
      <c r="B3" s="2" t="inlineStr">
        <is>
          <t>Active weeks</t>
        </is>
      </c>
      <c r="C3" s="2" t="inlineStr">
        <is>
          <t>Continuity</t>
        </is>
      </c>
      <c r="D3" s="2" t="inlineStr">
        <is>
          <t>git_metrics.csv::active_weeks</t>
        </is>
      </c>
      <c r="E3" s="3" t="n">
        <v>0.07692307692307693</v>
      </c>
      <c r="F3" s="2" t="inlineStr">
        <is>
          <t>7.69%</t>
        </is>
      </c>
      <c r="G3" s="2" t="inlineStr">
        <is>
          <t>Distinct weeks, out of 52, with at least one human non-merge commit.</t>
        </is>
      </c>
      <c r="H3" s="2" t="inlineStr">
        <is>
          <t>100 * active_weeks / 52.</t>
        </is>
      </c>
      <c r="I3" s="2" t="inlineStr">
        <is>
          <t>Scores 0 in the fixed-denominator final score; not counted as observed coverage. A valid observed zero remains observed.</t>
        </is>
      </c>
      <c r="J3" s="2" t="inlineStr">
        <is>
          <t>Measures temporal spread of work rather than total volume.</t>
        </is>
      </c>
    </row>
    <row r="4">
      <c r="A4" s="2" t="inlineStr">
        <is>
          <t>m3_recency</t>
        </is>
      </c>
      <c r="B4" s="2" t="inlineStr">
        <is>
          <t>Commit recency</t>
        </is>
      </c>
      <c r="C4" s="2" t="inlineStr">
        <is>
          <t>Continuity</t>
        </is>
      </c>
      <c r="D4" s="2" t="inlineStr">
        <is>
          <t>git_metrics.csv::days_since_last</t>
        </is>
      </c>
      <c r="E4" s="3" t="n">
        <v>0.07692307692307693</v>
      </c>
      <c r="F4" s="2" t="inlineStr">
        <is>
          <t>7.69%</t>
        </is>
      </c>
      <c r="G4" s="2" t="inlineStr">
        <is>
          <t>Days from the latest human non-merge commit in the window to the cutoff.</t>
        </is>
      </c>
      <c r="H4" s="2" t="inlineStr">
        <is>
          <t>100 if d &lt;= 30; otherwise max(0, 100 * (365-d)/335). No activity in a complete Git extract = 0.</t>
        </is>
      </c>
      <c r="I4" s="2" t="inlineStr">
        <is>
          <t>Scores 0 in the fixed-denominator final score; not counted as observed coverage. A valid observed zero remains observed.</t>
        </is>
      </c>
      <c r="J4" s="2" t="inlineStr">
        <is>
          <t>Distinguishes recent recorded development from activity that ended earlier in the window.</t>
        </is>
      </c>
    </row>
    <row r="5">
      <c r="A5" s="2" t="inlineStr">
        <is>
          <t>m4_releases</t>
        </is>
      </c>
      <c r="B5" s="2" t="inlineStr">
        <is>
          <t>Release activity</t>
        </is>
      </c>
      <c r="C5" s="2" t="inlineStr">
        <is>
          <t>Continuity</t>
        </is>
      </c>
      <c r="D5" s="2" t="inlineStr">
        <is>
          <t>git_metrics.csv::tags_in_window</t>
        </is>
      </c>
      <c r="E5" s="3" t="n">
        <v>0.07692307692307693</v>
      </c>
      <c r="F5" s="2" t="inlineStr">
        <is>
          <t>7.69%</t>
        </is>
      </c>
      <c r="G5" s="2" t="inlineStr">
        <is>
          <t>Number of Git tags created during the window; tags are a proxy for releases.</t>
        </is>
      </c>
      <c r="H5" s="2" t="inlineStr">
        <is>
          <t>0 tags = 0; 1 = 50; 2-3 = 75; 4+ = 100.</t>
        </is>
      </c>
      <c r="I5" s="2" t="inlineStr">
        <is>
          <t>Scores 0 in the fixed-denominator final score; not counted as observed coverage. A valid observed zero remains observed.</t>
        </is>
      </c>
      <c r="J5" s="2" t="inlineStr">
        <is>
          <t>Captures versioned outputs; projects that release without Git tags may be undercounted.</t>
        </is>
      </c>
    </row>
    <row r="6">
      <c r="A6" s="2" t="inlineStr">
        <is>
          <t>m5_contributors</t>
        </is>
      </c>
      <c r="B6" s="2" t="inlineStr">
        <is>
          <t>Active contributors</t>
        </is>
      </c>
      <c r="C6" s="2" t="inlineStr">
        <is>
          <t>Contributors</t>
        </is>
      </c>
      <c r="D6" s="2" t="inlineStr">
        <is>
          <t>git_metrics.csv::contributors</t>
        </is>
      </c>
      <c r="E6" s="3" t="n">
        <v>0.07692307692307693</v>
      </c>
      <c r="F6" s="2" t="inlineStr">
        <is>
          <t>7.69%</t>
        </is>
      </c>
      <c r="G6" s="2" t="inlineStr">
        <is>
          <t>Resolved human identities with at least one non-merge commit in the window.</t>
        </is>
      </c>
      <c r="H6" s="2" t="inlineStr">
        <is>
          <t>0-1 contributors = 0; otherwise 100 * min(1, log2(n)/5); 32+ = 100.</t>
        </is>
      </c>
      <c r="I6" s="2" t="inlineStr">
        <is>
          <t>Scores 0 in the fixed-denominator final score; not counted as observed coverage. A valid observed zero remains observed.</t>
        </is>
      </c>
      <c r="J6" s="2" t="inlineStr">
        <is>
          <t>Measures breadth of human participation, beyond commit volume alone.</t>
        </is>
      </c>
    </row>
    <row r="7">
      <c r="A7" s="2" t="inlineStr">
        <is>
          <t>m6_effective_contributors</t>
        </is>
      </c>
      <c r="B7" s="2" t="inlineStr">
        <is>
          <t>Effective contributors</t>
        </is>
      </c>
      <c r="C7" s="2" t="inlineStr">
        <is>
          <t>Contributors</t>
        </is>
      </c>
      <c r="D7" s="2" t="inlineStr">
        <is>
          <t>git_metrics.csv::eff_contributors</t>
        </is>
      </c>
      <c r="E7" s="3" t="n">
        <v>0.07692307692307693</v>
      </c>
      <c r="F7" s="2" t="inlineStr">
        <is>
          <t>7.69%</t>
        </is>
      </c>
      <c r="G7" s="2" t="inlineStr">
        <is>
          <t>Inverse concentration of human commit shares: E = 1 / sum(p_i^2).</t>
        </is>
      </c>
      <c r="H7" s="2" t="inlineStr">
        <is>
          <t>0 if E &lt;= 1; otherwise 100 * min(1, log2(E)/3); E &gt;= 8 = 100.</t>
        </is>
      </c>
      <c r="I7" s="2" t="inlineStr">
        <is>
          <t>Scores 0 in the fixed-denominator final score; not counted as observed coverage. A valid observed zero remains observed.</t>
        </is>
      </c>
      <c r="J7" s="2" t="inlineStr">
        <is>
          <t>Adjusts contributor count for whether work is concentrated in a small number of people.</t>
        </is>
      </c>
    </row>
    <row r="8">
      <c r="A8" s="2" t="inlineStr">
        <is>
          <t>m7_retention</t>
        </is>
      </c>
      <c r="B8" s="2" t="inlineStr">
        <is>
          <t>Contributor retention</t>
        </is>
      </c>
      <c r="C8" s="2" t="inlineStr">
        <is>
          <t>Contributors</t>
        </is>
      </c>
      <c r="D8" s="2" t="inlineStr">
        <is>
          <t>git_metrics.csv::retained</t>
        </is>
      </c>
      <c r="E8" s="3" t="n">
        <v>0.07692307692307693</v>
      </c>
      <c r="F8" s="2" t="inlineStr">
        <is>
          <t>7.69%</t>
        </is>
      </c>
      <c r="G8" s="2" t="inlineStr">
        <is>
          <t>Number of contributors active in both halves of the observation window.</t>
        </is>
      </c>
      <c r="H8" s="2" t="inlineStr">
        <is>
          <t>0 = 0; 1 = 25; 2 = 50; 3-4 = 75; 5+ = 100.</t>
        </is>
      </c>
      <c r="I8" s="2" t="inlineStr">
        <is>
          <t>Scores 0 in the fixed-denominator final score; not counted as observed coverage. A valid observed zero remains observed.</t>
        </is>
      </c>
      <c r="J8" s="2" t="inlineStr">
        <is>
          <t>Captures continued participation across the year rather than one-time contribution.</t>
        </is>
      </c>
    </row>
    <row r="9">
      <c r="A9" s="2" t="inlineStr">
        <is>
          <t>m8_issue_response</t>
        </is>
      </c>
      <c r="B9" s="2" t="inlineStr">
        <is>
          <t>Issue response within 14 days</t>
        </is>
      </c>
      <c r="C9" s="2" t="inlineStr">
        <is>
          <t>Responsiveness</t>
        </is>
      </c>
      <c r="D9" s="2" t="inlineStr">
        <is>
          <t>gh_metrics.csv::m8_issue_response_rate; manual_metrics.csv override</t>
        </is>
      </c>
      <c r="E9" s="3" t="n">
        <v>0.07692307692307693</v>
      </c>
      <c r="F9" s="2" t="inlineStr">
        <is>
          <t>7.69%</t>
        </is>
      </c>
      <c r="G9" s="2" t="inlineStr">
        <is>
          <t>Share of eligible issues receiving a qualifying response within 14 days.</t>
        </is>
      </c>
      <c r="H9" s="2" t="inlineStr">
        <is>
          <t>100 * response rate; at least 10 eligible issues required for an observed rate.</t>
        </is>
      </c>
      <c r="I9" s="2" t="inlineStr">
        <is>
          <t>Scores 0 in the fixed-denominator final score; not counted as observed coverage. A valid observed zero remains observed. Rate is unavailable below n &gt;= 10; that does not exclude the infrastructure from scoring.</t>
        </is>
      </c>
      <c r="J9" s="2" t="inlineStr">
        <is>
          <t>Measures timely handling of reported issues. A response is not the same as resolution.</t>
        </is>
      </c>
    </row>
    <row r="10">
      <c r="A10" s="2" t="inlineStr">
        <is>
          <t>m9_pr_response</t>
        </is>
      </c>
      <c r="B10" s="2" t="inlineStr">
        <is>
          <t>PR response within 7 days</t>
        </is>
      </c>
      <c r="C10" s="2" t="inlineStr">
        <is>
          <t>Responsiveness</t>
        </is>
      </c>
      <c r="D10" s="2" t="inlineStr">
        <is>
          <t>gh_metrics.csv::m9_pr_response_rate</t>
        </is>
      </c>
      <c r="E10" s="3" t="n">
        <v>0.07692307692307693</v>
      </c>
      <c r="F10" s="2" t="inlineStr">
        <is>
          <t>7.69%</t>
        </is>
      </c>
      <c r="G10" s="2" t="inlineStr">
        <is>
          <t>Share of eligible non-bot pull requests receiving a qualifying response within 7 days.</t>
        </is>
      </c>
      <c r="H10" s="2" t="inlineStr">
        <is>
          <t>100 * response rate; at least 10 eligible PRs required for an observed rate.</t>
        </is>
      </c>
      <c r="I10" s="2" t="inlineStr">
        <is>
          <t>Scores 0 in the fixed-denominator final score; not counted as observed coverage. A valid observed zero remains observed. Rate is unavailable below n &gt;= 10; that does not exclude the infrastructure from scoring.</t>
        </is>
      </c>
      <c r="J10" s="2" t="inlineStr">
        <is>
          <t>Measures timely engagement with proposed contributions.</t>
        </is>
      </c>
    </row>
    <row r="11">
      <c r="A11" s="2" t="inlineStr">
        <is>
          <t>m10_issue_close90</t>
        </is>
      </c>
      <c r="B11" s="2" t="inlineStr">
        <is>
          <t>Issue closure within 90 days</t>
        </is>
      </c>
      <c r="C11" s="2" t="inlineStr">
        <is>
          <t>Responsiveness</t>
        </is>
      </c>
      <c r="D11" s="2" t="inlineStr">
        <is>
          <t>gh_metrics.csv::m10_issue_close90_rate; manual_metrics.csv override</t>
        </is>
      </c>
      <c r="E11" s="3" t="n">
        <v>0.07692307692307693</v>
      </c>
      <c r="F11" s="2" t="inlineStr">
        <is>
          <t>7.69%</t>
        </is>
      </c>
      <c r="G11" s="2" t="inlineStr">
        <is>
          <t>Share of eligible human-authored issues closed within 90 days.</t>
        </is>
      </c>
      <c r="H11" s="2" t="inlineStr">
        <is>
          <t>100 * closure rate; at least 10 eligible issues required for an observed rate.</t>
        </is>
      </c>
      <c r="I11" s="2" t="inlineStr">
        <is>
          <t>Scores 0 in the fixed-denominator final score; not counted as observed coverage. A valid observed zero remains observed. Rate is unavailable below n &gt;= 10; that does not exclude the infrastructure from scoring.</t>
        </is>
      </c>
      <c r="J11" s="2" t="inlineStr">
        <is>
          <t>Measures follow-through on issues, distinct from an initial response.</t>
        </is>
      </c>
    </row>
    <row r="12">
      <c r="A12" s="2" t="inlineStr">
        <is>
          <t>m11_pr_decision30</t>
        </is>
      </c>
      <c r="B12" s="2" t="inlineStr">
        <is>
          <t>PR decision within 30 days</t>
        </is>
      </c>
      <c r="C12" s="2" t="inlineStr">
        <is>
          <t>Responsiveness</t>
        </is>
      </c>
      <c r="D12" s="2" t="inlineStr">
        <is>
          <t>gh_metrics.csv::m11_pr_decision30_rate</t>
        </is>
      </c>
      <c r="E12" s="3" t="n">
        <v>0.07692307692307693</v>
      </c>
      <c r="F12" s="2" t="inlineStr">
        <is>
          <t>7.69%</t>
        </is>
      </c>
      <c r="G12" s="2" t="inlineStr">
        <is>
          <t>Share of eligible non-bot PRs merged or closed within 30 days.</t>
        </is>
      </c>
      <c r="H12" s="2" t="inlineStr">
        <is>
          <t>100 * decision rate; at least 10 eligible PRs required for an observed rate.</t>
        </is>
      </c>
      <c r="I12" s="2" t="inlineStr">
        <is>
          <t>Scores 0 in the fixed-denominator final score; not counted as observed coverage. A valid observed zero remains observed. Rate is unavailable below n &gt;= 10; that does not exclude the infrastructure from scoring.</t>
        </is>
      </c>
      <c r="J12" s="2" t="inlineStr">
        <is>
          <t>Measures whether proposed changes reach a decision, not only an initial response.</t>
        </is>
      </c>
    </row>
    <row r="13">
      <c r="A13" s="2" t="inlineStr">
        <is>
          <t>m12_stars</t>
        </is>
      </c>
      <c r="B13" s="2" t="inlineStr">
        <is>
          <t>Stars gained</t>
        </is>
      </c>
      <c r="C13" s="2" t="inlineStr">
        <is>
          <t>Adoption</t>
        </is>
      </c>
      <c r="D13" s="2" t="inlineStr">
        <is>
          <t>gh_metrics.csv::m12_stars_gained</t>
        </is>
      </c>
      <c r="E13" s="3" t="n">
        <v>0.07692307692307693</v>
      </c>
      <c r="F13" s="2" t="inlineStr">
        <is>
          <t>7.69%</t>
        </is>
      </c>
      <c r="G13" s="2" t="inlineStr">
        <is>
          <t>New GitHub stars recorded inside the window.</t>
        </is>
      </c>
      <c r="H13" s="2" t="inlineStr">
        <is>
          <t>100 * min(1, log10(1+stars)/3); 999+ = 100.</t>
        </is>
      </c>
      <c r="I13" s="2" t="inlineStr">
        <is>
          <t>Scores 0 in the fixed-denominator final score; not counted as observed coverage. A valid observed zero remains observed.</t>
        </is>
      </c>
      <c r="J13" s="2" t="inlineStr">
        <is>
          <t>A window-specific attention/adoption signal, not a direct quality measure; GitHub-only coverage.</t>
        </is>
      </c>
    </row>
    <row r="14">
      <c r="A14" s="2" t="inlineStr">
        <is>
          <t>m13_forks</t>
        </is>
      </c>
      <c r="B14" s="2" t="inlineStr">
        <is>
          <t>Forks created</t>
        </is>
      </c>
      <c r="C14" s="2" t="inlineStr">
        <is>
          <t>Adoption</t>
        </is>
      </c>
      <c r="D14" s="2" t="inlineStr">
        <is>
          <t>gh_metrics.csv::m13_forks_created</t>
        </is>
      </c>
      <c r="E14" s="3" t="n">
        <v>0.07692307692307693</v>
      </c>
      <c r="F14" s="2" t="inlineStr">
        <is>
          <t>7.69%</t>
        </is>
      </c>
      <c r="G14" s="2" t="inlineStr">
        <is>
          <t>GitHub forks created inside the window.</t>
        </is>
      </c>
      <c r="H14" s="2" t="inlineStr">
        <is>
          <t>100 * min(1, log10(1+forks)/2); 99+ = 100.</t>
        </is>
      </c>
      <c r="I14" s="2" t="inlineStr">
        <is>
          <t>Scores 0 in the fixed-denominator final score; not counted as observed coverage. A valid observed zero remains observed.</t>
        </is>
      </c>
      <c r="J14" s="2" t="inlineStr">
        <is>
          <t>A possible code-reuse signal distinct from stars, but correlated with them and GitHub-specific.</t>
        </is>
      </c>
    </row>
    <row r="15">
      <c r="A15" s="2" t="inlineStr">
        <is>
          <t>TOTAL</t>
        </is>
      </c>
      <c r="B15" s="2" t="inlineStr"/>
      <c r="C15" s="2" t="inlineStr"/>
      <c r="D15" s="2" t="inlineStr"/>
      <c r="E15" s="2" t="n">
        <v>1</v>
      </c>
      <c r="F15" s="2" t="inlineStr">
        <is>
          <t>100.00%</t>
        </is>
      </c>
      <c r="G15" s="2" t="inlineStr"/>
      <c r="H15" s="2" t="inlineStr">
        <is>
          <t>All 13 normalized metric scores averaged with a fixed denominator of 13.</t>
        </is>
      </c>
      <c r="I15" s="2" t="inlineStr">
        <is>
          <t>No overall coverage or eligibility threshold.</t>
        </is>
      </c>
      <c r="J15" s="2" t="inlineStr">
        <is>
          <t>Equal metric weighting, not equal dimension weighting.</t>
        </is>
      </c>
    </row>
  </sheetData>
  <autoFilter ref="A1:J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15B70"/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5" customWidth="1" min="2" max="2"/>
  </cols>
  <sheetData>
    <row r="1" ht="34" customHeight="1">
      <c r="A1" s="1" t="inlineStr">
        <is>
          <t>Methodology and interpretation</t>
        </is>
      </c>
      <c r="B1" s="1" t="inlineStr">
        <is>
          <t>Details</t>
        </is>
      </c>
    </row>
    <row r="2">
      <c r="A2" s="2" t="inlineStr">
        <is>
          <t>Purpose</t>
        </is>
      </c>
      <c r="B2" s="2" t="inlineStr">
        <is>
          <t>Summarize recorded software-development activity and repository-level interaction/adoption signals for the OISI Development Activity component.</t>
        </is>
      </c>
    </row>
    <row r="3">
      <c r="A3" s="2" t="inlineStr">
        <is>
          <t>Metric set</t>
        </is>
      </c>
      <c r="B3" s="2" t="inlineStr">
        <is>
          <t>The 13 established indicators m1-m13 are retained; no new metric is introduced in this workbook.</t>
        </is>
      </c>
    </row>
    <row r="4">
      <c r="A4" s="2" t="inlineStr">
        <is>
          <t>Equal weighting</t>
        </is>
      </c>
      <c r="B4" s="2" t="inlineStr">
        <is>
          <t>Each metric contributes exactly 1/13 = 7.6923% (display 7.69%). This is an explicit transparent choice, not an empirical estimate of causal importance.</t>
        </is>
      </c>
    </row>
    <row r="5">
      <c r="A5" s="2" t="inlineStr">
        <is>
          <t>Dimension labels</t>
        </is>
      </c>
      <c r="B5" s="2" t="inlineStr">
        <is>
          <t>Dimensions are descriptive only. Equal metric weights imply Continuity=4/13 (30.77%), Contributors=3/13 (23.08%), Responsiveness=4/13 (30.77%), Adoption=2/13 (15.38%). They are not separately reweighted.</t>
        </is>
      </c>
    </row>
    <row r="6">
      <c r="A6" s="2" t="inlineStr">
        <is>
          <t>Final formula</t>
        </is>
      </c>
      <c r="B6" s="2" t="inlineStr">
        <is>
          <t>Development Activity Score = (m1 + m2 + ... + m13) / 13, where every metric is normalized to 0-100 before averaging.</t>
        </is>
      </c>
    </row>
    <row r="7">
      <c r="A7" s="2" t="inlineStr">
        <is>
          <t>Missing data</t>
        </is>
      </c>
      <c r="B7" s="2" t="inlineStr">
        <is>
          <t>Unknown, unavailable, unsupported-platform, failed extraction, or insufficient sample-size values score 0 in the final score. The denominator remains 13 for every entry.</t>
        </is>
      </c>
    </row>
    <row r="8">
      <c r="A8" s="2" t="inlineStr">
        <is>
          <t>No coverage gate</t>
        </is>
      </c>
      <c r="B8" s="2" t="inlineStr">
        <is>
          <t>No minimum observed-metric count, weight-coverage threshold, or dimension eligibility threshold is applied. Every one of the 112 register entries receives a numeric zero-filled result.</t>
        </is>
      </c>
    </row>
    <row r="9">
      <c r="A9" s="2" t="inlineStr">
        <is>
          <t>Metric-level sample rule</t>
        </is>
      </c>
      <c r="B9" s="2" t="inlineStr">
        <is>
          <t>Responsiveness rates m8-m11 retain the pipeline's minimum of 10 eligible records to avoid highly unstable rates. Below that sample, the metric is unavailable and contributes 0; the infrastructure still receives a score.</t>
        </is>
      </c>
    </row>
    <row r="10">
      <c r="A10" s="2" t="inlineStr">
        <is>
          <t>Observed coverage</t>
        </is>
      </c>
      <c r="B10" s="2" t="inlineStr">
        <is>
          <t>Available metric count / 13. A valid measured zero counts as observed; unavailable values are not observed. Coverage is descriptive only and never gates the score.</t>
        </is>
      </c>
    </row>
    <row r="11">
      <c r="A11" s="2" t="inlineStr">
        <is>
          <t>Observed-only mean</t>
        </is>
      </c>
      <c r="B11" s="2" t="inlineStr">
        <is>
          <t>Mean of available metric scores for that entry. It is reported as a diagnostic with a variable denominator and is not the final score or ranking.</t>
        </is>
      </c>
    </row>
    <row r="12">
      <c r="A12" s="2" t="inlineStr">
        <is>
          <t>Assessability status</t>
        </is>
      </c>
      <c r="B12" s="2" t="inlineStr">
        <is>
          <t>Ten entries are marked scored=no in the current repository register (non-assessable, standards, or unresolved repository choice). They still receive numeric 0 under the requested fixed-denominator zero-fill rule, but remain visibly flagged and should not be interpreted as measured low activity or compared as ordinary software repositories.</t>
        </is>
      </c>
    </row>
    <row r="13">
      <c r="A13" s="2" t="inlineStr">
        <is>
          <t>Data provenance</t>
        </is>
      </c>
      <c r="B13" s="2" t="inlineStr">
        <is>
          <t>Scores are recalculated from current repos.csv, git_metrics.csv, gh_metrics.csv, and manual_metrics.csv, joined by oisi_id. The older weighted scores.csv and its 75%/dimension eligibility rule are not used for the new score.</t>
        </is>
      </c>
    </row>
    <row r="14">
      <c r="A14" s="2" t="inlineStr">
        <is>
          <t>Observation window</t>
        </is>
      </c>
      <c r="B14" s="2" t="inlineStr">
        <is>
          <t>2025-10-01 00:00 UTC inclusive to 2026-10-01 00:00 UTC exclusive.</t>
        </is>
      </c>
    </row>
    <row r="15">
      <c r="A15" s="2" t="inlineStr">
        <is>
          <t>Common Git rules</t>
        </is>
      </c>
      <c r="B15" s="2" t="inlineStr">
        <is>
          <t>Default branch unless overridden; author date; non-merge commits for authorship metrics; bots filtered using shared rules; identities resolved within repository/product set using the documented pipeline rules.</t>
        </is>
      </c>
    </row>
    <row r="16">
      <c r="A16" s="2" t="inlineStr">
        <is>
          <t>Responsiveness events</t>
        </is>
      </c>
      <c r="B16" s="2" t="inlineStr">
        <is>
          <t>Issue response counts qualifying non-author/non-bot comments, labels, assignments, or closes. PR response counts qualifying comments/reviews and non-author merges/closes. Full follow-up windows are required.</t>
        </is>
      </c>
    </row>
    <row r="17">
      <c r="A17" s="2" t="inlineStr">
        <is>
          <t>Correlation caution</t>
        </is>
      </c>
      <c r="B17" s="2" t="inlineStr">
        <is>
          <t>The current pairwise results show strong associations (e.g., commits-active weeks rho=.92; contributor count-effective contributors rho=.919; stars-forks rho=.852). Equal metric weights therefore do not imply independent constructs; the Correlations sheet is diagnostic.</t>
        </is>
      </c>
    </row>
    <row r="18">
      <c r="A18" s="2" t="inlineStr">
        <is>
          <t>Sensitivity</t>
        </is>
      </c>
      <c r="B18" s="2" t="inlineStr">
        <is>
          <t>The workbook compares the fixed-denominator baseline with observed-only averaging and 13 leave-one-metric-out variants. These are robustness diagnostics, not alternative primary scores.</t>
        </is>
      </c>
    </row>
    <row r="19">
      <c r="A19" s="2" t="inlineStr">
        <is>
          <t>Selection / measurement caveat</t>
        </is>
      </c>
      <c r="B19" s="2" t="inlineStr">
        <is>
          <t>GitHub-derived responsiveness, stars, and forks do not cover every tracker/platform equally. Manual metric fields are currently blank. Zero-filling therefore combines observed performance with data availability and platform coverage.</t>
        </is>
      </c>
    </row>
    <row r="20">
      <c r="A20" s="2" t="inlineStr">
        <is>
          <t>Interpretation</t>
        </is>
      </c>
      <c r="B20" s="2" t="inlineStr">
        <is>
          <t>The score summarizes these operational indicators only. It is not a direct measure of software quality, impact, security, user satisfaction, or long-term sustainability.</t>
        </is>
      </c>
    </row>
  </sheetData>
  <autoFilter ref="A1:B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A3D3D"/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92" customWidth="1" min="3" max="3"/>
  </cols>
  <sheetData>
    <row r="1" ht="34" customHeight="1">
      <c r="A1" s="1" t="inlineStr">
        <is>
          <t>Parameter</t>
        </is>
      </c>
      <c r="B1" s="1" t="inlineStr">
        <is>
          <t>Value</t>
        </is>
      </c>
      <c r="C1" s="1" t="inlineStr">
        <is>
          <t>Explanation</t>
        </is>
      </c>
    </row>
    <row r="2">
      <c r="A2" s="2" t="inlineStr">
        <is>
          <t>Number of metrics</t>
        </is>
      </c>
      <c r="B2" s="2" t="n">
        <v>13</v>
      </c>
      <c r="C2" s="2" t="inlineStr">
        <is>
          <t>m1 through m13</t>
        </is>
      </c>
    </row>
    <row r="3">
      <c r="A3" s="2" t="inlineStr">
        <is>
          <t>Exact metric weight</t>
        </is>
      </c>
      <c r="B3" s="2" t="n">
        <v>0.07692307692307693</v>
      </c>
      <c r="C3" s="2" t="inlineStr">
        <is>
          <t>Each metric contributes exactly 1/13; exact weights sum to 100%.</t>
        </is>
      </c>
    </row>
    <row r="4">
      <c r="A4" s="2" t="inlineStr">
        <is>
          <t>Displayed metric weight</t>
        </is>
      </c>
      <c r="B4" s="2" t="inlineStr">
        <is>
          <t>7.69%</t>
        </is>
      </c>
      <c r="C4" s="2" t="inlineStr">
        <is>
          <t>Rounded presentation of 7.6923%.</t>
        </is>
      </c>
    </row>
    <row r="5">
      <c r="A5" s="2" t="inlineStr">
        <is>
          <t>Final score denominator</t>
        </is>
      </c>
      <c r="B5" s="2" t="n">
        <v>13</v>
      </c>
      <c r="C5" s="2" t="inlineStr">
        <is>
          <t>Fixed for every entry, including entries with missing fields.</t>
        </is>
      </c>
    </row>
    <row r="6">
      <c r="A6" s="2" t="inlineStr">
        <is>
          <t>Overall coverage eligibility threshold</t>
        </is>
      </c>
      <c r="B6" s="2" t="inlineStr">
        <is>
          <t>None</t>
        </is>
      </c>
      <c r="C6" s="2" t="inlineStr">
        <is>
          <t>No entry is excluded for low observed coverage.</t>
        </is>
      </c>
    </row>
    <row r="7">
      <c r="A7" s="2" t="inlineStr">
        <is>
          <t>Unavailable-data treatment</t>
        </is>
      </c>
      <c r="B7" s="2" t="n">
        <v>0</v>
      </c>
      <c r="C7" s="2" t="inlineStr">
        <is>
          <t>Unavailable or insufficient-sample metrics score zero in the final composite.</t>
        </is>
      </c>
    </row>
    <row r="8">
      <c r="A8" s="2" t="inlineStr">
        <is>
          <t>Observed coverage denominator</t>
        </is>
      </c>
      <c r="B8" s="2" t="n">
        <v>13</v>
      </c>
      <c r="C8" s="2" t="inlineStr">
        <is>
          <t>Available metric count / 13; diagnostic only.</t>
        </is>
      </c>
    </row>
    <row r="9">
      <c r="A9" s="2" t="inlineStr">
        <is>
          <t>Responsiveness minimum sample</t>
        </is>
      </c>
      <c r="B9" s="2" t="n">
        <v>10</v>
      </c>
      <c r="C9" s="2" t="inlineStr">
        <is>
          <t>Minimum eligible n for m8-m11 rates. Under-threshold indicators score zero; entry remains scored.</t>
        </is>
      </c>
    </row>
    <row r="10">
      <c r="A10" s="2" t="inlineStr">
        <is>
          <t>Observation window start</t>
        </is>
      </c>
      <c r="B10" s="2" t="inlineStr">
        <is>
          <t>2025-10-01T00:00:00+00:00</t>
        </is>
      </c>
      <c r="C10" s="2" t="inlineStr">
        <is>
          <t>UTC inclusive.</t>
        </is>
      </c>
    </row>
    <row r="11">
      <c r="A11" s="2" t="inlineStr">
        <is>
          <t>Observation window end</t>
        </is>
      </c>
      <c r="B11" s="2" t="inlineStr">
        <is>
          <t>2026-10-01T00:00:00+00:00</t>
        </is>
      </c>
      <c r="C11" s="2" t="inlineStr">
        <is>
          <t>UTC exclusive.</t>
        </is>
      </c>
    </row>
    <row r="12">
      <c r="A12" s="2" t="inlineStr">
        <is>
          <t>Tie ranking</t>
        </is>
      </c>
      <c r="B12" s="2" t="inlineStr">
        <is>
          <t>Average rank</t>
        </is>
      </c>
      <c r="C12" s="2" t="inlineStr">
        <is>
          <t>Tied entries receive the average of their occupied ranks.</t>
        </is>
      </c>
    </row>
  </sheetData>
  <autoFilter ref="A1:C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EF1F2"/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56" customWidth="1" min="4" max="4"/>
    <col width="15" customWidth="1" min="5" max="5"/>
    <col width="20" customWidth="1" min="6" max="6"/>
    <col width="23" customWidth="1" min="7" max="7"/>
    <col width="22" customWidth="1" min="8" max="8"/>
    <col width="23" customWidth="1" min="9" max="9"/>
    <col width="24" customWidth="1" min="10" max="10"/>
    <col width="80" customWidth="1" min="11" max="11"/>
  </cols>
  <sheetData>
    <row r="1" ht="34" customHeight="1">
      <c r="A1" s="1" t="inlineStr">
        <is>
          <t>Code</t>
        </is>
      </c>
      <c r="B1" s="1" t="inlineStr">
        <is>
          <t>Metric</t>
        </is>
      </c>
      <c r="C1" s="1" t="inlineStr">
        <is>
          <t>Dimension</t>
        </is>
      </c>
      <c r="D1" s="1" t="inlineStr">
        <is>
          <t>Source field</t>
        </is>
      </c>
      <c r="E1" s="1" t="inlineStr">
        <is>
          <t>Observed n</t>
        </is>
      </c>
      <c r="F1" s="1" t="inlineStr">
        <is>
          <t>Observed coverage</t>
        </is>
      </c>
      <c r="G1" s="1" t="inlineStr">
        <is>
          <t>Mean among observed</t>
        </is>
      </c>
      <c r="H1" s="1" t="inlineStr">
        <is>
          <t>Mean under zero-fill</t>
        </is>
      </c>
      <c r="I1" s="1" t="inlineStr">
        <is>
          <t>SD among observed</t>
        </is>
      </c>
      <c r="J1" s="1" t="inlineStr">
        <is>
          <t>% zero among observed</t>
        </is>
      </c>
      <c r="K1" s="1" t="inlineStr">
        <is>
          <t>Availability note</t>
        </is>
      </c>
    </row>
    <row r="2">
      <c r="A2" s="2" t="inlineStr">
        <is>
          <t>m1_commits</t>
        </is>
      </c>
      <c r="B2" s="2" t="inlineStr">
        <is>
          <t>Human commits</t>
        </is>
      </c>
      <c r="C2" s="2" t="inlineStr">
        <is>
          <t>Continuity</t>
        </is>
      </c>
      <c r="D2" s="2" t="inlineStr">
        <is>
          <t>git_metrics.csv::human_commits</t>
        </is>
      </c>
      <c r="E2" s="2" t="n">
        <v>101</v>
      </c>
      <c r="F2" s="5" t="n">
        <v>0.9017857142857143</v>
      </c>
      <c r="G2" s="4" t="n">
        <v>70.32217821782179</v>
      </c>
      <c r="H2" s="4" t="n">
        <v>63.41553571428572</v>
      </c>
      <c r="I2" s="4" t="n">
        <v>27.83018710083079</v>
      </c>
      <c r="J2" s="5" t="n">
        <v>0.0396039603960396</v>
      </c>
      <c r="K2" s="2" t="inlineStr">
        <is>
          <t>101 of 112 entries have a usable value.</t>
        </is>
      </c>
    </row>
    <row r="3">
      <c r="A3" s="2" t="inlineStr">
        <is>
          <t>m2_active_weeks</t>
        </is>
      </c>
      <c r="B3" s="2" t="inlineStr">
        <is>
          <t>Active weeks</t>
        </is>
      </c>
      <c r="C3" s="2" t="inlineStr">
        <is>
          <t>Continuity</t>
        </is>
      </c>
      <c r="D3" s="2" t="inlineStr">
        <is>
          <t>git_metrics.csv::active_weeks</t>
        </is>
      </c>
      <c r="E3" s="2" t="n">
        <v>101</v>
      </c>
      <c r="F3" s="5" t="n">
        <v>0.9017857142857143</v>
      </c>
      <c r="G3" s="4" t="n">
        <v>62.35722772277228</v>
      </c>
      <c r="H3" s="4" t="n">
        <v>56.23285714285714</v>
      </c>
      <c r="I3" s="4" t="n">
        <v>35.52832620053341</v>
      </c>
      <c r="J3" s="5" t="n">
        <v>0.0396039603960396</v>
      </c>
      <c r="K3" s="2" t="inlineStr">
        <is>
          <t>101 of 112 entries have a usable value.</t>
        </is>
      </c>
    </row>
    <row r="4">
      <c r="A4" s="2" t="inlineStr">
        <is>
          <t>m3_recency</t>
        </is>
      </c>
      <c r="B4" s="2" t="inlineStr">
        <is>
          <t>Commit recency</t>
        </is>
      </c>
      <c r="C4" s="2" t="inlineStr">
        <is>
          <t>Continuity</t>
        </is>
      </c>
      <c r="D4" s="2" t="inlineStr">
        <is>
          <t>git_metrics.csv::days_since_last</t>
        </is>
      </c>
      <c r="E4" s="2" t="n">
        <v>101</v>
      </c>
      <c r="F4" s="5" t="n">
        <v>0.9017857142857143</v>
      </c>
      <c r="G4" s="4" t="n">
        <v>91.25336633663366</v>
      </c>
      <c r="H4" s="4" t="n">
        <v>82.29098214285715</v>
      </c>
      <c r="I4" s="4" t="n">
        <v>24.1346274906683</v>
      </c>
      <c r="J4" s="5" t="n">
        <v>0.0396039603960396</v>
      </c>
      <c r="K4" s="2" t="inlineStr">
        <is>
          <t>101 of 112 entries have a usable value.</t>
        </is>
      </c>
    </row>
    <row r="5">
      <c r="A5" s="2" t="inlineStr">
        <is>
          <t>m4_releases</t>
        </is>
      </c>
      <c r="B5" s="2" t="inlineStr">
        <is>
          <t>Release activity</t>
        </is>
      </c>
      <c r="C5" s="2" t="inlineStr">
        <is>
          <t>Continuity</t>
        </is>
      </c>
      <c r="D5" s="2" t="inlineStr">
        <is>
          <t>git_metrics.csv::tags_in_window</t>
        </is>
      </c>
      <c r="E5" s="2" t="n">
        <v>101</v>
      </c>
      <c r="F5" s="5" t="n">
        <v>0.9017857142857143</v>
      </c>
      <c r="G5" s="4" t="n">
        <v>69.80198019801981</v>
      </c>
      <c r="H5" s="4" t="n">
        <v>62.94642857142857</v>
      </c>
      <c r="I5" s="4" t="n">
        <v>41.22457687658023</v>
      </c>
      <c r="J5" s="5" t="n">
        <v>0.2376237623762376</v>
      </c>
      <c r="K5" s="2" t="inlineStr">
        <is>
          <t>101 of 112 entries have a usable value.</t>
        </is>
      </c>
    </row>
    <row r="6">
      <c r="A6" s="2" t="inlineStr">
        <is>
          <t>m5_contributors</t>
        </is>
      </c>
      <c r="B6" s="2" t="inlineStr">
        <is>
          <t>Active contributors</t>
        </is>
      </c>
      <c r="C6" s="2" t="inlineStr">
        <is>
          <t>Contributors</t>
        </is>
      </c>
      <c r="D6" s="2" t="inlineStr">
        <is>
          <t>git_metrics.csv::contributors</t>
        </is>
      </c>
      <c r="E6" s="2" t="n">
        <v>101</v>
      </c>
      <c r="F6" s="5" t="n">
        <v>0.9017857142857143</v>
      </c>
      <c r="G6" s="4" t="n">
        <v>52.4359405940594</v>
      </c>
      <c r="H6" s="4" t="n">
        <v>47.28598214285714</v>
      </c>
      <c r="I6" s="4" t="n">
        <v>30.10714793514241</v>
      </c>
      <c r="J6" s="5" t="n">
        <v>0.1386138613861386</v>
      </c>
      <c r="K6" s="2" t="inlineStr">
        <is>
          <t>101 of 112 entries have a usable value.</t>
        </is>
      </c>
    </row>
    <row r="7">
      <c r="A7" s="2" t="inlineStr">
        <is>
          <t>m6_effective_contributors</t>
        </is>
      </c>
      <c r="B7" s="2" t="inlineStr">
        <is>
          <t>Effective contributors</t>
        </is>
      </c>
      <c r="C7" s="2" t="inlineStr">
        <is>
          <t>Contributors</t>
        </is>
      </c>
      <c r="D7" s="2" t="inlineStr">
        <is>
          <t>git_metrics.csv::eff_contributors</t>
        </is>
      </c>
      <c r="E7" s="2" t="n">
        <v>101</v>
      </c>
      <c r="F7" s="5" t="n">
        <v>0.9017857142857143</v>
      </c>
      <c r="G7" s="4" t="n">
        <v>47.33445544554456</v>
      </c>
      <c r="H7" s="4" t="n">
        <v>42.68553571428571</v>
      </c>
      <c r="I7" s="4" t="n">
        <v>32.11519530156895</v>
      </c>
      <c r="J7" s="5" t="n">
        <v>0.1386138613861386</v>
      </c>
      <c r="K7" s="2" t="inlineStr">
        <is>
          <t>101 of 112 entries have a usable value.</t>
        </is>
      </c>
    </row>
    <row r="8">
      <c r="A8" s="2" t="inlineStr">
        <is>
          <t>m7_retention</t>
        </is>
      </c>
      <c r="B8" s="2" t="inlineStr">
        <is>
          <t>Contributor retention</t>
        </is>
      </c>
      <c r="C8" s="2" t="inlineStr">
        <is>
          <t>Contributors</t>
        </is>
      </c>
      <c r="D8" s="2" t="inlineStr">
        <is>
          <t>git_metrics.csv::retained</t>
        </is>
      </c>
      <c r="E8" s="2" t="n">
        <v>101</v>
      </c>
      <c r="F8" s="5" t="n">
        <v>0.9017857142857143</v>
      </c>
      <c r="G8" s="4" t="n">
        <v>61.88118811881188</v>
      </c>
      <c r="H8" s="4" t="n">
        <v>55.80357142857143</v>
      </c>
      <c r="I8" s="4" t="n">
        <v>37.16335018009242</v>
      </c>
      <c r="J8" s="5" t="n">
        <v>0.1485148514851485</v>
      </c>
      <c r="K8" s="2" t="inlineStr">
        <is>
          <t>101 of 112 entries have a usable value.</t>
        </is>
      </c>
    </row>
    <row r="9">
      <c r="A9" s="2" t="inlineStr">
        <is>
          <t>m8_issue_response</t>
        </is>
      </c>
      <c r="B9" s="2" t="inlineStr">
        <is>
          <t>Issue response within 14 days</t>
        </is>
      </c>
      <c r="C9" s="2" t="inlineStr">
        <is>
          <t>Responsiveness</t>
        </is>
      </c>
      <c r="D9" s="2" t="inlineStr">
        <is>
          <t>gh_metrics.csv::m8_issue_response_rate; manual_metrics.csv override</t>
        </is>
      </c>
      <c r="E9" s="2" t="n">
        <v>54</v>
      </c>
      <c r="F9" s="5" t="n">
        <v>0.4821428571428572</v>
      </c>
      <c r="G9" s="4" t="n">
        <v>44.64518518518518</v>
      </c>
      <c r="H9" s="4" t="n">
        <v>21.52535714285714</v>
      </c>
      <c r="I9" s="4" t="n">
        <v>23.12800729120438</v>
      </c>
      <c r="J9" s="5" t="n">
        <v>0.03703703703703703</v>
      </c>
      <c r="K9" s="2" t="inlineStr">
        <is>
          <t>54 of 112 entries have a usable value. Requires at least 10 eligible items.</t>
        </is>
      </c>
    </row>
    <row r="10">
      <c r="A10" s="2" t="inlineStr">
        <is>
          <t>m9_pr_response</t>
        </is>
      </c>
      <c r="B10" s="2" t="inlineStr">
        <is>
          <t>PR response within 7 days</t>
        </is>
      </c>
      <c r="C10" s="2" t="inlineStr">
        <is>
          <t>Responsiveness</t>
        </is>
      </c>
      <c r="D10" s="2" t="inlineStr">
        <is>
          <t>gh_metrics.csv::m9_pr_response_rate</t>
        </is>
      </c>
      <c r="E10" s="2" t="n">
        <v>65</v>
      </c>
      <c r="F10" s="5" t="n">
        <v>0.5803571428571429</v>
      </c>
      <c r="G10" s="4" t="n">
        <v>57.97692307692308</v>
      </c>
      <c r="H10" s="4" t="n">
        <v>33.64732142857143</v>
      </c>
      <c r="I10" s="4" t="n">
        <v>27.14148411128827</v>
      </c>
      <c r="J10" s="5" t="n">
        <v>0</v>
      </c>
      <c r="K10" s="2" t="inlineStr">
        <is>
          <t>65 of 112 entries have a usable value. Requires at least 10 eligible items.</t>
        </is>
      </c>
    </row>
    <row r="11">
      <c r="A11" s="2" t="inlineStr">
        <is>
          <t>m10_issue_close90</t>
        </is>
      </c>
      <c r="B11" s="2" t="inlineStr">
        <is>
          <t>Issue closure within 90 days</t>
        </is>
      </c>
      <c r="C11" s="2" t="inlineStr">
        <is>
          <t>Responsiveness</t>
        </is>
      </c>
      <c r="D11" s="2" t="inlineStr">
        <is>
          <t>gh_metrics.csv::m10_issue_close90_rate; manual_metrics.csv override</t>
        </is>
      </c>
      <c r="E11" s="2" t="n">
        <v>52</v>
      </c>
      <c r="F11" s="5" t="n">
        <v>0.4642857142857143</v>
      </c>
      <c r="G11" s="4" t="n">
        <v>42.46076923076923</v>
      </c>
      <c r="H11" s="4" t="n">
        <v>19.71392857142857</v>
      </c>
      <c r="I11" s="4" t="n">
        <v>22.03670494409042</v>
      </c>
      <c r="J11" s="5" t="n">
        <v>0.03846153846153846</v>
      </c>
      <c r="K11" s="2" t="inlineStr">
        <is>
          <t>52 of 112 entries have a usable value. Requires at least 10 eligible items.</t>
        </is>
      </c>
    </row>
    <row r="12">
      <c r="A12" s="2" t="inlineStr">
        <is>
          <t>m11_pr_decision30</t>
        </is>
      </c>
      <c r="B12" s="2" t="inlineStr">
        <is>
          <t>PR decision within 30 days</t>
        </is>
      </c>
      <c r="C12" s="2" t="inlineStr">
        <is>
          <t>Responsiveness</t>
        </is>
      </c>
      <c r="D12" s="2" t="inlineStr">
        <is>
          <t>gh_metrics.csv::m11_pr_decision30_rate</t>
        </is>
      </c>
      <c r="E12" s="2" t="n">
        <v>65</v>
      </c>
      <c r="F12" s="5" t="n">
        <v>0.5803571428571429</v>
      </c>
      <c r="G12" s="4" t="n">
        <v>83.39938461538462</v>
      </c>
      <c r="H12" s="4" t="n">
        <v>48.40142857142857</v>
      </c>
      <c r="I12" s="4" t="n">
        <v>16.14769465583942</v>
      </c>
      <c r="J12" s="5" t="n">
        <v>0</v>
      </c>
      <c r="K12" s="2" t="inlineStr">
        <is>
          <t>65 of 112 entries have a usable value. Requires at least 10 eligible items.</t>
        </is>
      </c>
    </row>
    <row r="13">
      <c r="A13" s="2" t="inlineStr">
        <is>
          <t>m12_stars</t>
        </is>
      </c>
      <c r="B13" s="2" t="inlineStr">
        <is>
          <t>Stars gained</t>
        </is>
      </c>
      <c r="C13" s="2" t="inlineStr">
        <is>
          <t>Adoption</t>
        </is>
      </c>
      <c r="D13" s="2" t="inlineStr">
        <is>
          <t>gh_metrics.csv::m12_stars_gained</t>
        </is>
      </c>
      <c r="E13" s="2" t="n">
        <v>90</v>
      </c>
      <c r="F13" s="5" t="n">
        <v>0.8035714285714286</v>
      </c>
      <c r="G13" s="4" t="n">
        <v>35.14811111111111</v>
      </c>
      <c r="H13" s="4" t="n">
        <v>28.24401785714286</v>
      </c>
      <c r="I13" s="4" t="n">
        <v>24.79762976551699</v>
      </c>
      <c r="J13" s="5" t="n">
        <v>0.1444444444444444</v>
      </c>
      <c r="K13" s="2" t="inlineStr">
        <is>
          <t>90 of 112 entries have a usable value. GitHub-derived; no-source entries are unavailable.</t>
        </is>
      </c>
    </row>
    <row r="14">
      <c r="A14" s="2" t="inlineStr">
        <is>
          <t>m13_forks</t>
        </is>
      </c>
      <c r="B14" s="2" t="inlineStr">
        <is>
          <t>Forks created</t>
        </is>
      </c>
      <c r="C14" s="2" t="inlineStr">
        <is>
          <t>Adoption</t>
        </is>
      </c>
      <c r="D14" s="2" t="inlineStr">
        <is>
          <t>gh_metrics.csv::m13_forks_created</t>
        </is>
      </c>
      <c r="E14" s="2" t="n">
        <v>90</v>
      </c>
      <c r="F14" s="5" t="n">
        <v>0.8035714285714286</v>
      </c>
      <c r="G14" s="4" t="n">
        <v>39.258</v>
      </c>
      <c r="H14" s="4" t="n">
        <v>31.54660714285714</v>
      </c>
      <c r="I14" s="4" t="n">
        <v>29.89784909394728</v>
      </c>
      <c r="J14" s="5" t="n">
        <v>0.1555555555555556</v>
      </c>
      <c r="K14" s="2" t="inlineStr">
        <is>
          <t>90 of 112 entries have a usable value. GitHub-derived; no-source entries are unavailable.</t>
        </is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Cohort statistic</t>
        </is>
      </c>
      <c r="B16" s="2" t="inlineStr">
        <is>
          <t>Value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Entries</t>
        </is>
      </c>
      <c r="B17" s="2" t="n">
        <v>112</v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Mean zero-filled Development Activity score</t>
        </is>
      </c>
      <c r="B18" s="2" t="n">
        <v>45.67227335164835</v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inlineStr">
        <is>
          <t>Median zero-filled Development Activity score</t>
        </is>
      </c>
      <c r="B19" s="2" t="n">
        <v>51.65846153846154</v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Mean observed metric coverage</t>
        </is>
      </c>
      <c r="B20" s="2" t="n">
        <v>0.7712912087912088</v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inlineStr">
        <is>
          <t>Entries with all 13 metrics observed</t>
        </is>
      </c>
      <c r="B21" s="2" t="n">
        <v>45</v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Entries with zero observed metrics</t>
        </is>
      </c>
      <c r="B22" s="2" t="n">
        <v>11</v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inlineStr">
        <is>
          <t>Register marked assessable</t>
        </is>
      </c>
      <c r="B23" s="2" t="n">
        <v>102</v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inlineStr">
        <is>
          <t>Register marked not assessable/excluded</t>
        </is>
      </c>
      <c r="B24" s="2" t="n">
        <v>10</v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</sheetData>
  <autoFilter ref="A1:K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EF1F2"/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5" customWidth="1" min="3" max="3"/>
    <col width="25" customWidth="1" min="4" max="4"/>
    <col width="27" customWidth="1" min="5" max="5"/>
    <col width="29" customWidth="1" min="6" max="6"/>
    <col width="26" customWidth="1" min="7" max="7"/>
    <col width="27" customWidth="1" min="8" max="8"/>
    <col width="18" customWidth="1" min="9" max="9"/>
    <col width="75" customWidth="1" min="10" max="10"/>
  </cols>
  <sheetData>
    <row r="1" ht="34" customHeight="1">
      <c r="A1" s="1" t="inlineStr">
        <is>
          <t>Scenario</t>
        </is>
      </c>
      <c r="B1" s="1" t="inlineStr">
        <is>
          <t>Metrics averaged</t>
        </is>
      </c>
      <c r="C1" s="1" t="inlineStr">
        <is>
          <t>Entries</t>
        </is>
      </c>
      <c r="D1" s="1" t="inlineStr">
        <is>
          <t>Spearman rho vs baseline</t>
        </is>
      </c>
      <c r="E1" s="1" t="inlineStr">
        <is>
          <t>Mean absolute score change</t>
        </is>
      </c>
      <c r="F1" s="1" t="inlineStr">
        <is>
          <t>Maximum absolute score change</t>
        </is>
      </c>
      <c r="G1" s="1" t="inlineStr">
        <is>
          <t>Mean absolute rank shift</t>
        </is>
      </c>
      <c r="H1" s="1" t="inlineStr">
        <is>
          <t>Maximum absolute rank shift</t>
        </is>
      </c>
      <c r="I1" s="1" t="inlineStr">
        <is>
          <t>Top-10 overlap</t>
        </is>
      </c>
      <c r="J1" s="1" t="inlineStr">
        <is>
          <t>Interpretation</t>
        </is>
      </c>
    </row>
    <row r="2">
      <c r="A2" s="2" t="inlineStr">
        <is>
          <t>Baseline: 13 equal metrics, zero-filled</t>
        </is>
      </c>
      <c r="B2" s="2" t="n">
        <v>13</v>
      </c>
      <c r="C2" s="2" t="n">
        <v>112</v>
      </c>
      <c r="D2" s="10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2" t="n">
        <v>10</v>
      </c>
      <c r="J2" s="2" t="inlineStr">
        <is>
          <t>Primary fixed-denominator result.</t>
        </is>
      </c>
    </row>
    <row r="3">
      <c r="A3" s="2" t="inlineStr">
        <is>
          <t>Sensitivity: observed-only mean</t>
        </is>
      </c>
      <c r="B3" s="2" t="n">
        <v>0</v>
      </c>
      <c r="C3" s="2" t="n">
        <v>112</v>
      </c>
      <c r="D3" s="10" t="n">
        <v>0.9200075287031809</v>
      </c>
      <c r="E3" s="4" t="n">
        <v>5.848560990101168</v>
      </c>
      <c r="F3" s="4" t="n">
        <v>38.99736263736263</v>
      </c>
      <c r="G3" s="4" t="n">
        <v>7.910714285714286</v>
      </c>
      <c r="H3" s="4" t="n">
        <v>56</v>
      </c>
      <c r="I3" s="2" t="n">
        <v>7</v>
      </c>
      <c r="J3" s="2" t="inlineStr">
        <is>
          <t>Variable-denominator diagnostic; not the primary score.</t>
        </is>
      </c>
    </row>
    <row r="4">
      <c r="A4" s="2" t="inlineStr">
        <is>
          <t>Sensitivity: omit m1_commits</t>
        </is>
      </c>
      <c r="B4" s="2" t="n">
        <v>12</v>
      </c>
      <c r="C4" s="2" t="n">
        <v>112</v>
      </c>
      <c r="D4" s="10" t="n">
        <v>0.9987509196995363</v>
      </c>
      <c r="E4" s="4" t="n">
        <v>1.548921130952381</v>
      </c>
      <c r="F4" s="4" t="n">
        <v>5.079358974358975</v>
      </c>
      <c r="G4" s="4" t="n">
        <v>1.053571428571429</v>
      </c>
      <c r="H4" s="4" t="n">
        <v>6</v>
      </c>
      <c r="I4" s="2" t="n">
        <v>9</v>
      </c>
      <c r="J4" s="2" t="inlineStr">
        <is>
          <t>Leave-one-metric-out robustness check; not the primary score.</t>
        </is>
      </c>
    </row>
    <row r="5">
      <c r="A5" s="2" t="inlineStr">
        <is>
          <t>Sensitivity: omit m2_active_weeks</t>
        </is>
      </c>
      <c r="B5" s="2" t="n">
        <v>12</v>
      </c>
      <c r="C5" s="2" t="n">
        <v>112</v>
      </c>
      <c r="D5" s="10" t="n">
        <v>0.9972195130297897</v>
      </c>
      <c r="E5" s="4" t="n">
        <v>1.429051625457875</v>
      </c>
      <c r="F5" s="4" t="n">
        <v>5.171217948717949</v>
      </c>
      <c r="G5" s="4" t="n">
        <v>1.410714285714286</v>
      </c>
      <c r="H5" s="4" t="n">
        <v>10</v>
      </c>
      <c r="I5" s="2" t="n">
        <v>10</v>
      </c>
      <c r="J5" s="2" t="inlineStr">
        <is>
          <t>Leave-one-metric-out robustness check; not the primary score.</t>
        </is>
      </c>
    </row>
    <row r="6">
      <c r="A6" s="2" t="inlineStr">
        <is>
          <t>Sensitivity: omit m3_recency</t>
        </is>
      </c>
      <c r="B6" s="2" t="n">
        <v>12</v>
      </c>
      <c r="C6" s="2" t="n">
        <v>112</v>
      </c>
      <c r="D6" s="10" t="n">
        <v>0.9997690056978594</v>
      </c>
      <c r="E6" s="4" t="n">
        <v>3.064826007326007</v>
      </c>
      <c r="F6" s="4" t="n">
        <v>7.020192307692309</v>
      </c>
      <c r="G6" s="4" t="n">
        <v>0.2678571428571428</v>
      </c>
      <c r="H6" s="4" t="n">
        <v>3</v>
      </c>
      <c r="I6" s="2" t="n">
        <v>10</v>
      </c>
      <c r="J6" s="2" t="inlineStr">
        <is>
          <t>Leave-one-metric-out robustness check; not the primary score.</t>
        </is>
      </c>
    </row>
    <row r="7">
      <c r="A7" s="2" t="inlineStr">
        <is>
          <t>Sensitivity: omit m4_releases</t>
        </is>
      </c>
      <c r="B7" s="2" t="n">
        <v>12</v>
      </c>
      <c r="C7" s="2" t="n">
        <v>112</v>
      </c>
      <c r="D7" s="10" t="n">
        <v>0.9919542901346436</v>
      </c>
      <c r="E7" s="4" t="n">
        <v>2.553116414835165</v>
      </c>
      <c r="F7" s="4" t="n">
        <v>7.692307692307693</v>
      </c>
      <c r="G7" s="4" t="n">
        <v>2.651785714285714</v>
      </c>
      <c r="H7" s="4" t="n">
        <v>14</v>
      </c>
      <c r="I7" s="2" t="n">
        <v>10</v>
      </c>
      <c r="J7" s="2" t="inlineStr">
        <is>
          <t>Leave-one-metric-out robustness check; not the primary score.</t>
        </is>
      </c>
    </row>
    <row r="8">
      <c r="A8" s="2" t="inlineStr">
        <is>
          <t>Sensitivity: omit m5_contributors</t>
        </is>
      </c>
      <c r="B8" s="2" t="n">
        <v>12</v>
      </c>
      <c r="C8" s="2" t="n">
        <v>112</v>
      </c>
      <c r="D8" s="10" t="n">
        <v>0.9986568109097753</v>
      </c>
      <c r="E8" s="4" t="n">
        <v>0.8397390109890108</v>
      </c>
      <c r="F8" s="4" t="n">
        <v>2.820256410256405</v>
      </c>
      <c r="G8" s="4" t="n">
        <v>1.071428571428571</v>
      </c>
      <c r="H8" s="4" t="n">
        <v>6</v>
      </c>
      <c r="I8" s="2" t="n">
        <v>9</v>
      </c>
      <c r="J8" s="2" t="inlineStr">
        <is>
          <t>Leave-one-metric-out robustness check; not the primary score.</t>
        </is>
      </c>
    </row>
    <row r="9">
      <c r="A9" s="2" t="inlineStr">
        <is>
          <t>Sensitivity: omit m6_effective_contributors</t>
        </is>
      </c>
      <c r="B9" s="2" t="n">
        <v>12</v>
      </c>
      <c r="C9" s="2" t="n">
        <v>112</v>
      </c>
      <c r="D9" s="10" t="n">
        <v>0.9975617268107386</v>
      </c>
      <c r="E9" s="4" t="n">
        <v>1.152131982600732</v>
      </c>
      <c r="F9" s="4" t="n">
        <v>4.220320512820521</v>
      </c>
      <c r="G9" s="4" t="n">
        <v>1.428571428571429</v>
      </c>
      <c r="H9" s="4" t="n">
        <v>9</v>
      </c>
      <c r="I9" s="2" t="n">
        <v>9</v>
      </c>
      <c r="J9" s="2" t="inlineStr">
        <is>
          <t>Leave-one-metric-out robustness check; not the primary score.</t>
        </is>
      </c>
    </row>
    <row r="10">
      <c r="A10" s="2" t="inlineStr">
        <is>
          <t>Sensitivity: omit m7_retention</t>
        </is>
      </c>
      <c r="B10" s="2" t="n">
        <v>12</v>
      </c>
      <c r="C10" s="2" t="n">
        <v>112</v>
      </c>
      <c r="D10" s="10" t="n">
        <v>0.9982204883390654</v>
      </c>
      <c r="E10" s="4" t="n">
        <v>1.437153731684982</v>
      </c>
      <c r="F10" s="4" t="n">
        <v>5.17858974358974</v>
      </c>
      <c r="G10" s="4" t="n">
        <v>1.125</v>
      </c>
      <c r="H10" s="4" t="n">
        <v>9</v>
      </c>
      <c r="I10" s="2" t="n">
        <v>9</v>
      </c>
      <c r="J10" s="2" t="inlineStr">
        <is>
          <t>Leave-one-metric-out robustness check; not the primary score.</t>
        </is>
      </c>
    </row>
    <row r="11">
      <c r="A11" s="2" t="inlineStr">
        <is>
          <t>Sensitivity: omit m8_issue_response</t>
        </is>
      </c>
      <c r="B11" s="2" t="n">
        <v>12</v>
      </c>
      <c r="C11" s="2" t="n">
        <v>112</v>
      </c>
      <c r="D11" s="10" t="n">
        <v>0.9959362113512311</v>
      </c>
      <c r="E11" s="4" t="n">
        <v>2.300071543040293</v>
      </c>
      <c r="F11" s="4" t="n">
        <v>6.632179487179471</v>
      </c>
      <c r="G11" s="4" t="n">
        <v>2</v>
      </c>
      <c r="H11" s="4" t="n">
        <v>10</v>
      </c>
      <c r="I11" s="2" t="n">
        <v>10</v>
      </c>
      <c r="J11" s="2" t="inlineStr">
        <is>
          <t>Leave-one-metric-out robustness check; not the primary score.</t>
        </is>
      </c>
    </row>
    <row r="12">
      <c r="A12" s="2" t="inlineStr">
        <is>
          <t>Sensitivity: omit m9_pr_response</t>
        </is>
      </c>
      <c r="B12" s="2" t="n">
        <v>12</v>
      </c>
      <c r="C12" s="2" t="n">
        <v>112</v>
      </c>
      <c r="D12" s="10" t="n">
        <v>0.9968174118371746</v>
      </c>
      <c r="E12" s="4" t="n">
        <v>1.602930975274726</v>
      </c>
      <c r="F12" s="4" t="n">
        <v>4.751474358974363</v>
      </c>
      <c r="G12" s="4" t="n">
        <v>1.571428571428571</v>
      </c>
      <c r="H12" s="4" t="n">
        <v>9</v>
      </c>
      <c r="I12" s="2" t="n">
        <v>9</v>
      </c>
      <c r="J12" s="2" t="inlineStr">
        <is>
          <t>Leave-one-metric-out robustness check; not the primary score.</t>
        </is>
      </c>
    </row>
    <row r="13">
      <c r="A13" s="2" t="inlineStr">
        <is>
          <t>Sensitivity: omit m10_issue_close90</t>
        </is>
      </c>
      <c r="B13" s="2" t="n">
        <v>12</v>
      </c>
      <c r="C13" s="2" t="n">
        <v>112</v>
      </c>
      <c r="D13" s="10" t="n">
        <v>0.996620638913129</v>
      </c>
      <c r="E13" s="4" t="n">
        <v>2.42511961996337</v>
      </c>
      <c r="F13" s="4" t="n">
        <v>6.632179487179471</v>
      </c>
      <c r="G13" s="4" t="n">
        <v>1.732142857142857</v>
      </c>
      <c r="H13" s="4" t="n">
        <v>9</v>
      </c>
      <c r="I13" s="2" t="n">
        <v>9</v>
      </c>
      <c r="J13" s="2" t="inlineStr">
        <is>
          <t>Leave-one-metric-out robustness check; not the primary score.</t>
        </is>
      </c>
    </row>
    <row r="14">
      <c r="A14" s="2" t="inlineStr">
        <is>
          <t>Sensitivity: omit m11_pr_decision30</t>
        </is>
      </c>
      <c r="B14" s="2" t="n">
        <v>12</v>
      </c>
      <c r="C14" s="2" t="n">
        <v>112</v>
      </c>
      <c r="D14" s="10" t="n">
        <v>0.9971425149290762</v>
      </c>
      <c r="E14" s="4" t="n">
        <v>1.796486378205129</v>
      </c>
      <c r="F14" s="4" t="n">
        <v>4.913589743589746</v>
      </c>
      <c r="G14" s="4" t="n">
        <v>1.482142857142857</v>
      </c>
      <c r="H14" s="4" t="n">
        <v>8</v>
      </c>
      <c r="I14" s="2" t="n">
        <v>9</v>
      </c>
      <c r="J14" s="2" t="inlineStr">
        <is>
          <t>Leave-one-metric-out robustness check; not the primary score.</t>
        </is>
      </c>
    </row>
    <row r="15">
      <c r="A15" s="2" t="inlineStr">
        <is>
          <t>Sensitivity: omit m12_stars</t>
        </is>
      </c>
      <c r="B15" s="2" t="n">
        <v>12</v>
      </c>
      <c r="C15" s="2" t="n">
        <v>112</v>
      </c>
      <c r="D15" s="10" t="n">
        <v>0.9976147523632271</v>
      </c>
      <c r="E15" s="4" t="n">
        <v>1.668506181318681</v>
      </c>
      <c r="F15" s="4" t="n">
        <v>5.268461538461537</v>
      </c>
      <c r="G15" s="4" t="n">
        <v>1.491071428571429</v>
      </c>
      <c r="H15" s="4" t="n">
        <v>8</v>
      </c>
      <c r="I15" s="2" t="n">
        <v>9</v>
      </c>
      <c r="J15" s="2" t="inlineStr">
        <is>
          <t>Leave-one-metric-out robustness check; not the primary score.</t>
        </is>
      </c>
    </row>
    <row r="16">
      <c r="A16" s="2" t="inlineStr">
        <is>
          <t>Sensitivity: omit m13_forks</t>
        </is>
      </c>
      <c r="B16" s="2" t="n">
        <v>12</v>
      </c>
      <c r="C16" s="2" t="n">
        <v>112</v>
      </c>
      <c r="D16" s="10" t="n">
        <v>0.9968430778707459</v>
      </c>
      <c r="E16" s="4" t="n">
        <v>1.583395718864468</v>
      </c>
      <c r="F16" s="4" t="n">
        <v>5.895897435897425</v>
      </c>
      <c r="G16" s="4" t="n">
        <v>1.660714285714286</v>
      </c>
      <c r="H16" s="4" t="n">
        <v>10</v>
      </c>
      <c r="I16" s="2" t="n">
        <v>9</v>
      </c>
      <c r="J16" s="2" t="inlineStr">
        <is>
          <t>Leave-one-metric-out robustness check; not the primary score.</t>
        </is>
      </c>
    </row>
  </sheetData>
  <autoFilter ref="A1:J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EF1F2"/>
    <outlinePr summaryBelow="1" summaryRight="1"/>
    <pageSetUpPr/>
  </sheetPr>
  <dimension ref="A1:S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 ht="34" customHeight="1">
      <c r="A1" s="1" t="inlineStr">
        <is>
          <t>OISI ID</t>
        </is>
      </c>
      <c r="B1" s="1" t="inlineStr">
        <is>
          <t>Infrastructure</t>
        </is>
      </c>
      <c r="C1" s="1" t="inlineStr">
        <is>
          <t>Baseline score</t>
        </is>
      </c>
      <c r="D1" s="1" t="inlineStr">
        <is>
          <t>Baseline rank</t>
        </is>
      </c>
      <c r="E1" s="1" t="inlineStr">
        <is>
          <t>Observed-only score</t>
        </is>
      </c>
      <c r="F1" s="1" t="inlineStr">
        <is>
          <t>Observed-only rank</t>
        </is>
      </c>
      <c r="G1" s="1" t="inlineStr">
        <is>
          <t>Rank without m1_commits</t>
        </is>
      </c>
      <c r="H1" s="1" t="inlineStr">
        <is>
          <t>Rank without m2_active_weeks</t>
        </is>
      </c>
      <c r="I1" s="1" t="inlineStr">
        <is>
          <t>Rank without m3_recency</t>
        </is>
      </c>
      <c r="J1" s="1" t="inlineStr">
        <is>
          <t>Rank without m4_releases</t>
        </is>
      </c>
      <c r="K1" s="1" t="inlineStr">
        <is>
          <t>Rank without m5_contributors</t>
        </is>
      </c>
      <c r="L1" s="1" t="inlineStr">
        <is>
          <t>Rank without m6_effective_contributors</t>
        </is>
      </c>
      <c r="M1" s="1" t="inlineStr">
        <is>
          <t>Rank without m7_retention</t>
        </is>
      </c>
      <c r="N1" s="1" t="inlineStr">
        <is>
          <t>Rank without m8_issue_response</t>
        </is>
      </c>
      <c r="O1" s="1" t="inlineStr">
        <is>
          <t>Rank without m9_pr_response</t>
        </is>
      </c>
      <c r="P1" s="1" t="inlineStr">
        <is>
          <t>Rank without m10_issue_close90</t>
        </is>
      </c>
      <c r="Q1" s="1" t="inlineStr">
        <is>
          <t>Rank without m11_pr_decision30</t>
        </is>
      </c>
      <c r="R1" s="1" t="inlineStr">
        <is>
          <t>Rank without m12_stars</t>
        </is>
      </c>
      <c r="S1" s="1" t="inlineStr">
        <is>
          <t>Rank without m13_forks</t>
        </is>
      </c>
    </row>
    <row r="2">
      <c r="A2" s="2" t="inlineStr">
        <is>
          <t>C4-001</t>
        </is>
      </c>
      <c r="B2" s="2" t="inlineStr">
        <is>
          <t>2i2c</t>
        </is>
      </c>
      <c r="C2" s="2" t="n">
        <v>70.27384615384615</v>
      </c>
      <c r="D2" s="2" t="n">
        <v>25</v>
      </c>
      <c r="E2" s="2" t="n">
        <v>70.27384615384615</v>
      </c>
      <c r="F2" s="2" t="n">
        <v>35</v>
      </c>
      <c r="G2" s="2" t="n">
        <v>28</v>
      </c>
      <c r="H2" s="2" t="n">
        <v>28</v>
      </c>
      <c r="I2" s="2" t="n">
        <v>25</v>
      </c>
      <c r="J2" s="2" t="n">
        <v>14</v>
      </c>
      <c r="K2" s="2" t="n">
        <v>30</v>
      </c>
      <c r="L2" s="2" t="n">
        <v>27</v>
      </c>
      <c r="M2" s="2" t="n">
        <v>27</v>
      </c>
      <c r="N2" s="2" t="n">
        <v>27</v>
      </c>
      <c r="O2" s="2" t="n">
        <v>19</v>
      </c>
      <c r="P2" s="2" t="n">
        <v>29</v>
      </c>
      <c r="Q2" s="2" t="n">
        <v>28</v>
      </c>
      <c r="R2" s="2" t="n">
        <v>25</v>
      </c>
      <c r="S2" s="2" t="n">
        <v>26</v>
      </c>
    </row>
    <row r="3">
      <c r="A3" s="2" t="inlineStr">
        <is>
          <t>C4-002</t>
        </is>
      </c>
      <c r="B3" s="2" t="inlineStr">
        <is>
          <t>Academic Preservation Trust (APTrust)</t>
        </is>
      </c>
      <c r="C3" s="2" t="n">
        <v>39.27076923076923</v>
      </c>
      <c r="D3" s="2" t="n">
        <v>71</v>
      </c>
      <c r="E3" s="2" t="n">
        <v>39.27076923076923</v>
      </c>
      <c r="F3" s="2" t="n">
        <v>79</v>
      </c>
      <c r="G3" s="2" t="n">
        <v>71</v>
      </c>
      <c r="H3" s="2" t="n">
        <v>71</v>
      </c>
      <c r="I3" s="2" t="n">
        <v>71</v>
      </c>
      <c r="J3" s="2" t="n">
        <v>64</v>
      </c>
      <c r="K3" s="2" t="n">
        <v>72</v>
      </c>
      <c r="L3" s="2" t="n">
        <v>73</v>
      </c>
      <c r="M3" s="2" t="n">
        <v>72</v>
      </c>
      <c r="N3" s="2" t="n">
        <v>69</v>
      </c>
      <c r="O3" s="2" t="n">
        <v>76</v>
      </c>
      <c r="P3" s="2" t="n">
        <v>69</v>
      </c>
      <c r="Q3" s="2" t="n">
        <v>72</v>
      </c>
      <c r="R3" s="2" t="n">
        <v>68</v>
      </c>
      <c r="S3" s="2" t="n">
        <v>66</v>
      </c>
    </row>
    <row r="4">
      <c r="A4" s="2" t="inlineStr">
        <is>
          <t>C4-003</t>
        </is>
      </c>
      <c r="B4" s="2" t="inlineStr">
        <is>
          <t>AfricArXiv</t>
        </is>
      </c>
      <c r="C4" s="2" t="n">
        <v>0</v>
      </c>
      <c r="D4" s="2" t="n">
        <v>106</v>
      </c>
      <c r="E4" s="2" t="n">
        <v>0</v>
      </c>
      <c r="F4" s="2" t="n">
        <v>106</v>
      </c>
      <c r="G4" s="2" t="n">
        <v>106</v>
      </c>
      <c r="H4" s="2" t="n">
        <v>106</v>
      </c>
      <c r="I4" s="2" t="n">
        <v>106</v>
      </c>
      <c r="J4" s="2" t="n">
        <v>105.5</v>
      </c>
      <c r="K4" s="2" t="n">
        <v>106</v>
      </c>
      <c r="L4" s="2" t="n">
        <v>106</v>
      </c>
      <c r="M4" s="2" t="n">
        <v>106</v>
      </c>
      <c r="N4" s="2" t="n">
        <v>106</v>
      </c>
      <c r="O4" s="2" t="n">
        <v>106</v>
      </c>
      <c r="P4" s="2" t="n">
        <v>106</v>
      </c>
      <c r="Q4" s="2" t="n">
        <v>106</v>
      </c>
      <c r="R4" s="2" t="n">
        <v>105.5</v>
      </c>
      <c r="S4" s="2" t="n">
        <v>106</v>
      </c>
    </row>
    <row r="5">
      <c r="A5" s="2" t="inlineStr">
        <is>
          <t>C4-004</t>
        </is>
      </c>
      <c r="B5" s="2" t="inlineStr">
        <is>
          <t>Arches Heritage Data Management Platform</t>
        </is>
      </c>
      <c r="C5" s="2" t="n">
        <v>79.62</v>
      </c>
      <c r="D5" s="2" t="n">
        <v>9</v>
      </c>
      <c r="E5" s="2" t="n">
        <v>79.62</v>
      </c>
      <c r="F5" s="2" t="n">
        <v>14</v>
      </c>
      <c r="G5" s="2" t="n">
        <v>10</v>
      </c>
      <c r="H5" s="2" t="n">
        <v>9</v>
      </c>
      <c r="I5" s="2" t="n">
        <v>9</v>
      </c>
      <c r="J5" s="2" t="n">
        <v>9</v>
      </c>
      <c r="K5" s="2" t="n">
        <v>10</v>
      </c>
      <c r="L5" s="2" t="n">
        <v>10</v>
      </c>
      <c r="M5" s="2" t="n">
        <v>10</v>
      </c>
      <c r="N5" s="2" t="n">
        <v>8</v>
      </c>
      <c r="O5" s="2" t="n">
        <v>11</v>
      </c>
      <c r="P5" s="2" t="n">
        <v>11</v>
      </c>
      <c r="Q5" s="2" t="n">
        <v>10</v>
      </c>
      <c r="R5" s="2" t="n">
        <v>9</v>
      </c>
      <c r="S5" s="2" t="n">
        <v>8</v>
      </c>
    </row>
    <row r="6">
      <c r="A6" s="2" t="inlineStr">
        <is>
          <t>C4-005</t>
        </is>
      </c>
      <c r="B6" s="2" t="inlineStr">
        <is>
          <t>Archipelago Commons</t>
        </is>
      </c>
      <c r="C6" s="2" t="n">
        <v>40.05615384615385</v>
      </c>
      <c r="D6" s="2" t="n">
        <v>69</v>
      </c>
      <c r="E6" s="2" t="n">
        <v>47.33909090909091</v>
      </c>
      <c r="F6" s="2" t="n">
        <v>70</v>
      </c>
      <c r="G6" s="2" t="n">
        <v>70</v>
      </c>
      <c r="H6" s="2" t="n">
        <v>67</v>
      </c>
      <c r="I6" s="2" t="n">
        <v>69</v>
      </c>
      <c r="J6" s="2" t="n">
        <v>72</v>
      </c>
      <c r="K6" s="2" t="n">
        <v>69</v>
      </c>
      <c r="L6" s="2" t="n">
        <v>63</v>
      </c>
      <c r="M6" s="2" t="n">
        <v>67</v>
      </c>
      <c r="N6" s="2" t="n">
        <v>67</v>
      </c>
      <c r="O6" s="2" t="n">
        <v>69</v>
      </c>
      <c r="P6" s="2" t="n">
        <v>67</v>
      </c>
      <c r="Q6" s="2" t="n">
        <v>73</v>
      </c>
      <c r="R6" s="2" t="n">
        <v>71</v>
      </c>
      <c r="S6" s="2" t="n">
        <v>73</v>
      </c>
    </row>
    <row r="7">
      <c r="A7" s="2" t="inlineStr">
        <is>
          <t>C4-006</t>
        </is>
      </c>
      <c r="B7" s="2" t="inlineStr">
        <is>
          <t>Archival Resource Key</t>
        </is>
      </c>
      <c r="C7" s="2" t="n">
        <v>23.48538461538461</v>
      </c>
      <c r="D7" s="2" t="n">
        <v>83</v>
      </c>
      <c r="E7" s="2" t="n">
        <v>43.61571428571428</v>
      </c>
      <c r="F7" s="2" t="n">
        <v>77</v>
      </c>
      <c r="G7" s="2" t="n">
        <v>83</v>
      </c>
      <c r="H7" s="2" t="n">
        <v>82</v>
      </c>
      <c r="I7" s="2" t="n">
        <v>84</v>
      </c>
      <c r="J7" s="2" t="n">
        <v>84</v>
      </c>
      <c r="K7" s="2" t="n">
        <v>85</v>
      </c>
      <c r="L7" s="2" t="n">
        <v>84</v>
      </c>
      <c r="M7" s="2" t="n">
        <v>81</v>
      </c>
      <c r="N7" s="2" t="n">
        <v>81</v>
      </c>
      <c r="O7" s="2" t="n">
        <v>83</v>
      </c>
      <c r="P7" s="2" t="n">
        <v>83</v>
      </c>
      <c r="Q7" s="2" t="n">
        <v>83</v>
      </c>
      <c r="R7" s="2" t="n">
        <v>81</v>
      </c>
      <c r="S7" s="2" t="n">
        <v>81</v>
      </c>
    </row>
    <row r="8">
      <c r="A8" s="2" t="inlineStr">
        <is>
          <t>C4-007</t>
        </is>
      </c>
      <c r="B8" s="2" t="inlineStr">
        <is>
          <t>Archivematica</t>
        </is>
      </c>
      <c r="C8" s="2" t="n">
        <v>61.39384615384616</v>
      </c>
      <c r="D8" s="2" t="n">
        <v>40</v>
      </c>
      <c r="E8" s="2" t="n">
        <v>61.39384615384616</v>
      </c>
      <c r="F8" s="2" t="n">
        <v>55</v>
      </c>
      <c r="G8" s="2" t="n">
        <v>37</v>
      </c>
      <c r="H8" s="2" t="n">
        <v>39</v>
      </c>
      <c r="I8" s="2" t="n">
        <v>40</v>
      </c>
      <c r="J8" s="2" t="n">
        <v>42</v>
      </c>
      <c r="K8" s="2" t="n">
        <v>37</v>
      </c>
      <c r="L8" s="2" t="n">
        <v>37</v>
      </c>
      <c r="M8" s="2" t="n">
        <v>36</v>
      </c>
      <c r="N8" s="2" t="n">
        <v>43</v>
      </c>
      <c r="O8" s="2" t="n">
        <v>42</v>
      </c>
      <c r="P8" s="2" t="n">
        <v>41</v>
      </c>
      <c r="Q8" s="2" t="n">
        <v>42</v>
      </c>
      <c r="R8" s="2" t="n">
        <v>43</v>
      </c>
      <c r="S8" s="2" t="n">
        <v>42</v>
      </c>
    </row>
    <row r="9">
      <c r="A9" s="2" t="inlineStr">
        <is>
          <t>C4-008</t>
        </is>
      </c>
      <c r="B9" s="2" t="inlineStr">
        <is>
          <t>ArchivesSpace</t>
        </is>
      </c>
      <c r="C9" s="2" t="n">
        <v>81</v>
      </c>
      <c r="D9" s="2" t="n">
        <v>8</v>
      </c>
      <c r="E9" s="2" t="n">
        <v>81</v>
      </c>
      <c r="F9" s="2" t="n">
        <v>12</v>
      </c>
      <c r="G9" s="2" t="n">
        <v>8</v>
      </c>
      <c r="H9" s="2" t="n">
        <v>8</v>
      </c>
      <c r="I9" s="2" t="n">
        <v>8</v>
      </c>
      <c r="J9" s="2" t="n">
        <v>8</v>
      </c>
      <c r="K9" s="2" t="n">
        <v>8</v>
      </c>
      <c r="L9" s="2" t="n">
        <v>8</v>
      </c>
      <c r="M9" s="2" t="n">
        <v>8</v>
      </c>
      <c r="N9" s="2" t="n">
        <v>7</v>
      </c>
      <c r="O9" s="2" t="n">
        <v>10</v>
      </c>
      <c r="P9" s="2" t="n">
        <v>7</v>
      </c>
      <c r="Q9" s="2" t="n">
        <v>8</v>
      </c>
      <c r="R9" s="2" t="n">
        <v>7</v>
      </c>
      <c r="S9" s="2" t="n">
        <v>7</v>
      </c>
    </row>
    <row r="10">
      <c r="A10" s="2" t="inlineStr">
        <is>
          <t>C4-009</t>
        </is>
      </c>
      <c r="B10" s="2" t="inlineStr">
        <is>
          <t>ARGOS</t>
        </is>
      </c>
      <c r="C10" s="2" t="n">
        <v>15.21692307692308</v>
      </c>
      <c r="D10" s="2" t="n">
        <v>93</v>
      </c>
      <c r="E10" s="2" t="n">
        <v>21.98</v>
      </c>
      <c r="F10" s="2" t="n">
        <v>93</v>
      </c>
      <c r="G10" s="2" t="n">
        <v>92</v>
      </c>
      <c r="H10" s="2" t="n">
        <v>92</v>
      </c>
      <c r="I10" s="2" t="n">
        <v>91</v>
      </c>
      <c r="J10" s="2" t="n">
        <v>94</v>
      </c>
      <c r="K10" s="2" t="n">
        <v>93</v>
      </c>
      <c r="L10" s="2" t="n">
        <v>93</v>
      </c>
      <c r="M10" s="2" t="n">
        <v>92</v>
      </c>
      <c r="N10" s="2" t="n">
        <v>93</v>
      </c>
      <c r="O10" s="2" t="n">
        <v>93</v>
      </c>
      <c r="P10" s="2" t="n">
        <v>93</v>
      </c>
      <c r="Q10" s="2" t="n">
        <v>93</v>
      </c>
      <c r="R10" s="2" t="n">
        <v>93</v>
      </c>
      <c r="S10" s="2" t="n">
        <v>93</v>
      </c>
    </row>
    <row r="11">
      <c r="A11" s="2" t="inlineStr">
        <is>
          <t>C4-010</t>
        </is>
      </c>
      <c r="B11" s="2" t="inlineStr">
        <is>
          <t>arXiv</t>
        </is>
      </c>
      <c r="C11" s="2" t="n">
        <v>57.30923076923077</v>
      </c>
      <c r="D11" s="2" t="n">
        <v>49</v>
      </c>
      <c r="E11" s="2" t="n">
        <v>67.72909090909091</v>
      </c>
      <c r="F11" s="2" t="n">
        <v>43</v>
      </c>
      <c r="G11" s="2" t="n">
        <v>50</v>
      </c>
      <c r="H11" s="2" t="n">
        <v>49</v>
      </c>
      <c r="I11" s="2" t="n">
        <v>49</v>
      </c>
      <c r="J11" s="2" t="n">
        <v>37</v>
      </c>
      <c r="K11" s="2" t="n">
        <v>53</v>
      </c>
      <c r="L11" s="2" t="n">
        <v>53</v>
      </c>
      <c r="M11" s="2" t="n">
        <v>49</v>
      </c>
      <c r="N11" s="2" t="n">
        <v>45</v>
      </c>
      <c r="O11" s="2" t="n">
        <v>52</v>
      </c>
      <c r="P11" s="2" t="n">
        <v>46</v>
      </c>
      <c r="Q11" s="2" t="n">
        <v>50</v>
      </c>
      <c r="R11" s="2" t="n">
        <v>51</v>
      </c>
      <c r="S11" s="2" t="n">
        <v>52</v>
      </c>
    </row>
    <row r="12">
      <c r="A12" s="2" t="inlineStr">
        <is>
          <t>C4-011</t>
        </is>
      </c>
      <c r="B12" s="2" t="inlineStr">
        <is>
          <t>AtoM</t>
        </is>
      </c>
      <c r="C12" s="2" t="n">
        <v>69.09846153846154</v>
      </c>
      <c r="D12" s="2" t="n">
        <v>27</v>
      </c>
      <c r="E12" s="2" t="n">
        <v>69.09846153846154</v>
      </c>
      <c r="F12" s="2" t="n">
        <v>38</v>
      </c>
      <c r="G12" s="2" t="n">
        <v>26</v>
      </c>
      <c r="H12" s="2" t="n">
        <v>24</v>
      </c>
      <c r="I12" s="2" t="n">
        <v>27</v>
      </c>
      <c r="J12" s="2" t="n">
        <v>28</v>
      </c>
      <c r="K12" s="2" t="n">
        <v>28</v>
      </c>
      <c r="L12" s="2" t="n">
        <v>29</v>
      </c>
      <c r="M12" s="2" t="n">
        <v>30</v>
      </c>
      <c r="N12" s="2" t="n">
        <v>29</v>
      </c>
      <c r="O12" s="2" t="n">
        <v>25</v>
      </c>
      <c r="P12" s="2" t="n">
        <v>28</v>
      </c>
      <c r="Q12" s="2" t="n">
        <v>22</v>
      </c>
      <c r="R12" s="2" t="n">
        <v>27</v>
      </c>
      <c r="S12" s="2" t="n">
        <v>27</v>
      </c>
    </row>
    <row r="13">
      <c r="A13" s="2" t="inlineStr">
        <is>
          <t>C4-012</t>
        </is>
      </c>
      <c r="B13" s="2" t="inlineStr">
        <is>
          <t>Avalon Media System</t>
        </is>
      </c>
      <c r="C13" s="2" t="n">
        <v>63.42692307692307</v>
      </c>
      <c r="D13" s="2" t="n">
        <v>36</v>
      </c>
      <c r="E13" s="2" t="n">
        <v>63.42692307692307</v>
      </c>
      <c r="F13" s="2" t="n">
        <v>52</v>
      </c>
      <c r="G13" s="2" t="n">
        <v>34</v>
      </c>
      <c r="H13" s="2" t="n">
        <v>33</v>
      </c>
      <c r="I13" s="2" t="n">
        <v>36</v>
      </c>
      <c r="J13" s="2" t="n">
        <v>36</v>
      </c>
      <c r="K13" s="2" t="n">
        <v>35</v>
      </c>
      <c r="L13" s="2" t="n">
        <v>36</v>
      </c>
      <c r="M13" s="2" t="n">
        <v>35</v>
      </c>
      <c r="N13" s="2" t="n">
        <v>39</v>
      </c>
      <c r="O13" s="2" t="n">
        <v>43</v>
      </c>
      <c r="P13" s="2" t="n">
        <v>40</v>
      </c>
      <c r="Q13" s="2" t="n">
        <v>38</v>
      </c>
      <c r="R13" s="2" t="n">
        <v>36</v>
      </c>
      <c r="S13" s="2" t="n">
        <v>32</v>
      </c>
    </row>
    <row r="14">
      <c r="A14" s="2" t="inlineStr">
        <is>
          <t>C4-013</t>
        </is>
      </c>
      <c r="B14" s="2" t="inlineStr">
        <is>
          <t>Biodiversity Heritage Library</t>
        </is>
      </c>
      <c r="C14" s="2" t="n">
        <v>26.40538461538462</v>
      </c>
      <c r="D14" s="2" t="n">
        <v>79</v>
      </c>
      <c r="E14" s="2" t="n">
        <v>38.14111111111111</v>
      </c>
      <c r="F14" s="2" t="n">
        <v>81</v>
      </c>
      <c r="G14" s="2" t="n">
        <v>80</v>
      </c>
      <c r="H14" s="2" t="n">
        <v>86</v>
      </c>
      <c r="I14" s="2" t="n">
        <v>80</v>
      </c>
      <c r="J14" s="2" t="n">
        <v>78</v>
      </c>
      <c r="K14" s="2" t="n">
        <v>79</v>
      </c>
      <c r="L14" s="2" t="n">
        <v>80</v>
      </c>
      <c r="M14" s="2" t="n">
        <v>80</v>
      </c>
      <c r="N14" s="2" t="n">
        <v>79</v>
      </c>
      <c r="O14" s="2" t="n">
        <v>79</v>
      </c>
      <c r="P14" s="2" t="n">
        <v>79</v>
      </c>
      <c r="Q14" s="2" t="n">
        <v>79</v>
      </c>
      <c r="R14" s="2" t="n">
        <v>79</v>
      </c>
      <c r="S14" s="2" t="n">
        <v>78</v>
      </c>
    </row>
    <row r="15">
      <c r="A15" s="2" t="inlineStr">
        <is>
          <t>C4-014</t>
        </is>
      </c>
      <c r="B15" s="2" t="inlineStr">
        <is>
          <t>bioRxiv</t>
        </is>
      </c>
      <c r="C15" s="2" t="n">
        <v>0</v>
      </c>
      <c r="D15" s="2" t="n">
        <v>106</v>
      </c>
      <c r="E15" s="2" t="n">
        <v>0</v>
      </c>
      <c r="F15" s="2" t="n">
        <v>106</v>
      </c>
      <c r="G15" s="2" t="n">
        <v>106</v>
      </c>
      <c r="H15" s="2" t="n">
        <v>106</v>
      </c>
      <c r="I15" s="2" t="n">
        <v>106</v>
      </c>
      <c r="J15" s="2" t="n">
        <v>105.5</v>
      </c>
      <c r="K15" s="2" t="n">
        <v>106</v>
      </c>
      <c r="L15" s="2" t="n">
        <v>106</v>
      </c>
      <c r="M15" s="2" t="n">
        <v>106</v>
      </c>
      <c r="N15" s="2" t="n">
        <v>106</v>
      </c>
      <c r="O15" s="2" t="n">
        <v>106</v>
      </c>
      <c r="P15" s="2" t="n">
        <v>106</v>
      </c>
      <c r="Q15" s="2" t="n">
        <v>106</v>
      </c>
      <c r="R15" s="2" t="n">
        <v>105.5</v>
      </c>
      <c r="S15" s="2" t="n">
        <v>106</v>
      </c>
    </row>
    <row r="16">
      <c r="A16" s="2" t="inlineStr">
        <is>
          <t>C4-015</t>
        </is>
      </c>
      <c r="B16" s="2" t="inlineStr">
        <is>
          <t>BitCurator Environment</t>
        </is>
      </c>
      <c r="C16" s="2" t="n">
        <v>2.346153846153846</v>
      </c>
      <c r="D16" s="2" t="n">
        <v>98</v>
      </c>
      <c r="E16" s="2" t="n">
        <v>3.388888888888889</v>
      </c>
      <c r="F16" s="2" t="n">
        <v>98</v>
      </c>
      <c r="G16" s="2" t="n">
        <v>98</v>
      </c>
      <c r="H16" s="2" t="n">
        <v>98</v>
      </c>
      <c r="I16" s="2" t="n">
        <v>99</v>
      </c>
      <c r="J16" s="2" t="n">
        <v>97</v>
      </c>
      <c r="K16" s="2" t="n">
        <v>98</v>
      </c>
      <c r="L16" s="2" t="n">
        <v>98</v>
      </c>
      <c r="M16" s="2" t="n">
        <v>98</v>
      </c>
      <c r="N16" s="2" t="n">
        <v>98</v>
      </c>
      <c r="O16" s="2" t="n">
        <v>98</v>
      </c>
      <c r="P16" s="2" t="n">
        <v>98</v>
      </c>
      <c r="Q16" s="2" t="n">
        <v>98</v>
      </c>
      <c r="R16" s="2" t="n">
        <v>98</v>
      </c>
      <c r="S16" s="2" t="n">
        <v>98</v>
      </c>
    </row>
    <row r="17">
      <c r="A17" s="2" t="inlineStr">
        <is>
          <t>C4-016</t>
        </is>
      </c>
      <c r="B17" s="2" t="inlineStr">
        <is>
          <t>Blacklight</t>
        </is>
      </c>
      <c r="C17" s="2" t="n">
        <v>65.48846153846154</v>
      </c>
      <c r="D17" s="2" t="n">
        <v>32</v>
      </c>
      <c r="E17" s="2" t="n">
        <v>65.48846153846154</v>
      </c>
      <c r="F17" s="2" t="n">
        <v>49</v>
      </c>
      <c r="G17" s="2" t="n">
        <v>31</v>
      </c>
      <c r="H17" s="2" t="n">
        <v>31</v>
      </c>
      <c r="I17" s="2" t="n">
        <v>32</v>
      </c>
      <c r="J17" s="2" t="n">
        <v>35</v>
      </c>
      <c r="K17" s="2" t="n">
        <v>32</v>
      </c>
      <c r="L17" s="2" t="n">
        <v>34</v>
      </c>
      <c r="M17" s="2" t="n">
        <v>32</v>
      </c>
      <c r="N17" s="2" t="n">
        <v>37</v>
      </c>
      <c r="O17" s="2" t="n">
        <v>37</v>
      </c>
      <c r="P17" s="2" t="n">
        <v>27</v>
      </c>
      <c r="Q17" s="2" t="n">
        <v>32</v>
      </c>
      <c r="R17" s="2" t="n">
        <v>35</v>
      </c>
      <c r="S17" s="2" t="n">
        <v>33</v>
      </c>
    </row>
    <row r="18">
      <c r="A18" s="2" t="inlineStr">
        <is>
          <t>C4-017</t>
        </is>
      </c>
      <c r="B18" s="2" t="inlineStr">
        <is>
          <t>BrCRIS</t>
        </is>
      </c>
      <c r="C18" s="2" t="n">
        <v>35.57769230769231</v>
      </c>
      <c r="D18" s="2" t="n">
        <v>76</v>
      </c>
      <c r="E18" s="2" t="n">
        <v>66.07285714285715</v>
      </c>
      <c r="F18" s="2" t="n">
        <v>48</v>
      </c>
      <c r="G18" s="2" t="n">
        <v>76</v>
      </c>
      <c r="H18" s="2" t="n">
        <v>76</v>
      </c>
      <c r="I18" s="2" t="n">
        <v>76</v>
      </c>
      <c r="J18" s="2" t="n">
        <v>75</v>
      </c>
      <c r="K18" s="2" t="n">
        <v>75</v>
      </c>
      <c r="L18" s="2" t="n">
        <v>74</v>
      </c>
      <c r="M18" s="2" t="n">
        <v>74</v>
      </c>
      <c r="N18" s="2" t="n">
        <v>75</v>
      </c>
      <c r="O18" s="2" t="n">
        <v>75</v>
      </c>
      <c r="P18" s="2" t="n">
        <v>75</v>
      </c>
      <c r="Q18" s="2" t="n">
        <v>71</v>
      </c>
      <c r="R18" s="2" t="n">
        <v>76</v>
      </c>
      <c r="S18" s="2" t="n">
        <v>76</v>
      </c>
    </row>
    <row r="19">
      <c r="A19" s="2" t="inlineStr">
        <is>
          <t>C4-018</t>
        </is>
      </c>
      <c r="B19" s="2" t="inlineStr">
        <is>
          <t>Browsertrix</t>
        </is>
      </c>
      <c r="C19" s="2" t="n">
        <v>78.18076923076923</v>
      </c>
      <c r="D19" s="2" t="n">
        <v>12</v>
      </c>
      <c r="E19" s="2" t="n">
        <v>78.18076923076923</v>
      </c>
      <c r="F19" s="2" t="n">
        <v>16</v>
      </c>
      <c r="G19" s="2" t="n">
        <v>13</v>
      </c>
      <c r="H19" s="2" t="n">
        <v>13</v>
      </c>
      <c r="I19" s="2" t="n">
        <v>12</v>
      </c>
      <c r="J19" s="2" t="n">
        <v>12</v>
      </c>
      <c r="K19" s="2" t="n">
        <v>9</v>
      </c>
      <c r="L19" s="2" t="n">
        <v>9</v>
      </c>
      <c r="M19" s="2" t="n">
        <v>9</v>
      </c>
      <c r="N19" s="2" t="n">
        <v>14</v>
      </c>
      <c r="O19" s="2" t="n">
        <v>14</v>
      </c>
      <c r="P19" s="2" t="n">
        <v>15</v>
      </c>
      <c r="Q19" s="2" t="n">
        <v>12</v>
      </c>
      <c r="R19" s="2" t="n">
        <v>15</v>
      </c>
      <c r="S19" s="2" t="n">
        <v>13</v>
      </c>
    </row>
    <row r="20">
      <c r="A20" s="2" t="inlineStr">
        <is>
          <t>C4-019</t>
        </is>
      </c>
      <c r="B20" s="2" t="inlineStr">
        <is>
          <t>CLOCKSS</t>
        </is>
      </c>
      <c r="C20" s="2" t="n">
        <v>50.69769230769231</v>
      </c>
      <c r="D20" s="2" t="n">
        <v>57</v>
      </c>
      <c r="E20" s="2" t="n">
        <v>73.23</v>
      </c>
      <c r="F20" s="2" t="n">
        <v>27</v>
      </c>
      <c r="G20" s="2" t="n">
        <v>57</v>
      </c>
      <c r="H20" s="2" t="n">
        <v>59</v>
      </c>
      <c r="I20" s="2" t="n">
        <v>57</v>
      </c>
      <c r="J20" s="2" t="n">
        <v>58</v>
      </c>
      <c r="K20" s="2" t="n">
        <v>57</v>
      </c>
      <c r="L20" s="2" t="n">
        <v>57</v>
      </c>
      <c r="M20" s="2" t="n">
        <v>59</v>
      </c>
      <c r="N20" s="2" t="n">
        <v>56</v>
      </c>
      <c r="O20" s="2" t="n">
        <v>51</v>
      </c>
      <c r="P20" s="2" t="n">
        <v>55</v>
      </c>
      <c r="Q20" s="2" t="n">
        <v>49</v>
      </c>
      <c r="R20" s="2" t="n">
        <v>56</v>
      </c>
      <c r="S20" s="2" t="n">
        <v>56</v>
      </c>
    </row>
    <row r="21">
      <c r="A21" s="2" t="inlineStr">
        <is>
          <t>C4-020</t>
        </is>
      </c>
      <c r="B21" s="2" t="inlineStr">
        <is>
          <t>COAR International Repository Directory (IRD)</t>
        </is>
      </c>
      <c r="C21" s="2" t="n">
        <v>40.10230769230769</v>
      </c>
      <c r="D21" s="2" t="n">
        <v>68</v>
      </c>
      <c r="E21" s="2" t="n">
        <v>47.39363636363636</v>
      </c>
      <c r="F21" s="2" t="n">
        <v>69</v>
      </c>
      <c r="G21" s="2" t="n">
        <v>68</v>
      </c>
      <c r="H21" s="2" t="n">
        <v>70</v>
      </c>
      <c r="I21" s="2" t="n">
        <v>68</v>
      </c>
      <c r="J21" s="2" t="n">
        <v>71</v>
      </c>
      <c r="K21" s="2" t="n">
        <v>68</v>
      </c>
      <c r="L21" s="2" t="n">
        <v>69</v>
      </c>
      <c r="M21" s="2" t="n">
        <v>66</v>
      </c>
      <c r="N21" s="2" t="n">
        <v>74</v>
      </c>
      <c r="O21" s="2" t="n">
        <v>68</v>
      </c>
      <c r="P21" s="2" t="n">
        <v>76</v>
      </c>
      <c r="Q21" s="2" t="n">
        <v>65</v>
      </c>
      <c r="R21" s="2" t="n">
        <v>67</v>
      </c>
      <c r="S21" s="2" t="n">
        <v>69</v>
      </c>
    </row>
    <row r="22">
      <c r="A22" s="2" t="inlineStr">
        <is>
          <t>C4-021</t>
        </is>
      </c>
      <c r="B22" s="2" t="inlineStr">
        <is>
          <t>COAR Notify</t>
        </is>
      </c>
      <c r="C22" s="2" t="n">
        <v>17.81384615384615</v>
      </c>
      <c r="D22" s="2" t="n">
        <v>91</v>
      </c>
      <c r="E22" s="2" t="n">
        <v>25.73111111111111</v>
      </c>
      <c r="F22" s="2" t="n">
        <v>92</v>
      </c>
      <c r="G22" s="2" t="n">
        <v>91</v>
      </c>
      <c r="H22" s="2" t="n">
        <v>91</v>
      </c>
      <c r="I22" s="2" t="n">
        <v>89</v>
      </c>
      <c r="J22" s="2" t="n">
        <v>86</v>
      </c>
      <c r="K22" s="2" t="n">
        <v>92</v>
      </c>
      <c r="L22" s="2" t="n">
        <v>91</v>
      </c>
      <c r="M22" s="2" t="n">
        <v>91</v>
      </c>
      <c r="N22" s="2" t="n">
        <v>91</v>
      </c>
      <c r="O22" s="2" t="n">
        <v>91</v>
      </c>
      <c r="P22" s="2" t="n">
        <v>91</v>
      </c>
      <c r="Q22" s="2" t="n">
        <v>91</v>
      </c>
      <c r="R22" s="2" t="n">
        <v>90</v>
      </c>
      <c r="S22" s="2" t="n">
        <v>91</v>
      </c>
    </row>
    <row r="23">
      <c r="A23" s="2" t="inlineStr">
        <is>
          <t>C4-022</t>
        </is>
      </c>
      <c r="B23" s="2" t="inlineStr">
        <is>
          <t>CollectiveAccess</t>
        </is>
      </c>
      <c r="C23" s="2" t="n">
        <v>75.15384615384616</v>
      </c>
      <c r="D23" s="2" t="n">
        <v>18</v>
      </c>
      <c r="E23" s="2" t="n">
        <v>75.15384615384616</v>
      </c>
      <c r="F23" s="2" t="n">
        <v>22</v>
      </c>
      <c r="G23" s="2" t="n">
        <v>18</v>
      </c>
      <c r="H23" s="2" t="n">
        <v>18</v>
      </c>
      <c r="I23" s="2" t="n">
        <v>18</v>
      </c>
      <c r="J23" s="2" t="n">
        <v>15</v>
      </c>
      <c r="K23" s="2" t="n">
        <v>15</v>
      </c>
      <c r="L23" s="2" t="n">
        <v>13</v>
      </c>
      <c r="M23" s="2" t="n">
        <v>18</v>
      </c>
      <c r="N23" s="2" t="n">
        <v>19</v>
      </c>
      <c r="O23" s="2" t="n">
        <v>20</v>
      </c>
      <c r="P23" s="2" t="n">
        <v>18</v>
      </c>
      <c r="Q23" s="2" t="n">
        <v>16</v>
      </c>
      <c r="R23" s="2" t="n">
        <v>19</v>
      </c>
      <c r="S23" s="2" t="n">
        <v>19</v>
      </c>
    </row>
    <row r="24">
      <c r="A24" s="2" t="inlineStr">
        <is>
          <t>C4-023</t>
        </is>
      </c>
      <c r="B24" s="2" t="inlineStr">
        <is>
          <t>CORE</t>
        </is>
      </c>
      <c r="C24" s="2" t="n">
        <v>37.85692307692307</v>
      </c>
      <c r="D24" s="2" t="n">
        <v>74</v>
      </c>
      <c r="E24" s="2" t="n">
        <v>70.30571428571429</v>
      </c>
      <c r="F24" s="2" t="n">
        <v>34</v>
      </c>
      <c r="G24" s="2" t="n">
        <v>75</v>
      </c>
      <c r="H24" s="2" t="n">
        <v>75</v>
      </c>
      <c r="I24" s="2" t="n">
        <v>74</v>
      </c>
      <c r="J24" s="2" t="n">
        <v>66</v>
      </c>
      <c r="K24" s="2" t="n">
        <v>76</v>
      </c>
      <c r="L24" s="2" t="n">
        <v>76</v>
      </c>
      <c r="M24" s="2" t="n">
        <v>76</v>
      </c>
      <c r="N24" s="2" t="n">
        <v>72</v>
      </c>
      <c r="O24" s="2" t="n">
        <v>72</v>
      </c>
      <c r="P24" s="2" t="n">
        <v>73</v>
      </c>
      <c r="Q24" s="2" t="n">
        <v>68</v>
      </c>
      <c r="R24" s="2" t="n">
        <v>73</v>
      </c>
      <c r="S24" s="2" t="n">
        <v>72</v>
      </c>
    </row>
    <row r="25">
      <c r="A25" s="2" t="inlineStr">
        <is>
          <t>C4-024</t>
        </is>
      </c>
      <c r="B25" s="2" t="inlineStr">
        <is>
          <t>COUNTER Code of Practice</t>
        </is>
      </c>
      <c r="C25" s="2" t="n">
        <v>22.69615384615384</v>
      </c>
      <c r="D25" s="2" t="n">
        <v>85</v>
      </c>
      <c r="E25" s="2" t="n">
        <v>42.15</v>
      </c>
      <c r="F25" s="2" t="n">
        <v>78</v>
      </c>
      <c r="G25" s="2" t="n">
        <v>85</v>
      </c>
      <c r="H25" s="2" t="n">
        <v>83</v>
      </c>
      <c r="I25" s="2" t="n">
        <v>85</v>
      </c>
      <c r="J25" s="2" t="n">
        <v>81</v>
      </c>
      <c r="K25" s="2" t="n">
        <v>87</v>
      </c>
      <c r="L25" s="2" t="n">
        <v>89</v>
      </c>
      <c r="M25" s="2" t="n">
        <v>86</v>
      </c>
      <c r="N25" s="2" t="n">
        <v>84</v>
      </c>
      <c r="O25" s="2" t="n">
        <v>85</v>
      </c>
      <c r="P25" s="2" t="n">
        <v>85</v>
      </c>
      <c r="Q25" s="2" t="n">
        <v>85</v>
      </c>
      <c r="R25" s="2" t="n">
        <v>83</v>
      </c>
      <c r="S25" s="2" t="n">
        <v>83</v>
      </c>
    </row>
    <row r="26">
      <c r="A26" s="2" t="inlineStr">
        <is>
          <t>C4-025</t>
        </is>
      </c>
      <c r="B26" s="2" t="inlineStr">
        <is>
          <t>Creative Commons Licenses</t>
        </is>
      </c>
      <c r="C26" s="2" t="n">
        <v>57.92307692307692</v>
      </c>
      <c r="D26" s="2" t="n">
        <v>48</v>
      </c>
      <c r="E26" s="2" t="n">
        <v>57.92307692307692</v>
      </c>
      <c r="F26" s="2" t="n">
        <v>60</v>
      </c>
      <c r="G26" s="2" t="n">
        <v>45</v>
      </c>
      <c r="H26" s="2" t="n">
        <v>40</v>
      </c>
      <c r="I26" s="2" t="n">
        <v>48</v>
      </c>
      <c r="J26" s="2" t="n">
        <v>34</v>
      </c>
      <c r="K26" s="2" t="n">
        <v>46</v>
      </c>
      <c r="L26" s="2" t="n">
        <v>45</v>
      </c>
      <c r="M26" s="2" t="n">
        <v>39</v>
      </c>
      <c r="N26" s="2" t="n">
        <v>53</v>
      </c>
      <c r="O26" s="2" t="n">
        <v>50</v>
      </c>
      <c r="P26" s="2" t="n">
        <v>52</v>
      </c>
      <c r="Q26" s="2" t="n">
        <v>46</v>
      </c>
      <c r="R26" s="2" t="n">
        <v>54</v>
      </c>
      <c r="S26" s="2" t="n">
        <v>55</v>
      </c>
    </row>
    <row r="27">
      <c r="A27" s="2" t="inlineStr">
        <is>
          <t>C4-026</t>
        </is>
      </c>
      <c r="B27" s="2" t="inlineStr">
        <is>
          <t>Crossref Metadata Retrieval</t>
        </is>
      </c>
      <c r="C27" s="2" t="n">
        <v>36.80615384615385</v>
      </c>
      <c r="D27" s="2" t="n">
        <v>75</v>
      </c>
      <c r="E27" s="2" t="n">
        <v>68.35428571428571</v>
      </c>
      <c r="F27" s="2" t="n">
        <v>42</v>
      </c>
      <c r="G27" s="2" t="n">
        <v>73</v>
      </c>
      <c r="H27" s="2" t="n">
        <v>73</v>
      </c>
      <c r="I27" s="2" t="n">
        <v>75</v>
      </c>
      <c r="J27" s="2" t="n">
        <v>76</v>
      </c>
      <c r="K27" s="2" t="n">
        <v>74</v>
      </c>
      <c r="L27" s="2" t="n">
        <v>75</v>
      </c>
      <c r="M27" s="2" t="n">
        <v>75</v>
      </c>
      <c r="N27" s="2" t="n">
        <v>73</v>
      </c>
      <c r="O27" s="2" t="n">
        <v>74</v>
      </c>
      <c r="P27" s="2" t="n">
        <v>74</v>
      </c>
      <c r="Q27" s="2" t="n">
        <v>70</v>
      </c>
      <c r="R27" s="2" t="n">
        <v>74</v>
      </c>
      <c r="S27" s="2" t="n">
        <v>74</v>
      </c>
    </row>
    <row r="28">
      <c r="A28" s="2" t="inlineStr">
        <is>
          <t>C4-027</t>
        </is>
      </c>
      <c r="B28" s="2" t="inlineStr">
        <is>
          <t>D4Science Infrastructure</t>
        </is>
      </c>
      <c r="C28" s="2" t="n">
        <v>0</v>
      </c>
      <c r="D28" s="2" t="n">
        <v>106</v>
      </c>
      <c r="E28" s="2" t="n">
        <v>0</v>
      </c>
      <c r="F28" s="2" t="n">
        <v>106</v>
      </c>
      <c r="G28" s="2" t="n">
        <v>106</v>
      </c>
      <c r="H28" s="2" t="n">
        <v>106</v>
      </c>
      <c r="I28" s="2" t="n">
        <v>106</v>
      </c>
      <c r="J28" s="2" t="n">
        <v>105.5</v>
      </c>
      <c r="K28" s="2" t="n">
        <v>106</v>
      </c>
      <c r="L28" s="2" t="n">
        <v>106</v>
      </c>
      <c r="M28" s="2" t="n">
        <v>106</v>
      </c>
      <c r="N28" s="2" t="n">
        <v>106</v>
      </c>
      <c r="O28" s="2" t="n">
        <v>106</v>
      </c>
      <c r="P28" s="2" t="n">
        <v>106</v>
      </c>
      <c r="Q28" s="2" t="n">
        <v>106</v>
      </c>
      <c r="R28" s="2" t="n">
        <v>105.5</v>
      </c>
      <c r="S28" s="2" t="n">
        <v>106</v>
      </c>
    </row>
    <row r="29">
      <c r="A29" s="2" t="inlineStr">
        <is>
          <t>C4-028</t>
        </is>
      </c>
      <c r="B29" s="2" t="inlineStr">
        <is>
          <t>DART (Digital Archivist's Resource Tool)</t>
        </is>
      </c>
      <c r="C29" s="2" t="n">
        <v>42.70846153846154</v>
      </c>
      <c r="D29" s="2" t="n">
        <v>66</v>
      </c>
      <c r="E29" s="2" t="n">
        <v>50.47363636363637</v>
      </c>
      <c r="F29" s="2" t="n">
        <v>67</v>
      </c>
      <c r="G29" s="2" t="n">
        <v>66</v>
      </c>
      <c r="H29" s="2" t="n">
        <v>65</v>
      </c>
      <c r="I29" s="2" t="n">
        <v>66</v>
      </c>
      <c r="J29" s="2" t="n">
        <v>69</v>
      </c>
      <c r="K29" s="2" t="n">
        <v>63</v>
      </c>
      <c r="L29" s="2" t="n">
        <v>64</v>
      </c>
      <c r="M29" s="2" t="n">
        <v>63</v>
      </c>
      <c r="N29" s="2" t="n">
        <v>76</v>
      </c>
      <c r="O29" s="2" t="n">
        <v>65</v>
      </c>
      <c r="P29" s="2" t="n">
        <v>64</v>
      </c>
      <c r="Q29" s="2" t="n">
        <v>63</v>
      </c>
      <c r="R29" s="2" t="n">
        <v>66</v>
      </c>
      <c r="S29" s="2" t="n">
        <v>64</v>
      </c>
    </row>
    <row r="30">
      <c r="A30" s="2" t="inlineStr">
        <is>
          <t>C4-029</t>
        </is>
      </c>
      <c r="B30" s="2" t="inlineStr">
        <is>
          <t>Database Information System</t>
        </is>
      </c>
      <c r="C30" s="2" t="n">
        <v>0</v>
      </c>
      <c r="D30" s="2" t="n">
        <v>106</v>
      </c>
      <c r="E30" s="2" t="n">
        <v>0</v>
      </c>
      <c r="F30" s="2" t="n">
        <v>106</v>
      </c>
      <c r="G30" s="2" t="n">
        <v>106</v>
      </c>
      <c r="H30" s="2" t="n">
        <v>106</v>
      </c>
      <c r="I30" s="2" t="n">
        <v>106</v>
      </c>
      <c r="J30" s="2" t="n">
        <v>105.5</v>
      </c>
      <c r="K30" s="2" t="n">
        <v>106</v>
      </c>
      <c r="L30" s="2" t="n">
        <v>106</v>
      </c>
      <c r="M30" s="2" t="n">
        <v>106</v>
      </c>
      <c r="N30" s="2" t="n">
        <v>106</v>
      </c>
      <c r="O30" s="2" t="n">
        <v>106</v>
      </c>
      <c r="P30" s="2" t="n">
        <v>106</v>
      </c>
      <c r="Q30" s="2" t="n">
        <v>106</v>
      </c>
      <c r="R30" s="2" t="n">
        <v>105.5</v>
      </c>
      <c r="S30" s="2" t="n">
        <v>106</v>
      </c>
    </row>
    <row r="31">
      <c r="A31" s="2" t="inlineStr">
        <is>
          <t>C4-030</t>
        </is>
      </c>
      <c r="B31" s="2" t="inlineStr">
        <is>
          <t>Data Citation Corpus</t>
        </is>
      </c>
      <c r="C31" s="2" t="n">
        <v>7.899999999999999</v>
      </c>
      <c r="D31" s="2" t="n">
        <v>95</v>
      </c>
      <c r="E31" s="2" t="n">
        <v>11.41111111111111</v>
      </c>
      <c r="F31" s="2" t="n">
        <v>95</v>
      </c>
      <c r="G31" s="2" t="n">
        <v>96</v>
      </c>
      <c r="H31" s="2" t="n">
        <v>95</v>
      </c>
      <c r="I31" s="2" t="n">
        <v>97</v>
      </c>
      <c r="J31" s="2" t="n">
        <v>95</v>
      </c>
      <c r="K31" s="2" t="n">
        <v>95</v>
      </c>
      <c r="L31" s="2" t="n">
        <v>95</v>
      </c>
      <c r="M31" s="2" t="n">
        <v>95</v>
      </c>
      <c r="N31" s="2" t="n">
        <v>94</v>
      </c>
      <c r="O31" s="2" t="n">
        <v>95</v>
      </c>
      <c r="P31" s="2" t="n">
        <v>94</v>
      </c>
      <c r="Q31" s="2" t="n">
        <v>95</v>
      </c>
      <c r="R31" s="2" t="n">
        <v>96</v>
      </c>
      <c r="S31" s="2" t="n">
        <v>95</v>
      </c>
    </row>
    <row r="32">
      <c r="A32" s="2" t="inlineStr">
        <is>
          <t>C4-031</t>
        </is>
      </c>
      <c r="B32" s="2" t="inlineStr">
        <is>
          <t>DataCite</t>
        </is>
      </c>
      <c r="C32" s="2" t="n">
        <v>70.75076923076924</v>
      </c>
      <c r="D32" s="2" t="n">
        <v>24</v>
      </c>
      <c r="E32" s="2" t="n">
        <v>70.75076923076924</v>
      </c>
      <c r="F32" s="2" t="n">
        <v>33</v>
      </c>
      <c r="G32" s="2" t="n">
        <v>27</v>
      </c>
      <c r="H32" s="2" t="n">
        <v>27</v>
      </c>
      <c r="I32" s="2" t="n">
        <v>24</v>
      </c>
      <c r="J32" s="2" t="n">
        <v>26</v>
      </c>
      <c r="K32" s="2" t="n">
        <v>23</v>
      </c>
      <c r="L32" s="2" t="n">
        <v>25</v>
      </c>
      <c r="M32" s="2" t="n">
        <v>25</v>
      </c>
      <c r="N32" s="2" t="n">
        <v>26</v>
      </c>
      <c r="O32" s="2" t="n">
        <v>26</v>
      </c>
      <c r="P32" s="2" t="n">
        <v>26</v>
      </c>
      <c r="Q32" s="2" t="n">
        <v>25</v>
      </c>
      <c r="R32" s="2" t="n">
        <v>21</v>
      </c>
      <c r="S32" s="2" t="n">
        <v>17</v>
      </c>
    </row>
    <row r="33">
      <c r="A33" s="2" t="inlineStr">
        <is>
          <t>C4-032</t>
        </is>
      </c>
      <c r="B33" s="2" t="inlineStr">
        <is>
          <t>Data Stewardship Wizard</t>
        </is>
      </c>
      <c r="C33" s="2" t="n">
        <v>58.44384615384615</v>
      </c>
      <c r="D33" s="2" t="n">
        <v>46</v>
      </c>
      <c r="E33" s="2" t="n">
        <v>63.31416666666667</v>
      </c>
      <c r="F33" s="2" t="n">
        <v>53</v>
      </c>
      <c r="G33" s="2" t="n">
        <v>48</v>
      </c>
      <c r="H33" s="2" t="n">
        <v>51</v>
      </c>
      <c r="I33" s="2" t="n">
        <v>46</v>
      </c>
      <c r="J33" s="2" t="n">
        <v>51</v>
      </c>
      <c r="K33" s="2" t="n">
        <v>43</v>
      </c>
      <c r="L33" s="2" t="n">
        <v>43</v>
      </c>
      <c r="M33" s="2" t="n">
        <v>46</v>
      </c>
      <c r="N33" s="2" t="n">
        <v>52</v>
      </c>
      <c r="O33" s="2" t="n">
        <v>38</v>
      </c>
      <c r="P33" s="2" t="n">
        <v>43</v>
      </c>
      <c r="Q33" s="2" t="n">
        <v>48</v>
      </c>
      <c r="R33" s="2" t="n">
        <v>44</v>
      </c>
      <c r="S33" s="2" t="n">
        <v>47</v>
      </c>
    </row>
    <row r="34">
      <c r="A34" s="2" t="inlineStr">
        <is>
          <t>C4-033</t>
        </is>
      </c>
      <c r="B34" s="2" t="inlineStr">
        <is>
          <t>Dataverse</t>
        </is>
      </c>
      <c r="C34" s="2" t="n">
        <v>83.00153846153846</v>
      </c>
      <c r="D34" s="2" t="n">
        <v>5</v>
      </c>
      <c r="E34" s="2" t="n">
        <v>83.00153846153846</v>
      </c>
      <c r="F34" s="2" t="n">
        <v>9</v>
      </c>
      <c r="G34" s="2" t="n">
        <v>6</v>
      </c>
      <c r="H34" s="2" t="n">
        <v>5</v>
      </c>
      <c r="I34" s="2" t="n">
        <v>5</v>
      </c>
      <c r="J34" s="2" t="n">
        <v>5</v>
      </c>
      <c r="K34" s="2" t="n">
        <v>6</v>
      </c>
      <c r="L34" s="2" t="n">
        <v>6</v>
      </c>
      <c r="M34" s="2" t="n">
        <v>5</v>
      </c>
      <c r="N34" s="2" t="n">
        <v>5</v>
      </c>
      <c r="O34" s="2" t="n">
        <v>6</v>
      </c>
      <c r="P34" s="2" t="n">
        <v>4</v>
      </c>
      <c r="Q34" s="2" t="n">
        <v>5</v>
      </c>
      <c r="R34" s="2" t="n">
        <v>4</v>
      </c>
      <c r="S34" s="2" t="n">
        <v>6</v>
      </c>
    </row>
    <row r="35">
      <c r="A35" s="2" t="inlineStr">
        <is>
          <t>C4-034</t>
        </is>
      </c>
      <c r="B35" s="2" t="inlineStr">
        <is>
          <t>DLCM Backend</t>
        </is>
      </c>
      <c r="C35" s="2" t="n">
        <v>45.49692307692307</v>
      </c>
      <c r="D35" s="2" t="n">
        <v>62</v>
      </c>
      <c r="E35" s="2" t="n">
        <v>84.49428571428571</v>
      </c>
      <c r="F35" s="2" t="n">
        <v>6</v>
      </c>
      <c r="G35" s="2" t="n">
        <v>61</v>
      </c>
      <c r="H35" s="2" t="n">
        <v>64</v>
      </c>
      <c r="I35" s="2" t="n">
        <v>62</v>
      </c>
      <c r="J35" s="2" t="n">
        <v>67</v>
      </c>
      <c r="K35" s="2" t="n">
        <v>62</v>
      </c>
      <c r="L35" s="2" t="n">
        <v>68</v>
      </c>
      <c r="M35" s="2" t="n">
        <v>68</v>
      </c>
      <c r="N35" s="2" t="n">
        <v>59</v>
      </c>
      <c r="O35" s="2" t="n">
        <v>59</v>
      </c>
      <c r="P35" s="2" t="n">
        <v>58</v>
      </c>
      <c r="Q35" s="2" t="n">
        <v>58</v>
      </c>
      <c r="R35" s="2" t="n">
        <v>60</v>
      </c>
      <c r="S35" s="2" t="n">
        <v>60</v>
      </c>
    </row>
    <row r="36">
      <c r="A36" s="2" t="inlineStr">
        <is>
          <t>C4-035</t>
        </is>
      </c>
      <c r="B36" s="2" t="inlineStr">
        <is>
          <t>DLCM Portal</t>
        </is>
      </c>
      <c r="C36" s="2" t="n">
        <v>38.55</v>
      </c>
      <c r="D36" s="2" t="n">
        <v>72</v>
      </c>
      <c r="E36" s="2" t="n">
        <v>71.59285714285714</v>
      </c>
      <c r="F36" s="2" t="n">
        <v>30</v>
      </c>
      <c r="G36" s="2" t="n">
        <v>72</v>
      </c>
      <c r="H36" s="2" t="n">
        <v>72</v>
      </c>
      <c r="I36" s="2" t="n">
        <v>72</v>
      </c>
      <c r="J36" s="2" t="n">
        <v>73</v>
      </c>
      <c r="K36" s="2" t="n">
        <v>73</v>
      </c>
      <c r="L36" s="2" t="n">
        <v>72</v>
      </c>
      <c r="M36" s="2" t="n">
        <v>73</v>
      </c>
      <c r="N36" s="2" t="n">
        <v>70</v>
      </c>
      <c r="O36" s="2" t="n">
        <v>70</v>
      </c>
      <c r="P36" s="2" t="n">
        <v>70</v>
      </c>
      <c r="Q36" s="2" t="n">
        <v>67</v>
      </c>
      <c r="R36" s="2" t="n">
        <v>72</v>
      </c>
      <c r="S36" s="2" t="n">
        <v>70</v>
      </c>
    </row>
    <row r="37">
      <c r="A37" s="2" t="inlineStr">
        <is>
          <t>C4-036</t>
        </is>
      </c>
      <c r="B37" s="2" t="inlineStr">
        <is>
          <t>DMP Tool</t>
        </is>
      </c>
      <c r="C37" s="2" t="n">
        <v>63.22153846153846</v>
      </c>
      <c r="D37" s="2" t="n">
        <v>37</v>
      </c>
      <c r="E37" s="2" t="n">
        <v>63.22153846153846</v>
      </c>
      <c r="F37" s="2" t="n">
        <v>54</v>
      </c>
      <c r="G37" s="2" t="n">
        <v>38</v>
      </c>
      <c r="H37" s="2" t="n">
        <v>37</v>
      </c>
      <c r="I37" s="2" t="n">
        <v>37</v>
      </c>
      <c r="J37" s="2" t="n">
        <v>32</v>
      </c>
      <c r="K37" s="2" t="n">
        <v>36</v>
      </c>
      <c r="L37" s="2" t="n">
        <v>35</v>
      </c>
      <c r="M37" s="2" t="n">
        <v>37</v>
      </c>
      <c r="N37" s="2" t="n">
        <v>38</v>
      </c>
      <c r="O37" s="2" t="n">
        <v>44</v>
      </c>
      <c r="P37" s="2" t="n">
        <v>42</v>
      </c>
      <c r="Q37" s="2" t="n">
        <v>41</v>
      </c>
      <c r="R37" s="2" t="n">
        <v>31</v>
      </c>
      <c r="S37" s="2" t="n">
        <v>35</v>
      </c>
    </row>
    <row r="38">
      <c r="A38" s="2" t="inlineStr">
        <is>
          <t>C4-037</t>
        </is>
      </c>
      <c r="B38" s="2" t="inlineStr">
        <is>
          <t>DOAJ (Directory of Open Access Journals)</t>
        </is>
      </c>
      <c r="C38" s="2" t="n">
        <v>62.02461538461539</v>
      </c>
      <c r="D38" s="2" t="n">
        <v>39</v>
      </c>
      <c r="E38" s="2" t="n">
        <v>73.30181818181818</v>
      </c>
      <c r="F38" s="2" t="n">
        <v>26</v>
      </c>
      <c r="G38" s="2" t="n">
        <v>41</v>
      </c>
      <c r="H38" s="2" t="n">
        <v>43</v>
      </c>
      <c r="I38" s="2" t="n">
        <v>39</v>
      </c>
      <c r="J38" s="2" t="n">
        <v>43</v>
      </c>
      <c r="K38" s="2" t="n">
        <v>42</v>
      </c>
      <c r="L38" s="2" t="n">
        <v>46</v>
      </c>
      <c r="M38" s="2" t="n">
        <v>41</v>
      </c>
      <c r="N38" s="2" t="n">
        <v>33</v>
      </c>
      <c r="O38" s="2" t="n">
        <v>35</v>
      </c>
      <c r="P38" s="2" t="n">
        <v>35</v>
      </c>
      <c r="Q38" s="2" t="n">
        <v>33</v>
      </c>
      <c r="R38" s="2" t="n">
        <v>37</v>
      </c>
      <c r="S38" s="2" t="n">
        <v>37</v>
      </c>
    </row>
    <row r="39">
      <c r="A39" s="2" t="inlineStr">
        <is>
          <t>C4-038</t>
        </is>
      </c>
      <c r="B39" s="2" t="inlineStr">
        <is>
          <t>dokieli</t>
        </is>
      </c>
      <c r="C39" s="2" t="n">
        <v>52.61923076923077</v>
      </c>
      <c r="D39" s="2" t="n">
        <v>56</v>
      </c>
      <c r="E39" s="2" t="n">
        <v>52.61923076923077</v>
      </c>
      <c r="F39" s="2" t="n">
        <v>65</v>
      </c>
      <c r="G39" s="2" t="n">
        <v>56</v>
      </c>
      <c r="H39" s="2" t="n">
        <v>56</v>
      </c>
      <c r="I39" s="2" t="n">
        <v>56</v>
      </c>
      <c r="J39" s="2" t="n">
        <v>47</v>
      </c>
      <c r="K39" s="2" t="n">
        <v>55</v>
      </c>
      <c r="L39" s="2" t="n">
        <v>56</v>
      </c>
      <c r="M39" s="2" t="n">
        <v>55</v>
      </c>
      <c r="N39" s="2" t="n">
        <v>55</v>
      </c>
      <c r="O39" s="2" t="n">
        <v>56</v>
      </c>
      <c r="P39" s="2" t="n">
        <v>56</v>
      </c>
      <c r="Q39" s="2" t="n">
        <v>59</v>
      </c>
      <c r="R39" s="2" t="n">
        <v>57</v>
      </c>
      <c r="S39" s="2" t="n">
        <v>57</v>
      </c>
    </row>
    <row r="40">
      <c r="A40" s="2" t="inlineStr">
        <is>
          <t>C4-039</t>
        </is>
      </c>
      <c r="B40" s="2" t="inlineStr">
        <is>
          <t>Dryad</t>
        </is>
      </c>
      <c r="C40" s="2" t="n">
        <v>56.5023076923077</v>
      </c>
      <c r="D40" s="2" t="n">
        <v>52</v>
      </c>
      <c r="E40" s="2" t="n">
        <v>66.77545454545455</v>
      </c>
      <c r="F40" s="2" t="n">
        <v>45</v>
      </c>
      <c r="G40" s="2" t="n">
        <v>55</v>
      </c>
      <c r="H40" s="2" t="n">
        <v>55</v>
      </c>
      <c r="I40" s="2" t="n">
        <v>52</v>
      </c>
      <c r="J40" s="2" t="n">
        <v>54</v>
      </c>
      <c r="K40" s="2" t="n">
        <v>49</v>
      </c>
      <c r="L40" s="2" t="n">
        <v>47</v>
      </c>
      <c r="M40" s="2" t="n">
        <v>53</v>
      </c>
      <c r="N40" s="2" t="n">
        <v>50</v>
      </c>
      <c r="O40" s="2" t="n">
        <v>48</v>
      </c>
      <c r="P40" s="2" t="n">
        <v>49</v>
      </c>
      <c r="Q40" s="2" t="n">
        <v>53</v>
      </c>
      <c r="R40" s="2" t="n">
        <v>49</v>
      </c>
      <c r="S40" s="2" t="n">
        <v>46</v>
      </c>
    </row>
    <row r="41">
      <c r="A41" s="2" t="inlineStr">
        <is>
          <t>C4-040</t>
        </is>
      </c>
      <c r="B41" s="2" t="inlineStr">
        <is>
          <t>DSpace</t>
        </is>
      </c>
      <c r="C41" s="2" t="n">
        <v>84.53692307692307</v>
      </c>
      <c r="D41" s="2" t="n">
        <v>3</v>
      </c>
      <c r="E41" s="2" t="n">
        <v>84.53692307692307</v>
      </c>
      <c r="F41" s="2" t="n">
        <v>5</v>
      </c>
      <c r="G41" s="2" t="n">
        <v>3</v>
      </c>
      <c r="H41" s="2" t="n">
        <v>3</v>
      </c>
      <c r="I41" s="2" t="n">
        <v>3</v>
      </c>
      <c r="J41" s="2" t="n">
        <v>3</v>
      </c>
      <c r="K41" s="2" t="n">
        <v>4</v>
      </c>
      <c r="L41" s="2" t="n">
        <v>4</v>
      </c>
      <c r="M41" s="2" t="n">
        <v>3</v>
      </c>
      <c r="N41" s="2" t="n">
        <v>10</v>
      </c>
      <c r="O41" s="2" t="n">
        <v>3</v>
      </c>
      <c r="P41" s="2" t="n">
        <v>3</v>
      </c>
      <c r="Q41" s="2" t="n">
        <v>3</v>
      </c>
      <c r="R41" s="2" t="n">
        <v>3</v>
      </c>
      <c r="S41" s="2" t="n">
        <v>4</v>
      </c>
    </row>
    <row r="42">
      <c r="A42" s="2" t="inlineStr">
        <is>
          <t>C4-041</t>
        </is>
      </c>
      <c r="B42" s="2" t="inlineStr">
        <is>
          <t>DuraCloud</t>
        </is>
      </c>
      <c r="C42" s="2" t="n">
        <v>19.48153846153846</v>
      </c>
      <c r="D42" s="2" t="n">
        <v>87</v>
      </c>
      <c r="E42" s="2" t="n">
        <v>28.14</v>
      </c>
      <c r="F42" s="2" t="n">
        <v>89</v>
      </c>
      <c r="G42" s="2" t="n">
        <v>88</v>
      </c>
      <c r="H42" s="2" t="n">
        <v>88</v>
      </c>
      <c r="I42" s="2" t="n">
        <v>87</v>
      </c>
      <c r="J42" s="2" t="n">
        <v>90</v>
      </c>
      <c r="K42" s="2" t="n">
        <v>89</v>
      </c>
      <c r="L42" s="2" t="n">
        <v>87</v>
      </c>
      <c r="M42" s="2" t="n">
        <v>89</v>
      </c>
      <c r="N42" s="2" t="n">
        <v>87</v>
      </c>
      <c r="O42" s="2" t="n">
        <v>87</v>
      </c>
      <c r="P42" s="2" t="n">
        <v>87</v>
      </c>
      <c r="Q42" s="2" t="n">
        <v>87</v>
      </c>
      <c r="R42" s="2" t="n">
        <v>87</v>
      </c>
      <c r="S42" s="2" t="n">
        <v>87</v>
      </c>
    </row>
    <row r="43">
      <c r="A43" s="2" t="inlineStr">
        <is>
          <t>C4-042</t>
        </is>
      </c>
      <c r="B43" s="2" t="inlineStr">
        <is>
          <t>Episciences</t>
        </is>
      </c>
      <c r="C43" s="2" t="n">
        <v>63.49769230769231</v>
      </c>
      <c r="D43" s="2" t="n">
        <v>35</v>
      </c>
      <c r="E43" s="2" t="n">
        <v>63.49769230769231</v>
      </c>
      <c r="F43" s="2" t="n">
        <v>51</v>
      </c>
      <c r="G43" s="2" t="n">
        <v>36</v>
      </c>
      <c r="H43" s="2" t="n">
        <v>38</v>
      </c>
      <c r="I43" s="2" t="n">
        <v>35</v>
      </c>
      <c r="J43" s="2" t="n">
        <v>41</v>
      </c>
      <c r="K43" s="2" t="n">
        <v>34</v>
      </c>
      <c r="L43" s="2" t="n">
        <v>33</v>
      </c>
      <c r="M43" s="2" t="n">
        <v>34</v>
      </c>
      <c r="N43" s="2" t="n">
        <v>41</v>
      </c>
      <c r="O43" s="2" t="n">
        <v>33</v>
      </c>
      <c r="P43" s="2" t="n">
        <v>38</v>
      </c>
      <c r="Q43" s="2" t="n">
        <v>37</v>
      </c>
      <c r="R43" s="2" t="n">
        <v>32</v>
      </c>
      <c r="S43" s="2" t="n">
        <v>34</v>
      </c>
    </row>
    <row r="44">
      <c r="A44" s="2" t="inlineStr">
        <is>
          <t>C4-043</t>
        </is>
      </c>
      <c r="B44" s="2" t="inlineStr">
        <is>
          <t>EPrints</t>
        </is>
      </c>
      <c r="C44" s="2" t="n">
        <v>54.14769230769231</v>
      </c>
      <c r="D44" s="2" t="n">
        <v>55</v>
      </c>
      <c r="E44" s="2" t="n">
        <v>54.14769230769231</v>
      </c>
      <c r="F44" s="2" t="n">
        <v>63</v>
      </c>
      <c r="G44" s="2" t="n">
        <v>54</v>
      </c>
      <c r="H44" s="2" t="n">
        <v>54</v>
      </c>
      <c r="I44" s="2" t="n">
        <v>55</v>
      </c>
      <c r="J44" s="2" t="n">
        <v>45</v>
      </c>
      <c r="K44" s="2" t="n">
        <v>56</v>
      </c>
      <c r="L44" s="2" t="n">
        <v>54</v>
      </c>
      <c r="M44" s="2" t="n">
        <v>56</v>
      </c>
      <c r="N44" s="2" t="n">
        <v>54</v>
      </c>
      <c r="O44" s="2" t="n">
        <v>54</v>
      </c>
      <c r="P44" s="2" t="n">
        <v>57</v>
      </c>
      <c r="Q44" s="2" t="n">
        <v>57</v>
      </c>
      <c r="R44" s="2" t="n">
        <v>55</v>
      </c>
      <c r="S44" s="2" t="n">
        <v>54</v>
      </c>
    </row>
    <row r="45">
      <c r="A45" s="2" t="inlineStr">
        <is>
          <t>C4-044</t>
        </is>
      </c>
      <c r="B45" s="2" t="inlineStr">
        <is>
          <t>Érudit</t>
        </is>
      </c>
      <c r="C45" s="2" t="n">
        <v>0</v>
      </c>
      <c r="D45" s="2" t="n">
        <v>106</v>
      </c>
      <c r="E45" s="2" t="n">
        <v>0</v>
      </c>
      <c r="F45" s="2" t="n">
        <v>106</v>
      </c>
      <c r="G45" s="2" t="n">
        <v>106</v>
      </c>
      <c r="H45" s="2" t="n">
        <v>106</v>
      </c>
      <c r="I45" s="2" t="n">
        <v>106</v>
      </c>
      <c r="J45" s="2" t="n">
        <v>105.5</v>
      </c>
      <c r="K45" s="2" t="n">
        <v>106</v>
      </c>
      <c r="L45" s="2" t="n">
        <v>106</v>
      </c>
      <c r="M45" s="2" t="n">
        <v>106</v>
      </c>
      <c r="N45" s="2" t="n">
        <v>106</v>
      </c>
      <c r="O45" s="2" t="n">
        <v>106</v>
      </c>
      <c r="P45" s="2" t="n">
        <v>106</v>
      </c>
      <c r="Q45" s="2" t="n">
        <v>106</v>
      </c>
      <c r="R45" s="2" t="n">
        <v>105.5</v>
      </c>
      <c r="S45" s="2" t="n">
        <v>106</v>
      </c>
    </row>
    <row r="46">
      <c r="A46" s="2" t="inlineStr">
        <is>
          <t>C4-045</t>
        </is>
      </c>
      <c r="B46" s="2" t="inlineStr">
        <is>
          <t>Europe PMC</t>
        </is>
      </c>
      <c r="C46" s="2" t="n">
        <v>0</v>
      </c>
      <c r="D46" s="2" t="n">
        <v>106</v>
      </c>
      <c r="E46" s="2" t="n">
        <v>0</v>
      </c>
      <c r="F46" s="2" t="n">
        <v>106</v>
      </c>
      <c r="G46" s="2" t="n">
        <v>106</v>
      </c>
      <c r="H46" s="2" t="n">
        <v>106</v>
      </c>
      <c r="I46" s="2" t="n">
        <v>106</v>
      </c>
      <c r="J46" s="2" t="n">
        <v>105.5</v>
      </c>
      <c r="K46" s="2" t="n">
        <v>106</v>
      </c>
      <c r="L46" s="2" t="n">
        <v>106</v>
      </c>
      <c r="M46" s="2" t="n">
        <v>106</v>
      </c>
      <c r="N46" s="2" t="n">
        <v>106</v>
      </c>
      <c r="O46" s="2" t="n">
        <v>106</v>
      </c>
      <c r="P46" s="2" t="n">
        <v>106</v>
      </c>
      <c r="Q46" s="2" t="n">
        <v>106</v>
      </c>
      <c r="R46" s="2" t="n">
        <v>105.5</v>
      </c>
      <c r="S46" s="2" t="n">
        <v>106</v>
      </c>
    </row>
    <row r="47">
      <c r="A47" s="2" t="inlineStr">
        <is>
          <t>C4-046</t>
        </is>
      </c>
      <c r="B47" s="2" t="inlineStr">
        <is>
          <t>FAIR Wizard</t>
        </is>
      </c>
      <c r="C47" s="2" t="n">
        <v>17.91615384615385</v>
      </c>
      <c r="D47" s="2" t="n">
        <v>90</v>
      </c>
      <c r="E47" s="2" t="n">
        <v>33.27285714285714</v>
      </c>
      <c r="F47" s="2" t="n">
        <v>84</v>
      </c>
      <c r="G47" s="2" t="n">
        <v>89</v>
      </c>
      <c r="H47" s="2" t="n">
        <v>90</v>
      </c>
      <c r="I47" s="2" t="n">
        <v>88</v>
      </c>
      <c r="J47" s="2" t="n">
        <v>92</v>
      </c>
      <c r="K47" s="2" t="n">
        <v>90</v>
      </c>
      <c r="L47" s="2" t="n">
        <v>90</v>
      </c>
      <c r="M47" s="2" t="n">
        <v>90</v>
      </c>
      <c r="N47" s="2" t="n">
        <v>90</v>
      </c>
      <c r="O47" s="2" t="n">
        <v>90</v>
      </c>
      <c r="P47" s="2" t="n">
        <v>90</v>
      </c>
      <c r="Q47" s="2" t="n">
        <v>90</v>
      </c>
      <c r="R47" s="2" t="n">
        <v>89</v>
      </c>
      <c r="S47" s="2" t="n">
        <v>89</v>
      </c>
    </row>
    <row r="48">
      <c r="A48" s="2" t="inlineStr">
        <is>
          <t>C4-047</t>
        </is>
      </c>
      <c r="B48" s="2" t="inlineStr">
        <is>
          <t>Fedora</t>
        </is>
      </c>
      <c r="C48" s="2" t="n">
        <v>56.82307692307693</v>
      </c>
      <c r="D48" s="2" t="n">
        <v>51</v>
      </c>
      <c r="E48" s="2" t="n">
        <v>67.15454545454546</v>
      </c>
      <c r="F48" s="2" t="n">
        <v>44</v>
      </c>
      <c r="G48" s="2" t="n">
        <v>47</v>
      </c>
      <c r="H48" s="2" t="n">
        <v>48</v>
      </c>
      <c r="I48" s="2" t="n">
        <v>51</v>
      </c>
      <c r="J48" s="2" t="n">
        <v>53</v>
      </c>
      <c r="K48" s="2" t="n">
        <v>51</v>
      </c>
      <c r="L48" s="2" t="n">
        <v>50</v>
      </c>
      <c r="M48" s="2" t="n">
        <v>51</v>
      </c>
      <c r="N48" s="2" t="n">
        <v>47</v>
      </c>
      <c r="O48" s="2" t="n">
        <v>49</v>
      </c>
      <c r="P48" s="2" t="n">
        <v>48</v>
      </c>
      <c r="Q48" s="2" t="n">
        <v>51</v>
      </c>
      <c r="R48" s="2" t="n">
        <v>52</v>
      </c>
      <c r="S48" s="2" t="n">
        <v>51</v>
      </c>
    </row>
    <row r="49">
      <c r="A49" s="2" t="inlineStr">
        <is>
          <t>C4-048</t>
        </is>
      </c>
      <c r="B49" s="2" t="inlineStr">
        <is>
          <t>fido</t>
        </is>
      </c>
      <c r="C49" s="2" t="n">
        <v>18.16923076923077</v>
      </c>
      <c r="D49" s="2" t="n">
        <v>89</v>
      </c>
      <c r="E49" s="2" t="n">
        <v>26.24444444444444</v>
      </c>
      <c r="F49" s="2" t="n">
        <v>91</v>
      </c>
      <c r="G49" s="2" t="n">
        <v>90</v>
      </c>
      <c r="H49" s="2" t="n">
        <v>89</v>
      </c>
      <c r="I49" s="2" t="n">
        <v>92</v>
      </c>
      <c r="J49" s="2" t="n">
        <v>89</v>
      </c>
      <c r="K49" s="2" t="n">
        <v>88</v>
      </c>
      <c r="L49" s="2" t="n">
        <v>88</v>
      </c>
      <c r="M49" s="2" t="n">
        <v>88</v>
      </c>
      <c r="N49" s="2" t="n">
        <v>89</v>
      </c>
      <c r="O49" s="2" t="n">
        <v>89</v>
      </c>
      <c r="P49" s="2" t="n">
        <v>89</v>
      </c>
      <c r="Q49" s="2" t="n">
        <v>89</v>
      </c>
      <c r="R49" s="2" t="n">
        <v>91</v>
      </c>
      <c r="S49" s="2" t="n">
        <v>90</v>
      </c>
    </row>
    <row r="50">
      <c r="A50" s="2" t="inlineStr">
        <is>
          <t>C4-049</t>
        </is>
      </c>
      <c r="B50" s="2" t="inlineStr">
        <is>
          <t>Fulcrum</t>
        </is>
      </c>
      <c r="C50" s="2" t="n">
        <v>56.26153846153846</v>
      </c>
      <c r="D50" s="2" t="n">
        <v>53</v>
      </c>
      <c r="E50" s="2" t="n">
        <v>66.49090909090908</v>
      </c>
      <c r="F50" s="2" t="n">
        <v>46</v>
      </c>
      <c r="G50" s="2" t="n">
        <v>52</v>
      </c>
      <c r="H50" s="2" t="n">
        <v>53</v>
      </c>
      <c r="I50" s="2" t="n">
        <v>53</v>
      </c>
      <c r="J50" s="2" t="n">
        <v>55</v>
      </c>
      <c r="K50" s="2" t="n">
        <v>52</v>
      </c>
      <c r="L50" s="2" t="n">
        <v>52</v>
      </c>
      <c r="M50" s="2" t="n">
        <v>54</v>
      </c>
      <c r="N50" s="2" t="n">
        <v>51</v>
      </c>
      <c r="O50" s="2" t="n">
        <v>53</v>
      </c>
      <c r="P50" s="2" t="n">
        <v>50</v>
      </c>
      <c r="Q50" s="2" t="n">
        <v>54</v>
      </c>
      <c r="R50" s="2" t="n">
        <v>45</v>
      </c>
      <c r="S50" s="2" t="n">
        <v>48</v>
      </c>
    </row>
    <row r="51">
      <c r="A51" s="2" t="inlineStr">
        <is>
          <t>C4-050</t>
        </is>
      </c>
      <c r="B51" s="2" t="inlineStr">
        <is>
          <t>Galaxy</t>
        </is>
      </c>
      <c r="C51" s="2" t="n">
        <v>91.08307692307692</v>
      </c>
      <c r="D51" s="2" t="n">
        <v>2</v>
      </c>
      <c r="E51" s="2" t="n">
        <v>91.08307692307692</v>
      </c>
      <c r="F51" s="2" t="n">
        <v>3</v>
      </c>
      <c r="G51" s="2" t="n">
        <v>2</v>
      </c>
      <c r="H51" s="2" t="n">
        <v>2</v>
      </c>
      <c r="I51" s="2" t="n">
        <v>2</v>
      </c>
      <c r="J51" s="2" t="n">
        <v>2</v>
      </c>
      <c r="K51" s="2" t="n">
        <v>2</v>
      </c>
      <c r="L51" s="2" t="n">
        <v>2</v>
      </c>
      <c r="M51" s="2" t="n">
        <v>2</v>
      </c>
      <c r="N51" s="2" t="n">
        <v>2</v>
      </c>
      <c r="O51" s="2" t="n">
        <v>2</v>
      </c>
      <c r="P51" s="2" t="n">
        <v>2</v>
      </c>
      <c r="Q51" s="2" t="n">
        <v>2</v>
      </c>
      <c r="R51" s="2" t="n">
        <v>2</v>
      </c>
      <c r="S51" s="2" t="n">
        <v>2</v>
      </c>
    </row>
    <row r="52">
      <c r="A52" s="2" t="inlineStr">
        <is>
          <t>C4-051</t>
        </is>
      </c>
      <c r="B52" s="2" t="inlineStr">
        <is>
          <t>GeoServer</t>
        </is>
      </c>
      <c r="C52" s="2" t="n">
        <v>79.58615384615385</v>
      </c>
      <c r="D52" s="2" t="n">
        <v>10</v>
      </c>
      <c r="E52" s="2" t="n">
        <v>94.05636363636364</v>
      </c>
      <c r="F52" s="2" t="n">
        <v>1</v>
      </c>
      <c r="G52" s="2" t="n">
        <v>11</v>
      </c>
      <c r="H52" s="2" t="n">
        <v>10</v>
      </c>
      <c r="I52" s="2" t="n">
        <v>10</v>
      </c>
      <c r="J52" s="2" t="n">
        <v>10</v>
      </c>
      <c r="K52" s="2" t="n">
        <v>11</v>
      </c>
      <c r="L52" s="2" t="n">
        <v>11</v>
      </c>
      <c r="M52" s="2" t="n">
        <v>11</v>
      </c>
      <c r="N52" s="2" t="n">
        <v>3</v>
      </c>
      <c r="O52" s="2" t="n">
        <v>8</v>
      </c>
      <c r="P52" s="2" t="n">
        <v>5</v>
      </c>
      <c r="Q52" s="2" t="n">
        <v>11</v>
      </c>
      <c r="R52" s="2" t="n">
        <v>14</v>
      </c>
      <c r="S52" s="2" t="n">
        <v>15</v>
      </c>
    </row>
    <row r="53">
      <c r="A53" s="2" t="inlineStr">
        <is>
          <t>C4-052</t>
        </is>
      </c>
      <c r="B53" s="2" t="inlineStr">
        <is>
          <t>Hyku</t>
        </is>
      </c>
      <c r="C53" s="2" t="n">
        <v>73.6423076923077</v>
      </c>
      <c r="D53" s="2" t="n">
        <v>19</v>
      </c>
      <c r="E53" s="2" t="n">
        <v>73.6423076923077</v>
      </c>
      <c r="F53" s="2" t="n">
        <v>24</v>
      </c>
      <c r="G53" s="2" t="n">
        <v>21</v>
      </c>
      <c r="H53" s="2" t="n">
        <v>19</v>
      </c>
      <c r="I53" s="2" t="n">
        <v>19</v>
      </c>
      <c r="J53" s="2" t="n">
        <v>20</v>
      </c>
      <c r="K53" s="2" t="n">
        <v>19</v>
      </c>
      <c r="L53" s="2" t="n">
        <v>20</v>
      </c>
      <c r="M53" s="2" t="n">
        <v>19</v>
      </c>
      <c r="N53" s="2" t="n">
        <v>17</v>
      </c>
      <c r="O53" s="2" t="n">
        <v>21</v>
      </c>
      <c r="P53" s="2" t="n">
        <v>19</v>
      </c>
      <c r="Q53" s="2" t="n">
        <v>20</v>
      </c>
      <c r="R53" s="2" t="n">
        <v>18</v>
      </c>
      <c r="S53" s="2" t="n">
        <v>18</v>
      </c>
    </row>
    <row r="54">
      <c r="A54" s="2" t="inlineStr">
        <is>
          <t>C4-053</t>
        </is>
      </c>
      <c r="B54" s="2" t="inlineStr">
        <is>
          <t>Hyrax</t>
        </is>
      </c>
      <c r="C54" s="2" t="n">
        <v>71.3123076923077</v>
      </c>
      <c r="D54" s="2" t="n">
        <v>23</v>
      </c>
      <c r="E54" s="2" t="n">
        <v>71.3123076923077</v>
      </c>
      <c r="F54" s="2" t="n">
        <v>32</v>
      </c>
      <c r="G54" s="2" t="n">
        <v>23</v>
      </c>
      <c r="H54" s="2" t="n">
        <v>25</v>
      </c>
      <c r="I54" s="2" t="n">
        <v>23</v>
      </c>
      <c r="J54" s="2" t="n">
        <v>24</v>
      </c>
      <c r="K54" s="2" t="n">
        <v>24</v>
      </c>
      <c r="L54" s="2" t="n">
        <v>23</v>
      </c>
      <c r="M54" s="2" t="n">
        <v>23</v>
      </c>
      <c r="N54" s="2" t="n">
        <v>22</v>
      </c>
      <c r="O54" s="2" t="n">
        <v>24</v>
      </c>
      <c r="P54" s="2" t="n">
        <v>23</v>
      </c>
      <c r="Q54" s="2" t="n">
        <v>23</v>
      </c>
      <c r="R54" s="2" t="n">
        <v>23</v>
      </c>
      <c r="S54" s="2" t="n">
        <v>24</v>
      </c>
    </row>
    <row r="55">
      <c r="A55" s="2" t="inlineStr">
        <is>
          <t>C4-054</t>
        </is>
      </c>
      <c r="B55" s="2" t="inlineStr">
        <is>
          <t>IIIF</t>
        </is>
      </c>
      <c r="C55" s="2" t="n">
        <v>0</v>
      </c>
      <c r="D55" s="2" t="n">
        <v>106</v>
      </c>
      <c r="E55" s="2" t="n">
        <v>0</v>
      </c>
      <c r="F55" s="2" t="n">
        <v>106</v>
      </c>
      <c r="G55" s="2" t="n">
        <v>106</v>
      </c>
      <c r="H55" s="2" t="n">
        <v>106</v>
      </c>
      <c r="I55" s="2" t="n">
        <v>106</v>
      </c>
      <c r="J55" s="2" t="n">
        <v>105.5</v>
      </c>
      <c r="K55" s="2" t="n">
        <v>106</v>
      </c>
      <c r="L55" s="2" t="n">
        <v>106</v>
      </c>
      <c r="M55" s="2" t="n">
        <v>106</v>
      </c>
      <c r="N55" s="2" t="n">
        <v>106</v>
      </c>
      <c r="O55" s="2" t="n">
        <v>106</v>
      </c>
      <c r="P55" s="2" t="n">
        <v>106</v>
      </c>
      <c r="Q55" s="2" t="n">
        <v>106</v>
      </c>
      <c r="R55" s="2" t="n">
        <v>105.5</v>
      </c>
      <c r="S55" s="2" t="n">
        <v>106</v>
      </c>
    </row>
    <row r="56">
      <c r="A56" s="2" t="inlineStr">
        <is>
          <t>C4-055</t>
        </is>
      </c>
      <c r="B56" s="2" t="inlineStr">
        <is>
          <t>ImpactU</t>
        </is>
      </c>
      <c r="C56" s="2" t="n">
        <v>9.716923076923077</v>
      </c>
      <c r="D56" s="2" t="n">
        <v>94</v>
      </c>
      <c r="E56" s="2" t="n">
        <v>11.48363636363636</v>
      </c>
      <c r="F56" s="2" t="n">
        <v>94</v>
      </c>
      <c r="G56" s="2" t="n">
        <v>94</v>
      </c>
      <c r="H56" s="2" t="n">
        <v>94</v>
      </c>
      <c r="I56" s="2" t="n">
        <v>94</v>
      </c>
      <c r="J56" s="2" t="n">
        <v>93</v>
      </c>
      <c r="K56" s="2" t="n">
        <v>94</v>
      </c>
      <c r="L56" s="2" t="n">
        <v>94</v>
      </c>
      <c r="M56" s="2" t="n">
        <v>94</v>
      </c>
      <c r="N56" s="2" t="n">
        <v>97</v>
      </c>
      <c r="O56" s="2" t="n">
        <v>94</v>
      </c>
      <c r="P56" s="2" t="n">
        <v>96</v>
      </c>
      <c r="Q56" s="2" t="n">
        <v>94</v>
      </c>
      <c r="R56" s="2" t="n">
        <v>94</v>
      </c>
      <c r="S56" s="2" t="n">
        <v>94</v>
      </c>
    </row>
    <row r="57">
      <c r="A57" s="2" t="inlineStr">
        <is>
          <t>C4-056</t>
        </is>
      </c>
      <c r="B57" s="2" t="inlineStr">
        <is>
          <t>International Generic Sample Number (IGSN)</t>
        </is>
      </c>
      <c r="C57" s="2" t="n">
        <v>0</v>
      </c>
      <c r="D57" s="2" t="n">
        <v>106</v>
      </c>
      <c r="E57" s="2" t="n">
        <v>0</v>
      </c>
      <c r="F57" s="2" t="n">
        <v>106</v>
      </c>
      <c r="G57" s="2" t="n">
        <v>106</v>
      </c>
      <c r="H57" s="2" t="n">
        <v>106</v>
      </c>
      <c r="I57" s="2" t="n">
        <v>106</v>
      </c>
      <c r="J57" s="2" t="n">
        <v>105.5</v>
      </c>
      <c r="K57" s="2" t="n">
        <v>106</v>
      </c>
      <c r="L57" s="2" t="n">
        <v>106</v>
      </c>
      <c r="M57" s="2" t="n">
        <v>106</v>
      </c>
      <c r="N57" s="2" t="n">
        <v>106</v>
      </c>
      <c r="O57" s="2" t="n">
        <v>106</v>
      </c>
      <c r="P57" s="2" t="n">
        <v>106</v>
      </c>
      <c r="Q57" s="2" t="n">
        <v>106</v>
      </c>
      <c r="R57" s="2" t="n">
        <v>105.5</v>
      </c>
      <c r="S57" s="2" t="n">
        <v>106</v>
      </c>
    </row>
    <row r="58">
      <c r="A58" s="2" t="inlineStr">
        <is>
          <t>C4-057</t>
        </is>
      </c>
      <c r="B58" s="2" t="inlineStr">
        <is>
          <t>InvenioRDM</t>
        </is>
      </c>
      <c r="C58" s="2" t="n">
        <v>79.29923076923077</v>
      </c>
      <c r="D58" s="2" t="n">
        <v>11</v>
      </c>
      <c r="E58" s="2" t="n">
        <v>79.29923076923077</v>
      </c>
      <c r="F58" s="2" t="n">
        <v>15</v>
      </c>
      <c r="G58" s="2" t="n">
        <v>9</v>
      </c>
      <c r="H58" s="2" t="n">
        <v>11</v>
      </c>
      <c r="I58" s="2" t="n">
        <v>11</v>
      </c>
      <c r="J58" s="2" t="n">
        <v>11</v>
      </c>
      <c r="K58" s="2" t="n">
        <v>12</v>
      </c>
      <c r="L58" s="2" t="n">
        <v>12</v>
      </c>
      <c r="M58" s="2" t="n">
        <v>12</v>
      </c>
      <c r="N58" s="2" t="n">
        <v>12</v>
      </c>
      <c r="O58" s="2" t="n">
        <v>9</v>
      </c>
      <c r="P58" s="2" t="n">
        <v>13</v>
      </c>
      <c r="Q58" s="2" t="n">
        <v>9</v>
      </c>
      <c r="R58" s="2" t="n">
        <v>10</v>
      </c>
      <c r="S58" s="2" t="n">
        <v>10</v>
      </c>
    </row>
    <row r="59">
      <c r="A59" s="2" t="inlineStr">
        <is>
          <t>C4-058</t>
        </is>
      </c>
      <c r="B59" s="2" t="inlineStr">
        <is>
          <t>iRODS</t>
        </is>
      </c>
      <c r="C59" s="2" t="n">
        <v>71.41923076923077</v>
      </c>
      <c r="D59" s="2" t="n">
        <v>22</v>
      </c>
      <c r="E59" s="2" t="n">
        <v>71.41923076923077</v>
      </c>
      <c r="F59" s="2" t="n">
        <v>31</v>
      </c>
      <c r="G59" s="2" t="n">
        <v>22</v>
      </c>
      <c r="H59" s="2" t="n">
        <v>23</v>
      </c>
      <c r="I59" s="2" t="n">
        <v>22</v>
      </c>
      <c r="J59" s="2" t="n">
        <v>22</v>
      </c>
      <c r="K59" s="2" t="n">
        <v>22</v>
      </c>
      <c r="L59" s="2" t="n">
        <v>19</v>
      </c>
      <c r="M59" s="2" t="n">
        <v>22</v>
      </c>
      <c r="N59" s="2" t="n">
        <v>24</v>
      </c>
      <c r="O59" s="2" t="n">
        <v>29</v>
      </c>
      <c r="P59" s="2" t="n">
        <v>25</v>
      </c>
      <c r="Q59" s="2" t="n">
        <v>24</v>
      </c>
      <c r="R59" s="2" t="n">
        <v>24</v>
      </c>
      <c r="S59" s="2" t="n">
        <v>22</v>
      </c>
    </row>
    <row r="60">
      <c r="A60" s="2" t="inlineStr">
        <is>
          <t>C4-059</t>
        </is>
      </c>
      <c r="B60" s="2" t="inlineStr">
        <is>
          <t>Islandora</t>
        </is>
      </c>
      <c r="C60" s="2" t="n">
        <v>54.81538461538462</v>
      </c>
      <c r="D60" s="2" t="n">
        <v>54</v>
      </c>
      <c r="E60" s="2" t="n">
        <v>59.38333333333333</v>
      </c>
      <c r="F60" s="2" t="n">
        <v>57</v>
      </c>
      <c r="G60" s="2" t="n">
        <v>51</v>
      </c>
      <c r="H60" s="2" t="n">
        <v>47</v>
      </c>
      <c r="I60" s="2" t="n">
        <v>54</v>
      </c>
      <c r="J60" s="2" t="n">
        <v>56</v>
      </c>
      <c r="K60" s="2" t="n">
        <v>54</v>
      </c>
      <c r="L60" s="2" t="n">
        <v>55</v>
      </c>
      <c r="M60" s="2" t="n">
        <v>52</v>
      </c>
      <c r="N60" s="2" t="n">
        <v>57</v>
      </c>
      <c r="O60" s="2" t="n">
        <v>57</v>
      </c>
      <c r="P60" s="2" t="n">
        <v>51</v>
      </c>
      <c r="Q60" s="2" t="n">
        <v>55</v>
      </c>
      <c r="R60" s="2" t="n">
        <v>53</v>
      </c>
      <c r="S60" s="2" t="n">
        <v>53</v>
      </c>
    </row>
    <row r="61">
      <c r="A61" s="2" t="inlineStr">
        <is>
          <t>C4-060</t>
        </is>
      </c>
      <c r="B61" s="2" t="inlineStr">
        <is>
          <t>Janeway</t>
        </is>
      </c>
      <c r="C61" s="2" t="n">
        <v>68.74846153846154</v>
      </c>
      <c r="D61" s="2" t="n">
        <v>29</v>
      </c>
      <c r="E61" s="2" t="n">
        <v>68.74846153846154</v>
      </c>
      <c r="F61" s="2" t="n">
        <v>41</v>
      </c>
      <c r="G61" s="2" t="n">
        <v>29</v>
      </c>
      <c r="H61" s="2" t="n">
        <v>29</v>
      </c>
      <c r="I61" s="2" t="n">
        <v>29</v>
      </c>
      <c r="J61" s="2" t="n">
        <v>30</v>
      </c>
      <c r="K61" s="2" t="n">
        <v>27</v>
      </c>
      <c r="L61" s="2" t="n">
        <v>28</v>
      </c>
      <c r="M61" s="2" t="n">
        <v>26</v>
      </c>
      <c r="N61" s="2" t="n">
        <v>28</v>
      </c>
      <c r="O61" s="2" t="n">
        <v>27</v>
      </c>
      <c r="P61" s="2" t="n">
        <v>30</v>
      </c>
      <c r="Q61" s="2" t="n">
        <v>27</v>
      </c>
      <c r="R61" s="2" t="n">
        <v>29</v>
      </c>
      <c r="S61" s="2" t="n">
        <v>31</v>
      </c>
    </row>
    <row r="62">
      <c r="A62" s="2" t="inlineStr">
        <is>
          <t>C4-061</t>
        </is>
      </c>
      <c r="B62" s="2" t="inlineStr">
        <is>
          <t>JHOVE</t>
        </is>
      </c>
      <c r="C62" s="2" t="n">
        <v>24.91307692307692</v>
      </c>
      <c r="D62" s="2" t="n">
        <v>81</v>
      </c>
      <c r="E62" s="2" t="n">
        <v>29.44272727272727</v>
      </c>
      <c r="F62" s="2" t="n">
        <v>86</v>
      </c>
      <c r="G62" s="2" t="n">
        <v>79</v>
      </c>
      <c r="H62" s="2" t="n">
        <v>79</v>
      </c>
      <c r="I62" s="2" t="n">
        <v>82</v>
      </c>
      <c r="J62" s="2" t="n">
        <v>79</v>
      </c>
      <c r="K62" s="2" t="n">
        <v>81</v>
      </c>
      <c r="L62" s="2" t="n">
        <v>82</v>
      </c>
      <c r="M62" s="2" t="n">
        <v>79</v>
      </c>
      <c r="N62" s="2" t="n">
        <v>86</v>
      </c>
      <c r="O62" s="2" t="n">
        <v>81</v>
      </c>
      <c r="P62" s="2" t="n">
        <v>81</v>
      </c>
      <c r="Q62" s="2" t="n">
        <v>81</v>
      </c>
      <c r="R62" s="2" t="n">
        <v>86</v>
      </c>
      <c r="S62" s="2" t="n">
        <v>84</v>
      </c>
    </row>
    <row r="63">
      <c r="A63" s="2" t="inlineStr">
        <is>
          <t>C4-062</t>
        </is>
      </c>
      <c r="B63" s="2" t="inlineStr">
        <is>
          <t>LA Referencia</t>
        </is>
      </c>
      <c r="C63" s="2" t="n">
        <v>47.61769230769231</v>
      </c>
      <c r="D63" s="2" t="n">
        <v>58</v>
      </c>
      <c r="E63" s="2" t="n">
        <v>56.27545454545454</v>
      </c>
      <c r="F63" s="2" t="n">
        <v>62</v>
      </c>
      <c r="G63" s="2" t="n">
        <v>60</v>
      </c>
      <c r="H63" s="2" t="n">
        <v>60</v>
      </c>
      <c r="I63" s="2" t="n">
        <v>59</v>
      </c>
      <c r="J63" s="2" t="n">
        <v>60</v>
      </c>
      <c r="K63" s="2" t="n">
        <v>58</v>
      </c>
      <c r="L63" s="2" t="n">
        <v>58</v>
      </c>
      <c r="M63" s="2" t="n">
        <v>57</v>
      </c>
      <c r="N63" s="2" t="n">
        <v>64</v>
      </c>
      <c r="O63" s="2" t="n">
        <v>58</v>
      </c>
      <c r="P63" s="2" t="n">
        <v>65</v>
      </c>
      <c r="Q63" s="2" t="n">
        <v>56</v>
      </c>
      <c r="R63" s="2" t="n">
        <v>58</v>
      </c>
      <c r="S63" s="2" t="n">
        <v>58</v>
      </c>
    </row>
    <row r="64">
      <c r="A64" s="2" t="inlineStr">
        <is>
          <t>C4-063</t>
        </is>
      </c>
      <c r="B64" s="2" t="inlineStr">
        <is>
          <t>Manifold</t>
        </is>
      </c>
      <c r="C64" s="2" t="n">
        <v>61.35538461538462</v>
      </c>
      <c r="D64" s="2" t="n">
        <v>41</v>
      </c>
      <c r="E64" s="2" t="n">
        <v>72.5109090909091</v>
      </c>
      <c r="F64" s="2" t="n">
        <v>28</v>
      </c>
      <c r="G64" s="2" t="n">
        <v>40</v>
      </c>
      <c r="H64" s="2" t="n">
        <v>42</v>
      </c>
      <c r="I64" s="2" t="n">
        <v>41</v>
      </c>
      <c r="J64" s="2" t="n">
        <v>46</v>
      </c>
      <c r="K64" s="2" t="n">
        <v>40</v>
      </c>
      <c r="L64" s="2" t="n">
        <v>44</v>
      </c>
      <c r="M64" s="2" t="n">
        <v>43</v>
      </c>
      <c r="N64" s="2" t="n">
        <v>36</v>
      </c>
      <c r="O64" s="2" t="n">
        <v>41</v>
      </c>
      <c r="P64" s="2" t="n">
        <v>36</v>
      </c>
      <c r="Q64" s="2" t="n">
        <v>43</v>
      </c>
      <c r="R64" s="2" t="n">
        <v>41</v>
      </c>
      <c r="S64" s="2" t="n">
        <v>38</v>
      </c>
    </row>
    <row r="65">
      <c r="A65" s="2" t="inlineStr">
        <is>
          <t>C4-064</t>
        </is>
      </c>
      <c r="B65" s="2" t="inlineStr">
        <is>
          <t>medRxiv</t>
        </is>
      </c>
      <c r="C65" s="2" t="n">
        <v>0</v>
      </c>
      <c r="D65" s="2" t="n">
        <v>106</v>
      </c>
      <c r="E65" s="2" t="n">
        <v>0</v>
      </c>
      <c r="F65" s="2" t="n">
        <v>106</v>
      </c>
      <c r="G65" s="2" t="n">
        <v>106</v>
      </c>
      <c r="H65" s="2" t="n">
        <v>106</v>
      </c>
      <c r="I65" s="2" t="n">
        <v>106</v>
      </c>
      <c r="J65" s="2" t="n">
        <v>105.5</v>
      </c>
      <c r="K65" s="2" t="n">
        <v>106</v>
      </c>
      <c r="L65" s="2" t="n">
        <v>106</v>
      </c>
      <c r="M65" s="2" t="n">
        <v>106</v>
      </c>
      <c r="N65" s="2" t="n">
        <v>106</v>
      </c>
      <c r="O65" s="2" t="n">
        <v>106</v>
      </c>
      <c r="P65" s="2" t="n">
        <v>106</v>
      </c>
      <c r="Q65" s="2" t="n">
        <v>106</v>
      </c>
      <c r="R65" s="2" t="n">
        <v>105.5</v>
      </c>
      <c r="S65" s="2" t="n">
        <v>106</v>
      </c>
    </row>
    <row r="66">
      <c r="A66" s="2" t="inlineStr">
        <is>
          <t>C4-065</t>
        </is>
      </c>
      <c r="B66" s="2" t="inlineStr">
        <is>
          <t>Metadata Encoding and Transmission Standard (METS)</t>
        </is>
      </c>
      <c r="C66" s="2" t="n">
        <v>0</v>
      </c>
      <c r="D66" s="2" t="n">
        <v>106</v>
      </c>
      <c r="E66" s="2" t="n">
        <v>0</v>
      </c>
      <c r="F66" s="2" t="n">
        <v>106</v>
      </c>
      <c r="G66" s="2" t="n">
        <v>106</v>
      </c>
      <c r="H66" s="2" t="n">
        <v>106</v>
      </c>
      <c r="I66" s="2" t="n">
        <v>106</v>
      </c>
      <c r="J66" s="2" t="n">
        <v>105.5</v>
      </c>
      <c r="K66" s="2" t="n">
        <v>106</v>
      </c>
      <c r="L66" s="2" t="n">
        <v>106</v>
      </c>
      <c r="M66" s="2" t="n">
        <v>106</v>
      </c>
      <c r="N66" s="2" t="n">
        <v>106</v>
      </c>
      <c r="O66" s="2" t="n">
        <v>106</v>
      </c>
      <c r="P66" s="2" t="n">
        <v>106</v>
      </c>
      <c r="Q66" s="2" t="n">
        <v>106</v>
      </c>
      <c r="R66" s="2" t="n">
        <v>105.5</v>
      </c>
      <c r="S66" s="2" t="n">
        <v>106</v>
      </c>
    </row>
    <row r="67">
      <c r="A67" s="2" t="inlineStr">
        <is>
          <t>C4-066</t>
        </is>
      </c>
      <c r="B67" s="2" t="inlineStr">
        <is>
          <t>Mirador</t>
        </is>
      </c>
      <c r="C67" s="2" t="n">
        <v>66.36538461538461</v>
      </c>
      <c r="D67" s="2" t="n">
        <v>31</v>
      </c>
      <c r="E67" s="2" t="n">
        <v>66.36538461538461</v>
      </c>
      <c r="F67" s="2" t="n">
        <v>47</v>
      </c>
      <c r="G67" s="2" t="n">
        <v>30</v>
      </c>
      <c r="H67" s="2" t="n">
        <v>30</v>
      </c>
      <c r="I67" s="2" t="n">
        <v>31</v>
      </c>
      <c r="J67" s="2" t="n">
        <v>33</v>
      </c>
      <c r="K67" s="2" t="n">
        <v>33</v>
      </c>
      <c r="L67" s="2" t="n">
        <v>30</v>
      </c>
      <c r="M67" s="2" t="n">
        <v>29</v>
      </c>
      <c r="N67" s="2" t="n">
        <v>32</v>
      </c>
      <c r="O67" s="2" t="n">
        <v>31</v>
      </c>
      <c r="P67" s="2" t="n">
        <v>32</v>
      </c>
      <c r="Q67" s="2" t="n">
        <v>30</v>
      </c>
      <c r="R67" s="2" t="n">
        <v>33</v>
      </c>
      <c r="S67" s="2" t="n">
        <v>36</v>
      </c>
    </row>
    <row r="68">
      <c r="A68" s="2" t="inlineStr">
        <is>
          <t>C4-067</t>
        </is>
      </c>
      <c r="B68" s="2" t="inlineStr">
        <is>
          <t>Mukurtu CMS</t>
        </is>
      </c>
      <c r="C68" s="2" t="n">
        <v>7.611538461538462</v>
      </c>
      <c r="D68" s="2" t="n">
        <v>97</v>
      </c>
      <c r="E68" s="2" t="n">
        <v>10.99444444444445</v>
      </c>
      <c r="F68" s="2" t="n">
        <v>97</v>
      </c>
      <c r="G68" s="2" t="n">
        <v>97</v>
      </c>
      <c r="H68" s="2" t="n">
        <v>97</v>
      </c>
      <c r="I68" s="2" t="n">
        <v>96</v>
      </c>
      <c r="J68" s="2" t="n">
        <v>96</v>
      </c>
      <c r="K68" s="2" t="n">
        <v>97</v>
      </c>
      <c r="L68" s="2" t="n">
        <v>97</v>
      </c>
      <c r="M68" s="2" t="n">
        <v>97</v>
      </c>
      <c r="N68" s="2" t="n">
        <v>96</v>
      </c>
      <c r="O68" s="2" t="n">
        <v>97</v>
      </c>
      <c r="P68" s="2" t="n">
        <v>97</v>
      </c>
      <c r="Q68" s="2" t="n">
        <v>97</v>
      </c>
      <c r="R68" s="2" t="n">
        <v>97</v>
      </c>
      <c r="S68" s="2" t="n">
        <v>97</v>
      </c>
    </row>
    <row r="69">
      <c r="A69" s="2" t="inlineStr">
        <is>
          <t>C4-068</t>
        </is>
      </c>
      <c r="B69" s="2" t="inlineStr">
        <is>
          <t>MyCoRe</t>
        </is>
      </c>
      <c r="C69" s="2" t="n">
        <v>64.11461538461539</v>
      </c>
      <c r="D69" s="2" t="n">
        <v>33</v>
      </c>
      <c r="E69" s="2" t="n">
        <v>75.77181818181818</v>
      </c>
      <c r="F69" s="2" t="n">
        <v>20</v>
      </c>
      <c r="G69" s="2" t="n">
        <v>33</v>
      </c>
      <c r="H69" s="2" t="n">
        <v>35</v>
      </c>
      <c r="I69" s="2" t="n">
        <v>33</v>
      </c>
      <c r="J69" s="2" t="n">
        <v>39</v>
      </c>
      <c r="K69" s="2" t="n">
        <v>39</v>
      </c>
      <c r="L69" s="2" t="n">
        <v>39</v>
      </c>
      <c r="M69" s="2" t="n">
        <v>38</v>
      </c>
      <c r="N69" s="2" t="n">
        <v>30</v>
      </c>
      <c r="O69" s="2" t="n">
        <v>36</v>
      </c>
      <c r="P69" s="2" t="n">
        <v>33</v>
      </c>
      <c r="Q69" s="2" t="n">
        <v>35</v>
      </c>
      <c r="R69" s="2" t="n">
        <v>34</v>
      </c>
      <c r="S69" s="2" t="n">
        <v>29</v>
      </c>
    </row>
    <row r="70">
      <c r="A70" s="2" t="inlineStr">
        <is>
          <t>C4-069</t>
        </is>
      </c>
      <c r="B70" s="2" t="inlineStr">
        <is>
          <t>NumPy</t>
        </is>
      </c>
      <c r="C70" s="2" t="n">
        <v>93.39538461538461</v>
      </c>
      <c r="D70" s="2" t="n">
        <v>1</v>
      </c>
      <c r="E70" s="2" t="n">
        <v>93.39538461538461</v>
      </c>
      <c r="F70" s="2" t="n">
        <v>2</v>
      </c>
      <c r="G70" s="2" t="n">
        <v>1</v>
      </c>
      <c r="H70" s="2" t="n">
        <v>1</v>
      </c>
      <c r="I70" s="2" t="n">
        <v>1</v>
      </c>
      <c r="J70" s="2" t="n">
        <v>1</v>
      </c>
      <c r="K70" s="2" t="n">
        <v>1</v>
      </c>
      <c r="L70" s="2" t="n">
        <v>1</v>
      </c>
      <c r="M70" s="2" t="n">
        <v>1</v>
      </c>
      <c r="N70" s="2" t="n">
        <v>1</v>
      </c>
      <c r="O70" s="2" t="n">
        <v>1</v>
      </c>
      <c r="P70" s="2" t="n">
        <v>1</v>
      </c>
      <c r="Q70" s="2" t="n">
        <v>1</v>
      </c>
      <c r="R70" s="2" t="n">
        <v>1</v>
      </c>
      <c r="S70" s="2" t="n">
        <v>1</v>
      </c>
    </row>
    <row r="71">
      <c r="A71" s="2" t="inlineStr">
        <is>
          <t>C4-070</t>
        </is>
      </c>
      <c r="B71" s="2" t="inlineStr">
        <is>
          <t>OA.Report</t>
        </is>
      </c>
      <c r="C71" s="2" t="n">
        <v>39.66692307692308</v>
      </c>
      <c r="D71" s="2" t="n">
        <v>70</v>
      </c>
      <c r="E71" s="2" t="n">
        <v>46.87909090909091</v>
      </c>
      <c r="F71" s="2" t="n">
        <v>71</v>
      </c>
      <c r="G71" s="2" t="n">
        <v>74</v>
      </c>
      <c r="H71" s="2" t="n">
        <v>74</v>
      </c>
      <c r="I71" s="2" t="n">
        <v>70</v>
      </c>
      <c r="J71" s="2" t="n">
        <v>62</v>
      </c>
      <c r="K71" s="2" t="n">
        <v>70</v>
      </c>
      <c r="L71" s="2" t="n">
        <v>67</v>
      </c>
      <c r="M71" s="2" t="n">
        <v>71</v>
      </c>
      <c r="N71" s="2" t="n">
        <v>68</v>
      </c>
      <c r="O71" s="2" t="n">
        <v>73</v>
      </c>
      <c r="P71" s="2" t="n">
        <v>68</v>
      </c>
      <c r="Q71" s="2" t="n">
        <v>75</v>
      </c>
      <c r="R71" s="2" t="n">
        <v>70</v>
      </c>
      <c r="S71" s="2" t="n">
        <v>65</v>
      </c>
    </row>
    <row r="72">
      <c r="A72" s="2" t="inlineStr">
        <is>
          <t>C4-071</t>
        </is>
      </c>
      <c r="B72" s="2" t="inlineStr">
        <is>
          <t>OA Switchboard</t>
        </is>
      </c>
      <c r="C72" s="2" t="n">
        <v>15.75769230769231</v>
      </c>
      <c r="D72" s="2" t="n">
        <v>92</v>
      </c>
      <c r="E72" s="2" t="n">
        <v>29.26428571428571</v>
      </c>
      <c r="F72" s="2" t="n">
        <v>87</v>
      </c>
      <c r="G72" s="2" t="n">
        <v>93</v>
      </c>
      <c r="H72" s="2" t="n">
        <v>93</v>
      </c>
      <c r="I72" s="2" t="n">
        <v>93</v>
      </c>
      <c r="J72" s="2" t="n">
        <v>88</v>
      </c>
      <c r="K72" s="2" t="n">
        <v>91</v>
      </c>
      <c r="L72" s="2" t="n">
        <v>92</v>
      </c>
      <c r="M72" s="2" t="n">
        <v>93</v>
      </c>
      <c r="N72" s="2" t="n">
        <v>92</v>
      </c>
      <c r="O72" s="2" t="n">
        <v>92</v>
      </c>
      <c r="P72" s="2" t="n">
        <v>92</v>
      </c>
      <c r="Q72" s="2" t="n">
        <v>92</v>
      </c>
      <c r="R72" s="2" t="n">
        <v>92</v>
      </c>
      <c r="S72" s="2" t="n">
        <v>92</v>
      </c>
    </row>
    <row r="73">
      <c r="A73" s="2" t="inlineStr">
        <is>
          <t>C4-072</t>
        </is>
      </c>
      <c r="B73" s="2" t="inlineStr">
        <is>
          <t>Omeka</t>
        </is>
      </c>
      <c r="C73" s="2" t="n">
        <v>60.06538461538462</v>
      </c>
      <c r="D73" s="2" t="n">
        <v>42</v>
      </c>
      <c r="E73" s="2" t="n">
        <v>60.06538461538462</v>
      </c>
      <c r="F73" s="2" t="n">
        <v>56</v>
      </c>
      <c r="G73" s="2" t="n">
        <v>43</v>
      </c>
      <c r="H73" s="2" t="n">
        <v>44</v>
      </c>
      <c r="I73" s="2" t="n">
        <v>42</v>
      </c>
      <c r="J73" s="2" t="n">
        <v>44</v>
      </c>
      <c r="K73" s="2" t="n">
        <v>41</v>
      </c>
      <c r="L73" s="2" t="n">
        <v>42</v>
      </c>
      <c r="M73" s="2" t="n">
        <v>42</v>
      </c>
      <c r="N73" s="2" t="n">
        <v>48</v>
      </c>
      <c r="O73" s="2" t="n">
        <v>39</v>
      </c>
      <c r="P73" s="2" t="n">
        <v>47</v>
      </c>
      <c r="Q73" s="2" t="n">
        <v>36</v>
      </c>
      <c r="R73" s="2" t="n">
        <v>47</v>
      </c>
      <c r="S73" s="2" t="n">
        <v>49</v>
      </c>
    </row>
    <row r="74">
      <c r="A74" s="2" t="inlineStr">
        <is>
          <t>C4-073</t>
        </is>
      </c>
      <c r="B74" s="2" t="inlineStr">
        <is>
          <t>OpenAIRE Graph</t>
        </is>
      </c>
      <c r="C74" s="2" t="n">
        <v>45.06076923076923</v>
      </c>
      <c r="D74" s="2" t="n">
        <v>63</v>
      </c>
      <c r="E74" s="2" t="n">
        <v>83.68428571428572</v>
      </c>
      <c r="F74" s="2" t="n">
        <v>8</v>
      </c>
      <c r="G74" s="2" t="n">
        <v>64</v>
      </c>
      <c r="H74" s="2" t="n">
        <v>66</v>
      </c>
      <c r="I74" s="2" t="n">
        <v>63</v>
      </c>
      <c r="J74" s="2" t="n">
        <v>63</v>
      </c>
      <c r="K74" s="2" t="n">
        <v>64</v>
      </c>
      <c r="L74" s="2" t="n">
        <v>66</v>
      </c>
      <c r="M74" s="2" t="n">
        <v>69</v>
      </c>
      <c r="N74" s="2" t="n">
        <v>61</v>
      </c>
      <c r="O74" s="2" t="n">
        <v>61</v>
      </c>
      <c r="P74" s="2" t="n">
        <v>60</v>
      </c>
      <c r="Q74" s="2" t="n">
        <v>60</v>
      </c>
      <c r="R74" s="2" t="n">
        <v>61</v>
      </c>
      <c r="S74" s="2" t="n">
        <v>61</v>
      </c>
    </row>
    <row r="75">
      <c r="A75" s="2" t="inlineStr">
        <is>
          <t>C4-074</t>
        </is>
      </c>
      <c r="B75" s="2" t="inlineStr">
        <is>
          <t>OpenAlex</t>
        </is>
      </c>
      <c r="C75" s="2" t="n">
        <v>63.10230769230769</v>
      </c>
      <c r="D75" s="2" t="n">
        <v>38</v>
      </c>
      <c r="E75" s="2" t="n">
        <v>74.57545454545455</v>
      </c>
      <c r="F75" s="2" t="n">
        <v>23</v>
      </c>
      <c r="G75" s="2" t="n">
        <v>39</v>
      </c>
      <c r="H75" s="2" t="n">
        <v>41</v>
      </c>
      <c r="I75" s="2" t="n">
        <v>38</v>
      </c>
      <c r="J75" s="2" t="n">
        <v>25</v>
      </c>
      <c r="K75" s="2" t="n">
        <v>38</v>
      </c>
      <c r="L75" s="2" t="n">
        <v>38</v>
      </c>
      <c r="M75" s="2" t="n">
        <v>40</v>
      </c>
      <c r="N75" s="2" t="n">
        <v>31</v>
      </c>
      <c r="O75" s="2" t="n">
        <v>40</v>
      </c>
      <c r="P75" s="2" t="n">
        <v>34</v>
      </c>
      <c r="Q75" s="2" t="n">
        <v>40</v>
      </c>
      <c r="R75" s="2" t="n">
        <v>38</v>
      </c>
      <c r="S75" s="2" t="n">
        <v>40</v>
      </c>
    </row>
    <row r="76">
      <c r="A76" s="2" t="inlineStr">
        <is>
          <t>C4-075</t>
        </is>
      </c>
      <c r="B76" s="2" t="inlineStr">
        <is>
          <t>OpenAPC</t>
        </is>
      </c>
      <c r="C76" s="2" t="n">
        <v>59.44769230769231</v>
      </c>
      <c r="D76" s="2" t="n">
        <v>43</v>
      </c>
      <c r="E76" s="2" t="n">
        <v>70.25636363636363</v>
      </c>
      <c r="F76" s="2" t="n">
        <v>36</v>
      </c>
      <c r="G76" s="2" t="n">
        <v>49</v>
      </c>
      <c r="H76" s="2" t="n">
        <v>50</v>
      </c>
      <c r="I76" s="2" t="n">
        <v>43</v>
      </c>
      <c r="J76" s="2" t="n">
        <v>48</v>
      </c>
      <c r="K76" s="2" t="n">
        <v>48</v>
      </c>
      <c r="L76" s="2" t="n">
        <v>40</v>
      </c>
      <c r="M76" s="2" t="n">
        <v>48</v>
      </c>
      <c r="N76" s="2" t="n">
        <v>40</v>
      </c>
      <c r="O76" s="2" t="n">
        <v>34</v>
      </c>
      <c r="P76" s="2" t="n">
        <v>39</v>
      </c>
      <c r="Q76" s="2" t="n">
        <v>45</v>
      </c>
      <c r="R76" s="2" t="n">
        <v>42</v>
      </c>
      <c r="S76" s="2" t="n">
        <v>43</v>
      </c>
    </row>
    <row r="77">
      <c r="A77" s="2" t="inlineStr">
        <is>
          <t>C4-076</t>
        </is>
      </c>
      <c r="B77" s="2" t="inlineStr">
        <is>
          <t>OpenCitations</t>
        </is>
      </c>
      <c r="C77" s="2" t="n">
        <v>31.36076923076923</v>
      </c>
      <c r="D77" s="2" t="n">
        <v>77</v>
      </c>
      <c r="E77" s="2" t="n">
        <v>45.29888888888889</v>
      </c>
      <c r="F77" s="2" t="n">
        <v>76</v>
      </c>
      <c r="G77" s="2" t="n">
        <v>77</v>
      </c>
      <c r="H77" s="2" t="n">
        <v>77</v>
      </c>
      <c r="I77" s="2" t="n">
        <v>77</v>
      </c>
      <c r="J77" s="2" t="n">
        <v>77</v>
      </c>
      <c r="K77" s="2" t="n">
        <v>77</v>
      </c>
      <c r="L77" s="2" t="n">
        <v>77</v>
      </c>
      <c r="M77" s="2" t="n">
        <v>77</v>
      </c>
      <c r="N77" s="2" t="n">
        <v>77</v>
      </c>
      <c r="O77" s="2" t="n">
        <v>77</v>
      </c>
      <c r="P77" s="2" t="n">
        <v>77</v>
      </c>
      <c r="Q77" s="2" t="n">
        <v>76</v>
      </c>
      <c r="R77" s="2" t="n">
        <v>77</v>
      </c>
      <c r="S77" s="2" t="n">
        <v>77</v>
      </c>
    </row>
    <row r="78">
      <c r="A78" s="2" t="inlineStr">
        <is>
          <t>C4-077</t>
        </is>
      </c>
      <c r="B78" s="2" t="inlineStr">
        <is>
          <t>openCost</t>
        </is>
      </c>
      <c r="C78" s="2" t="n">
        <v>24.40307692307692</v>
      </c>
      <c r="D78" s="2" t="n">
        <v>82</v>
      </c>
      <c r="E78" s="2" t="n">
        <v>28.84</v>
      </c>
      <c r="F78" s="2" t="n">
        <v>88</v>
      </c>
      <c r="G78" s="2" t="n">
        <v>81</v>
      </c>
      <c r="H78" s="2" t="n">
        <v>80</v>
      </c>
      <c r="I78" s="2" t="n">
        <v>83</v>
      </c>
      <c r="J78" s="2" t="n">
        <v>80</v>
      </c>
      <c r="K78" s="2" t="n">
        <v>82</v>
      </c>
      <c r="L78" s="2" t="n">
        <v>81</v>
      </c>
      <c r="M78" s="2" t="n">
        <v>83</v>
      </c>
      <c r="N78" s="2" t="n">
        <v>83</v>
      </c>
      <c r="O78" s="2" t="n">
        <v>82</v>
      </c>
      <c r="P78" s="2" t="n">
        <v>82</v>
      </c>
      <c r="Q78" s="2" t="n">
        <v>82</v>
      </c>
      <c r="R78" s="2" t="n">
        <v>82</v>
      </c>
      <c r="S78" s="2" t="n">
        <v>82</v>
      </c>
    </row>
    <row r="79">
      <c r="A79" s="2" t="inlineStr">
        <is>
          <t>C4-078</t>
        </is>
      </c>
      <c r="B79" s="2" t="inlineStr">
        <is>
          <t>Open Data Editor</t>
        </is>
      </c>
      <c r="C79" s="2" t="n">
        <v>43.17</v>
      </c>
      <c r="D79" s="2" t="n">
        <v>65</v>
      </c>
      <c r="E79" s="2" t="n">
        <v>51.01909090909091</v>
      </c>
      <c r="F79" s="2" t="n">
        <v>66</v>
      </c>
      <c r="G79" s="2" t="n">
        <v>62</v>
      </c>
      <c r="H79" s="2" t="n">
        <v>61</v>
      </c>
      <c r="I79" s="2" t="n">
        <v>65</v>
      </c>
      <c r="J79" s="2" t="n">
        <v>68</v>
      </c>
      <c r="K79" s="2" t="n">
        <v>66</v>
      </c>
      <c r="L79" s="2" t="n">
        <v>65</v>
      </c>
      <c r="M79" s="2" t="n">
        <v>61</v>
      </c>
      <c r="N79" s="2" t="n">
        <v>62</v>
      </c>
      <c r="O79" s="2" t="n">
        <v>66</v>
      </c>
      <c r="P79" s="2" t="n">
        <v>62</v>
      </c>
      <c r="Q79" s="2" t="n">
        <v>69</v>
      </c>
      <c r="R79" s="2" t="n">
        <v>69</v>
      </c>
      <c r="S79" s="2" t="n">
        <v>68</v>
      </c>
    </row>
    <row r="80">
      <c r="A80" s="2" t="inlineStr">
        <is>
          <t>C4-079</t>
        </is>
      </c>
      <c r="B80" s="2" t="inlineStr">
        <is>
          <t>OpenEdition</t>
        </is>
      </c>
      <c r="C80" s="2" t="n">
        <v>23.45692307692308</v>
      </c>
      <c r="D80" s="2" t="n">
        <v>84</v>
      </c>
      <c r="E80" s="2" t="n">
        <v>33.88222222222223</v>
      </c>
      <c r="F80" s="2" t="n">
        <v>83</v>
      </c>
      <c r="G80" s="2" t="n">
        <v>82</v>
      </c>
      <c r="H80" s="2" t="n">
        <v>81</v>
      </c>
      <c r="I80" s="2" t="n">
        <v>81</v>
      </c>
      <c r="J80" s="2" t="n">
        <v>85</v>
      </c>
      <c r="K80" s="2" t="n">
        <v>83</v>
      </c>
      <c r="L80" s="2" t="n">
        <v>83</v>
      </c>
      <c r="M80" s="2" t="n">
        <v>85</v>
      </c>
      <c r="N80" s="2" t="n">
        <v>82</v>
      </c>
      <c r="O80" s="2" t="n">
        <v>84</v>
      </c>
      <c r="P80" s="2" t="n">
        <v>84</v>
      </c>
      <c r="Q80" s="2" t="n">
        <v>84</v>
      </c>
      <c r="R80" s="2" t="n">
        <v>84</v>
      </c>
      <c r="S80" s="2" t="n">
        <v>85</v>
      </c>
    </row>
    <row r="81">
      <c r="A81" s="2" t="inlineStr">
        <is>
          <t>C4-080</t>
        </is>
      </c>
      <c r="B81" s="2" t="inlineStr">
        <is>
          <t>Open Journal Systems (OJS)</t>
        </is>
      </c>
      <c r="C81" s="2" t="n">
        <v>81.8</v>
      </c>
      <c r="D81" s="2" t="n">
        <v>7</v>
      </c>
      <c r="E81" s="2" t="n">
        <v>81.8</v>
      </c>
      <c r="F81" s="2" t="n">
        <v>11</v>
      </c>
      <c r="G81" s="2" t="n">
        <v>7</v>
      </c>
      <c r="H81" s="2" t="n">
        <v>7</v>
      </c>
      <c r="I81" s="2" t="n">
        <v>7</v>
      </c>
      <c r="J81" s="2" t="n">
        <v>7</v>
      </c>
      <c r="K81" s="2" t="n">
        <v>7</v>
      </c>
      <c r="L81" s="2" t="n">
        <v>7</v>
      </c>
      <c r="M81" s="2" t="n">
        <v>7</v>
      </c>
      <c r="N81" s="2" t="n">
        <v>6</v>
      </c>
      <c r="O81" s="2" t="n">
        <v>4</v>
      </c>
      <c r="P81" s="2" t="n">
        <v>8</v>
      </c>
      <c r="Q81" s="2" t="n">
        <v>6</v>
      </c>
      <c r="R81" s="2" t="n">
        <v>8</v>
      </c>
      <c r="S81" s="2" t="n">
        <v>9</v>
      </c>
    </row>
    <row r="82">
      <c r="A82" s="2" t="inlineStr">
        <is>
          <t>C4-081</t>
        </is>
      </c>
      <c r="B82" s="2" t="inlineStr">
        <is>
          <t>Open Monograph Press (OMP)</t>
        </is>
      </c>
      <c r="C82" s="2" t="n">
        <v>75.2976923076923</v>
      </c>
      <c r="D82" s="2" t="n">
        <v>17</v>
      </c>
      <c r="E82" s="2" t="n">
        <v>75.2976923076923</v>
      </c>
      <c r="F82" s="2" t="n">
        <v>21</v>
      </c>
      <c r="G82" s="2" t="n">
        <v>17</v>
      </c>
      <c r="H82" s="2" t="n">
        <v>17</v>
      </c>
      <c r="I82" s="2" t="n">
        <v>17</v>
      </c>
      <c r="J82" s="2" t="n">
        <v>19</v>
      </c>
      <c r="K82" s="2" t="n">
        <v>18</v>
      </c>
      <c r="L82" s="2" t="n">
        <v>18</v>
      </c>
      <c r="M82" s="2" t="n">
        <v>17</v>
      </c>
      <c r="N82" s="2" t="n">
        <v>16</v>
      </c>
      <c r="O82" s="2" t="n">
        <v>12</v>
      </c>
      <c r="P82" s="2" t="n">
        <v>17</v>
      </c>
      <c r="Q82" s="2" t="n">
        <v>17</v>
      </c>
      <c r="R82" s="2" t="n">
        <v>16</v>
      </c>
      <c r="S82" s="2" t="n">
        <v>20</v>
      </c>
    </row>
    <row r="83">
      <c r="A83" s="2" t="inlineStr">
        <is>
          <t>C4-082</t>
        </is>
      </c>
      <c r="B83" s="2" t="inlineStr">
        <is>
          <t>Open Preprint Systems (OPS)</t>
        </is>
      </c>
      <c r="C83" s="2" t="n">
        <v>73.43846153846154</v>
      </c>
      <c r="D83" s="2" t="n">
        <v>20</v>
      </c>
      <c r="E83" s="2" t="n">
        <v>73.43846153846154</v>
      </c>
      <c r="F83" s="2" t="n">
        <v>25</v>
      </c>
      <c r="G83" s="2" t="n">
        <v>19</v>
      </c>
      <c r="H83" s="2" t="n">
        <v>20</v>
      </c>
      <c r="I83" s="2" t="n">
        <v>20</v>
      </c>
      <c r="J83" s="2" t="n">
        <v>21</v>
      </c>
      <c r="K83" s="2" t="n">
        <v>21</v>
      </c>
      <c r="L83" s="2" t="n">
        <v>22</v>
      </c>
      <c r="M83" s="2" t="n">
        <v>20</v>
      </c>
      <c r="N83" s="2" t="n">
        <v>21</v>
      </c>
      <c r="O83" s="2" t="n">
        <v>15</v>
      </c>
      <c r="P83" s="2" t="n">
        <v>20</v>
      </c>
      <c r="Q83" s="2" t="n">
        <v>19</v>
      </c>
      <c r="R83" s="2" t="n">
        <v>20</v>
      </c>
      <c r="S83" s="2" t="n">
        <v>21</v>
      </c>
    </row>
    <row r="84">
      <c r="A84" s="2" t="inlineStr">
        <is>
          <t>C4-083</t>
        </is>
      </c>
      <c r="B84" s="2" t="inlineStr">
        <is>
          <t>Openverse</t>
        </is>
      </c>
      <c r="C84" s="2" t="n">
        <v>45.52538461538462</v>
      </c>
      <c r="D84" s="2" t="n">
        <v>61</v>
      </c>
      <c r="E84" s="2" t="n">
        <v>45.52538461538462</v>
      </c>
      <c r="F84" s="2" t="n">
        <v>74</v>
      </c>
      <c r="G84" s="2" t="n">
        <v>58</v>
      </c>
      <c r="H84" s="2" t="n">
        <v>57</v>
      </c>
      <c r="I84" s="2" t="n">
        <v>61</v>
      </c>
      <c r="J84" s="2" t="n">
        <v>61</v>
      </c>
      <c r="K84" s="2" t="n">
        <v>61</v>
      </c>
      <c r="L84" s="2" t="n">
        <v>61</v>
      </c>
      <c r="M84" s="2" t="n">
        <v>58</v>
      </c>
      <c r="N84" s="2" t="n">
        <v>63</v>
      </c>
      <c r="O84" s="2" t="n">
        <v>62</v>
      </c>
      <c r="P84" s="2" t="n">
        <v>63</v>
      </c>
      <c r="Q84" s="2" t="n">
        <v>62</v>
      </c>
      <c r="R84" s="2" t="n">
        <v>65</v>
      </c>
      <c r="S84" s="2" t="n">
        <v>71</v>
      </c>
    </row>
    <row r="85">
      <c r="A85" s="2" t="inlineStr">
        <is>
          <t>C4-084</t>
        </is>
      </c>
      <c r="B85" s="2" t="inlineStr">
        <is>
          <t>O Portal Brasileiro de Publicações e Dados Científicos em Acesso Aberto (The Brazilian Open Access Publications and Scientific Data Portal) (Oasisbr)</t>
        </is>
      </c>
      <c r="C85" s="2" t="n">
        <v>7.692307692307693</v>
      </c>
      <c r="D85" s="2" t="n">
        <v>96</v>
      </c>
      <c r="E85" s="2" t="n">
        <v>11.11111111111111</v>
      </c>
      <c r="F85" s="2" t="n">
        <v>96</v>
      </c>
      <c r="G85" s="2" t="n">
        <v>95</v>
      </c>
      <c r="H85" s="2" t="n">
        <v>96</v>
      </c>
      <c r="I85" s="2" t="n">
        <v>95</v>
      </c>
      <c r="J85" s="2" t="n">
        <v>105.5</v>
      </c>
      <c r="K85" s="2" t="n">
        <v>96</v>
      </c>
      <c r="L85" s="2" t="n">
        <v>96</v>
      </c>
      <c r="M85" s="2" t="n">
        <v>96</v>
      </c>
      <c r="N85" s="2" t="n">
        <v>95</v>
      </c>
      <c r="O85" s="2" t="n">
        <v>96</v>
      </c>
      <c r="P85" s="2" t="n">
        <v>95</v>
      </c>
      <c r="Q85" s="2" t="n">
        <v>96</v>
      </c>
      <c r="R85" s="2" t="n">
        <v>95</v>
      </c>
      <c r="S85" s="2" t="n">
        <v>96</v>
      </c>
    </row>
    <row r="86">
      <c r="A86" s="2" t="inlineStr">
        <is>
          <t>C4-085</t>
        </is>
      </c>
      <c r="B86" s="2" t="inlineStr">
        <is>
          <t>OSF (Open Science Framework)</t>
        </is>
      </c>
      <c r="C86" s="2" t="n">
        <v>78.09076923076923</v>
      </c>
      <c r="D86" s="2" t="n">
        <v>13</v>
      </c>
      <c r="E86" s="2" t="n">
        <v>78.09076923076923</v>
      </c>
      <c r="F86" s="2" t="n">
        <v>17</v>
      </c>
      <c r="G86" s="2" t="n">
        <v>12</v>
      </c>
      <c r="H86" s="2" t="n">
        <v>12</v>
      </c>
      <c r="I86" s="2" t="n">
        <v>13</v>
      </c>
      <c r="J86" s="2" t="n">
        <v>13</v>
      </c>
      <c r="K86" s="2" t="n">
        <v>13</v>
      </c>
      <c r="L86" s="2" t="n">
        <v>14</v>
      </c>
      <c r="M86" s="2" t="n">
        <v>13</v>
      </c>
      <c r="N86" s="2" t="n">
        <v>13</v>
      </c>
      <c r="O86" s="2" t="n">
        <v>13</v>
      </c>
      <c r="P86" s="2" t="n">
        <v>12</v>
      </c>
      <c r="Q86" s="2" t="n">
        <v>13</v>
      </c>
      <c r="R86" s="2" t="n">
        <v>11</v>
      </c>
      <c r="S86" s="2" t="n">
        <v>12</v>
      </c>
    </row>
    <row r="87">
      <c r="A87" s="2" t="inlineStr">
        <is>
          <t>C4-086</t>
        </is>
      </c>
      <c r="B87" s="2" t="inlineStr">
        <is>
          <t>Oxford Common File Layout</t>
        </is>
      </c>
      <c r="C87" s="2" t="n">
        <v>0</v>
      </c>
      <c r="D87" s="2" t="n">
        <v>106</v>
      </c>
      <c r="E87" s="2" t="n">
        <v>0</v>
      </c>
      <c r="F87" s="2" t="n">
        <v>106</v>
      </c>
      <c r="G87" s="2" t="n">
        <v>106</v>
      </c>
      <c r="H87" s="2" t="n">
        <v>106</v>
      </c>
      <c r="I87" s="2" t="n">
        <v>106</v>
      </c>
      <c r="J87" s="2" t="n">
        <v>105.5</v>
      </c>
      <c r="K87" s="2" t="n">
        <v>106</v>
      </c>
      <c r="L87" s="2" t="n">
        <v>106</v>
      </c>
      <c r="M87" s="2" t="n">
        <v>106</v>
      </c>
      <c r="N87" s="2" t="n">
        <v>106</v>
      </c>
      <c r="O87" s="2" t="n">
        <v>106</v>
      </c>
      <c r="P87" s="2" t="n">
        <v>106</v>
      </c>
      <c r="Q87" s="2" t="n">
        <v>106</v>
      </c>
      <c r="R87" s="2" t="n">
        <v>105.5</v>
      </c>
      <c r="S87" s="2" t="n">
        <v>106</v>
      </c>
    </row>
    <row r="88">
      <c r="A88" s="2" t="inlineStr">
        <is>
          <t>C4-087</t>
        </is>
      </c>
      <c r="B88" s="2" t="inlineStr">
        <is>
          <t>Peer Community In</t>
        </is>
      </c>
      <c r="C88" s="2" t="n">
        <v>41.08923076923077</v>
      </c>
      <c r="D88" s="2" t="n">
        <v>67</v>
      </c>
      <c r="E88" s="2" t="n">
        <v>48.56</v>
      </c>
      <c r="F88" s="2" t="n">
        <v>68</v>
      </c>
      <c r="G88" s="2" t="n">
        <v>67</v>
      </c>
      <c r="H88" s="2" t="n">
        <v>68</v>
      </c>
      <c r="I88" s="2" t="n">
        <v>67</v>
      </c>
      <c r="J88" s="2" t="n">
        <v>70</v>
      </c>
      <c r="K88" s="2" t="n">
        <v>67</v>
      </c>
      <c r="L88" s="2" t="n">
        <v>70</v>
      </c>
      <c r="M88" s="2" t="n">
        <v>64</v>
      </c>
      <c r="N88" s="2" t="n">
        <v>66</v>
      </c>
      <c r="O88" s="2" t="n">
        <v>67</v>
      </c>
      <c r="P88" s="2" t="n">
        <v>66</v>
      </c>
      <c r="Q88" s="2" t="n">
        <v>74</v>
      </c>
      <c r="R88" s="2" t="n">
        <v>64</v>
      </c>
      <c r="S88" s="2" t="n">
        <v>67</v>
      </c>
    </row>
    <row r="89">
      <c r="A89" s="2" t="inlineStr">
        <is>
          <t>C4-088</t>
        </is>
      </c>
      <c r="B89" s="2" t="inlineStr">
        <is>
          <t>PKP Preservation Network</t>
        </is>
      </c>
      <c r="C89" s="2" t="n">
        <v>27.17461538461539</v>
      </c>
      <c r="D89" s="2" t="n">
        <v>78</v>
      </c>
      <c r="E89" s="2" t="n">
        <v>39.25222222222222</v>
      </c>
      <c r="F89" s="2" t="n">
        <v>80</v>
      </c>
      <c r="G89" s="2" t="n">
        <v>78</v>
      </c>
      <c r="H89" s="2" t="n">
        <v>78</v>
      </c>
      <c r="I89" s="2" t="n">
        <v>79</v>
      </c>
      <c r="J89" s="2" t="n">
        <v>83</v>
      </c>
      <c r="K89" s="2" t="n">
        <v>80</v>
      </c>
      <c r="L89" s="2" t="n">
        <v>78</v>
      </c>
      <c r="M89" s="2" t="n">
        <v>78</v>
      </c>
      <c r="N89" s="2" t="n">
        <v>78</v>
      </c>
      <c r="O89" s="2" t="n">
        <v>78</v>
      </c>
      <c r="P89" s="2" t="n">
        <v>78</v>
      </c>
      <c r="Q89" s="2" t="n">
        <v>78</v>
      </c>
      <c r="R89" s="2" t="n">
        <v>78</v>
      </c>
      <c r="S89" s="2" t="n">
        <v>79</v>
      </c>
    </row>
    <row r="90">
      <c r="A90" s="2" t="inlineStr">
        <is>
          <t>C4-089</t>
        </is>
      </c>
      <c r="B90" s="2" t="inlineStr">
        <is>
          <t>PREreview</t>
        </is>
      </c>
      <c r="C90" s="2" t="n">
        <v>57.24076923076923</v>
      </c>
      <c r="D90" s="2" t="n">
        <v>50</v>
      </c>
      <c r="E90" s="2" t="n">
        <v>57.24076923076923</v>
      </c>
      <c r="F90" s="2" t="n">
        <v>61</v>
      </c>
      <c r="G90" s="2" t="n">
        <v>53</v>
      </c>
      <c r="H90" s="2" t="n">
        <v>52</v>
      </c>
      <c r="I90" s="2" t="n">
        <v>50</v>
      </c>
      <c r="J90" s="2" t="n">
        <v>38</v>
      </c>
      <c r="K90" s="2" t="n">
        <v>45</v>
      </c>
      <c r="L90" s="2" t="n">
        <v>41</v>
      </c>
      <c r="M90" s="2" t="n">
        <v>50</v>
      </c>
      <c r="N90" s="2" t="n">
        <v>46</v>
      </c>
      <c r="O90" s="2" t="n">
        <v>55</v>
      </c>
      <c r="P90" s="2" t="n">
        <v>54</v>
      </c>
      <c r="Q90" s="2" t="n">
        <v>52</v>
      </c>
      <c r="R90" s="2" t="n">
        <v>46</v>
      </c>
      <c r="S90" s="2" t="n">
        <v>45</v>
      </c>
    </row>
    <row r="91">
      <c r="A91" s="2" t="inlineStr">
        <is>
          <t>C4-090</t>
        </is>
      </c>
      <c r="B91" s="2" t="inlineStr">
        <is>
          <t>Pressbooks</t>
        </is>
      </c>
      <c r="C91" s="2" t="n">
        <v>72.32384615384615</v>
      </c>
      <c r="D91" s="2" t="n">
        <v>21</v>
      </c>
      <c r="E91" s="2" t="n">
        <v>72.32384615384615</v>
      </c>
      <c r="F91" s="2" t="n">
        <v>29</v>
      </c>
      <c r="G91" s="2" t="n">
        <v>20</v>
      </c>
      <c r="H91" s="2" t="n">
        <v>21</v>
      </c>
      <c r="I91" s="2" t="n">
        <v>21</v>
      </c>
      <c r="J91" s="2" t="n">
        <v>23</v>
      </c>
      <c r="K91" s="2" t="n">
        <v>20</v>
      </c>
      <c r="L91" s="2" t="n">
        <v>21</v>
      </c>
      <c r="M91" s="2" t="n">
        <v>21</v>
      </c>
      <c r="N91" s="2" t="n">
        <v>20</v>
      </c>
      <c r="O91" s="2" t="n">
        <v>23</v>
      </c>
      <c r="P91" s="2" t="n">
        <v>21</v>
      </c>
      <c r="Q91" s="2" t="n">
        <v>21</v>
      </c>
      <c r="R91" s="2" t="n">
        <v>22</v>
      </c>
      <c r="S91" s="2" t="n">
        <v>23</v>
      </c>
    </row>
    <row r="92">
      <c r="A92" s="2" t="inlineStr">
        <is>
          <t>C4-091</t>
        </is>
      </c>
      <c r="B92" s="2" t="inlineStr">
        <is>
          <t>Public Access Submission System</t>
        </is>
      </c>
      <c r="C92" s="2" t="n">
        <v>58.88923076923077</v>
      </c>
      <c r="D92" s="2" t="n">
        <v>44</v>
      </c>
      <c r="E92" s="2" t="n">
        <v>58.88923076923077</v>
      </c>
      <c r="F92" s="2" t="n">
        <v>58</v>
      </c>
      <c r="G92" s="2" t="n">
        <v>42</v>
      </c>
      <c r="H92" s="2" t="n">
        <v>34</v>
      </c>
      <c r="I92" s="2" t="n">
        <v>44</v>
      </c>
      <c r="J92" s="2" t="n">
        <v>49</v>
      </c>
      <c r="K92" s="2" t="n">
        <v>44</v>
      </c>
      <c r="L92" s="2" t="n">
        <v>48</v>
      </c>
      <c r="M92" s="2" t="n">
        <v>44</v>
      </c>
      <c r="N92" s="2" t="n">
        <v>49</v>
      </c>
      <c r="O92" s="2" t="n">
        <v>47</v>
      </c>
      <c r="P92" s="2" t="n">
        <v>53</v>
      </c>
      <c r="Q92" s="2" t="n">
        <v>44</v>
      </c>
      <c r="R92" s="2" t="n">
        <v>40</v>
      </c>
      <c r="S92" s="2" t="n">
        <v>41</v>
      </c>
    </row>
    <row r="93">
      <c r="A93" s="2" t="inlineStr">
        <is>
          <t>C4-092</t>
        </is>
      </c>
      <c r="B93" s="2" t="inlineStr">
        <is>
          <t>Public Utility Data Liberation (PUDL)</t>
        </is>
      </c>
      <c r="C93" s="2" t="n">
        <v>82.22076923076924</v>
      </c>
      <c r="D93" s="2" t="n">
        <v>6</v>
      </c>
      <c r="E93" s="2" t="n">
        <v>82.22076923076924</v>
      </c>
      <c r="F93" s="2" t="n">
        <v>10</v>
      </c>
      <c r="G93" s="2" t="n">
        <v>5</v>
      </c>
      <c r="H93" s="2" t="n">
        <v>6</v>
      </c>
      <c r="I93" s="2" t="n">
        <v>6</v>
      </c>
      <c r="J93" s="2" t="n">
        <v>6</v>
      </c>
      <c r="K93" s="2" t="n">
        <v>5</v>
      </c>
      <c r="L93" s="2" t="n">
        <v>5</v>
      </c>
      <c r="M93" s="2" t="n">
        <v>6</v>
      </c>
      <c r="N93" s="2" t="n">
        <v>9</v>
      </c>
      <c r="O93" s="2" t="n">
        <v>7</v>
      </c>
      <c r="P93" s="2" t="n">
        <v>9</v>
      </c>
      <c r="Q93" s="2" t="n">
        <v>7</v>
      </c>
      <c r="R93" s="2" t="n">
        <v>5</v>
      </c>
      <c r="S93" s="2" t="n">
        <v>3</v>
      </c>
    </row>
    <row r="94">
      <c r="A94" s="2" t="inlineStr">
        <is>
          <t>C4-093</t>
        </is>
      </c>
      <c r="B94" s="2" t="inlineStr">
        <is>
          <t>PubPub</t>
        </is>
      </c>
      <c r="C94" s="2" t="n">
        <v>58.36615384615384</v>
      </c>
      <c r="D94" s="2" t="n">
        <v>47</v>
      </c>
      <c r="E94" s="2" t="n">
        <v>68.97818181818182</v>
      </c>
      <c r="F94" s="2" t="n">
        <v>39</v>
      </c>
      <c r="G94" s="2" t="n">
        <v>46</v>
      </c>
      <c r="H94" s="2" t="n">
        <v>46</v>
      </c>
      <c r="I94" s="2" t="n">
        <v>47</v>
      </c>
      <c r="J94" s="2" t="n">
        <v>52</v>
      </c>
      <c r="K94" s="2" t="n">
        <v>50</v>
      </c>
      <c r="L94" s="2" t="n">
        <v>49</v>
      </c>
      <c r="M94" s="2" t="n">
        <v>47</v>
      </c>
      <c r="N94" s="2" t="n">
        <v>42</v>
      </c>
      <c r="O94" s="2" t="n">
        <v>46</v>
      </c>
      <c r="P94" s="2" t="n">
        <v>44</v>
      </c>
      <c r="Q94" s="2" t="n">
        <v>47</v>
      </c>
      <c r="R94" s="2" t="n">
        <v>50</v>
      </c>
      <c r="S94" s="2" t="n">
        <v>44</v>
      </c>
    </row>
    <row r="95">
      <c r="A95" s="2" t="inlineStr">
        <is>
          <t>C4-094</t>
        </is>
      </c>
      <c r="B95" s="2" t="inlineStr">
        <is>
          <t>Pundit</t>
        </is>
      </c>
      <c r="C95" s="2" t="n">
        <v>21.94615384615385</v>
      </c>
      <c r="D95" s="2" t="n">
        <v>86</v>
      </c>
      <c r="E95" s="2" t="n">
        <v>31.7</v>
      </c>
      <c r="F95" s="2" t="n">
        <v>85</v>
      </c>
      <c r="G95" s="2" t="n">
        <v>87</v>
      </c>
      <c r="H95" s="2" t="n">
        <v>85</v>
      </c>
      <c r="I95" s="2" t="n">
        <v>86</v>
      </c>
      <c r="J95" s="2" t="n">
        <v>87</v>
      </c>
      <c r="K95" s="2" t="n">
        <v>84</v>
      </c>
      <c r="L95" s="2" t="n">
        <v>85</v>
      </c>
      <c r="M95" s="2" t="n">
        <v>84</v>
      </c>
      <c r="N95" s="2" t="n">
        <v>85</v>
      </c>
      <c r="O95" s="2" t="n">
        <v>86</v>
      </c>
      <c r="P95" s="2" t="n">
        <v>86</v>
      </c>
      <c r="Q95" s="2" t="n">
        <v>86</v>
      </c>
      <c r="R95" s="2" t="n">
        <v>85</v>
      </c>
      <c r="S95" s="2" t="n">
        <v>86</v>
      </c>
    </row>
    <row r="96">
      <c r="A96" s="2" t="inlineStr">
        <is>
          <t>C4-095</t>
        </is>
      </c>
      <c r="B96" s="2" t="inlineStr">
        <is>
          <t>pyOpenSci</t>
        </is>
      </c>
      <c r="C96" s="2" t="n">
        <v>0</v>
      </c>
      <c r="D96" s="2" t="n">
        <v>106</v>
      </c>
      <c r="E96" s="2" t="n">
        <v>0</v>
      </c>
      <c r="F96" s="2" t="n">
        <v>106</v>
      </c>
      <c r="G96" s="2" t="n">
        <v>106</v>
      </c>
      <c r="H96" s="2" t="n">
        <v>106</v>
      </c>
      <c r="I96" s="2" t="n">
        <v>106</v>
      </c>
      <c r="J96" s="2" t="n">
        <v>105.5</v>
      </c>
      <c r="K96" s="2" t="n">
        <v>106</v>
      </c>
      <c r="L96" s="2" t="n">
        <v>106</v>
      </c>
      <c r="M96" s="2" t="n">
        <v>106</v>
      </c>
      <c r="N96" s="2" t="n">
        <v>106</v>
      </c>
      <c r="O96" s="2" t="n">
        <v>106</v>
      </c>
      <c r="P96" s="2" t="n">
        <v>106</v>
      </c>
      <c r="Q96" s="2" t="n">
        <v>106</v>
      </c>
      <c r="R96" s="2" t="n">
        <v>105.5</v>
      </c>
      <c r="S96" s="2" t="n">
        <v>106</v>
      </c>
    </row>
    <row r="97">
      <c r="A97" s="2" t="inlineStr">
        <is>
          <t>C4-096</t>
        </is>
      </c>
      <c r="B97" s="2" t="inlineStr">
        <is>
          <t>Renku</t>
        </is>
      </c>
      <c r="C97" s="2" t="n">
        <v>75.93615384615384</v>
      </c>
      <c r="D97" s="2" t="n">
        <v>16</v>
      </c>
      <c r="E97" s="2" t="n">
        <v>75.93615384615384</v>
      </c>
      <c r="F97" s="2" t="n">
        <v>19</v>
      </c>
      <c r="G97" s="2" t="n">
        <v>16</v>
      </c>
      <c r="H97" s="2" t="n">
        <v>16</v>
      </c>
      <c r="I97" s="2" t="n">
        <v>16</v>
      </c>
      <c r="J97" s="2" t="n">
        <v>18</v>
      </c>
      <c r="K97" s="2" t="n">
        <v>16</v>
      </c>
      <c r="L97" s="2" t="n">
        <v>17</v>
      </c>
      <c r="M97" s="2" t="n">
        <v>16</v>
      </c>
      <c r="N97" s="2" t="n">
        <v>15</v>
      </c>
      <c r="O97" s="2" t="n">
        <v>18</v>
      </c>
      <c r="P97" s="2" t="n">
        <v>16</v>
      </c>
      <c r="Q97" s="2" t="n">
        <v>15</v>
      </c>
      <c r="R97" s="2" t="n">
        <v>17</v>
      </c>
      <c r="S97" s="2" t="n">
        <v>11</v>
      </c>
    </row>
    <row r="98">
      <c r="A98" s="2" t="inlineStr">
        <is>
          <t>C4-097</t>
        </is>
      </c>
      <c r="B98" s="2" t="inlineStr">
        <is>
          <t>RePEc</t>
        </is>
      </c>
      <c r="C98" s="2" t="n">
        <v>0</v>
      </c>
      <c r="D98" s="2" t="n">
        <v>106</v>
      </c>
      <c r="E98" s="2" t="n">
        <v>0</v>
      </c>
      <c r="F98" s="2" t="n">
        <v>106</v>
      </c>
      <c r="G98" s="2" t="n">
        <v>106</v>
      </c>
      <c r="H98" s="2" t="n">
        <v>106</v>
      </c>
      <c r="I98" s="2" t="n">
        <v>106</v>
      </c>
      <c r="J98" s="2" t="n">
        <v>105.5</v>
      </c>
      <c r="K98" s="2" t="n">
        <v>106</v>
      </c>
      <c r="L98" s="2" t="n">
        <v>106</v>
      </c>
      <c r="M98" s="2" t="n">
        <v>106</v>
      </c>
      <c r="N98" s="2" t="n">
        <v>106</v>
      </c>
      <c r="O98" s="2" t="n">
        <v>106</v>
      </c>
      <c r="P98" s="2" t="n">
        <v>106</v>
      </c>
      <c r="Q98" s="2" t="n">
        <v>106</v>
      </c>
      <c r="R98" s="2" t="n">
        <v>105.5</v>
      </c>
      <c r="S98" s="2" t="n">
        <v>106</v>
      </c>
    </row>
    <row r="99">
      <c r="A99" s="2" t="inlineStr">
        <is>
          <t>C4-098</t>
        </is>
      </c>
      <c r="B99" s="2" t="inlineStr">
        <is>
          <t>Research Organization Registry (ROR)</t>
        </is>
      </c>
      <c r="C99" s="2" t="n">
        <v>38.47692307692308</v>
      </c>
      <c r="D99" s="2" t="n">
        <v>73</v>
      </c>
      <c r="E99" s="2" t="n">
        <v>45.47272727272727</v>
      </c>
      <c r="F99" s="2" t="n">
        <v>75</v>
      </c>
      <c r="G99" s="2" t="n">
        <v>69</v>
      </c>
      <c r="H99" s="2" t="n">
        <v>69</v>
      </c>
      <c r="I99" s="2" t="n">
        <v>73</v>
      </c>
      <c r="J99" s="2" t="n">
        <v>74</v>
      </c>
      <c r="K99" s="2" t="n">
        <v>71</v>
      </c>
      <c r="L99" s="2" t="n">
        <v>71</v>
      </c>
      <c r="M99" s="2" t="n">
        <v>70</v>
      </c>
      <c r="N99" s="2" t="n">
        <v>71</v>
      </c>
      <c r="O99" s="2" t="n">
        <v>71</v>
      </c>
      <c r="P99" s="2" t="n">
        <v>71</v>
      </c>
      <c r="Q99" s="2" t="n">
        <v>77</v>
      </c>
      <c r="R99" s="2" t="n">
        <v>75</v>
      </c>
      <c r="S99" s="2" t="n">
        <v>75</v>
      </c>
    </row>
    <row r="100">
      <c r="A100" s="2" t="inlineStr">
        <is>
          <t>C4-099</t>
        </is>
      </c>
      <c r="B100" s="2" t="inlineStr">
        <is>
          <t>Rogue Scholar</t>
        </is>
      </c>
      <c r="C100" s="2" t="n">
        <v>25.28769230769231</v>
      </c>
      <c r="D100" s="2" t="n">
        <v>80</v>
      </c>
      <c r="E100" s="2" t="n">
        <v>36.52666666666666</v>
      </c>
      <c r="F100" s="2" t="n">
        <v>82</v>
      </c>
      <c r="G100" s="2" t="n">
        <v>84</v>
      </c>
      <c r="H100" s="2" t="n">
        <v>84</v>
      </c>
      <c r="I100" s="2" t="n">
        <v>78</v>
      </c>
      <c r="J100" s="2" t="n">
        <v>82</v>
      </c>
      <c r="K100" s="2" t="n">
        <v>78</v>
      </c>
      <c r="L100" s="2" t="n">
        <v>79</v>
      </c>
      <c r="M100" s="2" t="n">
        <v>82</v>
      </c>
      <c r="N100" s="2" t="n">
        <v>80</v>
      </c>
      <c r="O100" s="2" t="n">
        <v>80</v>
      </c>
      <c r="P100" s="2" t="n">
        <v>80</v>
      </c>
      <c r="Q100" s="2" t="n">
        <v>80</v>
      </c>
      <c r="R100" s="2" t="n">
        <v>80</v>
      </c>
      <c r="S100" s="2" t="n">
        <v>80</v>
      </c>
    </row>
    <row r="101">
      <c r="A101" s="2" t="inlineStr">
        <is>
          <t>C4-100</t>
        </is>
      </c>
      <c r="B101" s="2" t="inlineStr">
        <is>
          <t>RSpace</t>
        </is>
      </c>
      <c r="C101" s="2" t="n">
        <v>76.26461538461538</v>
      </c>
      <c r="D101" s="2" t="n">
        <v>15</v>
      </c>
      <c r="E101" s="2" t="n">
        <v>76.26461538461538</v>
      </c>
      <c r="F101" s="2" t="n">
        <v>18</v>
      </c>
      <c r="G101" s="2" t="n">
        <v>15</v>
      </c>
      <c r="H101" s="2" t="n">
        <v>15</v>
      </c>
      <c r="I101" s="2" t="n">
        <v>15</v>
      </c>
      <c r="J101" s="2" t="n">
        <v>17</v>
      </c>
      <c r="K101" s="2" t="n">
        <v>14</v>
      </c>
      <c r="L101" s="2" t="n">
        <v>16</v>
      </c>
      <c r="M101" s="2" t="n">
        <v>15</v>
      </c>
      <c r="N101" s="2" t="n">
        <v>18</v>
      </c>
      <c r="O101" s="2" t="n">
        <v>16</v>
      </c>
      <c r="P101" s="2" t="n">
        <v>14</v>
      </c>
      <c r="Q101" s="2" t="n">
        <v>18</v>
      </c>
      <c r="R101" s="2" t="n">
        <v>13</v>
      </c>
      <c r="S101" s="2" t="n">
        <v>14</v>
      </c>
    </row>
    <row r="102">
      <c r="A102" s="2" t="inlineStr">
        <is>
          <t>C4-101</t>
        </is>
      </c>
      <c r="B102" s="2" t="inlineStr">
        <is>
          <t>Sciety</t>
        </is>
      </c>
      <c r="C102" s="2" t="n">
        <v>44.76846153846154</v>
      </c>
      <c r="D102" s="2" t="n">
        <v>64</v>
      </c>
      <c r="E102" s="2" t="n">
        <v>52.90818181818182</v>
      </c>
      <c r="F102" s="2" t="n">
        <v>64</v>
      </c>
      <c r="G102" s="2" t="n">
        <v>65</v>
      </c>
      <c r="H102" s="2" t="n">
        <v>62</v>
      </c>
      <c r="I102" s="2" t="n">
        <v>64</v>
      </c>
      <c r="J102" s="2" t="n">
        <v>57</v>
      </c>
      <c r="K102" s="2" t="n">
        <v>65</v>
      </c>
      <c r="L102" s="2" t="n">
        <v>62</v>
      </c>
      <c r="M102" s="2" t="n">
        <v>65</v>
      </c>
      <c r="N102" s="2" t="n">
        <v>65</v>
      </c>
      <c r="O102" s="2" t="n">
        <v>63</v>
      </c>
      <c r="P102" s="2" t="n">
        <v>72</v>
      </c>
      <c r="Q102" s="2" t="n">
        <v>61</v>
      </c>
      <c r="R102" s="2" t="n">
        <v>63</v>
      </c>
      <c r="S102" s="2" t="n">
        <v>63</v>
      </c>
    </row>
    <row r="103">
      <c r="A103" s="2" t="inlineStr">
        <is>
          <t>C4-102</t>
        </is>
      </c>
      <c r="B103" s="2" t="inlineStr">
        <is>
          <t>Synapse</t>
        </is>
      </c>
      <c r="C103" s="2" t="n">
        <v>67.72153846153846</v>
      </c>
      <c r="D103" s="2" t="n">
        <v>30</v>
      </c>
      <c r="E103" s="2" t="n">
        <v>80.03454545454545</v>
      </c>
      <c r="F103" s="2" t="n">
        <v>13</v>
      </c>
      <c r="G103" s="2" t="n">
        <v>32</v>
      </c>
      <c r="H103" s="2" t="n">
        <v>32</v>
      </c>
      <c r="I103" s="2" t="n">
        <v>30</v>
      </c>
      <c r="J103" s="2" t="n">
        <v>31</v>
      </c>
      <c r="K103" s="2" t="n">
        <v>29</v>
      </c>
      <c r="L103" s="2" t="n">
        <v>32</v>
      </c>
      <c r="M103" s="2" t="n">
        <v>31</v>
      </c>
      <c r="N103" s="2" t="n">
        <v>25</v>
      </c>
      <c r="O103" s="2" t="n">
        <v>30</v>
      </c>
      <c r="P103" s="2" t="n">
        <v>24</v>
      </c>
      <c r="Q103" s="2" t="n">
        <v>31</v>
      </c>
      <c r="R103" s="2" t="n">
        <v>26</v>
      </c>
      <c r="S103" s="2" t="n">
        <v>30</v>
      </c>
    </row>
    <row r="104">
      <c r="A104" s="2" t="inlineStr">
        <is>
          <t>C4-103</t>
        </is>
      </c>
      <c r="B104" s="2" t="inlineStr">
        <is>
          <t>TagTeam</t>
        </is>
      </c>
      <c r="C104" s="2" t="n">
        <v>1.223076923076923</v>
      </c>
      <c r="D104" s="2" t="n">
        <v>99</v>
      </c>
      <c r="E104" s="2" t="n">
        <v>1.766666666666667</v>
      </c>
      <c r="F104" s="2" t="n">
        <v>99</v>
      </c>
      <c r="G104" s="2" t="n">
        <v>99</v>
      </c>
      <c r="H104" s="2" t="n">
        <v>99</v>
      </c>
      <c r="I104" s="2" t="n">
        <v>98</v>
      </c>
      <c r="J104" s="2" t="n">
        <v>98</v>
      </c>
      <c r="K104" s="2" t="n">
        <v>99</v>
      </c>
      <c r="L104" s="2" t="n">
        <v>99</v>
      </c>
      <c r="M104" s="2" t="n">
        <v>99</v>
      </c>
      <c r="N104" s="2" t="n">
        <v>99</v>
      </c>
      <c r="O104" s="2" t="n">
        <v>99</v>
      </c>
      <c r="P104" s="2" t="n">
        <v>99</v>
      </c>
      <c r="Q104" s="2" t="n">
        <v>99</v>
      </c>
      <c r="R104" s="2" t="n">
        <v>105.5</v>
      </c>
      <c r="S104" s="2" t="n">
        <v>99</v>
      </c>
    </row>
    <row r="105">
      <c r="A105" s="2" t="inlineStr">
        <is>
          <t>C4-104</t>
        </is>
      </c>
      <c r="B105" s="2" t="inlineStr">
        <is>
          <t>Thoth Open Metadata</t>
        </is>
      </c>
      <c r="C105" s="2" t="n">
        <v>46.07076923076923</v>
      </c>
      <c r="D105" s="2" t="n">
        <v>60</v>
      </c>
      <c r="E105" s="2" t="n">
        <v>46.07076923076923</v>
      </c>
      <c r="F105" s="2" t="n">
        <v>73</v>
      </c>
      <c r="G105" s="2" t="n">
        <v>63</v>
      </c>
      <c r="H105" s="2" t="n">
        <v>63</v>
      </c>
      <c r="I105" s="2" t="n">
        <v>60</v>
      </c>
      <c r="J105" s="2" t="n">
        <v>65</v>
      </c>
      <c r="K105" s="2" t="n">
        <v>59</v>
      </c>
      <c r="L105" s="2" t="n">
        <v>59</v>
      </c>
      <c r="M105" s="2" t="n">
        <v>60</v>
      </c>
      <c r="N105" s="2" t="n">
        <v>58</v>
      </c>
      <c r="O105" s="2" t="n">
        <v>60</v>
      </c>
      <c r="P105" s="2" t="n">
        <v>59</v>
      </c>
      <c r="Q105" s="2" t="n">
        <v>66</v>
      </c>
      <c r="R105" s="2" t="n">
        <v>59</v>
      </c>
      <c r="S105" s="2" t="n">
        <v>62</v>
      </c>
    </row>
    <row r="106">
      <c r="A106" s="2" t="inlineStr">
        <is>
          <t>C4-105</t>
        </is>
      </c>
      <c r="B106" s="2" t="inlineStr">
        <is>
          <t>Tropy</t>
        </is>
      </c>
      <c r="C106" s="2" t="n">
        <v>63.55846153846154</v>
      </c>
      <c r="D106" s="2" t="n">
        <v>34</v>
      </c>
      <c r="E106" s="2" t="n">
        <v>63.55846153846154</v>
      </c>
      <c r="F106" s="2" t="n">
        <v>50</v>
      </c>
      <c r="G106" s="2" t="n">
        <v>35</v>
      </c>
      <c r="H106" s="2" t="n">
        <v>36</v>
      </c>
      <c r="I106" s="2" t="n">
        <v>34</v>
      </c>
      <c r="J106" s="2" t="n">
        <v>40</v>
      </c>
      <c r="K106" s="2" t="n">
        <v>31</v>
      </c>
      <c r="L106" s="2" t="n">
        <v>31</v>
      </c>
      <c r="M106" s="2" t="n">
        <v>33</v>
      </c>
      <c r="N106" s="2" t="n">
        <v>34</v>
      </c>
      <c r="O106" s="2" t="n">
        <v>32</v>
      </c>
      <c r="P106" s="2" t="n">
        <v>37</v>
      </c>
      <c r="Q106" s="2" t="n">
        <v>34</v>
      </c>
      <c r="R106" s="2" t="n">
        <v>39</v>
      </c>
      <c r="S106" s="2" t="n">
        <v>39</v>
      </c>
    </row>
    <row r="107">
      <c r="A107" s="2" t="inlineStr">
        <is>
          <t>C4-106</t>
        </is>
      </c>
      <c r="B107" s="2" t="inlineStr">
        <is>
          <t>veraPDF</t>
        </is>
      </c>
      <c r="C107" s="2" t="n">
        <v>68.92615384615385</v>
      </c>
      <c r="D107" s="2" t="n">
        <v>28</v>
      </c>
      <c r="E107" s="2" t="n">
        <v>68.92615384615385</v>
      </c>
      <c r="F107" s="2" t="n">
        <v>40</v>
      </c>
      <c r="G107" s="2" t="n">
        <v>24</v>
      </c>
      <c r="H107" s="2" t="n">
        <v>22</v>
      </c>
      <c r="I107" s="2" t="n">
        <v>28</v>
      </c>
      <c r="J107" s="2" t="n">
        <v>29</v>
      </c>
      <c r="K107" s="2" t="n">
        <v>25</v>
      </c>
      <c r="L107" s="2" t="n">
        <v>26</v>
      </c>
      <c r="M107" s="2" t="n">
        <v>24</v>
      </c>
      <c r="N107" s="2" t="n">
        <v>35</v>
      </c>
      <c r="O107" s="2" t="n">
        <v>28</v>
      </c>
      <c r="P107" s="2" t="n">
        <v>31</v>
      </c>
      <c r="Q107" s="2" t="n">
        <v>29</v>
      </c>
      <c r="R107" s="2" t="n">
        <v>28</v>
      </c>
      <c r="S107" s="2" t="n">
        <v>25</v>
      </c>
    </row>
    <row r="108">
      <c r="A108" s="2" t="inlineStr">
        <is>
          <t>C4-107</t>
        </is>
      </c>
      <c r="B108" s="2" t="inlineStr">
        <is>
          <t>ViPER</t>
        </is>
      </c>
      <c r="C108" s="2" t="n">
        <v>19.28230769230769</v>
      </c>
      <c r="D108" s="2" t="n">
        <v>88</v>
      </c>
      <c r="E108" s="2" t="n">
        <v>27.85222222222222</v>
      </c>
      <c r="F108" s="2" t="n">
        <v>90</v>
      </c>
      <c r="G108" s="2" t="n">
        <v>86</v>
      </c>
      <c r="H108" s="2" t="n">
        <v>87</v>
      </c>
      <c r="I108" s="2" t="n">
        <v>90</v>
      </c>
      <c r="J108" s="2" t="n">
        <v>91</v>
      </c>
      <c r="K108" s="2" t="n">
        <v>86</v>
      </c>
      <c r="L108" s="2" t="n">
        <v>86</v>
      </c>
      <c r="M108" s="2" t="n">
        <v>87</v>
      </c>
      <c r="N108" s="2" t="n">
        <v>88</v>
      </c>
      <c r="O108" s="2" t="n">
        <v>88</v>
      </c>
      <c r="P108" s="2" t="n">
        <v>88</v>
      </c>
      <c r="Q108" s="2" t="n">
        <v>88</v>
      </c>
      <c r="R108" s="2" t="n">
        <v>88</v>
      </c>
      <c r="S108" s="2" t="n">
        <v>88</v>
      </c>
    </row>
    <row r="109">
      <c r="A109" s="2" t="inlineStr">
        <is>
          <t>C4-108</t>
        </is>
      </c>
      <c r="B109" s="2" t="inlineStr">
        <is>
          <t>Vireo ETD</t>
        </is>
      </c>
      <c r="C109" s="2" t="n">
        <v>46.70692307692308</v>
      </c>
      <c r="D109" s="2" t="n">
        <v>59</v>
      </c>
      <c r="E109" s="2" t="n">
        <v>46.70692307692308</v>
      </c>
      <c r="F109" s="2" t="n">
        <v>72</v>
      </c>
      <c r="G109" s="2" t="n">
        <v>59</v>
      </c>
      <c r="H109" s="2" t="n">
        <v>58</v>
      </c>
      <c r="I109" s="2" t="n">
        <v>58</v>
      </c>
      <c r="J109" s="2" t="n">
        <v>59</v>
      </c>
      <c r="K109" s="2" t="n">
        <v>60</v>
      </c>
      <c r="L109" s="2" t="n">
        <v>60</v>
      </c>
      <c r="M109" s="2" t="n">
        <v>62</v>
      </c>
      <c r="N109" s="2" t="n">
        <v>60</v>
      </c>
      <c r="O109" s="2" t="n">
        <v>64</v>
      </c>
      <c r="P109" s="2" t="n">
        <v>61</v>
      </c>
      <c r="Q109" s="2" t="n">
        <v>64</v>
      </c>
      <c r="R109" s="2" t="n">
        <v>62</v>
      </c>
      <c r="S109" s="2" t="n">
        <v>59</v>
      </c>
    </row>
    <row r="110">
      <c r="A110" s="2" t="inlineStr">
        <is>
          <t>C4-109</t>
        </is>
      </c>
      <c r="B110" s="2" t="inlineStr">
        <is>
          <t>VIVO</t>
        </is>
      </c>
      <c r="C110" s="2" t="n">
        <v>58.84230769230769</v>
      </c>
      <c r="D110" s="2" t="n">
        <v>45</v>
      </c>
      <c r="E110" s="2" t="n">
        <v>58.84230769230769</v>
      </c>
      <c r="F110" s="2" t="n">
        <v>59</v>
      </c>
      <c r="G110" s="2" t="n">
        <v>44</v>
      </c>
      <c r="H110" s="2" t="n">
        <v>45</v>
      </c>
      <c r="I110" s="2" t="n">
        <v>45</v>
      </c>
      <c r="J110" s="2" t="n">
        <v>50</v>
      </c>
      <c r="K110" s="2" t="n">
        <v>47</v>
      </c>
      <c r="L110" s="2" t="n">
        <v>51</v>
      </c>
      <c r="M110" s="2" t="n">
        <v>45</v>
      </c>
      <c r="N110" s="2" t="n">
        <v>44</v>
      </c>
      <c r="O110" s="2" t="n">
        <v>45</v>
      </c>
      <c r="P110" s="2" t="n">
        <v>45</v>
      </c>
      <c r="Q110" s="2" t="n">
        <v>39</v>
      </c>
      <c r="R110" s="2" t="n">
        <v>48</v>
      </c>
      <c r="S110" s="2" t="n">
        <v>50</v>
      </c>
    </row>
    <row r="111">
      <c r="A111" s="2" t="inlineStr">
        <is>
          <t>C4-110</t>
        </is>
      </c>
      <c r="B111" s="2" t="inlineStr">
        <is>
          <t>VuFind®</t>
        </is>
      </c>
      <c r="C111" s="2" t="n">
        <v>76.96384615384615</v>
      </c>
      <c r="D111" s="2" t="n">
        <v>14</v>
      </c>
      <c r="E111" s="2" t="n">
        <v>90.95727272727272</v>
      </c>
      <c r="F111" s="2" t="n">
        <v>4</v>
      </c>
      <c r="G111" s="2" t="n">
        <v>14</v>
      </c>
      <c r="H111" s="2" t="n">
        <v>14</v>
      </c>
      <c r="I111" s="2" t="n">
        <v>14</v>
      </c>
      <c r="J111" s="2" t="n">
        <v>16</v>
      </c>
      <c r="K111" s="2" t="n">
        <v>17</v>
      </c>
      <c r="L111" s="2" t="n">
        <v>15</v>
      </c>
      <c r="M111" s="2" t="n">
        <v>14</v>
      </c>
      <c r="N111" s="2" t="n">
        <v>11</v>
      </c>
      <c r="O111" s="2" t="n">
        <v>17</v>
      </c>
      <c r="P111" s="2" t="n">
        <v>10</v>
      </c>
      <c r="Q111" s="2" t="n">
        <v>14</v>
      </c>
      <c r="R111" s="2" t="n">
        <v>12</v>
      </c>
      <c r="S111" s="2" t="n">
        <v>16</v>
      </c>
    </row>
    <row r="112">
      <c r="A112" s="2" t="inlineStr">
        <is>
          <t>C4-111</t>
        </is>
      </c>
      <c r="B112" s="2" t="inlineStr">
        <is>
          <t>Zenodo</t>
        </is>
      </c>
      <c r="C112" s="2" t="n">
        <v>70.21538461538462</v>
      </c>
      <c r="D112" s="2" t="n">
        <v>26</v>
      </c>
      <c r="E112" s="2" t="n">
        <v>70.21538461538462</v>
      </c>
      <c r="F112" s="2" t="n">
        <v>37</v>
      </c>
      <c r="G112" s="2" t="n">
        <v>25</v>
      </c>
      <c r="H112" s="2" t="n">
        <v>26</v>
      </c>
      <c r="I112" s="2" t="n">
        <v>26</v>
      </c>
      <c r="J112" s="2" t="n">
        <v>27</v>
      </c>
      <c r="K112" s="2" t="n">
        <v>26</v>
      </c>
      <c r="L112" s="2" t="n">
        <v>24</v>
      </c>
      <c r="M112" s="2" t="n">
        <v>28</v>
      </c>
      <c r="N112" s="2" t="n">
        <v>23</v>
      </c>
      <c r="O112" s="2" t="n">
        <v>22</v>
      </c>
      <c r="P112" s="2" t="n">
        <v>22</v>
      </c>
      <c r="Q112" s="2" t="n">
        <v>26</v>
      </c>
      <c r="R112" s="2" t="n">
        <v>30</v>
      </c>
      <c r="S112" s="2" t="n">
        <v>28</v>
      </c>
    </row>
    <row r="113">
      <c r="A113" s="2" t="inlineStr">
        <is>
          <t>C4-112</t>
        </is>
      </c>
      <c r="B113" s="2" t="inlineStr">
        <is>
          <t>Zotero</t>
        </is>
      </c>
      <c r="C113" s="2" t="n">
        <v>84.21384615384615</v>
      </c>
      <c r="D113" s="2" t="n">
        <v>4</v>
      </c>
      <c r="E113" s="2" t="n">
        <v>84.21384615384615</v>
      </c>
      <c r="F113" s="2" t="n">
        <v>7</v>
      </c>
      <c r="G113" s="2" t="n">
        <v>4</v>
      </c>
      <c r="H113" s="2" t="n">
        <v>4</v>
      </c>
      <c r="I113" s="2" t="n">
        <v>4</v>
      </c>
      <c r="J113" s="2" t="n">
        <v>4</v>
      </c>
      <c r="K113" s="2" t="n">
        <v>3</v>
      </c>
      <c r="L113" s="2" t="n">
        <v>3</v>
      </c>
      <c r="M113" s="2" t="n">
        <v>4</v>
      </c>
      <c r="N113" s="2" t="n">
        <v>4</v>
      </c>
      <c r="O113" s="2" t="n">
        <v>5</v>
      </c>
      <c r="P113" s="2" t="n">
        <v>6</v>
      </c>
      <c r="Q113" s="2" t="n">
        <v>4</v>
      </c>
      <c r="R113" s="2" t="n">
        <v>6</v>
      </c>
      <c r="S113" s="2" t="n">
        <v>5</v>
      </c>
    </row>
  </sheetData>
  <autoFilter ref="A1:S1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EF1F2"/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18" customWidth="1" min="4" max="4"/>
    <col width="90" customWidth="1" min="5" max="5"/>
  </cols>
  <sheetData>
    <row r="1" ht="34" customHeight="1">
      <c r="A1" s="1" t="inlineStr">
        <is>
          <t>Metric A</t>
        </is>
      </c>
      <c r="B1" s="1" t="inlineStr">
        <is>
          <t>Metric B</t>
        </is>
      </c>
      <c r="C1" s="1" t="inlineStr">
        <is>
          <t>Pairwise observed n</t>
        </is>
      </c>
      <c r="D1" s="1" t="inlineStr">
        <is>
          <t>Spearman rho</t>
        </is>
      </c>
      <c r="E1" s="1" t="inlineStr">
        <is>
          <t>Interpretation</t>
        </is>
      </c>
    </row>
    <row r="2">
      <c r="A2" s="2" t="inlineStr">
        <is>
          <t>m1_commits</t>
        </is>
      </c>
      <c r="B2" s="2" t="inlineStr">
        <is>
          <t>m2_active_weeks</t>
        </is>
      </c>
      <c r="C2" s="2" t="n">
        <v>101</v>
      </c>
      <c r="D2" s="10" t="n">
        <v>0.9289120478498671</v>
      </c>
      <c r="E2" s="2" t="inlineStr">
        <is>
          <t>Strong association; interpret equal weights as indicator weights, not independent construct weights.</t>
        </is>
      </c>
    </row>
    <row r="3">
      <c r="A3" s="2" t="inlineStr">
        <is>
          <t>m1_commits</t>
        </is>
      </c>
      <c r="B3" s="2" t="inlineStr">
        <is>
          <t>m3_recency</t>
        </is>
      </c>
      <c r="C3" s="2" t="n">
        <v>101</v>
      </c>
      <c r="D3" s="10" t="n">
        <v>0.5801017044878736</v>
      </c>
      <c r="E3" s="2" t="inlineStr">
        <is>
          <t>Exploratory pairwise association; not evidence of causality.</t>
        </is>
      </c>
    </row>
    <row r="4">
      <c r="A4" s="2" t="inlineStr">
        <is>
          <t>m1_commits</t>
        </is>
      </c>
      <c r="B4" s="2" t="inlineStr">
        <is>
          <t>m4_releases</t>
        </is>
      </c>
      <c r="C4" s="2" t="n">
        <v>101</v>
      </c>
      <c r="D4" s="10" t="n">
        <v>0.3552343527806803</v>
      </c>
      <c r="E4" s="2" t="inlineStr">
        <is>
          <t>Exploratory pairwise association; not evidence of causality.</t>
        </is>
      </c>
    </row>
    <row r="5">
      <c r="A5" s="2" t="inlineStr">
        <is>
          <t>m1_commits</t>
        </is>
      </c>
      <c r="B5" s="2" t="inlineStr">
        <is>
          <t>m5_contributors</t>
        </is>
      </c>
      <c r="C5" s="2" t="n">
        <v>101</v>
      </c>
      <c r="D5" s="10" t="n">
        <v>0.6686947602724223</v>
      </c>
      <c r="E5" s="2" t="inlineStr">
        <is>
          <t>Exploratory pairwise association; not evidence of causality.</t>
        </is>
      </c>
    </row>
    <row r="6">
      <c r="A6" s="2" t="inlineStr">
        <is>
          <t>m1_commits</t>
        </is>
      </c>
      <c r="B6" s="2" t="inlineStr">
        <is>
          <t>m6_effective_contributors</t>
        </is>
      </c>
      <c r="C6" s="2" t="n">
        <v>101</v>
      </c>
      <c r="D6" s="10" t="n">
        <v>0.5831712441498285</v>
      </c>
      <c r="E6" s="2" t="inlineStr">
        <is>
          <t>Exploratory pairwise association; not evidence of causality.</t>
        </is>
      </c>
    </row>
    <row r="7">
      <c r="A7" s="2" t="inlineStr">
        <is>
          <t>m1_commits</t>
        </is>
      </c>
      <c r="B7" s="2" t="inlineStr">
        <is>
          <t>m7_retention</t>
        </is>
      </c>
      <c r="C7" s="2" t="n">
        <v>101</v>
      </c>
      <c r="D7" s="10" t="n">
        <v>0.7661256999412952</v>
      </c>
      <c r="E7" s="2" t="inlineStr">
        <is>
          <t>Strong association; interpret equal weights as indicator weights, not independent construct weights.</t>
        </is>
      </c>
    </row>
    <row r="8">
      <c r="A8" s="2" t="inlineStr">
        <is>
          <t>m1_commits</t>
        </is>
      </c>
      <c r="B8" s="2" t="inlineStr">
        <is>
          <t>m8_issue_response</t>
        </is>
      </c>
      <c r="C8" s="2" t="n">
        <v>54</v>
      </c>
      <c r="D8" s="10" t="n">
        <v>0.1174180951397397</v>
      </c>
      <c r="E8" s="2" t="inlineStr">
        <is>
          <t>Exploratory pairwise association; not evidence of causality.</t>
        </is>
      </c>
    </row>
    <row r="9">
      <c r="A9" s="2" t="inlineStr">
        <is>
          <t>m1_commits</t>
        </is>
      </c>
      <c r="B9" s="2" t="inlineStr">
        <is>
          <t>m9_pr_response</t>
        </is>
      </c>
      <c r="C9" s="2" t="n">
        <v>65</v>
      </c>
      <c r="D9" s="10" t="n">
        <v>0.1373831910788456</v>
      </c>
      <c r="E9" s="2" t="inlineStr">
        <is>
          <t>Exploratory pairwise association; not evidence of causality.</t>
        </is>
      </c>
    </row>
    <row r="10">
      <c r="A10" s="2" t="inlineStr">
        <is>
          <t>m1_commits</t>
        </is>
      </c>
      <c r="B10" s="2" t="inlineStr">
        <is>
          <t>m10_issue_close90</t>
        </is>
      </c>
      <c r="C10" s="2" t="n">
        <v>52</v>
      </c>
      <c r="D10" s="10" t="n">
        <v>0.2528472820965538</v>
      </c>
      <c r="E10" s="2" t="inlineStr">
        <is>
          <t>Exploratory pairwise association; not evidence of causality.</t>
        </is>
      </c>
    </row>
    <row r="11">
      <c r="A11" s="2" t="inlineStr">
        <is>
          <t>m1_commits</t>
        </is>
      </c>
      <c r="B11" s="2" t="inlineStr">
        <is>
          <t>m11_pr_decision30</t>
        </is>
      </c>
      <c r="C11" s="2" t="n">
        <v>65</v>
      </c>
      <c r="D11" s="10" t="n">
        <v>0.2658889006055566</v>
      </c>
      <c r="E11" s="2" t="inlineStr">
        <is>
          <t>Exploratory pairwise association; not evidence of causality.</t>
        </is>
      </c>
    </row>
    <row r="12">
      <c r="A12" s="2" t="inlineStr">
        <is>
          <t>m1_commits</t>
        </is>
      </c>
      <c r="B12" s="2" t="inlineStr">
        <is>
          <t>m12_stars</t>
        </is>
      </c>
      <c r="C12" s="2" t="n">
        <v>90</v>
      </c>
      <c r="D12" s="10" t="n">
        <v>0.3787467769578809</v>
      </c>
      <c r="E12" s="2" t="inlineStr">
        <is>
          <t>Exploratory pairwise association; not evidence of causality.</t>
        </is>
      </c>
    </row>
    <row r="13">
      <c r="A13" s="2" t="inlineStr">
        <is>
          <t>m1_commits</t>
        </is>
      </c>
      <c r="B13" s="2" t="inlineStr">
        <is>
          <t>m13_forks</t>
        </is>
      </c>
      <c r="C13" s="2" t="n">
        <v>90</v>
      </c>
      <c r="D13" s="10" t="n">
        <v>0.382157576941027</v>
      </c>
      <c r="E13" s="2" t="inlineStr">
        <is>
          <t>Exploratory pairwise association; not evidence of causality.</t>
        </is>
      </c>
    </row>
    <row r="14">
      <c r="A14" s="2" t="inlineStr">
        <is>
          <t>m2_active_weeks</t>
        </is>
      </c>
      <c r="B14" s="2" t="inlineStr">
        <is>
          <t>m3_recency</t>
        </is>
      </c>
      <c r="C14" s="2" t="n">
        <v>101</v>
      </c>
      <c r="D14" s="10" t="n">
        <v>0.6107348061279784</v>
      </c>
      <c r="E14" s="2" t="inlineStr">
        <is>
          <t>Exploratory pairwise association; not evidence of causality.</t>
        </is>
      </c>
    </row>
    <row r="15">
      <c r="A15" s="2" t="inlineStr">
        <is>
          <t>m2_active_weeks</t>
        </is>
      </c>
      <c r="B15" s="2" t="inlineStr">
        <is>
          <t>m4_releases</t>
        </is>
      </c>
      <c r="C15" s="2" t="n">
        <v>101</v>
      </c>
      <c r="D15" s="10" t="n">
        <v>0.4227814477011896</v>
      </c>
      <c r="E15" s="2" t="inlineStr">
        <is>
          <t>Exploratory pairwise association; not evidence of causality.</t>
        </is>
      </c>
    </row>
    <row r="16">
      <c r="A16" s="2" t="inlineStr">
        <is>
          <t>m2_active_weeks</t>
        </is>
      </c>
      <c r="B16" s="2" t="inlineStr">
        <is>
          <t>m5_contributors</t>
        </is>
      </c>
      <c r="C16" s="2" t="n">
        <v>101</v>
      </c>
      <c r="D16" s="10" t="n">
        <v>0.7549622935585988</v>
      </c>
      <c r="E16" s="2" t="inlineStr">
        <is>
          <t>Strong association; interpret equal weights as indicator weights, not independent construct weights.</t>
        </is>
      </c>
    </row>
    <row r="17">
      <c r="A17" s="2" t="inlineStr">
        <is>
          <t>m2_active_weeks</t>
        </is>
      </c>
      <c r="B17" s="2" t="inlineStr">
        <is>
          <t>m6_effective_contributors</t>
        </is>
      </c>
      <c r="C17" s="2" t="n">
        <v>101</v>
      </c>
      <c r="D17" s="10" t="n">
        <v>0.6938623117630612</v>
      </c>
      <c r="E17" s="2" t="inlineStr">
        <is>
          <t>Exploratory pairwise association; not evidence of causality.</t>
        </is>
      </c>
    </row>
    <row r="18">
      <c r="A18" s="2" t="inlineStr">
        <is>
          <t>m2_active_weeks</t>
        </is>
      </c>
      <c r="B18" s="2" t="inlineStr">
        <is>
          <t>m7_retention</t>
        </is>
      </c>
      <c r="C18" s="2" t="n">
        <v>101</v>
      </c>
      <c r="D18" s="10" t="n">
        <v>0.8478095551067448</v>
      </c>
      <c r="E18" s="2" t="inlineStr">
        <is>
          <t>Strong association; interpret equal weights as indicator weights, not independent construct weights.</t>
        </is>
      </c>
    </row>
    <row r="19">
      <c r="A19" s="2" t="inlineStr">
        <is>
          <t>m2_active_weeks</t>
        </is>
      </c>
      <c r="B19" s="2" t="inlineStr">
        <is>
          <t>m8_issue_response</t>
        </is>
      </c>
      <c r="C19" s="2" t="n">
        <v>54</v>
      </c>
      <c r="D19" s="10" t="n">
        <v>0.1825296972578781</v>
      </c>
      <c r="E19" s="2" t="inlineStr">
        <is>
          <t>Exploratory pairwise association; not evidence of causality.</t>
        </is>
      </c>
    </row>
    <row r="20">
      <c r="A20" s="2" t="inlineStr">
        <is>
          <t>m2_active_weeks</t>
        </is>
      </c>
      <c r="B20" s="2" t="inlineStr">
        <is>
          <t>m9_pr_response</t>
        </is>
      </c>
      <c r="C20" s="2" t="n">
        <v>65</v>
      </c>
      <c r="D20" s="10" t="n">
        <v>0.2497624254659782</v>
      </c>
      <c r="E20" s="2" t="inlineStr">
        <is>
          <t>Exploratory pairwise association; not evidence of causality.</t>
        </is>
      </c>
    </row>
    <row r="21">
      <c r="A21" s="2" t="inlineStr">
        <is>
          <t>m2_active_weeks</t>
        </is>
      </c>
      <c r="B21" s="2" t="inlineStr">
        <is>
          <t>m10_issue_close90</t>
        </is>
      </c>
      <c r="C21" s="2" t="n">
        <v>52</v>
      </c>
      <c r="D21" s="10" t="n">
        <v>0.2861982163588085</v>
      </c>
      <c r="E21" s="2" t="inlineStr">
        <is>
          <t>Exploratory pairwise association; not evidence of causality.</t>
        </is>
      </c>
    </row>
    <row r="22">
      <c r="A22" s="2" t="inlineStr">
        <is>
          <t>m2_active_weeks</t>
        </is>
      </c>
      <c r="B22" s="2" t="inlineStr">
        <is>
          <t>m11_pr_decision30</t>
        </is>
      </c>
      <c r="C22" s="2" t="n">
        <v>65</v>
      </c>
      <c r="D22" s="10" t="n">
        <v>0.1904416918702949</v>
      </c>
      <c r="E22" s="2" t="inlineStr">
        <is>
          <t>Exploratory pairwise association; not evidence of causality.</t>
        </is>
      </c>
    </row>
    <row r="23">
      <c r="A23" s="2" t="inlineStr">
        <is>
          <t>m2_active_weeks</t>
        </is>
      </c>
      <c r="B23" s="2" t="inlineStr">
        <is>
          <t>m12_stars</t>
        </is>
      </c>
      <c r="C23" s="2" t="n">
        <v>90</v>
      </c>
      <c r="D23" s="10" t="n">
        <v>0.4925782584842475</v>
      </c>
      <c r="E23" s="2" t="inlineStr">
        <is>
          <t>Exploratory pairwise association; not evidence of causality.</t>
        </is>
      </c>
    </row>
    <row r="24">
      <c r="A24" s="2" t="inlineStr">
        <is>
          <t>m2_active_weeks</t>
        </is>
      </c>
      <c r="B24" s="2" t="inlineStr">
        <is>
          <t>m13_forks</t>
        </is>
      </c>
      <c r="C24" s="2" t="n">
        <v>90</v>
      </c>
      <c r="D24" s="10" t="n">
        <v>0.492718623784609</v>
      </c>
      <c r="E24" s="2" t="inlineStr">
        <is>
          <t>Exploratory pairwise association; not evidence of causality.</t>
        </is>
      </c>
    </row>
    <row r="25">
      <c r="A25" s="2" t="inlineStr">
        <is>
          <t>m3_recency</t>
        </is>
      </c>
      <c r="B25" s="2" t="inlineStr">
        <is>
          <t>m4_releases</t>
        </is>
      </c>
      <c r="C25" s="2" t="n">
        <v>101</v>
      </c>
      <c r="D25" s="10" t="n">
        <v>0.3846434488905432</v>
      </c>
      <c r="E25" s="2" t="inlineStr">
        <is>
          <t>Exploratory pairwise association; not evidence of causality.</t>
        </is>
      </c>
    </row>
    <row r="26">
      <c r="A26" s="2" t="inlineStr">
        <is>
          <t>m3_recency</t>
        </is>
      </c>
      <c r="B26" s="2" t="inlineStr">
        <is>
          <t>m5_contributors</t>
        </is>
      </c>
      <c r="C26" s="2" t="n">
        <v>101</v>
      </c>
      <c r="D26" s="10" t="n">
        <v>0.5707393631248182</v>
      </c>
      <c r="E26" s="2" t="inlineStr">
        <is>
          <t>Exploratory pairwise association; not evidence of causality.</t>
        </is>
      </c>
    </row>
    <row r="27">
      <c r="A27" s="2" t="inlineStr">
        <is>
          <t>m3_recency</t>
        </is>
      </c>
      <c r="B27" s="2" t="inlineStr">
        <is>
          <t>m6_effective_contributors</t>
        </is>
      </c>
      <c r="C27" s="2" t="n">
        <v>101</v>
      </c>
      <c r="D27" s="10" t="n">
        <v>0.5080429510922829</v>
      </c>
      <c r="E27" s="2" t="inlineStr">
        <is>
          <t>Exploratory pairwise association; not evidence of causality.</t>
        </is>
      </c>
    </row>
    <row r="28">
      <c r="A28" s="2" t="inlineStr">
        <is>
          <t>m3_recency</t>
        </is>
      </c>
      <c r="B28" s="2" t="inlineStr">
        <is>
          <t>m7_retention</t>
        </is>
      </c>
      <c r="C28" s="2" t="n">
        <v>101</v>
      </c>
      <c r="D28" s="10" t="n">
        <v>0.5494408360480305</v>
      </c>
      <c r="E28" s="2" t="inlineStr">
        <is>
          <t>Exploratory pairwise association; not evidence of causality.</t>
        </is>
      </c>
    </row>
    <row r="29">
      <c r="A29" s="2" t="inlineStr">
        <is>
          <t>m3_recency</t>
        </is>
      </c>
      <c r="B29" s="2" t="inlineStr">
        <is>
          <t>m8_issue_response</t>
        </is>
      </c>
      <c r="C29" s="2" t="n">
        <v>54</v>
      </c>
      <c r="D29" s="10" t="n">
        <v>0.224591501993618</v>
      </c>
      <c r="E29" s="2" t="inlineStr">
        <is>
          <t>Exploratory pairwise association; not evidence of causality.</t>
        </is>
      </c>
    </row>
    <row r="30">
      <c r="A30" s="2" t="inlineStr">
        <is>
          <t>m3_recency</t>
        </is>
      </c>
      <c r="B30" s="2" t="inlineStr">
        <is>
          <t>m9_pr_response</t>
        </is>
      </c>
      <c r="C30" s="2" t="n">
        <v>65</v>
      </c>
      <c r="D30" s="10" t="n">
        <v>-0.03915090520660414</v>
      </c>
      <c r="E30" s="2" t="inlineStr">
        <is>
          <t>Exploratory pairwise association; not evidence of causality.</t>
        </is>
      </c>
    </row>
    <row r="31">
      <c r="A31" s="2" t="inlineStr">
        <is>
          <t>m3_recency</t>
        </is>
      </c>
      <c r="B31" s="2" t="inlineStr">
        <is>
          <t>m10_issue_close90</t>
        </is>
      </c>
      <c r="C31" s="2" t="n">
        <v>52</v>
      </c>
      <c r="D31" s="10" t="n">
        <v>0.02049442800305037</v>
      </c>
      <c r="E31" s="2" t="inlineStr">
        <is>
          <t>Exploratory pairwise association; not evidence of causality.</t>
        </is>
      </c>
    </row>
    <row r="32">
      <c r="A32" s="2" t="inlineStr">
        <is>
          <t>m3_recency</t>
        </is>
      </c>
      <c r="B32" s="2" t="inlineStr">
        <is>
          <t>m11_pr_decision30</t>
        </is>
      </c>
      <c r="C32" s="2" t="n">
        <v>65</v>
      </c>
      <c r="D32" s="10" t="n">
        <v>0.1253440700403089</v>
      </c>
      <c r="E32" s="2" t="inlineStr">
        <is>
          <t>Exploratory pairwise association; not evidence of causality.</t>
        </is>
      </c>
    </row>
    <row r="33">
      <c r="A33" s="2" t="inlineStr">
        <is>
          <t>m3_recency</t>
        </is>
      </c>
      <c r="B33" s="2" t="inlineStr">
        <is>
          <t>m12_stars</t>
        </is>
      </c>
      <c r="C33" s="2" t="n">
        <v>90</v>
      </c>
      <c r="D33" s="10" t="n">
        <v>0.4542402970381856</v>
      </c>
      <c r="E33" s="2" t="inlineStr">
        <is>
          <t>Exploratory pairwise association; not evidence of causality.</t>
        </is>
      </c>
    </row>
    <row r="34">
      <c r="A34" s="2" t="inlineStr">
        <is>
          <t>m3_recency</t>
        </is>
      </c>
      <c r="B34" s="2" t="inlineStr">
        <is>
          <t>m13_forks</t>
        </is>
      </c>
      <c r="C34" s="2" t="n">
        <v>90</v>
      </c>
      <c r="D34" s="10" t="n">
        <v>0.4379917909787005</v>
      </c>
      <c r="E34" s="2" t="inlineStr">
        <is>
          <t>Exploratory pairwise association; not evidence of causality.</t>
        </is>
      </c>
    </row>
    <row r="35">
      <c r="A35" s="2" t="inlineStr">
        <is>
          <t>m4_releases</t>
        </is>
      </c>
      <c r="B35" s="2" t="inlineStr">
        <is>
          <t>m5_contributors</t>
        </is>
      </c>
      <c r="C35" s="2" t="n">
        <v>101</v>
      </c>
      <c r="D35" s="10" t="n">
        <v>0.465550049177202</v>
      </c>
      <c r="E35" s="2" t="inlineStr">
        <is>
          <t>Exploratory pairwise association; not evidence of causality.</t>
        </is>
      </c>
    </row>
    <row r="36">
      <c r="A36" s="2" t="inlineStr">
        <is>
          <t>m4_releases</t>
        </is>
      </c>
      <c r="B36" s="2" t="inlineStr">
        <is>
          <t>m6_effective_contributors</t>
        </is>
      </c>
      <c r="C36" s="2" t="n">
        <v>101</v>
      </c>
      <c r="D36" s="10" t="n">
        <v>0.4822734847765784</v>
      </c>
      <c r="E36" s="2" t="inlineStr">
        <is>
          <t>Exploratory pairwise association; not evidence of causality.</t>
        </is>
      </c>
    </row>
    <row r="37">
      <c r="A37" s="2" t="inlineStr">
        <is>
          <t>m4_releases</t>
        </is>
      </c>
      <c r="B37" s="2" t="inlineStr">
        <is>
          <t>m7_retention</t>
        </is>
      </c>
      <c r="C37" s="2" t="n">
        <v>101</v>
      </c>
      <c r="D37" s="10" t="n">
        <v>0.496099820966316</v>
      </c>
      <c r="E37" s="2" t="inlineStr">
        <is>
          <t>Exploratory pairwise association; not evidence of causality.</t>
        </is>
      </c>
    </row>
    <row r="38">
      <c r="A38" s="2" t="inlineStr">
        <is>
          <t>m4_releases</t>
        </is>
      </c>
      <c r="B38" s="2" t="inlineStr">
        <is>
          <t>m8_issue_response</t>
        </is>
      </c>
      <c r="C38" s="2" t="n">
        <v>54</v>
      </c>
      <c r="D38" s="10" t="n">
        <v>0.3367228103369783</v>
      </c>
      <c r="E38" s="2" t="inlineStr">
        <is>
          <t>Exploratory pairwise association; not evidence of causality.</t>
        </is>
      </c>
    </row>
    <row r="39">
      <c r="A39" s="2" t="inlineStr">
        <is>
          <t>m4_releases</t>
        </is>
      </c>
      <c r="B39" s="2" t="inlineStr">
        <is>
          <t>m9_pr_response</t>
        </is>
      </c>
      <c r="C39" s="2" t="n">
        <v>65</v>
      </c>
      <c r="D39" s="10" t="n">
        <v>-0.05797983467463917</v>
      </c>
      <c r="E39" s="2" t="inlineStr">
        <is>
          <t>Exploratory pairwise association; not evidence of causality.</t>
        </is>
      </c>
    </row>
    <row r="40">
      <c r="A40" s="2" t="inlineStr">
        <is>
          <t>m4_releases</t>
        </is>
      </c>
      <c r="B40" s="2" t="inlineStr">
        <is>
          <t>m10_issue_close90</t>
        </is>
      </c>
      <c r="C40" s="2" t="n">
        <v>52</v>
      </c>
      <c r="D40" s="10" t="n">
        <v>-0.02374334476978728</v>
      </c>
      <c r="E40" s="2" t="inlineStr">
        <is>
          <t>Exploratory pairwise association; not evidence of causality.</t>
        </is>
      </c>
    </row>
    <row r="41">
      <c r="A41" s="2" t="inlineStr">
        <is>
          <t>m4_releases</t>
        </is>
      </c>
      <c r="B41" s="2" t="inlineStr">
        <is>
          <t>m11_pr_decision30</t>
        </is>
      </c>
      <c r="C41" s="2" t="n">
        <v>65</v>
      </c>
      <c r="D41" s="10" t="n">
        <v>-0.09167131987784101</v>
      </c>
      <c r="E41" s="2" t="inlineStr">
        <is>
          <t>Exploratory pairwise association; not evidence of causality.</t>
        </is>
      </c>
    </row>
    <row r="42">
      <c r="A42" s="2" t="inlineStr">
        <is>
          <t>m4_releases</t>
        </is>
      </c>
      <c r="B42" s="2" t="inlineStr">
        <is>
          <t>m12_stars</t>
        </is>
      </c>
      <c r="C42" s="2" t="n">
        <v>90</v>
      </c>
      <c r="D42" s="10" t="n">
        <v>0.3284328253864218</v>
      </c>
      <c r="E42" s="2" t="inlineStr">
        <is>
          <t>Exploratory pairwise association; not evidence of causality.</t>
        </is>
      </c>
    </row>
    <row r="43">
      <c r="A43" s="2" t="inlineStr">
        <is>
          <t>m4_releases</t>
        </is>
      </c>
      <c r="B43" s="2" t="inlineStr">
        <is>
          <t>m13_forks</t>
        </is>
      </c>
      <c r="C43" s="2" t="n">
        <v>90</v>
      </c>
      <c r="D43" s="10" t="n">
        <v>0.3192522019463349</v>
      </c>
      <c r="E43" s="2" t="inlineStr">
        <is>
          <t>Exploratory pairwise association; not evidence of causality.</t>
        </is>
      </c>
    </row>
    <row r="44">
      <c r="A44" s="2" t="inlineStr">
        <is>
          <t>m5_contributors</t>
        </is>
      </c>
      <c r="B44" s="2" t="inlineStr">
        <is>
          <t>m6_effective_contributors</t>
        </is>
      </c>
      <c r="C44" s="2" t="n">
        <v>101</v>
      </c>
      <c r="D44" s="10" t="n">
        <v>0.9195191930662379</v>
      </c>
      <c r="E44" s="2" t="inlineStr">
        <is>
          <t>Strong association; interpret equal weights as indicator weights, not independent construct weights.</t>
        </is>
      </c>
    </row>
    <row r="45">
      <c r="A45" s="2" t="inlineStr">
        <is>
          <t>m5_contributors</t>
        </is>
      </c>
      <c r="B45" s="2" t="inlineStr">
        <is>
          <t>m7_retention</t>
        </is>
      </c>
      <c r="C45" s="2" t="n">
        <v>101</v>
      </c>
      <c r="D45" s="10" t="n">
        <v>0.880366003195961</v>
      </c>
      <c r="E45" s="2" t="inlineStr">
        <is>
          <t>Strong association; interpret equal weights as indicator weights, not independent construct weights.</t>
        </is>
      </c>
    </row>
    <row r="46">
      <c r="A46" s="2" t="inlineStr">
        <is>
          <t>m5_contributors</t>
        </is>
      </c>
      <c r="B46" s="2" t="inlineStr">
        <is>
          <t>m8_issue_response</t>
        </is>
      </c>
      <c r="C46" s="2" t="n">
        <v>54</v>
      </c>
      <c r="D46" s="10" t="n">
        <v>0.2601188199771788</v>
      </c>
      <c r="E46" s="2" t="inlineStr">
        <is>
          <t>Exploratory pairwise association; not evidence of causality.</t>
        </is>
      </c>
    </row>
    <row r="47">
      <c r="A47" s="2" t="inlineStr">
        <is>
          <t>m5_contributors</t>
        </is>
      </c>
      <c r="B47" s="2" t="inlineStr">
        <is>
          <t>m9_pr_response</t>
        </is>
      </c>
      <c r="C47" s="2" t="n">
        <v>65</v>
      </c>
      <c r="D47" s="10" t="n">
        <v>0.3109133199746557</v>
      </c>
      <c r="E47" s="2" t="inlineStr">
        <is>
          <t>Exploratory pairwise association; not evidence of causality.</t>
        </is>
      </c>
    </row>
    <row r="48">
      <c r="A48" s="2" t="inlineStr">
        <is>
          <t>m5_contributors</t>
        </is>
      </c>
      <c r="B48" s="2" t="inlineStr">
        <is>
          <t>m10_issue_close90</t>
        </is>
      </c>
      <c r="C48" s="2" t="n">
        <v>52</v>
      </c>
      <c r="D48" s="10" t="n">
        <v>0.1879180875933396</v>
      </c>
      <c r="E48" s="2" t="inlineStr">
        <is>
          <t>Exploratory pairwise association; not evidence of causality.</t>
        </is>
      </c>
    </row>
    <row r="49">
      <c r="A49" s="2" t="inlineStr">
        <is>
          <t>m5_contributors</t>
        </is>
      </c>
      <c r="B49" s="2" t="inlineStr">
        <is>
          <t>m11_pr_decision30</t>
        </is>
      </c>
      <c r="C49" s="2" t="n">
        <v>65</v>
      </c>
      <c r="D49" s="10" t="n">
        <v>-0.2787884859681933</v>
      </c>
      <c r="E49" s="2" t="inlineStr">
        <is>
          <t>Exploratory pairwise association; not evidence of causality.</t>
        </is>
      </c>
    </row>
    <row r="50">
      <c r="A50" s="2" t="inlineStr">
        <is>
          <t>m5_contributors</t>
        </is>
      </c>
      <c r="B50" s="2" t="inlineStr">
        <is>
          <t>m12_stars</t>
        </is>
      </c>
      <c r="C50" s="2" t="n">
        <v>90</v>
      </c>
      <c r="D50" s="10" t="n">
        <v>0.6368345834152254</v>
      </c>
      <c r="E50" s="2" t="inlineStr">
        <is>
          <t>Exploratory pairwise association; not evidence of causality.</t>
        </is>
      </c>
    </row>
    <row r="51">
      <c r="A51" s="2" t="inlineStr">
        <is>
          <t>m5_contributors</t>
        </is>
      </c>
      <c r="B51" s="2" t="inlineStr">
        <is>
          <t>m13_forks</t>
        </is>
      </c>
      <c r="C51" s="2" t="n">
        <v>90</v>
      </c>
      <c r="D51" s="10" t="n">
        <v>0.6708212778287164</v>
      </c>
      <c r="E51" s="2" t="inlineStr">
        <is>
          <t>Exploratory pairwise association; not evidence of causality.</t>
        </is>
      </c>
    </row>
    <row r="52">
      <c r="A52" s="2" t="inlineStr">
        <is>
          <t>m6_effective_contributors</t>
        </is>
      </c>
      <c r="B52" s="2" t="inlineStr">
        <is>
          <t>m7_retention</t>
        </is>
      </c>
      <c r="C52" s="2" t="n">
        <v>101</v>
      </c>
      <c r="D52" s="10" t="n">
        <v>0.8493254581956429</v>
      </c>
      <c r="E52" s="2" t="inlineStr">
        <is>
          <t>Strong association; interpret equal weights as indicator weights, not independent construct weights.</t>
        </is>
      </c>
    </row>
    <row r="53">
      <c r="A53" s="2" t="inlineStr">
        <is>
          <t>m6_effective_contributors</t>
        </is>
      </c>
      <c r="B53" s="2" t="inlineStr">
        <is>
          <t>m8_issue_response</t>
        </is>
      </c>
      <c r="C53" s="2" t="n">
        <v>54</v>
      </c>
      <c r="D53" s="10" t="n">
        <v>0.1658659364979745</v>
      </c>
      <c r="E53" s="2" t="inlineStr">
        <is>
          <t>Exploratory pairwise association; not evidence of causality.</t>
        </is>
      </c>
    </row>
    <row r="54">
      <c r="A54" s="2" t="inlineStr">
        <is>
          <t>m6_effective_contributors</t>
        </is>
      </c>
      <c r="B54" s="2" t="inlineStr">
        <is>
          <t>m9_pr_response</t>
        </is>
      </c>
      <c r="C54" s="2" t="n">
        <v>65</v>
      </c>
      <c r="D54" s="10" t="n">
        <v>0.2573980629159139</v>
      </c>
      <c r="E54" s="2" t="inlineStr">
        <is>
          <t>Exploratory pairwise association; not evidence of causality.</t>
        </is>
      </c>
    </row>
    <row r="55">
      <c r="A55" s="2" t="inlineStr">
        <is>
          <t>m6_effective_contributors</t>
        </is>
      </c>
      <c r="B55" s="2" t="inlineStr">
        <is>
          <t>m10_issue_close90</t>
        </is>
      </c>
      <c r="C55" s="2" t="n">
        <v>52</v>
      </c>
      <c r="D55" s="10" t="n">
        <v>0.01972967801168606</v>
      </c>
      <c r="E55" s="2" t="inlineStr">
        <is>
          <t>Exploratory pairwise association; not evidence of causality.</t>
        </is>
      </c>
    </row>
    <row r="56">
      <c r="A56" s="2" t="inlineStr">
        <is>
          <t>m6_effective_contributors</t>
        </is>
      </c>
      <c r="B56" s="2" t="inlineStr">
        <is>
          <t>m11_pr_decision30</t>
        </is>
      </c>
      <c r="C56" s="2" t="n">
        <v>65</v>
      </c>
      <c r="D56" s="10" t="n">
        <v>-0.2801858712701039</v>
      </c>
      <c r="E56" s="2" t="inlineStr">
        <is>
          <t>Exploratory pairwise association; not evidence of causality.</t>
        </is>
      </c>
    </row>
    <row r="57">
      <c r="A57" s="2" t="inlineStr">
        <is>
          <t>m6_effective_contributors</t>
        </is>
      </c>
      <c r="B57" s="2" t="inlineStr">
        <is>
          <t>m12_stars</t>
        </is>
      </c>
      <c r="C57" s="2" t="n">
        <v>90</v>
      </c>
      <c r="D57" s="10" t="n">
        <v>0.5842395123684069</v>
      </c>
      <c r="E57" s="2" t="inlineStr">
        <is>
          <t>Exploratory pairwise association; not evidence of causality.</t>
        </is>
      </c>
    </row>
    <row r="58">
      <c r="A58" s="2" t="inlineStr">
        <is>
          <t>m6_effective_contributors</t>
        </is>
      </c>
      <c r="B58" s="2" t="inlineStr">
        <is>
          <t>m13_forks</t>
        </is>
      </c>
      <c r="C58" s="2" t="n">
        <v>90</v>
      </c>
      <c r="D58" s="10" t="n">
        <v>0.5702242552418316</v>
      </c>
      <c r="E58" s="2" t="inlineStr">
        <is>
          <t>Exploratory pairwise association; not evidence of causality.</t>
        </is>
      </c>
    </row>
    <row r="59">
      <c r="A59" s="2" t="inlineStr">
        <is>
          <t>m7_retention</t>
        </is>
      </c>
      <c r="B59" s="2" t="inlineStr">
        <is>
          <t>m8_issue_response</t>
        </is>
      </c>
      <c r="C59" s="2" t="n">
        <v>54</v>
      </c>
      <c r="D59" s="10" t="n">
        <v>0.08633452665788284</v>
      </c>
      <c r="E59" s="2" t="inlineStr">
        <is>
          <t>Exploratory pairwise association; not evidence of causality.</t>
        </is>
      </c>
    </row>
    <row r="60">
      <c r="A60" s="2" t="inlineStr">
        <is>
          <t>m7_retention</t>
        </is>
      </c>
      <c r="B60" s="2" t="inlineStr">
        <is>
          <t>m9_pr_response</t>
        </is>
      </c>
      <c r="C60" s="2" t="n">
        <v>65</v>
      </c>
      <c r="D60" s="10" t="n">
        <v>0.2681581878158882</v>
      </c>
      <c r="E60" s="2" t="inlineStr">
        <is>
          <t>Exploratory pairwise association; not evidence of causality.</t>
        </is>
      </c>
    </row>
    <row r="61">
      <c r="A61" s="2" t="inlineStr">
        <is>
          <t>m7_retention</t>
        </is>
      </c>
      <c r="B61" s="2" t="inlineStr">
        <is>
          <t>m10_issue_close90</t>
        </is>
      </c>
      <c r="C61" s="2" t="n">
        <v>52</v>
      </c>
      <c r="D61" s="10" t="n">
        <v>0.1777552542434573</v>
      </c>
      <c r="E61" s="2" t="inlineStr">
        <is>
          <t>Exploratory pairwise association; not evidence of causality.</t>
        </is>
      </c>
    </row>
    <row r="62">
      <c r="A62" s="2" t="inlineStr">
        <is>
          <t>m7_retention</t>
        </is>
      </c>
      <c r="B62" s="2" t="inlineStr">
        <is>
          <t>m11_pr_decision30</t>
        </is>
      </c>
      <c r="C62" s="2" t="n">
        <v>65</v>
      </c>
      <c r="D62" s="10" t="n">
        <v>-0.09435401692697538</v>
      </c>
      <c r="E62" s="2" t="inlineStr">
        <is>
          <t>Exploratory pairwise association; not evidence of causality.</t>
        </is>
      </c>
    </row>
    <row r="63">
      <c r="A63" s="2" t="inlineStr">
        <is>
          <t>m7_retention</t>
        </is>
      </c>
      <c r="B63" s="2" t="inlineStr">
        <is>
          <t>m12_stars</t>
        </is>
      </c>
      <c r="C63" s="2" t="n">
        <v>90</v>
      </c>
      <c r="D63" s="10" t="n">
        <v>0.5264027256355431</v>
      </c>
      <c r="E63" s="2" t="inlineStr">
        <is>
          <t>Exploratory pairwise association; not evidence of causality.</t>
        </is>
      </c>
    </row>
    <row r="64">
      <c r="A64" s="2" t="inlineStr">
        <is>
          <t>m7_retention</t>
        </is>
      </c>
      <c r="B64" s="2" t="inlineStr">
        <is>
          <t>m13_forks</t>
        </is>
      </c>
      <c r="C64" s="2" t="n">
        <v>90</v>
      </c>
      <c r="D64" s="10" t="n">
        <v>0.5044026333209529</v>
      </c>
      <c r="E64" s="2" t="inlineStr">
        <is>
          <t>Exploratory pairwise association; not evidence of causality.</t>
        </is>
      </c>
    </row>
    <row r="65">
      <c r="A65" s="2" t="inlineStr">
        <is>
          <t>m8_issue_response</t>
        </is>
      </c>
      <c r="B65" s="2" t="inlineStr">
        <is>
          <t>m9_pr_response</t>
        </is>
      </c>
      <c r="C65" s="2" t="n">
        <v>47</v>
      </c>
      <c r="D65" s="10" t="n">
        <v>0.145546015919317</v>
      </c>
      <c r="E65" s="2" t="inlineStr">
        <is>
          <t>Exploratory pairwise association; not evidence of causality.</t>
        </is>
      </c>
    </row>
    <row r="66">
      <c r="A66" s="2" t="inlineStr">
        <is>
          <t>m8_issue_response</t>
        </is>
      </c>
      <c r="B66" s="2" t="inlineStr">
        <is>
          <t>m10_issue_close90</t>
        </is>
      </c>
      <c r="C66" s="2" t="n">
        <v>52</v>
      </c>
      <c r="D66" s="10" t="n">
        <v>0.2344954207319037</v>
      </c>
      <c r="E66" s="2" t="inlineStr">
        <is>
          <t>Exploratory pairwise association; not evidence of causality.</t>
        </is>
      </c>
    </row>
    <row r="67">
      <c r="A67" s="2" t="inlineStr">
        <is>
          <t>m8_issue_response</t>
        </is>
      </c>
      <c r="B67" s="2" t="inlineStr">
        <is>
          <t>m11_pr_decision30</t>
        </is>
      </c>
      <c r="C67" s="2" t="n">
        <v>47</v>
      </c>
      <c r="D67" s="10" t="n">
        <v>-0.02211941601497905</v>
      </c>
      <c r="E67" s="2" t="inlineStr">
        <is>
          <t>Exploratory pairwise association; not evidence of causality.</t>
        </is>
      </c>
    </row>
    <row r="68">
      <c r="A68" s="2" t="inlineStr">
        <is>
          <t>m8_issue_response</t>
        </is>
      </c>
      <c r="B68" s="2" t="inlineStr">
        <is>
          <t>m12_stars</t>
        </is>
      </c>
      <c r="C68" s="2" t="n">
        <v>54</v>
      </c>
      <c r="D68" s="10" t="n">
        <v>0.3045810470387621</v>
      </c>
      <c r="E68" s="2" t="inlineStr">
        <is>
          <t>Exploratory pairwise association; not evidence of causality.</t>
        </is>
      </c>
    </row>
    <row r="69">
      <c r="A69" s="2" t="inlineStr">
        <is>
          <t>m8_issue_response</t>
        </is>
      </c>
      <c r="B69" s="2" t="inlineStr">
        <is>
          <t>m13_forks</t>
        </is>
      </c>
      <c r="C69" s="2" t="n">
        <v>54</v>
      </c>
      <c r="D69" s="10" t="n">
        <v>0.2747938383702845</v>
      </c>
      <c r="E69" s="2" t="inlineStr">
        <is>
          <t>Exploratory pairwise association; not evidence of causality.</t>
        </is>
      </c>
    </row>
    <row r="70">
      <c r="A70" s="2" t="inlineStr">
        <is>
          <t>m9_pr_response</t>
        </is>
      </c>
      <c r="B70" s="2" t="inlineStr">
        <is>
          <t>m10_issue_close90</t>
        </is>
      </c>
      <c r="C70" s="2" t="n">
        <v>45</v>
      </c>
      <c r="D70" s="10" t="n">
        <v>0.3222533399012327</v>
      </c>
      <c r="E70" s="2" t="inlineStr">
        <is>
          <t>Exploratory pairwise association; not evidence of causality.</t>
        </is>
      </c>
    </row>
    <row r="71">
      <c r="A71" s="2" t="inlineStr">
        <is>
          <t>m9_pr_response</t>
        </is>
      </c>
      <c r="B71" s="2" t="inlineStr">
        <is>
          <t>m11_pr_decision30</t>
        </is>
      </c>
      <c r="C71" s="2" t="n">
        <v>65</v>
      </c>
      <c r="D71" s="10" t="n">
        <v>0.1271662405513565</v>
      </c>
      <c r="E71" s="2" t="inlineStr">
        <is>
          <t>Exploratory pairwise association; not evidence of causality.</t>
        </is>
      </c>
    </row>
    <row r="72">
      <c r="A72" s="2" t="inlineStr">
        <is>
          <t>m9_pr_response</t>
        </is>
      </c>
      <c r="B72" s="2" t="inlineStr">
        <is>
          <t>m12_stars</t>
        </is>
      </c>
      <c r="C72" s="2" t="n">
        <v>65</v>
      </c>
      <c r="D72" s="10" t="n">
        <v>0.0694427841763338</v>
      </c>
      <c r="E72" s="2" t="inlineStr">
        <is>
          <t>Exploratory pairwise association; not evidence of causality.</t>
        </is>
      </c>
    </row>
    <row r="73">
      <c r="A73" s="2" t="inlineStr">
        <is>
          <t>m9_pr_response</t>
        </is>
      </c>
      <c r="B73" s="2" t="inlineStr">
        <is>
          <t>m13_forks</t>
        </is>
      </c>
      <c r="C73" s="2" t="n">
        <v>65</v>
      </c>
      <c r="D73" s="10" t="n">
        <v>0.03386353414746674</v>
      </c>
      <c r="E73" s="2" t="inlineStr">
        <is>
          <t>Exploratory pairwise association; not evidence of causality.</t>
        </is>
      </c>
    </row>
    <row r="74">
      <c r="A74" s="2" t="inlineStr">
        <is>
          <t>m10_issue_close90</t>
        </is>
      </c>
      <c r="B74" s="2" t="inlineStr">
        <is>
          <t>m11_pr_decision30</t>
        </is>
      </c>
      <c r="C74" s="2" t="n">
        <v>45</v>
      </c>
      <c r="D74" s="10" t="n">
        <v>0.2637543674479222</v>
      </c>
      <c r="E74" s="2" t="inlineStr">
        <is>
          <t>Exploratory pairwise association; not evidence of causality.</t>
        </is>
      </c>
    </row>
    <row r="75">
      <c r="A75" s="2" t="inlineStr">
        <is>
          <t>m10_issue_close90</t>
        </is>
      </c>
      <c r="B75" s="2" t="inlineStr">
        <is>
          <t>m12_stars</t>
        </is>
      </c>
      <c r="C75" s="2" t="n">
        <v>52</v>
      </c>
      <c r="D75" s="10" t="n">
        <v>-0.03677587722562264</v>
      </c>
      <c r="E75" s="2" t="inlineStr">
        <is>
          <t>Exploratory pairwise association; not evidence of causality.</t>
        </is>
      </c>
    </row>
    <row r="76">
      <c r="A76" s="2" t="inlineStr">
        <is>
          <t>m10_issue_close90</t>
        </is>
      </c>
      <c r="B76" s="2" t="inlineStr">
        <is>
          <t>m13_forks</t>
        </is>
      </c>
      <c r="C76" s="2" t="n">
        <v>52</v>
      </c>
      <c r="D76" s="10" t="n">
        <v>0.0352752127248733</v>
      </c>
      <c r="E76" s="2" t="inlineStr">
        <is>
          <t>Exploratory pairwise association; not evidence of causality.</t>
        </is>
      </c>
    </row>
    <row r="77">
      <c r="A77" s="2" t="inlineStr">
        <is>
          <t>m11_pr_decision30</t>
        </is>
      </c>
      <c r="B77" s="2" t="inlineStr">
        <is>
          <t>m12_stars</t>
        </is>
      </c>
      <c r="C77" s="2" t="n">
        <v>65</v>
      </c>
      <c r="D77" s="10" t="n">
        <v>-0.3842832505031238</v>
      </c>
      <c r="E77" s="2" t="inlineStr">
        <is>
          <t>Exploratory pairwise association; not evidence of causality.</t>
        </is>
      </c>
    </row>
    <row r="78">
      <c r="A78" s="2" t="inlineStr">
        <is>
          <t>m11_pr_decision30</t>
        </is>
      </c>
      <c r="B78" s="2" t="inlineStr">
        <is>
          <t>m13_forks</t>
        </is>
      </c>
      <c r="C78" s="2" t="n">
        <v>65</v>
      </c>
      <c r="D78" s="10" t="n">
        <v>-0.3626107573915632</v>
      </c>
      <c r="E78" s="2" t="inlineStr">
        <is>
          <t>Exploratory pairwise association; not evidence of causality.</t>
        </is>
      </c>
    </row>
    <row r="79">
      <c r="A79" s="2" t="inlineStr">
        <is>
          <t>m12_stars</t>
        </is>
      </c>
      <c r="B79" s="2" t="inlineStr">
        <is>
          <t>m13_forks</t>
        </is>
      </c>
      <c r="C79" s="2" t="n">
        <v>90</v>
      </c>
      <c r="D79" s="10" t="n">
        <v>0.85164952108711</v>
      </c>
      <c r="E79" s="2" t="inlineStr">
        <is>
          <t>Strong association; interpret equal weights as indicator weights, not independent construct weights.</t>
        </is>
      </c>
    </row>
  </sheetData>
  <autoFilter ref="A1:E7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8F1EF"/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2" customWidth="1" min="16" max="16"/>
    <col width="19" customWidth="1" min="17" max="17"/>
    <col width="22" customWidth="1" min="18" max="18"/>
    <col width="22" customWidth="1" min="19" max="19"/>
    <col width="65" customWidth="1" min="20" max="20"/>
  </cols>
  <sheetData>
    <row r="1" ht="34" customHeight="1">
      <c r="A1" s="1" t="inlineStr">
        <is>
          <t>OISI ID</t>
        </is>
      </c>
      <c r="B1" s="1" t="inlineStr">
        <is>
          <t>Infrastructure</t>
        </is>
      </c>
      <c r="C1" s="1" t="inlineStr">
        <is>
          <t>m1_commits observed</t>
        </is>
      </c>
      <c r="D1" s="1" t="inlineStr">
        <is>
          <t>m2_active_weeks observed</t>
        </is>
      </c>
      <c r="E1" s="1" t="inlineStr">
        <is>
          <t>m3_recency observed</t>
        </is>
      </c>
      <c r="F1" s="1" t="inlineStr">
        <is>
          <t>m4_releases observed</t>
        </is>
      </c>
      <c r="G1" s="1" t="inlineStr">
        <is>
          <t>m5_contributors observed</t>
        </is>
      </c>
      <c r="H1" s="1" t="inlineStr">
        <is>
          <t>m6_effective_contributors observed</t>
        </is>
      </c>
      <c r="I1" s="1" t="inlineStr">
        <is>
          <t>m7_retention observed</t>
        </is>
      </c>
      <c r="J1" s="1" t="inlineStr">
        <is>
          <t>m8_issue_response observed</t>
        </is>
      </c>
      <c r="K1" s="1" t="inlineStr">
        <is>
          <t>m9_pr_response observed</t>
        </is>
      </c>
      <c r="L1" s="1" t="inlineStr">
        <is>
          <t>m10_issue_close90 observed</t>
        </is>
      </c>
      <c r="M1" s="1" t="inlineStr">
        <is>
          <t>m11_pr_decision30 observed</t>
        </is>
      </c>
      <c r="N1" s="1" t="inlineStr">
        <is>
          <t>m12_stars observed</t>
        </is>
      </c>
      <c r="O1" s="1" t="inlineStr">
        <is>
          <t>m13_forks observed</t>
        </is>
      </c>
      <c r="P1" s="1" t="inlineStr">
        <is>
          <t>Available metrics (of 13)</t>
        </is>
      </c>
      <c r="Q1" s="1" t="inlineStr">
        <is>
          <t>Observed coverage</t>
        </is>
      </c>
      <c r="R1" s="1" t="inlineStr">
        <is>
          <t>Observed-only mean</t>
        </is>
      </c>
      <c r="S1" s="1" t="inlineStr">
        <is>
          <t>Zero-filled final score</t>
        </is>
      </c>
      <c r="T1" s="1" t="inlineStr">
        <is>
          <t>Coverage interpretation</t>
        </is>
      </c>
    </row>
    <row r="2">
      <c r="A2" s="2" t="inlineStr">
        <is>
          <t>C4-001</t>
        </is>
      </c>
      <c r="B2" s="2" t="inlineStr">
        <is>
          <t>2i2c</t>
        </is>
      </c>
      <c r="C2" s="11" t="n">
        <v>1</v>
      </c>
      <c r="D2" s="11" t="n">
        <v>1</v>
      </c>
      <c r="E2" s="11" t="n">
        <v>1</v>
      </c>
      <c r="F2" s="11" t="n">
        <v>1</v>
      </c>
      <c r="G2" s="11" t="n">
        <v>1</v>
      </c>
      <c r="H2" s="11" t="n">
        <v>1</v>
      </c>
      <c r="I2" s="11" t="n">
        <v>1</v>
      </c>
      <c r="J2" s="11" t="n">
        <v>1</v>
      </c>
      <c r="K2" s="11" t="n">
        <v>1</v>
      </c>
      <c r="L2" s="11" t="n">
        <v>1</v>
      </c>
      <c r="M2" s="11" t="n">
        <v>1</v>
      </c>
      <c r="N2" s="11" t="n">
        <v>1</v>
      </c>
      <c r="O2" s="11" t="n">
        <v>1</v>
      </c>
      <c r="P2" s="11">
        <f>SUM(C2:O2)</f>
        <v>13</v>
      </c>
      <c r="Q2" s="5">
        <f>P2/13</f>
        <v>1</v>
      </c>
      <c r="R2" s="4">
        <f>IFERROR(SUMPRODUCT(Calc!B2:N2,C2:O2)/P2,0)</f>
        <v>70.2738461538462</v>
      </c>
      <c r="S2" s="4">
        <f>Scoring!U2</f>
        <v>70.2738461538462</v>
      </c>
      <c r="T2" s="2" t="inlineStr">
        <is>
          <t>Diagnostic only; never an eligibility rule.</t>
        </is>
      </c>
    </row>
    <row r="3">
      <c r="A3" s="2" t="inlineStr">
        <is>
          <t>C4-002</t>
        </is>
      </c>
      <c r="B3" s="2" t="inlineStr">
        <is>
          <t>Academic Preservation Trust (APTrust)</t>
        </is>
      </c>
      <c r="C3" s="11" t="n">
        <v>1</v>
      </c>
      <c r="D3" s="11" t="n">
        <v>1</v>
      </c>
      <c r="E3" s="11" t="n">
        <v>1</v>
      </c>
      <c r="F3" s="11" t="n">
        <v>1</v>
      </c>
      <c r="G3" s="11" t="n">
        <v>1</v>
      </c>
      <c r="H3" s="11" t="n">
        <v>1</v>
      </c>
      <c r="I3" s="11" t="n">
        <v>1</v>
      </c>
      <c r="J3" s="11" t="n">
        <v>1</v>
      </c>
      <c r="K3" s="11" t="n">
        <v>1</v>
      </c>
      <c r="L3" s="11" t="n">
        <v>1</v>
      </c>
      <c r="M3" s="11" t="n">
        <v>1</v>
      </c>
      <c r="N3" s="11" t="n">
        <v>1</v>
      </c>
      <c r="O3" s="11" t="n">
        <v>1</v>
      </c>
      <c r="P3" s="11">
        <f>SUM(C3:O3)</f>
        <v>13</v>
      </c>
      <c r="Q3" s="5">
        <f>P3/13</f>
        <v>1</v>
      </c>
      <c r="R3" s="4">
        <f>IFERROR(SUMPRODUCT(Calc!B3:N3,C3:O3)/P3,0)</f>
        <v>39.2707692307692</v>
      </c>
      <c r="S3" s="4">
        <f>Scoring!U3</f>
        <v>39.2707692307692</v>
      </c>
      <c r="T3" s="2" t="inlineStr">
        <is>
          <t>Diagnostic only; never an eligibility rule.</t>
        </is>
      </c>
    </row>
    <row r="4">
      <c r="A4" s="2" t="inlineStr">
        <is>
          <t>C4-003</t>
        </is>
      </c>
      <c r="B4" s="2" t="inlineStr">
        <is>
          <t>AfricArXiv</t>
        </is>
      </c>
      <c r="C4" s="11" t="n">
        <v>0</v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  <c r="P4" s="11">
        <f>SUM(C4:O4)</f>
        <v>0</v>
      </c>
      <c r="Q4" s="5">
        <f>P4/13</f>
        <v>0</v>
      </c>
      <c r="R4" s="4">
        <f>IFERROR(SUMPRODUCT(Calc!B4:N4,C4:O4)/P4,0)</f>
        <v>0</v>
      </c>
      <c r="S4" s="4">
        <f>Scoring!U4</f>
        <v>0</v>
      </c>
      <c r="T4" s="2" t="inlineStr">
        <is>
          <t>Diagnostic only; never an eligibility rule.</t>
        </is>
      </c>
    </row>
    <row r="5">
      <c r="A5" s="2" t="inlineStr">
        <is>
          <t>C4-004</t>
        </is>
      </c>
      <c r="B5" s="2" t="inlineStr">
        <is>
          <t>Arches Heritage Data Management Platform</t>
        </is>
      </c>
      <c r="C5" s="11" t="n">
        <v>1</v>
      </c>
      <c r="D5" s="11" t="n">
        <v>1</v>
      </c>
      <c r="E5" s="11" t="n">
        <v>1</v>
      </c>
      <c r="F5" s="11" t="n">
        <v>1</v>
      </c>
      <c r="G5" s="11" t="n">
        <v>1</v>
      </c>
      <c r="H5" s="11" t="n">
        <v>1</v>
      </c>
      <c r="I5" s="11" t="n">
        <v>1</v>
      </c>
      <c r="J5" s="11" t="n">
        <v>1</v>
      </c>
      <c r="K5" s="11" t="n">
        <v>1</v>
      </c>
      <c r="L5" s="11" t="n">
        <v>1</v>
      </c>
      <c r="M5" s="11" t="n">
        <v>1</v>
      </c>
      <c r="N5" s="11" t="n">
        <v>1</v>
      </c>
      <c r="O5" s="11" t="n">
        <v>1</v>
      </c>
      <c r="P5" s="11">
        <f>SUM(C5:O5)</f>
        <v>13</v>
      </c>
      <c r="Q5" s="5">
        <f>P5/13</f>
        <v>1</v>
      </c>
      <c r="R5" s="4">
        <f>IFERROR(SUMPRODUCT(Calc!B5:N5,C5:O5)/P5,0)</f>
        <v>79.62</v>
      </c>
      <c r="S5" s="4">
        <f>Scoring!U5</f>
        <v>79.62</v>
      </c>
      <c r="T5" s="2" t="inlineStr">
        <is>
          <t>Diagnostic only; never an eligibility rule.</t>
        </is>
      </c>
    </row>
    <row r="6">
      <c r="A6" s="2" t="inlineStr">
        <is>
          <t>C4-005</t>
        </is>
      </c>
      <c r="B6" s="2" t="inlineStr">
        <is>
          <t>Archipelago Commons</t>
        </is>
      </c>
      <c r="C6" s="11" t="n">
        <v>1</v>
      </c>
      <c r="D6" s="11" t="n">
        <v>1</v>
      </c>
      <c r="E6" s="11" t="n">
        <v>1</v>
      </c>
      <c r="F6" s="11" t="n">
        <v>1</v>
      </c>
      <c r="G6" s="11" t="n">
        <v>1</v>
      </c>
      <c r="H6" s="11" t="n">
        <v>1</v>
      </c>
      <c r="I6" s="11" t="n">
        <v>1</v>
      </c>
      <c r="J6" s="11" t="n">
        <v>0</v>
      </c>
      <c r="K6" s="11" t="n">
        <v>1</v>
      </c>
      <c r="L6" s="11" t="n">
        <v>0</v>
      </c>
      <c r="M6" s="11" t="n">
        <v>1</v>
      </c>
      <c r="N6" s="11" t="n">
        <v>1</v>
      </c>
      <c r="O6" s="11" t="n">
        <v>1</v>
      </c>
      <c r="P6" s="11">
        <f>SUM(C6:O6)</f>
        <v>11</v>
      </c>
      <c r="Q6" s="5">
        <f>P6/13</f>
        <v>0.846153846153846</v>
      </c>
      <c r="R6" s="4">
        <f>IFERROR(SUMPRODUCT(Calc!B6:N6,C6:O6)/P6,0)</f>
        <v>47.3390909090909</v>
      </c>
      <c r="S6" s="4">
        <f>Scoring!U6</f>
        <v>40.0561538461538</v>
      </c>
      <c r="T6" s="2" t="inlineStr">
        <is>
          <t>Diagnostic only; never an eligibility rule.</t>
        </is>
      </c>
    </row>
    <row r="7">
      <c r="A7" s="2" t="inlineStr">
        <is>
          <t>C4-006</t>
        </is>
      </c>
      <c r="B7" s="2" t="inlineStr">
        <is>
          <t>Archival Resource Key</t>
        </is>
      </c>
      <c r="C7" s="11" t="n">
        <v>1</v>
      </c>
      <c r="D7" s="11" t="n">
        <v>1</v>
      </c>
      <c r="E7" s="11" t="n">
        <v>1</v>
      </c>
      <c r="F7" s="11" t="n">
        <v>1</v>
      </c>
      <c r="G7" s="11" t="n">
        <v>1</v>
      </c>
      <c r="H7" s="11" t="n">
        <v>1</v>
      </c>
      <c r="I7" s="11" t="n">
        <v>1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>
        <f>SUM(C7:O7)</f>
        <v>7</v>
      </c>
      <c r="Q7" s="5">
        <f>P7/13</f>
        <v>0.538461538461538</v>
      </c>
      <c r="R7" s="4">
        <f>IFERROR(SUMPRODUCT(Calc!B7:N7,C7:O7)/P7,0)</f>
        <v>43.6157142857143</v>
      </c>
      <c r="S7" s="4">
        <f>Scoring!U7</f>
        <v>23.4853846153846</v>
      </c>
      <c r="T7" s="2" t="inlineStr">
        <is>
          <t>Diagnostic only; never an eligibility rule.</t>
        </is>
      </c>
    </row>
    <row r="8">
      <c r="A8" s="2" t="inlineStr">
        <is>
          <t>C4-007</t>
        </is>
      </c>
      <c r="B8" s="2" t="inlineStr">
        <is>
          <t>Archivematica</t>
        </is>
      </c>
      <c r="C8" s="11" t="n">
        <v>1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1</v>
      </c>
      <c r="K8" s="11" t="n">
        <v>1</v>
      </c>
      <c r="L8" s="11" t="n">
        <v>1</v>
      </c>
      <c r="M8" s="11" t="n">
        <v>1</v>
      </c>
      <c r="N8" s="11" t="n">
        <v>1</v>
      </c>
      <c r="O8" s="11" t="n">
        <v>1</v>
      </c>
      <c r="P8" s="11">
        <f>SUM(C8:O8)</f>
        <v>13</v>
      </c>
      <c r="Q8" s="5">
        <f>P8/13</f>
        <v>1</v>
      </c>
      <c r="R8" s="4">
        <f>IFERROR(SUMPRODUCT(Calc!B8:N8,C8:O8)/P8,0)</f>
        <v>61.3938461538462</v>
      </c>
      <c r="S8" s="4">
        <f>Scoring!U8</f>
        <v>61.3938461538462</v>
      </c>
      <c r="T8" s="2" t="inlineStr">
        <is>
          <t>Diagnostic only; never an eligibility rule.</t>
        </is>
      </c>
    </row>
    <row r="9">
      <c r="A9" s="2" t="inlineStr">
        <is>
          <t>C4-008</t>
        </is>
      </c>
      <c r="B9" s="2" t="inlineStr">
        <is>
          <t>ArchivesSpace</t>
        </is>
      </c>
      <c r="C9" s="11" t="n">
        <v>1</v>
      </c>
      <c r="D9" s="11" t="n">
        <v>1</v>
      </c>
      <c r="E9" s="11" t="n">
        <v>1</v>
      </c>
      <c r="F9" s="11" t="n">
        <v>1</v>
      </c>
      <c r="G9" s="11" t="n">
        <v>1</v>
      </c>
      <c r="H9" s="11" t="n">
        <v>1</v>
      </c>
      <c r="I9" s="11" t="n">
        <v>1</v>
      </c>
      <c r="J9" s="11" t="n">
        <v>1</v>
      </c>
      <c r="K9" s="11" t="n">
        <v>1</v>
      </c>
      <c r="L9" s="11" t="n">
        <v>1</v>
      </c>
      <c r="M9" s="11" t="n">
        <v>1</v>
      </c>
      <c r="N9" s="11" t="n">
        <v>1</v>
      </c>
      <c r="O9" s="11" t="n">
        <v>1</v>
      </c>
      <c r="P9" s="11">
        <f>SUM(C9:O9)</f>
        <v>13</v>
      </c>
      <c r="Q9" s="5">
        <f>P9/13</f>
        <v>1</v>
      </c>
      <c r="R9" s="4">
        <f>IFERROR(SUMPRODUCT(Calc!B9:N9,C9:O9)/P9,0)</f>
        <v>81</v>
      </c>
      <c r="S9" s="4">
        <f>Scoring!U9</f>
        <v>81</v>
      </c>
      <c r="T9" s="2" t="inlineStr">
        <is>
          <t>Diagnostic only; never an eligibility rule.</t>
        </is>
      </c>
    </row>
    <row r="10">
      <c r="A10" s="2" t="inlineStr">
        <is>
          <t>C4-009</t>
        </is>
      </c>
      <c r="B10" s="2" t="inlineStr">
        <is>
          <t>ARGOS</t>
        </is>
      </c>
      <c r="C10" s="11" t="n">
        <v>1</v>
      </c>
      <c r="D10" s="11" t="n">
        <v>1</v>
      </c>
      <c r="E10" s="11" t="n">
        <v>1</v>
      </c>
      <c r="F10" s="11" t="n">
        <v>1</v>
      </c>
      <c r="G10" s="11" t="n">
        <v>1</v>
      </c>
      <c r="H10" s="11" t="n">
        <v>1</v>
      </c>
      <c r="I10" s="11" t="n">
        <v>1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1</v>
      </c>
      <c r="O10" s="11" t="n">
        <v>1</v>
      </c>
      <c r="P10" s="11">
        <f>SUM(C10:O10)</f>
        <v>9</v>
      </c>
      <c r="Q10" s="5">
        <f>P10/13</f>
        <v>0.692307692307692</v>
      </c>
      <c r="R10" s="4">
        <f>IFERROR(SUMPRODUCT(Calc!B10:N10,C10:O10)/P10,0)</f>
        <v>21.98</v>
      </c>
      <c r="S10" s="4">
        <f>Scoring!U10</f>
        <v>15.2169230769231</v>
      </c>
      <c r="T10" s="2" t="inlineStr">
        <is>
          <t>Diagnostic only; never an eligibility rule.</t>
        </is>
      </c>
    </row>
    <row r="11">
      <c r="A11" s="2" t="inlineStr">
        <is>
          <t>C4-010</t>
        </is>
      </c>
      <c r="B11" s="2" t="inlineStr">
        <is>
          <t>arXiv</t>
        </is>
      </c>
      <c r="C11" s="11" t="n">
        <v>1</v>
      </c>
      <c r="D11" s="11" t="n">
        <v>1</v>
      </c>
      <c r="E11" s="11" t="n">
        <v>1</v>
      </c>
      <c r="F11" s="11" t="n">
        <v>1</v>
      </c>
      <c r="G11" s="11" t="n">
        <v>1</v>
      </c>
      <c r="H11" s="11" t="n">
        <v>1</v>
      </c>
      <c r="I11" s="11" t="n">
        <v>1</v>
      </c>
      <c r="J11" s="11" t="n">
        <v>0</v>
      </c>
      <c r="K11" s="11" t="n">
        <v>1</v>
      </c>
      <c r="L11" s="11" t="n">
        <v>0</v>
      </c>
      <c r="M11" s="11" t="n">
        <v>1</v>
      </c>
      <c r="N11" s="11" t="n">
        <v>1</v>
      </c>
      <c r="O11" s="11" t="n">
        <v>1</v>
      </c>
      <c r="P11" s="11">
        <f>SUM(C11:O11)</f>
        <v>11</v>
      </c>
      <c r="Q11" s="5">
        <f>P11/13</f>
        <v>0.846153846153846</v>
      </c>
      <c r="R11" s="4">
        <f>IFERROR(SUMPRODUCT(Calc!B11:N11,C11:O11)/P11,0)</f>
        <v>67.7290909090909</v>
      </c>
      <c r="S11" s="4">
        <f>Scoring!U11</f>
        <v>57.3092307692308</v>
      </c>
      <c r="T11" s="2" t="inlineStr">
        <is>
          <t>Diagnostic only; never an eligibility rule.</t>
        </is>
      </c>
    </row>
    <row r="12">
      <c r="A12" s="2" t="inlineStr">
        <is>
          <t>C4-011</t>
        </is>
      </c>
      <c r="B12" s="2" t="inlineStr">
        <is>
          <t>AtoM</t>
        </is>
      </c>
      <c r="C12" s="11" t="n">
        <v>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>
        <f>SUM(C12:O12)</f>
        <v>13</v>
      </c>
      <c r="Q12" s="5">
        <f>P12/13</f>
        <v>1</v>
      </c>
      <c r="R12" s="4">
        <f>IFERROR(SUMPRODUCT(Calc!B12:N12,C12:O12)/P12,0)</f>
        <v>69.0984615384615</v>
      </c>
      <c r="S12" s="4">
        <f>Scoring!U12</f>
        <v>69.0984615384615</v>
      </c>
      <c r="T12" s="2" t="inlineStr">
        <is>
          <t>Diagnostic only; never an eligibility rule.</t>
        </is>
      </c>
    </row>
    <row r="13">
      <c r="A13" s="2" t="inlineStr">
        <is>
          <t>C4-012</t>
        </is>
      </c>
      <c r="B13" s="2" t="inlineStr">
        <is>
          <t>Avalon Media System</t>
        </is>
      </c>
      <c r="C13" s="11" t="n"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  <c r="M13" s="11" t="n">
        <v>1</v>
      </c>
      <c r="N13" s="11" t="n">
        <v>1</v>
      </c>
      <c r="O13" s="11" t="n">
        <v>1</v>
      </c>
      <c r="P13" s="11">
        <f>SUM(C13:O13)</f>
        <v>13</v>
      </c>
      <c r="Q13" s="5">
        <f>P13/13</f>
        <v>1</v>
      </c>
      <c r="R13" s="4">
        <f>IFERROR(SUMPRODUCT(Calc!B13:N13,C13:O13)/P13,0)</f>
        <v>63.4269230769231</v>
      </c>
      <c r="S13" s="4">
        <f>Scoring!U13</f>
        <v>63.4269230769231</v>
      </c>
      <c r="T13" s="2" t="inlineStr">
        <is>
          <t>Diagnostic only; never an eligibility rule.</t>
        </is>
      </c>
    </row>
    <row r="14">
      <c r="A14" s="2" t="inlineStr">
        <is>
          <t>C4-013</t>
        </is>
      </c>
      <c r="B14" s="2" t="inlineStr">
        <is>
          <t>Biodiversity Heritage Library</t>
        </is>
      </c>
      <c r="C14" s="11" t="n">
        <v>1</v>
      </c>
      <c r="D14" s="11" t="n">
        <v>1</v>
      </c>
      <c r="E14" s="11" t="n">
        <v>1</v>
      </c>
      <c r="F14" s="11" t="n">
        <v>1</v>
      </c>
      <c r="G14" s="11" t="n">
        <v>1</v>
      </c>
      <c r="H14" s="11" t="n">
        <v>1</v>
      </c>
      <c r="I14" s="11" t="n">
        <v>1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1</v>
      </c>
      <c r="O14" s="11" t="n">
        <v>1</v>
      </c>
      <c r="P14" s="11">
        <f>SUM(C14:O14)</f>
        <v>9</v>
      </c>
      <c r="Q14" s="5">
        <f>P14/13</f>
        <v>0.692307692307692</v>
      </c>
      <c r="R14" s="4">
        <f>IFERROR(SUMPRODUCT(Calc!B14:N14,C14:O14)/P14,0)</f>
        <v>38.1411111111111</v>
      </c>
      <c r="S14" s="4">
        <f>Scoring!U14</f>
        <v>26.4053846153846</v>
      </c>
      <c r="T14" s="2" t="inlineStr">
        <is>
          <t>Diagnostic only; never an eligibility rule.</t>
        </is>
      </c>
    </row>
    <row r="15">
      <c r="A15" s="2" t="inlineStr">
        <is>
          <t>C4-014</t>
        </is>
      </c>
      <c r="B15" s="2" t="inlineStr">
        <is>
          <t>bioRxiv</t>
        </is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>
        <f>SUM(C15:O15)</f>
        <v>0</v>
      </c>
      <c r="Q15" s="5">
        <f>P15/13</f>
        <v>0</v>
      </c>
      <c r="R15" s="4">
        <f>IFERROR(SUMPRODUCT(Calc!B15:N15,C15:O15)/P15,0)</f>
        <v>0</v>
      </c>
      <c r="S15" s="4">
        <f>Scoring!U15</f>
        <v>0</v>
      </c>
      <c r="T15" s="2" t="inlineStr">
        <is>
          <t>Diagnostic only; never an eligibility rule.</t>
        </is>
      </c>
    </row>
    <row r="16">
      <c r="A16" s="2" t="inlineStr">
        <is>
          <t>C4-015</t>
        </is>
      </c>
      <c r="B16" s="2" t="inlineStr">
        <is>
          <t>BitCurator Environment</t>
        </is>
      </c>
      <c r="C16" s="11" t="n">
        <v>1</v>
      </c>
      <c r="D16" s="11" t="n">
        <v>1</v>
      </c>
      <c r="E16" s="11" t="n">
        <v>1</v>
      </c>
      <c r="F16" s="11" t="n">
        <v>1</v>
      </c>
      <c r="G16" s="11" t="n">
        <v>1</v>
      </c>
      <c r="H16" s="11" t="n">
        <v>1</v>
      </c>
      <c r="I16" s="11" t="n">
        <v>1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1</v>
      </c>
      <c r="O16" s="11" t="n">
        <v>1</v>
      </c>
      <c r="P16" s="11">
        <f>SUM(C16:O16)</f>
        <v>9</v>
      </c>
      <c r="Q16" s="5">
        <f>P16/13</f>
        <v>0.692307692307692</v>
      </c>
      <c r="R16" s="4">
        <f>IFERROR(SUMPRODUCT(Calc!B16:N16,C16:O16)/P16,0)</f>
        <v>3.38888888888889</v>
      </c>
      <c r="S16" s="4">
        <f>Scoring!U16</f>
        <v>2.34615384615385</v>
      </c>
      <c r="T16" s="2" t="inlineStr">
        <is>
          <t>Diagnostic only; never an eligibility rule.</t>
        </is>
      </c>
    </row>
    <row r="17">
      <c r="A17" s="2" t="inlineStr">
        <is>
          <t>C4-016</t>
        </is>
      </c>
      <c r="B17" s="2" t="inlineStr">
        <is>
          <t>Blacklight</t>
        </is>
      </c>
      <c r="C17" s="11" t="n">
        <v>1</v>
      </c>
      <c r="D17" s="11" t="n">
        <v>1</v>
      </c>
      <c r="E17" s="11" t="n">
        <v>1</v>
      </c>
      <c r="F17" s="11" t="n">
        <v>1</v>
      </c>
      <c r="G17" s="11" t="n">
        <v>1</v>
      </c>
      <c r="H17" s="11" t="n">
        <v>1</v>
      </c>
      <c r="I17" s="11" t="n">
        <v>1</v>
      </c>
      <c r="J17" s="11" t="n">
        <v>1</v>
      </c>
      <c r="K17" s="11" t="n">
        <v>1</v>
      </c>
      <c r="L17" s="11" t="n">
        <v>1</v>
      </c>
      <c r="M17" s="11" t="n">
        <v>1</v>
      </c>
      <c r="N17" s="11" t="n">
        <v>1</v>
      </c>
      <c r="O17" s="11" t="n">
        <v>1</v>
      </c>
      <c r="P17" s="11">
        <f>SUM(C17:O17)</f>
        <v>13</v>
      </c>
      <c r="Q17" s="5">
        <f>P17/13</f>
        <v>1</v>
      </c>
      <c r="R17" s="4">
        <f>IFERROR(SUMPRODUCT(Calc!B17:N17,C17:O17)/P17,0)</f>
        <v>65.4884615384615</v>
      </c>
      <c r="S17" s="4">
        <f>Scoring!U17</f>
        <v>65.4884615384615</v>
      </c>
      <c r="T17" s="2" t="inlineStr">
        <is>
          <t>Diagnostic only; never an eligibility rule.</t>
        </is>
      </c>
    </row>
    <row r="18">
      <c r="A18" s="2" t="inlineStr">
        <is>
          <t>C4-017</t>
        </is>
      </c>
      <c r="B18" s="2" t="inlineStr">
        <is>
          <t>BrCRIS</t>
        </is>
      </c>
      <c r="C18" s="11" t="n">
        <v>1</v>
      </c>
      <c r="D18" s="11" t="n">
        <v>1</v>
      </c>
      <c r="E18" s="11" t="n">
        <v>1</v>
      </c>
      <c r="F18" s="11" t="n">
        <v>1</v>
      </c>
      <c r="G18" s="11" t="n">
        <v>1</v>
      </c>
      <c r="H18" s="11" t="n">
        <v>1</v>
      </c>
      <c r="I18" s="11" t="n">
        <v>1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11">
        <f>SUM(C18:O18)</f>
        <v>7</v>
      </c>
      <c r="Q18" s="5">
        <f>P18/13</f>
        <v>0.538461538461538</v>
      </c>
      <c r="R18" s="4">
        <f>IFERROR(SUMPRODUCT(Calc!B18:N18,C18:O18)/P18,0)</f>
        <v>66.0728571428571</v>
      </c>
      <c r="S18" s="4">
        <f>Scoring!U18</f>
        <v>35.5776923076923</v>
      </c>
      <c r="T18" s="2" t="inlineStr">
        <is>
          <t>Diagnostic only; never an eligibility rule.</t>
        </is>
      </c>
    </row>
    <row r="19">
      <c r="A19" s="2" t="inlineStr">
        <is>
          <t>C4-018</t>
        </is>
      </c>
      <c r="B19" s="2" t="inlineStr">
        <is>
          <t>Browsertrix</t>
        </is>
      </c>
      <c r="C19" s="11" t="n">
        <v>1</v>
      </c>
      <c r="D19" s="11" t="n">
        <v>1</v>
      </c>
      <c r="E19" s="11" t="n">
        <v>1</v>
      </c>
      <c r="F19" s="11" t="n">
        <v>1</v>
      </c>
      <c r="G19" s="11" t="n">
        <v>1</v>
      </c>
      <c r="H19" s="11" t="n">
        <v>1</v>
      </c>
      <c r="I19" s="11" t="n">
        <v>1</v>
      </c>
      <c r="J19" s="11" t="n">
        <v>1</v>
      </c>
      <c r="K19" s="11" t="n">
        <v>1</v>
      </c>
      <c r="L19" s="11" t="n">
        <v>1</v>
      </c>
      <c r="M19" s="11" t="n">
        <v>1</v>
      </c>
      <c r="N19" s="11" t="n">
        <v>1</v>
      </c>
      <c r="O19" s="11" t="n">
        <v>1</v>
      </c>
      <c r="P19" s="11">
        <f>SUM(C19:O19)</f>
        <v>13</v>
      </c>
      <c r="Q19" s="5">
        <f>P19/13</f>
        <v>1</v>
      </c>
      <c r="R19" s="4">
        <f>IFERROR(SUMPRODUCT(Calc!B19:N19,C19:O19)/P19,0)</f>
        <v>78.1807692307692</v>
      </c>
      <c r="S19" s="4">
        <f>Scoring!U19</f>
        <v>78.1807692307692</v>
      </c>
      <c r="T19" s="2" t="inlineStr">
        <is>
          <t>Diagnostic only; never an eligibility rule.</t>
        </is>
      </c>
    </row>
    <row r="20">
      <c r="A20" s="2" t="inlineStr">
        <is>
          <t>C4-019</t>
        </is>
      </c>
      <c r="B20" s="2" t="inlineStr">
        <is>
          <t>CLOCKSS</t>
        </is>
      </c>
      <c r="C20" s="11" t="n">
        <v>1</v>
      </c>
      <c r="D20" s="11" t="n">
        <v>1</v>
      </c>
      <c r="E20" s="11" t="n">
        <v>1</v>
      </c>
      <c r="F20" s="11" t="n">
        <v>1</v>
      </c>
      <c r="G20" s="11" t="n">
        <v>1</v>
      </c>
      <c r="H20" s="11" t="n">
        <v>1</v>
      </c>
      <c r="I20" s="11" t="n">
        <v>1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1</v>
      </c>
      <c r="O20" s="11" t="n">
        <v>1</v>
      </c>
      <c r="P20" s="11">
        <f>SUM(C20:O20)</f>
        <v>9</v>
      </c>
      <c r="Q20" s="5">
        <f>P20/13</f>
        <v>0.692307692307692</v>
      </c>
      <c r="R20" s="4">
        <f>IFERROR(SUMPRODUCT(Calc!B20:N20,C20:O20)/P20,0)</f>
        <v>73.23</v>
      </c>
      <c r="S20" s="4">
        <f>Scoring!U20</f>
        <v>50.6976923076923</v>
      </c>
      <c r="T20" s="2" t="inlineStr">
        <is>
          <t>Diagnostic only; never an eligibility rule.</t>
        </is>
      </c>
    </row>
    <row r="21">
      <c r="A21" s="2" t="inlineStr">
        <is>
          <t>C4-020</t>
        </is>
      </c>
      <c r="B21" s="2" t="inlineStr">
        <is>
          <t>COAR International Repository Directory (IRD)</t>
        </is>
      </c>
      <c r="C21" s="11" t="n">
        <v>1</v>
      </c>
      <c r="D21" s="11" t="n">
        <v>1</v>
      </c>
      <c r="E21" s="11" t="n">
        <v>1</v>
      </c>
      <c r="F21" s="11" t="n">
        <v>1</v>
      </c>
      <c r="G21" s="11" t="n">
        <v>1</v>
      </c>
      <c r="H21" s="11" t="n">
        <v>1</v>
      </c>
      <c r="I21" s="11" t="n">
        <v>1</v>
      </c>
      <c r="J21" s="11" t="n">
        <v>1</v>
      </c>
      <c r="K21" s="11" t="n">
        <v>0</v>
      </c>
      <c r="L21" s="11" t="n">
        <v>1</v>
      </c>
      <c r="M21" s="11" t="n">
        <v>0</v>
      </c>
      <c r="N21" s="11" t="n">
        <v>1</v>
      </c>
      <c r="O21" s="11" t="n">
        <v>1</v>
      </c>
      <c r="P21" s="11">
        <f>SUM(C21:O21)</f>
        <v>11</v>
      </c>
      <c r="Q21" s="5">
        <f>P21/13</f>
        <v>0.846153846153846</v>
      </c>
      <c r="R21" s="4">
        <f>IFERROR(SUMPRODUCT(Calc!B21:N21,C21:O21)/P21,0)</f>
        <v>47.3936363636364</v>
      </c>
      <c r="S21" s="4">
        <f>Scoring!U21</f>
        <v>40.1023076923077</v>
      </c>
      <c r="T21" s="2" t="inlineStr">
        <is>
          <t>Diagnostic only; never an eligibility rule.</t>
        </is>
      </c>
    </row>
    <row r="22">
      <c r="A22" s="2" t="inlineStr">
        <is>
          <t>C4-021</t>
        </is>
      </c>
      <c r="B22" s="2" t="inlineStr">
        <is>
          <t>COAR Notify</t>
        </is>
      </c>
      <c r="C22" s="11" t="n">
        <v>1</v>
      </c>
      <c r="D22" s="11" t="n">
        <v>1</v>
      </c>
      <c r="E22" s="11" t="n">
        <v>1</v>
      </c>
      <c r="F22" s="11" t="n">
        <v>1</v>
      </c>
      <c r="G22" s="11" t="n">
        <v>1</v>
      </c>
      <c r="H22" s="11" t="n">
        <v>1</v>
      </c>
      <c r="I22" s="11" t="n">
        <v>1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1</v>
      </c>
      <c r="O22" s="11" t="n">
        <v>1</v>
      </c>
      <c r="P22" s="11">
        <f>SUM(C22:O22)</f>
        <v>9</v>
      </c>
      <c r="Q22" s="5">
        <f>P22/13</f>
        <v>0.692307692307692</v>
      </c>
      <c r="R22" s="4">
        <f>IFERROR(SUMPRODUCT(Calc!B22:N22,C22:O22)/P22,0)</f>
        <v>25.7311111111111</v>
      </c>
      <c r="S22" s="4">
        <f>Scoring!U22</f>
        <v>17.8138461538462</v>
      </c>
      <c r="T22" s="2" t="inlineStr">
        <is>
          <t>Diagnostic only; never an eligibility rule.</t>
        </is>
      </c>
    </row>
    <row r="23">
      <c r="A23" s="2" t="inlineStr">
        <is>
          <t>C4-022</t>
        </is>
      </c>
      <c r="B23" s="2" t="inlineStr">
        <is>
          <t>CollectiveAccess</t>
        </is>
      </c>
      <c r="C23" s="11" t="n">
        <v>1</v>
      </c>
      <c r="D23" s="11" t="n">
        <v>1</v>
      </c>
      <c r="E23" s="11" t="n">
        <v>1</v>
      </c>
      <c r="F23" s="11" t="n">
        <v>1</v>
      </c>
      <c r="G23" s="11" t="n">
        <v>1</v>
      </c>
      <c r="H23" s="11" t="n">
        <v>1</v>
      </c>
      <c r="I23" s="11" t="n">
        <v>1</v>
      </c>
      <c r="J23" s="11" t="n">
        <v>1</v>
      </c>
      <c r="K23" s="11" t="n">
        <v>1</v>
      </c>
      <c r="L23" s="11" t="n">
        <v>1</v>
      </c>
      <c r="M23" s="11" t="n">
        <v>1</v>
      </c>
      <c r="N23" s="11" t="n">
        <v>1</v>
      </c>
      <c r="O23" s="11" t="n">
        <v>1</v>
      </c>
      <c r="P23" s="11">
        <f>SUM(C23:O23)</f>
        <v>13</v>
      </c>
      <c r="Q23" s="5">
        <f>P23/13</f>
        <v>1</v>
      </c>
      <c r="R23" s="4">
        <f>IFERROR(SUMPRODUCT(Calc!B23:N23,C23:O23)/P23,0)</f>
        <v>75.1538461538462</v>
      </c>
      <c r="S23" s="4">
        <f>Scoring!U23</f>
        <v>75.1538461538462</v>
      </c>
      <c r="T23" s="2" t="inlineStr">
        <is>
          <t>Diagnostic only; never an eligibility rule.</t>
        </is>
      </c>
    </row>
    <row r="24">
      <c r="A24" s="2" t="inlineStr">
        <is>
          <t>C4-023</t>
        </is>
      </c>
      <c r="B24" s="2" t="inlineStr">
        <is>
          <t>CORE</t>
        </is>
      </c>
      <c r="C24" s="11" t="n">
        <v>1</v>
      </c>
      <c r="D24" s="11" t="n">
        <v>1</v>
      </c>
      <c r="E24" s="11" t="n">
        <v>1</v>
      </c>
      <c r="F24" s="11" t="n">
        <v>1</v>
      </c>
      <c r="G24" s="11" t="n">
        <v>1</v>
      </c>
      <c r="H24" s="11" t="n">
        <v>1</v>
      </c>
      <c r="I24" s="11" t="n">
        <v>1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11">
        <f>SUM(C24:O24)</f>
        <v>7</v>
      </c>
      <c r="Q24" s="5">
        <f>P24/13</f>
        <v>0.538461538461538</v>
      </c>
      <c r="R24" s="4">
        <f>IFERROR(SUMPRODUCT(Calc!B24:N24,C24:O24)/P24,0)</f>
        <v>70.3057142857143</v>
      </c>
      <c r="S24" s="4">
        <f>Scoring!U24</f>
        <v>37.8569230769231</v>
      </c>
      <c r="T24" s="2" t="inlineStr">
        <is>
          <t>Diagnostic only; never an eligibility rule.</t>
        </is>
      </c>
    </row>
    <row r="25">
      <c r="A25" s="2" t="inlineStr">
        <is>
          <t>C4-024</t>
        </is>
      </c>
      <c r="B25" s="2" t="inlineStr">
        <is>
          <t>COUNTER Code of Practice</t>
        </is>
      </c>
      <c r="C25" s="11" t="n">
        <v>1</v>
      </c>
      <c r="D25" s="11" t="n">
        <v>1</v>
      </c>
      <c r="E25" s="11" t="n">
        <v>1</v>
      </c>
      <c r="F25" s="11" t="n">
        <v>1</v>
      </c>
      <c r="G25" s="11" t="n">
        <v>1</v>
      </c>
      <c r="H25" s="11" t="n">
        <v>1</v>
      </c>
      <c r="I25" s="11" t="n">
        <v>1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>
        <f>SUM(C25:O25)</f>
        <v>7</v>
      </c>
      <c r="Q25" s="5">
        <f>P25/13</f>
        <v>0.538461538461538</v>
      </c>
      <c r="R25" s="4">
        <f>IFERROR(SUMPRODUCT(Calc!B25:N25,C25:O25)/P25,0)</f>
        <v>42.15</v>
      </c>
      <c r="S25" s="4">
        <f>Scoring!U25</f>
        <v>22.6961538461538</v>
      </c>
      <c r="T25" s="2" t="inlineStr">
        <is>
          <t>Diagnostic only; never an eligibility rule.</t>
        </is>
      </c>
    </row>
    <row r="26">
      <c r="A26" s="2" t="inlineStr">
        <is>
          <t>C4-025</t>
        </is>
      </c>
      <c r="B26" s="2" t="inlineStr">
        <is>
          <t>Creative Commons Licenses</t>
        </is>
      </c>
      <c r="C26" s="11" t="n">
        <v>1</v>
      </c>
      <c r="D26" s="11" t="n">
        <v>1</v>
      </c>
      <c r="E26" s="11" t="n">
        <v>1</v>
      </c>
      <c r="F26" s="11" t="n">
        <v>1</v>
      </c>
      <c r="G26" s="11" t="n">
        <v>1</v>
      </c>
      <c r="H26" s="11" t="n">
        <v>1</v>
      </c>
      <c r="I26" s="11" t="n">
        <v>1</v>
      </c>
      <c r="J26" s="11" t="n">
        <v>1</v>
      </c>
      <c r="K26" s="11" t="n">
        <v>1</v>
      </c>
      <c r="L26" s="11" t="n">
        <v>1</v>
      </c>
      <c r="M26" s="11" t="n">
        <v>1</v>
      </c>
      <c r="N26" s="11" t="n">
        <v>1</v>
      </c>
      <c r="O26" s="11" t="n">
        <v>1</v>
      </c>
      <c r="P26" s="11">
        <f>SUM(C26:O26)</f>
        <v>13</v>
      </c>
      <c r="Q26" s="5">
        <f>P26/13</f>
        <v>1</v>
      </c>
      <c r="R26" s="4">
        <f>IFERROR(SUMPRODUCT(Calc!B26:N26,C26:O26)/P26,0)</f>
        <v>57.9230769230769</v>
      </c>
      <c r="S26" s="4">
        <f>Scoring!U26</f>
        <v>57.9230769230769</v>
      </c>
      <c r="T26" s="2" t="inlineStr">
        <is>
          <t>Diagnostic only; never an eligibility rule.</t>
        </is>
      </c>
    </row>
    <row r="27">
      <c r="A27" s="2" t="inlineStr">
        <is>
          <t>C4-026</t>
        </is>
      </c>
      <c r="B27" s="2" t="inlineStr">
        <is>
          <t>Crossref Metadata Retrieval</t>
        </is>
      </c>
      <c r="C27" s="11" t="n">
        <v>1</v>
      </c>
      <c r="D27" s="11" t="n">
        <v>1</v>
      </c>
      <c r="E27" s="11" t="n">
        <v>1</v>
      </c>
      <c r="F27" s="11" t="n">
        <v>1</v>
      </c>
      <c r="G27" s="11" t="n">
        <v>1</v>
      </c>
      <c r="H27" s="11" t="n">
        <v>1</v>
      </c>
      <c r="I27" s="11" t="n">
        <v>1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>
        <f>SUM(C27:O27)</f>
        <v>7</v>
      </c>
      <c r="Q27" s="5">
        <f>P27/13</f>
        <v>0.538461538461538</v>
      </c>
      <c r="R27" s="4">
        <f>IFERROR(SUMPRODUCT(Calc!B27:N27,C27:O27)/P27,0)</f>
        <v>68.3542857142857</v>
      </c>
      <c r="S27" s="4">
        <f>Scoring!U27</f>
        <v>36.8061538461538</v>
      </c>
      <c r="T27" s="2" t="inlineStr">
        <is>
          <t>Diagnostic only; never an eligibility rule.</t>
        </is>
      </c>
    </row>
    <row r="28">
      <c r="A28" s="2" t="inlineStr">
        <is>
          <t>C4-027</t>
        </is>
      </c>
      <c r="B28" s="2" t="inlineStr">
        <is>
          <t>D4Science Infrastructure</t>
        </is>
      </c>
      <c r="C28" s="11" t="n"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  <c r="P28" s="11">
        <f>SUM(C28:O28)</f>
        <v>0</v>
      </c>
      <c r="Q28" s="5">
        <f>P28/13</f>
        <v>0</v>
      </c>
      <c r="R28" s="4">
        <f>IFERROR(SUMPRODUCT(Calc!B28:N28,C28:O28)/P28,0)</f>
        <v>0</v>
      </c>
      <c r="S28" s="4">
        <f>Scoring!U28</f>
        <v>0</v>
      </c>
      <c r="T28" s="2" t="inlineStr">
        <is>
          <t>Diagnostic only; never an eligibility rule.</t>
        </is>
      </c>
    </row>
    <row r="29">
      <c r="A29" s="2" t="inlineStr">
        <is>
          <t>C4-028</t>
        </is>
      </c>
      <c r="B29" s="2" t="inlineStr">
        <is>
          <t>DART (Digital Archivist's Resource Tool)</t>
        </is>
      </c>
      <c r="C29" s="11" t="n">
        <v>1</v>
      </c>
      <c r="D29" s="11" t="n">
        <v>1</v>
      </c>
      <c r="E29" s="11" t="n">
        <v>1</v>
      </c>
      <c r="F29" s="11" t="n">
        <v>1</v>
      </c>
      <c r="G29" s="11" t="n">
        <v>1</v>
      </c>
      <c r="H29" s="11" t="n">
        <v>1</v>
      </c>
      <c r="I29" s="11" t="n">
        <v>1</v>
      </c>
      <c r="J29" s="11" t="n">
        <v>1</v>
      </c>
      <c r="K29" s="11" t="n">
        <v>0</v>
      </c>
      <c r="L29" s="11" t="n">
        <v>1</v>
      </c>
      <c r="M29" s="11" t="n">
        <v>0</v>
      </c>
      <c r="N29" s="11" t="n">
        <v>1</v>
      </c>
      <c r="O29" s="11" t="n">
        <v>1</v>
      </c>
      <c r="P29" s="11">
        <f>SUM(C29:O29)</f>
        <v>11</v>
      </c>
      <c r="Q29" s="5">
        <f>P29/13</f>
        <v>0.846153846153846</v>
      </c>
      <c r="R29" s="4">
        <f>IFERROR(SUMPRODUCT(Calc!B29:N29,C29:O29)/P29,0)</f>
        <v>50.4736363636364</v>
      </c>
      <c r="S29" s="4">
        <f>Scoring!U29</f>
        <v>42.7084615384615</v>
      </c>
      <c r="T29" s="2" t="inlineStr">
        <is>
          <t>Diagnostic only; never an eligibility rule.</t>
        </is>
      </c>
    </row>
    <row r="30">
      <c r="A30" s="2" t="inlineStr">
        <is>
          <t>C4-029</t>
        </is>
      </c>
      <c r="B30" s="2" t="inlineStr">
        <is>
          <t>Database Information System</t>
        </is>
      </c>
      <c r="C30" s="11" t="n">
        <v>1</v>
      </c>
      <c r="D30" s="11" t="n">
        <v>1</v>
      </c>
      <c r="E30" s="11" t="n">
        <v>1</v>
      </c>
      <c r="F30" s="11" t="n">
        <v>1</v>
      </c>
      <c r="G30" s="11" t="n">
        <v>1</v>
      </c>
      <c r="H30" s="11" t="n">
        <v>1</v>
      </c>
      <c r="I30" s="11" t="n">
        <v>1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1</v>
      </c>
      <c r="O30" s="11" t="n">
        <v>1</v>
      </c>
      <c r="P30" s="11">
        <f>SUM(C30:O30)</f>
        <v>9</v>
      </c>
      <c r="Q30" s="5">
        <f>P30/13</f>
        <v>0.692307692307692</v>
      </c>
      <c r="R30" s="4">
        <f>IFERROR(SUMPRODUCT(Calc!B30:N30,C30:O30)/P30,0)</f>
        <v>0</v>
      </c>
      <c r="S30" s="4">
        <f>Scoring!U30</f>
        <v>0</v>
      </c>
      <c r="T30" s="2" t="inlineStr">
        <is>
          <t>Diagnostic only; never an eligibility rule.</t>
        </is>
      </c>
    </row>
    <row r="31">
      <c r="A31" s="2" t="inlineStr">
        <is>
          <t>C4-030</t>
        </is>
      </c>
      <c r="B31" s="2" t="inlineStr">
        <is>
          <t>Data Citation Corpus</t>
        </is>
      </c>
      <c r="C31" s="11" t="n">
        <v>1</v>
      </c>
      <c r="D31" s="11" t="n">
        <v>1</v>
      </c>
      <c r="E31" s="11" t="n">
        <v>1</v>
      </c>
      <c r="F31" s="11" t="n">
        <v>1</v>
      </c>
      <c r="G31" s="11" t="n">
        <v>1</v>
      </c>
      <c r="H31" s="11" t="n">
        <v>1</v>
      </c>
      <c r="I31" s="11" t="n">
        <v>1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1</v>
      </c>
      <c r="O31" s="11" t="n">
        <v>1</v>
      </c>
      <c r="P31" s="11">
        <f>SUM(C31:O31)</f>
        <v>9</v>
      </c>
      <c r="Q31" s="5">
        <f>P31/13</f>
        <v>0.692307692307692</v>
      </c>
      <c r="R31" s="4">
        <f>IFERROR(SUMPRODUCT(Calc!B31:N31,C31:O31)/P31,0)</f>
        <v>11.4111111111111</v>
      </c>
      <c r="S31" s="4">
        <f>Scoring!U31</f>
        <v>7.9</v>
      </c>
      <c r="T31" s="2" t="inlineStr">
        <is>
          <t>Diagnostic only; never an eligibility rule.</t>
        </is>
      </c>
    </row>
    <row r="32">
      <c r="A32" s="2" t="inlineStr">
        <is>
          <t>C4-031</t>
        </is>
      </c>
      <c r="B32" s="2" t="inlineStr">
        <is>
          <t>DataCite</t>
        </is>
      </c>
      <c r="C32" s="11" t="n">
        <v>1</v>
      </c>
      <c r="D32" s="11" t="n">
        <v>1</v>
      </c>
      <c r="E32" s="11" t="n">
        <v>1</v>
      </c>
      <c r="F32" s="11" t="n">
        <v>1</v>
      </c>
      <c r="G32" s="11" t="n">
        <v>1</v>
      </c>
      <c r="H32" s="11" t="n">
        <v>1</v>
      </c>
      <c r="I32" s="11" t="n">
        <v>1</v>
      </c>
      <c r="J32" s="11" t="n">
        <v>1</v>
      </c>
      <c r="K32" s="11" t="n">
        <v>1</v>
      </c>
      <c r="L32" s="11" t="n">
        <v>1</v>
      </c>
      <c r="M32" s="11" t="n">
        <v>1</v>
      </c>
      <c r="N32" s="11" t="n">
        <v>1</v>
      </c>
      <c r="O32" s="11" t="n">
        <v>1</v>
      </c>
      <c r="P32" s="11">
        <f>SUM(C32:O32)</f>
        <v>13</v>
      </c>
      <c r="Q32" s="5">
        <f>P32/13</f>
        <v>1</v>
      </c>
      <c r="R32" s="4">
        <f>IFERROR(SUMPRODUCT(Calc!B32:N32,C32:O32)/P32,0)</f>
        <v>70.7507692307692</v>
      </c>
      <c r="S32" s="4">
        <f>Scoring!U32</f>
        <v>70.7507692307692</v>
      </c>
      <c r="T32" s="2" t="inlineStr">
        <is>
          <t>Diagnostic only; never an eligibility rule.</t>
        </is>
      </c>
    </row>
    <row r="33">
      <c r="A33" s="2" t="inlineStr">
        <is>
          <t>C4-032</t>
        </is>
      </c>
      <c r="B33" s="2" t="inlineStr">
        <is>
          <t>Data Stewardship Wizard</t>
        </is>
      </c>
      <c r="C33" s="11" t="n">
        <v>1</v>
      </c>
      <c r="D33" s="11" t="n">
        <v>1</v>
      </c>
      <c r="E33" s="11" t="n">
        <v>1</v>
      </c>
      <c r="F33" s="11" t="n">
        <v>1</v>
      </c>
      <c r="G33" s="11" t="n">
        <v>1</v>
      </c>
      <c r="H33" s="11" t="n">
        <v>1</v>
      </c>
      <c r="I33" s="11" t="n">
        <v>1</v>
      </c>
      <c r="J33" s="11" t="n">
        <v>1</v>
      </c>
      <c r="K33" s="11" t="n">
        <v>1</v>
      </c>
      <c r="L33" s="11" t="n">
        <v>0</v>
      </c>
      <c r="M33" s="11" t="n">
        <v>1</v>
      </c>
      <c r="N33" s="11" t="n">
        <v>1</v>
      </c>
      <c r="O33" s="11" t="n">
        <v>1</v>
      </c>
      <c r="P33" s="11">
        <f>SUM(C33:O33)</f>
        <v>12</v>
      </c>
      <c r="Q33" s="5">
        <f>P33/13</f>
        <v>0.923076923076923</v>
      </c>
      <c r="R33" s="4">
        <f>IFERROR(SUMPRODUCT(Calc!B33:N33,C33:O33)/P33,0)</f>
        <v>63.3141666666667</v>
      </c>
      <c r="S33" s="4">
        <f>Scoring!U33</f>
        <v>58.4438461538462</v>
      </c>
      <c r="T33" s="2" t="inlineStr">
        <is>
          <t>Diagnostic only; never an eligibility rule.</t>
        </is>
      </c>
    </row>
    <row r="34">
      <c r="A34" s="2" t="inlineStr">
        <is>
          <t>C4-033</t>
        </is>
      </c>
      <c r="B34" s="2" t="inlineStr">
        <is>
          <t>Dataverse</t>
        </is>
      </c>
      <c r="C34" s="11" t="n">
        <v>1</v>
      </c>
      <c r="D34" s="11" t="n">
        <v>1</v>
      </c>
      <c r="E34" s="11" t="n">
        <v>1</v>
      </c>
      <c r="F34" s="11" t="n">
        <v>1</v>
      </c>
      <c r="G34" s="11" t="n">
        <v>1</v>
      </c>
      <c r="H34" s="11" t="n">
        <v>1</v>
      </c>
      <c r="I34" s="11" t="n">
        <v>1</v>
      </c>
      <c r="J34" s="11" t="n">
        <v>1</v>
      </c>
      <c r="K34" s="11" t="n">
        <v>1</v>
      </c>
      <c r="L34" s="11" t="n">
        <v>1</v>
      </c>
      <c r="M34" s="11" t="n">
        <v>1</v>
      </c>
      <c r="N34" s="11" t="n">
        <v>1</v>
      </c>
      <c r="O34" s="11" t="n">
        <v>1</v>
      </c>
      <c r="P34" s="11">
        <f>SUM(C34:O34)</f>
        <v>13</v>
      </c>
      <c r="Q34" s="5">
        <f>P34/13</f>
        <v>1</v>
      </c>
      <c r="R34" s="4">
        <f>IFERROR(SUMPRODUCT(Calc!B34:N34,C34:O34)/P34,0)</f>
        <v>83.0015384615385</v>
      </c>
      <c r="S34" s="4">
        <f>Scoring!U34</f>
        <v>83.0015384615385</v>
      </c>
      <c r="T34" s="2" t="inlineStr">
        <is>
          <t>Diagnostic only; never an eligibility rule.</t>
        </is>
      </c>
    </row>
    <row r="35">
      <c r="A35" s="2" t="inlineStr">
        <is>
          <t>C4-034</t>
        </is>
      </c>
      <c r="B35" s="2" t="inlineStr">
        <is>
          <t>DLCM Backend</t>
        </is>
      </c>
      <c r="C35" s="11" t="n">
        <v>1</v>
      </c>
      <c r="D35" s="11" t="n">
        <v>1</v>
      </c>
      <c r="E35" s="11" t="n">
        <v>1</v>
      </c>
      <c r="F35" s="11" t="n">
        <v>1</v>
      </c>
      <c r="G35" s="11" t="n">
        <v>1</v>
      </c>
      <c r="H35" s="11" t="n">
        <v>1</v>
      </c>
      <c r="I35" s="11" t="n">
        <v>1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>
        <f>SUM(C35:O35)</f>
        <v>7</v>
      </c>
      <c r="Q35" s="5">
        <f>P35/13</f>
        <v>0.538461538461538</v>
      </c>
      <c r="R35" s="4">
        <f>IFERROR(SUMPRODUCT(Calc!B35:N35,C35:O35)/P35,0)</f>
        <v>84.4942857142857</v>
      </c>
      <c r="S35" s="4">
        <f>Scoring!U35</f>
        <v>45.4969230769231</v>
      </c>
      <c r="T35" s="2" t="inlineStr">
        <is>
          <t>Diagnostic only; never an eligibility rule.</t>
        </is>
      </c>
    </row>
    <row r="36">
      <c r="A36" s="2" t="inlineStr">
        <is>
          <t>C4-035</t>
        </is>
      </c>
      <c r="B36" s="2" t="inlineStr">
        <is>
          <t>DLCM Portal</t>
        </is>
      </c>
      <c r="C36" s="11" t="n">
        <v>1</v>
      </c>
      <c r="D36" s="11" t="n">
        <v>1</v>
      </c>
      <c r="E36" s="11" t="n">
        <v>1</v>
      </c>
      <c r="F36" s="11" t="n">
        <v>1</v>
      </c>
      <c r="G36" s="11" t="n">
        <v>1</v>
      </c>
      <c r="H36" s="11" t="n">
        <v>1</v>
      </c>
      <c r="I36" s="11" t="n">
        <v>1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11">
        <f>SUM(C36:O36)</f>
        <v>7</v>
      </c>
      <c r="Q36" s="5">
        <f>P36/13</f>
        <v>0.538461538461538</v>
      </c>
      <c r="R36" s="4">
        <f>IFERROR(SUMPRODUCT(Calc!B36:N36,C36:O36)/P36,0)</f>
        <v>71.5928571428571</v>
      </c>
      <c r="S36" s="4">
        <f>Scoring!U36</f>
        <v>38.55</v>
      </c>
      <c r="T36" s="2" t="inlineStr">
        <is>
          <t>Diagnostic only; never an eligibility rule.</t>
        </is>
      </c>
    </row>
    <row r="37">
      <c r="A37" s="2" t="inlineStr">
        <is>
          <t>C4-036</t>
        </is>
      </c>
      <c r="B37" s="2" t="inlineStr">
        <is>
          <t>DMP Tool</t>
        </is>
      </c>
      <c r="C37" s="11" t="n">
        <v>1</v>
      </c>
      <c r="D37" s="11" t="n">
        <v>1</v>
      </c>
      <c r="E37" s="11" t="n">
        <v>1</v>
      </c>
      <c r="F37" s="11" t="n">
        <v>1</v>
      </c>
      <c r="G37" s="11" t="n">
        <v>1</v>
      </c>
      <c r="H37" s="11" t="n">
        <v>1</v>
      </c>
      <c r="I37" s="11" t="n">
        <v>1</v>
      </c>
      <c r="J37" s="11" t="n">
        <v>1</v>
      </c>
      <c r="K37" s="11" t="n">
        <v>1</v>
      </c>
      <c r="L37" s="11" t="n">
        <v>1</v>
      </c>
      <c r="M37" s="11" t="n">
        <v>1</v>
      </c>
      <c r="N37" s="11" t="n">
        <v>1</v>
      </c>
      <c r="O37" s="11" t="n">
        <v>1</v>
      </c>
      <c r="P37" s="11">
        <f>SUM(C37:O37)</f>
        <v>13</v>
      </c>
      <c r="Q37" s="5">
        <f>P37/13</f>
        <v>1</v>
      </c>
      <c r="R37" s="4">
        <f>IFERROR(SUMPRODUCT(Calc!B37:N37,C37:O37)/P37,0)</f>
        <v>63.2215384615385</v>
      </c>
      <c r="S37" s="4">
        <f>Scoring!U37</f>
        <v>63.2215384615385</v>
      </c>
      <c r="T37" s="2" t="inlineStr">
        <is>
          <t>Diagnostic only; never an eligibility rule.</t>
        </is>
      </c>
    </row>
    <row r="38">
      <c r="A38" s="2" t="inlineStr">
        <is>
          <t>C4-037</t>
        </is>
      </c>
      <c r="B38" s="2" t="inlineStr">
        <is>
          <t>DOAJ (Directory of Open Access Journals)</t>
        </is>
      </c>
      <c r="C38" s="11" t="n">
        <v>1</v>
      </c>
      <c r="D38" s="11" t="n">
        <v>1</v>
      </c>
      <c r="E38" s="11" t="n">
        <v>1</v>
      </c>
      <c r="F38" s="11" t="n">
        <v>1</v>
      </c>
      <c r="G38" s="11" t="n">
        <v>1</v>
      </c>
      <c r="H38" s="11" t="n">
        <v>1</v>
      </c>
      <c r="I38" s="11" t="n">
        <v>1</v>
      </c>
      <c r="J38" s="11" t="n">
        <v>0</v>
      </c>
      <c r="K38" s="11" t="n">
        <v>1</v>
      </c>
      <c r="L38" s="11" t="n">
        <v>0</v>
      </c>
      <c r="M38" s="11" t="n">
        <v>1</v>
      </c>
      <c r="N38" s="11" t="n">
        <v>1</v>
      </c>
      <c r="O38" s="11" t="n">
        <v>1</v>
      </c>
      <c r="P38" s="11">
        <f>SUM(C38:O38)</f>
        <v>11</v>
      </c>
      <c r="Q38" s="5">
        <f>P38/13</f>
        <v>0.846153846153846</v>
      </c>
      <c r="R38" s="4">
        <f>IFERROR(SUMPRODUCT(Calc!B38:N38,C38:O38)/P38,0)</f>
        <v>73.3018181818182</v>
      </c>
      <c r="S38" s="4">
        <f>Scoring!U38</f>
        <v>62.0246153846154</v>
      </c>
      <c r="T38" s="2" t="inlineStr">
        <is>
          <t>Diagnostic only; never an eligibility rule.</t>
        </is>
      </c>
    </row>
    <row r="39">
      <c r="A39" s="2" t="inlineStr">
        <is>
          <t>C4-038</t>
        </is>
      </c>
      <c r="B39" s="2" t="inlineStr">
        <is>
          <t>dokieli</t>
        </is>
      </c>
      <c r="C39" s="11" t="n">
        <v>1</v>
      </c>
      <c r="D39" s="11" t="n">
        <v>1</v>
      </c>
      <c r="E39" s="11" t="n">
        <v>1</v>
      </c>
      <c r="F39" s="11" t="n">
        <v>1</v>
      </c>
      <c r="G39" s="11" t="n">
        <v>1</v>
      </c>
      <c r="H39" s="11" t="n">
        <v>1</v>
      </c>
      <c r="I39" s="11" t="n">
        <v>1</v>
      </c>
      <c r="J39" s="11" t="n">
        <v>1</v>
      </c>
      <c r="K39" s="11" t="n">
        <v>1</v>
      </c>
      <c r="L39" s="11" t="n">
        <v>1</v>
      </c>
      <c r="M39" s="11" t="n">
        <v>1</v>
      </c>
      <c r="N39" s="11" t="n">
        <v>1</v>
      </c>
      <c r="O39" s="11" t="n">
        <v>1</v>
      </c>
      <c r="P39" s="11">
        <f>SUM(C39:O39)</f>
        <v>13</v>
      </c>
      <c r="Q39" s="5">
        <f>P39/13</f>
        <v>1</v>
      </c>
      <c r="R39" s="4">
        <f>IFERROR(SUMPRODUCT(Calc!B39:N39,C39:O39)/P39,0)</f>
        <v>52.6192307692308</v>
      </c>
      <c r="S39" s="4">
        <f>Scoring!U39</f>
        <v>52.6192307692308</v>
      </c>
      <c r="T39" s="2" t="inlineStr">
        <is>
          <t>Diagnostic only; never an eligibility rule.</t>
        </is>
      </c>
    </row>
    <row r="40">
      <c r="A40" s="2" t="inlineStr">
        <is>
          <t>C4-039</t>
        </is>
      </c>
      <c r="B40" s="2" t="inlineStr">
        <is>
          <t>Dryad</t>
        </is>
      </c>
      <c r="C40" s="11" t="n">
        <v>1</v>
      </c>
      <c r="D40" s="11" t="n">
        <v>1</v>
      </c>
      <c r="E40" s="11" t="n">
        <v>1</v>
      </c>
      <c r="F40" s="11" t="n">
        <v>1</v>
      </c>
      <c r="G40" s="11" t="n">
        <v>1</v>
      </c>
      <c r="H40" s="11" t="n">
        <v>1</v>
      </c>
      <c r="I40" s="11" t="n">
        <v>1</v>
      </c>
      <c r="J40" s="11" t="n">
        <v>0</v>
      </c>
      <c r="K40" s="11" t="n">
        <v>1</v>
      </c>
      <c r="L40" s="11" t="n">
        <v>0</v>
      </c>
      <c r="M40" s="11" t="n">
        <v>1</v>
      </c>
      <c r="N40" s="11" t="n">
        <v>1</v>
      </c>
      <c r="O40" s="11" t="n">
        <v>1</v>
      </c>
      <c r="P40" s="11">
        <f>SUM(C40:O40)</f>
        <v>11</v>
      </c>
      <c r="Q40" s="5">
        <f>P40/13</f>
        <v>0.846153846153846</v>
      </c>
      <c r="R40" s="4">
        <f>IFERROR(SUMPRODUCT(Calc!B40:N40,C40:O40)/P40,0)</f>
        <v>66.7754545454546</v>
      </c>
      <c r="S40" s="4">
        <f>Scoring!U40</f>
        <v>56.5023076923077</v>
      </c>
      <c r="T40" s="2" t="inlineStr">
        <is>
          <t>Diagnostic only; never an eligibility rule.</t>
        </is>
      </c>
    </row>
    <row r="41">
      <c r="A41" s="2" t="inlineStr">
        <is>
          <t>C4-040</t>
        </is>
      </c>
      <c r="B41" s="2" t="inlineStr">
        <is>
          <t>DSpace</t>
        </is>
      </c>
      <c r="C41" s="11" t="n">
        <v>1</v>
      </c>
      <c r="D41" s="11" t="n">
        <v>1</v>
      </c>
      <c r="E41" s="11" t="n">
        <v>1</v>
      </c>
      <c r="F41" s="11" t="n">
        <v>1</v>
      </c>
      <c r="G41" s="11" t="n">
        <v>1</v>
      </c>
      <c r="H41" s="11" t="n">
        <v>1</v>
      </c>
      <c r="I41" s="11" t="n">
        <v>1</v>
      </c>
      <c r="J41" s="11" t="n">
        <v>1</v>
      </c>
      <c r="K41" s="11" t="n">
        <v>1</v>
      </c>
      <c r="L41" s="11" t="n">
        <v>1</v>
      </c>
      <c r="M41" s="11" t="n">
        <v>1</v>
      </c>
      <c r="N41" s="11" t="n">
        <v>1</v>
      </c>
      <c r="O41" s="11" t="n">
        <v>1</v>
      </c>
      <c r="P41" s="11">
        <f>SUM(C41:O41)</f>
        <v>13</v>
      </c>
      <c r="Q41" s="5">
        <f>P41/13</f>
        <v>1</v>
      </c>
      <c r="R41" s="4">
        <f>IFERROR(SUMPRODUCT(Calc!B41:N41,C41:O41)/P41,0)</f>
        <v>84.5369230769231</v>
      </c>
      <c r="S41" s="4">
        <f>Scoring!U41</f>
        <v>84.5369230769231</v>
      </c>
      <c r="T41" s="2" t="inlineStr">
        <is>
          <t>Diagnostic only; never an eligibility rule.</t>
        </is>
      </c>
    </row>
    <row r="42">
      <c r="A42" s="2" t="inlineStr">
        <is>
          <t>C4-041</t>
        </is>
      </c>
      <c r="B42" s="2" t="inlineStr">
        <is>
          <t>DuraCloud</t>
        </is>
      </c>
      <c r="C42" s="11" t="n">
        <v>1</v>
      </c>
      <c r="D42" s="11" t="n">
        <v>1</v>
      </c>
      <c r="E42" s="11" t="n">
        <v>1</v>
      </c>
      <c r="F42" s="11" t="n">
        <v>1</v>
      </c>
      <c r="G42" s="11" t="n">
        <v>1</v>
      </c>
      <c r="H42" s="11" t="n">
        <v>1</v>
      </c>
      <c r="I42" s="11" t="n">
        <v>1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1</v>
      </c>
      <c r="O42" s="11" t="n">
        <v>1</v>
      </c>
      <c r="P42" s="11">
        <f>SUM(C42:O42)</f>
        <v>9</v>
      </c>
      <c r="Q42" s="5">
        <f>P42/13</f>
        <v>0.692307692307692</v>
      </c>
      <c r="R42" s="4">
        <f>IFERROR(SUMPRODUCT(Calc!B42:N42,C42:O42)/P42,0)</f>
        <v>28.14</v>
      </c>
      <c r="S42" s="4">
        <f>Scoring!U42</f>
        <v>19.4815384615385</v>
      </c>
      <c r="T42" s="2" t="inlineStr">
        <is>
          <t>Diagnostic only; never an eligibility rule.</t>
        </is>
      </c>
    </row>
    <row r="43">
      <c r="A43" s="2" t="inlineStr">
        <is>
          <t>C4-042</t>
        </is>
      </c>
      <c r="B43" s="2" t="inlineStr">
        <is>
          <t>Episciences</t>
        </is>
      </c>
      <c r="C43" s="11" t="n">
        <v>1</v>
      </c>
      <c r="D43" s="11" t="n">
        <v>1</v>
      </c>
      <c r="E43" s="11" t="n">
        <v>1</v>
      </c>
      <c r="F43" s="11" t="n">
        <v>1</v>
      </c>
      <c r="G43" s="11" t="n">
        <v>1</v>
      </c>
      <c r="H43" s="11" t="n">
        <v>1</v>
      </c>
      <c r="I43" s="11" t="n">
        <v>1</v>
      </c>
      <c r="J43" s="11" t="n">
        <v>1</v>
      </c>
      <c r="K43" s="11" t="n">
        <v>1</v>
      </c>
      <c r="L43" s="11" t="n">
        <v>1</v>
      </c>
      <c r="M43" s="11" t="n">
        <v>1</v>
      </c>
      <c r="N43" s="11" t="n">
        <v>1</v>
      </c>
      <c r="O43" s="11" t="n">
        <v>1</v>
      </c>
      <c r="P43" s="11">
        <f>SUM(C43:O43)</f>
        <v>13</v>
      </c>
      <c r="Q43" s="5">
        <f>P43/13</f>
        <v>1</v>
      </c>
      <c r="R43" s="4">
        <f>IFERROR(SUMPRODUCT(Calc!B43:N43,C43:O43)/P43,0)</f>
        <v>63.4976923076923</v>
      </c>
      <c r="S43" s="4">
        <f>Scoring!U43</f>
        <v>63.4976923076923</v>
      </c>
      <c r="T43" s="2" t="inlineStr">
        <is>
          <t>Diagnostic only; never an eligibility rule.</t>
        </is>
      </c>
    </row>
    <row r="44">
      <c r="A44" s="2" t="inlineStr">
        <is>
          <t>C4-043</t>
        </is>
      </c>
      <c r="B44" s="2" t="inlineStr">
        <is>
          <t>EPrints</t>
        </is>
      </c>
      <c r="C44" s="11" t="n">
        <v>1</v>
      </c>
      <c r="D44" s="11" t="n">
        <v>1</v>
      </c>
      <c r="E44" s="11" t="n">
        <v>1</v>
      </c>
      <c r="F44" s="11" t="n">
        <v>1</v>
      </c>
      <c r="G44" s="11" t="n">
        <v>1</v>
      </c>
      <c r="H44" s="11" t="n">
        <v>1</v>
      </c>
      <c r="I44" s="11" t="n">
        <v>1</v>
      </c>
      <c r="J44" s="11" t="n">
        <v>1</v>
      </c>
      <c r="K44" s="11" t="n">
        <v>1</v>
      </c>
      <c r="L44" s="11" t="n">
        <v>1</v>
      </c>
      <c r="M44" s="11" t="n">
        <v>1</v>
      </c>
      <c r="N44" s="11" t="n">
        <v>1</v>
      </c>
      <c r="O44" s="11" t="n">
        <v>1</v>
      </c>
      <c r="P44" s="11">
        <f>SUM(C44:O44)</f>
        <v>13</v>
      </c>
      <c r="Q44" s="5">
        <f>P44/13</f>
        <v>1</v>
      </c>
      <c r="R44" s="4">
        <f>IFERROR(SUMPRODUCT(Calc!B44:N44,C44:O44)/P44,0)</f>
        <v>54.1476923076923</v>
      </c>
      <c r="S44" s="4">
        <f>Scoring!U44</f>
        <v>54.1476923076923</v>
      </c>
      <c r="T44" s="2" t="inlineStr">
        <is>
          <t>Diagnostic only; never an eligibility rule.</t>
        </is>
      </c>
    </row>
    <row r="45">
      <c r="A45" s="2" t="inlineStr">
        <is>
          <t>C4-044</t>
        </is>
      </c>
      <c r="B45" s="2" t="inlineStr">
        <is>
          <t>Érudit</t>
        </is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>
        <f>SUM(C45:O45)</f>
        <v>0</v>
      </c>
      <c r="Q45" s="5">
        <f>P45/13</f>
        <v>0</v>
      </c>
      <c r="R45" s="4">
        <f>IFERROR(SUMPRODUCT(Calc!B45:N45,C45:O45)/P45,0)</f>
        <v>0</v>
      </c>
      <c r="S45" s="4">
        <f>Scoring!U45</f>
        <v>0</v>
      </c>
      <c r="T45" s="2" t="inlineStr">
        <is>
          <t>Diagnostic only; never an eligibility rule.</t>
        </is>
      </c>
    </row>
    <row r="46">
      <c r="A46" s="2" t="inlineStr">
        <is>
          <t>C4-045</t>
        </is>
      </c>
      <c r="B46" s="2" t="inlineStr">
        <is>
          <t>Europe PMC</t>
        </is>
      </c>
      <c r="C46" s="11" t="n">
        <v>0</v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  <c r="P46" s="11">
        <f>SUM(C46:O46)</f>
        <v>0</v>
      </c>
      <c r="Q46" s="5">
        <f>P46/13</f>
        <v>0</v>
      </c>
      <c r="R46" s="4">
        <f>IFERROR(SUMPRODUCT(Calc!B46:N46,C46:O46)/P46,0)</f>
        <v>0</v>
      </c>
      <c r="S46" s="4">
        <f>Scoring!U46</f>
        <v>0</v>
      </c>
      <c r="T46" s="2" t="inlineStr">
        <is>
          <t>Diagnostic only; never an eligibility rule.</t>
        </is>
      </c>
    </row>
    <row r="47">
      <c r="A47" s="2" t="inlineStr">
        <is>
          <t>C4-046</t>
        </is>
      </c>
      <c r="B47" s="2" t="inlineStr">
        <is>
          <t>FAIR Wizard</t>
        </is>
      </c>
      <c r="C47" s="11" t="n">
        <v>1</v>
      </c>
      <c r="D47" s="11" t="n">
        <v>1</v>
      </c>
      <c r="E47" s="11" t="n">
        <v>1</v>
      </c>
      <c r="F47" s="11" t="n">
        <v>1</v>
      </c>
      <c r="G47" s="11" t="n">
        <v>1</v>
      </c>
      <c r="H47" s="11" t="n">
        <v>1</v>
      </c>
      <c r="I47" s="11" t="n">
        <v>1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>
        <f>SUM(C47:O47)</f>
        <v>7</v>
      </c>
      <c r="Q47" s="5">
        <f>P47/13</f>
        <v>0.538461538461538</v>
      </c>
      <c r="R47" s="4">
        <f>IFERROR(SUMPRODUCT(Calc!B47:N47,C47:O47)/P47,0)</f>
        <v>33.2728571428571</v>
      </c>
      <c r="S47" s="4">
        <f>Scoring!U47</f>
        <v>17.9161538461538</v>
      </c>
      <c r="T47" s="2" t="inlineStr">
        <is>
          <t>Diagnostic only; never an eligibility rule.</t>
        </is>
      </c>
    </row>
    <row r="48">
      <c r="A48" s="2" t="inlineStr">
        <is>
          <t>C4-047</t>
        </is>
      </c>
      <c r="B48" s="2" t="inlineStr">
        <is>
          <t>Fedora</t>
        </is>
      </c>
      <c r="C48" s="11" t="n">
        <v>1</v>
      </c>
      <c r="D48" s="11" t="n">
        <v>1</v>
      </c>
      <c r="E48" s="11" t="n">
        <v>1</v>
      </c>
      <c r="F48" s="11" t="n">
        <v>1</v>
      </c>
      <c r="G48" s="11" t="n">
        <v>1</v>
      </c>
      <c r="H48" s="11" t="n">
        <v>1</v>
      </c>
      <c r="I48" s="11" t="n">
        <v>1</v>
      </c>
      <c r="J48" s="11" t="n">
        <v>0</v>
      </c>
      <c r="K48" s="11" t="n">
        <v>1</v>
      </c>
      <c r="L48" s="11" t="n">
        <v>0</v>
      </c>
      <c r="M48" s="11" t="n">
        <v>1</v>
      </c>
      <c r="N48" s="11" t="n">
        <v>1</v>
      </c>
      <c r="O48" s="11" t="n">
        <v>1</v>
      </c>
      <c r="P48" s="11">
        <f>SUM(C48:O48)</f>
        <v>11</v>
      </c>
      <c r="Q48" s="5">
        <f>P48/13</f>
        <v>0.846153846153846</v>
      </c>
      <c r="R48" s="4">
        <f>IFERROR(SUMPRODUCT(Calc!B48:N48,C48:O48)/P48,0)</f>
        <v>67.1545454545455</v>
      </c>
      <c r="S48" s="4">
        <f>Scoring!U48</f>
        <v>56.8230769230769</v>
      </c>
      <c r="T48" s="2" t="inlineStr">
        <is>
          <t>Diagnostic only; never an eligibility rule.</t>
        </is>
      </c>
    </row>
    <row r="49">
      <c r="A49" s="2" t="inlineStr">
        <is>
          <t>C4-048</t>
        </is>
      </c>
      <c r="B49" s="2" t="inlineStr">
        <is>
          <t>fido</t>
        </is>
      </c>
      <c r="C49" s="11" t="n">
        <v>1</v>
      </c>
      <c r="D49" s="11" t="n">
        <v>1</v>
      </c>
      <c r="E49" s="11" t="n">
        <v>1</v>
      </c>
      <c r="F49" s="11" t="n">
        <v>1</v>
      </c>
      <c r="G49" s="11" t="n">
        <v>1</v>
      </c>
      <c r="H49" s="11" t="n">
        <v>1</v>
      </c>
      <c r="I49" s="11" t="n">
        <v>1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1</v>
      </c>
      <c r="O49" s="11" t="n">
        <v>1</v>
      </c>
      <c r="P49" s="11">
        <f>SUM(C49:O49)</f>
        <v>9</v>
      </c>
      <c r="Q49" s="5">
        <f>P49/13</f>
        <v>0.692307692307692</v>
      </c>
      <c r="R49" s="4">
        <f>IFERROR(SUMPRODUCT(Calc!B49:N49,C49:O49)/P49,0)</f>
        <v>26.2444444444444</v>
      </c>
      <c r="S49" s="4">
        <f>Scoring!U49</f>
        <v>18.1692307692308</v>
      </c>
      <c r="T49" s="2" t="inlineStr">
        <is>
          <t>Diagnostic only; never an eligibility rule.</t>
        </is>
      </c>
    </row>
    <row r="50">
      <c r="A50" s="2" t="inlineStr">
        <is>
          <t>C4-049</t>
        </is>
      </c>
      <c r="B50" s="2" t="inlineStr">
        <is>
          <t>Fulcrum</t>
        </is>
      </c>
      <c r="C50" s="11" t="n">
        <v>1</v>
      </c>
      <c r="D50" s="11" t="n">
        <v>1</v>
      </c>
      <c r="E50" s="11" t="n">
        <v>1</v>
      </c>
      <c r="F50" s="11" t="n">
        <v>1</v>
      </c>
      <c r="G50" s="11" t="n">
        <v>1</v>
      </c>
      <c r="H50" s="11" t="n">
        <v>1</v>
      </c>
      <c r="I50" s="11" t="n">
        <v>1</v>
      </c>
      <c r="J50" s="11" t="n">
        <v>0</v>
      </c>
      <c r="K50" s="11" t="n">
        <v>1</v>
      </c>
      <c r="L50" s="11" t="n">
        <v>0</v>
      </c>
      <c r="M50" s="11" t="n">
        <v>1</v>
      </c>
      <c r="N50" s="11" t="n">
        <v>1</v>
      </c>
      <c r="O50" s="11" t="n">
        <v>1</v>
      </c>
      <c r="P50" s="11">
        <f>SUM(C50:O50)</f>
        <v>11</v>
      </c>
      <c r="Q50" s="5">
        <f>P50/13</f>
        <v>0.846153846153846</v>
      </c>
      <c r="R50" s="4">
        <f>IFERROR(SUMPRODUCT(Calc!B50:N50,C50:O50)/P50,0)</f>
        <v>66.4909090909091</v>
      </c>
      <c r="S50" s="4">
        <f>Scoring!U50</f>
        <v>56.2615384615385</v>
      </c>
      <c r="T50" s="2" t="inlineStr">
        <is>
          <t>Diagnostic only; never an eligibility rule.</t>
        </is>
      </c>
    </row>
    <row r="51">
      <c r="A51" s="2" t="inlineStr">
        <is>
          <t>C4-050</t>
        </is>
      </c>
      <c r="B51" s="2" t="inlineStr">
        <is>
          <t>Galaxy</t>
        </is>
      </c>
      <c r="C51" s="11" t="n">
        <v>1</v>
      </c>
      <c r="D51" s="11" t="n">
        <v>1</v>
      </c>
      <c r="E51" s="11" t="n">
        <v>1</v>
      </c>
      <c r="F51" s="11" t="n">
        <v>1</v>
      </c>
      <c r="G51" s="11" t="n">
        <v>1</v>
      </c>
      <c r="H51" s="11" t="n">
        <v>1</v>
      </c>
      <c r="I51" s="11" t="n">
        <v>1</v>
      </c>
      <c r="J51" s="11" t="n">
        <v>1</v>
      </c>
      <c r="K51" s="11" t="n">
        <v>1</v>
      </c>
      <c r="L51" s="11" t="n">
        <v>1</v>
      </c>
      <c r="M51" s="11" t="n">
        <v>1</v>
      </c>
      <c r="N51" s="11" t="n">
        <v>1</v>
      </c>
      <c r="O51" s="11" t="n">
        <v>1</v>
      </c>
      <c r="P51" s="11">
        <f>SUM(C51:O51)</f>
        <v>13</v>
      </c>
      <c r="Q51" s="5">
        <f>P51/13</f>
        <v>1</v>
      </c>
      <c r="R51" s="4">
        <f>IFERROR(SUMPRODUCT(Calc!B51:N51,C51:O51)/P51,0)</f>
        <v>91.0830769230769</v>
      </c>
      <c r="S51" s="4">
        <f>Scoring!U51</f>
        <v>91.0830769230769</v>
      </c>
      <c r="T51" s="2" t="inlineStr">
        <is>
          <t>Diagnostic only; never an eligibility rule.</t>
        </is>
      </c>
    </row>
    <row r="52">
      <c r="A52" s="2" t="inlineStr">
        <is>
          <t>C4-051</t>
        </is>
      </c>
      <c r="B52" s="2" t="inlineStr">
        <is>
          <t>GeoServer</t>
        </is>
      </c>
      <c r="C52" s="11" t="n">
        <v>1</v>
      </c>
      <c r="D52" s="11" t="n">
        <v>1</v>
      </c>
      <c r="E52" s="11" t="n">
        <v>1</v>
      </c>
      <c r="F52" s="11" t="n">
        <v>1</v>
      </c>
      <c r="G52" s="11" t="n">
        <v>1</v>
      </c>
      <c r="H52" s="11" t="n">
        <v>1</v>
      </c>
      <c r="I52" s="11" t="n">
        <v>1</v>
      </c>
      <c r="J52" s="11" t="n">
        <v>0</v>
      </c>
      <c r="K52" s="11" t="n">
        <v>1</v>
      </c>
      <c r="L52" s="11" t="n">
        <v>0</v>
      </c>
      <c r="M52" s="11" t="n">
        <v>1</v>
      </c>
      <c r="N52" s="11" t="n">
        <v>1</v>
      </c>
      <c r="O52" s="11" t="n">
        <v>1</v>
      </c>
      <c r="P52" s="11">
        <f>SUM(C52:O52)</f>
        <v>11</v>
      </c>
      <c r="Q52" s="5">
        <f>P52/13</f>
        <v>0.846153846153846</v>
      </c>
      <c r="R52" s="4">
        <f>IFERROR(SUMPRODUCT(Calc!B52:N52,C52:O52)/P52,0)</f>
        <v>94.0563636363636</v>
      </c>
      <c r="S52" s="4">
        <f>Scoring!U52</f>
        <v>79.5861538461538</v>
      </c>
      <c r="T52" s="2" t="inlineStr">
        <is>
          <t>Diagnostic only; never an eligibility rule.</t>
        </is>
      </c>
    </row>
    <row r="53">
      <c r="A53" s="2" t="inlineStr">
        <is>
          <t>C4-052</t>
        </is>
      </c>
      <c r="B53" s="2" t="inlineStr">
        <is>
          <t>Hyku</t>
        </is>
      </c>
      <c r="C53" s="11" t="n">
        <v>1</v>
      </c>
      <c r="D53" s="11" t="n">
        <v>1</v>
      </c>
      <c r="E53" s="11" t="n">
        <v>1</v>
      </c>
      <c r="F53" s="11" t="n">
        <v>1</v>
      </c>
      <c r="G53" s="11" t="n">
        <v>1</v>
      </c>
      <c r="H53" s="11" t="n">
        <v>1</v>
      </c>
      <c r="I53" s="11" t="n">
        <v>1</v>
      </c>
      <c r="J53" s="11" t="n">
        <v>1</v>
      </c>
      <c r="K53" s="11" t="n">
        <v>1</v>
      </c>
      <c r="L53" s="11" t="n">
        <v>1</v>
      </c>
      <c r="M53" s="11" t="n">
        <v>1</v>
      </c>
      <c r="N53" s="11" t="n">
        <v>1</v>
      </c>
      <c r="O53" s="11" t="n">
        <v>1</v>
      </c>
      <c r="P53" s="11">
        <f>SUM(C53:O53)</f>
        <v>13</v>
      </c>
      <c r="Q53" s="5">
        <f>P53/13</f>
        <v>1</v>
      </c>
      <c r="R53" s="4">
        <f>IFERROR(SUMPRODUCT(Calc!B53:N53,C53:O53)/P53,0)</f>
        <v>73.6423076923077</v>
      </c>
      <c r="S53" s="4">
        <f>Scoring!U53</f>
        <v>73.6423076923077</v>
      </c>
      <c r="T53" s="2" t="inlineStr">
        <is>
          <t>Diagnostic only; never an eligibility rule.</t>
        </is>
      </c>
    </row>
    <row r="54">
      <c r="A54" s="2" t="inlineStr">
        <is>
          <t>C4-053</t>
        </is>
      </c>
      <c r="B54" s="2" t="inlineStr">
        <is>
          <t>Hyrax</t>
        </is>
      </c>
      <c r="C54" s="11" t="n">
        <v>1</v>
      </c>
      <c r="D54" s="11" t="n">
        <v>1</v>
      </c>
      <c r="E54" s="11" t="n">
        <v>1</v>
      </c>
      <c r="F54" s="11" t="n">
        <v>1</v>
      </c>
      <c r="G54" s="11" t="n">
        <v>1</v>
      </c>
      <c r="H54" s="11" t="n">
        <v>1</v>
      </c>
      <c r="I54" s="11" t="n">
        <v>1</v>
      </c>
      <c r="J54" s="11" t="n">
        <v>1</v>
      </c>
      <c r="K54" s="11" t="n">
        <v>1</v>
      </c>
      <c r="L54" s="11" t="n">
        <v>1</v>
      </c>
      <c r="M54" s="11" t="n">
        <v>1</v>
      </c>
      <c r="N54" s="11" t="n">
        <v>1</v>
      </c>
      <c r="O54" s="11" t="n">
        <v>1</v>
      </c>
      <c r="P54" s="11">
        <f>SUM(C54:O54)</f>
        <v>13</v>
      </c>
      <c r="Q54" s="5">
        <f>P54/13</f>
        <v>1</v>
      </c>
      <c r="R54" s="4">
        <f>IFERROR(SUMPRODUCT(Calc!B54:N54,C54:O54)/P54,0)</f>
        <v>71.3123076923077</v>
      </c>
      <c r="S54" s="4">
        <f>Scoring!U54</f>
        <v>71.3123076923077</v>
      </c>
      <c r="T54" s="2" t="inlineStr">
        <is>
          <t>Diagnostic only; never an eligibility rule.</t>
        </is>
      </c>
    </row>
    <row r="55">
      <c r="A55" s="2" t="inlineStr">
        <is>
          <t>C4-054</t>
        </is>
      </c>
      <c r="B55" s="2" t="inlineStr">
        <is>
          <t>IIIF</t>
        </is>
      </c>
      <c r="C55" s="11" t="n">
        <v>0</v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>
        <f>SUM(C55:O55)</f>
        <v>0</v>
      </c>
      <c r="Q55" s="5">
        <f>P55/13</f>
        <v>0</v>
      </c>
      <c r="R55" s="4">
        <f>IFERROR(SUMPRODUCT(Calc!B55:N55,C55:O55)/P55,0)</f>
        <v>0</v>
      </c>
      <c r="S55" s="4">
        <f>Scoring!U55</f>
        <v>0</v>
      </c>
      <c r="T55" s="2" t="inlineStr">
        <is>
          <t>Diagnostic only; never an eligibility rule.</t>
        </is>
      </c>
    </row>
    <row r="56">
      <c r="A56" s="2" t="inlineStr">
        <is>
          <t>C4-055</t>
        </is>
      </c>
      <c r="B56" s="2" t="inlineStr">
        <is>
          <t>ImpactU</t>
        </is>
      </c>
      <c r="C56" s="11" t="n">
        <v>1</v>
      </c>
      <c r="D56" s="11" t="n">
        <v>1</v>
      </c>
      <c r="E56" s="11" t="n">
        <v>1</v>
      </c>
      <c r="F56" s="11" t="n">
        <v>1</v>
      </c>
      <c r="G56" s="11" t="n">
        <v>1</v>
      </c>
      <c r="H56" s="11" t="n">
        <v>1</v>
      </c>
      <c r="I56" s="11" t="n">
        <v>1</v>
      </c>
      <c r="J56" s="11" t="n">
        <v>1</v>
      </c>
      <c r="K56" s="11" t="n">
        <v>0</v>
      </c>
      <c r="L56" s="11" t="n">
        <v>1</v>
      </c>
      <c r="M56" s="11" t="n">
        <v>0</v>
      </c>
      <c r="N56" s="11" t="n">
        <v>1</v>
      </c>
      <c r="O56" s="11" t="n">
        <v>1</v>
      </c>
      <c r="P56" s="11">
        <f>SUM(C56:O56)</f>
        <v>11</v>
      </c>
      <c r="Q56" s="5">
        <f>P56/13</f>
        <v>0.846153846153846</v>
      </c>
      <c r="R56" s="4">
        <f>IFERROR(SUMPRODUCT(Calc!B56:N56,C56:O56)/P56,0)</f>
        <v>11.4836363636364</v>
      </c>
      <c r="S56" s="4">
        <f>Scoring!U56</f>
        <v>9.71692307692308</v>
      </c>
      <c r="T56" s="2" t="inlineStr">
        <is>
          <t>Diagnostic only; never an eligibility rule.</t>
        </is>
      </c>
    </row>
    <row r="57">
      <c r="A57" s="2" t="inlineStr">
        <is>
          <t>C4-056</t>
        </is>
      </c>
      <c r="B57" s="2" t="inlineStr">
        <is>
          <t>International Generic Sample Number (IGSN)</t>
        </is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>
        <f>SUM(C57:O57)</f>
        <v>0</v>
      </c>
      <c r="Q57" s="5">
        <f>P57/13</f>
        <v>0</v>
      </c>
      <c r="R57" s="4">
        <f>IFERROR(SUMPRODUCT(Calc!B57:N57,C57:O57)/P57,0)</f>
        <v>0</v>
      </c>
      <c r="S57" s="4">
        <f>Scoring!U57</f>
        <v>0</v>
      </c>
      <c r="T57" s="2" t="inlineStr">
        <is>
          <t>Diagnostic only; never an eligibility rule.</t>
        </is>
      </c>
    </row>
    <row r="58">
      <c r="A58" s="2" t="inlineStr">
        <is>
          <t>C4-057</t>
        </is>
      </c>
      <c r="B58" s="2" t="inlineStr">
        <is>
          <t>InvenioRDM</t>
        </is>
      </c>
      <c r="C58" s="11" t="n">
        <v>1</v>
      </c>
      <c r="D58" s="11" t="n">
        <v>1</v>
      </c>
      <c r="E58" s="11" t="n">
        <v>1</v>
      </c>
      <c r="F58" s="11" t="n">
        <v>1</v>
      </c>
      <c r="G58" s="11" t="n">
        <v>1</v>
      </c>
      <c r="H58" s="11" t="n">
        <v>1</v>
      </c>
      <c r="I58" s="11" t="n">
        <v>1</v>
      </c>
      <c r="J58" s="11" t="n">
        <v>1</v>
      </c>
      <c r="K58" s="11" t="n">
        <v>1</v>
      </c>
      <c r="L58" s="11" t="n">
        <v>1</v>
      </c>
      <c r="M58" s="11" t="n">
        <v>1</v>
      </c>
      <c r="N58" s="11" t="n">
        <v>1</v>
      </c>
      <c r="O58" s="11" t="n">
        <v>1</v>
      </c>
      <c r="P58" s="11">
        <f>SUM(C58:O58)</f>
        <v>13</v>
      </c>
      <c r="Q58" s="5">
        <f>P58/13</f>
        <v>1</v>
      </c>
      <c r="R58" s="4">
        <f>IFERROR(SUMPRODUCT(Calc!B58:N58,C58:O58)/P58,0)</f>
        <v>79.2992307692308</v>
      </c>
      <c r="S58" s="4">
        <f>Scoring!U58</f>
        <v>79.2992307692308</v>
      </c>
      <c r="T58" s="2" t="inlineStr">
        <is>
          <t>Diagnostic only; never an eligibility rule.</t>
        </is>
      </c>
    </row>
    <row r="59">
      <c r="A59" s="2" t="inlineStr">
        <is>
          <t>C4-058</t>
        </is>
      </c>
      <c r="B59" s="2" t="inlineStr">
        <is>
          <t>iRODS</t>
        </is>
      </c>
      <c r="C59" s="11" t="n">
        <v>1</v>
      </c>
      <c r="D59" s="11" t="n">
        <v>1</v>
      </c>
      <c r="E59" s="11" t="n">
        <v>1</v>
      </c>
      <c r="F59" s="11" t="n">
        <v>1</v>
      </c>
      <c r="G59" s="11" t="n">
        <v>1</v>
      </c>
      <c r="H59" s="11" t="n">
        <v>1</v>
      </c>
      <c r="I59" s="11" t="n">
        <v>1</v>
      </c>
      <c r="J59" s="11" t="n">
        <v>1</v>
      </c>
      <c r="K59" s="11" t="n">
        <v>1</v>
      </c>
      <c r="L59" s="11" t="n">
        <v>1</v>
      </c>
      <c r="M59" s="11" t="n">
        <v>1</v>
      </c>
      <c r="N59" s="11" t="n">
        <v>1</v>
      </c>
      <c r="O59" s="11" t="n">
        <v>1</v>
      </c>
      <c r="P59" s="11">
        <f>SUM(C59:O59)</f>
        <v>13</v>
      </c>
      <c r="Q59" s="5">
        <f>P59/13</f>
        <v>1</v>
      </c>
      <c r="R59" s="4">
        <f>IFERROR(SUMPRODUCT(Calc!B59:N59,C59:O59)/P59,0)</f>
        <v>71.4192307692308</v>
      </c>
      <c r="S59" s="4">
        <f>Scoring!U59</f>
        <v>71.4192307692308</v>
      </c>
      <c r="T59" s="2" t="inlineStr">
        <is>
          <t>Diagnostic only; never an eligibility rule.</t>
        </is>
      </c>
    </row>
    <row r="60">
      <c r="A60" s="2" t="inlineStr">
        <is>
          <t>C4-059</t>
        </is>
      </c>
      <c r="B60" s="2" t="inlineStr">
        <is>
          <t>Islandora</t>
        </is>
      </c>
      <c r="C60" s="11" t="n">
        <v>1</v>
      </c>
      <c r="D60" s="11" t="n">
        <v>1</v>
      </c>
      <c r="E60" s="11" t="n">
        <v>1</v>
      </c>
      <c r="F60" s="11" t="n">
        <v>1</v>
      </c>
      <c r="G60" s="11" t="n">
        <v>1</v>
      </c>
      <c r="H60" s="11" t="n">
        <v>1</v>
      </c>
      <c r="I60" s="11" t="n">
        <v>1</v>
      </c>
      <c r="J60" s="11" t="n">
        <v>1</v>
      </c>
      <c r="K60" s="11" t="n">
        <v>1</v>
      </c>
      <c r="L60" s="11" t="n">
        <v>0</v>
      </c>
      <c r="M60" s="11" t="n">
        <v>1</v>
      </c>
      <c r="N60" s="11" t="n">
        <v>1</v>
      </c>
      <c r="O60" s="11" t="n">
        <v>1</v>
      </c>
      <c r="P60" s="11">
        <f>SUM(C60:O60)</f>
        <v>12</v>
      </c>
      <c r="Q60" s="5">
        <f>P60/13</f>
        <v>0.923076923076923</v>
      </c>
      <c r="R60" s="4">
        <f>IFERROR(SUMPRODUCT(Calc!B60:N60,C60:O60)/P60,0)</f>
        <v>59.3833333333333</v>
      </c>
      <c r="S60" s="4">
        <f>Scoring!U60</f>
        <v>54.8153846153846</v>
      </c>
      <c r="T60" s="2" t="inlineStr">
        <is>
          <t>Diagnostic only; never an eligibility rule.</t>
        </is>
      </c>
    </row>
    <row r="61">
      <c r="A61" s="2" t="inlineStr">
        <is>
          <t>C4-060</t>
        </is>
      </c>
      <c r="B61" s="2" t="inlineStr">
        <is>
          <t>Janeway</t>
        </is>
      </c>
      <c r="C61" s="11" t="n">
        <v>1</v>
      </c>
      <c r="D61" s="11" t="n">
        <v>1</v>
      </c>
      <c r="E61" s="11" t="n">
        <v>1</v>
      </c>
      <c r="F61" s="11" t="n">
        <v>1</v>
      </c>
      <c r="G61" s="11" t="n">
        <v>1</v>
      </c>
      <c r="H61" s="11" t="n">
        <v>1</v>
      </c>
      <c r="I61" s="11" t="n">
        <v>1</v>
      </c>
      <c r="J61" s="11" t="n">
        <v>1</v>
      </c>
      <c r="K61" s="11" t="n">
        <v>1</v>
      </c>
      <c r="L61" s="11" t="n">
        <v>1</v>
      </c>
      <c r="M61" s="11" t="n">
        <v>1</v>
      </c>
      <c r="N61" s="11" t="n">
        <v>1</v>
      </c>
      <c r="O61" s="11" t="n">
        <v>1</v>
      </c>
      <c r="P61" s="11">
        <f>SUM(C61:O61)</f>
        <v>13</v>
      </c>
      <c r="Q61" s="5">
        <f>P61/13</f>
        <v>1</v>
      </c>
      <c r="R61" s="4">
        <f>IFERROR(SUMPRODUCT(Calc!B61:N61,C61:O61)/P61,0)</f>
        <v>68.7484615384615</v>
      </c>
      <c r="S61" s="4">
        <f>Scoring!U61</f>
        <v>68.7484615384615</v>
      </c>
      <c r="T61" s="2" t="inlineStr">
        <is>
          <t>Diagnostic only; never an eligibility rule.</t>
        </is>
      </c>
    </row>
    <row r="62">
      <c r="A62" s="2" t="inlineStr">
        <is>
          <t>C4-061</t>
        </is>
      </c>
      <c r="B62" s="2" t="inlineStr">
        <is>
          <t>JHOVE</t>
        </is>
      </c>
      <c r="C62" s="11" t="n">
        <v>1</v>
      </c>
      <c r="D62" s="11" t="n">
        <v>1</v>
      </c>
      <c r="E62" s="11" t="n">
        <v>1</v>
      </c>
      <c r="F62" s="11" t="n">
        <v>1</v>
      </c>
      <c r="G62" s="11" t="n">
        <v>1</v>
      </c>
      <c r="H62" s="11" t="n">
        <v>1</v>
      </c>
      <c r="I62" s="11" t="n">
        <v>1</v>
      </c>
      <c r="J62" s="11" t="n">
        <v>1</v>
      </c>
      <c r="K62" s="11" t="n">
        <v>0</v>
      </c>
      <c r="L62" s="11" t="n">
        <v>1</v>
      </c>
      <c r="M62" s="11" t="n">
        <v>0</v>
      </c>
      <c r="N62" s="11" t="n">
        <v>1</v>
      </c>
      <c r="O62" s="11" t="n">
        <v>1</v>
      </c>
      <c r="P62" s="11">
        <f>SUM(C62:O62)</f>
        <v>11</v>
      </c>
      <c r="Q62" s="5">
        <f>P62/13</f>
        <v>0.846153846153846</v>
      </c>
      <c r="R62" s="4">
        <f>IFERROR(SUMPRODUCT(Calc!B62:N62,C62:O62)/P62,0)</f>
        <v>29.4427272727273</v>
      </c>
      <c r="S62" s="4">
        <f>Scoring!U62</f>
        <v>24.9130769230769</v>
      </c>
      <c r="T62" s="2" t="inlineStr">
        <is>
          <t>Diagnostic only; never an eligibility rule.</t>
        </is>
      </c>
    </row>
    <row r="63">
      <c r="A63" s="2" t="inlineStr">
        <is>
          <t>C4-062</t>
        </is>
      </c>
      <c r="B63" s="2" t="inlineStr">
        <is>
          <t>LA Referencia</t>
        </is>
      </c>
      <c r="C63" s="11" t="n">
        <v>1</v>
      </c>
      <c r="D63" s="11" t="n">
        <v>1</v>
      </c>
      <c r="E63" s="11" t="n">
        <v>1</v>
      </c>
      <c r="F63" s="11" t="n">
        <v>1</v>
      </c>
      <c r="G63" s="11" t="n">
        <v>1</v>
      </c>
      <c r="H63" s="11" t="n">
        <v>1</v>
      </c>
      <c r="I63" s="11" t="n">
        <v>1</v>
      </c>
      <c r="J63" s="11" t="n">
        <v>1</v>
      </c>
      <c r="K63" s="11" t="n">
        <v>0</v>
      </c>
      <c r="L63" s="11" t="n">
        <v>1</v>
      </c>
      <c r="M63" s="11" t="n">
        <v>0</v>
      </c>
      <c r="N63" s="11" t="n">
        <v>1</v>
      </c>
      <c r="O63" s="11" t="n">
        <v>1</v>
      </c>
      <c r="P63" s="11">
        <f>SUM(C63:O63)</f>
        <v>11</v>
      </c>
      <c r="Q63" s="5">
        <f>P63/13</f>
        <v>0.846153846153846</v>
      </c>
      <c r="R63" s="4">
        <f>IFERROR(SUMPRODUCT(Calc!B63:N63,C63:O63)/P63,0)</f>
        <v>56.2754545454545</v>
      </c>
      <c r="S63" s="4">
        <f>Scoring!U63</f>
        <v>47.6176923076923</v>
      </c>
      <c r="T63" s="2" t="inlineStr">
        <is>
          <t>Diagnostic only; never an eligibility rule.</t>
        </is>
      </c>
    </row>
    <row r="64">
      <c r="A64" s="2" t="inlineStr">
        <is>
          <t>C4-063</t>
        </is>
      </c>
      <c r="B64" s="2" t="inlineStr">
        <is>
          <t>Manifold</t>
        </is>
      </c>
      <c r="C64" s="11" t="n">
        <v>1</v>
      </c>
      <c r="D64" s="11" t="n">
        <v>1</v>
      </c>
      <c r="E64" s="11" t="n">
        <v>1</v>
      </c>
      <c r="F64" s="11" t="n">
        <v>1</v>
      </c>
      <c r="G64" s="11" t="n">
        <v>1</v>
      </c>
      <c r="H64" s="11" t="n">
        <v>1</v>
      </c>
      <c r="I64" s="11" t="n">
        <v>1</v>
      </c>
      <c r="J64" s="11" t="n">
        <v>0</v>
      </c>
      <c r="K64" s="11" t="n">
        <v>1</v>
      </c>
      <c r="L64" s="11" t="n">
        <v>0</v>
      </c>
      <c r="M64" s="11" t="n">
        <v>1</v>
      </c>
      <c r="N64" s="11" t="n">
        <v>1</v>
      </c>
      <c r="O64" s="11" t="n">
        <v>1</v>
      </c>
      <c r="P64" s="11">
        <f>SUM(C64:O64)</f>
        <v>11</v>
      </c>
      <c r="Q64" s="5">
        <f>P64/13</f>
        <v>0.846153846153846</v>
      </c>
      <c r="R64" s="4">
        <f>IFERROR(SUMPRODUCT(Calc!B64:N64,C64:O64)/P64,0)</f>
        <v>72.5109090909091</v>
      </c>
      <c r="S64" s="4">
        <f>Scoring!U64</f>
        <v>61.3553846153846</v>
      </c>
      <c r="T64" s="2" t="inlineStr">
        <is>
          <t>Diagnostic only; never an eligibility rule.</t>
        </is>
      </c>
    </row>
    <row r="65">
      <c r="A65" s="2" t="inlineStr">
        <is>
          <t>C4-064</t>
        </is>
      </c>
      <c r="B65" s="2" t="inlineStr">
        <is>
          <t>medRxiv</t>
        </is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>
        <f>SUM(C65:O65)</f>
        <v>0</v>
      </c>
      <c r="Q65" s="5">
        <f>P65/13</f>
        <v>0</v>
      </c>
      <c r="R65" s="4">
        <f>IFERROR(SUMPRODUCT(Calc!B65:N65,C65:O65)/P65,0)</f>
        <v>0</v>
      </c>
      <c r="S65" s="4">
        <f>Scoring!U65</f>
        <v>0</v>
      </c>
      <c r="T65" s="2" t="inlineStr">
        <is>
          <t>Diagnostic only; never an eligibility rule.</t>
        </is>
      </c>
    </row>
    <row r="66">
      <c r="A66" s="2" t="inlineStr">
        <is>
          <t>C4-065</t>
        </is>
      </c>
      <c r="B66" s="2" t="inlineStr">
        <is>
          <t>Metadata Encoding and Transmission Standard (METS)</t>
        </is>
      </c>
      <c r="C66" s="11" t="n">
        <v>1</v>
      </c>
      <c r="D66" s="11" t="n">
        <v>1</v>
      </c>
      <c r="E66" s="11" t="n">
        <v>1</v>
      </c>
      <c r="F66" s="11" t="n">
        <v>1</v>
      </c>
      <c r="G66" s="11" t="n">
        <v>1</v>
      </c>
      <c r="H66" s="11" t="n">
        <v>1</v>
      </c>
      <c r="I66" s="11" t="n">
        <v>1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  <c r="P66" s="11">
        <f>SUM(C66:O66)</f>
        <v>7</v>
      </c>
      <c r="Q66" s="5">
        <f>P66/13</f>
        <v>0.538461538461538</v>
      </c>
      <c r="R66" s="4">
        <f>IFERROR(SUMPRODUCT(Calc!B66:N66,C66:O66)/P66,0)</f>
        <v>0</v>
      </c>
      <c r="S66" s="4">
        <f>Scoring!U66</f>
        <v>0</v>
      </c>
      <c r="T66" s="2" t="inlineStr">
        <is>
          <t>Diagnostic only; never an eligibility rule.</t>
        </is>
      </c>
    </row>
    <row r="67">
      <c r="A67" s="2" t="inlineStr">
        <is>
          <t>C4-066</t>
        </is>
      </c>
      <c r="B67" s="2" t="inlineStr">
        <is>
          <t>Mirador</t>
        </is>
      </c>
      <c r="C67" s="11" t="n">
        <v>1</v>
      </c>
      <c r="D67" s="11" t="n">
        <v>1</v>
      </c>
      <c r="E67" s="11" t="n">
        <v>1</v>
      </c>
      <c r="F67" s="11" t="n">
        <v>1</v>
      </c>
      <c r="G67" s="11" t="n">
        <v>1</v>
      </c>
      <c r="H67" s="11" t="n">
        <v>1</v>
      </c>
      <c r="I67" s="11" t="n">
        <v>1</v>
      </c>
      <c r="J67" s="11" t="n">
        <v>1</v>
      </c>
      <c r="K67" s="11" t="n">
        <v>1</v>
      </c>
      <c r="L67" s="11" t="n">
        <v>1</v>
      </c>
      <c r="M67" s="11" t="n">
        <v>1</v>
      </c>
      <c r="N67" s="11" t="n">
        <v>1</v>
      </c>
      <c r="O67" s="11" t="n">
        <v>1</v>
      </c>
      <c r="P67" s="11">
        <f>SUM(C67:O67)</f>
        <v>13</v>
      </c>
      <c r="Q67" s="5">
        <f>P67/13</f>
        <v>1</v>
      </c>
      <c r="R67" s="4">
        <f>IFERROR(SUMPRODUCT(Calc!B67:N67,C67:O67)/P67,0)</f>
        <v>66.3653846153846</v>
      </c>
      <c r="S67" s="4">
        <f>Scoring!U67</f>
        <v>66.3653846153846</v>
      </c>
      <c r="T67" s="2" t="inlineStr">
        <is>
          <t>Diagnostic only; never an eligibility rule.</t>
        </is>
      </c>
    </row>
    <row r="68">
      <c r="A68" s="2" t="inlineStr">
        <is>
          <t>C4-067</t>
        </is>
      </c>
      <c r="B68" s="2" t="inlineStr">
        <is>
          <t>Mukurtu CMS</t>
        </is>
      </c>
      <c r="C68" s="11" t="n">
        <v>1</v>
      </c>
      <c r="D68" s="11" t="n">
        <v>1</v>
      </c>
      <c r="E68" s="11" t="n">
        <v>1</v>
      </c>
      <c r="F68" s="11" t="n">
        <v>1</v>
      </c>
      <c r="G68" s="11" t="n">
        <v>1</v>
      </c>
      <c r="H68" s="11" t="n">
        <v>1</v>
      </c>
      <c r="I68" s="11" t="n">
        <v>1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1</v>
      </c>
      <c r="O68" s="11" t="n">
        <v>1</v>
      </c>
      <c r="P68" s="11">
        <f>SUM(C68:O68)</f>
        <v>9</v>
      </c>
      <c r="Q68" s="5">
        <f>P68/13</f>
        <v>0.692307692307692</v>
      </c>
      <c r="R68" s="4">
        <f>IFERROR(SUMPRODUCT(Calc!B68:N68,C68:O68)/P68,0)</f>
        <v>10.9944444444444</v>
      </c>
      <c r="S68" s="4">
        <f>Scoring!U68</f>
        <v>7.61153846153846</v>
      </c>
      <c r="T68" s="2" t="inlineStr">
        <is>
          <t>Diagnostic only; never an eligibility rule.</t>
        </is>
      </c>
    </row>
    <row r="69">
      <c r="A69" s="2" t="inlineStr">
        <is>
          <t>C4-068</t>
        </is>
      </c>
      <c r="B69" s="2" t="inlineStr">
        <is>
          <t>MyCoRe</t>
        </is>
      </c>
      <c r="C69" s="11" t="n">
        <v>1</v>
      </c>
      <c r="D69" s="11" t="n">
        <v>1</v>
      </c>
      <c r="E69" s="11" t="n">
        <v>1</v>
      </c>
      <c r="F69" s="11" t="n">
        <v>1</v>
      </c>
      <c r="G69" s="11" t="n">
        <v>1</v>
      </c>
      <c r="H69" s="11" t="n">
        <v>1</v>
      </c>
      <c r="I69" s="11" t="n">
        <v>1</v>
      </c>
      <c r="J69" s="11" t="n">
        <v>0</v>
      </c>
      <c r="K69" s="11" t="n">
        <v>1</v>
      </c>
      <c r="L69" s="11" t="n">
        <v>0</v>
      </c>
      <c r="M69" s="11" t="n">
        <v>1</v>
      </c>
      <c r="N69" s="11" t="n">
        <v>1</v>
      </c>
      <c r="O69" s="11" t="n">
        <v>1</v>
      </c>
      <c r="P69" s="11">
        <f>SUM(C69:O69)</f>
        <v>11</v>
      </c>
      <c r="Q69" s="5">
        <f>P69/13</f>
        <v>0.846153846153846</v>
      </c>
      <c r="R69" s="4">
        <f>IFERROR(SUMPRODUCT(Calc!B69:N69,C69:O69)/P69,0)</f>
        <v>75.7718181818182</v>
      </c>
      <c r="S69" s="4">
        <f>Scoring!U69</f>
        <v>64.1146153846154</v>
      </c>
      <c r="T69" s="2" t="inlineStr">
        <is>
          <t>Diagnostic only; never an eligibility rule.</t>
        </is>
      </c>
    </row>
    <row r="70">
      <c r="A70" s="2" t="inlineStr">
        <is>
          <t>C4-069</t>
        </is>
      </c>
      <c r="B70" s="2" t="inlineStr">
        <is>
          <t>NumPy</t>
        </is>
      </c>
      <c r="C70" s="11" t="n">
        <v>1</v>
      </c>
      <c r="D70" s="11" t="n">
        <v>1</v>
      </c>
      <c r="E70" s="11" t="n">
        <v>1</v>
      </c>
      <c r="F70" s="11" t="n">
        <v>1</v>
      </c>
      <c r="G70" s="11" t="n">
        <v>1</v>
      </c>
      <c r="H70" s="11" t="n">
        <v>1</v>
      </c>
      <c r="I70" s="11" t="n">
        <v>1</v>
      </c>
      <c r="J70" s="11" t="n">
        <v>1</v>
      </c>
      <c r="K70" s="11" t="n">
        <v>1</v>
      </c>
      <c r="L70" s="11" t="n">
        <v>1</v>
      </c>
      <c r="M70" s="11" t="n">
        <v>1</v>
      </c>
      <c r="N70" s="11" t="n">
        <v>1</v>
      </c>
      <c r="O70" s="11" t="n">
        <v>1</v>
      </c>
      <c r="P70" s="11">
        <f>SUM(C70:O70)</f>
        <v>13</v>
      </c>
      <c r="Q70" s="5">
        <f>P70/13</f>
        <v>1</v>
      </c>
      <c r="R70" s="4">
        <f>IFERROR(SUMPRODUCT(Calc!B70:N70,C70:O70)/P70,0)</f>
        <v>93.3953846153846</v>
      </c>
      <c r="S70" s="4">
        <f>Scoring!U70</f>
        <v>93.3953846153846</v>
      </c>
      <c r="T70" s="2" t="inlineStr">
        <is>
          <t>Diagnostic only; never an eligibility rule.</t>
        </is>
      </c>
    </row>
    <row r="71">
      <c r="A71" s="2" t="inlineStr">
        <is>
          <t>C4-070</t>
        </is>
      </c>
      <c r="B71" s="2" t="inlineStr">
        <is>
          <t>OA.Report</t>
        </is>
      </c>
      <c r="C71" s="11" t="n">
        <v>1</v>
      </c>
      <c r="D71" s="11" t="n">
        <v>1</v>
      </c>
      <c r="E71" s="11" t="n">
        <v>1</v>
      </c>
      <c r="F71" s="11" t="n">
        <v>1</v>
      </c>
      <c r="G71" s="11" t="n">
        <v>1</v>
      </c>
      <c r="H71" s="11" t="n">
        <v>1</v>
      </c>
      <c r="I71" s="11" t="n">
        <v>1</v>
      </c>
      <c r="J71" s="11" t="n">
        <v>0</v>
      </c>
      <c r="K71" s="11" t="n">
        <v>1</v>
      </c>
      <c r="L71" s="11" t="n">
        <v>0</v>
      </c>
      <c r="M71" s="11" t="n">
        <v>1</v>
      </c>
      <c r="N71" s="11" t="n">
        <v>1</v>
      </c>
      <c r="O71" s="11" t="n">
        <v>1</v>
      </c>
      <c r="P71" s="11">
        <f>SUM(C71:O71)</f>
        <v>11</v>
      </c>
      <c r="Q71" s="5">
        <f>P71/13</f>
        <v>0.846153846153846</v>
      </c>
      <c r="R71" s="4">
        <f>IFERROR(SUMPRODUCT(Calc!B71:N71,C71:O71)/P71,0)</f>
        <v>46.8790909090909</v>
      </c>
      <c r="S71" s="4">
        <f>Scoring!U71</f>
        <v>39.6669230769231</v>
      </c>
      <c r="T71" s="2" t="inlineStr">
        <is>
          <t>Diagnostic only; never an eligibility rule.</t>
        </is>
      </c>
    </row>
    <row r="72">
      <c r="A72" s="2" t="inlineStr">
        <is>
          <t>C4-071</t>
        </is>
      </c>
      <c r="B72" s="2" t="inlineStr">
        <is>
          <t>OA Switchboard</t>
        </is>
      </c>
      <c r="C72" s="11" t="n">
        <v>1</v>
      </c>
      <c r="D72" s="11" t="n">
        <v>1</v>
      </c>
      <c r="E72" s="11" t="n">
        <v>1</v>
      </c>
      <c r="F72" s="11" t="n">
        <v>1</v>
      </c>
      <c r="G72" s="11" t="n">
        <v>1</v>
      </c>
      <c r="H72" s="11" t="n">
        <v>1</v>
      </c>
      <c r="I72" s="11" t="n">
        <v>1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  <c r="P72" s="11">
        <f>SUM(C72:O72)</f>
        <v>7</v>
      </c>
      <c r="Q72" s="5">
        <f>P72/13</f>
        <v>0.538461538461538</v>
      </c>
      <c r="R72" s="4">
        <f>IFERROR(SUMPRODUCT(Calc!B72:N72,C72:O72)/P72,0)</f>
        <v>29.2642857142857</v>
      </c>
      <c r="S72" s="4">
        <f>Scoring!U72</f>
        <v>15.7576923076923</v>
      </c>
      <c r="T72" s="2" t="inlineStr">
        <is>
          <t>Diagnostic only; never an eligibility rule.</t>
        </is>
      </c>
    </row>
    <row r="73">
      <c r="A73" s="2" t="inlineStr">
        <is>
          <t>C4-072</t>
        </is>
      </c>
      <c r="B73" s="2" t="inlineStr">
        <is>
          <t>Omeka</t>
        </is>
      </c>
      <c r="C73" s="11" t="n">
        <v>1</v>
      </c>
      <c r="D73" s="11" t="n">
        <v>1</v>
      </c>
      <c r="E73" s="11" t="n">
        <v>1</v>
      </c>
      <c r="F73" s="11" t="n">
        <v>1</v>
      </c>
      <c r="G73" s="11" t="n">
        <v>1</v>
      </c>
      <c r="H73" s="11" t="n">
        <v>1</v>
      </c>
      <c r="I73" s="11" t="n">
        <v>1</v>
      </c>
      <c r="J73" s="11" t="n">
        <v>1</v>
      </c>
      <c r="K73" s="11" t="n">
        <v>1</v>
      </c>
      <c r="L73" s="11" t="n">
        <v>1</v>
      </c>
      <c r="M73" s="11" t="n">
        <v>1</v>
      </c>
      <c r="N73" s="11" t="n">
        <v>1</v>
      </c>
      <c r="O73" s="11" t="n">
        <v>1</v>
      </c>
      <c r="P73" s="11">
        <f>SUM(C73:O73)</f>
        <v>13</v>
      </c>
      <c r="Q73" s="5">
        <f>P73/13</f>
        <v>1</v>
      </c>
      <c r="R73" s="4">
        <f>IFERROR(SUMPRODUCT(Calc!B73:N73,C73:O73)/P73,0)</f>
        <v>60.0653846153846</v>
      </c>
      <c r="S73" s="4">
        <f>Scoring!U73</f>
        <v>60.0653846153846</v>
      </c>
      <c r="T73" s="2" t="inlineStr">
        <is>
          <t>Diagnostic only; never an eligibility rule.</t>
        </is>
      </c>
    </row>
    <row r="74">
      <c r="A74" s="2" t="inlineStr">
        <is>
          <t>C4-073</t>
        </is>
      </c>
      <c r="B74" s="2" t="inlineStr">
        <is>
          <t>OpenAIRE Graph</t>
        </is>
      </c>
      <c r="C74" s="11" t="n">
        <v>1</v>
      </c>
      <c r="D74" s="11" t="n">
        <v>1</v>
      </c>
      <c r="E74" s="11" t="n">
        <v>1</v>
      </c>
      <c r="F74" s="11" t="n">
        <v>1</v>
      </c>
      <c r="G74" s="11" t="n">
        <v>1</v>
      </c>
      <c r="H74" s="11" t="n">
        <v>1</v>
      </c>
      <c r="I74" s="11" t="n">
        <v>1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  <c r="P74" s="11">
        <f>SUM(C74:O74)</f>
        <v>7</v>
      </c>
      <c r="Q74" s="5">
        <f>P74/13</f>
        <v>0.538461538461538</v>
      </c>
      <c r="R74" s="4">
        <f>IFERROR(SUMPRODUCT(Calc!B74:N74,C74:O74)/P74,0)</f>
        <v>83.6842857142857</v>
      </c>
      <c r="S74" s="4">
        <f>Scoring!U74</f>
        <v>45.0607692307692</v>
      </c>
      <c r="T74" s="2" t="inlineStr">
        <is>
          <t>Diagnostic only; never an eligibility rule.</t>
        </is>
      </c>
    </row>
    <row r="75">
      <c r="A75" s="2" t="inlineStr">
        <is>
          <t>C4-074</t>
        </is>
      </c>
      <c r="B75" s="2" t="inlineStr">
        <is>
          <t>OpenAlex</t>
        </is>
      </c>
      <c r="C75" s="11" t="n">
        <v>1</v>
      </c>
      <c r="D75" s="11" t="n">
        <v>1</v>
      </c>
      <c r="E75" s="11" t="n">
        <v>1</v>
      </c>
      <c r="F75" s="11" t="n">
        <v>1</v>
      </c>
      <c r="G75" s="11" t="n">
        <v>1</v>
      </c>
      <c r="H75" s="11" t="n">
        <v>1</v>
      </c>
      <c r="I75" s="11" t="n">
        <v>1</v>
      </c>
      <c r="J75" s="11" t="n">
        <v>0</v>
      </c>
      <c r="K75" s="11" t="n">
        <v>1</v>
      </c>
      <c r="L75" s="11" t="n">
        <v>0</v>
      </c>
      <c r="M75" s="11" t="n">
        <v>1</v>
      </c>
      <c r="N75" s="11" t="n">
        <v>1</v>
      </c>
      <c r="O75" s="11" t="n">
        <v>1</v>
      </c>
      <c r="P75" s="11">
        <f>SUM(C75:O75)</f>
        <v>11</v>
      </c>
      <c r="Q75" s="5">
        <f>P75/13</f>
        <v>0.846153846153846</v>
      </c>
      <c r="R75" s="4">
        <f>IFERROR(SUMPRODUCT(Calc!B75:N75,C75:O75)/P75,0)</f>
        <v>74.5754545454545</v>
      </c>
      <c r="S75" s="4">
        <f>Scoring!U75</f>
        <v>63.1023076923077</v>
      </c>
      <c r="T75" s="2" t="inlineStr">
        <is>
          <t>Diagnostic only; never an eligibility rule.</t>
        </is>
      </c>
    </row>
    <row r="76">
      <c r="A76" s="2" t="inlineStr">
        <is>
          <t>C4-075</t>
        </is>
      </c>
      <c r="B76" s="2" t="inlineStr">
        <is>
          <t>OpenAPC</t>
        </is>
      </c>
      <c r="C76" s="11" t="n">
        <v>1</v>
      </c>
      <c r="D76" s="11" t="n">
        <v>1</v>
      </c>
      <c r="E76" s="11" t="n">
        <v>1</v>
      </c>
      <c r="F76" s="11" t="n">
        <v>1</v>
      </c>
      <c r="G76" s="11" t="n">
        <v>1</v>
      </c>
      <c r="H76" s="11" t="n">
        <v>1</v>
      </c>
      <c r="I76" s="11" t="n">
        <v>1</v>
      </c>
      <c r="J76" s="11" t="n">
        <v>0</v>
      </c>
      <c r="K76" s="11" t="n">
        <v>1</v>
      </c>
      <c r="L76" s="11" t="n">
        <v>0</v>
      </c>
      <c r="M76" s="11" t="n">
        <v>1</v>
      </c>
      <c r="N76" s="11" t="n">
        <v>1</v>
      </c>
      <c r="O76" s="11" t="n">
        <v>1</v>
      </c>
      <c r="P76" s="11">
        <f>SUM(C76:O76)</f>
        <v>11</v>
      </c>
      <c r="Q76" s="5">
        <f>P76/13</f>
        <v>0.846153846153846</v>
      </c>
      <c r="R76" s="4">
        <f>IFERROR(SUMPRODUCT(Calc!B76:N76,C76:O76)/P76,0)</f>
        <v>70.2563636363636</v>
      </c>
      <c r="S76" s="4">
        <f>Scoring!U76</f>
        <v>59.4476923076923</v>
      </c>
      <c r="T76" s="2" t="inlineStr">
        <is>
          <t>Diagnostic only; never an eligibility rule.</t>
        </is>
      </c>
    </row>
    <row r="77">
      <c r="A77" s="2" t="inlineStr">
        <is>
          <t>C4-076</t>
        </is>
      </c>
      <c r="B77" s="2" t="inlineStr">
        <is>
          <t>OpenCitations</t>
        </is>
      </c>
      <c r="C77" s="11" t="n">
        <v>1</v>
      </c>
      <c r="D77" s="11" t="n">
        <v>1</v>
      </c>
      <c r="E77" s="11" t="n">
        <v>1</v>
      </c>
      <c r="F77" s="11" t="n">
        <v>1</v>
      </c>
      <c r="G77" s="11" t="n">
        <v>1</v>
      </c>
      <c r="H77" s="11" t="n">
        <v>1</v>
      </c>
      <c r="I77" s="11" t="n">
        <v>1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1</v>
      </c>
      <c r="O77" s="11" t="n">
        <v>1</v>
      </c>
      <c r="P77" s="11">
        <f>SUM(C77:O77)</f>
        <v>9</v>
      </c>
      <c r="Q77" s="5">
        <f>P77/13</f>
        <v>0.692307692307692</v>
      </c>
      <c r="R77" s="4">
        <f>IFERROR(SUMPRODUCT(Calc!B77:N77,C77:O77)/P77,0)</f>
        <v>45.2988888888889</v>
      </c>
      <c r="S77" s="4">
        <f>Scoring!U77</f>
        <v>31.3607692307692</v>
      </c>
      <c r="T77" s="2" t="inlineStr">
        <is>
          <t>Diagnostic only; never an eligibility rule.</t>
        </is>
      </c>
    </row>
    <row r="78">
      <c r="A78" s="2" t="inlineStr">
        <is>
          <t>C4-077</t>
        </is>
      </c>
      <c r="B78" s="2" t="inlineStr">
        <is>
          <t>openCost</t>
        </is>
      </c>
      <c r="C78" s="11" t="n">
        <v>1</v>
      </c>
      <c r="D78" s="11" t="n">
        <v>1</v>
      </c>
      <c r="E78" s="11" t="n">
        <v>1</v>
      </c>
      <c r="F78" s="11" t="n">
        <v>1</v>
      </c>
      <c r="G78" s="11" t="n">
        <v>1</v>
      </c>
      <c r="H78" s="11" t="n">
        <v>1</v>
      </c>
      <c r="I78" s="11" t="n">
        <v>1</v>
      </c>
      <c r="J78" s="11" t="n">
        <v>1</v>
      </c>
      <c r="K78" s="11" t="n">
        <v>0</v>
      </c>
      <c r="L78" s="11" t="n">
        <v>1</v>
      </c>
      <c r="M78" s="11" t="n">
        <v>0</v>
      </c>
      <c r="N78" s="11" t="n">
        <v>1</v>
      </c>
      <c r="O78" s="11" t="n">
        <v>1</v>
      </c>
      <c r="P78" s="11">
        <f>SUM(C78:O78)</f>
        <v>11</v>
      </c>
      <c r="Q78" s="5">
        <f>P78/13</f>
        <v>0.846153846153846</v>
      </c>
      <c r="R78" s="4">
        <f>IFERROR(SUMPRODUCT(Calc!B78:N78,C78:O78)/P78,0)</f>
        <v>28.84</v>
      </c>
      <c r="S78" s="4">
        <f>Scoring!U78</f>
        <v>24.4030769230769</v>
      </c>
      <c r="T78" s="2" t="inlineStr">
        <is>
          <t>Diagnostic only; never an eligibility rule.</t>
        </is>
      </c>
    </row>
    <row r="79">
      <c r="A79" s="2" t="inlineStr">
        <is>
          <t>C4-078</t>
        </is>
      </c>
      <c r="B79" s="2" t="inlineStr">
        <is>
          <t>Open Data Editor</t>
        </is>
      </c>
      <c r="C79" s="11" t="n">
        <v>1</v>
      </c>
      <c r="D79" s="11" t="n">
        <v>1</v>
      </c>
      <c r="E79" s="11" t="n">
        <v>1</v>
      </c>
      <c r="F79" s="11" t="n">
        <v>1</v>
      </c>
      <c r="G79" s="11" t="n">
        <v>1</v>
      </c>
      <c r="H79" s="11" t="n">
        <v>1</v>
      </c>
      <c r="I79" s="11" t="n">
        <v>1</v>
      </c>
      <c r="J79" s="11" t="n">
        <v>0</v>
      </c>
      <c r="K79" s="11" t="n">
        <v>1</v>
      </c>
      <c r="L79" s="11" t="n">
        <v>0</v>
      </c>
      <c r="M79" s="11" t="n">
        <v>1</v>
      </c>
      <c r="N79" s="11" t="n">
        <v>1</v>
      </c>
      <c r="O79" s="11" t="n">
        <v>1</v>
      </c>
      <c r="P79" s="11">
        <f>SUM(C79:O79)</f>
        <v>11</v>
      </c>
      <c r="Q79" s="5">
        <f>P79/13</f>
        <v>0.846153846153846</v>
      </c>
      <c r="R79" s="4">
        <f>IFERROR(SUMPRODUCT(Calc!B79:N79,C79:O79)/P79,0)</f>
        <v>51.0190909090909</v>
      </c>
      <c r="S79" s="4">
        <f>Scoring!U79</f>
        <v>43.17</v>
      </c>
      <c r="T79" s="2" t="inlineStr">
        <is>
          <t>Diagnostic only; never an eligibility rule.</t>
        </is>
      </c>
    </row>
    <row r="80">
      <c r="A80" s="2" t="inlineStr">
        <is>
          <t>C4-079</t>
        </is>
      </c>
      <c r="B80" s="2" t="inlineStr">
        <is>
          <t>OpenEdition</t>
        </is>
      </c>
      <c r="C80" s="11" t="n">
        <v>1</v>
      </c>
      <c r="D80" s="11" t="n">
        <v>1</v>
      </c>
      <c r="E80" s="11" t="n">
        <v>1</v>
      </c>
      <c r="F80" s="11" t="n">
        <v>1</v>
      </c>
      <c r="G80" s="11" t="n">
        <v>1</v>
      </c>
      <c r="H80" s="11" t="n">
        <v>1</v>
      </c>
      <c r="I80" s="11" t="n">
        <v>1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1</v>
      </c>
      <c r="O80" s="11" t="n">
        <v>1</v>
      </c>
      <c r="P80" s="11">
        <f>SUM(C80:O80)</f>
        <v>9</v>
      </c>
      <c r="Q80" s="5">
        <f>P80/13</f>
        <v>0.692307692307692</v>
      </c>
      <c r="R80" s="4">
        <f>IFERROR(SUMPRODUCT(Calc!B80:N80,C80:O80)/P80,0)</f>
        <v>33.8822222222222</v>
      </c>
      <c r="S80" s="4">
        <f>Scoring!U80</f>
        <v>23.4569230769231</v>
      </c>
      <c r="T80" s="2" t="inlineStr">
        <is>
          <t>Diagnostic only; never an eligibility rule.</t>
        </is>
      </c>
    </row>
    <row r="81">
      <c r="A81" s="2" t="inlineStr">
        <is>
          <t>C4-080</t>
        </is>
      </c>
      <c r="B81" s="2" t="inlineStr">
        <is>
          <t>Open Journal Systems (OJS)</t>
        </is>
      </c>
      <c r="C81" s="11" t="n">
        <v>1</v>
      </c>
      <c r="D81" s="11" t="n">
        <v>1</v>
      </c>
      <c r="E81" s="11" t="n">
        <v>1</v>
      </c>
      <c r="F81" s="11" t="n">
        <v>1</v>
      </c>
      <c r="G81" s="11" t="n">
        <v>1</v>
      </c>
      <c r="H81" s="11" t="n">
        <v>1</v>
      </c>
      <c r="I81" s="11" t="n">
        <v>1</v>
      </c>
      <c r="J81" s="11" t="n">
        <v>1</v>
      </c>
      <c r="K81" s="11" t="n">
        <v>1</v>
      </c>
      <c r="L81" s="11" t="n">
        <v>1</v>
      </c>
      <c r="M81" s="11" t="n">
        <v>1</v>
      </c>
      <c r="N81" s="11" t="n">
        <v>1</v>
      </c>
      <c r="O81" s="11" t="n">
        <v>1</v>
      </c>
      <c r="P81" s="11">
        <f>SUM(C81:O81)</f>
        <v>13</v>
      </c>
      <c r="Q81" s="5">
        <f>P81/13</f>
        <v>1</v>
      </c>
      <c r="R81" s="4">
        <f>IFERROR(SUMPRODUCT(Calc!B81:N81,C81:O81)/P81,0)</f>
        <v>81.8</v>
      </c>
      <c r="S81" s="4">
        <f>Scoring!U81</f>
        <v>81.8</v>
      </c>
      <c r="T81" s="2" t="inlineStr">
        <is>
          <t>Diagnostic only; never an eligibility rule.</t>
        </is>
      </c>
    </row>
    <row r="82">
      <c r="A82" s="2" t="inlineStr">
        <is>
          <t>C4-081</t>
        </is>
      </c>
      <c r="B82" s="2" t="inlineStr">
        <is>
          <t>Open Monograph Press (OMP)</t>
        </is>
      </c>
      <c r="C82" s="11" t="n">
        <v>1</v>
      </c>
      <c r="D82" s="11" t="n">
        <v>1</v>
      </c>
      <c r="E82" s="11" t="n">
        <v>1</v>
      </c>
      <c r="F82" s="11" t="n">
        <v>1</v>
      </c>
      <c r="G82" s="11" t="n">
        <v>1</v>
      </c>
      <c r="H82" s="11" t="n">
        <v>1</v>
      </c>
      <c r="I82" s="11" t="n">
        <v>1</v>
      </c>
      <c r="J82" s="11" t="n">
        <v>1</v>
      </c>
      <c r="K82" s="11" t="n">
        <v>1</v>
      </c>
      <c r="L82" s="11" t="n">
        <v>1</v>
      </c>
      <c r="M82" s="11" t="n">
        <v>1</v>
      </c>
      <c r="N82" s="11" t="n">
        <v>1</v>
      </c>
      <c r="O82" s="11" t="n">
        <v>1</v>
      </c>
      <c r="P82" s="11">
        <f>SUM(C82:O82)</f>
        <v>13</v>
      </c>
      <c r="Q82" s="5">
        <f>P82/13</f>
        <v>1</v>
      </c>
      <c r="R82" s="4">
        <f>IFERROR(SUMPRODUCT(Calc!B82:N82,C82:O82)/P82,0)</f>
        <v>75.2976923076923</v>
      </c>
      <c r="S82" s="4">
        <f>Scoring!U82</f>
        <v>75.2976923076923</v>
      </c>
      <c r="T82" s="2" t="inlineStr">
        <is>
          <t>Diagnostic only; never an eligibility rule.</t>
        </is>
      </c>
    </row>
    <row r="83">
      <c r="A83" s="2" t="inlineStr">
        <is>
          <t>C4-082</t>
        </is>
      </c>
      <c r="B83" s="2" t="inlineStr">
        <is>
          <t>Open Preprint Systems (OPS)</t>
        </is>
      </c>
      <c r="C83" s="11" t="n">
        <v>1</v>
      </c>
      <c r="D83" s="11" t="n">
        <v>1</v>
      </c>
      <c r="E83" s="11" t="n">
        <v>1</v>
      </c>
      <c r="F83" s="11" t="n">
        <v>1</v>
      </c>
      <c r="G83" s="11" t="n">
        <v>1</v>
      </c>
      <c r="H83" s="11" t="n">
        <v>1</v>
      </c>
      <c r="I83" s="11" t="n">
        <v>1</v>
      </c>
      <c r="J83" s="11" t="n">
        <v>1</v>
      </c>
      <c r="K83" s="11" t="n">
        <v>1</v>
      </c>
      <c r="L83" s="11" t="n">
        <v>1</v>
      </c>
      <c r="M83" s="11" t="n">
        <v>1</v>
      </c>
      <c r="N83" s="11" t="n">
        <v>1</v>
      </c>
      <c r="O83" s="11" t="n">
        <v>1</v>
      </c>
      <c r="P83" s="11">
        <f>SUM(C83:O83)</f>
        <v>13</v>
      </c>
      <c r="Q83" s="5">
        <f>P83/13</f>
        <v>1</v>
      </c>
      <c r="R83" s="4">
        <f>IFERROR(SUMPRODUCT(Calc!B83:N83,C83:O83)/P83,0)</f>
        <v>73.4384615384615</v>
      </c>
      <c r="S83" s="4">
        <f>Scoring!U83</f>
        <v>73.4384615384615</v>
      </c>
      <c r="T83" s="2" t="inlineStr">
        <is>
          <t>Diagnostic only; never an eligibility rule.</t>
        </is>
      </c>
    </row>
    <row r="84">
      <c r="A84" s="2" t="inlineStr">
        <is>
          <t>C4-083</t>
        </is>
      </c>
      <c r="B84" s="2" t="inlineStr">
        <is>
          <t>Openverse</t>
        </is>
      </c>
      <c r="C84" s="11" t="n">
        <v>1</v>
      </c>
      <c r="D84" s="11" t="n">
        <v>1</v>
      </c>
      <c r="E84" s="11" t="n">
        <v>1</v>
      </c>
      <c r="F84" s="11" t="n">
        <v>1</v>
      </c>
      <c r="G84" s="11" t="n">
        <v>1</v>
      </c>
      <c r="H84" s="11" t="n">
        <v>1</v>
      </c>
      <c r="I84" s="11" t="n">
        <v>1</v>
      </c>
      <c r="J84" s="11" t="n">
        <v>1</v>
      </c>
      <c r="K84" s="11" t="n">
        <v>1</v>
      </c>
      <c r="L84" s="11" t="n">
        <v>1</v>
      </c>
      <c r="M84" s="11" t="n">
        <v>1</v>
      </c>
      <c r="N84" s="11" t="n">
        <v>1</v>
      </c>
      <c r="O84" s="11" t="n">
        <v>1</v>
      </c>
      <c r="P84" s="11">
        <f>SUM(C84:O84)</f>
        <v>13</v>
      </c>
      <c r="Q84" s="5">
        <f>P84/13</f>
        <v>1</v>
      </c>
      <c r="R84" s="4">
        <f>IFERROR(SUMPRODUCT(Calc!B84:N84,C84:O84)/P84,0)</f>
        <v>45.5253846153846</v>
      </c>
      <c r="S84" s="4">
        <f>Scoring!U84</f>
        <v>45.5253846153846</v>
      </c>
      <c r="T84" s="2" t="inlineStr">
        <is>
          <t>Diagnostic only; never an eligibility rule.</t>
        </is>
      </c>
    </row>
    <row r="85">
      <c r="A85" s="2" t="inlineStr">
        <is>
          <t>C4-084</t>
        </is>
      </c>
      <c r="B85" s="2" t="inlineStr">
        <is>
          <t>O Portal Brasileiro de Publicações e Dados Científicos em Acesso Aberto (The Brazilian Open Access Publications and Scientific Data Portal) (Oasisbr)</t>
        </is>
      </c>
      <c r="C85" s="11" t="n">
        <v>1</v>
      </c>
      <c r="D85" s="11" t="n">
        <v>1</v>
      </c>
      <c r="E85" s="11" t="n">
        <v>1</v>
      </c>
      <c r="F85" s="11" t="n">
        <v>1</v>
      </c>
      <c r="G85" s="11" t="n">
        <v>1</v>
      </c>
      <c r="H85" s="11" t="n">
        <v>1</v>
      </c>
      <c r="I85" s="11" t="n">
        <v>1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1</v>
      </c>
      <c r="O85" s="11" t="n">
        <v>1</v>
      </c>
      <c r="P85" s="11">
        <f>SUM(C85:O85)</f>
        <v>9</v>
      </c>
      <c r="Q85" s="5">
        <f>P85/13</f>
        <v>0.692307692307692</v>
      </c>
      <c r="R85" s="4">
        <f>IFERROR(SUMPRODUCT(Calc!B85:N85,C85:O85)/P85,0)</f>
        <v>11.1111111111111</v>
      </c>
      <c r="S85" s="4">
        <f>Scoring!U85</f>
        <v>7.69230769230769</v>
      </c>
      <c r="T85" s="2" t="inlineStr">
        <is>
          <t>Diagnostic only; never an eligibility rule.</t>
        </is>
      </c>
    </row>
    <row r="86">
      <c r="A86" s="2" t="inlineStr">
        <is>
          <t>C4-085</t>
        </is>
      </c>
      <c r="B86" s="2" t="inlineStr">
        <is>
          <t>OSF (Open Science Framework)</t>
        </is>
      </c>
      <c r="C86" s="11" t="n">
        <v>1</v>
      </c>
      <c r="D86" s="11" t="n">
        <v>1</v>
      </c>
      <c r="E86" s="11" t="n">
        <v>1</v>
      </c>
      <c r="F86" s="11" t="n">
        <v>1</v>
      </c>
      <c r="G86" s="11" t="n">
        <v>1</v>
      </c>
      <c r="H86" s="11" t="n">
        <v>1</v>
      </c>
      <c r="I86" s="11" t="n">
        <v>1</v>
      </c>
      <c r="J86" s="11" t="n">
        <v>1</v>
      </c>
      <c r="K86" s="11" t="n">
        <v>1</v>
      </c>
      <c r="L86" s="11" t="n">
        <v>1</v>
      </c>
      <c r="M86" s="11" t="n">
        <v>1</v>
      </c>
      <c r="N86" s="11" t="n">
        <v>1</v>
      </c>
      <c r="O86" s="11" t="n">
        <v>1</v>
      </c>
      <c r="P86" s="11">
        <f>SUM(C86:O86)</f>
        <v>13</v>
      </c>
      <c r="Q86" s="5">
        <f>P86/13</f>
        <v>1</v>
      </c>
      <c r="R86" s="4">
        <f>IFERROR(SUMPRODUCT(Calc!B86:N86,C86:O86)/P86,0)</f>
        <v>78.0907692307692</v>
      </c>
      <c r="S86" s="4">
        <f>Scoring!U86</f>
        <v>78.0907692307692</v>
      </c>
      <c r="T86" s="2" t="inlineStr">
        <is>
          <t>Diagnostic only; never an eligibility rule.</t>
        </is>
      </c>
    </row>
    <row r="87">
      <c r="A87" s="2" t="inlineStr">
        <is>
          <t>C4-086</t>
        </is>
      </c>
      <c r="B87" s="2" t="inlineStr">
        <is>
          <t>Oxford Common File Layout</t>
        </is>
      </c>
      <c r="C87" s="11" t="n">
        <v>0</v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  <c r="P87" s="11">
        <f>SUM(C87:O87)</f>
        <v>0</v>
      </c>
      <c r="Q87" s="5">
        <f>P87/13</f>
        <v>0</v>
      </c>
      <c r="R87" s="4">
        <f>IFERROR(SUMPRODUCT(Calc!B87:N87,C87:O87)/P87,0)</f>
        <v>0</v>
      </c>
      <c r="S87" s="4">
        <f>Scoring!U87</f>
        <v>0</v>
      </c>
      <c r="T87" s="2" t="inlineStr">
        <is>
          <t>Diagnostic only; never an eligibility rule.</t>
        </is>
      </c>
    </row>
    <row r="88">
      <c r="A88" s="2" t="inlineStr">
        <is>
          <t>C4-087</t>
        </is>
      </c>
      <c r="B88" s="2" t="inlineStr">
        <is>
          <t>Peer Community In</t>
        </is>
      </c>
      <c r="C88" s="11" t="n">
        <v>1</v>
      </c>
      <c r="D88" s="11" t="n">
        <v>1</v>
      </c>
      <c r="E88" s="11" t="n">
        <v>1</v>
      </c>
      <c r="F88" s="11" t="n">
        <v>1</v>
      </c>
      <c r="G88" s="11" t="n">
        <v>1</v>
      </c>
      <c r="H88" s="11" t="n">
        <v>1</v>
      </c>
      <c r="I88" s="11" t="n">
        <v>1</v>
      </c>
      <c r="J88" s="11" t="n">
        <v>0</v>
      </c>
      <c r="K88" s="11" t="n">
        <v>1</v>
      </c>
      <c r="L88" s="11" t="n">
        <v>0</v>
      </c>
      <c r="M88" s="11" t="n">
        <v>1</v>
      </c>
      <c r="N88" s="11" t="n">
        <v>1</v>
      </c>
      <c r="O88" s="11" t="n">
        <v>1</v>
      </c>
      <c r="P88" s="11">
        <f>SUM(C88:O88)</f>
        <v>11</v>
      </c>
      <c r="Q88" s="5">
        <f>P88/13</f>
        <v>0.846153846153846</v>
      </c>
      <c r="R88" s="4">
        <f>IFERROR(SUMPRODUCT(Calc!B88:N88,C88:O88)/P88,0)</f>
        <v>48.56</v>
      </c>
      <c r="S88" s="4">
        <f>Scoring!U88</f>
        <v>41.0892307692308</v>
      </c>
      <c r="T88" s="2" t="inlineStr">
        <is>
          <t>Diagnostic only; never an eligibility rule.</t>
        </is>
      </c>
    </row>
    <row r="89">
      <c r="A89" s="2" t="inlineStr">
        <is>
          <t>C4-088</t>
        </is>
      </c>
      <c r="B89" s="2" t="inlineStr">
        <is>
          <t>PKP Preservation Network</t>
        </is>
      </c>
      <c r="C89" s="11" t="n">
        <v>1</v>
      </c>
      <c r="D89" s="11" t="n">
        <v>1</v>
      </c>
      <c r="E89" s="11" t="n">
        <v>1</v>
      </c>
      <c r="F89" s="11" t="n">
        <v>1</v>
      </c>
      <c r="G89" s="11" t="n">
        <v>1</v>
      </c>
      <c r="H89" s="11" t="n">
        <v>1</v>
      </c>
      <c r="I89" s="11" t="n">
        <v>1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1</v>
      </c>
      <c r="O89" s="11" t="n">
        <v>1</v>
      </c>
      <c r="P89" s="11">
        <f>SUM(C89:O89)</f>
        <v>9</v>
      </c>
      <c r="Q89" s="5">
        <f>P89/13</f>
        <v>0.692307692307692</v>
      </c>
      <c r="R89" s="4">
        <f>IFERROR(SUMPRODUCT(Calc!B89:N89,C89:O89)/P89,0)</f>
        <v>39.2522222222222</v>
      </c>
      <c r="S89" s="4">
        <f>Scoring!U89</f>
        <v>27.1746153846154</v>
      </c>
      <c r="T89" s="2" t="inlineStr">
        <is>
          <t>Diagnostic only; never an eligibility rule.</t>
        </is>
      </c>
    </row>
    <row r="90">
      <c r="A90" s="2" t="inlineStr">
        <is>
          <t>C4-089</t>
        </is>
      </c>
      <c r="B90" s="2" t="inlineStr">
        <is>
          <t>PREreview</t>
        </is>
      </c>
      <c r="C90" s="11" t="n">
        <v>1</v>
      </c>
      <c r="D90" s="11" t="n">
        <v>1</v>
      </c>
      <c r="E90" s="11" t="n">
        <v>1</v>
      </c>
      <c r="F90" s="11" t="n">
        <v>1</v>
      </c>
      <c r="G90" s="11" t="n">
        <v>1</v>
      </c>
      <c r="H90" s="11" t="n">
        <v>1</v>
      </c>
      <c r="I90" s="11" t="n">
        <v>1</v>
      </c>
      <c r="J90" s="11" t="n">
        <v>1</v>
      </c>
      <c r="K90" s="11" t="n">
        <v>1</v>
      </c>
      <c r="L90" s="11" t="n">
        <v>1</v>
      </c>
      <c r="M90" s="11" t="n">
        <v>1</v>
      </c>
      <c r="N90" s="11" t="n">
        <v>1</v>
      </c>
      <c r="O90" s="11" t="n">
        <v>1</v>
      </c>
      <c r="P90" s="11">
        <f>SUM(C90:O90)</f>
        <v>13</v>
      </c>
      <c r="Q90" s="5">
        <f>P90/13</f>
        <v>1</v>
      </c>
      <c r="R90" s="4">
        <f>IFERROR(SUMPRODUCT(Calc!B90:N90,C90:O90)/P90,0)</f>
        <v>57.2407692307692</v>
      </c>
      <c r="S90" s="4">
        <f>Scoring!U90</f>
        <v>57.2407692307692</v>
      </c>
      <c r="T90" s="2" t="inlineStr">
        <is>
          <t>Diagnostic only; never an eligibility rule.</t>
        </is>
      </c>
    </row>
    <row r="91">
      <c r="A91" s="2" t="inlineStr">
        <is>
          <t>C4-090</t>
        </is>
      </c>
      <c r="B91" s="2" t="inlineStr">
        <is>
          <t>Pressbooks</t>
        </is>
      </c>
      <c r="C91" s="11" t="n">
        <v>1</v>
      </c>
      <c r="D91" s="11" t="n">
        <v>1</v>
      </c>
      <c r="E91" s="11" t="n">
        <v>1</v>
      </c>
      <c r="F91" s="11" t="n">
        <v>1</v>
      </c>
      <c r="G91" s="11" t="n">
        <v>1</v>
      </c>
      <c r="H91" s="11" t="n">
        <v>1</v>
      </c>
      <c r="I91" s="11" t="n">
        <v>1</v>
      </c>
      <c r="J91" s="11" t="n">
        <v>1</v>
      </c>
      <c r="K91" s="11" t="n">
        <v>1</v>
      </c>
      <c r="L91" s="11" t="n">
        <v>1</v>
      </c>
      <c r="M91" s="11" t="n">
        <v>1</v>
      </c>
      <c r="N91" s="11" t="n">
        <v>1</v>
      </c>
      <c r="O91" s="11" t="n">
        <v>1</v>
      </c>
      <c r="P91" s="11">
        <f>SUM(C91:O91)</f>
        <v>13</v>
      </c>
      <c r="Q91" s="5">
        <f>P91/13</f>
        <v>1</v>
      </c>
      <c r="R91" s="4">
        <f>IFERROR(SUMPRODUCT(Calc!B91:N91,C91:O91)/P91,0)</f>
        <v>72.3238461538461</v>
      </c>
      <c r="S91" s="4">
        <f>Scoring!U91</f>
        <v>72.3238461538461</v>
      </c>
      <c r="T91" s="2" t="inlineStr">
        <is>
          <t>Diagnostic only; never an eligibility rule.</t>
        </is>
      </c>
    </row>
    <row r="92">
      <c r="A92" s="2" t="inlineStr">
        <is>
          <t>C4-091</t>
        </is>
      </c>
      <c r="B92" s="2" t="inlineStr">
        <is>
          <t>Public Access Submission System</t>
        </is>
      </c>
      <c r="C92" s="11" t="n">
        <v>1</v>
      </c>
      <c r="D92" s="11" t="n">
        <v>1</v>
      </c>
      <c r="E92" s="11" t="n">
        <v>1</v>
      </c>
      <c r="F92" s="11" t="n">
        <v>1</v>
      </c>
      <c r="G92" s="11" t="n">
        <v>1</v>
      </c>
      <c r="H92" s="11" t="n">
        <v>1</v>
      </c>
      <c r="I92" s="11" t="n">
        <v>1</v>
      </c>
      <c r="J92" s="11" t="n">
        <v>1</v>
      </c>
      <c r="K92" s="11" t="n">
        <v>1</v>
      </c>
      <c r="L92" s="11" t="n">
        <v>1</v>
      </c>
      <c r="M92" s="11" t="n">
        <v>1</v>
      </c>
      <c r="N92" s="11" t="n">
        <v>1</v>
      </c>
      <c r="O92" s="11" t="n">
        <v>1</v>
      </c>
      <c r="P92" s="11">
        <f>SUM(C92:O92)</f>
        <v>13</v>
      </c>
      <c r="Q92" s="5">
        <f>P92/13</f>
        <v>1</v>
      </c>
      <c r="R92" s="4">
        <f>IFERROR(SUMPRODUCT(Calc!B92:N92,C92:O92)/P92,0)</f>
        <v>58.8892307692308</v>
      </c>
      <c r="S92" s="4">
        <f>Scoring!U92</f>
        <v>58.8892307692308</v>
      </c>
      <c r="T92" s="2" t="inlineStr">
        <is>
          <t>Diagnostic only; never an eligibility rule.</t>
        </is>
      </c>
    </row>
    <row r="93">
      <c r="A93" s="2" t="inlineStr">
        <is>
          <t>C4-092</t>
        </is>
      </c>
      <c r="B93" s="2" t="inlineStr">
        <is>
          <t>Public Utility Data Liberation (PUDL)</t>
        </is>
      </c>
      <c r="C93" s="11" t="n">
        <v>1</v>
      </c>
      <c r="D93" s="11" t="n">
        <v>1</v>
      </c>
      <c r="E93" s="11" t="n">
        <v>1</v>
      </c>
      <c r="F93" s="11" t="n">
        <v>1</v>
      </c>
      <c r="G93" s="11" t="n">
        <v>1</v>
      </c>
      <c r="H93" s="11" t="n">
        <v>1</v>
      </c>
      <c r="I93" s="11" t="n">
        <v>1</v>
      </c>
      <c r="J93" s="11" t="n">
        <v>1</v>
      </c>
      <c r="K93" s="11" t="n">
        <v>1</v>
      </c>
      <c r="L93" s="11" t="n">
        <v>1</v>
      </c>
      <c r="M93" s="11" t="n">
        <v>1</v>
      </c>
      <c r="N93" s="11" t="n">
        <v>1</v>
      </c>
      <c r="O93" s="11" t="n">
        <v>1</v>
      </c>
      <c r="P93" s="11">
        <f>SUM(C93:O93)</f>
        <v>13</v>
      </c>
      <c r="Q93" s="5">
        <f>P93/13</f>
        <v>1</v>
      </c>
      <c r="R93" s="4">
        <f>IFERROR(SUMPRODUCT(Calc!B93:N93,C93:O93)/P93,0)</f>
        <v>82.2207692307692</v>
      </c>
      <c r="S93" s="4">
        <f>Scoring!U93</f>
        <v>82.2207692307692</v>
      </c>
      <c r="T93" s="2" t="inlineStr">
        <is>
          <t>Diagnostic only; never an eligibility rule.</t>
        </is>
      </c>
    </row>
    <row r="94">
      <c r="A94" s="2" t="inlineStr">
        <is>
          <t>C4-093</t>
        </is>
      </c>
      <c r="B94" s="2" t="inlineStr">
        <is>
          <t>PubPub</t>
        </is>
      </c>
      <c r="C94" s="11" t="n">
        <v>1</v>
      </c>
      <c r="D94" s="11" t="n">
        <v>1</v>
      </c>
      <c r="E94" s="11" t="n">
        <v>1</v>
      </c>
      <c r="F94" s="11" t="n">
        <v>1</v>
      </c>
      <c r="G94" s="11" t="n">
        <v>1</v>
      </c>
      <c r="H94" s="11" t="n">
        <v>1</v>
      </c>
      <c r="I94" s="11" t="n">
        <v>1</v>
      </c>
      <c r="J94" s="11" t="n">
        <v>0</v>
      </c>
      <c r="K94" s="11" t="n">
        <v>1</v>
      </c>
      <c r="L94" s="11" t="n">
        <v>0</v>
      </c>
      <c r="M94" s="11" t="n">
        <v>1</v>
      </c>
      <c r="N94" s="11" t="n">
        <v>1</v>
      </c>
      <c r="O94" s="11" t="n">
        <v>1</v>
      </c>
      <c r="P94" s="11">
        <f>SUM(C94:O94)</f>
        <v>11</v>
      </c>
      <c r="Q94" s="5">
        <f>P94/13</f>
        <v>0.846153846153846</v>
      </c>
      <c r="R94" s="4">
        <f>IFERROR(SUMPRODUCT(Calc!B94:N94,C94:O94)/P94,0)</f>
        <v>68.9781818181818</v>
      </c>
      <c r="S94" s="4">
        <f>Scoring!U94</f>
        <v>58.3661538461538</v>
      </c>
      <c r="T94" s="2" t="inlineStr">
        <is>
          <t>Diagnostic only; never an eligibility rule.</t>
        </is>
      </c>
    </row>
    <row r="95">
      <c r="A95" s="2" t="inlineStr">
        <is>
          <t>C4-094</t>
        </is>
      </c>
      <c r="B95" s="2" t="inlineStr">
        <is>
          <t>Pundit</t>
        </is>
      </c>
      <c r="C95" s="11" t="n">
        <v>1</v>
      </c>
      <c r="D95" s="11" t="n">
        <v>1</v>
      </c>
      <c r="E95" s="11" t="n">
        <v>1</v>
      </c>
      <c r="F95" s="11" t="n">
        <v>1</v>
      </c>
      <c r="G95" s="11" t="n">
        <v>1</v>
      </c>
      <c r="H95" s="11" t="n">
        <v>1</v>
      </c>
      <c r="I95" s="11" t="n">
        <v>1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1</v>
      </c>
      <c r="O95" s="11" t="n">
        <v>1</v>
      </c>
      <c r="P95" s="11">
        <f>SUM(C95:O95)</f>
        <v>9</v>
      </c>
      <c r="Q95" s="5">
        <f>P95/13</f>
        <v>0.692307692307692</v>
      </c>
      <c r="R95" s="4">
        <f>IFERROR(SUMPRODUCT(Calc!B95:N95,C95:O95)/P95,0)</f>
        <v>31.7</v>
      </c>
      <c r="S95" s="4">
        <f>Scoring!U95</f>
        <v>21.9461538461538</v>
      </c>
      <c r="T95" s="2" t="inlineStr">
        <is>
          <t>Diagnostic only; never an eligibility rule.</t>
        </is>
      </c>
    </row>
    <row r="96">
      <c r="A96" s="2" t="inlineStr">
        <is>
          <t>C4-095</t>
        </is>
      </c>
      <c r="B96" s="2" t="inlineStr">
        <is>
          <t>pyOpenSci</t>
        </is>
      </c>
      <c r="C96" s="11" t="n">
        <v>0</v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  <c r="P96" s="11">
        <f>SUM(C96:O96)</f>
        <v>0</v>
      </c>
      <c r="Q96" s="5">
        <f>P96/13</f>
        <v>0</v>
      </c>
      <c r="R96" s="4">
        <f>IFERROR(SUMPRODUCT(Calc!B96:N96,C96:O96)/P96,0)</f>
        <v>0</v>
      </c>
      <c r="S96" s="4">
        <f>Scoring!U96</f>
        <v>0</v>
      </c>
      <c r="T96" s="2" t="inlineStr">
        <is>
          <t>Diagnostic only; never an eligibility rule.</t>
        </is>
      </c>
    </row>
    <row r="97">
      <c r="A97" s="2" t="inlineStr">
        <is>
          <t>C4-096</t>
        </is>
      </c>
      <c r="B97" s="2" t="inlineStr">
        <is>
          <t>Renku</t>
        </is>
      </c>
      <c r="C97" s="11" t="n">
        <v>1</v>
      </c>
      <c r="D97" s="11" t="n">
        <v>1</v>
      </c>
      <c r="E97" s="11" t="n">
        <v>1</v>
      </c>
      <c r="F97" s="11" t="n">
        <v>1</v>
      </c>
      <c r="G97" s="11" t="n">
        <v>1</v>
      </c>
      <c r="H97" s="11" t="n">
        <v>1</v>
      </c>
      <c r="I97" s="11" t="n">
        <v>1</v>
      </c>
      <c r="J97" s="11" t="n">
        <v>1</v>
      </c>
      <c r="K97" s="11" t="n">
        <v>1</v>
      </c>
      <c r="L97" s="11" t="n">
        <v>1</v>
      </c>
      <c r="M97" s="11" t="n">
        <v>1</v>
      </c>
      <c r="N97" s="11" t="n">
        <v>1</v>
      </c>
      <c r="O97" s="11" t="n">
        <v>1</v>
      </c>
      <c r="P97" s="11">
        <f>SUM(C97:O97)</f>
        <v>13</v>
      </c>
      <c r="Q97" s="5">
        <f>P97/13</f>
        <v>1</v>
      </c>
      <c r="R97" s="4">
        <f>IFERROR(SUMPRODUCT(Calc!B97:N97,C97:O97)/P97,0)</f>
        <v>75.9361538461538</v>
      </c>
      <c r="S97" s="4">
        <f>Scoring!U97</f>
        <v>75.9361538461538</v>
      </c>
      <c r="T97" s="2" t="inlineStr">
        <is>
          <t>Diagnostic only; never an eligibility rule.</t>
        </is>
      </c>
    </row>
    <row r="98">
      <c r="A98" s="2" t="inlineStr">
        <is>
          <t>C4-097</t>
        </is>
      </c>
      <c r="B98" s="2" t="inlineStr">
        <is>
          <t>RePEc</t>
        </is>
      </c>
      <c r="C98" s="11" t="n">
        <v>0</v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  <c r="P98" s="11">
        <f>SUM(C98:O98)</f>
        <v>0</v>
      </c>
      <c r="Q98" s="5">
        <f>P98/13</f>
        <v>0</v>
      </c>
      <c r="R98" s="4">
        <f>IFERROR(SUMPRODUCT(Calc!B98:N98,C98:O98)/P98,0)</f>
        <v>0</v>
      </c>
      <c r="S98" s="4">
        <f>Scoring!U98</f>
        <v>0</v>
      </c>
      <c r="T98" s="2" t="inlineStr">
        <is>
          <t>Diagnostic only; never an eligibility rule.</t>
        </is>
      </c>
    </row>
    <row r="99">
      <c r="A99" s="2" t="inlineStr">
        <is>
          <t>C4-098</t>
        </is>
      </c>
      <c r="B99" s="2" t="inlineStr">
        <is>
          <t>Research Organization Registry (ROR)</t>
        </is>
      </c>
      <c r="C99" s="11" t="n">
        <v>1</v>
      </c>
      <c r="D99" s="11" t="n">
        <v>1</v>
      </c>
      <c r="E99" s="11" t="n">
        <v>1</v>
      </c>
      <c r="F99" s="11" t="n">
        <v>1</v>
      </c>
      <c r="G99" s="11" t="n">
        <v>1</v>
      </c>
      <c r="H99" s="11" t="n">
        <v>1</v>
      </c>
      <c r="I99" s="11" t="n">
        <v>1</v>
      </c>
      <c r="J99" s="11" t="n">
        <v>0</v>
      </c>
      <c r="K99" s="11" t="n">
        <v>1</v>
      </c>
      <c r="L99" s="11" t="n">
        <v>0</v>
      </c>
      <c r="M99" s="11" t="n">
        <v>1</v>
      </c>
      <c r="N99" s="11" t="n">
        <v>1</v>
      </c>
      <c r="O99" s="11" t="n">
        <v>1</v>
      </c>
      <c r="P99" s="11">
        <f>SUM(C99:O99)</f>
        <v>11</v>
      </c>
      <c r="Q99" s="5">
        <f>P99/13</f>
        <v>0.846153846153846</v>
      </c>
      <c r="R99" s="4">
        <f>IFERROR(SUMPRODUCT(Calc!B99:N99,C99:O99)/P99,0)</f>
        <v>45.4727272727273</v>
      </c>
      <c r="S99" s="4">
        <f>Scoring!U99</f>
        <v>38.4769230769231</v>
      </c>
      <c r="T99" s="2" t="inlineStr">
        <is>
          <t>Diagnostic only; never an eligibility rule.</t>
        </is>
      </c>
    </row>
    <row r="100">
      <c r="A100" s="2" t="inlineStr">
        <is>
          <t>C4-099</t>
        </is>
      </c>
      <c r="B100" s="2" t="inlineStr">
        <is>
          <t>Rogue Scholar</t>
        </is>
      </c>
      <c r="C100" s="11" t="n">
        <v>1</v>
      </c>
      <c r="D100" s="11" t="n">
        <v>1</v>
      </c>
      <c r="E100" s="11" t="n">
        <v>1</v>
      </c>
      <c r="F100" s="11" t="n">
        <v>1</v>
      </c>
      <c r="G100" s="11" t="n">
        <v>1</v>
      </c>
      <c r="H100" s="11" t="n">
        <v>1</v>
      </c>
      <c r="I100" s="11" t="n">
        <v>1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1</v>
      </c>
      <c r="O100" s="11" t="n">
        <v>1</v>
      </c>
      <c r="P100" s="11">
        <f>SUM(C100:O100)</f>
        <v>9</v>
      </c>
      <c r="Q100" s="5">
        <f>P100/13</f>
        <v>0.692307692307692</v>
      </c>
      <c r="R100" s="4">
        <f>IFERROR(SUMPRODUCT(Calc!B100:N100,C100:O100)/P100,0)</f>
        <v>36.5266666666667</v>
      </c>
      <c r="S100" s="4">
        <f>Scoring!U100</f>
        <v>25.2876923076923</v>
      </c>
      <c r="T100" s="2" t="inlineStr">
        <is>
          <t>Diagnostic only; never an eligibility rule.</t>
        </is>
      </c>
    </row>
    <row r="101">
      <c r="A101" s="2" t="inlineStr">
        <is>
          <t>C4-100</t>
        </is>
      </c>
      <c r="B101" s="2" t="inlineStr">
        <is>
          <t>RSpace</t>
        </is>
      </c>
      <c r="C101" s="11" t="n">
        <v>1</v>
      </c>
      <c r="D101" s="11" t="n">
        <v>1</v>
      </c>
      <c r="E101" s="11" t="n">
        <v>1</v>
      </c>
      <c r="F101" s="11" t="n">
        <v>1</v>
      </c>
      <c r="G101" s="11" t="n">
        <v>1</v>
      </c>
      <c r="H101" s="11" t="n">
        <v>1</v>
      </c>
      <c r="I101" s="11" t="n">
        <v>1</v>
      </c>
      <c r="J101" s="11" t="n">
        <v>1</v>
      </c>
      <c r="K101" s="11" t="n">
        <v>1</v>
      </c>
      <c r="L101" s="11" t="n">
        <v>1</v>
      </c>
      <c r="M101" s="11" t="n">
        <v>1</v>
      </c>
      <c r="N101" s="11" t="n">
        <v>1</v>
      </c>
      <c r="O101" s="11" t="n">
        <v>1</v>
      </c>
      <c r="P101" s="11">
        <f>SUM(C101:O101)</f>
        <v>13</v>
      </c>
      <c r="Q101" s="5">
        <f>P101/13</f>
        <v>1</v>
      </c>
      <c r="R101" s="4">
        <f>IFERROR(SUMPRODUCT(Calc!B101:N101,C101:O101)/P101,0)</f>
        <v>76.2646153846154</v>
      </c>
      <c r="S101" s="4">
        <f>Scoring!U101</f>
        <v>76.2646153846154</v>
      </c>
      <c r="T101" s="2" t="inlineStr">
        <is>
          <t>Diagnostic only; never an eligibility rule.</t>
        </is>
      </c>
    </row>
    <row r="102">
      <c r="A102" s="2" t="inlineStr">
        <is>
          <t>C4-101</t>
        </is>
      </c>
      <c r="B102" s="2" t="inlineStr">
        <is>
          <t>Sciety</t>
        </is>
      </c>
      <c r="C102" s="11" t="n">
        <v>1</v>
      </c>
      <c r="D102" s="11" t="n">
        <v>1</v>
      </c>
      <c r="E102" s="11" t="n">
        <v>1</v>
      </c>
      <c r="F102" s="11" t="n">
        <v>1</v>
      </c>
      <c r="G102" s="11" t="n">
        <v>1</v>
      </c>
      <c r="H102" s="11" t="n">
        <v>1</v>
      </c>
      <c r="I102" s="11" t="n">
        <v>1</v>
      </c>
      <c r="J102" s="11" t="n">
        <v>1</v>
      </c>
      <c r="K102" s="11" t="n">
        <v>0</v>
      </c>
      <c r="L102" s="11" t="n">
        <v>1</v>
      </c>
      <c r="M102" s="11" t="n">
        <v>0</v>
      </c>
      <c r="N102" s="11" t="n">
        <v>1</v>
      </c>
      <c r="O102" s="11" t="n">
        <v>1</v>
      </c>
      <c r="P102" s="11">
        <f>SUM(C102:O102)</f>
        <v>11</v>
      </c>
      <c r="Q102" s="5">
        <f>P102/13</f>
        <v>0.846153846153846</v>
      </c>
      <c r="R102" s="4">
        <f>IFERROR(SUMPRODUCT(Calc!B102:N102,C102:O102)/P102,0)</f>
        <v>52.9081818181818</v>
      </c>
      <c r="S102" s="4">
        <f>Scoring!U102</f>
        <v>44.7684615384615</v>
      </c>
      <c r="T102" s="2" t="inlineStr">
        <is>
          <t>Diagnostic only; never an eligibility rule.</t>
        </is>
      </c>
    </row>
    <row r="103">
      <c r="A103" s="2" t="inlineStr">
        <is>
          <t>C4-102</t>
        </is>
      </c>
      <c r="B103" s="2" t="inlineStr">
        <is>
          <t>Synapse</t>
        </is>
      </c>
      <c r="C103" s="11" t="n">
        <v>1</v>
      </c>
      <c r="D103" s="11" t="n">
        <v>1</v>
      </c>
      <c r="E103" s="11" t="n">
        <v>1</v>
      </c>
      <c r="F103" s="11" t="n">
        <v>1</v>
      </c>
      <c r="G103" s="11" t="n">
        <v>1</v>
      </c>
      <c r="H103" s="11" t="n">
        <v>1</v>
      </c>
      <c r="I103" s="11" t="n">
        <v>1</v>
      </c>
      <c r="J103" s="11" t="n">
        <v>0</v>
      </c>
      <c r="K103" s="11" t="n">
        <v>1</v>
      </c>
      <c r="L103" s="11" t="n">
        <v>0</v>
      </c>
      <c r="M103" s="11" t="n">
        <v>1</v>
      </c>
      <c r="N103" s="11" t="n">
        <v>1</v>
      </c>
      <c r="O103" s="11" t="n">
        <v>1</v>
      </c>
      <c r="P103" s="11">
        <f>SUM(C103:O103)</f>
        <v>11</v>
      </c>
      <c r="Q103" s="5">
        <f>P103/13</f>
        <v>0.846153846153846</v>
      </c>
      <c r="R103" s="4">
        <f>IFERROR(SUMPRODUCT(Calc!B103:N103,C103:O103)/P103,0)</f>
        <v>80.0345454545455</v>
      </c>
      <c r="S103" s="4">
        <f>Scoring!U103</f>
        <v>67.7215384615385</v>
      </c>
      <c r="T103" s="2" t="inlineStr">
        <is>
          <t>Diagnostic only; never an eligibility rule.</t>
        </is>
      </c>
    </row>
    <row r="104">
      <c r="A104" s="2" t="inlineStr">
        <is>
          <t>C4-103</t>
        </is>
      </c>
      <c r="B104" s="2" t="inlineStr">
        <is>
          <t>TagTeam</t>
        </is>
      </c>
      <c r="C104" s="11" t="n">
        <v>1</v>
      </c>
      <c r="D104" s="11" t="n">
        <v>1</v>
      </c>
      <c r="E104" s="11" t="n">
        <v>1</v>
      </c>
      <c r="F104" s="11" t="n">
        <v>1</v>
      </c>
      <c r="G104" s="11" t="n">
        <v>1</v>
      </c>
      <c r="H104" s="11" t="n">
        <v>1</v>
      </c>
      <c r="I104" s="11" t="n">
        <v>1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1</v>
      </c>
      <c r="O104" s="11" t="n">
        <v>1</v>
      </c>
      <c r="P104" s="11">
        <f>SUM(C104:O104)</f>
        <v>9</v>
      </c>
      <c r="Q104" s="5">
        <f>P104/13</f>
        <v>0.692307692307692</v>
      </c>
      <c r="R104" s="4">
        <f>IFERROR(SUMPRODUCT(Calc!B104:N104,C104:O104)/P104,0)</f>
        <v>1.76666666666667</v>
      </c>
      <c r="S104" s="4">
        <f>Scoring!U104</f>
        <v>1.22307692307692</v>
      </c>
      <c r="T104" s="2" t="inlineStr">
        <is>
          <t>Diagnostic only; never an eligibility rule.</t>
        </is>
      </c>
    </row>
    <row r="105">
      <c r="A105" s="2" t="inlineStr">
        <is>
          <t>C4-104</t>
        </is>
      </c>
      <c r="B105" s="2" t="inlineStr">
        <is>
          <t>Thoth Open Metadata</t>
        </is>
      </c>
      <c r="C105" s="11" t="n">
        <v>1</v>
      </c>
      <c r="D105" s="11" t="n">
        <v>1</v>
      </c>
      <c r="E105" s="11" t="n">
        <v>1</v>
      </c>
      <c r="F105" s="11" t="n">
        <v>1</v>
      </c>
      <c r="G105" s="11" t="n">
        <v>1</v>
      </c>
      <c r="H105" s="11" t="n">
        <v>1</v>
      </c>
      <c r="I105" s="11" t="n">
        <v>1</v>
      </c>
      <c r="J105" s="11" t="n">
        <v>1</v>
      </c>
      <c r="K105" s="11" t="n">
        <v>1</v>
      </c>
      <c r="L105" s="11" t="n">
        <v>1</v>
      </c>
      <c r="M105" s="11" t="n">
        <v>1</v>
      </c>
      <c r="N105" s="11" t="n">
        <v>1</v>
      </c>
      <c r="O105" s="11" t="n">
        <v>1</v>
      </c>
      <c r="P105" s="11">
        <f>SUM(C105:O105)</f>
        <v>13</v>
      </c>
      <c r="Q105" s="5">
        <f>P105/13</f>
        <v>1</v>
      </c>
      <c r="R105" s="4">
        <f>IFERROR(SUMPRODUCT(Calc!B105:N105,C105:O105)/P105,0)</f>
        <v>46.0707692307692</v>
      </c>
      <c r="S105" s="4">
        <f>Scoring!U105</f>
        <v>46.0707692307692</v>
      </c>
      <c r="T105" s="2" t="inlineStr">
        <is>
          <t>Diagnostic only; never an eligibility rule.</t>
        </is>
      </c>
    </row>
    <row r="106">
      <c r="A106" s="2" t="inlineStr">
        <is>
          <t>C4-105</t>
        </is>
      </c>
      <c r="B106" s="2" t="inlineStr">
        <is>
          <t>Tropy</t>
        </is>
      </c>
      <c r="C106" s="11" t="n">
        <v>1</v>
      </c>
      <c r="D106" s="11" t="n">
        <v>1</v>
      </c>
      <c r="E106" s="11" t="n">
        <v>1</v>
      </c>
      <c r="F106" s="11" t="n">
        <v>1</v>
      </c>
      <c r="G106" s="11" t="n">
        <v>1</v>
      </c>
      <c r="H106" s="11" t="n">
        <v>1</v>
      </c>
      <c r="I106" s="11" t="n">
        <v>1</v>
      </c>
      <c r="J106" s="11" t="n">
        <v>1</v>
      </c>
      <c r="K106" s="11" t="n">
        <v>1</v>
      </c>
      <c r="L106" s="11" t="n">
        <v>1</v>
      </c>
      <c r="M106" s="11" t="n">
        <v>1</v>
      </c>
      <c r="N106" s="11" t="n">
        <v>1</v>
      </c>
      <c r="O106" s="11" t="n">
        <v>1</v>
      </c>
      <c r="P106" s="11">
        <f>SUM(C106:O106)</f>
        <v>13</v>
      </c>
      <c r="Q106" s="5">
        <f>P106/13</f>
        <v>1</v>
      </c>
      <c r="R106" s="4">
        <f>IFERROR(SUMPRODUCT(Calc!B106:N106,C106:O106)/P106,0)</f>
        <v>63.5584615384615</v>
      </c>
      <c r="S106" s="4">
        <f>Scoring!U106</f>
        <v>63.5584615384615</v>
      </c>
      <c r="T106" s="2" t="inlineStr">
        <is>
          <t>Diagnostic only; never an eligibility rule.</t>
        </is>
      </c>
    </row>
    <row r="107">
      <c r="A107" s="2" t="inlineStr">
        <is>
          <t>C4-106</t>
        </is>
      </c>
      <c r="B107" s="2" t="inlineStr">
        <is>
          <t>veraPDF</t>
        </is>
      </c>
      <c r="C107" s="11" t="n">
        <v>1</v>
      </c>
      <c r="D107" s="11" t="n">
        <v>1</v>
      </c>
      <c r="E107" s="11" t="n">
        <v>1</v>
      </c>
      <c r="F107" s="11" t="n">
        <v>1</v>
      </c>
      <c r="G107" s="11" t="n">
        <v>1</v>
      </c>
      <c r="H107" s="11" t="n">
        <v>1</v>
      </c>
      <c r="I107" s="11" t="n">
        <v>1</v>
      </c>
      <c r="J107" s="11" t="n">
        <v>1</v>
      </c>
      <c r="K107" s="11" t="n">
        <v>1</v>
      </c>
      <c r="L107" s="11" t="n">
        <v>1</v>
      </c>
      <c r="M107" s="11" t="n">
        <v>1</v>
      </c>
      <c r="N107" s="11" t="n">
        <v>1</v>
      </c>
      <c r="O107" s="11" t="n">
        <v>1</v>
      </c>
      <c r="P107" s="11">
        <f>SUM(C107:O107)</f>
        <v>13</v>
      </c>
      <c r="Q107" s="5">
        <f>P107/13</f>
        <v>1</v>
      </c>
      <c r="R107" s="4">
        <f>IFERROR(SUMPRODUCT(Calc!B107:N107,C107:O107)/P107,0)</f>
        <v>68.9261538461539</v>
      </c>
      <c r="S107" s="4">
        <f>Scoring!U107</f>
        <v>68.9261538461539</v>
      </c>
      <c r="T107" s="2" t="inlineStr">
        <is>
          <t>Diagnostic only; never an eligibility rule.</t>
        </is>
      </c>
    </row>
    <row r="108">
      <c r="A108" s="2" t="inlineStr">
        <is>
          <t>C4-107</t>
        </is>
      </c>
      <c r="B108" s="2" t="inlineStr">
        <is>
          <t>ViPER</t>
        </is>
      </c>
      <c r="C108" s="11" t="n">
        <v>1</v>
      </c>
      <c r="D108" s="11" t="n">
        <v>1</v>
      </c>
      <c r="E108" s="11" t="n">
        <v>1</v>
      </c>
      <c r="F108" s="11" t="n">
        <v>1</v>
      </c>
      <c r="G108" s="11" t="n">
        <v>1</v>
      </c>
      <c r="H108" s="11" t="n">
        <v>1</v>
      </c>
      <c r="I108" s="11" t="n">
        <v>1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1</v>
      </c>
      <c r="O108" s="11" t="n">
        <v>1</v>
      </c>
      <c r="P108" s="11">
        <f>SUM(C108:O108)</f>
        <v>9</v>
      </c>
      <c r="Q108" s="5">
        <f>P108/13</f>
        <v>0.692307692307692</v>
      </c>
      <c r="R108" s="4">
        <f>IFERROR(SUMPRODUCT(Calc!B108:N108,C108:O108)/P108,0)</f>
        <v>27.8522222222222</v>
      </c>
      <c r="S108" s="4">
        <f>Scoring!U108</f>
        <v>19.2823076923077</v>
      </c>
      <c r="T108" s="2" t="inlineStr">
        <is>
          <t>Diagnostic only; never an eligibility rule.</t>
        </is>
      </c>
    </row>
    <row r="109">
      <c r="A109" s="2" t="inlineStr">
        <is>
          <t>C4-108</t>
        </is>
      </c>
      <c r="B109" s="2" t="inlineStr">
        <is>
          <t>Vireo ETD</t>
        </is>
      </c>
      <c r="C109" s="11" t="n">
        <v>1</v>
      </c>
      <c r="D109" s="11" t="n">
        <v>1</v>
      </c>
      <c r="E109" s="11" t="n">
        <v>1</v>
      </c>
      <c r="F109" s="11" t="n">
        <v>1</v>
      </c>
      <c r="G109" s="11" t="n">
        <v>1</v>
      </c>
      <c r="H109" s="11" t="n">
        <v>1</v>
      </c>
      <c r="I109" s="11" t="n">
        <v>1</v>
      </c>
      <c r="J109" s="11" t="n">
        <v>1</v>
      </c>
      <c r="K109" s="11" t="n">
        <v>1</v>
      </c>
      <c r="L109" s="11" t="n">
        <v>1</v>
      </c>
      <c r="M109" s="11" t="n">
        <v>1</v>
      </c>
      <c r="N109" s="11" t="n">
        <v>1</v>
      </c>
      <c r="O109" s="11" t="n">
        <v>1</v>
      </c>
      <c r="P109" s="11">
        <f>SUM(C109:O109)</f>
        <v>13</v>
      </c>
      <c r="Q109" s="5">
        <f>P109/13</f>
        <v>1</v>
      </c>
      <c r="R109" s="4">
        <f>IFERROR(SUMPRODUCT(Calc!B109:N109,C109:O109)/P109,0)</f>
        <v>46.7069230769231</v>
      </c>
      <c r="S109" s="4">
        <f>Scoring!U109</f>
        <v>46.7069230769231</v>
      </c>
      <c r="T109" s="2" t="inlineStr">
        <is>
          <t>Diagnostic only; never an eligibility rule.</t>
        </is>
      </c>
    </row>
    <row r="110">
      <c r="A110" s="2" t="inlineStr">
        <is>
          <t>C4-109</t>
        </is>
      </c>
      <c r="B110" s="2" t="inlineStr">
        <is>
          <t>VIVO</t>
        </is>
      </c>
      <c r="C110" s="11" t="n">
        <v>1</v>
      </c>
      <c r="D110" s="11" t="n">
        <v>1</v>
      </c>
      <c r="E110" s="11" t="n">
        <v>1</v>
      </c>
      <c r="F110" s="11" t="n">
        <v>1</v>
      </c>
      <c r="G110" s="11" t="n">
        <v>1</v>
      </c>
      <c r="H110" s="11" t="n">
        <v>1</v>
      </c>
      <c r="I110" s="11" t="n">
        <v>1</v>
      </c>
      <c r="J110" s="11" t="n">
        <v>1</v>
      </c>
      <c r="K110" s="11" t="n">
        <v>1</v>
      </c>
      <c r="L110" s="11" t="n">
        <v>1</v>
      </c>
      <c r="M110" s="11" t="n">
        <v>1</v>
      </c>
      <c r="N110" s="11" t="n">
        <v>1</v>
      </c>
      <c r="O110" s="11" t="n">
        <v>1</v>
      </c>
      <c r="P110" s="11">
        <f>SUM(C110:O110)</f>
        <v>13</v>
      </c>
      <c r="Q110" s="5">
        <f>P110/13</f>
        <v>1</v>
      </c>
      <c r="R110" s="4">
        <f>IFERROR(SUMPRODUCT(Calc!B110:N110,C110:O110)/P110,0)</f>
        <v>58.8423076923077</v>
      </c>
      <c r="S110" s="4">
        <f>Scoring!U110</f>
        <v>58.8423076923077</v>
      </c>
      <c r="T110" s="2" t="inlineStr">
        <is>
          <t>Diagnostic only; never an eligibility rule.</t>
        </is>
      </c>
    </row>
    <row r="111">
      <c r="A111" s="2" t="inlineStr">
        <is>
          <t>C4-110</t>
        </is>
      </c>
      <c r="B111" s="2" t="inlineStr">
        <is>
          <t>VuFind®</t>
        </is>
      </c>
      <c r="C111" s="11" t="n">
        <v>1</v>
      </c>
      <c r="D111" s="11" t="n">
        <v>1</v>
      </c>
      <c r="E111" s="11" t="n">
        <v>1</v>
      </c>
      <c r="F111" s="11" t="n">
        <v>1</v>
      </c>
      <c r="G111" s="11" t="n">
        <v>1</v>
      </c>
      <c r="H111" s="11" t="n">
        <v>1</v>
      </c>
      <c r="I111" s="11" t="n">
        <v>1</v>
      </c>
      <c r="J111" s="11" t="n">
        <v>0</v>
      </c>
      <c r="K111" s="11" t="n">
        <v>1</v>
      </c>
      <c r="L111" s="11" t="n">
        <v>0</v>
      </c>
      <c r="M111" s="11" t="n">
        <v>1</v>
      </c>
      <c r="N111" s="11" t="n">
        <v>1</v>
      </c>
      <c r="O111" s="11" t="n">
        <v>1</v>
      </c>
      <c r="P111" s="11">
        <f>SUM(C111:O111)</f>
        <v>11</v>
      </c>
      <c r="Q111" s="5">
        <f>P111/13</f>
        <v>0.846153846153846</v>
      </c>
      <c r="R111" s="4">
        <f>IFERROR(SUMPRODUCT(Calc!B111:N111,C111:O111)/P111,0)</f>
        <v>90.9572727272727</v>
      </c>
      <c r="S111" s="4">
        <f>Scoring!U111</f>
        <v>76.9638461538461</v>
      </c>
      <c r="T111" s="2" t="inlineStr">
        <is>
          <t>Diagnostic only; never an eligibility rule.</t>
        </is>
      </c>
    </row>
    <row r="112">
      <c r="A112" s="2" t="inlineStr">
        <is>
          <t>C4-111</t>
        </is>
      </c>
      <c r="B112" s="2" t="inlineStr">
        <is>
          <t>Zenodo</t>
        </is>
      </c>
      <c r="C112" s="11" t="n">
        <v>1</v>
      </c>
      <c r="D112" s="11" t="n">
        <v>1</v>
      </c>
      <c r="E112" s="11" t="n">
        <v>1</v>
      </c>
      <c r="F112" s="11" t="n">
        <v>1</v>
      </c>
      <c r="G112" s="11" t="n">
        <v>1</v>
      </c>
      <c r="H112" s="11" t="n">
        <v>1</v>
      </c>
      <c r="I112" s="11" t="n">
        <v>1</v>
      </c>
      <c r="J112" s="11" t="n">
        <v>1</v>
      </c>
      <c r="K112" s="11" t="n">
        <v>1</v>
      </c>
      <c r="L112" s="11" t="n">
        <v>1</v>
      </c>
      <c r="M112" s="11" t="n">
        <v>1</v>
      </c>
      <c r="N112" s="11" t="n">
        <v>1</v>
      </c>
      <c r="O112" s="11" t="n">
        <v>1</v>
      </c>
      <c r="P112" s="11">
        <f>SUM(C112:O112)</f>
        <v>13</v>
      </c>
      <c r="Q112" s="5">
        <f>P112/13</f>
        <v>1</v>
      </c>
      <c r="R112" s="4">
        <f>IFERROR(SUMPRODUCT(Calc!B112:N112,C112:O112)/P112,0)</f>
        <v>70.2153846153846</v>
      </c>
      <c r="S112" s="4">
        <f>Scoring!U112</f>
        <v>70.2153846153846</v>
      </c>
      <c r="T112" s="2" t="inlineStr">
        <is>
          <t>Diagnostic only; never an eligibility rule.</t>
        </is>
      </c>
    </row>
    <row r="113">
      <c r="A113" s="2" t="inlineStr">
        <is>
          <t>C4-112</t>
        </is>
      </c>
      <c r="B113" s="2" t="inlineStr">
        <is>
          <t>Zotero</t>
        </is>
      </c>
      <c r="C113" s="11" t="n">
        <v>1</v>
      </c>
      <c r="D113" s="11" t="n">
        <v>1</v>
      </c>
      <c r="E113" s="11" t="n">
        <v>1</v>
      </c>
      <c r="F113" s="11" t="n">
        <v>1</v>
      </c>
      <c r="G113" s="11" t="n">
        <v>1</v>
      </c>
      <c r="H113" s="11" t="n">
        <v>1</v>
      </c>
      <c r="I113" s="11" t="n">
        <v>1</v>
      </c>
      <c r="J113" s="11" t="n">
        <v>1</v>
      </c>
      <c r="K113" s="11" t="n">
        <v>1</v>
      </c>
      <c r="L113" s="11" t="n">
        <v>1</v>
      </c>
      <c r="M113" s="11" t="n">
        <v>1</v>
      </c>
      <c r="N113" s="11" t="n">
        <v>1</v>
      </c>
      <c r="O113" s="11" t="n">
        <v>1</v>
      </c>
      <c r="P113" s="11">
        <f>SUM(C113:O113)</f>
        <v>13</v>
      </c>
      <c r="Q113" s="5">
        <f>P113/13</f>
        <v>1</v>
      </c>
      <c r="R113" s="4">
        <f>IFERROR(SUMPRODUCT(Calc!B113:N113,C113:O113)/P113,0)</f>
        <v>84.2138461538461</v>
      </c>
      <c r="S113" s="4">
        <f>Scoring!U113</f>
        <v>84.2138461538461</v>
      </c>
      <c r="T113" s="2" t="inlineStr">
        <is>
          <t>Diagnostic only; never an eligibility rule.</t>
        </is>
      </c>
    </row>
  </sheetData>
  <autoFilter ref="A1:T1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CECC9"/>
    <outlinePr summaryBelow="1" summaryRight="1"/>
    <pageSetUpPr/>
  </sheetPr>
  <dimension ref="A1:P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20" customWidth="1" min="4" max="4"/>
    <col width="34" customWidth="1" min="5" max="5"/>
    <col width="16" customWidth="1" min="6" max="6"/>
    <col width="66" customWidth="1" min="7" max="7"/>
    <col width="40" customWidth="1" min="8" max="8"/>
    <col width="18" customWidth="1" min="9" max="9"/>
    <col width="20" customWidth="1" min="10" max="10"/>
    <col width="23" customWidth="1" min="11" max="11"/>
    <col width="18" customWidth="1" min="12" max="12"/>
    <col width="18" customWidth="1" min="13" max="13"/>
    <col width="100" customWidth="1" min="14" max="14"/>
    <col width="22" customWidth="1" min="15" max="15"/>
    <col width="80" customWidth="1" min="16" max="16"/>
  </cols>
  <sheetData>
    <row r="1" ht="34" customHeight="1">
      <c r="A1" s="1" t="inlineStr">
        <is>
          <t>OISI ID</t>
        </is>
      </c>
      <c r="B1" s="1" t="inlineStr">
        <is>
          <t>Infrastructure</t>
        </is>
      </c>
      <c r="C1" s="1" t="inlineStr">
        <is>
          <t>Scored in register</t>
        </is>
      </c>
      <c r="D1" s="1" t="inlineStr">
        <is>
          <t>Classification</t>
        </is>
      </c>
      <c r="E1" s="1" t="inlineStr">
        <is>
          <t>Decision</t>
        </is>
      </c>
      <c r="F1" s="1" t="inlineStr">
        <is>
          <t>Host</t>
        </is>
      </c>
      <c r="G1" s="1" t="inlineStr">
        <is>
          <t>Primary repo(s)</t>
        </is>
      </c>
      <c r="H1" s="1" t="inlineStr">
        <is>
          <t>Issue tracker</t>
        </is>
      </c>
      <c r="I1" s="1" t="inlineStr">
        <is>
          <t>Git status</t>
        </is>
      </c>
      <c r="J1" s="1" t="inlineStr">
        <is>
          <t>GitHub/API status</t>
        </is>
      </c>
      <c r="K1" s="1" t="inlineStr">
        <is>
          <t>Manual m8/m10 populated</t>
        </is>
      </c>
      <c r="L1" s="1" t="inlineStr">
        <is>
          <t>Available metrics</t>
        </is>
      </c>
      <c r="M1" s="1" t="inlineStr">
        <is>
          <t>Observed coverage</t>
        </is>
      </c>
      <c r="N1" s="1" t="inlineStr">
        <is>
          <t>Data-quality notes</t>
        </is>
      </c>
      <c r="O1" s="1" t="inlineStr">
        <is>
          <t>Reviewer status</t>
        </is>
      </c>
      <c r="P1" s="1" t="inlineStr">
        <is>
          <t>Reviewer notes</t>
        </is>
      </c>
    </row>
    <row r="2">
      <c r="A2" s="2" t="inlineStr">
        <is>
          <t>C4-001</t>
        </is>
      </c>
      <c r="B2" s="2" t="inlineStr">
        <is>
          <t>2i2c</t>
        </is>
      </c>
      <c r="C2" s="2" t="inlineStr">
        <is>
          <t>yes</t>
        </is>
      </c>
      <c r="D2" s="2" t="inlineStr">
        <is>
          <t>software</t>
        </is>
      </c>
      <c r="E2" s="2" t="inlineStr">
        <is>
          <t>Ready</t>
        </is>
      </c>
      <c r="F2" s="2" t="inlineStr">
        <is>
          <t>github</t>
        </is>
      </c>
      <c r="G2" s="2" t="inlineStr">
        <is>
          <t>2i2c-org/infrastructure</t>
        </is>
      </c>
      <c r="H2" s="2" t="inlineStr">
        <is>
          <t>GitHub (same repo)</t>
        </is>
      </c>
      <c r="I2" s="2" t="inlineStr">
        <is>
          <t>complete</t>
        </is>
      </c>
      <c r="J2" s="2" t="inlineStr">
        <is>
          <t>complete</t>
        </is>
      </c>
      <c r="K2" s="2" t="inlineStr">
        <is>
          <t>No</t>
        </is>
      </c>
      <c r="L2" s="2" t="n">
        <v>13</v>
      </c>
      <c r="M2" s="5" t="n">
        <v>1</v>
      </c>
      <c r="N2" s="2" t="inlineStr">
        <is>
          <t>No missing metric inputs flagged by pipeline availability checks</t>
        </is>
      </c>
      <c r="O2" s="2" t="inlineStr"/>
      <c r="P2" s="2" t="inlineStr"/>
    </row>
    <row r="3">
      <c r="A3" s="2" t="inlineStr">
        <is>
          <t>C4-002</t>
        </is>
      </c>
      <c r="B3" s="2" t="inlineStr">
        <is>
          <t>Academic Preservation Trust (APTrust)</t>
        </is>
      </c>
      <c r="C3" s="2" t="inlineStr">
        <is>
          <t>yes</t>
        </is>
      </c>
      <c r="D3" s="2" t="inlineStr">
        <is>
          <t>software</t>
        </is>
      </c>
      <c r="E3" s="2" t="inlineStr">
        <is>
          <t>Ready</t>
        </is>
      </c>
      <c r="F3" s="2" t="inlineStr">
        <is>
          <t>github</t>
        </is>
      </c>
      <c r="G3" s="2" t="inlineStr">
        <is>
          <t>APTrust/registry</t>
        </is>
      </c>
      <c r="H3" s="2" t="inlineStr">
        <is>
          <t>GitHub (same repo)</t>
        </is>
      </c>
      <c r="I3" s="2" t="inlineStr">
        <is>
          <t>complete</t>
        </is>
      </c>
      <c r="J3" s="2" t="inlineStr">
        <is>
          <t>complete</t>
        </is>
      </c>
      <c r="K3" s="2" t="inlineStr">
        <is>
          <t>No</t>
        </is>
      </c>
      <c r="L3" s="2" t="n">
        <v>13</v>
      </c>
      <c r="M3" s="5" t="n">
        <v>1</v>
      </c>
      <c r="N3" s="2" t="inlineStr">
        <is>
          <t>No missing metric inputs flagged by pipeline availability checks</t>
        </is>
      </c>
      <c r="O3" s="2" t="inlineStr"/>
      <c r="P3" s="2" t="inlineStr"/>
    </row>
    <row r="4">
      <c r="A4" s="6" t="inlineStr">
        <is>
          <t>C4-003</t>
        </is>
      </c>
      <c r="B4" s="6" t="inlineStr">
        <is>
          <t>AfricArXiv</t>
        </is>
      </c>
      <c r="C4" s="6" t="inlineStr">
        <is>
          <t>no</t>
        </is>
      </c>
      <c r="D4" s="6" t="inlineStr">
        <is>
          <t>not-assessable</t>
        </is>
      </c>
      <c r="E4" s="6" t="inlineStr">
        <is>
          <t>Not assessable</t>
        </is>
      </c>
      <c r="F4" s="6" t="inlineStr"/>
      <c r="G4" s="6" t="inlineStr"/>
      <c r="H4" s="6" t="inlineStr"/>
      <c r="I4" s="6" t="n"/>
      <c r="J4" s="6" t="n"/>
      <c r="K4" s="6" t="inlineStr">
        <is>
          <t>No</t>
        </is>
      </c>
      <c r="L4" s="6" t="n">
        <v>0</v>
      </c>
      <c r="M4" s="8" t="n">
        <v>0</v>
      </c>
      <c r="N4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4" s="6" t="inlineStr"/>
      <c r="P4" s="6" t="inlineStr"/>
    </row>
    <row r="5">
      <c r="A5" s="2" t="inlineStr">
        <is>
          <t>C4-004</t>
        </is>
      </c>
      <c r="B5" s="2" t="inlineStr">
        <is>
          <t>Arches Heritage Data Management Platform</t>
        </is>
      </c>
      <c r="C5" s="2" t="inlineStr">
        <is>
          <t>yes</t>
        </is>
      </c>
      <c r="D5" s="2" t="inlineStr">
        <is>
          <t>software</t>
        </is>
      </c>
      <c r="E5" s="2" t="inlineStr">
        <is>
          <t>Ready</t>
        </is>
      </c>
      <c r="F5" s="2" t="inlineStr">
        <is>
          <t>github</t>
        </is>
      </c>
      <c r="G5" s="2" t="inlineStr">
        <is>
          <t>archesproject/arches</t>
        </is>
      </c>
      <c r="H5" s="2" t="inlineStr">
        <is>
          <t>GitHub (same repo)</t>
        </is>
      </c>
      <c r="I5" s="2" t="inlineStr">
        <is>
          <t>complete</t>
        </is>
      </c>
      <c r="J5" s="2" t="inlineStr">
        <is>
          <t>complete</t>
        </is>
      </c>
      <c r="K5" s="2" t="inlineStr">
        <is>
          <t>No</t>
        </is>
      </c>
      <c r="L5" s="2" t="n">
        <v>13</v>
      </c>
      <c r="M5" s="5" t="n">
        <v>1</v>
      </c>
      <c r="N5" s="2" t="inlineStr">
        <is>
          <t>No missing metric inputs flagged by pipeline availability checks</t>
        </is>
      </c>
      <c r="O5" s="2" t="inlineStr"/>
      <c r="P5" s="2" t="inlineStr"/>
    </row>
    <row r="6">
      <c r="A6" s="2" t="inlineStr">
        <is>
          <t>C4-005</t>
        </is>
      </c>
      <c r="B6" s="2" t="inlineStr">
        <is>
          <t>Archipelago Commons</t>
        </is>
      </c>
      <c r="C6" s="2" t="inlineStr">
        <is>
          <t>yes</t>
        </is>
      </c>
      <c r="D6" s="2" t="inlineStr">
        <is>
          <t>software</t>
        </is>
      </c>
      <c r="E6" s="2" t="inlineStr">
        <is>
          <t>Org URL -&gt; core module set</t>
        </is>
      </c>
      <c r="F6" s="2" t="inlineStr">
        <is>
          <t>github</t>
        </is>
      </c>
      <c r="G6" s="2" t="inlineStr">
        <is>
          <t>esmero/strawberryfield;esmero/format_strawberryfield;esmero/webform_strawberryfield;esmero/strawberry_runners;esmero/ami;esmero/archipelago-deployment</t>
        </is>
      </c>
      <c r="H6" s="2" t="inlineStr">
        <is>
          <t>GitHub: esmero/archipelago-deployment (85 open)</t>
        </is>
      </c>
      <c r="I6" s="2" t="inlineStr">
        <is>
          <t>complete</t>
        </is>
      </c>
      <c r="J6" s="2" t="inlineStr">
        <is>
          <t>complete</t>
        </is>
      </c>
      <c r="K6" s="2" t="inlineStr">
        <is>
          <t>No</t>
        </is>
      </c>
      <c r="L6" s="2" t="n">
        <v>11</v>
      </c>
      <c r="M6" s="5" t="n">
        <v>0.8461538461538461</v>
      </c>
      <c r="N6" s="2" t="inlineStr">
        <is>
          <t>m8_issue_response below minimum eligible sample (n=8); scored 0; m10_issue_close90 below minimum eligible sample (n=6); scored 0</t>
        </is>
      </c>
      <c r="O6" s="2" t="inlineStr"/>
      <c r="P6" s="2" t="inlineStr"/>
    </row>
    <row r="7">
      <c r="A7" s="2" t="inlineStr">
        <is>
          <t>C4-006</t>
        </is>
      </c>
      <c r="B7" s="2" t="inlineStr">
        <is>
          <t>Archival Resource Key</t>
        </is>
      </c>
      <c r="C7" s="2" t="inlineStr">
        <is>
          <t>yes</t>
        </is>
      </c>
      <c r="D7" s="2" t="inlineStr">
        <is>
          <t>standard</t>
        </is>
      </c>
      <c r="E7" s="2" t="inlineStr">
        <is>
          <t>Resolved URL -&gt; scoreable standard repo</t>
        </is>
      </c>
      <c r="F7" s="2" t="inlineStr">
        <is>
          <t>github</t>
        </is>
      </c>
      <c r="G7" s="2" t="inlineStr">
        <is>
          <t>arks-org/arks.github.io</t>
        </is>
      </c>
      <c r="H7" s="2" t="inlineStr">
        <is>
          <t>GitHub (same repo)</t>
        </is>
      </c>
      <c r="I7" s="2" t="inlineStr">
        <is>
          <t>complete</t>
        </is>
      </c>
      <c r="J7" s="2" t="n"/>
      <c r="K7" s="2" t="inlineStr">
        <is>
          <t>No</t>
        </is>
      </c>
      <c r="L7" s="2" t="n">
        <v>7</v>
      </c>
      <c r="M7" s="5" t="n">
        <v>0.5384615384615384</v>
      </c>
      <c r="N7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7" s="2" t="inlineStr"/>
      <c r="P7" s="2" t="inlineStr"/>
    </row>
    <row r="8">
      <c r="A8" s="2" t="inlineStr">
        <is>
          <t>C4-007</t>
        </is>
      </c>
      <c r="B8" s="2" t="inlineStr">
        <is>
          <t>Archivematica</t>
        </is>
      </c>
      <c r="C8" s="2" t="inlineStr">
        <is>
          <t>yes</t>
        </is>
      </c>
      <c r="D8" s="2" t="inlineStr">
        <is>
          <t>software</t>
        </is>
      </c>
      <c r="E8" s="2" t="inlineStr">
        <is>
          <t>Ready</t>
        </is>
      </c>
      <c r="F8" s="2" t="inlineStr">
        <is>
          <t>github</t>
        </is>
      </c>
      <c r="G8" s="2" t="inlineStr">
        <is>
          <t>artefactual/archivematica</t>
        </is>
      </c>
      <c r="H8" s="2" t="inlineStr">
        <is>
          <t>GitHub: archivematica/Issues</t>
        </is>
      </c>
      <c r="I8" s="2" t="inlineStr">
        <is>
          <t>complete</t>
        </is>
      </c>
      <c r="J8" s="2" t="inlineStr">
        <is>
          <t>complete</t>
        </is>
      </c>
      <c r="K8" s="2" t="inlineStr">
        <is>
          <t>No</t>
        </is>
      </c>
      <c r="L8" s="2" t="n">
        <v>13</v>
      </c>
      <c r="M8" s="5" t="n">
        <v>1</v>
      </c>
      <c r="N8" s="2" t="inlineStr">
        <is>
          <t>No missing metric inputs flagged by pipeline availability checks</t>
        </is>
      </c>
      <c r="O8" s="2" t="inlineStr"/>
      <c r="P8" s="2" t="inlineStr"/>
    </row>
    <row r="9">
      <c r="A9" s="2" t="inlineStr">
        <is>
          <t>C4-008</t>
        </is>
      </c>
      <c r="B9" s="2" t="inlineStr">
        <is>
          <t>ArchivesSpace</t>
        </is>
      </c>
      <c r="C9" s="2" t="inlineStr">
        <is>
          <t>yes</t>
        </is>
      </c>
      <c r="D9" s="2" t="inlineStr">
        <is>
          <t>software</t>
        </is>
      </c>
      <c r="E9" s="2" t="inlineStr">
        <is>
          <t>Ready</t>
        </is>
      </c>
      <c r="F9" s="2" t="inlineStr">
        <is>
          <t>github</t>
        </is>
      </c>
      <c r="G9" s="2" t="inlineStr">
        <is>
          <t>archivesspace/archivesspace</t>
        </is>
      </c>
      <c r="H9" s="2" t="inlineStr">
        <is>
          <t>GitHub (same repo); also development.archivesspace.org</t>
        </is>
      </c>
      <c r="I9" s="2" t="inlineStr">
        <is>
          <t>complete</t>
        </is>
      </c>
      <c r="J9" s="2" t="inlineStr">
        <is>
          <t>complete</t>
        </is>
      </c>
      <c r="K9" s="2" t="inlineStr">
        <is>
          <t>No</t>
        </is>
      </c>
      <c r="L9" s="2" t="n">
        <v>13</v>
      </c>
      <c r="M9" s="5" t="n">
        <v>1</v>
      </c>
      <c r="N9" s="2" t="inlineStr">
        <is>
          <t>No missing metric inputs flagged by pipeline availability checks</t>
        </is>
      </c>
      <c r="O9" s="2" t="inlineStr"/>
      <c r="P9" s="2" t="inlineStr"/>
    </row>
    <row r="10">
      <c r="A10" s="2" t="inlineStr">
        <is>
          <t>C4-009</t>
        </is>
      </c>
      <c r="B10" s="2" t="inlineStr">
        <is>
          <t>ARGOS</t>
        </is>
      </c>
      <c r="C10" s="2" t="inlineStr">
        <is>
          <t>yes</t>
        </is>
      </c>
      <c r="D10" s="2" t="inlineStr">
        <is>
          <t>software</t>
        </is>
      </c>
      <c r="E10" s="2" t="inlineStr">
        <is>
          <t>Keep (flag)</t>
        </is>
      </c>
      <c r="F10" s="2" t="inlineStr">
        <is>
          <t>github</t>
        </is>
      </c>
      <c r="G10" s="2" t="inlineStr">
        <is>
          <t>OpenCDMP/OpenCDMP</t>
        </is>
      </c>
      <c r="H10" s="2" t="inlineStr">
        <is>
          <t>GitHub (same repo, 3 open)</t>
        </is>
      </c>
      <c r="I10" s="2" t="inlineStr">
        <is>
          <t>complete</t>
        </is>
      </c>
      <c r="J10" s="2" t="inlineStr">
        <is>
          <t>complete</t>
        </is>
      </c>
      <c r="K10" s="2" t="inlineStr">
        <is>
          <t>No</t>
        </is>
      </c>
      <c r="L10" s="2" t="n">
        <v>9</v>
      </c>
      <c r="M10" s="5" t="n">
        <v>0.6923076923076923</v>
      </c>
      <c r="N10" s="2" t="inlineStr">
        <is>
          <t>m8_issue_response below minimum eligible sample (n=2); scored 0; m9_pr_response below minimum eligible sample (n=2); scored 0; m10_issue_close90 below minimum eligible sample (n=2); scored 0; m11_pr_decision30 below minimum eligible sample (n=2); scored 0</t>
        </is>
      </c>
      <c r="O10" s="2" t="inlineStr"/>
      <c r="P10" s="2" t="inlineStr"/>
    </row>
    <row r="11">
      <c r="A11" s="2" t="inlineStr">
        <is>
          <t>C4-010</t>
        </is>
      </c>
      <c r="B11" s="2" t="inlineStr">
        <is>
          <t>arXiv</t>
        </is>
      </c>
      <c r="C11" s="2" t="inlineStr">
        <is>
          <t>yes</t>
        </is>
      </c>
      <c r="D11" s="2" t="inlineStr">
        <is>
          <t>software</t>
        </is>
      </c>
      <c r="E11" s="2" t="inlineStr">
        <is>
          <t>Org URL -&gt; primary repo</t>
        </is>
      </c>
      <c r="F11" s="2" t="inlineStr">
        <is>
          <t>github</t>
        </is>
      </c>
      <c r="G11" s="2" t="inlineStr">
        <is>
          <t>arXiv/arxiv-browse</t>
        </is>
      </c>
      <c r="H11" s="2" t="inlineStr">
        <is>
          <t>GitHub (same repo)</t>
        </is>
      </c>
      <c r="I11" s="2" t="inlineStr">
        <is>
          <t>complete</t>
        </is>
      </c>
      <c r="J11" s="2" t="inlineStr">
        <is>
          <t>complete</t>
        </is>
      </c>
      <c r="K11" s="2" t="inlineStr">
        <is>
          <t>No</t>
        </is>
      </c>
      <c r="L11" s="2" t="n">
        <v>11</v>
      </c>
      <c r="M11" s="5" t="n">
        <v>0.8461538461538461</v>
      </c>
      <c r="N11" s="2" t="inlineStr">
        <is>
          <t>m8_issue_response below minimum eligible sample (n=5); scored 0; m10_issue_close90 below minimum eligible sample (n=5); scored 0</t>
        </is>
      </c>
      <c r="O11" s="2" t="inlineStr"/>
      <c r="P11" s="2" t="inlineStr"/>
    </row>
    <row r="12">
      <c r="A12" s="2" t="inlineStr">
        <is>
          <t>C4-011</t>
        </is>
      </c>
      <c r="B12" s="2" t="inlineStr">
        <is>
          <t>AtoM</t>
        </is>
      </c>
      <c r="C12" s="2" t="inlineStr">
        <is>
          <t>yes</t>
        </is>
      </c>
      <c r="D12" s="2" t="inlineStr">
        <is>
          <t>software</t>
        </is>
      </c>
      <c r="E12" s="2" t="inlineStr">
        <is>
          <t>Ready</t>
        </is>
      </c>
      <c r="F12" s="2" t="inlineStr">
        <is>
          <t>github</t>
        </is>
      </c>
      <c r="G12" s="2" t="inlineStr">
        <is>
          <t>artefactual/atom</t>
        </is>
      </c>
      <c r="H12" s="2" t="inlineStr">
        <is>
          <t>GitHub (same repo)</t>
        </is>
      </c>
      <c r="I12" s="2" t="inlineStr">
        <is>
          <t>complete</t>
        </is>
      </c>
      <c r="J12" s="2" t="inlineStr">
        <is>
          <t>complete</t>
        </is>
      </c>
      <c r="K12" s="2" t="inlineStr">
        <is>
          <t>No</t>
        </is>
      </c>
      <c r="L12" s="2" t="n">
        <v>13</v>
      </c>
      <c r="M12" s="5" t="n">
        <v>1</v>
      </c>
      <c r="N12" s="2" t="inlineStr">
        <is>
          <t>No missing metric inputs flagged by pipeline availability checks</t>
        </is>
      </c>
      <c r="O12" s="2" t="inlineStr"/>
      <c r="P12" s="2" t="inlineStr"/>
    </row>
    <row r="13">
      <c r="A13" s="2" t="inlineStr">
        <is>
          <t>C4-012</t>
        </is>
      </c>
      <c r="B13" s="2" t="inlineStr">
        <is>
          <t>Avalon Media System</t>
        </is>
      </c>
      <c r="C13" s="2" t="inlineStr">
        <is>
          <t>yes</t>
        </is>
      </c>
      <c r="D13" s="2" t="inlineStr">
        <is>
          <t>software</t>
        </is>
      </c>
      <c r="E13" s="2" t="inlineStr">
        <is>
          <t>Ready</t>
        </is>
      </c>
      <c r="F13" s="2" t="inlineStr">
        <is>
          <t>github</t>
        </is>
      </c>
      <c r="G13" s="2" t="inlineStr">
        <is>
          <t>avalonmediasystem/avalon</t>
        </is>
      </c>
      <c r="H13" s="2" t="inlineStr">
        <is>
          <t>GitHub (same repo)</t>
        </is>
      </c>
      <c r="I13" s="2" t="inlineStr">
        <is>
          <t>complete</t>
        </is>
      </c>
      <c r="J13" s="2" t="inlineStr">
        <is>
          <t>complete</t>
        </is>
      </c>
      <c r="K13" s="2" t="inlineStr">
        <is>
          <t>No</t>
        </is>
      </c>
      <c r="L13" s="2" t="n">
        <v>13</v>
      </c>
      <c r="M13" s="5" t="n">
        <v>1</v>
      </c>
      <c r="N13" s="2" t="inlineStr">
        <is>
          <t>No missing metric inputs flagged by pipeline availability checks</t>
        </is>
      </c>
      <c r="O13" s="2" t="inlineStr"/>
      <c r="P13" s="2" t="inlineStr"/>
    </row>
    <row r="14">
      <c r="A14" s="2" t="inlineStr">
        <is>
          <t>C4-013</t>
        </is>
      </c>
      <c r="B14" s="2" t="inlineStr">
        <is>
          <t>Biodiversity Heritage Library</t>
        </is>
      </c>
      <c r="C14" s="2" t="inlineStr">
        <is>
          <t>yes</t>
        </is>
      </c>
      <c r="D14" s="2" t="inlineStr">
        <is>
          <t>software</t>
        </is>
      </c>
      <c r="E14" s="2" t="inlineStr">
        <is>
          <t>Ready</t>
        </is>
      </c>
      <c r="F14" s="2" t="inlineStr">
        <is>
          <t>github</t>
        </is>
      </c>
      <c r="G14" s="2" t="inlineStr">
        <is>
          <t>gbhl/bhl-us</t>
        </is>
      </c>
      <c r="H14" s="2" t="inlineStr">
        <is>
          <t>Internal tracker (Gemini) - not public</t>
        </is>
      </c>
      <c r="I14" s="2" t="inlineStr">
        <is>
          <t>complete</t>
        </is>
      </c>
      <c r="J14" s="2" t="inlineStr">
        <is>
          <t>complete</t>
        </is>
      </c>
      <c r="K14" s="2" t="inlineStr">
        <is>
          <t>No</t>
        </is>
      </c>
      <c r="L14" s="2" t="n">
        <v>9</v>
      </c>
      <c r="M14" s="5" t="n">
        <v>0.6923076923076923</v>
      </c>
      <c r="N14" s="2" t="inlineStr">
        <is>
          <t>m8_issue_response unavailable; scored 0; m9_pr_response below minimum eligible sample (n=0); scored 0; m10_issue_close90 unavailable; scored 0; m11_pr_decision30 below minimum eligible sample (n=0); scored 0</t>
        </is>
      </c>
      <c r="O14" s="2" t="inlineStr"/>
      <c r="P14" s="2" t="inlineStr"/>
    </row>
    <row r="15">
      <c r="A15" s="6" t="inlineStr">
        <is>
          <t>C4-014</t>
        </is>
      </c>
      <c r="B15" s="6" t="inlineStr">
        <is>
          <t>bioRxiv</t>
        </is>
      </c>
      <c r="C15" s="6" t="inlineStr">
        <is>
          <t>no</t>
        </is>
      </c>
      <c r="D15" s="6" t="inlineStr">
        <is>
          <t>not-assessable</t>
        </is>
      </c>
      <c r="E15" s="6" t="inlineStr">
        <is>
          <t>Not assessable</t>
        </is>
      </c>
      <c r="F15" s="6" t="inlineStr"/>
      <c r="G15" s="6" t="inlineStr"/>
      <c r="H15" s="6" t="inlineStr"/>
      <c r="I15" s="6" t="n"/>
      <c r="J15" s="6" t="n"/>
      <c r="K15" s="6" t="inlineStr">
        <is>
          <t>No</t>
        </is>
      </c>
      <c r="L15" s="6" t="n">
        <v>0</v>
      </c>
      <c r="M15" s="8" t="n">
        <v>0</v>
      </c>
      <c r="N15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15" s="6" t="inlineStr"/>
      <c r="P15" s="6" t="inlineStr"/>
    </row>
    <row r="16">
      <c r="A16" s="2" t="inlineStr">
        <is>
          <t>C4-015</t>
        </is>
      </c>
      <c r="B16" s="2" t="inlineStr">
        <is>
          <t>BitCurator Environment</t>
        </is>
      </c>
      <c r="C16" s="2" t="inlineStr">
        <is>
          <t>yes</t>
        </is>
      </c>
      <c r="D16" s="2" t="inlineStr">
        <is>
          <t>software</t>
        </is>
      </c>
      <c r="E16" s="2" t="inlineStr">
        <is>
          <t>Ready</t>
        </is>
      </c>
      <c r="F16" s="2" t="inlineStr">
        <is>
          <t>github</t>
        </is>
      </c>
      <c r="G16" s="2" t="inlineStr">
        <is>
          <t>bitcurator/bitcurator-salt</t>
        </is>
      </c>
      <c r="H16" s="2" t="inlineStr">
        <is>
          <t>NONE on this repo; BitCurator uses bitcurator-distro / Google group</t>
        </is>
      </c>
      <c r="I16" s="2" t="inlineStr">
        <is>
          <t>complete</t>
        </is>
      </c>
      <c r="J16" s="2" t="inlineStr">
        <is>
          <t>complete</t>
        </is>
      </c>
      <c r="K16" s="2" t="inlineStr">
        <is>
          <t>No</t>
        </is>
      </c>
      <c r="L16" s="2" t="n">
        <v>9</v>
      </c>
      <c r="M16" s="5" t="n">
        <v>0.6923076923076923</v>
      </c>
      <c r="N16" s="2" t="inlineStr">
        <is>
          <t>m8_issue_response unavailable; scored 0; m9_pr_response below minimum eligible sample (n=1); scored 0; m10_issue_close90 unavailable; scored 0; m11_pr_decision30 below minimum eligible sample (n=1); scored 0</t>
        </is>
      </c>
      <c r="O16" s="2" t="inlineStr"/>
      <c r="P16" s="2" t="inlineStr"/>
    </row>
    <row r="17">
      <c r="A17" s="2" t="inlineStr">
        <is>
          <t>C4-016</t>
        </is>
      </c>
      <c r="B17" s="2" t="inlineStr">
        <is>
          <t>Blacklight</t>
        </is>
      </c>
      <c r="C17" s="2" t="inlineStr">
        <is>
          <t>yes</t>
        </is>
      </c>
      <c r="D17" s="2" t="inlineStr">
        <is>
          <t>software</t>
        </is>
      </c>
      <c r="E17" s="2" t="inlineStr">
        <is>
          <t>Org URL -&gt; primary repo</t>
        </is>
      </c>
      <c r="F17" s="2" t="inlineStr">
        <is>
          <t>github</t>
        </is>
      </c>
      <c r="G17" s="2" t="inlineStr">
        <is>
          <t>projectblacklight/blacklight</t>
        </is>
      </c>
      <c r="H17" s="2" t="inlineStr">
        <is>
          <t>GitHub (same repo)</t>
        </is>
      </c>
      <c r="I17" s="2" t="inlineStr">
        <is>
          <t>complete</t>
        </is>
      </c>
      <c r="J17" s="2" t="inlineStr">
        <is>
          <t>complete</t>
        </is>
      </c>
      <c r="K17" s="2" t="inlineStr">
        <is>
          <t>No</t>
        </is>
      </c>
      <c r="L17" s="2" t="n">
        <v>13</v>
      </c>
      <c r="M17" s="5" t="n">
        <v>1</v>
      </c>
      <c r="N17" s="2" t="inlineStr">
        <is>
          <t>No missing metric inputs flagged by pipeline availability checks</t>
        </is>
      </c>
      <c r="O17" s="2" t="inlineStr"/>
      <c r="P17" s="2" t="inlineStr"/>
    </row>
    <row r="18">
      <c r="A18" s="2" t="inlineStr">
        <is>
          <t>C4-017</t>
        </is>
      </c>
      <c r="B18" s="2" t="inlineStr">
        <is>
          <t>BrCRIS</t>
        </is>
      </c>
      <c r="C18" s="2" t="inlineStr">
        <is>
          <t>yes</t>
        </is>
      </c>
      <c r="D18" s="2" t="inlineStr">
        <is>
          <t>software</t>
        </is>
      </c>
      <c r="E18" s="2" t="inlineStr">
        <is>
          <t>Resolved URL</t>
        </is>
      </c>
      <c r="F18" s="2" t="inlineStr">
        <is>
          <t>github</t>
        </is>
      </c>
      <c r="G18" s="2" t="inlineStr">
        <is>
          <t>brcris-ibict/brcris-interface-busca</t>
        </is>
      </c>
      <c r="H18" s="2" t="inlineStr">
        <is>
          <t>GitHub (same repo)</t>
        </is>
      </c>
      <c r="I18" s="2" t="inlineStr">
        <is>
          <t>complete</t>
        </is>
      </c>
      <c r="J18" s="2" t="n"/>
      <c r="K18" s="2" t="inlineStr">
        <is>
          <t>No</t>
        </is>
      </c>
      <c r="L18" s="2" t="n">
        <v>7</v>
      </c>
      <c r="M18" s="5" t="n">
        <v>0.5384615384615384</v>
      </c>
      <c r="N18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18" s="2" t="inlineStr"/>
      <c r="P18" s="2" t="inlineStr"/>
    </row>
    <row r="19">
      <c r="A19" s="2" t="inlineStr">
        <is>
          <t>C4-018</t>
        </is>
      </c>
      <c r="B19" s="2" t="inlineStr">
        <is>
          <t>Browsertrix</t>
        </is>
      </c>
      <c r="C19" s="2" t="inlineStr">
        <is>
          <t>yes</t>
        </is>
      </c>
      <c r="D19" s="2" t="inlineStr">
        <is>
          <t>software</t>
        </is>
      </c>
      <c r="E19" s="2" t="inlineStr">
        <is>
          <t>Ready</t>
        </is>
      </c>
      <c r="F19" s="2" t="inlineStr">
        <is>
          <t>github</t>
        </is>
      </c>
      <c r="G19" s="2" t="inlineStr">
        <is>
          <t>webrecorder/browsertrix</t>
        </is>
      </c>
      <c r="H19" s="2" t="inlineStr">
        <is>
          <t>GitHub (same repo)</t>
        </is>
      </c>
      <c r="I19" s="2" t="inlineStr">
        <is>
          <t>complete</t>
        </is>
      </c>
      <c r="J19" s="2" t="inlineStr">
        <is>
          <t>complete</t>
        </is>
      </c>
      <c r="K19" s="2" t="inlineStr">
        <is>
          <t>No</t>
        </is>
      </c>
      <c r="L19" s="2" t="n">
        <v>13</v>
      </c>
      <c r="M19" s="5" t="n">
        <v>1</v>
      </c>
      <c r="N19" s="2" t="inlineStr">
        <is>
          <t>No missing metric inputs flagged by pipeline availability checks</t>
        </is>
      </c>
      <c r="O19" s="2" t="inlineStr"/>
      <c r="P19" s="2" t="inlineStr"/>
    </row>
    <row r="20">
      <c r="A20" s="2" t="inlineStr">
        <is>
          <t>C4-019</t>
        </is>
      </c>
      <c r="B20" s="2" t="inlineStr">
        <is>
          <t>CLOCKSS</t>
        </is>
      </c>
      <c r="C20" s="2" t="inlineStr">
        <is>
          <t>yes</t>
        </is>
      </c>
      <c r="D20" s="2" t="inlineStr">
        <is>
          <t>software</t>
        </is>
      </c>
      <c r="E20" s="2" t="inlineStr">
        <is>
          <t>Org URL -&gt; primary repo</t>
        </is>
      </c>
      <c r="F20" s="2" t="inlineStr">
        <is>
          <t>github</t>
        </is>
      </c>
      <c r="G20" s="2" t="inlineStr">
        <is>
          <t>lockss/lockss-daemon</t>
        </is>
      </c>
      <c r="H20" s="2" t="inlineStr">
        <is>
          <t>GitHub (2 open) - likely internal tracker</t>
        </is>
      </c>
      <c r="I20" s="2" t="inlineStr">
        <is>
          <t>complete</t>
        </is>
      </c>
      <c r="J20" s="2" t="inlineStr">
        <is>
          <t>complete</t>
        </is>
      </c>
      <c r="K20" s="2" t="inlineStr">
        <is>
          <t>No</t>
        </is>
      </c>
      <c r="L20" s="2" t="n">
        <v>9</v>
      </c>
      <c r="M20" s="5" t="n">
        <v>0.6923076923076923</v>
      </c>
      <c r="N20" s="2" t="inlineStr">
        <is>
          <t>m8_issue_response below minimum eligible sample (n=0); scored 0; m9_pr_response below minimum eligible sample (n=1); scored 0; m10_issue_close90 below minimum eligible sample (n=0); scored 0; m11_pr_decision30 below minimum eligible sample (n=1); scored 0</t>
        </is>
      </c>
      <c r="O20" s="2" t="inlineStr"/>
      <c r="P20" s="2" t="inlineStr"/>
    </row>
    <row r="21">
      <c r="A21" s="2" t="inlineStr">
        <is>
          <t>C4-020</t>
        </is>
      </c>
      <c r="B21" s="2" t="inlineStr">
        <is>
          <t>COAR International Repository Directory (IRD)</t>
        </is>
      </c>
      <c r="C21" s="2" t="inlineStr">
        <is>
          <t>yes</t>
        </is>
      </c>
      <c r="D21" s="2" t="inlineStr">
        <is>
          <t>software</t>
        </is>
      </c>
      <c r="E21" s="2" t="inlineStr">
        <is>
          <t>Ready</t>
        </is>
      </c>
      <c r="F21" s="2" t="inlineStr">
        <is>
          <t>github</t>
        </is>
      </c>
      <c r="G21" s="2" t="inlineStr">
        <is>
          <t>antleaf/IRD</t>
        </is>
      </c>
      <c r="H21" s="2" t="inlineStr">
        <is>
          <t>GitHub (same repo)</t>
        </is>
      </c>
      <c r="I21" s="2" t="inlineStr">
        <is>
          <t>complete</t>
        </is>
      </c>
      <c r="J21" s="2" t="inlineStr">
        <is>
          <t>complete</t>
        </is>
      </c>
      <c r="K21" s="2" t="inlineStr">
        <is>
          <t>No</t>
        </is>
      </c>
      <c r="L21" s="2" t="n">
        <v>11</v>
      </c>
      <c r="M21" s="5" t="n">
        <v>0.8461538461538461</v>
      </c>
      <c r="N21" s="2" t="inlineStr">
        <is>
          <t>m9_pr_response below minimum eligible sample (n=6); scored 0; m11_pr_decision30 below minimum eligible sample (n=6); scored 0</t>
        </is>
      </c>
      <c r="O21" s="2" t="inlineStr"/>
      <c r="P21" s="2" t="inlineStr"/>
    </row>
    <row r="22">
      <c r="A22" s="2" t="inlineStr">
        <is>
          <t>C4-021</t>
        </is>
      </c>
      <c r="B22" s="2" t="inlineStr">
        <is>
          <t>COAR Notify</t>
        </is>
      </c>
      <c r="C22" s="2" t="inlineStr">
        <is>
          <t>yes</t>
        </is>
      </c>
      <c r="D22" s="2" t="inlineStr">
        <is>
          <t>software</t>
        </is>
      </c>
      <c r="E22" s="2" t="inlineStr">
        <is>
          <t>Ready</t>
        </is>
      </c>
      <c r="F22" s="2" t="inlineStr">
        <is>
          <t>github</t>
        </is>
      </c>
      <c r="G22" s="2" t="inlineStr">
        <is>
          <t>coar-notify/coar-notify.net</t>
        </is>
      </c>
      <c r="H22" s="2" t="inlineStr">
        <is>
          <t>GitHub (same repo)</t>
        </is>
      </c>
      <c r="I22" s="2" t="inlineStr">
        <is>
          <t>complete</t>
        </is>
      </c>
      <c r="J22" s="2" t="inlineStr">
        <is>
          <t>complete</t>
        </is>
      </c>
      <c r="K22" s="2" t="inlineStr">
        <is>
          <t>No</t>
        </is>
      </c>
      <c r="L22" s="2" t="n">
        <v>9</v>
      </c>
      <c r="M22" s="5" t="n">
        <v>0.6923076923076923</v>
      </c>
      <c r="N22" s="2" t="inlineStr">
        <is>
          <t>m8_issue_response below minimum eligible sample (n=3); scored 0; m9_pr_response below minimum eligible sample (n=3); scored 0; m10_issue_close90 below minimum eligible sample (n=3); scored 0; m11_pr_decision30 below minimum eligible sample (n=3); scored 0</t>
        </is>
      </c>
      <c r="O22" s="2" t="inlineStr"/>
      <c r="P22" s="2" t="inlineStr"/>
    </row>
    <row r="23">
      <c r="A23" s="2" t="inlineStr">
        <is>
          <t>C4-022</t>
        </is>
      </c>
      <c r="B23" s="2" t="inlineStr">
        <is>
          <t>CollectiveAccess</t>
        </is>
      </c>
      <c r="C23" s="2" t="inlineStr">
        <is>
          <t>yes</t>
        </is>
      </c>
      <c r="D23" s="2" t="inlineStr">
        <is>
          <t>software</t>
        </is>
      </c>
      <c r="E23" s="2" t="inlineStr">
        <is>
          <t>Org URL -&gt; primary repo</t>
        </is>
      </c>
      <c r="F23" s="2" t="inlineStr">
        <is>
          <t>github</t>
        </is>
      </c>
      <c r="G23" s="2" t="inlineStr">
        <is>
          <t>collectiveaccess/providence</t>
        </is>
      </c>
      <c r="H23" s="2" t="inlineStr">
        <is>
          <t>GitHub (same repo)</t>
        </is>
      </c>
      <c r="I23" s="2" t="inlineStr">
        <is>
          <t>complete</t>
        </is>
      </c>
      <c r="J23" s="2" t="inlineStr">
        <is>
          <t>complete</t>
        </is>
      </c>
      <c r="K23" s="2" t="inlineStr">
        <is>
          <t>No</t>
        </is>
      </c>
      <c r="L23" s="2" t="n">
        <v>13</v>
      </c>
      <c r="M23" s="5" t="n">
        <v>1</v>
      </c>
      <c r="N23" s="2" t="inlineStr">
        <is>
          <t>No missing metric inputs flagged by pipeline availability checks</t>
        </is>
      </c>
      <c r="O23" s="2" t="inlineStr"/>
      <c r="P23" s="2" t="inlineStr"/>
    </row>
    <row r="24">
      <c r="A24" s="2" t="inlineStr">
        <is>
          <t>C4-023</t>
        </is>
      </c>
      <c r="B24" s="2" t="inlineStr">
        <is>
          <t>CORE</t>
        </is>
      </c>
      <c r="C24" s="2" t="inlineStr">
        <is>
          <t>yes</t>
        </is>
      </c>
      <c r="D24" s="2" t="inlineStr">
        <is>
          <t>software</t>
        </is>
      </c>
      <c r="E24" s="2" t="inlineStr">
        <is>
          <t>Resolved URL</t>
        </is>
      </c>
      <c r="F24" s="2" t="inlineStr">
        <is>
          <t>github</t>
        </is>
      </c>
      <c r="G24" s="2" t="inlineStr">
        <is>
          <t>oacore/dashboard</t>
        </is>
      </c>
      <c r="H24" s="2" t="inlineStr">
        <is>
          <t>GitHub (same repo)</t>
        </is>
      </c>
      <c r="I24" s="2" t="inlineStr">
        <is>
          <t>complete</t>
        </is>
      </c>
      <c r="J24" s="2" t="n"/>
      <c r="K24" s="2" t="inlineStr">
        <is>
          <t>No</t>
        </is>
      </c>
      <c r="L24" s="2" t="n">
        <v>7</v>
      </c>
      <c r="M24" s="5" t="n">
        <v>0.5384615384615384</v>
      </c>
      <c r="N24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24" s="2" t="inlineStr"/>
      <c r="P24" s="2" t="inlineStr"/>
    </row>
    <row r="25">
      <c r="A25" s="2" t="inlineStr">
        <is>
          <t>C4-024</t>
        </is>
      </c>
      <c r="B25" s="2" t="inlineStr">
        <is>
          <t>COUNTER Code of Practice</t>
        </is>
      </c>
      <c r="C25" s="2" t="inlineStr">
        <is>
          <t>yes</t>
        </is>
      </c>
      <c r="D25" s="2" t="inlineStr">
        <is>
          <t>standard</t>
        </is>
      </c>
      <c r="E25" s="2" t="inlineStr">
        <is>
          <t>Resolved URL -&gt; scoreable standard repo</t>
        </is>
      </c>
      <c r="F25" s="2" t="inlineStr">
        <is>
          <t>github</t>
        </is>
      </c>
      <c r="G25" s="2" t="inlineStr">
        <is>
          <t>Project-Counter/cop5</t>
        </is>
      </c>
      <c r="H25" s="2" t="inlineStr">
        <is>
          <t>GitHub (same repo)</t>
        </is>
      </c>
      <c r="I25" s="2" t="inlineStr">
        <is>
          <t>complete</t>
        </is>
      </c>
      <c r="J25" s="2" t="n"/>
      <c r="K25" s="2" t="inlineStr">
        <is>
          <t>No</t>
        </is>
      </c>
      <c r="L25" s="2" t="n">
        <v>7</v>
      </c>
      <c r="M25" s="5" t="n">
        <v>0.5384615384615384</v>
      </c>
      <c r="N25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25" s="2" t="inlineStr"/>
      <c r="P25" s="2" t="inlineStr"/>
    </row>
    <row r="26">
      <c r="A26" s="2" t="inlineStr">
        <is>
          <t>C4-025</t>
        </is>
      </c>
      <c r="B26" s="2" t="inlineStr">
        <is>
          <t>Creative Commons Licenses</t>
        </is>
      </c>
      <c r="C26" s="2" t="inlineStr">
        <is>
          <t>yes</t>
        </is>
      </c>
      <c r="D26" s="2" t="inlineStr">
        <is>
          <t>software</t>
        </is>
      </c>
      <c r="E26" s="2" t="inlineStr">
        <is>
          <t>Org URL -&gt; primary repo</t>
        </is>
      </c>
      <c r="F26" s="2" t="inlineStr">
        <is>
          <t>github</t>
        </is>
      </c>
      <c r="G26" s="2" t="inlineStr">
        <is>
          <t>creativecommons/cc-legal-tools-app</t>
        </is>
      </c>
      <c r="H26" s="2" t="inlineStr">
        <is>
          <t>GitHub (same repo)</t>
        </is>
      </c>
      <c r="I26" s="2" t="inlineStr">
        <is>
          <t>complete</t>
        </is>
      </c>
      <c r="J26" s="2" t="inlineStr">
        <is>
          <t>complete</t>
        </is>
      </c>
      <c r="K26" s="2" t="inlineStr">
        <is>
          <t>No</t>
        </is>
      </c>
      <c r="L26" s="2" t="n">
        <v>13</v>
      </c>
      <c r="M26" s="5" t="n">
        <v>1</v>
      </c>
      <c r="N26" s="2" t="inlineStr">
        <is>
          <t>No missing metric inputs flagged by pipeline availability checks</t>
        </is>
      </c>
      <c r="O26" s="2" t="inlineStr"/>
      <c r="P26" s="2" t="inlineStr"/>
    </row>
    <row r="27">
      <c r="A27" s="2" t="inlineStr">
        <is>
          <t>C4-026</t>
        </is>
      </c>
      <c r="B27" s="2" t="inlineStr">
        <is>
          <t>Crossref Metadata Retrieval</t>
        </is>
      </c>
      <c r="C27" s="2" t="inlineStr">
        <is>
          <t>yes</t>
        </is>
      </c>
      <c r="D27" s="2" t="inlineStr">
        <is>
          <t>software</t>
        </is>
      </c>
      <c r="E27" s="2" t="inlineStr">
        <is>
          <t>Non-GitHub (verify repo)</t>
        </is>
      </c>
      <c r="F27" s="2" t="inlineStr">
        <is>
          <t>gitlab</t>
        </is>
      </c>
      <c r="G27" s="2" t="inlineStr">
        <is>
          <t>https://gitlab.com/crossref/rest_api</t>
        </is>
      </c>
      <c r="H27" s="2" t="inlineStr">
        <is>
          <t>GitLab (same project)</t>
        </is>
      </c>
      <c r="I27" s="2" t="inlineStr">
        <is>
          <t>complete</t>
        </is>
      </c>
      <c r="J27" s="2" t="inlineStr">
        <is>
          <t>no GitHub source</t>
        </is>
      </c>
      <c r="K27" s="2" t="inlineStr">
        <is>
          <t>No</t>
        </is>
      </c>
      <c r="L27" s="2" t="n">
        <v>7</v>
      </c>
      <c r="M27" s="5" t="n">
        <v>0.5384615384615384</v>
      </c>
      <c r="N27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27" s="2" t="inlineStr"/>
      <c r="P27" s="2" t="inlineStr"/>
    </row>
    <row r="28">
      <c r="A28" s="6" t="inlineStr">
        <is>
          <t>C4-027</t>
        </is>
      </c>
      <c r="B28" s="6" t="inlineStr">
        <is>
          <t>D4Science Infrastructure</t>
        </is>
      </c>
      <c r="C28" s="6" t="inlineStr">
        <is>
          <t>no</t>
        </is>
      </c>
      <c r="D28" s="6" t="inlineStr">
        <is>
          <t>needs-decision</t>
        </is>
      </c>
      <c r="E28" s="6" t="inlineStr">
        <is>
          <t>Non-GitHub: choose repo</t>
        </is>
      </c>
      <c r="F28" s="6" t="inlineStr">
        <is>
          <t>gitea</t>
        </is>
      </c>
      <c r="G28" s="6" t="inlineStr"/>
      <c r="H28" s="6" t="inlineStr"/>
      <c r="I28" s="6" t="n"/>
      <c r="J28" s="6" t="n"/>
      <c r="K28" s="6" t="inlineStr">
        <is>
          <t>No</t>
        </is>
      </c>
      <c r="L28" s="6" t="n">
        <v>0</v>
      </c>
      <c r="M28" s="8" t="n">
        <v>0</v>
      </c>
      <c r="N28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28" s="6" t="inlineStr"/>
      <c r="P28" s="6" t="inlineStr"/>
    </row>
    <row r="29">
      <c r="A29" s="2" t="inlineStr">
        <is>
          <t>C4-028</t>
        </is>
      </c>
      <c r="B29" s="2" t="inlineStr">
        <is>
          <t>DART (Digital Archivist's Resource Tool)</t>
        </is>
      </c>
      <c r="C29" s="2" t="inlineStr">
        <is>
          <t>yes</t>
        </is>
      </c>
      <c r="D29" s="2" t="inlineStr">
        <is>
          <t>software</t>
        </is>
      </c>
      <c r="E29" s="2" t="inlineStr">
        <is>
          <t>Ready</t>
        </is>
      </c>
      <c r="F29" s="2" t="inlineStr">
        <is>
          <t>github</t>
        </is>
      </c>
      <c r="G29" s="2" t="inlineStr">
        <is>
          <t>aptrust/dart</t>
        </is>
      </c>
      <c r="H29" s="2" t="inlineStr">
        <is>
          <t>GitHub (same repo)</t>
        </is>
      </c>
      <c r="I29" s="2" t="inlineStr">
        <is>
          <t>complete</t>
        </is>
      </c>
      <c r="J29" s="2" t="inlineStr">
        <is>
          <t>complete</t>
        </is>
      </c>
      <c r="K29" s="2" t="inlineStr">
        <is>
          <t>No</t>
        </is>
      </c>
      <c r="L29" s="2" t="n">
        <v>11</v>
      </c>
      <c r="M29" s="5" t="n">
        <v>0.8461538461538461</v>
      </c>
      <c r="N29" s="2" t="inlineStr">
        <is>
          <t>m9_pr_response below minimum eligible sample (n=6); scored 0; m11_pr_decision30 below minimum eligible sample (n=5); scored 0</t>
        </is>
      </c>
      <c r="O29" s="2" t="inlineStr"/>
      <c r="P29" s="2" t="inlineStr"/>
    </row>
    <row r="30">
      <c r="A30" s="2" t="inlineStr">
        <is>
          <t>C4-029</t>
        </is>
      </c>
      <c r="B30" s="2" t="inlineStr">
        <is>
          <t>Database Information System</t>
        </is>
      </c>
      <c r="C30" s="2" t="inlineStr">
        <is>
          <t>yes</t>
        </is>
      </c>
      <c r="D30" s="2" t="inlineStr">
        <is>
          <t>software</t>
        </is>
      </c>
      <c r="E30" s="2" t="inlineStr">
        <is>
          <t>Keep (dormant/new)</t>
        </is>
      </c>
      <c r="F30" s="2" t="inlineStr">
        <is>
          <t>github</t>
        </is>
      </c>
      <c r="G30" s="2" t="inlineStr">
        <is>
          <t>ub-regensburg/dbis</t>
        </is>
      </c>
      <c r="H30" s="2" t="inlineStr">
        <is>
          <t>GitHub (0 open)</t>
        </is>
      </c>
      <c r="I30" s="2" t="inlineStr">
        <is>
          <t>complete</t>
        </is>
      </c>
      <c r="J30" s="2" t="inlineStr">
        <is>
          <t>complete</t>
        </is>
      </c>
      <c r="K30" s="2" t="inlineStr">
        <is>
          <t>No</t>
        </is>
      </c>
      <c r="L30" s="2" t="n">
        <v>9</v>
      </c>
      <c r="M30" s="5" t="n">
        <v>0.6923076923076923</v>
      </c>
      <c r="N30" s="2" t="inlineStr">
        <is>
          <t>m8_issue_response below minimum eligible sample (n=0); scored 0; m9_pr_response below minimum eligible sample (n=0); scored 0; m10_issue_close90 below minimum eligible sample (n=0); scored 0; m11_pr_decision30 below minimum eligible sample (n=0); scored 0</t>
        </is>
      </c>
      <c r="O30" s="2" t="inlineStr"/>
      <c r="P30" s="2" t="inlineStr"/>
    </row>
    <row r="31">
      <c r="A31" s="2" t="inlineStr">
        <is>
          <t>C4-030</t>
        </is>
      </c>
      <c r="B31" s="2" t="inlineStr">
        <is>
          <t>Data Citation Corpus</t>
        </is>
      </c>
      <c r="C31" s="2" t="inlineStr">
        <is>
          <t>yes</t>
        </is>
      </c>
      <c r="D31" s="2" t="inlineStr">
        <is>
          <t>software</t>
        </is>
      </c>
      <c r="E31" s="2" t="inlineStr">
        <is>
          <t>Keep</t>
        </is>
      </c>
      <c r="F31" s="2" t="inlineStr">
        <is>
          <t>github</t>
        </is>
      </c>
      <c r="G31" s="2" t="inlineStr">
        <is>
          <t>Make-Data-Count-Community/corpus-data-file</t>
        </is>
      </c>
      <c r="H31" s="2" t="inlineStr">
        <is>
          <t>GitHub (same repo)</t>
        </is>
      </c>
      <c r="I31" s="2" t="inlineStr">
        <is>
          <t>complete</t>
        </is>
      </c>
      <c r="J31" s="2" t="inlineStr">
        <is>
          <t>complete</t>
        </is>
      </c>
      <c r="K31" s="2" t="inlineStr">
        <is>
          <t>No</t>
        </is>
      </c>
      <c r="L31" s="2" t="n">
        <v>9</v>
      </c>
      <c r="M31" s="5" t="n">
        <v>0.6923076923076923</v>
      </c>
      <c r="N31" s="2" t="inlineStr">
        <is>
          <t>m8_issue_response below minimum eligible sample (n=0); scored 0; m9_pr_response below minimum eligible sample (n=0); scored 0; m10_issue_close90 below minimum eligible sample (n=0); scored 0; m11_pr_decision30 below minimum eligible sample (n=0); scored 0</t>
        </is>
      </c>
      <c r="O31" s="2" t="inlineStr"/>
      <c r="P31" s="2" t="inlineStr"/>
    </row>
    <row r="32">
      <c r="A32" s="2" t="inlineStr">
        <is>
          <t>C4-031</t>
        </is>
      </c>
      <c r="B32" s="2" t="inlineStr">
        <is>
          <t>DataCite</t>
        </is>
      </c>
      <c r="C32" s="2" t="inlineStr">
        <is>
          <t>yes</t>
        </is>
      </c>
      <c r="D32" s="2" t="inlineStr">
        <is>
          <t>software</t>
        </is>
      </c>
      <c r="E32" s="2" t="inlineStr">
        <is>
          <t>Org URL -&gt; primary repo</t>
        </is>
      </c>
      <c r="F32" s="2" t="inlineStr">
        <is>
          <t>github</t>
        </is>
      </c>
      <c r="G32" s="2" t="inlineStr">
        <is>
          <t>datacite/lupo</t>
        </is>
      </c>
      <c r="H32" s="2" t="inlineStr">
        <is>
          <t>GitHub (same repo); org-level datacite/datacite repo idle since 2024</t>
        </is>
      </c>
      <c r="I32" s="2" t="inlineStr">
        <is>
          <t>complete</t>
        </is>
      </c>
      <c r="J32" s="2" t="inlineStr">
        <is>
          <t>complete</t>
        </is>
      </c>
      <c r="K32" s="2" t="inlineStr">
        <is>
          <t>No</t>
        </is>
      </c>
      <c r="L32" s="2" t="n">
        <v>13</v>
      </c>
      <c r="M32" s="5" t="n">
        <v>1</v>
      </c>
      <c r="N32" s="2" t="inlineStr">
        <is>
          <t>No missing metric inputs flagged by pipeline availability checks</t>
        </is>
      </c>
      <c r="O32" s="2" t="inlineStr"/>
      <c r="P32" s="2" t="inlineStr"/>
    </row>
    <row r="33">
      <c r="A33" s="2" t="inlineStr">
        <is>
          <t>C4-032</t>
        </is>
      </c>
      <c r="B33" s="2" t="inlineStr">
        <is>
          <t>Data Stewardship Wizard</t>
        </is>
      </c>
      <c r="C33" s="2" t="inlineStr">
        <is>
          <t>yes</t>
        </is>
      </c>
      <c r="D33" s="2" t="inlineStr">
        <is>
          <t>software</t>
        </is>
      </c>
      <c r="E33" s="2" t="inlineStr">
        <is>
          <t>Org URL -&gt; product set</t>
        </is>
      </c>
      <c r="F33" s="2" t="inlineStr">
        <is>
          <t>github</t>
        </is>
      </c>
      <c r="G33" s="2" t="inlineStr">
        <is>
          <t>ds-wizard/engine-backend;ds-wizard/engine-frontend</t>
        </is>
      </c>
      <c r="H33" s="2" t="inlineStr">
        <is>
          <t>GitHub: ds-wizard/ds-wizard (bug reports); ideas.ds-wizard.org for features</t>
        </is>
      </c>
      <c r="I33" s="2" t="inlineStr">
        <is>
          <t>complete</t>
        </is>
      </c>
      <c r="J33" s="2" t="inlineStr">
        <is>
          <t>complete</t>
        </is>
      </c>
      <c r="K33" s="2" t="inlineStr">
        <is>
          <t>No</t>
        </is>
      </c>
      <c r="L33" s="2" t="n">
        <v>12</v>
      </c>
      <c r="M33" s="5" t="n">
        <v>0.9230769230769231</v>
      </c>
      <c r="N33" s="2" t="inlineStr">
        <is>
          <t>m10_issue_close90 below minimum eligible sample (n=8); scored 0</t>
        </is>
      </c>
      <c r="O33" s="2" t="inlineStr"/>
      <c r="P33" s="2" t="inlineStr"/>
    </row>
    <row r="34">
      <c r="A34" s="2" t="inlineStr">
        <is>
          <t>C4-033</t>
        </is>
      </c>
      <c r="B34" s="2" t="inlineStr">
        <is>
          <t>Dataverse</t>
        </is>
      </c>
      <c r="C34" s="2" t="inlineStr">
        <is>
          <t>yes</t>
        </is>
      </c>
      <c r="D34" s="2" t="inlineStr">
        <is>
          <t>software</t>
        </is>
      </c>
      <c r="E34" s="2" t="inlineStr">
        <is>
          <t>Ready</t>
        </is>
      </c>
      <c r="F34" s="2" t="inlineStr">
        <is>
          <t>github</t>
        </is>
      </c>
      <c r="G34" s="2" t="inlineStr">
        <is>
          <t>IQSS/dataverse</t>
        </is>
      </c>
      <c r="H34" s="2" t="inlineStr">
        <is>
          <t>GitHub (same repo)</t>
        </is>
      </c>
      <c r="I34" s="2" t="inlineStr">
        <is>
          <t>complete</t>
        </is>
      </c>
      <c r="J34" s="2" t="inlineStr">
        <is>
          <t>complete</t>
        </is>
      </c>
      <c r="K34" s="2" t="inlineStr">
        <is>
          <t>No</t>
        </is>
      </c>
      <c r="L34" s="2" t="n">
        <v>13</v>
      </c>
      <c r="M34" s="5" t="n">
        <v>1</v>
      </c>
      <c r="N34" s="2" t="inlineStr">
        <is>
          <t>No missing metric inputs flagged by pipeline availability checks</t>
        </is>
      </c>
      <c r="O34" s="2" t="inlineStr"/>
      <c r="P34" s="2" t="inlineStr"/>
    </row>
    <row r="35">
      <c r="A35" s="2" t="inlineStr">
        <is>
          <t>C4-034</t>
        </is>
      </c>
      <c r="B35" s="2" t="inlineStr">
        <is>
          <t>DLCM Backend</t>
        </is>
      </c>
      <c r="C35" s="2" t="inlineStr">
        <is>
          <t>yes</t>
        </is>
      </c>
      <c r="D35" s="2" t="inlineStr">
        <is>
          <t>software</t>
        </is>
      </c>
      <c r="E35" s="2" t="inlineStr">
        <is>
          <t>Non-GitHub</t>
        </is>
      </c>
      <c r="F35" s="2" t="inlineStr">
        <is>
          <t>gitlab</t>
        </is>
      </c>
      <c r="G35" s="2" t="inlineStr">
        <is>
          <t>https://gitlab.unige.ch/dlcm/community/dlcm-backend</t>
        </is>
      </c>
      <c r="H35" s="2" t="inlineStr">
        <is>
          <t>GitLab (same project)</t>
        </is>
      </c>
      <c r="I35" s="2" t="inlineStr">
        <is>
          <t>complete</t>
        </is>
      </c>
      <c r="J35" s="2" t="inlineStr">
        <is>
          <t>no GitHub source</t>
        </is>
      </c>
      <c r="K35" s="2" t="inlineStr">
        <is>
          <t>No</t>
        </is>
      </c>
      <c r="L35" s="2" t="n">
        <v>7</v>
      </c>
      <c r="M35" s="5" t="n">
        <v>0.5384615384615384</v>
      </c>
      <c r="N35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35" s="2" t="inlineStr"/>
      <c r="P35" s="2" t="inlineStr"/>
    </row>
    <row r="36">
      <c r="A36" s="2" t="inlineStr">
        <is>
          <t>C4-035</t>
        </is>
      </c>
      <c r="B36" s="2" t="inlineStr">
        <is>
          <t>DLCM Portal</t>
        </is>
      </c>
      <c r="C36" s="2" t="inlineStr">
        <is>
          <t>yes</t>
        </is>
      </c>
      <c r="D36" s="2" t="inlineStr">
        <is>
          <t>software</t>
        </is>
      </c>
      <c r="E36" s="2" t="inlineStr">
        <is>
          <t>Non-GitHub</t>
        </is>
      </c>
      <c r="F36" s="2" t="inlineStr">
        <is>
          <t>gitlab</t>
        </is>
      </c>
      <c r="G36" s="2" t="inlineStr">
        <is>
          <t>https://gitlab.unige.ch/dlcm/ui/dlcm-portal</t>
        </is>
      </c>
      <c r="H36" s="2" t="inlineStr">
        <is>
          <t>GitLab (same project)</t>
        </is>
      </c>
      <c r="I36" s="2" t="inlineStr">
        <is>
          <t>complete</t>
        </is>
      </c>
      <c r="J36" s="2" t="inlineStr">
        <is>
          <t>no GitHub source</t>
        </is>
      </c>
      <c r="K36" s="2" t="inlineStr">
        <is>
          <t>No</t>
        </is>
      </c>
      <c r="L36" s="2" t="n">
        <v>7</v>
      </c>
      <c r="M36" s="5" t="n">
        <v>0.5384615384615384</v>
      </c>
      <c r="N36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36" s="2" t="inlineStr"/>
      <c r="P36" s="2" t="inlineStr"/>
    </row>
    <row r="37">
      <c r="A37" s="2" t="inlineStr">
        <is>
          <t>C4-036</t>
        </is>
      </c>
      <c r="B37" s="2" t="inlineStr">
        <is>
          <t>DMP Tool</t>
        </is>
      </c>
      <c r="C37" s="2" t="inlineStr">
        <is>
          <t>yes</t>
        </is>
      </c>
      <c r="D37" s="2" t="inlineStr">
        <is>
          <t>software</t>
        </is>
      </c>
      <c r="E37" s="2" t="inlineStr">
        <is>
          <t>Replace URL (verify)</t>
        </is>
      </c>
      <c r="F37" s="2" t="inlineStr">
        <is>
          <t>github</t>
        </is>
      </c>
      <c r="G37" s="2" t="inlineStr">
        <is>
          <t>CDLUC3/dmsp_frontend_prototype;CDLUC3/dmsp_backend_prototype</t>
        </is>
      </c>
      <c r="H37" s="2" t="inlineStr">
        <is>
          <t>GitHub (frontend repo; backend issues filed there too)</t>
        </is>
      </c>
      <c r="I37" s="2" t="inlineStr">
        <is>
          <t>complete</t>
        </is>
      </c>
      <c r="J37" s="2" t="inlineStr">
        <is>
          <t>complete</t>
        </is>
      </c>
      <c r="K37" s="2" t="inlineStr">
        <is>
          <t>No</t>
        </is>
      </c>
      <c r="L37" s="2" t="n">
        <v>13</v>
      </c>
      <c r="M37" s="5" t="n">
        <v>1</v>
      </c>
      <c r="N37" s="2" t="inlineStr">
        <is>
          <t>No missing metric inputs flagged by pipeline availability checks</t>
        </is>
      </c>
      <c r="O37" s="2" t="inlineStr"/>
      <c r="P37" s="2" t="inlineStr"/>
    </row>
    <row r="38">
      <c r="A38" s="2" t="inlineStr">
        <is>
          <t>C4-037</t>
        </is>
      </c>
      <c r="B38" s="2" t="inlineStr">
        <is>
          <t>DOAJ (Directory of Open Access Journals)</t>
        </is>
      </c>
      <c r="C38" s="2" t="inlineStr">
        <is>
          <t>yes</t>
        </is>
      </c>
      <c r="D38" s="2" t="inlineStr">
        <is>
          <t>software</t>
        </is>
      </c>
      <c r="E38" s="2" t="inlineStr">
        <is>
          <t>Org URL -&gt; primary repo</t>
        </is>
      </c>
      <c r="F38" s="2" t="inlineStr">
        <is>
          <t>github</t>
        </is>
      </c>
      <c r="G38" s="2" t="inlineStr">
        <is>
          <t>DOAJ/doaj</t>
        </is>
      </c>
      <c r="H38" s="2" t="inlineStr">
        <is>
          <t>GitHub, barely used (1 open) - verify internal tracker</t>
        </is>
      </c>
      <c r="I38" s="2" t="inlineStr">
        <is>
          <t>complete</t>
        </is>
      </c>
      <c r="J38" s="2" t="inlineStr">
        <is>
          <t>complete</t>
        </is>
      </c>
      <c r="K38" s="2" t="inlineStr">
        <is>
          <t>No</t>
        </is>
      </c>
      <c r="L38" s="2" t="n">
        <v>11</v>
      </c>
      <c r="M38" s="5" t="n">
        <v>0.8461538461538461</v>
      </c>
      <c r="N38" s="2" t="inlineStr">
        <is>
          <t>m8_issue_response below minimum eligible sample (n=8); scored 0; m10_issue_close90 below minimum eligible sample (n=8); scored 0</t>
        </is>
      </c>
      <c r="O38" s="2" t="inlineStr"/>
      <c r="P38" s="2" t="inlineStr"/>
    </row>
    <row r="39">
      <c r="A39" s="2" t="inlineStr">
        <is>
          <t>C4-038</t>
        </is>
      </c>
      <c r="B39" s="2" t="inlineStr">
        <is>
          <t>dokieli</t>
        </is>
      </c>
      <c r="C39" s="2" t="inlineStr">
        <is>
          <t>yes</t>
        </is>
      </c>
      <c r="D39" s="2" t="inlineStr">
        <is>
          <t>software</t>
        </is>
      </c>
      <c r="E39" s="2" t="inlineStr">
        <is>
          <t>Ready</t>
        </is>
      </c>
      <c r="F39" s="2" t="inlineStr">
        <is>
          <t>github</t>
        </is>
      </c>
      <c r="G39" s="2" t="inlineStr">
        <is>
          <t>linkeddata/dokieli</t>
        </is>
      </c>
      <c r="H39" s="2" t="inlineStr">
        <is>
          <t>GitHub (same repo)</t>
        </is>
      </c>
      <c r="I39" s="2" t="inlineStr">
        <is>
          <t>complete</t>
        </is>
      </c>
      <c r="J39" s="2" t="inlineStr">
        <is>
          <t>complete</t>
        </is>
      </c>
      <c r="K39" s="2" t="inlineStr">
        <is>
          <t>No</t>
        </is>
      </c>
      <c r="L39" s="2" t="n">
        <v>13</v>
      </c>
      <c r="M39" s="5" t="n">
        <v>1</v>
      </c>
      <c r="N39" s="2" t="inlineStr">
        <is>
          <t>No missing metric inputs flagged by pipeline availability checks</t>
        </is>
      </c>
      <c r="O39" s="2" t="inlineStr"/>
      <c r="P39" s="2" t="inlineStr"/>
    </row>
    <row r="40">
      <c r="A40" s="2" t="inlineStr">
        <is>
          <t>C4-039</t>
        </is>
      </c>
      <c r="B40" s="2" t="inlineStr">
        <is>
          <t>Dryad</t>
        </is>
      </c>
      <c r="C40" s="2" t="inlineStr">
        <is>
          <t>yes</t>
        </is>
      </c>
      <c r="D40" s="2" t="inlineStr">
        <is>
          <t>software</t>
        </is>
      </c>
      <c r="E40" s="2" t="inlineStr">
        <is>
          <t>Replace URL</t>
        </is>
      </c>
      <c r="F40" s="2" t="inlineStr">
        <is>
          <t>github</t>
        </is>
      </c>
      <c r="G40" s="2" t="inlineStr">
        <is>
          <t>datadryad/dryad-app</t>
        </is>
      </c>
      <c r="H40" s="2" t="inlineStr">
        <is>
          <t>GitHub Issues show 0 open - verify where Dryad tracks issues</t>
        </is>
      </c>
      <c r="I40" s="2" t="inlineStr">
        <is>
          <t>complete</t>
        </is>
      </c>
      <c r="J40" s="2" t="inlineStr">
        <is>
          <t>complete</t>
        </is>
      </c>
      <c r="K40" s="2" t="inlineStr">
        <is>
          <t>No</t>
        </is>
      </c>
      <c r="L40" s="2" t="n">
        <v>11</v>
      </c>
      <c r="M40" s="5" t="n">
        <v>0.8461538461538461</v>
      </c>
      <c r="N40" s="2" t="inlineStr">
        <is>
          <t>m8_issue_response below minimum eligible sample (n=0); scored 0; m10_issue_close90 below minimum eligible sample (n=0); scored 0</t>
        </is>
      </c>
      <c r="O40" s="2" t="inlineStr"/>
      <c r="P40" s="2" t="inlineStr"/>
    </row>
    <row r="41">
      <c r="A41" s="2" t="inlineStr">
        <is>
          <t>C4-040</t>
        </is>
      </c>
      <c r="B41" s="2" t="inlineStr">
        <is>
          <t>DSpace</t>
        </is>
      </c>
      <c r="C41" s="2" t="inlineStr">
        <is>
          <t>yes</t>
        </is>
      </c>
      <c r="D41" s="2" t="inlineStr">
        <is>
          <t>software</t>
        </is>
      </c>
      <c r="E41" s="2" t="inlineStr">
        <is>
          <t>Ready</t>
        </is>
      </c>
      <c r="F41" s="2" t="inlineStr">
        <is>
          <t>github</t>
        </is>
      </c>
      <c r="G41" s="2" t="inlineStr">
        <is>
          <t>DSpace/DSpace</t>
        </is>
      </c>
      <c r="H41" s="2" t="inlineStr">
        <is>
          <t>GitHub (DSpace/DSpace + DSpace/dspace-angular)</t>
        </is>
      </c>
      <c r="I41" s="2" t="inlineStr">
        <is>
          <t>complete</t>
        </is>
      </c>
      <c r="J41" s="2" t="inlineStr">
        <is>
          <t>complete</t>
        </is>
      </c>
      <c r="K41" s="2" t="inlineStr">
        <is>
          <t>No</t>
        </is>
      </c>
      <c r="L41" s="2" t="n">
        <v>13</v>
      </c>
      <c r="M41" s="5" t="n">
        <v>1</v>
      </c>
      <c r="N41" s="2" t="inlineStr">
        <is>
          <t>No missing metric inputs flagged by pipeline availability checks</t>
        </is>
      </c>
      <c r="O41" s="2" t="inlineStr"/>
      <c r="P41" s="2" t="inlineStr"/>
    </row>
    <row r="42">
      <c r="A42" s="2" t="inlineStr">
        <is>
          <t>C4-041</t>
        </is>
      </c>
      <c r="B42" s="2" t="inlineStr">
        <is>
          <t>DuraCloud</t>
        </is>
      </c>
      <c r="C42" s="2" t="inlineStr">
        <is>
          <t>yes</t>
        </is>
      </c>
      <c r="D42" s="2" t="inlineStr">
        <is>
          <t>software</t>
        </is>
      </c>
      <c r="E42" s="2" t="inlineStr">
        <is>
          <t>Ready</t>
        </is>
      </c>
      <c r="F42" s="2" t="inlineStr">
        <is>
          <t>github</t>
        </is>
      </c>
      <c r="G42" s="2" t="inlineStr">
        <is>
          <t>duracloud/duracloud</t>
        </is>
      </c>
      <c r="H42" s="2" t="inlineStr">
        <is>
          <t>GitHub (same repo)</t>
        </is>
      </c>
      <c r="I42" s="2" t="inlineStr">
        <is>
          <t>complete</t>
        </is>
      </c>
      <c r="J42" s="2" t="inlineStr">
        <is>
          <t>complete</t>
        </is>
      </c>
      <c r="K42" s="2" t="inlineStr">
        <is>
          <t>No</t>
        </is>
      </c>
      <c r="L42" s="2" t="n">
        <v>9</v>
      </c>
      <c r="M42" s="5" t="n">
        <v>0.6923076923076923</v>
      </c>
      <c r="N42" s="2" t="inlineStr">
        <is>
          <t>m8_issue_response below minimum eligible sample (n=0); scored 0; m9_pr_response below minimum eligible sample (n=3); scored 0; m10_issue_close90 below minimum eligible sample (n=0); scored 0; m11_pr_decision30 below minimum eligible sample (n=3); scored 0</t>
        </is>
      </c>
      <c r="O42" s="2" t="inlineStr"/>
      <c r="P42" s="2" t="inlineStr"/>
    </row>
    <row r="43">
      <c r="A43" s="2" t="inlineStr">
        <is>
          <t>C4-042</t>
        </is>
      </c>
      <c r="B43" s="2" t="inlineStr">
        <is>
          <t>Episciences</t>
        </is>
      </c>
      <c r="C43" s="2" t="inlineStr">
        <is>
          <t>yes</t>
        </is>
      </c>
      <c r="D43" s="2" t="inlineStr">
        <is>
          <t>software</t>
        </is>
      </c>
      <c r="E43" s="2" t="inlineStr">
        <is>
          <t>Ready</t>
        </is>
      </c>
      <c r="F43" s="2" t="inlineStr">
        <is>
          <t>github</t>
        </is>
      </c>
      <c r="G43" s="2" t="inlineStr">
        <is>
          <t>CCSDForge/episciences</t>
        </is>
      </c>
      <c r="H43" s="2" t="inlineStr">
        <is>
          <t>GitHub (same repo)</t>
        </is>
      </c>
      <c r="I43" s="2" t="inlineStr">
        <is>
          <t>complete</t>
        </is>
      </c>
      <c r="J43" s="2" t="inlineStr">
        <is>
          <t>complete</t>
        </is>
      </c>
      <c r="K43" s="2" t="inlineStr">
        <is>
          <t>No</t>
        </is>
      </c>
      <c r="L43" s="2" t="n">
        <v>13</v>
      </c>
      <c r="M43" s="5" t="n">
        <v>1</v>
      </c>
      <c r="N43" s="2" t="inlineStr">
        <is>
          <t>No missing metric inputs flagged by pipeline availability checks</t>
        </is>
      </c>
      <c r="O43" s="2" t="inlineStr"/>
      <c r="P43" s="2" t="inlineStr"/>
    </row>
    <row r="44">
      <c r="A44" s="2" t="inlineStr">
        <is>
          <t>C4-043</t>
        </is>
      </c>
      <c r="B44" s="2" t="inlineStr">
        <is>
          <t>EPrints</t>
        </is>
      </c>
      <c r="C44" s="2" t="inlineStr">
        <is>
          <t>yes</t>
        </is>
      </c>
      <c r="D44" s="2" t="inlineStr">
        <is>
          <t>software</t>
        </is>
      </c>
      <c r="E44" s="2" t="inlineStr">
        <is>
          <t>Ready</t>
        </is>
      </c>
      <c r="F44" s="2" t="inlineStr">
        <is>
          <t>github</t>
        </is>
      </c>
      <c r="G44" s="2" t="inlineStr">
        <is>
          <t>eprints/eprints3.4</t>
        </is>
      </c>
      <c r="H44" s="2" t="inlineStr">
        <is>
          <t>GitHub (same repo)</t>
        </is>
      </c>
      <c r="I44" s="2" t="inlineStr">
        <is>
          <t>complete</t>
        </is>
      </c>
      <c r="J44" s="2" t="inlineStr">
        <is>
          <t>complete</t>
        </is>
      </c>
      <c r="K44" s="2" t="inlineStr">
        <is>
          <t>No</t>
        </is>
      </c>
      <c r="L44" s="2" t="n">
        <v>13</v>
      </c>
      <c r="M44" s="5" t="n">
        <v>1</v>
      </c>
      <c r="N44" s="2" t="inlineStr">
        <is>
          <t>No missing metric inputs flagged by pipeline availability checks</t>
        </is>
      </c>
      <c r="O44" s="2" t="inlineStr"/>
      <c r="P44" s="2" t="inlineStr"/>
    </row>
    <row r="45">
      <c r="A45" s="2" t="inlineStr">
        <is>
          <t>C4-044</t>
        </is>
      </c>
      <c r="B45" s="2" t="inlineStr">
        <is>
          <t>Érudit</t>
        </is>
      </c>
      <c r="C45" s="2" t="inlineStr">
        <is>
          <t>yes</t>
        </is>
      </c>
      <c r="D45" s="2" t="inlineStr">
        <is>
          <t>software</t>
        </is>
      </c>
      <c r="E45" s="2" t="inlineStr">
        <is>
          <t>Replace URL (GitLab)</t>
        </is>
      </c>
      <c r="F45" s="2" t="inlineStr">
        <is>
          <t>gitlab</t>
        </is>
      </c>
      <c r="G45" s="2" t="inlineStr">
        <is>
          <t>https://gitlab.erudit.org/erudit/portail/eruditorg</t>
        </is>
      </c>
      <c r="H45" s="2" t="inlineStr">
        <is>
          <t>GitLab (gitlab.erudit.org) - GitHub copy is a mirror</t>
        </is>
      </c>
      <c r="I45" s="2" t="inlineStr">
        <is>
          <t>failed: Command '['git', '-C', 'clones\\gitlab.erudit.org_erudit_portail_eruditorg.git', 'symbolic-ref', 'HEAD']' returned non-z</t>
        </is>
      </c>
      <c r="J45" s="2" t="inlineStr">
        <is>
          <t>no GitHub source</t>
        </is>
      </c>
      <c r="K45" s="2" t="inlineStr">
        <is>
          <t>No</t>
        </is>
      </c>
      <c r="L45" s="2" t="n">
        <v>0</v>
      </c>
      <c r="M45" s="5" t="n">
        <v>0</v>
      </c>
      <c r="N45" s="2" t="inlineStr">
        <is>
          <t>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45" s="2" t="inlineStr"/>
      <c r="P45" s="2" t="inlineStr"/>
    </row>
    <row r="46">
      <c r="A46" s="6" t="inlineStr">
        <is>
          <t>C4-045</t>
        </is>
      </c>
      <c r="B46" s="6" t="inlineStr">
        <is>
          <t>Europe PMC</t>
        </is>
      </c>
      <c r="C46" s="6" t="inlineStr">
        <is>
          <t>no</t>
        </is>
      </c>
      <c r="D46" s="6" t="inlineStr">
        <is>
          <t>not-assessable</t>
        </is>
      </c>
      <c r="E46" s="6" t="inlineStr">
        <is>
          <t>Not assessable (verify)</t>
        </is>
      </c>
      <c r="F46" s="6" t="inlineStr"/>
      <c r="G46" s="6" t="inlineStr"/>
      <c r="H46" s="6" t="inlineStr"/>
      <c r="I46" s="6" t="n"/>
      <c r="J46" s="6" t="n"/>
      <c r="K46" s="6" t="inlineStr">
        <is>
          <t>No</t>
        </is>
      </c>
      <c r="L46" s="6" t="n">
        <v>0</v>
      </c>
      <c r="M46" s="8" t="n">
        <v>0</v>
      </c>
      <c r="N46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46" s="6" t="inlineStr"/>
      <c r="P46" s="6" t="inlineStr"/>
    </row>
    <row r="47">
      <c r="A47" s="2" t="inlineStr">
        <is>
          <t>C4-046</t>
        </is>
      </c>
      <c r="B47" s="2" t="inlineStr">
        <is>
          <t>FAIR Wizard</t>
        </is>
      </c>
      <c r="C47" s="2" t="inlineStr">
        <is>
          <t>yes</t>
        </is>
      </c>
      <c r="D47" s="2" t="inlineStr">
        <is>
          <t>software</t>
        </is>
      </c>
      <c r="E47" s="2" t="inlineStr">
        <is>
          <t>Resolved URL</t>
        </is>
      </c>
      <c r="F47" s="2" t="inlineStr">
        <is>
          <t>github</t>
        </is>
      </c>
      <c r="G47" s="2" t="inlineStr">
        <is>
          <t>fair-wizard/fair-wizard-integration-sdk</t>
        </is>
      </c>
      <c r="H47" s="2" t="inlineStr">
        <is>
          <t>GitHub (same repo)</t>
        </is>
      </c>
      <c r="I47" s="2" t="inlineStr">
        <is>
          <t>complete</t>
        </is>
      </c>
      <c r="J47" s="2" t="n"/>
      <c r="K47" s="2" t="inlineStr">
        <is>
          <t>No</t>
        </is>
      </c>
      <c r="L47" s="2" t="n">
        <v>7</v>
      </c>
      <c r="M47" s="5" t="n">
        <v>0.5384615384615384</v>
      </c>
      <c r="N47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47" s="2" t="inlineStr"/>
      <c r="P47" s="2" t="inlineStr"/>
    </row>
    <row r="48">
      <c r="A48" s="2" t="inlineStr">
        <is>
          <t>C4-047</t>
        </is>
      </c>
      <c r="B48" s="2" t="inlineStr">
        <is>
          <t>Fedora</t>
        </is>
      </c>
      <c r="C48" s="2" t="inlineStr">
        <is>
          <t>yes</t>
        </is>
      </c>
      <c r="D48" s="2" t="inlineStr">
        <is>
          <t>software</t>
        </is>
      </c>
      <c r="E48" s="2" t="inlineStr">
        <is>
          <t>Ready</t>
        </is>
      </c>
      <c r="F48" s="2" t="inlineStr">
        <is>
          <t>github</t>
        </is>
      </c>
      <c r="G48" s="2" t="inlineStr">
        <is>
          <t>fcrepo/fcrepo</t>
        </is>
      </c>
      <c r="H48" s="2" t="inlineStr">
        <is>
          <t>GitHub (5 open) - Fedora historically used Jira; verify</t>
        </is>
      </c>
      <c r="I48" s="2" t="inlineStr">
        <is>
          <t>complete</t>
        </is>
      </c>
      <c r="J48" s="2" t="inlineStr">
        <is>
          <t>complete</t>
        </is>
      </c>
      <c r="K48" s="2" t="inlineStr">
        <is>
          <t>No</t>
        </is>
      </c>
      <c r="L48" s="2" t="n">
        <v>11</v>
      </c>
      <c r="M48" s="5" t="n">
        <v>0.8461538461538461</v>
      </c>
      <c r="N48" s="2" t="inlineStr">
        <is>
          <t>m8_issue_response below minimum eligible sample (n=8); scored 0; m10_issue_close90 below minimum eligible sample (n=7); scored 0</t>
        </is>
      </c>
      <c r="O48" s="2" t="inlineStr"/>
      <c r="P48" s="2" t="inlineStr"/>
    </row>
    <row r="49">
      <c r="A49" s="2" t="inlineStr">
        <is>
          <t>C4-048</t>
        </is>
      </c>
      <c r="B49" s="2" t="inlineStr">
        <is>
          <t>fido</t>
        </is>
      </c>
      <c r="C49" s="2" t="inlineStr">
        <is>
          <t>yes</t>
        </is>
      </c>
      <c r="D49" s="2" t="inlineStr">
        <is>
          <t>software</t>
        </is>
      </c>
      <c r="E49" s="2" t="inlineStr">
        <is>
          <t>Ready</t>
        </is>
      </c>
      <c r="F49" s="2" t="inlineStr">
        <is>
          <t>github</t>
        </is>
      </c>
      <c r="G49" s="2" t="inlineStr">
        <is>
          <t>openpreserve/fido</t>
        </is>
      </c>
      <c r="H49" s="2" t="inlineStr">
        <is>
          <t>GitHub (same repo)</t>
        </is>
      </c>
      <c r="I49" s="2" t="inlineStr">
        <is>
          <t>complete</t>
        </is>
      </c>
      <c r="J49" s="2" t="inlineStr">
        <is>
          <t>complete</t>
        </is>
      </c>
      <c r="K49" s="2" t="inlineStr">
        <is>
          <t>No</t>
        </is>
      </c>
      <c r="L49" s="2" t="n">
        <v>9</v>
      </c>
      <c r="M49" s="5" t="n">
        <v>0.6923076923076923</v>
      </c>
      <c r="N49" s="2" t="inlineStr">
        <is>
          <t>m8_issue_response below minimum eligible sample (n=3); scored 0; m9_pr_response below minimum eligible sample (n=4); scored 0; m10_issue_close90 below minimum eligible sample (n=3); scored 0; m11_pr_decision30 below minimum eligible sample (n=0); scored 0</t>
        </is>
      </c>
      <c r="O49" s="2" t="inlineStr"/>
      <c r="P49" s="2" t="inlineStr"/>
    </row>
    <row r="50">
      <c r="A50" s="2" t="inlineStr">
        <is>
          <t>C4-049</t>
        </is>
      </c>
      <c r="B50" s="2" t="inlineStr">
        <is>
          <t>Fulcrum</t>
        </is>
      </c>
      <c r="C50" s="2" t="inlineStr">
        <is>
          <t>yes</t>
        </is>
      </c>
      <c r="D50" s="2" t="inlineStr">
        <is>
          <t>software</t>
        </is>
      </c>
      <c r="E50" s="2" t="inlineStr">
        <is>
          <t>Ready</t>
        </is>
      </c>
      <c r="F50" s="2" t="inlineStr">
        <is>
          <t>github</t>
        </is>
      </c>
      <c r="G50" s="2" t="inlineStr">
        <is>
          <t>mlibrary/heliotrope</t>
        </is>
      </c>
      <c r="H50" s="2" t="inlineStr">
        <is>
          <t>Jira (tools.lib.umich.edu/jira/projects/HELIO) + GitHub</t>
        </is>
      </c>
      <c r="I50" s="2" t="inlineStr">
        <is>
          <t>complete</t>
        </is>
      </c>
      <c r="J50" s="2" t="inlineStr">
        <is>
          <t>complete</t>
        </is>
      </c>
      <c r="K50" s="2" t="inlineStr">
        <is>
          <t>No</t>
        </is>
      </c>
      <c r="L50" s="2" t="n">
        <v>11</v>
      </c>
      <c r="M50" s="5" t="n">
        <v>0.8461538461538461</v>
      </c>
      <c r="N50" s="2" t="inlineStr">
        <is>
          <t>m8_issue_response below minimum eligible sample (n=0); scored 0; m10_issue_close90 below minimum eligible sample (n=0); scored 0</t>
        </is>
      </c>
      <c r="O50" s="2" t="inlineStr"/>
      <c r="P50" s="2" t="inlineStr"/>
    </row>
    <row r="51">
      <c r="A51" s="2" t="inlineStr">
        <is>
          <t>C4-050</t>
        </is>
      </c>
      <c r="B51" s="2" t="inlineStr">
        <is>
          <t>Galaxy</t>
        </is>
      </c>
      <c r="C51" s="2" t="inlineStr">
        <is>
          <t>yes</t>
        </is>
      </c>
      <c r="D51" s="2" t="inlineStr">
        <is>
          <t>software</t>
        </is>
      </c>
      <c r="E51" s="2" t="inlineStr">
        <is>
          <t>Ready</t>
        </is>
      </c>
      <c r="F51" s="2" t="inlineStr">
        <is>
          <t>github</t>
        </is>
      </c>
      <c r="G51" s="2" t="inlineStr">
        <is>
          <t>galaxyproject/galaxy</t>
        </is>
      </c>
      <c r="H51" s="2" t="inlineStr">
        <is>
          <t>GitHub (same repo)</t>
        </is>
      </c>
      <c r="I51" s="2" t="inlineStr">
        <is>
          <t>complete</t>
        </is>
      </c>
      <c r="J51" s="2" t="inlineStr">
        <is>
          <t>complete</t>
        </is>
      </c>
      <c r="K51" s="2" t="inlineStr">
        <is>
          <t>No</t>
        </is>
      </c>
      <c r="L51" s="2" t="n">
        <v>13</v>
      </c>
      <c r="M51" s="5" t="n">
        <v>1</v>
      </c>
      <c r="N51" s="2" t="inlineStr">
        <is>
          <t>No missing metric inputs flagged by pipeline availability checks</t>
        </is>
      </c>
      <c r="O51" s="2" t="inlineStr"/>
      <c r="P51" s="2" t="inlineStr"/>
    </row>
    <row r="52">
      <c r="A52" s="2" t="inlineStr">
        <is>
          <t>C4-051</t>
        </is>
      </c>
      <c r="B52" s="2" t="inlineStr">
        <is>
          <t>GeoServer</t>
        </is>
      </c>
      <c r="C52" s="2" t="inlineStr">
        <is>
          <t>yes</t>
        </is>
      </c>
      <c r="D52" s="2" t="inlineStr">
        <is>
          <t>software</t>
        </is>
      </c>
      <c r="E52" s="2" t="inlineStr">
        <is>
          <t>Ready</t>
        </is>
      </c>
      <c r="F52" s="2" t="inlineStr">
        <is>
          <t>github</t>
        </is>
      </c>
      <c r="G52" s="2" t="inlineStr">
        <is>
          <t>geoserver/geoserver</t>
        </is>
      </c>
      <c r="H52" s="2" t="inlineStr">
        <is>
          <t>Jira (osgeo-org.atlassian.net/projects/GEOS)</t>
        </is>
      </c>
      <c r="I52" s="2" t="inlineStr">
        <is>
          <t>complete</t>
        </is>
      </c>
      <c r="J52" s="2" t="inlineStr">
        <is>
          <t>complete</t>
        </is>
      </c>
      <c r="K52" s="2" t="inlineStr">
        <is>
          <t>No</t>
        </is>
      </c>
      <c r="L52" s="2" t="n">
        <v>11</v>
      </c>
      <c r="M52" s="5" t="n">
        <v>0.8461538461538461</v>
      </c>
      <c r="N52" s="2" t="inlineStr">
        <is>
          <t>m8_issue_response unavailable; scored 0; m10_issue_close90 unavailable; scored 0</t>
        </is>
      </c>
      <c r="O52" s="2" t="inlineStr"/>
      <c r="P52" s="2" t="inlineStr"/>
    </row>
    <row r="53">
      <c r="A53" s="2" t="inlineStr">
        <is>
          <t>C4-052</t>
        </is>
      </c>
      <c r="B53" s="2" t="inlineStr">
        <is>
          <t>Hyku</t>
        </is>
      </c>
      <c r="C53" s="2" t="inlineStr">
        <is>
          <t>yes</t>
        </is>
      </c>
      <c r="D53" s="2" t="inlineStr">
        <is>
          <t>software</t>
        </is>
      </c>
      <c r="E53" s="2" t="inlineStr">
        <is>
          <t>Ready</t>
        </is>
      </c>
      <c r="F53" s="2" t="inlineStr">
        <is>
          <t>github</t>
        </is>
      </c>
      <c r="G53" s="2" t="inlineStr">
        <is>
          <t>samvera/hyku</t>
        </is>
      </c>
      <c r="H53" s="2" t="inlineStr">
        <is>
          <t>GitHub (same repo)</t>
        </is>
      </c>
      <c r="I53" s="2" t="inlineStr">
        <is>
          <t>complete</t>
        </is>
      </c>
      <c r="J53" s="2" t="inlineStr">
        <is>
          <t>complete</t>
        </is>
      </c>
      <c r="K53" s="2" t="inlineStr">
        <is>
          <t>No</t>
        </is>
      </c>
      <c r="L53" s="2" t="n">
        <v>13</v>
      </c>
      <c r="M53" s="5" t="n">
        <v>1</v>
      </c>
      <c r="N53" s="2" t="inlineStr">
        <is>
          <t>No missing metric inputs flagged by pipeline availability checks</t>
        </is>
      </c>
      <c r="O53" s="2" t="inlineStr"/>
      <c r="P53" s="2" t="inlineStr"/>
    </row>
    <row r="54">
      <c r="A54" s="2" t="inlineStr">
        <is>
          <t>C4-053</t>
        </is>
      </c>
      <c r="B54" s="2" t="inlineStr">
        <is>
          <t>Hyrax</t>
        </is>
      </c>
      <c r="C54" s="2" t="inlineStr">
        <is>
          <t>yes</t>
        </is>
      </c>
      <c r="D54" s="2" t="inlineStr">
        <is>
          <t>software</t>
        </is>
      </c>
      <c r="E54" s="2" t="inlineStr">
        <is>
          <t>Ready</t>
        </is>
      </c>
      <c r="F54" s="2" t="inlineStr">
        <is>
          <t>github</t>
        </is>
      </c>
      <c r="G54" s="2" t="inlineStr">
        <is>
          <t>samvera/hyrax</t>
        </is>
      </c>
      <c r="H54" s="2" t="inlineStr">
        <is>
          <t>GitHub (same repo)</t>
        </is>
      </c>
      <c r="I54" s="2" t="inlineStr">
        <is>
          <t>complete</t>
        </is>
      </c>
      <c r="J54" s="2" t="inlineStr">
        <is>
          <t>complete</t>
        </is>
      </c>
      <c r="K54" s="2" t="inlineStr">
        <is>
          <t>No</t>
        </is>
      </c>
      <c r="L54" s="2" t="n">
        <v>13</v>
      </c>
      <c r="M54" s="5" t="n">
        <v>1</v>
      </c>
      <c r="N54" s="2" t="inlineStr">
        <is>
          <t>No missing metric inputs flagged by pipeline availability checks</t>
        </is>
      </c>
      <c r="O54" s="2" t="inlineStr"/>
      <c r="P54" s="2" t="inlineStr"/>
    </row>
    <row r="55">
      <c r="A55" s="6" t="inlineStr">
        <is>
          <t>C4-054</t>
        </is>
      </c>
      <c r="B55" s="6" t="inlineStr">
        <is>
          <t>IIIF</t>
        </is>
      </c>
      <c r="C55" s="6" t="inlineStr">
        <is>
          <t>no</t>
        </is>
      </c>
      <c r="D55" s="6" t="inlineStr">
        <is>
          <t>standard</t>
        </is>
      </c>
      <c r="E55" s="6" t="inlineStr">
        <is>
          <t>Exclude: standard</t>
        </is>
      </c>
      <c r="F55" s="6" t="inlineStr"/>
      <c r="G55" s="6" t="inlineStr"/>
      <c r="H55" s="6" t="inlineStr"/>
      <c r="I55" s="6" t="n"/>
      <c r="J55" s="6" t="n"/>
      <c r="K55" s="6" t="inlineStr">
        <is>
          <t>No</t>
        </is>
      </c>
      <c r="L55" s="6" t="n">
        <v>0</v>
      </c>
      <c r="M55" s="8" t="n">
        <v>0</v>
      </c>
      <c r="N55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55" s="6" t="inlineStr"/>
      <c r="P55" s="6" t="inlineStr"/>
    </row>
    <row r="56">
      <c r="A56" s="2" t="inlineStr">
        <is>
          <t>C4-055</t>
        </is>
      </c>
      <c r="B56" s="2" t="inlineStr">
        <is>
          <t>ImpactU</t>
        </is>
      </c>
      <c r="C56" s="2" t="inlineStr">
        <is>
          <t>yes</t>
        </is>
      </c>
      <c r="D56" s="2" t="inlineStr">
        <is>
          <t>software</t>
        </is>
      </c>
      <c r="E56" s="2" t="inlineStr">
        <is>
          <t>Ready</t>
        </is>
      </c>
      <c r="F56" s="2" t="inlineStr">
        <is>
          <t>github</t>
        </is>
      </c>
      <c r="G56" s="2" t="inlineStr">
        <is>
          <t>colav/impactu</t>
        </is>
      </c>
      <c r="H56" s="2" t="inlineStr">
        <is>
          <t>GitHub (same repo)</t>
        </is>
      </c>
      <c r="I56" s="2" t="inlineStr">
        <is>
          <t>complete</t>
        </is>
      </c>
      <c r="J56" s="2" t="inlineStr">
        <is>
          <t>complete</t>
        </is>
      </c>
      <c r="K56" s="2" t="inlineStr">
        <is>
          <t>No</t>
        </is>
      </c>
      <c r="L56" s="2" t="n">
        <v>11</v>
      </c>
      <c r="M56" s="5" t="n">
        <v>0.8461538461538461</v>
      </c>
      <c r="N56" s="2" t="inlineStr">
        <is>
          <t>m9_pr_response below minimum eligible sample (n=1); scored 0; m11_pr_decision30 below minimum eligible sample (n=1); scored 0</t>
        </is>
      </c>
      <c r="O56" s="2" t="inlineStr"/>
      <c r="P56" s="2" t="inlineStr"/>
    </row>
    <row r="57">
      <c r="A57" s="6" t="inlineStr">
        <is>
          <t>C4-056</t>
        </is>
      </c>
      <c r="B57" s="6" t="inlineStr">
        <is>
          <t>International Generic Sample Number (IGSN)</t>
        </is>
      </c>
      <c r="C57" s="6" t="inlineStr">
        <is>
          <t>no</t>
        </is>
      </c>
      <c r="D57" s="6" t="inlineStr">
        <is>
          <t>standard</t>
        </is>
      </c>
      <c r="E57" s="6" t="inlineStr">
        <is>
          <t>Exclude: standard</t>
        </is>
      </c>
      <c r="F57" s="6" t="inlineStr"/>
      <c r="G57" s="6" t="inlineStr"/>
      <c r="H57" s="6" t="inlineStr"/>
      <c r="I57" s="6" t="n"/>
      <c r="J57" s="6" t="n"/>
      <c r="K57" s="6" t="inlineStr">
        <is>
          <t>No</t>
        </is>
      </c>
      <c r="L57" s="6" t="n">
        <v>0</v>
      </c>
      <c r="M57" s="8" t="n">
        <v>0</v>
      </c>
      <c r="N57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57" s="6" t="inlineStr"/>
      <c r="P57" s="6" t="inlineStr"/>
    </row>
    <row r="58">
      <c r="A58" s="2" t="inlineStr">
        <is>
          <t>C4-057</t>
        </is>
      </c>
      <c r="B58" s="2" t="inlineStr">
        <is>
          <t>InvenioRDM</t>
        </is>
      </c>
      <c r="C58" s="2" t="inlineStr">
        <is>
          <t>yes</t>
        </is>
      </c>
      <c r="D58" s="2" t="inlineStr">
        <is>
          <t>software</t>
        </is>
      </c>
      <c r="E58" s="2" t="inlineStr">
        <is>
          <t>Ready</t>
        </is>
      </c>
      <c r="F58" s="2" t="inlineStr">
        <is>
          <t>github</t>
        </is>
      </c>
      <c r="G58" s="2" t="inlineStr">
        <is>
          <t>inveniosoftware/invenio-app-rdm</t>
        </is>
      </c>
      <c r="H58" s="2" t="inlineStr">
        <is>
          <t>GitHub (same repo)</t>
        </is>
      </c>
      <c r="I58" s="2" t="inlineStr">
        <is>
          <t>complete</t>
        </is>
      </c>
      <c r="J58" s="2" t="inlineStr">
        <is>
          <t>complete</t>
        </is>
      </c>
      <c r="K58" s="2" t="inlineStr">
        <is>
          <t>No</t>
        </is>
      </c>
      <c r="L58" s="2" t="n">
        <v>13</v>
      </c>
      <c r="M58" s="5" t="n">
        <v>1</v>
      </c>
      <c r="N58" s="2" t="inlineStr">
        <is>
          <t>No missing metric inputs flagged by pipeline availability checks</t>
        </is>
      </c>
      <c r="O58" s="2" t="inlineStr"/>
      <c r="P58" s="2" t="inlineStr"/>
    </row>
    <row r="59">
      <c r="A59" s="2" t="inlineStr">
        <is>
          <t>C4-058</t>
        </is>
      </c>
      <c r="B59" s="2" t="inlineStr">
        <is>
          <t>iRODS</t>
        </is>
      </c>
      <c r="C59" s="2" t="inlineStr">
        <is>
          <t>yes</t>
        </is>
      </c>
      <c r="D59" s="2" t="inlineStr">
        <is>
          <t>software</t>
        </is>
      </c>
      <c r="E59" s="2" t="inlineStr">
        <is>
          <t>Ready</t>
        </is>
      </c>
      <c r="F59" s="2" t="inlineStr">
        <is>
          <t>github</t>
        </is>
      </c>
      <c r="G59" s="2" t="inlineStr">
        <is>
          <t>irods/irods</t>
        </is>
      </c>
      <c r="H59" s="2" t="inlineStr">
        <is>
          <t>GitHub (same repo)</t>
        </is>
      </c>
      <c r="I59" s="2" t="inlineStr">
        <is>
          <t>complete</t>
        </is>
      </c>
      <c r="J59" s="2" t="inlineStr">
        <is>
          <t>complete</t>
        </is>
      </c>
      <c r="K59" s="2" t="inlineStr">
        <is>
          <t>No</t>
        </is>
      </c>
      <c r="L59" s="2" t="n">
        <v>13</v>
      </c>
      <c r="M59" s="5" t="n">
        <v>1</v>
      </c>
      <c r="N59" s="2" t="inlineStr">
        <is>
          <t>No missing metric inputs flagged by pipeline availability checks</t>
        </is>
      </c>
      <c r="O59" s="2" t="inlineStr"/>
      <c r="P59" s="2" t="inlineStr"/>
    </row>
    <row r="60">
      <c r="A60" s="2" t="inlineStr">
        <is>
          <t>C4-059</t>
        </is>
      </c>
      <c r="B60" s="2" t="inlineStr">
        <is>
          <t>Islandora</t>
        </is>
      </c>
      <c r="C60" s="2" t="inlineStr">
        <is>
          <t>yes</t>
        </is>
      </c>
      <c r="D60" s="2" t="inlineStr">
        <is>
          <t>software</t>
        </is>
      </c>
      <c r="E60" s="2" t="inlineStr">
        <is>
          <t>Ready</t>
        </is>
      </c>
      <c r="F60" s="2" t="inlineStr">
        <is>
          <t>github</t>
        </is>
      </c>
      <c r="G60" s="2" t="inlineStr">
        <is>
          <t>Islandora/islandora</t>
        </is>
      </c>
      <c r="H60" s="2" t="inlineStr">
        <is>
          <t>GitHub: Islandora/documentation (central issue queue)</t>
        </is>
      </c>
      <c r="I60" s="2" t="inlineStr">
        <is>
          <t>complete</t>
        </is>
      </c>
      <c r="J60" s="2" t="inlineStr">
        <is>
          <t>complete</t>
        </is>
      </c>
      <c r="K60" s="2" t="inlineStr">
        <is>
          <t>No</t>
        </is>
      </c>
      <c r="L60" s="2" t="n">
        <v>12</v>
      </c>
      <c r="M60" s="5" t="n">
        <v>0.9230769230769231</v>
      </c>
      <c r="N60" s="2" t="inlineStr">
        <is>
          <t>m10_issue_close90 below minimum eligible sample (n=7); scored 0</t>
        </is>
      </c>
      <c r="O60" s="2" t="inlineStr"/>
      <c r="P60" s="2" t="inlineStr"/>
    </row>
    <row r="61">
      <c r="A61" s="2" t="inlineStr">
        <is>
          <t>C4-060</t>
        </is>
      </c>
      <c r="B61" s="2" t="inlineStr">
        <is>
          <t>Janeway</t>
        </is>
      </c>
      <c r="C61" s="2" t="inlineStr">
        <is>
          <t>yes</t>
        </is>
      </c>
      <c r="D61" s="2" t="inlineStr">
        <is>
          <t>software</t>
        </is>
      </c>
      <c r="E61" s="2" t="inlineStr">
        <is>
          <t>Ready</t>
        </is>
      </c>
      <c r="F61" s="2" t="inlineStr">
        <is>
          <t>github</t>
        </is>
      </c>
      <c r="G61" s="2" t="inlineStr">
        <is>
          <t>openlibhums/janeway</t>
        </is>
      </c>
      <c r="H61" s="2" t="inlineStr">
        <is>
          <t>GitHub (same repo)</t>
        </is>
      </c>
      <c r="I61" s="2" t="inlineStr">
        <is>
          <t>complete</t>
        </is>
      </c>
      <c r="J61" s="2" t="inlineStr">
        <is>
          <t>complete</t>
        </is>
      </c>
      <c r="K61" s="2" t="inlineStr">
        <is>
          <t>No</t>
        </is>
      </c>
      <c r="L61" s="2" t="n">
        <v>13</v>
      </c>
      <c r="M61" s="5" t="n">
        <v>1</v>
      </c>
      <c r="N61" s="2" t="inlineStr">
        <is>
          <t>No missing metric inputs flagged by pipeline availability checks</t>
        </is>
      </c>
      <c r="O61" s="2" t="inlineStr"/>
      <c r="P61" s="2" t="inlineStr"/>
    </row>
    <row r="62">
      <c r="A62" s="2" t="inlineStr">
        <is>
          <t>C4-061</t>
        </is>
      </c>
      <c r="B62" s="2" t="inlineStr">
        <is>
          <t>JHOVE</t>
        </is>
      </c>
      <c r="C62" s="2" t="inlineStr">
        <is>
          <t>yes</t>
        </is>
      </c>
      <c r="D62" s="2" t="inlineStr">
        <is>
          <t>software</t>
        </is>
      </c>
      <c r="E62" s="2" t="inlineStr">
        <is>
          <t>Ready</t>
        </is>
      </c>
      <c r="F62" s="2" t="inlineStr">
        <is>
          <t>github</t>
        </is>
      </c>
      <c r="G62" s="2" t="inlineStr">
        <is>
          <t>openpreserve/jhove</t>
        </is>
      </c>
      <c r="H62" s="2" t="inlineStr">
        <is>
          <t>GitHub (same repo)</t>
        </is>
      </c>
      <c r="I62" s="2" t="inlineStr">
        <is>
          <t>complete</t>
        </is>
      </c>
      <c r="J62" s="2" t="inlineStr">
        <is>
          <t>complete</t>
        </is>
      </c>
      <c r="K62" s="2" t="inlineStr">
        <is>
          <t>No</t>
        </is>
      </c>
      <c r="L62" s="2" t="n">
        <v>11</v>
      </c>
      <c r="M62" s="5" t="n">
        <v>0.8461538461538461</v>
      </c>
      <c r="N62" s="2" t="inlineStr">
        <is>
          <t>m9_pr_response below minimum eligible sample (n=8); scored 0; m11_pr_decision30 below minimum eligible sample (n=7); scored 0</t>
        </is>
      </c>
      <c r="O62" s="2" t="inlineStr"/>
      <c r="P62" s="2" t="inlineStr"/>
    </row>
    <row r="63">
      <c r="A63" s="2" t="inlineStr">
        <is>
          <t>C4-062</t>
        </is>
      </c>
      <c r="B63" s="2" t="inlineStr">
        <is>
          <t>LA Referencia</t>
        </is>
      </c>
      <c r="C63" s="2" t="inlineStr">
        <is>
          <t>yes</t>
        </is>
      </c>
      <c r="D63" s="2" t="inlineStr">
        <is>
          <t>software</t>
        </is>
      </c>
      <c r="E63" s="2" t="inlineStr">
        <is>
          <t>Ready</t>
        </is>
      </c>
      <c r="F63" s="2" t="inlineStr">
        <is>
          <t>github</t>
        </is>
      </c>
      <c r="G63" s="2" t="inlineStr">
        <is>
          <t>lareferencia/lareferencia-platform</t>
        </is>
      </c>
      <c r="H63" s="2" t="inlineStr">
        <is>
          <t>GitHub (same repo)</t>
        </is>
      </c>
      <c r="I63" s="2" t="inlineStr">
        <is>
          <t>complete</t>
        </is>
      </c>
      <c r="J63" s="2" t="inlineStr">
        <is>
          <t>complete</t>
        </is>
      </c>
      <c r="K63" s="2" t="inlineStr">
        <is>
          <t>No</t>
        </is>
      </c>
      <c r="L63" s="2" t="n">
        <v>11</v>
      </c>
      <c r="M63" s="5" t="n">
        <v>0.8461538461538461</v>
      </c>
      <c r="N63" s="2" t="inlineStr">
        <is>
          <t>m9_pr_response below minimum eligible sample (n=4); scored 0; m11_pr_decision30 below minimum eligible sample (n=4); scored 0</t>
        </is>
      </c>
      <c r="O63" s="2" t="inlineStr"/>
      <c r="P63" s="2" t="inlineStr"/>
    </row>
    <row r="64">
      <c r="A64" s="2" t="inlineStr">
        <is>
          <t>C4-063</t>
        </is>
      </c>
      <c r="B64" s="2" t="inlineStr">
        <is>
          <t>Manifold</t>
        </is>
      </c>
      <c r="C64" s="2" t="inlineStr">
        <is>
          <t>yes</t>
        </is>
      </c>
      <c r="D64" s="2" t="inlineStr">
        <is>
          <t>software</t>
        </is>
      </c>
      <c r="E64" s="2" t="inlineStr">
        <is>
          <t>Ready</t>
        </is>
      </c>
      <c r="F64" s="2" t="inlineStr">
        <is>
          <t>github</t>
        </is>
      </c>
      <c r="G64" s="2" t="inlineStr">
        <is>
          <t>ManifoldScholar/manifold</t>
        </is>
      </c>
      <c r="H64" s="2" t="inlineStr">
        <is>
          <t>GitHub (same repo)</t>
        </is>
      </c>
      <c r="I64" s="2" t="inlineStr">
        <is>
          <t>complete</t>
        </is>
      </c>
      <c r="J64" s="2" t="inlineStr">
        <is>
          <t>complete</t>
        </is>
      </c>
      <c r="K64" s="2" t="inlineStr">
        <is>
          <t>No</t>
        </is>
      </c>
      <c r="L64" s="2" t="n">
        <v>11</v>
      </c>
      <c r="M64" s="5" t="n">
        <v>0.8461538461538461</v>
      </c>
      <c r="N64" s="2" t="inlineStr">
        <is>
          <t>m8_issue_response below minimum eligible sample (n=9); scored 0; m10_issue_close90 below minimum eligible sample (n=7); scored 0</t>
        </is>
      </c>
      <c r="O64" s="2" t="inlineStr"/>
      <c r="P64" s="2" t="inlineStr"/>
    </row>
    <row r="65">
      <c r="A65" s="6" t="inlineStr">
        <is>
          <t>C4-064</t>
        </is>
      </c>
      <c r="B65" s="6" t="inlineStr">
        <is>
          <t>medRxiv</t>
        </is>
      </c>
      <c r="C65" s="6" t="inlineStr">
        <is>
          <t>no</t>
        </is>
      </c>
      <c r="D65" s="6" t="inlineStr">
        <is>
          <t>not-assessable</t>
        </is>
      </c>
      <c r="E65" s="6" t="inlineStr">
        <is>
          <t>Not assessable</t>
        </is>
      </c>
      <c r="F65" s="6" t="inlineStr"/>
      <c r="G65" s="6" t="inlineStr"/>
      <c r="H65" s="6" t="inlineStr"/>
      <c r="I65" s="6" t="n"/>
      <c r="J65" s="6" t="n"/>
      <c r="K65" s="6" t="inlineStr">
        <is>
          <t>No</t>
        </is>
      </c>
      <c r="L65" s="6" t="n">
        <v>0</v>
      </c>
      <c r="M65" s="8" t="n">
        <v>0</v>
      </c>
      <c r="N65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65" s="6" t="inlineStr"/>
      <c r="P65" s="6" t="inlineStr"/>
    </row>
    <row r="66">
      <c r="A66" s="2" t="inlineStr">
        <is>
          <t>C4-065</t>
        </is>
      </c>
      <c r="B66" s="2" t="inlineStr">
        <is>
          <t>Metadata Encoding and Transmission Standard (METS)</t>
        </is>
      </c>
      <c r="C66" s="2" t="inlineStr">
        <is>
          <t>yes</t>
        </is>
      </c>
      <c r="D66" s="2" t="inlineStr">
        <is>
          <t>standard</t>
        </is>
      </c>
      <c r="E66" s="2" t="inlineStr">
        <is>
          <t>Resolved URL -&gt; scoreable standard repo</t>
        </is>
      </c>
      <c r="F66" s="2" t="inlineStr">
        <is>
          <t>github</t>
        </is>
      </c>
      <c r="G66" s="2" t="inlineStr">
        <is>
          <t>mets/METS-schema</t>
        </is>
      </c>
      <c r="H66" s="2" t="inlineStr">
        <is>
          <t>GitHub (same repo)</t>
        </is>
      </c>
      <c r="I66" s="2" t="inlineStr">
        <is>
          <t>complete</t>
        </is>
      </c>
      <c r="J66" s="2" t="n"/>
      <c r="K66" s="2" t="inlineStr">
        <is>
          <t>No</t>
        </is>
      </c>
      <c r="L66" s="2" t="n">
        <v>7</v>
      </c>
      <c r="M66" s="5" t="n">
        <v>0.5384615384615384</v>
      </c>
      <c r="N66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66" s="2" t="inlineStr"/>
      <c r="P66" s="2" t="inlineStr"/>
    </row>
    <row r="67">
      <c r="A67" s="2" t="inlineStr">
        <is>
          <t>C4-066</t>
        </is>
      </c>
      <c r="B67" s="2" t="inlineStr">
        <is>
          <t>Mirador</t>
        </is>
      </c>
      <c r="C67" s="2" t="inlineStr">
        <is>
          <t>yes</t>
        </is>
      </c>
      <c r="D67" s="2" t="inlineStr">
        <is>
          <t>software</t>
        </is>
      </c>
      <c r="E67" s="2" t="inlineStr">
        <is>
          <t>Ready</t>
        </is>
      </c>
      <c r="F67" s="2" t="inlineStr">
        <is>
          <t>github</t>
        </is>
      </c>
      <c r="G67" s="2" t="inlineStr">
        <is>
          <t>projectmirador/mirador</t>
        </is>
      </c>
      <c r="H67" s="2" t="inlineStr">
        <is>
          <t>GitHub (same repo)</t>
        </is>
      </c>
      <c r="I67" s="2" t="inlineStr">
        <is>
          <t>complete</t>
        </is>
      </c>
      <c r="J67" s="2" t="inlineStr">
        <is>
          <t>complete</t>
        </is>
      </c>
      <c r="K67" s="2" t="inlineStr">
        <is>
          <t>No</t>
        </is>
      </c>
      <c r="L67" s="2" t="n">
        <v>13</v>
      </c>
      <c r="M67" s="5" t="n">
        <v>1</v>
      </c>
      <c r="N67" s="2" t="inlineStr">
        <is>
          <t>No missing metric inputs flagged by pipeline availability checks</t>
        </is>
      </c>
      <c r="O67" s="2" t="inlineStr"/>
      <c r="P67" s="2" t="inlineStr"/>
    </row>
    <row r="68">
      <c r="A68" s="2" t="inlineStr">
        <is>
          <t>C4-067</t>
        </is>
      </c>
      <c r="B68" s="2" t="inlineStr">
        <is>
          <t>Mukurtu CMS</t>
        </is>
      </c>
      <c r="C68" s="2" t="inlineStr">
        <is>
          <t>yes</t>
        </is>
      </c>
      <c r="D68" s="2" t="inlineStr">
        <is>
          <t>software</t>
        </is>
      </c>
      <c r="E68" s="2" t="inlineStr">
        <is>
          <t>Ready</t>
        </is>
      </c>
      <c r="F68" s="2" t="inlineStr">
        <is>
          <t>github</t>
        </is>
      </c>
      <c r="G68" s="2" t="inlineStr">
        <is>
          <t>MukurtuCMS/mukurtucms</t>
        </is>
      </c>
      <c r="H68" s="2" t="inlineStr">
        <is>
          <t>GitHub (same repo)</t>
        </is>
      </c>
      <c r="I68" s="2" t="inlineStr">
        <is>
          <t>complete</t>
        </is>
      </c>
      <c r="J68" s="2" t="inlineStr">
        <is>
          <t>complete</t>
        </is>
      </c>
      <c r="K68" s="2" t="inlineStr">
        <is>
          <t>No</t>
        </is>
      </c>
      <c r="L68" s="2" t="n">
        <v>9</v>
      </c>
      <c r="M68" s="5" t="n">
        <v>0.6923076923076923</v>
      </c>
      <c r="N68" s="2" t="inlineStr">
        <is>
          <t>m8_issue_response below minimum eligible sample (n=1); scored 0; m9_pr_response below minimum eligible sample (n=1); scored 0; m10_issue_close90 below minimum eligible sample (n=0); scored 0; m11_pr_decision30 below minimum eligible sample (n=1); scored 0</t>
        </is>
      </c>
      <c r="O68" s="2" t="inlineStr"/>
      <c r="P68" s="2" t="inlineStr"/>
    </row>
    <row r="69">
      <c r="A69" s="2" t="inlineStr">
        <is>
          <t>C4-068</t>
        </is>
      </c>
      <c r="B69" s="2" t="inlineStr">
        <is>
          <t>MyCoRe</t>
        </is>
      </c>
      <c r="C69" s="2" t="inlineStr">
        <is>
          <t>yes</t>
        </is>
      </c>
      <c r="D69" s="2" t="inlineStr">
        <is>
          <t>software</t>
        </is>
      </c>
      <c r="E69" s="2" t="inlineStr">
        <is>
          <t>Ready</t>
        </is>
      </c>
      <c r="F69" s="2" t="inlineStr">
        <is>
          <t>github</t>
        </is>
      </c>
      <c r="G69" s="2" t="inlineStr">
        <is>
          <t>MyCoRe-Org/mycore</t>
        </is>
      </c>
      <c r="H69" s="2" t="inlineStr">
        <is>
          <t>NONE on GitHub (no Issues tab) - external tracker not found</t>
        </is>
      </c>
      <c r="I69" s="2" t="inlineStr">
        <is>
          <t>complete</t>
        </is>
      </c>
      <c r="J69" s="2" t="inlineStr">
        <is>
          <t>complete</t>
        </is>
      </c>
      <c r="K69" s="2" t="inlineStr">
        <is>
          <t>No</t>
        </is>
      </c>
      <c r="L69" s="2" t="n">
        <v>11</v>
      </c>
      <c r="M69" s="5" t="n">
        <v>0.8461538461538461</v>
      </c>
      <c r="N69" s="2" t="inlineStr">
        <is>
          <t>m8_issue_response unavailable; scored 0; m10_issue_close90 unavailable; scored 0</t>
        </is>
      </c>
      <c r="O69" s="2" t="inlineStr"/>
      <c r="P69" s="2" t="inlineStr"/>
    </row>
    <row r="70">
      <c r="A70" s="2" t="inlineStr">
        <is>
          <t>C4-069</t>
        </is>
      </c>
      <c r="B70" s="2" t="inlineStr">
        <is>
          <t>NumPy</t>
        </is>
      </c>
      <c r="C70" s="2" t="inlineStr">
        <is>
          <t>yes</t>
        </is>
      </c>
      <c r="D70" s="2" t="inlineStr">
        <is>
          <t>software</t>
        </is>
      </c>
      <c r="E70" s="2" t="inlineStr">
        <is>
          <t>Ready</t>
        </is>
      </c>
      <c r="F70" s="2" t="inlineStr">
        <is>
          <t>github</t>
        </is>
      </c>
      <c r="G70" s="2" t="inlineStr">
        <is>
          <t>numpy/numpy</t>
        </is>
      </c>
      <c r="H70" s="2" t="inlineStr">
        <is>
          <t>GitHub (same repo)</t>
        </is>
      </c>
      <c r="I70" s="2" t="inlineStr">
        <is>
          <t>complete</t>
        </is>
      </c>
      <c r="J70" s="2" t="inlineStr">
        <is>
          <t>complete</t>
        </is>
      </c>
      <c r="K70" s="2" t="inlineStr">
        <is>
          <t>No</t>
        </is>
      </c>
      <c r="L70" s="2" t="n">
        <v>13</v>
      </c>
      <c r="M70" s="5" t="n">
        <v>1</v>
      </c>
      <c r="N70" s="2" t="inlineStr">
        <is>
          <t>No missing metric inputs flagged by pipeline availability checks</t>
        </is>
      </c>
      <c r="O70" s="2" t="inlineStr"/>
      <c r="P70" s="2" t="inlineStr"/>
    </row>
    <row r="71">
      <c r="A71" s="2" t="inlineStr">
        <is>
          <t>C4-070</t>
        </is>
      </c>
      <c r="B71" s="2" t="inlineStr">
        <is>
          <t>OA.Report</t>
        </is>
      </c>
      <c r="C71" s="2" t="inlineStr">
        <is>
          <t>yes</t>
        </is>
      </c>
      <c r="D71" s="2" t="inlineStr">
        <is>
          <t>software</t>
        </is>
      </c>
      <c r="E71" s="2" t="inlineStr">
        <is>
          <t>Ready</t>
        </is>
      </c>
      <c r="F71" s="2" t="inlineStr">
        <is>
          <t>github</t>
        </is>
      </c>
      <c r="G71" s="2" t="inlineStr">
        <is>
          <t>oaworks/oa-report</t>
        </is>
      </c>
      <c r="H71" s="2" t="inlineStr">
        <is>
          <t>NONE (Issues and PRs disabled)</t>
        </is>
      </c>
      <c r="I71" s="2" t="inlineStr">
        <is>
          <t>complete</t>
        </is>
      </c>
      <c r="J71" s="2" t="inlineStr">
        <is>
          <t>complete</t>
        </is>
      </c>
      <c r="K71" s="2" t="inlineStr">
        <is>
          <t>No</t>
        </is>
      </c>
      <c r="L71" s="2" t="n">
        <v>11</v>
      </c>
      <c r="M71" s="5" t="n">
        <v>0.8461538461538461</v>
      </c>
      <c r="N71" s="2" t="inlineStr">
        <is>
          <t>m8_issue_response unavailable; scored 0; m10_issue_close90 unavailable; scored 0</t>
        </is>
      </c>
      <c r="O71" s="2" t="inlineStr"/>
      <c r="P71" s="2" t="inlineStr"/>
    </row>
    <row r="72">
      <c r="A72" s="2" t="inlineStr">
        <is>
          <t>C4-071</t>
        </is>
      </c>
      <c r="B72" s="2" t="inlineStr">
        <is>
          <t>OA Switchboard</t>
        </is>
      </c>
      <c r="C72" s="2" t="inlineStr">
        <is>
          <t>yes</t>
        </is>
      </c>
      <c r="D72" s="2" t="inlineStr">
        <is>
          <t>software</t>
        </is>
      </c>
      <c r="E72" s="2" t="inlineStr">
        <is>
          <t>Non-GitHub</t>
        </is>
      </c>
      <c r="F72" s="2" t="inlineStr">
        <is>
          <t>bitbucket</t>
        </is>
      </c>
      <c r="G72" s="2" t="inlineStr">
        <is>
          <t>https://bitbucket.org/oaswitchboard/api</t>
        </is>
      </c>
      <c r="H72" s="2" t="inlineStr">
        <is>
          <t>Bitbucket (verify issues enabled)</t>
        </is>
      </c>
      <c r="I72" s="2" t="inlineStr">
        <is>
          <t>complete</t>
        </is>
      </c>
      <c r="J72" s="2" t="inlineStr">
        <is>
          <t>no GitHub source</t>
        </is>
      </c>
      <c r="K72" s="2" t="inlineStr">
        <is>
          <t>No</t>
        </is>
      </c>
      <c r="L72" s="2" t="n">
        <v>7</v>
      </c>
      <c r="M72" s="5" t="n">
        <v>0.5384615384615384</v>
      </c>
      <c r="N72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72" s="2" t="inlineStr"/>
      <c r="P72" s="2" t="inlineStr"/>
    </row>
    <row r="73">
      <c r="A73" s="2" t="inlineStr">
        <is>
          <t>C4-072</t>
        </is>
      </c>
      <c r="B73" s="2" t="inlineStr">
        <is>
          <t>Omeka</t>
        </is>
      </c>
      <c r="C73" s="2" t="inlineStr">
        <is>
          <t>yes</t>
        </is>
      </c>
      <c r="D73" s="2" t="inlineStr">
        <is>
          <t>software</t>
        </is>
      </c>
      <c r="E73" s="2" t="inlineStr">
        <is>
          <t>Replace URL (Omeka S)</t>
        </is>
      </c>
      <c r="F73" s="2" t="inlineStr">
        <is>
          <t>github</t>
        </is>
      </c>
      <c r="G73" s="2" t="inlineStr">
        <is>
          <t>omeka/omeka-s</t>
        </is>
      </c>
      <c r="H73" s="2" t="inlineStr">
        <is>
          <t>GitHub (same repo); Omeka forums</t>
        </is>
      </c>
      <c r="I73" s="2" t="inlineStr">
        <is>
          <t>complete</t>
        </is>
      </c>
      <c r="J73" s="2" t="inlineStr">
        <is>
          <t>complete</t>
        </is>
      </c>
      <c r="K73" s="2" t="inlineStr">
        <is>
          <t>No</t>
        </is>
      </c>
      <c r="L73" s="2" t="n">
        <v>13</v>
      </c>
      <c r="M73" s="5" t="n">
        <v>1</v>
      </c>
      <c r="N73" s="2" t="inlineStr">
        <is>
          <t>No missing metric inputs flagged by pipeline availability checks</t>
        </is>
      </c>
      <c r="O73" s="2" t="inlineStr"/>
      <c r="P73" s="2" t="inlineStr"/>
    </row>
    <row r="74">
      <c r="A74" s="2" t="inlineStr">
        <is>
          <t>C4-073</t>
        </is>
      </c>
      <c r="B74" s="2" t="inlineStr">
        <is>
          <t>OpenAIRE Graph</t>
        </is>
      </c>
      <c r="C74" s="2" t="inlineStr">
        <is>
          <t>yes</t>
        </is>
      </c>
      <c r="D74" s="2" t="inlineStr">
        <is>
          <t>software</t>
        </is>
      </c>
      <c r="E74" s="2" t="inlineStr">
        <is>
          <t>Non-GitHub</t>
        </is>
      </c>
      <c r="F74" s="2" t="inlineStr">
        <is>
          <t>gitea</t>
        </is>
      </c>
      <c r="G74" s="2" t="inlineStr">
        <is>
          <t>https://code-repo.d4science.org/D-Net/dnet-hadoop</t>
        </is>
      </c>
      <c r="H74" s="2" t="inlineStr">
        <is>
          <t>Gitea (same repo)</t>
        </is>
      </c>
      <c r="I74" s="2" t="inlineStr">
        <is>
          <t>complete</t>
        </is>
      </c>
      <c r="J74" s="2" t="inlineStr">
        <is>
          <t>no GitHub source</t>
        </is>
      </c>
      <c r="K74" s="2" t="inlineStr">
        <is>
          <t>No</t>
        </is>
      </c>
      <c r="L74" s="2" t="n">
        <v>7</v>
      </c>
      <c r="M74" s="5" t="n">
        <v>0.5384615384615384</v>
      </c>
      <c r="N74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74" s="2" t="inlineStr"/>
      <c r="P74" s="2" t="inlineStr"/>
    </row>
    <row r="75">
      <c r="A75" s="2" t="inlineStr">
        <is>
          <t>C4-074</t>
        </is>
      </c>
      <c r="B75" s="2" t="inlineStr">
        <is>
          <t>OpenAlex</t>
        </is>
      </c>
      <c r="C75" s="2" t="inlineStr">
        <is>
          <t>yes</t>
        </is>
      </c>
      <c r="D75" s="2" t="inlineStr">
        <is>
          <t>software</t>
        </is>
      </c>
      <c r="E75" s="2" t="inlineStr">
        <is>
          <t>Replace URL -&gt; product set</t>
        </is>
      </c>
      <c r="F75" s="2" t="inlineStr">
        <is>
          <t>github</t>
        </is>
      </c>
      <c r="G75" s="2" t="inlineStr">
        <is>
          <t>ourresearch/openalex-walden;ourresearch/openalex-elastic-api</t>
        </is>
      </c>
      <c r="H75" s="2" t="inlineStr">
        <is>
          <t>NONE on GitHub (elastic-api has no Issues tab); support via OpenAlex help desk</t>
        </is>
      </c>
      <c r="I75" s="2" t="inlineStr">
        <is>
          <t>complete</t>
        </is>
      </c>
      <c r="J75" s="2" t="inlineStr">
        <is>
          <t>complete</t>
        </is>
      </c>
      <c r="K75" s="2" t="inlineStr">
        <is>
          <t>No</t>
        </is>
      </c>
      <c r="L75" s="2" t="n">
        <v>11</v>
      </c>
      <c r="M75" s="5" t="n">
        <v>0.8461538461538461</v>
      </c>
      <c r="N75" s="2" t="inlineStr">
        <is>
          <t>m8_issue_response unavailable; scored 0; m10_issue_close90 unavailable; scored 0</t>
        </is>
      </c>
      <c r="O75" s="2" t="inlineStr"/>
      <c r="P75" s="2" t="inlineStr"/>
    </row>
    <row r="76">
      <c r="A76" s="2" t="inlineStr">
        <is>
          <t>C4-075</t>
        </is>
      </c>
      <c r="B76" s="2" t="inlineStr">
        <is>
          <t>OpenAPC</t>
        </is>
      </c>
      <c r="C76" s="2" t="inlineStr">
        <is>
          <t>yes</t>
        </is>
      </c>
      <c r="D76" s="2" t="inlineStr">
        <is>
          <t>software</t>
        </is>
      </c>
      <c r="E76" s="2" t="inlineStr">
        <is>
          <t>Ready</t>
        </is>
      </c>
      <c r="F76" s="2" t="inlineStr">
        <is>
          <t>github</t>
        </is>
      </c>
      <c r="G76" s="2" t="inlineStr">
        <is>
          <t>OpenAPC/openapc-de</t>
        </is>
      </c>
      <c r="H76" s="2" t="inlineStr">
        <is>
          <t>GitHub (same repo)</t>
        </is>
      </c>
      <c r="I76" s="2" t="inlineStr">
        <is>
          <t>complete</t>
        </is>
      </c>
      <c r="J76" s="2" t="inlineStr">
        <is>
          <t>complete</t>
        </is>
      </c>
      <c r="K76" s="2" t="inlineStr">
        <is>
          <t>No</t>
        </is>
      </c>
      <c r="L76" s="2" t="n">
        <v>11</v>
      </c>
      <c r="M76" s="5" t="n">
        <v>0.8461538461538461</v>
      </c>
      <c r="N76" s="2" t="inlineStr">
        <is>
          <t>m8_issue_response below minimum eligible sample (n=1); scored 0; m10_issue_close90 below minimum eligible sample (n=1); scored 0</t>
        </is>
      </c>
      <c r="O76" s="2" t="inlineStr"/>
      <c r="P76" s="2" t="inlineStr"/>
    </row>
    <row r="77">
      <c r="A77" s="2" t="inlineStr">
        <is>
          <t>C4-076</t>
        </is>
      </c>
      <c r="B77" s="2" t="inlineStr">
        <is>
          <t>OpenCitations</t>
        </is>
      </c>
      <c r="C77" s="2" t="inlineStr">
        <is>
          <t>yes</t>
        </is>
      </c>
      <c r="D77" s="2" t="inlineStr">
        <is>
          <t>software</t>
        </is>
      </c>
      <c r="E77" s="2" t="inlineStr">
        <is>
          <t>Replace URL</t>
        </is>
      </c>
      <c r="F77" s="2" t="inlineStr">
        <is>
          <t>github</t>
        </is>
      </c>
      <c r="G77" s="2" t="inlineStr">
        <is>
          <t>opencitations/oc_meta</t>
        </is>
      </c>
      <c r="H77" s="2" t="inlineStr">
        <is>
          <t>GitHub (same repo)</t>
        </is>
      </c>
      <c r="I77" s="2" t="inlineStr">
        <is>
          <t>complete</t>
        </is>
      </c>
      <c r="J77" s="2" t="inlineStr">
        <is>
          <t>complete</t>
        </is>
      </c>
      <c r="K77" s="2" t="inlineStr">
        <is>
          <t>No</t>
        </is>
      </c>
      <c r="L77" s="2" t="n">
        <v>9</v>
      </c>
      <c r="M77" s="5" t="n">
        <v>0.6923076923076923</v>
      </c>
      <c r="N77" s="2" t="inlineStr">
        <is>
          <t>m8_issue_response below minimum eligible sample (n=4); scored 0; m9_pr_response below minimum eligible sample (n=1); scored 0; m10_issue_close90 below minimum eligible sample (n=1); scored 0; m11_pr_decision30 below minimum eligible sample (n=0); scored 0</t>
        </is>
      </c>
      <c r="O77" s="2" t="inlineStr"/>
      <c r="P77" s="2" t="inlineStr"/>
    </row>
    <row r="78">
      <c r="A78" s="2" t="inlineStr">
        <is>
          <t>C4-077</t>
        </is>
      </c>
      <c r="B78" s="2" t="inlineStr">
        <is>
          <t>openCost</t>
        </is>
      </c>
      <c r="C78" s="2" t="inlineStr">
        <is>
          <t>yes</t>
        </is>
      </c>
      <c r="D78" s="2" t="inlineStr">
        <is>
          <t>software</t>
        </is>
      </c>
      <c r="E78" s="2" t="inlineStr">
        <is>
          <t>Fix URL (repo root)</t>
        </is>
      </c>
      <c r="F78" s="2" t="inlineStr">
        <is>
          <t>github</t>
        </is>
      </c>
      <c r="G78" s="2" t="inlineStr">
        <is>
          <t>opencost-de/opencost</t>
        </is>
      </c>
      <c r="H78" s="2" t="inlineStr">
        <is>
          <t>GitHub (same repo)</t>
        </is>
      </c>
      <c r="I78" s="2" t="inlineStr">
        <is>
          <t>complete</t>
        </is>
      </c>
      <c r="J78" s="2" t="inlineStr">
        <is>
          <t>complete</t>
        </is>
      </c>
      <c r="K78" s="2" t="inlineStr">
        <is>
          <t>No</t>
        </is>
      </c>
      <c r="L78" s="2" t="n">
        <v>11</v>
      </c>
      <c r="M78" s="5" t="n">
        <v>0.8461538461538461</v>
      </c>
      <c r="N78" s="2" t="inlineStr">
        <is>
          <t>m9_pr_response below minimum eligible sample (n=9); scored 0; m11_pr_decision30 below minimum eligible sample (n=4); scored 0</t>
        </is>
      </c>
      <c r="O78" s="2" t="inlineStr"/>
      <c r="P78" s="2" t="inlineStr"/>
    </row>
    <row r="79">
      <c r="A79" s="2" t="inlineStr">
        <is>
          <t>C4-078</t>
        </is>
      </c>
      <c r="B79" s="2" t="inlineStr">
        <is>
          <t>Open Data Editor</t>
        </is>
      </c>
      <c r="C79" s="2" t="inlineStr">
        <is>
          <t>yes</t>
        </is>
      </c>
      <c r="D79" s="2" t="inlineStr">
        <is>
          <t>software</t>
        </is>
      </c>
      <c r="E79" s="2" t="inlineStr">
        <is>
          <t>Ready</t>
        </is>
      </c>
      <c r="F79" s="2" t="inlineStr">
        <is>
          <t>github</t>
        </is>
      </c>
      <c r="G79" s="2" t="inlineStr">
        <is>
          <t>okfn/opendataeditor</t>
        </is>
      </c>
      <c r="H79" s="2" t="inlineStr">
        <is>
          <t>GitHub (same repo)</t>
        </is>
      </c>
      <c r="I79" s="2" t="inlineStr">
        <is>
          <t>complete</t>
        </is>
      </c>
      <c r="J79" s="2" t="inlineStr">
        <is>
          <t>complete</t>
        </is>
      </c>
      <c r="K79" s="2" t="inlineStr">
        <is>
          <t>No</t>
        </is>
      </c>
      <c r="L79" s="2" t="n">
        <v>11</v>
      </c>
      <c r="M79" s="5" t="n">
        <v>0.8461538461538461</v>
      </c>
      <c r="N79" s="2" t="inlineStr">
        <is>
          <t>m8_issue_response below minimum eligible sample (n=9); scored 0; m10_issue_close90 below minimum eligible sample (n=8); scored 0</t>
        </is>
      </c>
      <c r="O79" s="2" t="inlineStr"/>
      <c r="P79" s="2" t="inlineStr"/>
    </row>
    <row r="80">
      <c r="A80" s="2" t="inlineStr">
        <is>
          <t>C4-079</t>
        </is>
      </c>
      <c r="B80" s="2" t="inlineStr">
        <is>
          <t>OpenEdition</t>
        </is>
      </c>
      <c r="C80" s="2" t="inlineStr">
        <is>
          <t>yes</t>
        </is>
      </c>
      <c r="D80" s="2" t="inlineStr">
        <is>
          <t>software</t>
        </is>
      </c>
      <c r="E80" s="2" t="inlineStr">
        <is>
          <t>Replace URL</t>
        </is>
      </c>
      <c r="F80" s="2" t="inlineStr">
        <is>
          <t>github</t>
        </is>
      </c>
      <c r="G80" s="2" t="inlineStr">
        <is>
          <t>OpenEdition/lodel</t>
        </is>
      </c>
      <c r="H80" s="2" t="inlineStr">
        <is>
          <t>GitHub (same repo)</t>
        </is>
      </c>
      <c r="I80" s="2" t="inlineStr">
        <is>
          <t>complete</t>
        </is>
      </c>
      <c r="J80" s="2" t="inlineStr">
        <is>
          <t>complete</t>
        </is>
      </c>
      <c r="K80" s="2" t="inlineStr">
        <is>
          <t>No</t>
        </is>
      </c>
      <c r="L80" s="2" t="n">
        <v>9</v>
      </c>
      <c r="M80" s="5" t="n">
        <v>0.6923076923076923</v>
      </c>
      <c r="N80" s="2" t="inlineStr">
        <is>
          <t>m8_issue_response below minimum eligible sample (n=0); scored 0; m9_pr_response below minimum eligible sample (n=1); scored 0; m10_issue_close90 below minimum eligible sample (n=0); scored 0; m11_pr_decision30 below minimum eligible sample (n=1); scored 0</t>
        </is>
      </c>
      <c r="O80" s="2" t="inlineStr"/>
      <c r="P80" s="2" t="inlineStr"/>
    </row>
    <row r="81">
      <c r="A81" s="2" t="inlineStr">
        <is>
          <t>C4-080</t>
        </is>
      </c>
      <c r="B81" s="2" t="inlineStr">
        <is>
          <t>Open Journal Systems (OJS)</t>
        </is>
      </c>
      <c r="C81" s="2" t="inlineStr">
        <is>
          <t>yes</t>
        </is>
      </c>
      <c r="D81" s="2" t="inlineStr">
        <is>
          <t>software</t>
        </is>
      </c>
      <c r="E81" s="2" t="inlineStr">
        <is>
          <t>Ready</t>
        </is>
      </c>
      <c r="F81" s="2" t="inlineStr">
        <is>
          <t>github</t>
        </is>
      </c>
      <c r="G81" s="2" t="inlineStr">
        <is>
          <t>pkp/ojs</t>
        </is>
      </c>
      <c r="H81" s="2" t="inlineStr">
        <is>
          <t>GitHub: pkp/pkp-lib</t>
        </is>
      </c>
      <c r="I81" s="2" t="inlineStr">
        <is>
          <t>complete</t>
        </is>
      </c>
      <c r="J81" s="2" t="inlineStr">
        <is>
          <t>complete</t>
        </is>
      </c>
      <c r="K81" s="2" t="inlineStr">
        <is>
          <t>No</t>
        </is>
      </c>
      <c r="L81" s="2" t="n">
        <v>13</v>
      </c>
      <c r="M81" s="5" t="n">
        <v>1</v>
      </c>
      <c r="N81" s="2" t="inlineStr">
        <is>
          <t>No missing metric inputs flagged by pipeline availability checks</t>
        </is>
      </c>
      <c r="O81" s="2" t="inlineStr"/>
      <c r="P81" s="2" t="inlineStr"/>
    </row>
    <row r="82">
      <c r="A82" s="2" t="inlineStr">
        <is>
          <t>C4-081</t>
        </is>
      </c>
      <c r="B82" s="2" t="inlineStr">
        <is>
          <t>Open Monograph Press (OMP)</t>
        </is>
      </c>
      <c r="C82" s="2" t="inlineStr">
        <is>
          <t>yes</t>
        </is>
      </c>
      <c r="D82" s="2" t="inlineStr">
        <is>
          <t>software</t>
        </is>
      </c>
      <c r="E82" s="2" t="inlineStr">
        <is>
          <t>Ready</t>
        </is>
      </c>
      <c r="F82" s="2" t="inlineStr">
        <is>
          <t>github</t>
        </is>
      </c>
      <c r="G82" s="2" t="inlineStr">
        <is>
          <t>pkp/omp</t>
        </is>
      </c>
      <c r="H82" s="2" t="inlineStr">
        <is>
          <t>GitHub: pkp/pkp-lib</t>
        </is>
      </c>
      <c r="I82" s="2" t="inlineStr">
        <is>
          <t>complete</t>
        </is>
      </c>
      <c r="J82" s="2" t="inlineStr">
        <is>
          <t>complete</t>
        </is>
      </c>
      <c r="K82" s="2" t="inlineStr">
        <is>
          <t>No</t>
        </is>
      </c>
      <c r="L82" s="2" t="n">
        <v>13</v>
      </c>
      <c r="M82" s="5" t="n">
        <v>1</v>
      </c>
      <c r="N82" s="2" t="inlineStr">
        <is>
          <t>No missing metric inputs flagged by pipeline availability checks</t>
        </is>
      </c>
      <c r="O82" s="2" t="inlineStr"/>
      <c r="P82" s="2" t="inlineStr"/>
    </row>
    <row r="83">
      <c r="A83" s="2" t="inlineStr">
        <is>
          <t>C4-082</t>
        </is>
      </c>
      <c r="B83" s="2" t="inlineStr">
        <is>
          <t>Open Preprint Systems (OPS)</t>
        </is>
      </c>
      <c r="C83" s="2" t="inlineStr">
        <is>
          <t>yes</t>
        </is>
      </c>
      <c r="D83" s="2" t="inlineStr">
        <is>
          <t>software</t>
        </is>
      </c>
      <c r="E83" s="2" t="inlineStr">
        <is>
          <t>Ready</t>
        </is>
      </c>
      <c r="F83" s="2" t="inlineStr">
        <is>
          <t>github</t>
        </is>
      </c>
      <c r="G83" s="2" t="inlineStr">
        <is>
          <t>pkp/ops</t>
        </is>
      </c>
      <c r="H83" s="2" t="inlineStr">
        <is>
          <t>GitHub: pkp/pkp-lib</t>
        </is>
      </c>
      <c r="I83" s="2" t="inlineStr">
        <is>
          <t>complete</t>
        </is>
      </c>
      <c r="J83" s="2" t="inlineStr">
        <is>
          <t>complete</t>
        </is>
      </c>
      <c r="K83" s="2" t="inlineStr">
        <is>
          <t>No</t>
        </is>
      </c>
      <c r="L83" s="2" t="n">
        <v>13</v>
      </c>
      <c r="M83" s="5" t="n">
        <v>1</v>
      </c>
      <c r="N83" s="2" t="inlineStr">
        <is>
          <t>No missing metric inputs flagged by pipeline availability checks</t>
        </is>
      </c>
      <c r="O83" s="2" t="inlineStr"/>
      <c r="P83" s="2" t="inlineStr"/>
    </row>
    <row r="84">
      <c r="A84" s="2" t="inlineStr">
        <is>
          <t>C4-083</t>
        </is>
      </c>
      <c r="B84" s="2" t="inlineStr">
        <is>
          <t>Openverse</t>
        </is>
      </c>
      <c r="C84" s="2" t="inlineStr">
        <is>
          <t>yes</t>
        </is>
      </c>
      <c r="D84" s="2" t="inlineStr">
        <is>
          <t>software</t>
        </is>
      </c>
      <c r="E84" s="2" t="inlineStr">
        <is>
          <t>Ready</t>
        </is>
      </c>
      <c r="F84" s="2" t="inlineStr">
        <is>
          <t>github</t>
        </is>
      </c>
      <c r="G84" s="2" t="inlineStr">
        <is>
          <t>WordPress/openverse</t>
        </is>
      </c>
      <c r="H84" s="2" t="inlineStr">
        <is>
          <t>GitHub (same repo)</t>
        </is>
      </c>
      <c r="I84" s="2" t="inlineStr">
        <is>
          <t>complete</t>
        </is>
      </c>
      <c r="J84" s="2" t="inlineStr">
        <is>
          <t>complete</t>
        </is>
      </c>
      <c r="K84" s="2" t="inlineStr">
        <is>
          <t>No</t>
        </is>
      </c>
      <c r="L84" s="2" t="n">
        <v>13</v>
      </c>
      <c r="M84" s="5" t="n">
        <v>1</v>
      </c>
      <c r="N84" s="2" t="inlineStr">
        <is>
          <t>No missing metric inputs flagged by pipeline availability checks</t>
        </is>
      </c>
      <c r="O84" s="2" t="inlineStr"/>
      <c r="P84" s="2" t="inlineStr"/>
    </row>
    <row r="85">
      <c r="A85" s="2" t="inlineStr">
        <is>
          <t>C4-084</t>
        </is>
      </c>
      <c r="B85" s="2" t="inlineStr">
        <is>
          <t>O Portal Brasileiro de Publicações e Dados Científicos em Acesso Aberto (The Brazilian Open Access Publications and Scientific Data Portal) (Oasisbr)</t>
        </is>
      </c>
      <c r="C85" s="2" t="inlineStr">
        <is>
          <t>yes</t>
        </is>
      </c>
      <c r="D85" s="2" t="inlineStr">
        <is>
          <t>software</t>
        </is>
      </c>
      <c r="E85" s="2" t="inlineStr">
        <is>
          <t>Replace URL + fork rule (decide branch)</t>
        </is>
      </c>
      <c r="F85" s="2" t="inlineStr">
        <is>
          <t>github</t>
        </is>
      </c>
      <c r="G85" s="2" t="inlineStr">
        <is>
          <t>projetos-codic-ibict/vufind-oasisbr</t>
        </is>
      </c>
      <c r="H85" s="2" t="inlineStr">
        <is>
          <t>NONE (no Issues tab)</t>
        </is>
      </c>
      <c r="I85" s="2" t="inlineStr">
        <is>
          <t>complete</t>
        </is>
      </c>
      <c r="J85" s="2" t="inlineStr">
        <is>
          <t>complete</t>
        </is>
      </c>
      <c r="K85" s="2" t="inlineStr">
        <is>
          <t>No</t>
        </is>
      </c>
      <c r="L85" s="2" t="n">
        <v>9</v>
      </c>
      <c r="M85" s="5" t="n">
        <v>0.6923076923076923</v>
      </c>
      <c r="N85" s="2" t="inlineStr">
        <is>
          <t>m8_issue_response unavailable; scored 0; m9_pr_response below minimum eligible sample (n=0); scored 0; m10_issue_close90 unavailable; scored 0; m11_pr_decision30 below minimum eligible sample (n=0); scored 0</t>
        </is>
      </c>
      <c r="O85" s="2" t="inlineStr"/>
      <c r="P85" s="2" t="inlineStr"/>
    </row>
    <row r="86">
      <c r="A86" s="2" t="inlineStr">
        <is>
          <t>C4-085</t>
        </is>
      </c>
      <c r="B86" s="2" t="inlineStr">
        <is>
          <t>OSF (Open Science Framework)</t>
        </is>
      </c>
      <c r="C86" s="2" t="inlineStr">
        <is>
          <t>yes</t>
        </is>
      </c>
      <c r="D86" s="2" t="inlineStr">
        <is>
          <t>software</t>
        </is>
      </c>
      <c r="E86" s="2" t="inlineStr">
        <is>
          <t>Ready</t>
        </is>
      </c>
      <c r="F86" s="2" t="inlineStr">
        <is>
          <t>github</t>
        </is>
      </c>
      <c r="G86" s="2" t="inlineStr">
        <is>
          <t>CenterForOpenScience/osf.io</t>
        </is>
      </c>
      <c r="H86" s="2" t="inlineStr">
        <is>
          <t>GitHub (same repo)</t>
        </is>
      </c>
      <c r="I86" s="2" t="inlineStr">
        <is>
          <t>complete</t>
        </is>
      </c>
      <c r="J86" s="2" t="inlineStr">
        <is>
          <t>complete</t>
        </is>
      </c>
      <c r="K86" s="2" t="inlineStr">
        <is>
          <t>No</t>
        </is>
      </c>
      <c r="L86" s="2" t="n">
        <v>13</v>
      </c>
      <c r="M86" s="5" t="n">
        <v>1</v>
      </c>
      <c r="N86" s="2" t="inlineStr">
        <is>
          <t>No missing metric inputs flagged by pipeline availability checks</t>
        </is>
      </c>
      <c r="O86" s="2" t="inlineStr"/>
      <c r="P86" s="2" t="inlineStr"/>
    </row>
    <row r="87">
      <c r="A87" s="6" t="inlineStr">
        <is>
          <t>C4-086</t>
        </is>
      </c>
      <c r="B87" s="6" t="inlineStr">
        <is>
          <t>Oxford Common File Layout</t>
        </is>
      </c>
      <c r="C87" s="6" t="inlineStr">
        <is>
          <t>no</t>
        </is>
      </c>
      <c r="D87" s="6" t="inlineStr">
        <is>
          <t>standard</t>
        </is>
      </c>
      <c r="E87" s="6" t="inlineStr">
        <is>
          <t>Exclude: standard</t>
        </is>
      </c>
      <c r="F87" s="6" t="inlineStr">
        <is>
          <t>github</t>
        </is>
      </c>
      <c r="G87" s="6" t="inlineStr">
        <is>
          <t>OCFL/spec</t>
        </is>
      </c>
      <c r="H87" s="6" t="inlineStr"/>
      <c r="I87" s="6" t="n"/>
      <c r="J87" s="6" t="n"/>
      <c r="K87" s="6" t="inlineStr">
        <is>
          <t>No</t>
        </is>
      </c>
      <c r="L87" s="6" t="n">
        <v>0</v>
      </c>
      <c r="M87" s="8" t="n">
        <v>0</v>
      </c>
      <c r="N87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87" s="6" t="inlineStr"/>
      <c r="P87" s="6" t="inlineStr"/>
    </row>
    <row r="88">
      <c r="A88" s="2" t="inlineStr">
        <is>
          <t>C4-087</t>
        </is>
      </c>
      <c r="B88" s="2" t="inlineStr">
        <is>
          <t>Peer Community In</t>
        </is>
      </c>
      <c r="C88" s="2" t="inlineStr">
        <is>
          <t>yes</t>
        </is>
      </c>
      <c r="D88" s="2" t="inlineStr">
        <is>
          <t>software</t>
        </is>
      </c>
      <c r="E88" s="2" t="inlineStr">
        <is>
          <t>Ready</t>
        </is>
      </c>
      <c r="F88" s="2" t="inlineStr">
        <is>
          <t>github</t>
        </is>
      </c>
      <c r="G88" s="2" t="inlineStr">
        <is>
          <t>pci-dev/pci</t>
        </is>
      </c>
      <c r="H88" s="2" t="inlineStr">
        <is>
          <t>NONE (no Issues tab)</t>
        </is>
      </c>
      <c r="I88" s="2" t="inlineStr">
        <is>
          <t>complete</t>
        </is>
      </c>
      <c r="J88" s="2" t="inlineStr">
        <is>
          <t>complete</t>
        </is>
      </c>
      <c r="K88" s="2" t="inlineStr">
        <is>
          <t>No</t>
        </is>
      </c>
      <c r="L88" s="2" t="n">
        <v>11</v>
      </c>
      <c r="M88" s="5" t="n">
        <v>0.8461538461538461</v>
      </c>
      <c r="N88" s="2" t="inlineStr">
        <is>
          <t>m8_issue_response unavailable; scored 0; m10_issue_close90 unavailable; scored 0</t>
        </is>
      </c>
      <c r="O88" s="2" t="inlineStr"/>
      <c r="P88" s="2" t="inlineStr"/>
    </row>
    <row r="89">
      <c r="A89" s="2" t="inlineStr">
        <is>
          <t>C4-088</t>
        </is>
      </c>
      <c r="B89" s="2" t="inlineStr">
        <is>
          <t>PKP Preservation Network</t>
        </is>
      </c>
      <c r="C89" s="2" t="inlineStr">
        <is>
          <t>yes</t>
        </is>
      </c>
      <c r="D89" s="2" t="inlineStr">
        <is>
          <t>software</t>
        </is>
      </c>
      <c r="E89" s="2" t="inlineStr">
        <is>
          <t>Ready</t>
        </is>
      </c>
      <c r="F89" s="2" t="inlineStr">
        <is>
          <t>github</t>
        </is>
      </c>
      <c r="G89" s="2" t="inlineStr">
        <is>
          <t>pkp/pln</t>
        </is>
      </c>
      <c r="H89" s="2" t="inlineStr">
        <is>
          <t>GitHub (same repo)</t>
        </is>
      </c>
      <c r="I89" s="2" t="inlineStr">
        <is>
          <t>complete</t>
        </is>
      </c>
      <c r="J89" s="2" t="inlineStr">
        <is>
          <t>complete</t>
        </is>
      </c>
      <c r="K89" s="2" t="inlineStr">
        <is>
          <t>No</t>
        </is>
      </c>
      <c r="L89" s="2" t="n">
        <v>9</v>
      </c>
      <c r="M89" s="5" t="n">
        <v>0.6923076923076923</v>
      </c>
      <c r="N89" s="2" t="inlineStr">
        <is>
          <t>m8_issue_response below minimum eligible sample (n=4); scored 0; m9_pr_response below minimum eligible sample (n=9); scored 0; m10_issue_close90 below minimum eligible sample (n=0); scored 0; m11_pr_decision30 below minimum eligible sample (n=7); scored 0</t>
        </is>
      </c>
      <c r="O89" s="2" t="inlineStr"/>
      <c r="P89" s="2" t="inlineStr"/>
    </row>
    <row r="90">
      <c r="A90" s="2" t="inlineStr">
        <is>
          <t>C4-089</t>
        </is>
      </c>
      <c r="B90" s="2" t="inlineStr">
        <is>
          <t>PREreview</t>
        </is>
      </c>
      <c r="C90" s="2" t="inlineStr">
        <is>
          <t>yes</t>
        </is>
      </c>
      <c r="D90" s="2" t="inlineStr">
        <is>
          <t>software</t>
        </is>
      </c>
      <c r="E90" s="2" t="inlineStr">
        <is>
          <t>Ready</t>
        </is>
      </c>
      <c r="F90" s="2" t="inlineStr">
        <is>
          <t>github</t>
        </is>
      </c>
      <c r="G90" s="2" t="inlineStr">
        <is>
          <t>PREreview/prereview.org</t>
        </is>
      </c>
      <c r="H90" s="2" t="inlineStr">
        <is>
          <t>GitHub (same repo)</t>
        </is>
      </c>
      <c r="I90" s="2" t="inlineStr">
        <is>
          <t>complete</t>
        </is>
      </c>
      <c r="J90" s="2" t="inlineStr">
        <is>
          <t>complete</t>
        </is>
      </c>
      <c r="K90" s="2" t="inlineStr">
        <is>
          <t>No</t>
        </is>
      </c>
      <c r="L90" s="2" t="n">
        <v>13</v>
      </c>
      <c r="M90" s="5" t="n">
        <v>1</v>
      </c>
      <c r="N90" s="2" t="inlineStr">
        <is>
          <t>No missing metric inputs flagged by pipeline availability checks</t>
        </is>
      </c>
      <c r="O90" s="2" t="inlineStr"/>
      <c r="P90" s="2" t="inlineStr"/>
    </row>
    <row r="91">
      <c r="A91" s="2" t="inlineStr">
        <is>
          <t>C4-090</t>
        </is>
      </c>
      <c r="B91" s="2" t="inlineStr">
        <is>
          <t>Pressbooks</t>
        </is>
      </c>
      <c r="C91" s="2" t="inlineStr">
        <is>
          <t>yes</t>
        </is>
      </c>
      <c r="D91" s="2" t="inlineStr">
        <is>
          <t>software</t>
        </is>
      </c>
      <c r="E91" s="2" t="inlineStr">
        <is>
          <t>Ready</t>
        </is>
      </c>
      <c r="F91" s="2" t="inlineStr">
        <is>
          <t>github</t>
        </is>
      </c>
      <c r="G91" s="2" t="inlineStr">
        <is>
          <t>pressbooks/pressbooks</t>
        </is>
      </c>
      <c r="H91" s="2" t="inlineStr">
        <is>
          <t>GitHub (same repo)</t>
        </is>
      </c>
      <c r="I91" s="2" t="inlineStr">
        <is>
          <t>complete</t>
        </is>
      </c>
      <c r="J91" s="2" t="inlineStr">
        <is>
          <t>complete</t>
        </is>
      </c>
      <c r="K91" s="2" t="inlineStr">
        <is>
          <t>No</t>
        </is>
      </c>
      <c r="L91" s="2" t="n">
        <v>13</v>
      </c>
      <c r="M91" s="5" t="n">
        <v>1</v>
      </c>
      <c r="N91" s="2" t="inlineStr">
        <is>
          <t>No missing metric inputs flagged by pipeline availability checks</t>
        </is>
      </c>
      <c r="O91" s="2" t="inlineStr"/>
      <c r="P91" s="2" t="inlineStr"/>
    </row>
    <row r="92">
      <c r="A92" s="2" t="inlineStr">
        <is>
          <t>C4-091</t>
        </is>
      </c>
      <c r="B92" s="2" t="inlineStr">
        <is>
          <t>Public Access Submission System</t>
        </is>
      </c>
      <c r="C92" s="2" t="inlineStr">
        <is>
          <t>yes</t>
        </is>
      </c>
      <c r="D92" s="2" t="inlineStr">
        <is>
          <t>software</t>
        </is>
      </c>
      <c r="E92" s="2" t="inlineStr">
        <is>
          <t>Ready -&gt; umbrella expanded to product set</t>
        </is>
      </c>
      <c r="F92" s="2" t="inlineStr">
        <is>
          <t>github</t>
        </is>
      </c>
      <c r="G92" s="2" t="inlineStr">
        <is>
          <t>eclipse-pass/main;eclipse-pass/pass-core;eclipse-pass/pass-ui</t>
        </is>
      </c>
      <c r="H92" s="2" t="inlineStr">
        <is>
          <t>GitHub (umbrella repo eclipse-pass/main)</t>
        </is>
      </c>
      <c r="I92" s="2" t="inlineStr">
        <is>
          <t>complete</t>
        </is>
      </c>
      <c r="J92" s="2" t="inlineStr">
        <is>
          <t>complete</t>
        </is>
      </c>
      <c r="K92" s="2" t="inlineStr">
        <is>
          <t>No</t>
        </is>
      </c>
      <c r="L92" s="2" t="n">
        <v>13</v>
      </c>
      <c r="M92" s="5" t="n">
        <v>1</v>
      </c>
      <c r="N92" s="2" t="inlineStr">
        <is>
          <t>No missing metric inputs flagged by pipeline availability checks</t>
        </is>
      </c>
      <c r="O92" s="2" t="inlineStr"/>
      <c r="P92" s="2" t="inlineStr"/>
    </row>
    <row r="93">
      <c r="A93" s="2" t="inlineStr">
        <is>
          <t>C4-092</t>
        </is>
      </c>
      <c r="B93" s="2" t="inlineStr">
        <is>
          <t>Public Utility Data Liberation (PUDL)</t>
        </is>
      </c>
      <c r="C93" s="2" t="inlineStr">
        <is>
          <t>yes</t>
        </is>
      </c>
      <c r="D93" s="2" t="inlineStr">
        <is>
          <t>software</t>
        </is>
      </c>
      <c r="E93" s="2" t="inlineStr">
        <is>
          <t>Ready</t>
        </is>
      </c>
      <c r="F93" s="2" t="inlineStr">
        <is>
          <t>github</t>
        </is>
      </c>
      <c r="G93" s="2" t="inlineStr">
        <is>
          <t>catalyst-cooperative/pudl</t>
        </is>
      </c>
      <c r="H93" s="2" t="inlineStr">
        <is>
          <t>GitHub (same repo)</t>
        </is>
      </c>
      <c r="I93" s="2" t="inlineStr">
        <is>
          <t>complete</t>
        </is>
      </c>
      <c r="J93" s="2" t="inlineStr">
        <is>
          <t>complete</t>
        </is>
      </c>
      <c r="K93" s="2" t="inlineStr">
        <is>
          <t>No</t>
        </is>
      </c>
      <c r="L93" s="2" t="n">
        <v>13</v>
      </c>
      <c r="M93" s="5" t="n">
        <v>1</v>
      </c>
      <c r="N93" s="2" t="inlineStr">
        <is>
          <t>No missing metric inputs flagged by pipeline availability checks</t>
        </is>
      </c>
      <c r="O93" s="2" t="inlineStr"/>
      <c r="P93" s="2" t="inlineStr"/>
    </row>
    <row r="94">
      <c r="A94" s="2" t="inlineStr">
        <is>
          <t>C4-093</t>
        </is>
      </c>
      <c r="B94" s="2" t="inlineStr">
        <is>
          <t>PubPub</t>
        </is>
      </c>
      <c r="C94" s="2" t="inlineStr">
        <is>
          <t>yes</t>
        </is>
      </c>
      <c r="D94" s="2" t="inlineStr">
        <is>
          <t>software</t>
        </is>
      </c>
      <c r="E94" s="2" t="inlineStr">
        <is>
          <t>Replace URL</t>
        </is>
      </c>
      <c r="F94" s="2" t="inlineStr">
        <is>
          <t>github</t>
        </is>
      </c>
      <c r="G94" s="2" t="inlineStr">
        <is>
          <t>knowledgefutures/pubpub</t>
        </is>
      </c>
      <c r="H94" s="2" t="inlineStr">
        <is>
          <t>GitHub: pubpub/pubpub (verify)</t>
        </is>
      </c>
      <c r="I94" s="2" t="inlineStr">
        <is>
          <t>complete</t>
        </is>
      </c>
      <c r="J94" s="2" t="inlineStr">
        <is>
          <t>complete</t>
        </is>
      </c>
      <c r="K94" s="2" t="inlineStr">
        <is>
          <t>No</t>
        </is>
      </c>
      <c r="L94" s="2" t="n">
        <v>11</v>
      </c>
      <c r="M94" s="5" t="n">
        <v>0.8461538461538461</v>
      </c>
      <c r="N94" s="2" t="inlineStr">
        <is>
          <t>m8_issue_response below minimum eligible sample (n=9); scored 0; m10_issue_close90 below minimum eligible sample (n=9); scored 0</t>
        </is>
      </c>
      <c r="O94" s="2" t="inlineStr"/>
      <c r="P94" s="2" t="inlineStr"/>
    </row>
    <row r="95">
      <c r="A95" s="2" t="inlineStr">
        <is>
          <t>C4-094</t>
        </is>
      </c>
      <c r="B95" s="2" t="inlineStr">
        <is>
          <t>Pundit</t>
        </is>
      </c>
      <c r="C95" s="2" t="inlineStr">
        <is>
          <t>yes</t>
        </is>
      </c>
      <c r="D95" s="2" t="inlineStr">
        <is>
          <t>software</t>
        </is>
      </c>
      <c r="E95" s="2" t="inlineStr">
        <is>
          <t>Ready</t>
        </is>
      </c>
      <c r="F95" s="2" t="inlineStr">
        <is>
          <t>github</t>
        </is>
      </c>
      <c r="G95" s="2" t="inlineStr">
        <is>
          <t>net7/pundit-client</t>
        </is>
      </c>
      <c r="H95" s="2" t="inlineStr">
        <is>
          <t>GitHub (count not shown)</t>
        </is>
      </c>
      <c r="I95" s="2" t="inlineStr">
        <is>
          <t>complete</t>
        </is>
      </c>
      <c r="J95" s="2" t="inlineStr">
        <is>
          <t>complete</t>
        </is>
      </c>
      <c r="K95" s="2" t="inlineStr">
        <is>
          <t>No</t>
        </is>
      </c>
      <c r="L95" s="2" t="n">
        <v>9</v>
      </c>
      <c r="M95" s="5" t="n">
        <v>0.6923076923076923</v>
      </c>
      <c r="N95" s="2" t="inlineStr">
        <is>
          <t>m8_issue_response below minimum eligible sample (n=0); scored 0; m9_pr_response below minimum eligible sample (n=2); scored 0; m10_issue_close90 below minimum eligible sample (n=0); scored 0; m11_pr_decision30 below minimum eligible sample (n=2); scored 0</t>
        </is>
      </c>
      <c r="O95" s="2" t="inlineStr"/>
      <c r="P95" s="2" t="inlineStr"/>
    </row>
    <row r="96">
      <c r="A96" s="6" t="inlineStr">
        <is>
          <t>C4-095</t>
        </is>
      </c>
      <c r="B96" s="6" t="inlineStr">
        <is>
          <t>pyOpenSci</t>
        </is>
      </c>
      <c r="C96" s="6" t="inlineStr">
        <is>
          <t>no</t>
        </is>
      </c>
      <c r="D96" s="6" t="inlineStr">
        <is>
          <t>not-assessable</t>
        </is>
      </c>
      <c r="E96" s="6" t="inlineStr">
        <is>
          <t>Not assessable</t>
        </is>
      </c>
      <c r="F96" s="6" t="inlineStr"/>
      <c r="G96" s="6" t="inlineStr"/>
      <c r="H96" s="6" t="inlineStr"/>
      <c r="I96" s="6" t="n"/>
      <c r="J96" s="6" t="n"/>
      <c r="K96" s="6" t="inlineStr">
        <is>
          <t>No</t>
        </is>
      </c>
      <c r="L96" s="6" t="n">
        <v>0</v>
      </c>
      <c r="M96" s="8" t="n">
        <v>0</v>
      </c>
      <c r="N96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96" s="6" t="inlineStr"/>
      <c r="P96" s="6" t="inlineStr"/>
    </row>
    <row r="97">
      <c r="A97" s="2" t="inlineStr">
        <is>
          <t>C4-096</t>
        </is>
      </c>
      <c r="B97" s="2" t="inlineStr">
        <is>
          <t>Renku</t>
        </is>
      </c>
      <c r="C97" s="2" t="inlineStr">
        <is>
          <t>yes</t>
        </is>
      </c>
      <c r="D97" s="2" t="inlineStr">
        <is>
          <t>software</t>
        </is>
      </c>
      <c r="E97" s="2" t="inlineStr">
        <is>
          <t>Ready -&gt; umbrella expanded to product set</t>
        </is>
      </c>
      <c r="F97" s="2" t="inlineStr">
        <is>
          <t>github</t>
        </is>
      </c>
      <c r="G97" s="2" t="inlineStr">
        <is>
          <t>SwissDataScienceCenter/renku;SwissDataScienceCenter/renku-data-services;SwissDataScienceCenter/renku-ui</t>
        </is>
      </c>
      <c r="H97" s="2" t="inlineStr">
        <is>
          <t>GitHub (umbrella repo renku)</t>
        </is>
      </c>
      <c r="I97" s="2" t="inlineStr">
        <is>
          <t>complete</t>
        </is>
      </c>
      <c r="J97" s="2" t="inlineStr">
        <is>
          <t>complete</t>
        </is>
      </c>
      <c r="K97" s="2" t="inlineStr">
        <is>
          <t>No</t>
        </is>
      </c>
      <c r="L97" s="2" t="n">
        <v>13</v>
      </c>
      <c r="M97" s="5" t="n">
        <v>1</v>
      </c>
      <c r="N97" s="2" t="inlineStr">
        <is>
          <t>No missing metric inputs flagged by pipeline availability checks</t>
        </is>
      </c>
      <c r="O97" s="2" t="inlineStr"/>
      <c r="P97" s="2" t="inlineStr"/>
    </row>
    <row r="98">
      <c r="A98" s="6" t="inlineStr">
        <is>
          <t>C4-097</t>
        </is>
      </c>
      <c r="B98" s="6" t="inlineStr">
        <is>
          <t>RePEc</t>
        </is>
      </c>
      <c r="C98" s="6" t="inlineStr">
        <is>
          <t>no</t>
        </is>
      </c>
      <c r="D98" s="6" t="inlineStr">
        <is>
          <t>not-assessable</t>
        </is>
      </c>
      <c r="E98" s="6" t="inlineStr">
        <is>
          <t>Not assessable</t>
        </is>
      </c>
      <c r="F98" s="6" t="inlineStr"/>
      <c r="G98" s="6" t="inlineStr"/>
      <c r="H98" s="6" t="inlineStr"/>
      <c r="I98" s="6" t="n"/>
      <c r="J98" s="6" t="n"/>
      <c r="K98" s="6" t="inlineStr">
        <is>
          <t>No</t>
        </is>
      </c>
      <c r="L98" s="6" t="n">
        <v>0</v>
      </c>
      <c r="M98" s="8" t="n">
        <v>0</v>
      </c>
      <c r="N98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98" s="6" t="inlineStr"/>
      <c r="P98" s="6" t="inlineStr"/>
    </row>
    <row r="99">
      <c r="A99" s="2" t="inlineStr">
        <is>
          <t>C4-098</t>
        </is>
      </c>
      <c r="B99" s="2" t="inlineStr">
        <is>
          <t>Research Organization Registry (ROR)</t>
        </is>
      </c>
      <c r="C99" s="2" t="inlineStr">
        <is>
          <t>yes</t>
        </is>
      </c>
      <c r="D99" s="2" t="inlineStr">
        <is>
          <t>software</t>
        </is>
      </c>
      <c r="E99" s="2" t="inlineStr">
        <is>
          <t>Replace URL</t>
        </is>
      </c>
      <c r="F99" s="2" t="inlineStr">
        <is>
          <t>github</t>
        </is>
      </c>
      <c r="G99" s="2" t="inlineStr">
        <is>
          <t>ror-community/ror-api</t>
        </is>
      </c>
      <c r="H99" s="2" t="inlineStr">
        <is>
          <t>GitHub Issues show 0 open - ROR may track elsewhere; verify</t>
        </is>
      </c>
      <c r="I99" s="2" t="inlineStr">
        <is>
          <t>complete</t>
        </is>
      </c>
      <c r="J99" s="2" t="inlineStr">
        <is>
          <t>complete</t>
        </is>
      </c>
      <c r="K99" s="2" t="inlineStr">
        <is>
          <t>No</t>
        </is>
      </c>
      <c r="L99" s="2" t="n">
        <v>11</v>
      </c>
      <c r="M99" s="5" t="n">
        <v>0.8461538461538461</v>
      </c>
      <c r="N99" s="2" t="inlineStr">
        <is>
          <t>m8_issue_response below minimum eligible sample (n=0); scored 0; m10_issue_close90 below minimum eligible sample (n=0); scored 0</t>
        </is>
      </c>
      <c r="O99" s="2" t="inlineStr"/>
      <c r="P99" s="2" t="inlineStr"/>
    </row>
    <row r="100">
      <c r="A100" s="2" t="inlineStr">
        <is>
          <t>C4-099</t>
        </is>
      </c>
      <c r="B100" s="2" t="inlineStr">
        <is>
          <t>Rogue Scholar</t>
        </is>
      </c>
      <c r="C100" s="2" t="inlineStr">
        <is>
          <t>yes</t>
        </is>
      </c>
      <c r="D100" s="2" t="inlineStr">
        <is>
          <t>software</t>
        </is>
      </c>
      <c r="E100" s="2" t="inlineStr">
        <is>
          <t>Ready</t>
        </is>
      </c>
      <c r="F100" s="2" t="inlineStr">
        <is>
          <t>github</t>
        </is>
      </c>
      <c r="G100" s="2" t="inlineStr">
        <is>
          <t>front-matter/rogue-scholar</t>
        </is>
      </c>
      <c r="H100" s="2" t="inlineStr">
        <is>
          <t>GitHub (same repo)</t>
        </is>
      </c>
      <c r="I100" s="2" t="inlineStr">
        <is>
          <t>complete</t>
        </is>
      </c>
      <c r="J100" s="2" t="inlineStr">
        <is>
          <t>complete</t>
        </is>
      </c>
      <c r="K100" s="2" t="inlineStr">
        <is>
          <t>No</t>
        </is>
      </c>
      <c r="L100" s="2" t="n">
        <v>9</v>
      </c>
      <c r="M100" s="5" t="n">
        <v>0.6923076923076923</v>
      </c>
      <c r="N100" s="2" t="inlineStr">
        <is>
          <t>m8_issue_response below minimum eligible sample (n=0); scored 0; m9_pr_response below minimum eligible sample (n=1); scored 0; m10_issue_close90 below minimum eligible sample (n=0); scored 0; m11_pr_decision30 below minimum eligible sample (n=0); scored 0</t>
        </is>
      </c>
      <c r="O100" s="2" t="inlineStr"/>
      <c r="P100" s="2" t="inlineStr"/>
    </row>
    <row r="101">
      <c r="A101" s="2" t="inlineStr">
        <is>
          <t>C4-100</t>
        </is>
      </c>
      <c r="B101" s="2" t="inlineStr">
        <is>
          <t>RSpace</t>
        </is>
      </c>
      <c r="C101" s="2" t="inlineStr">
        <is>
          <t>yes</t>
        </is>
      </c>
      <c r="D101" s="2" t="inlineStr">
        <is>
          <t>software</t>
        </is>
      </c>
      <c r="E101" s="2" t="inlineStr">
        <is>
          <t>Ready</t>
        </is>
      </c>
      <c r="F101" s="2" t="inlineStr">
        <is>
          <t>github</t>
        </is>
      </c>
      <c r="G101" s="2" t="inlineStr">
        <is>
          <t>rspace-os/rspace-web</t>
        </is>
      </c>
      <c r="H101" s="2" t="inlineStr">
        <is>
          <t>GitHub (same repo)</t>
        </is>
      </c>
      <c r="I101" s="2" t="inlineStr">
        <is>
          <t>complete</t>
        </is>
      </c>
      <c r="J101" s="2" t="inlineStr">
        <is>
          <t>complete</t>
        </is>
      </c>
      <c r="K101" s="2" t="inlineStr">
        <is>
          <t>No</t>
        </is>
      </c>
      <c r="L101" s="2" t="n">
        <v>13</v>
      </c>
      <c r="M101" s="5" t="n">
        <v>1</v>
      </c>
      <c r="N101" s="2" t="inlineStr">
        <is>
          <t>No missing metric inputs flagged by pipeline availability checks</t>
        </is>
      </c>
      <c r="O101" s="2" t="inlineStr"/>
      <c r="P101" s="2" t="inlineStr"/>
    </row>
    <row r="102">
      <c r="A102" s="2" t="inlineStr">
        <is>
          <t>C4-101</t>
        </is>
      </c>
      <c r="B102" s="2" t="inlineStr">
        <is>
          <t>Sciety</t>
        </is>
      </c>
      <c r="C102" s="2" t="inlineStr">
        <is>
          <t>yes</t>
        </is>
      </c>
      <c r="D102" s="2" t="inlineStr">
        <is>
          <t>software</t>
        </is>
      </c>
      <c r="E102" s="2" t="inlineStr">
        <is>
          <t>Ready</t>
        </is>
      </c>
      <c r="F102" s="2" t="inlineStr">
        <is>
          <t>github</t>
        </is>
      </c>
      <c r="G102" s="2" t="inlineStr">
        <is>
          <t>sciety/sciety</t>
        </is>
      </c>
      <c r="H102" s="2" t="inlineStr">
        <is>
          <t>GitHub, barely used (2 open)</t>
        </is>
      </c>
      <c r="I102" s="2" t="inlineStr">
        <is>
          <t>complete</t>
        </is>
      </c>
      <c r="J102" s="2" t="inlineStr">
        <is>
          <t>complete</t>
        </is>
      </c>
      <c r="K102" s="2" t="inlineStr">
        <is>
          <t>No</t>
        </is>
      </c>
      <c r="L102" s="2" t="n">
        <v>11</v>
      </c>
      <c r="M102" s="5" t="n">
        <v>0.8461538461538461</v>
      </c>
      <c r="N102" s="2" t="inlineStr">
        <is>
          <t>m9_pr_response below minimum eligible sample (n=5); scored 0; m11_pr_decision30 below minimum eligible sample (n=5); scored 0</t>
        </is>
      </c>
      <c r="O102" s="2" t="inlineStr"/>
      <c r="P102" s="2" t="inlineStr"/>
    </row>
    <row r="103">
      <c r="A103" s="2" t="inlineStr">
        <is>
          <t>C4-102</t>
        </is>
      </c>
      <c r="B103" s="2" t="inlineStr">
        <is>
          <t>Synapse</t>
        </is>
      </c>
      <c r="C103" s="2" t="inlineStr">
        <is>
          <t>yes</t>
        </is>
      </c>
      <c r="D103" s="2" t="inlineStr">
        <is>
          <t>software</t>
        </is>
      </c>
      <c r="E103" s="2" t="inlineStr">
        <is>
          <t>Ready</t>
        </is>
      </c>
      <c r="F103" s="2" t="inlineStr">
        <is>
          <t>github</t>
        </is>
      </c>
      <c r="G103" s="2" t="inlineStr">
        <is>
          <t>Sage-Bionetworks/Synapse-Repository-Services</t>
        </is>
      </c>
      <c r="H103" s="2" t="inlineStr">
        <is>
          <t>Jira (sagebionetworks.jira.com)</t>
        </is>
      </c>
      <c r="I103" s="2" t="inlineStr">
        <is>
          <t>complete</t>
        </is>
      </c>
      <c r="J103" s="2" t="inlineStr">
        <is>
          <t>complete</t>
        </is>
      </c>
      <c r="K103" s="2" t="inlineStr">
        <is>
          <t>No</t>
        </is>
      </c>
      <c r="L103" s="2" t="n">
        <v>11</v>
      </c>
      <c r="M103" s="5" t="n">
        <v>0.8461538461538461</v>
      </c>
      <c r="N103" s="2" t="inlineStr">
        <is>
          <t>m8_issue_response unavailable; scored 0; m10_issue_close90 unavailable; scored 0</t>
        </is>
      </c>
      <c r="O103" s="2" t="inlineStr"/>
      <c r="P103" s="2" t="inlineStr"/>
    </row>
    <row r="104">
      <c r="A104" s="2" t="inlineStr">
        <is>
          <t>C4-103</t>
        </is>
      </c>
      <c r="B104" s="2" t="inlineStr">
        <is>
          <t>TagTeam</t>
        </is>
      </c>
      <c r="C104" s="2" t="inlineStr">
        <is>
          <t>yes</t>
        </is>
      </c>
      <c r="D104" s="2" t="inlineStr">
        <is>
          <t>software</t>
        </is>
      </c>
      <c r="E104" s="2" t="inlineStr">
        <is>
          <t>Keep (dormant)</t>
        </is>
      </c>
      <c r="F104" s="2" t="inlineStr">
        <is>
          <t>github</t>
        </is>
      </c>
      <c r="G104" s="2" t="inlineStr">
        <is>
          <t>berkmancenter/tagteam</t>
        </is>
      </c>
      <c r="H104" s="2" t="inlineStr">
        <is>
          <t>GitHub (same repo)</t>
        </is>
      </c>
      <c r="I104" s="2" t="inlineStr">
        <is>
          <t>complete</t>
        </is>
      </c>
      <c r="J104" s="2" t="inlineStr">
        <is>
          <t>complete</t>
        </is>
      </c>
      <c r="K104" s="2" t="inlineStr">
        <is>
          <t>No</t>
        </is>
      </c>
      <c r="L104" s="2" t="n">
        <v>9</v>
      </c>
      <c r="M104" s="5" t="n">
        <v>0.6923076923076923</v>
      </c>
      <c r="N104" s="2" t="inlineStr">
        <is>
          <t>m8_issue_response below minimum eligible sample (n=0); scored 0; m9_pr_response below minimum eligible sample (n=0); scored 0; m10_issue_close90 below minimum eligible sample (n=0); scored 0; m11_pr_decision30 below minimum eligible sample (n=0); scored 0</t>
        </is>
      </c>
      <c r="O104" s="2" t="inlineStr"/>
      <c r="P104" s="2" t="inlineStr"/>
    </row>
    <row r="105">
      <c r="A105" s="2" t="inlineStr">
        <is>
          <t>C4-104</t>
        </is>
      </c>
      <c r="B105" s="2" t="inlineStr">
        <is>
          <t>Thoth Open Metadata</t>
        </is>
      </c>
      <c r="C105" s="2" t="inlineStr">
        <is>
          <t>yes</t>
        </is>
      </c>
      <c r="D105" s="2" t="inlineStr">
        <is>
          <t>software</t>
        </is>
      </c>
      <c r="E105" s="2" t="inlineStr">
        <is>
          <t>Ready</t>
        </is>
      </c>
      <c r="F105" s="2" t="inlineStr">
        <is>
          <t>github</t>
        </is>
      </c>
      <c r="G105" s="2" t="inlineStr">
        <is>
          <t>thoth-pub/thoth</t>
        </is>
      </c>
      <c r="H105" s="2" t="inlineStr">
        <is>
          <t>GitHub (same repo)</t>
        </is>
      </c>
      <c r="I105" s="2" t="inlineStr">
        <is>
          <t>complete</t>
        </is>
      </c>
      <c r="J105" s="2" t="inlineStr">
        <is>
          <t>complete</t>
        </is>
      </c>
      <c r="K105" s="2" t="inlineStr">
        <is>
          <t>No</t>
        </is>
      </c>
      <c r="L105" s="2" t="n">
        <v>13</v>
      </c>
      <c r="M105" s="5" t="n">
        <v>1</v>
      </c>
      <c r="N105" s="2" t="inlineStr">
        <is>
          <t>No missing metric inputs flagged by pipeline availability checks</t>
        </is>
      </c>
      <c r="O105" s="2" t="inlineStr"/>
      <c r="P105" s="2" t="inlineStr"/>
    </row>
    <row r="106">
      <c r="A106" s="2" t="inlineStr">
        <is>
          <t>C4-105</t>
        </is>
      </c>
      <c r="B106" s="2" t="inlineStr">
        <is>
          <t>Tropy</t>
        </is>
      </c>
      <c r="C106" s="2" t="inlineStr">
        <is>
          <t>yes</t>
        </is>
      </c>
      <c r="D106" s="2" t="inlineStr">
        <is>
          <t>software</t>
        </is>
      </c>
      <c r="E106" s="2" t="inlineStr">
        <is>
          <t>Ready</t>
        </is>
      </c>
      <c r="F106" s="2" t="inlineStr">
        <is>
          <t>github</t>
        </is>
      </c>
      <c r="G106" s="2" t="inlineStr">
        <is>
          <t>tropy/tropy</t>
        </is>
      </c>
      <c r="H106" s="2" t="inlineStr">
        <is>
          <t>GitHub (same repo)</t>
        </is>
      </c>
      <c r="I106" s="2" t="inlineStr">
        <is>
          <t>complete</t>
        </is>
      </c>
      <c r="J106" s="2" t="inlineStr">
        <is>
          <t>complete</t>
        </is>
      </c>
      <c r="K106" s="2" t="inlineStr">
        <is>
          <t>No</t>
        </is>
      </c>
      <c r="L106" s="2" t="n">
        <v>13</v>
      </c>
      <c r="M106" s="5" t="n">
        <v>1</v>
      </c>
      <c r="N106" s="2" t="inlineStr">
        <is>
          <t>No missing metric inputs flagged by pipeline availability checks</t>
        </is>
      </c>
      <c r="O106" s="2" t="inlineStr"/>
      <c r="P106" s="2" t="inlineStr"/>
    </row>
    <row r="107">
      <c r="A107" s="2" t="inlineStr">
        <is>
          <t>C4-106</t>
        </is>
      </c>
      <c r="B107" s="2" t="inlineStr">
        <is>
          <t>veraPDF</t>
        </is>
      </c>
      <c r="C107" s="2" t="inlineStr">
        <is>
          <t>yes</t>
        </is>
      </c>
      <c r="D107" s="2" t="inlineStr">
        <is>
          <t>software</t>
        </is>
      </c>
      <c r="E107" s="2" t="inlineStr">
        <is>
          <t>Ready</t>
        </is>
      </c>
      <c r="F107" s="2" t="inlineStr">
        <is>
          <t>github</t>
        </is>
      </c>
      <c r="G107" s="2" t="inlineStr">
        <is>
          <t>veraPDF/veraPDF-library</t>
        </is>
      </c>
      <c r="H107" s="2" t="inlineStr">
        <is>
          <t>GitHub (same repo)</t>
        </is>
      </c>
      <c r="I107" s="2" t="inlineStr">
        <is>
          <t>complete</t>
        </is>
      </c>
      <c r="J107" s="2" t="inlineStr">
        <is>
          <t>complete</t>
        </is>
      </c>
      <c r="K107" s="2" t="inlineStr">
        <is>
          <t>No</t>
        </is>
      </c>
      <c r="L107" s="2" t="n">
        <v>13</v>
      </c>
      <c r="M107" s="5" t="n">
        <v>1</v>
      </c>
      <c r="N107" s="2" t="inlineStr">
        <is>
          <t>No missing metric inputs flagged by pipeline availability checks</t>
        </is>
      </c>
      <c r="O107" s="2" t="inlineStr"/>
      <c r="P107" s="2" t="inlineStr"/>
    </row>
    <row r="108">
      <c r="A108" s="2" t="inlineStr">
        <is>
          <t>C4-107</t>
        </is>
      </c>
      <c r="B108" s="2" t="inlineStr">
        <is>
          <t>ViPER</t>
        </is>
      </c>
      <c r="C108" s="2" t="inlineStr">
        <is>
          <t>yes</t>
        </is>
      </c>
      <c r="D108" s="2" t="inlineStr">
        <is>
          <t>software</t>
        </is>
      </c>
      <c r="E108" s="2" t="inlineStr">
        <is>
          <t>Ready</t>
        </is>
      </c>
      <c r="F108" s="2" t="inlineStr">
        <is>
          <t>github</t>
        </is>
      </c>
      <c r="G108" s="2" t="inlineStr">
        <is>
          <t>openpreserve/ViPER</t>
        </is>
      </c>
      <c r="H108" s="2" t="inlineStr">
        <is>
          <t>GitHub (same repo)</t>
        </is>
      </c>
      <c r="I108" s="2" t="inlineStr">
        <is>
          <t>complete</t>
        </is>
      </c>
      <c r="J108" s="2" t="inlineStr">
        <is>
          <t>complete</t>
        </is>
      </c>
      <c r="K108" s="2" t="inlineStr">
        <is>
          <t>No</t>
        </is>
      </c>
      <c r="L108" s="2" t="n">
        <v>9</v>
      </c>
      <c r="M108" s="5" t="n">
        <v>0.6923076923076923</v>
      </c>
      <c r="N108" s="2" t="inlineStr">
        <is>
          <t>m8_issue_response below minimum eligible sample (n=2); scored 0; m9_pr_response below minimum eligible sample (n=7); scored 0; m10_issue_close90 below minimum eligible sample (n=1); scored 0; m11_pr_decision30 below minimum eligible sample (n=6); scored 0</t>
        </is>
      </c>
      <c r="O108" s="2" t="inlineStr"/>
      <c r="P108" s="2" t="inlineStr"/>
    </row>
    <row r="109">
      <c r="A109" s="2" t="inlineStr">
        <is>
          <t>C4-108</t>
        </is>
      </c>
      <c r="B109" s="2" t="inlineStr">
        <is>
          <t>Vireo ETD</t>
        </is>
      </c>
      <c r="C109" s="2" t="inlineStr">
        <is>
          <t>yes</t>
        </is>
      </c>
      <c r="D109" s="2" t="inlineStr">
        <is>
          <t>software</t>
        </is>
      </c>
      <c r="E109" s="2" t="inlineStr">
        <is>
          <t>Ready</t>
        </is>
      </c>
      <c r="F109" s="2" t="inlineStr">
        <is>
          <t>github</t>
        </is>
      </c>
      <c r="G109" s="2" t="inlineStr">
        <is>
          <t>TexasDigitalLibrary/Vireo</t>
        </is>
      </c>
      <c r="H109" s="2" t="inlineStr">
        <is>
          <t>GitHub (same repo)</t>
        </is>
      </c>
      <c r="I109" s="2" t="inlineStr">
        <is>
          <t>complete</t>
        </is>
      </c>
      <c r="J109" s="2" t="inlineStr">
        <is>
          <t>complete</t>
        </is>
      </c>
      <c r="K109" s="2" t="inlineStr">
        <is>
          <t>No</t>
        </is>
      </c>
      <c r="L109" s="2" t="n">
        <v>13</v>
      </c>
      <c r="M109" s="5" t="n">
        <v>1</v>
      </c>
      <c r="N109" s="2" t="inlineStr">
        <is>
          <t>No missing metric inputs flagged by pipeline availability checks</t>
        </is>
      </c>
      <c r="O109" s="2" t="inlineStr"/>
      <c r="P109" s="2" t="inlineStr"/>
    </row>
    <row r="110">
      <c r="A110" s="2" t="inlineStr">
        <is>
          <t>C4-109</t>
        </is>
      </c>
      <c r="B110" s="2" t="inlineStr">
        <is>
          <t>VIVO</t>
        </is>
      </c>
      <c r="C110" s="2" t="inlineStr">
        <is>
          <t>yes</t>
        </is>
      </c>
      <c r="D110" s="2" t="inlineStr">
        <is>
          <t>software</t>
        </is>
      </c>
      <c r="E110" s="2" t="inlineStr">
        <is>
          <t>Ready -&gt; umbrella expanded to product set</t>
        </is>
      </c>
      <c r="F110" s="2" t="inlineStr">
        <is>
          <t>github</t>
        </is>
      </c>
      <c r="G110" s="2" t="inlineStr">
        <is>
          <t>vivo-project/VIVO;vivo-project/Vitro</t>
        </is>
      </c>
      <c r="H110" s="2" t="inlineStr">
        <is>
          <t>GitHub (VIVO + Vitro)</t>
        </is>
      </c>
      <c r="I110" s="2" t="inlineStr">
        <is>
          <t>complete</t>
        </is>
      </c>
      <c r="J110" s="2" t="inlineStr">
        <is>
          <t>complete</t>
        </is>
      </c>
      <c r="K110" s="2" t="inlineStr">
        <is>
          <t>No</t>
        </is>
      </c>
      <c r="L110" s="2" t="n">
        <v>13</v>
      </c>
      <c r="M110" s="5" t="n">
        <v>1</v>
      </c>
      <c r="N110" s="2" t="inlineStr">
        <is>
          <t>No missing metric inputs flagged by pipeline availability checks</t>
        </is>
      </c>
      <c r="O110" s="2" t="inlineStr"/>
      <c r="P110" s="2" t="inlineStr"/>
    </row>
    <row r="111">
      <c r="A111" s="2" t="inlineStr">
        <is>
          <t>C4-110</t>
        </is>
      </c>
      <c r="B111" s="2" t="inlineStr">
        <is>
          <t>VuFind®</t>
        </is>
      </c>
      <c r="C111" s="2" t="inlineStr">
        <is>
          <t>yes</t>
        </is>
      </c>
      <c r="D111" s="2" t="inlineStr">
        <is>
          <t>software</t>
        </is>
      </c>
      <c r="E111" s="2" t="inlineStr">
        <is>
          <t>Ready</t>
        </is>
      </c>
      <c r="F111" s="2" t="inlineStr">
        <is>
          <t>github</t>
        </is>
      </c>
      <c r="G111" s="2" t="inlineStr">
        <is>
          <t>vufind-org/vufind</t>
        </is>
      </c>
      <c r="H111" s="2" t="inlineStr">
        <is>
          <t>Jira (vufind.org/jira)</t>
        </is>
      </c>
      <c r="I111" s="2" t="inlineStr">
        <is>
          <t>complete</t>
        </is>
      </c>
      <c r="J111" s="2" t="inlineStr">
        <is>
          <t>complete</t>
        </is>
      </c>
      <c r="K111" s="2" t="inlineStr">
        <is>
          <t>No</t>
        </is>
      </c>
      <c r="L111" s="2" t="n">
        <v>11</v>
      </c>
      <c r="M111" s="5" t="n">
        <v>0.8461538461538461</v>
      </c>
      <c r="N111" s="2" t="inlineStr">
        <is>
          <t>m8_issue_response unavailable; scored 0; m10_issue_close90 unavailable; scored 0</t>
        </is>
      </c>
      <c r="O111" s="2" t="inlineStr"/>
      <c r="P111" s="2" t="inlineStr"/>
    </row>
    <row r="112">
      <c r="A112" s="2" t="inlineStr">
        <is>
          <t>C4-111</t>
        </is>
      </c>
      <c r="B112" s="2" t="inlineStr">
        <is>
          <t>Zenodo</t>
        </is>
      </c>
      <c r="C112" s="2" t="inlineStr">
        <is>
          <t>yes</t>
        </is>
      </c>
      <c r="D112" s="2" t="inlineStr">
        <is>
          <t>software</t>
        </is>
      </c>
      <c r="E112" s="2" t="inlineStr">
        <is>
          <t>Ready</t>
        </is>
      </c>
      <c r="F112" s="2" t="inlineStr">
        <is>
          <t>github</t>
        </is>
      </c>
      <c r="G112" s="2" t="inlineStr">
        <is>
          <t>zenodo/zenodo-rdm</t>
        </is>
      </c>
      <c r="H112" s="2" t="inlineStr">
        <is>
          <t>GitHub (same repo)</t>
        </is>
      </c>
      <c r="I112" s="2" t="inlineStr">
        <is>
          <t>complete</t>
        </is>
      </c>
      <c r="J112" s="2" t="inlineStr">
        <is>
          <t>complete</t>
        </is>
      </c>
      <c r="K112" s="2" t="inlineStr">
        <is>
          <t>No</t>
        </is>
      </c>
      <c r="L112" s="2" t="n">
        <v>13</v>
      </c>
      <c r="M112" s="5" t="n">
        <v>1</v>
      </c>
      <c r="N112" s="2" t="inlineStr">
        <is>
          <t>No missing metric inputs flagged by pipeline availability checks</t>
        </is>
      </c>
      <c r="O112" s="2" t="inlineStr"/>
      <c r="P112" s="2" t="inlineStr"/>
    </row>
    <row r="113">
      <c r="A113" s="2" t="inlineStr">
        <is>
          <t>C4-112</t>
        </is>
      </c>
      <c r="B113" s="2" t="inlineStr">
        <is>
          <t>Zotero</t>
        </is>
      </c>
      <c r="C113" s="2" t="inlineStr">
        <is>
          <t>yes</t>
        </is>
      </c>
      <c r="D113" s="2" t="inlineStr">
        <is>
          <t>software</t>
        </is>
      </c>
      <c r="E113" s="2" t="inlineStr">
        <is>
          <t>Ready</t>
        </is>
      </c>
      <c r="F113" s="2" t="inlineStr">
        <is>
          <t>github</t>
        </is>
      </c>
      <c r="G113" s="2" t="inlineStr">
        <is>
          <t>zotero/zotero</t>
        </is>
      </c>
      <c r="H113" s="2" t="inlineStr">
        <is>
          <t>GitHub + Zotero Forums (forums are the main support channel)</t>
        </is>
      </c>
      <c r="I113" s="2" t="inlineStr">
        <is>
          <t>complete</t>
        </is>
      </c>
      <c r="J113" s="2" t="inlineStr">
        <is>
          <t>complete</t>
        </is>
      </c>
      <c r="K113" s="2" t="inlineStr">
        <is>
          <t>No</t>
        </is>
      </c>
      <c r="L113" s="2" t="n">
        <v>13</v>
      </c>
      <c r="M113" s="5" t="n">
        <v>1</v>
      </c>
      <c r="N113" s="2" t="inlineStr">
        <is>
          <t>No missing metric inputs flagged by pipeline availability checks</t>
        </is>
      </c>
      <c r="O113" s="2" t="inlineStr"/>
      <c r="P113" s="2" t="inlineStr"/>
    </row>
  </sheetData>
  <autoFilter ref="A1:P1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EF1F2"/>
    <outlinePr summaryBelow="1" summaryRight="1"/>
    <pageSetUpPr/>
  </sheetPr>
  <dimension ref="A1:R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34" customHeight="1">
      <c r="A1" s="1" t="inlineStr">
        <is>
          <t>OISI ID</t>
        </is>
      </c>
      <c r="B1" s="1" t="inlineStr">
        <is>
          <t>m1_commits</t>
        </is>
      </c>
      <c r="C1" s="1" t="inlineStr">
        <is>
          <t>m2_active_weeks</t>
        </is>
      </c>
      <c r="D1" s="1" t="inlineStr">
        <is>
          <t>m3_recency</t>
        </is>
      </c>
      <c r="E1" s="1" t="inlineStr">
        <is>
          <t>m4_releases</t>
        </is>
      </c>
      <c r="F1" s="1" t="inlineStr">
        <is>
          <t>m5_contributors</t>
        </is>
      </c>
      <c r="G1" s="1" t="inlineStr">
        <is>
          <t>m6_effective_contributors</t>
        </is>
      </c>
      <c r="H1" s="1" t="inlineStr">
        <is>
          <t>m7_retention</t>
        </is>
      </c>
      <c r="I1" s="1" t="inlineStr">
        <is>
          <t>m8_issue_response</t>
        </is>
      </c>
      <c r="J1" s="1" t="inlineStr">
        <is>
          <t>m9_pr_response</t>
        </is>
      </c>
      <c r="K1" s="1" t="inlineStr">
        <is>
          <t>m10_issue_close90</t>
        </is>
      </c>
      <c r="L1" s="1" t="inlineStr">
        <is>
          <t>m11_pr_decision30</t>
        </is>
      </c>
      <c r="M1" s="1" t="inlineStr">
        <is>
          <t>m12_stars</t>
        </is>
      </c>
      <c r="N1" s="1" t="inlineStr">
        <is>
          <t>m13_forks</t>
        </is>
      </c>
      <c r="O1" s="1" t="inlineStr">
        <is>
          <t>Python-checked final score</t>
        </is>
      </c>
      <c r="P1" s="1" t="inlineStr">
        <is>
          <t>Available metrics</t>
        </is>
      </c>
      <c r="Q1" s="1" t="inlineStr">
        <is>
          <t>Observed coverage</t>
        </is>
      </c>
      <c r="R1" s="1" t="inlineStr">
        <is>
          <t>Observed-only mean</t>
        </is>
      </c>
    </row>
    <row r="2">
      <c r="A2" s="2" t="inlineStr">
        <is>
          <t>C4-001</t>
        </is>
      </c>
      <c r="B2" s="2" t="n">
        <v>100</v>
      </c>
      <c r="C2" s="2" t="n">
        <v>100</v>
      </c>
      <c r="D2" s="2" t="n">
        <v>100</v>
      </c>
      <c r="E2" s="2" t="n">
        <v>0</v>
      </c>
      <c r="F2" s="2" t="n">
        <v>100</v>
      </c>
      <c r="G2" s="2" t="n">
        <v>76.91</v>
      </c>
      <c r="H2" s="2" t="n">
        <v>100</v>
      </c>
      <c r="I2" s="2" t="n">
        <v>40.74</v>
      </c>
      <c r="J2" s="2" t="n">
        <v>18.67</v>
      </c>
      <c r="K2" s="2" t="n">
        <v>70.53</v>
      </c>
      <c r="L2" s="2" t="n">
        <v>98.64</v>
      </c>
      <c r="M2" s="2" t="n">
        <v>40.13</v>
      </c>
      <c r="N2" s="2" t="n">
        <v>67.94</v>
      </c>
      <c r="O2" s="2" t="n">
        <v>70.27384615384615</v>
      </c>
      <c r="P2" s="2" t="n">
        <v>13</v>
      </c>
      <c r="Q2" s="2" t="n">
        <v>1</v>
      </c>
      <c r="R2" s="2" t="n">
        <v>70.27384615384615</v>
      </c>
    </row>
    <row r="3">
      <c r="A3" s="2" t="inlineStr">
        <is>
          <t>C4-002</t>
        </is>
      </c>
      <c r="B3" s="2" t="n">
        <v>73.19</v>
      </c>
      <c r="C3" s="2" t="n">
        <v>53.85</v>
      </c>
      <c r="D3" s="2" t="n">
        <v>100</v>
      </c>
      <c r="E3" s="2" t="n">
        <v>0</v>
      </c>
      <c r="F3" s="2" t="n">
        <v>40</v>
      </c>
      <c r="G3" s="2" t="n">
        <v>43.48</v>
      </c>
      <c r="H3" s="2" t="n">
        <v>75</v>
      </c>
      <c r="I3" s="2" t="n">
        <v>0</v>
      </c>
      <c r="J3" s="2" t="n">
        <v>58.33</v>
      </c>
      <c r="K3" s="2" t="n">
        <v>0</v>
      </c>
      <c r="L3" s="2" t="n">
        <v>66.67</v>
      </c>
      <c r="M3" s="2" t="n">
        <v>0</v>
      </c>
      <c r="N3" s="2" t="n">
        <v>0</v>
      </c>
      <c r="O3" s="2" t="n">
        <v>39.27076923076923</v>
      </c>
      <c r="P3" s="2" t="n">
        <v>13</v>
      </c>
      <c r="Q3" s="2" t="n">
        <v>1</v>
      </c>
      <c r="R3" s="2" t="n">
        <v>39.27076923076923</v>
      </c>
    </row>
    <row r="4">
      <c r="A4" s="2" t="inlineStr">
        <is>
          <t>C4-003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</row>
    <row r="5">
      <c r="A5" s="2" t="inlineStr">
        <is>
          <t>C4-004</t>
        </is>
      </c>
      <c r="B5" s="2" t="n">
        <v>94.95</v>
      </c>
      <c r="C5" s="2" t="n">
        <v>98.08</v>
      </c>
      <c r="D5" s="2" t="n">
        <v>100</v>
      </c>
      <c r="E5" s="2" t="n">
        <v>100</v>
      </c>
      <c r="F5" s="2" t="n">
        <v>95.09999999999999</v>
      </c>
      <c r="G5" s="2" t="n">
        <v>92.40000000000001</v>
      </c>
      <c r="H5" s="2" t="n">
        <v>100</v>
      </c>
      <c r="I5" s="2" t="n">
        <v>30.3</v>
      </c>
      <c r="J5" s="2" t="n">
        <v>77.45999999999999</v>
      </c>
      <c r="K5" s="2" t="n">
        <v>44.44</v>
      </c>
      <c r="L5" s="2" t="n">
        <v>88.67</v>
      </c>
      <c r="M5" s="2" t="n">
        <v>52.27</v>
      </c>
      <c r="N5" s="2" t="n">
        <v>61.39</v>
      </c>
      <c r="O5" s="2" t="n">
        <v>79.62</v>
      </c>
      <c r="P5" s="2" t="n">
        <v>13</v>
      </c>
      <c r="Q5" s="2" t="n">
        <v>1</v>
      </c>
      <c r="R5" s="2" t="n">
        <v>79.62</v>
      </c>
    </row>
    <row r="6">
      <c r="A6" s="2" t="inlineStr">
        <is>
          <t>C4-005</t>
        </is>
      </c>
      <c r="B6" s="2" t="n">
        <v>75.64</v>
      </c>
      <c r="C6" s="2" t="n">
        <v>34.62</v>
      </c>
      <c r="D6" s="2" t="n">
        <v>100</v>
      </c>
      <c r="E6" s="2" t="n">
        <v>100</v>
      </c>
      <c r="F6" s="2" t="n">
        <v>31.7</v>
      </c>
      <c r="G6" s="2" t="n">
        <v>1.89</v>
      </c>
      <c r="H6" s="2" t="n">
        <v>25</v>
      </c>
      <c r="I6" s="2" t="n">
        <v>0</v>
      </c>
      <c r="J6" s="2" t="n">
        <v>17.58</v>
      </c>
      <c r="K6" s="2" t="n">
        <v>0</v>
      </c>
      <c r="L6" s="2" t="n">
        <v>83.53</v>
      </c>
      <c r="M6" s="2" t="n">
        <v>15.9</v>
      </c>
      <c r="N6" s="2" t="n">
        <v>34.87</v>
      </c>
      <c r="O6" s="2" t="n">
        <v>40.05615384615385</v>
      </c>
      <c r="P6" s="2" t="n">
        <v>11</v>
      </c>
      <c r="Q6" s="2" t="n">
        <v>0.8461538461538461</v>
      </c>
      <c r="R6" s="2" t="n">
        <v>47.33909090909091</v>
      </c>
    </row>
    <row r="7">
      <c r="A7" s="2" t="inlineStr">
        <is>
          <t>C4-006</t>
        </is>
      </c>
      <c r="B7" s="2" t="n">
        <v>51.04</v>
      </c>
      <c r="C7" s="2" t="n">
        <v>23.08</v>
      </c>
      <c r="D7" s="2" t="n">
        <v>100</v>
      </c>
      <c r="E7" s="2" t="n">
        <v>50</v>
      </c>
      <c r="F7" s="2" t="n">
        <v>46.44</v>
      </c>
      <c r="G7" s="2" t="n">
        <v>34.75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23.48538461538461</v>
      </c>
      <c r="P7" s="2" t="n">
        <v>7</v>
      </c>
      <c r="Q7" s="2" t="n">
        <v>0.5384615384615384</v>
      </c>
      <c r="R7" s="2" t="n">
        <v>43.61571428571428</v>
      </c>
    </row>
    <row r="8">
      <c r="A8" s="2" t="inlineStr">
        <is>
          <t>C4-007</t>
        </is>
      </c>
      <c r="B8" s="2" t="n">
        <v>73.81999999999999</v>
      </c>
      <c r="C8" s="2" t="n">
        <v>73.08</v>
      </c>
      <c r="D8" s="2" t="n">
        <v>100</v>
      </c>
      <c r="E8" s="2" t="n">
        <v>75</v>
      </c>
      <c r="F8" s="2" t="n">
        <v>46.44</v>
      </c>
      <c r="G8" s="2" t="n">
        <v>41.9</v>
      </c>
      <c r="H8" s="2" t="n">
        <v>50</v>
      </c>
      <c r="I8" s="2" t="n">
        <v>47.5</v>
      </c>
      <c r="J8" s="2" t="n">
        <v>54.95</v>
      </c>
      <c r="K8" s="2" t="n">
        <v>29.55</v>
      </c>
      <c r="L8" s="2" t="n">
        <v>86.54000000000001</v>
      </c>
      <c r="M8" s="2" t="n">
        <v>59.26</v>
      </c>
      <c r="N8" s="2" t="n">
        <v>60.08</v>
      </c>
      <c r="O8" s="2" t="n">
        <v>61.39384615384616</v>
      </c>
      <c r="P8" s="2" t="n">
        <v>13</v>
      </c>
      <c r="Q8" s="2" t="n">
        <v>1</v>
      </c>
      <c r="R8" s="2" t="n">
        <v>61.39384615384616</v>
      </c>
    </row>
    <row r="9">
      <c r="A9" s="2" t="inlineStr">
        <is>
          <t>C4-008</t>
        </is>
      </c>
      <c r="B9" s="2" t="n">
        <v>92.66</v>
      </c>
      <c r="C9" s="2" t="n">
        <v>98.08</v>
      </c>
      <c r="D9" s="2" t="n">
        <v>100</v>
      </c>
      <c r="E9" s="2" t="n">
        <v>100</v>
      </c>
      <c r="F9" s="2" t="n">
        <v>100</v>
      </c>
      <c r="G9" s="2" t="n">
        <v>92.40000000000001</v>
      </c>
      <c r="H9" s="2" t="n">
        <v>100</v>
      </c>
      <c r="I9" s="2" t="n">
        <v>41.18</v>
      </c>
      <c r="J9" s="2" t="n">
        <v>89.69</v>
      </c>
      <c r="K9" s="2" t="n">
        <v>25</v>
      </c>
      <c r="L9" s="2" t="n">
        <v>89.77</v>
      </c>
      <c r="M9" s="2" t="n">
        <v>60.42</v>
      </c>
      <c r="N9" s="2" t="n">
        <v>63.8</v>
      </c>
      <c r="O9" s="2" t="n">
        <v>81</v>
      </c>
      <c r="P9" s="2" t="n">
        <v>13</v>
      </c>
      <c r="Q9" s="2" t="n">
        <v>1</v>
      </c>
      <c r="R9" s="2" t="n">
        <v>81</v>
      </c>
    </row>
    <row r="10">
      <c r="A10" s="2" t="inlineStr">
        <is>
          <t>C4-009</t>
        </is>
      </c>
      <c r="B10" s="2" t="n">
        <v>23.3</v>
      </c>
      <c r="C10" s="2" t="n">
        <v>7.69</v>
      </c>
      <c r="D10" s="2" t="n">
        <v>52.13</v>
      </c>
      <c r="E10" s="2" t="n">
        <v>75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15.9</v>
      </c>
      <c r="N10" s="2" t="n">
        <v>23.8</v>
      </c>
      <c r="O10" s="2" t="n">
        <v>15.21692307692308</v>
      </c>
      <c r="P10" s="2" t="n">
        <v>9</v>
      </c>
      <c r="Q10" s="2" t="n">
        <v>0.6923076923076923</v>
      </c>
      <c r="R10" s="2" t="n">
        <v>21.98</v>
      </c>
    </row>
    <row r="11">
      <c r="A11" s="2" t="inlineStr">
        <is>
          <t>C4-010</t>
        </is>
      </c>
      <c r="B11" s="2" t="n">
        <v>72.62</v>
      </c>
      <c r="C11" s="2" t="n">
        <v>65.38</v>
      </c>
      <c r="D11" s="2" t="n">
        <v>100</v>
      </c>
      <c r="E11" s="2" t="n">
        <v>0</v>
      </c>
      <c r="F11" s="2" t="n">
        <v>76.15000000000001</v>
      </c>
      <c r="G11" s="2" t="n">
        <v>63.31</v>
      </c>
      <c r="H11" s="2" t="n">
        <v>75</v>
      </c>
      <c r="I11" s="2" t="n">
        <v>0</v>
      </c>
      <c r="J11" s="2" t="n">
        <v>88.37</v>
      </c>
      <c r="K11" s="2" t="n">
        <v>0</v>
      </c>
      <c r="L11" s="2" t="n">
        <v>91.56999999999999</v>
      </c>
      <c r="M11" s="2" t="n">
        <v>47.71</v>
      </c>
      <c r="N11" s="2" t="n">
        <v>64.91</v>
      </c>
      <c r="O11" s="2" t="n">
        <v>57.30923076923077</v>
      </c>
      <c r="P11" s="2" t="n">
        <v>11</v>
      </c>
      <c r="Q11" s="2" t="n">
        <v>0.8461538461538461</v>
      </c>
      <c r="R11" s="2" t="n">
        <v>67.72909090909091</v>
      </c>
    </row>
    <row r="12">
      <c r="A12" s="2" t="inlineStr">
        <is>
          <t>C4-011</t>
        </is>
      </c>
      <c r="B12" s="2" t="n">
        <v>68.17</v>
      </c>
      <c r="C12" s="2" t="n">
        <v>61.54</v>
      </c>
      <c r="D12" s="2" t="n">
        <v>100</v>
      </c>
      <c r="E12" s="2" t="n">
        <v>100</v>
      </c>
      <c r="F12" s="2" t="n">
        <v>71.7</v>
      </c>
      <c r="G12" s="2" t="n">
        <v>76.03</v>
      </c>
      <c r="H12" s="2" t="n">
        <v>100</v>
      </c>
      <c r="I12" s="2" t="n">
        <v>50.53</v>
      </c>
      <c r="J12" s="2" t="n">
        <v>47.54</v>
      </c>
      <c r="K12" s="2" t="n">
        <v>54.88</v>
      </c>
      <c r="L12" s="2" t="n">
        <v>55.56</v>
      </c>
      <c r="M12" s="2" t="n">
        <v>49.7</v>
      </c>
      <c r="N12" s="2" t="n">
        <v>62.63</v>
      </c>
      <c r="O12" s="2" t="n">
        <v>69.09846153846154</v>
      </c>
      <c r="P12" s="2" t="n">
        <v>13</v>
      </c>
      <c r="Q12" s="2" t="n">
        <v>1</v>
      </c>
      <c r="R12" s="2" t="n">
        <v>69.09846153846154</v>
      </c>
    </row>
    <row r="13">
      <c r="A13" s="2" t="inlineStr">
        <is>
          <t>C4-012</t>
        </is>
      </c>
      <c r="B13" s="2" t="n">
        <v>82.27</v>
      </c>
      <c r="C13" s="2" t="n">
        <v>76.92</v>
      </c>
      <c r="D13" s="2" t="n">
        <v>100</v>
      </c>
      <c r="E13" s="2" t="n">
        <v>75</v>
      </c>
      <c r="F13" s="2" t="n">
        <v>60</v>
      </c>
      <c r="G13" s="2" t="n">
        <v>59.55</v>
      </c>
      <c r="H13" s="2" t="n">
        <v>75</v>
      </c>
      <c r="I13" s="2" t="n">
        <v>42.74</v>
      </c>
      <c r="J13" s="2" t="n">
        <v>82.88</v>
      </c>
      <c r="K13" s="2" t="n">
        <v>54.95</v>
      </c>
      <c r="L13" s="2" t="n">
        <v>91.94</v>
      </c>
      <c r="M13" s="2" t="n">
        <v>23.3</v>
      </c>
      <c r="N13" s="2" t="n">
        <v>0</v>
      </c>
      <c r="O13" s="2" t="n">
        <v>63.42692307692307</v>
      </c>
      <c r="P13" s="2" t="n">
        <v>13</v>
      </c>
      <c r="Q13" s="2" t="n">
        <v>1</v>
      </c>
      <c r="R13" s="2" t="n">
        <v>63.42692307692307</v>
      </c>
    </row>
    <row r="14">
      <c r="A14" s="2" t="inlineStr">
        <is>
          <t>C4-013</t>
        </is>
      </c>
      <c r="B14" s="2" t="n">
        <v>69.65000000000001</v>
      </c>
      <c r="C14" s="2" t="n">
        <v>88.45999999999999</v>
      </c>
      <c r="D14" s="2" t="n">
        <v>100</v>
      </c>
      <c r="E14" s="2" t="n">
        <v>0</v>
      </c>
      <c r="F14" s="2" t="n">
        <v>20</v>
      </c>
      <c r="G14" s="2" t="n">
        <v>16.86</v>
      </c>
      <c r="H14" s="2" t="n">
        <v>25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23.3</v>
      </c>
      <c r="N14" s="2" t="n">
        <v>0</v>
      </c>
      <c r="O14" s="2" t="n">
        <v>26.40538461538462</v>
      </c>
      <c r="P14" s="2" t="n">
        <v>9</v>
      </c>
      <c r="Q14" s="2" t="n">
        <v>0.6923076923076923</v>
      </c>
      <c r="R14" s="2" t="n">
        <v>38.14111111111111</v>
      </c>
    </row>
    <row r="15">
      <c r="A15" s="2" t="inlineStr">
        <is>
          <t>C4-014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</row>
    <row r="16">
      <c r="A16" s="2" t="inlineStr">
        <is>
          <t>C4-015</t>
        </is>
      </c>
      <c r="B16" s="2" t="n">
        <v>10.03</v>
      </c>
      <c r="C16" s="2" t="n">
        <v>1.92</v>
      </c>
      <c r="D16" s="2" t="n">
        <v>18.55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2.346153846153846</v>
      </c>
      <c r="P16" s="2" t="n">
        <v>9</v>
      </c>
      <c r="Q16" s="2" t="n">
        <v>0.6923076923076923</v>
      </c>
      <c r="R16" s="2" t="n">
        <v>3.388888888888889</v>
      </c>
    </row>
    <row r="17">
      <c r="A17" s="2" t="inlineStr">
        <is>
          <t>C4-016</t>
        </is>
      </c>
      <c r="B17" s="2" t="n">
        <v>68.93000000000001</v>
      </c>
      <c r="C17" s="2" t="n">
        <v>57.69</v>
      </c>
      <c r="D17" s="2" t="n">
        <v>100</v>
      </c>
      <c r="E17" s="2" t="n">
        <v>100</v>
      </c>
      <c r="F17" s="2" t="n">
        <v>71.7</v>
      </c>
      <c r="G17" s="2" t="n">
        <v>64.06999999999999</v>
      </c>
      <c r="H17" s="2" t="n">
        <v>75</v>
      </c>
      <c r="I17" s="2" t="n">
        <v>58.33</v>
      </c>
      <c r="J17" s="2" t="n">
        <v>87.5</v>
      </c>
      <c r="K17" s="2" t="n">
        <v>6.67</v>
      </c>
      <c r="L17" s="2" t="n">
        <v>80</v>
      </c>
      <c r="M17" s="2" t="n">
        <v>46.59</v>
      </c>
      <c r="N17" s="2" t="n">
        <v>34.87</v>
      </c>
      <c r="O17" s="2" t="n">
        <v>65.48846153846154</v>
      </c>
      <c r="P17" s="2" t="n">
        <v>13</v>
      </c>
      <c r="Q17" s="2" t="n">
        <v>1</v>
      </c>
      <c r="R17" s="2" t="n">
        <v>65.48846153846154</v>
      </c>
    </row>
    <row r="18">
      <c r="A18" s="2" t="inlineStr">
        <is>
          <t>C4-017</t>
        </is>
      </c>
      <c r="B18" s="2" t="n">
        <v>78.06999999999999</v>
      </c>
      <c r="C18" s="2" t="n">
        <v>90.38</v>
      </c>
      <c r="D18" s="2" t="n">
        <v>100</v>
      </c>
      <c r="E18" s="2" t="n">
        <v>75</v>
      </c>
      <c r="F18" s="2" t="n">
        <v>40</v>
      </c>
      <c r="G18" s="2" t="n">
        <v>29.06</v>
      </c>
      <c r="H18" s="2" t="n">
        <v>50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35.57769230769231</v>
      </c>
      <c r="P18" s="2" t="n">
        <v>7</v>
      </c>
      <c r="Q18" s="2" t="n">
        <v>0.5384615384615384</v>
      </c>
      <c r="R18" s="2" t="n">
        <v>66.07285714285715</v>
      </c>
    </row>
    <row r="19">
      <c r="A19" s="2" t="inlineStr">
        <is>
          <t>C4-018</t>
        </is>
      </c>
      <c r="B19" s="2" t="n">
        <v>87.67</v>
      </c>
      <c r="C19" s="2" t="n">
        <v>100</v>
      </c>
      <c r="D19" s="2" t="n">
        <v>100</v>
      </c>
      <c r="E19" s="2" t="n">
        <v>100</v>
      </c>
      <c r="F19" s="2" t="n">
        <v>63.4</v>
      </c>
      <c r="G19" s="2" t="n">
        <v>64.06999999999999</v>
      </c>
      <c r="H19" s="2" t="n">
        <v>75</v>
      </c>
      <c r="I19" s="2" t="n">
        <v>45.59</v>
      </c>
      <c r="J19" s="2" t="n">
        <v>82.52</v>
      </c>
      <c r="K19" s="2" t="n">
        <v>67.56999999999999</v>
      </c>
      <c r="L19" s="2" t="n">
        <v>92.23</v>
      </c>
      <c r="M19" s="2" t="n">
        <v>72.33</v>
      </c>
      <c r="N19" s="2" t="n">
        <v>65.97</v>
      </c>
      <c r="O19" s="2" t="n">
        <v>78.18076923076923</v>
      </c>
      <c r="P19" s="2" t="n">
        <v>13</v>
      </c>
      <c r="Q19" s="2" t="n">
        <v>1</v>
      </c>
      <c r="R19" s="2" t="n">
        <v>78.18076923076923</v>
      </c>
    </row>
    <row r="20">
      <c r="A20" s="2" t="inlineStr">
        <is>
          <t>C4-019</t>
        </is>
      </c>
      <c r="B20" s="2" t="n">
        <v>100</v>
      </c>
      <c r="C20" s="2" t="n">
        <v>98.08</v>
      </c>
      <c r="D20" s="2" t="n">
        <v>100</v>
      </c>
      <c r="E20" s="2" t="n">
        <v>100</v>
      </c>
      <c r="F20" s="2" t="n">
        <v>63.4</v>
      </c>
      <c r="G20" s="2" t="n">
        <v>59.27</v>
      </c>
      <c r="H20" s="2" t="n">
        <v>100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23.3</v>
      </c>
      <c r="N20" s="2" t="n">
        <v>15.02</v>
      </c>
      <c r="O20" s="2" t="n">
        <v>50.69769230769231</v>
      </c>
      <c r="P20" s="2" t="n">
        <v>9</v>
      </c>
      <c r="Q20" s="2" t="n">
        <v>0.6923076923076923</v>
      </c>
      <c r="R20" s="2" t="n">
        <v>73.23</v>
      </c>
    </row>
    <row r="21">
      <c r="A21" s="2" t="inlineStr">
        <is>
          <t>C4-020</t>
        </is>
      </c>
      <c r="B21" s="2" t="n">
        <v>59.97</v>
      </c>
      <c r="C21" s="2" t="n">
        <v>46.15</v>
      </c>
      <c r="D21" s="2" t="n">
        <v>100</v>
      </c>
      <c r="E21" s="2" t="n">
        <v>100</v>
      </c>
      <c r="F21" s="2" t="n">
        <v>31.7</v>
      </c>
      <c r="G21" s="2" t="n">
        <v>19.82</v>
      </c>
      <c r="H21" s="2" t="n">
        <v>25</v>
      </c>
      <c r="I21" s="2" t="n">
        <v>50</v>
      </c>
      <c r="J21" s="2" t="n">
        <v>0</v>
      </c>
      <c r="K21" s="2" t="n">
        <v>63.64</v>
      </c>
      <c r="L21" s="2" t="n">
        <v>0</v>
      </c>
      <c r="M21" s="2" t="n">
        <v>10.03</v>
      </c>
      <c r="N21" s="2" t="n">
        <v>15.02</v>
      </c>
      <c r="O21" s="2" t="n">
        <v>40.10230769230769</v>
      </c>
      <c r="P21" s="2" t="n">
        <v>11</v>
      </c>
      <c r="Q21" s="2" t="n">
        <v>0.8461538461538461</v>
      </c>
      <c r="R21" s="2" t="n">
        <v>47.39363636363636</v>
      </c>
    </row>
    <row r="22">
      <c r="A22" s="2" t="inlineStr">
        <is>
          <t>C4-021</t>
        </is>
      </c>
      <c r="B22" s="2" t="n">
        <v>33.33</v>
      </c>
      <c r="C22" s="2" t="n">
        <v>7.69</v>
      </c>
      <c r="D22" s="2" t="n">
        <v>77.73</v>
      </c>
      <c r="E22" s="2" t="n">
        <v>0</v>
      </c>
      <c r="F22" s="2" t="n">
        <v>31.7</v>
      </c>
      <c r="G22" s="2" t="n">
        <v>22.3</v>
      </c>
      <c r="H22" s="2" t="n">
        <v>25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10.03</v>
      </c>
      <c r="N22" s="2" t="n">
        <v>23.8</v>
      </c>
      <c r="O22" s="2" t="n">
        <v>17.81384615384615</v>
      </c>
      <c r="P22" s="2" t="n">
        <v>9</v>
      </c>
      <c r="Q22" s="2" t="n">
        <v>0.6923076923076923</v>
      </c>
      <c r="R22" s="2" t="n">
        <v>25.73111111111111</v>
      </c>
    </row>
    <row r="23">
      <c r="A23" s="2" t="inlineStr">
        <is>
          <t>C4-022</t>
        </is>
      </c>
      <c r="B23" s="2" t="n">
        <v>97.45999999999999</v>
      </c>
      <c r="C23" s="2" t="n">
        <v>100</v>
      </c>
      <c r="D23" s="2" t="n">
        <v>100</v>
      </c>
      <c r="E23" s="2" t="n">
        <v>75</v>
      </c>
      <c r="F23" s="2" t="n">
        <v>71.7</v>
      </c>
      <c r="G23" s="2" t="n">
        <v>50.53</v>
      </c>
      <c r="H23" s="2" t="n">
        <v>100</v>
      </c>
      <c r="I23" s="2" t="n">
        <v>59.35</v>
      </c>
      <c r="J23" s="2" t="n">
        <v>82.34999999999999</v>
      </c>
      <c r="K23" s="2" t="n">
        <v>47.66</v>
      </c>
      <c r="L23" s="2" t="n">
        <v>79.17</v>
      </c>
      <c r="M23" s="2" t="n">
        <v>55.1</v>
      </c>
      <c r="N23" s="2" t="n">
        <v>58.68</v>
      </c>
      <c r="O23" s="2" t="n">
        <v>75.15384615384616</v>
      </c>
      <c r="P23" s="2" t="n">
        <v>13</v>
      </c>
      <c r="Q23" s="2" t="n">
        <v>1</v>
      </c>
      <c r="R23" s="2" t="n">
        <v>75.15384615384616</v>
      </c>
    </row>
    <row r="24">
      <c r="A24" s="2" t="inlineStr">
        <is>
          <t>C4-023</t>
        </is>
      </c>
      <c r="B24" s="2" t="n">
        <v>77.94</v>
      </c>
      <c r="C24" s="2" t="n">
        <v>75</v>
      </c>
      <c r="D24" s="2" t="n">
        <v>100</v>
      </c>
      <c r="E24" s="2" t="n">
        <v>0</v>
      </c>
      <c r="F24" s="2" t="n">
        <v>71.7</v>
      </c>
      <c r="G24" s="2" t="n">
        <v>67.5</v>
      </c>
      <c r="H24" s="2" t="n">
        <v>100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37.85692307692307</v>
      </c>
      <c r="P24" s="2" t="n">
        <v>7</v>
      </c>
      <c r="Q24" s="2" t="n">
        <v>0.5384615384615384</v>
      </c>
      <c r="R24" s="2" t="n">
        <v>70.30571428571429</v>
      </c>
    </row>
    <row r="25">
      <c r="A25" s="2" t="inlineStr">
        <is>
          <t>C4-024</t>
        </is>
      </c>
      <c r="B25" s="2" t="n">
        <v>53.03</v>
      </c>
      <c r="C25" s="2" t="n">
        <v>19.23</v>
      </c>
      <c r="D25" s="2" t="n">
        <v>92.36</v>
      </c>
      <c r="E25" s="2" t="n">
        <v>0</v>
      </c>
      <c r="F25" s="2" t="n">
        <v>46.44</v>
      </c>
      <c r="G25" s="2" t="n">
        <v>58.99</v>
      </c>
      <c r="H25" s="2" t="n">
        <v>25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22.69615384615384</v>
      </c>
      <c r="P25" s="2" t="n">
        <v>7</v>
      </c>
      <c r="Q25" s="2" t="n">
        <v>0.5384615384615384</v>
      </c>
      <c r="R25" s="2" t="n">
        <v>42.15</v>
      </c>
    </row>
    <row r="26">
      <c r="A26" s="2" t="inlineStr">
        <is>
          <t>C4-025</t>
        </is>
      </c>
      <c r="B26" s="2" t="n">
        <v>62.68</v>
      </c>
      <c r="C26" s="2" t="n">
        <v>30.77</v>
      </c>
      <c r="D26" s="2" t="n">
        <v>100</v>
      </c>
      <c r="E26" s="2" t="n">
        <v>0</v>
      </c>
      <c r="F26" s="2" t="n">
        <v>46.44</v>
      </c>
      <c r="G26" s="2" t="n">
        <v>32.61</v>
      </c>
      <c r="H26" s="2" t="n">
        <v>25</v>
      </c>
      <c r="I26" s="2" t="n">
        <v>63.64</v>
      </c>
      <c r="J26" s="2" t="n">
        <v>90.62</v>
      </c>
      <c r="K26" s="2" t="n">
        <v>53.85</v>
      </c>
      <c r="L26" s="2" t="n">
        <v>87.09999999999999</v>
      </c>
      <c r="M26" s="2" t="n">
        <v>64.81</v>
      </c>
      <c r="N26" s="2" t="n">
        <v>95.48</v>
      </c>
      <c r="O26" s="2" t="n">
        <v>57.92307692307692</v>
      </c>
      <c r="P26" s="2" t="n">
        <v>13</v>
      </c>
      <c r="Q26" s="2" t="n">
        <v>1</v>
      </c>
      <c r="R26" s="2" t="n">
        <v>57.92307692307692</v>
      </c>
    </row>
    <row r="27">
      <c r="A27" s="2" t="inlineStr">
        <is>
          <t>C4-026</t>
        </is>
      </c>
      <c r="B27" s="2" t="n">
        <v>55.1</v>
      </c>
      <c r="C27" s="2" t="n">
        <v>46.15</v>
      </c>
      <c r="D27" s="2" t="n">
        <v>100</v>
      </c>
      <c r="E27" s="2" t="n">
        <v>100</v>
      </c>
      <c r="F27" s="2" t="n">
        <v>51.7</v>
      </c>
      <c r="G27" s="2" t="n">
        <v>50.53</v>
      </c>
      <c r="H27" s="2" t="n">
        <v>75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36.80615384615385</v>
      </c>
      <c r="P27" s="2" t="n">
        <v>7</v>
      </c>
      <c r="Q27" s="2" t="n">
        <v>0.5384615384615384</v>
      </c>
      <c r="R27" s="2" t="n">
        <v>68.35428571428571</v>
      </c>
    </row>
    <row r="28">
      <c r="A28" s="2" t="inlineStr">
        <is>
          <t>C4-027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</row>
    <row r="29">
      <c r="A29" s="2" t="inlineStr">
        <is>
          <t>C4-028</t>
        </is>
      </c>
      <c r="B29" s="2" t="n">
        <v>76.54000000000001</v>
      </c>
      <c r="C29" s="2" t="n">
        <v>44.23</v>
      </c>
      <c r="D29" s="2" t="n">
        <v>100</v>
      </c>
      <c r="E29" s="2" t="n">
        <v>100</v>
      </c>
      <c r="F29" s="2" t="n">
        <v>31.7</v>
      </c>
      <c r="G29" s="2" t="n">
        <v>37.48</v>
      </c>
      <c r="H29" s="2" t="n">
        <v>25</v>
      </c>
      <c r="I29" s="2" t="n">
        <v>100</v>
      </c>
      <c r="J29" s="2" t="n">
        <v>0</v>
      </c>
      <c r="K29" s="2" t="n">
        <v>1.06</v>
      </c>
      <c r="L29" s="2" t="n">
        <v>0</v>
      </c>
      <c r="M29" s="2" t="n">
        <v>39.2</v>
      </c>
      <c r="N29" s="2" t="n">
        <v>0</v>
      </c>
      <c r="O29" s="2" t="n">
        <v>42.70846153846154</v>
      </c>
      <c r="P29" s="2" t="n">
        <v>11</v>
      </c>
      <c r="Q29" s="2" t="n">
        <v>0.8461538461538461</v>
      </c>
      <c r="R29" s="2" t="n">
        <v>50.47363636363637</v>
      </c>
    </row>
    <row r="30">
      <c r="A30" s="2" t="inlineStr">
        <is>
          <t>C4-029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9</v>
      </c>
      <c r="Q30" s="2" t="n">
        <v>0.6923076923076923</v>
      </c>
      <c r="R30" s="2" t="n">
        <v>0</v>
      </c>
    </row>
    <row r="31">
      <c r="A31" s="2" t="inlineStr">
        <is>
          <t>C4-030</t>
        </is>
      </c>
      <c r="B31" s="2" t="n">
        <v>10.03</v>
      </c>
      <c r="C31" s="2" t="n">
        <v>1.92</v>
      </c>
      <c r="D31" s="2" t="n">
        <v>80.72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10.03</v>
      </c>
      <c r="N31" s="2" t="n">
        <v>0</v>
      </c>
      <c r="O31" s="2" t="n">
        <v>7.899999999999999</v>
      </c>
      <c r="P31" s="2" t="n">
        <v>9</v>
      </c>
      <c r="Q31" s="2" t="n">
        <v>0.6923076923076923</v>
      </c>
      <c r="R31" s="2" t="n">
        <v>11.41111111111111</v>
      </c>
    </row>
    <row r="32">
      <c r="A32" s="2" t="inlineStr">
        <is>
          <t>C4-031</t>
        </is>
      </c>
      <c r="B32" s="2" t="n">
        <v>97.95</v>
      </c>
      <c r="C32" s="2" t="n">
        <v>96.15000000000001</v>
      </c>
      <c r="D32" s="2" t="n">
        <v>100</v>
      </c>
      <c r="E32" s="2" t="n">
        <v>100</v>
      </c>
      <c r="F32" s="2" t="n">
        <v>69.19</v>
      </c>
      <c r="G32" s="2" t="n">
        <v>67.26000000000001</v>
      </c>
      <c r="H32" s="2" t="n">
        <v>100</v>
      </c>
      <c r="I32" s="2" t="n">
        <v>40</v>
      </c>
      <c r="J32" s="2" t="n">
        <v>80.56</v>
      </c>
      <c r="K32" s="2" t="n">
        <v>64.29000000000001</v>
      </c>
      <c r="L32" s="2" t="n">
        <v>88.45999999999999</v>
      </c>
      <c r="M32" s="2" t="n">
        <v>15.9</v>
      </c>
      <c r="N32" s="2" t="n">
        <v>0</v>
      </c>
      <c r="O32" s="2" t="n">
        <v>70.75076923076924</v>
      </c>
      <c r="P32" s="2" t="n">
        <v>13</v>
      </c>
      <c r="Q32" s="2" t="n">
        <v>1</v>
      </c>
      <c r="R32" s="2" t="n">
        <v>70.75076923076924</v>
      </c>
    </row>
    <row r="33">
      <c r="A33" s="2" t="inlineStr">
        <is>
          <t>C4-032</t>
        </is>
      </c>
      <c r="B33" s="2" t="n">
        <v>85.94</v>
      </c>
      <c r="C33" s="2" t="n">
        <v>94.23</v>
      </c>
      <c r="D33" s="2" t="n">
        <v>100</v>
      </c>
      <c r="E33" s="2" t="n">
        <v>100</v>
      </c>
      <c r="F33" s="2" t="n">
        <v>40</v>
      </c>
      <c r="G33" s="2" t="n">
        <v>31.62</v>
      </c>
      <c r="H33" s="2" t="n">
        <v>75</v>
      </c>
      <c r="I33" s="2" t="n">
        <v>60</v>
      </c>
      <c r="J33" s="2" t="n">
        <v>2.65</v>
      </c>
      <c r="K33" s="2" t="n">
        <v>0</v>
      </c>
      <c r="L33" s="2" t="n">
        <v>100</v>
      </c>
      <c r="M33" s="2" t="n">
        <v>28.17</v>
      </c>
      <c r="N33" s="2" t="n">
        <v>42.16</v>
      </c>
      <c r="O33" s="2" t="n">
        <v>58.44384615384615</v>
      </c>
      <c r="P33" s="2" t="n">
        <v>12</v>
      </c>
      <c r="Q33" s="2" t="n">
        <v>0.9230769230769231</v>
      </c>
      <c r="R33" s="2" t="n">
        <v>63.31416666666667</v>
      </c>
    </row>
    <row r="34">
      <c r="A34" s="2" t="inlineStr">
        <is>
          <t>C4-033</t>
        </is>
      </c>
      <c r="B34" s="2" t="n">
        <v>100</v>
      </c>
      <c r="C34" s="2" t="n">
        <v>98.08</v>
      </c>
      <c r="D34" s="2" t="n">
        <v>100</v>
      </c>
      <c r="E34" s="2" t="n">
        <v>100</v>
      </c>
      <c r="F34" s="2" t="n">
        <v>100</v>
      </c>
      <c r="G34" s="2" t="n">
        <v>93.78</v>
      </c>
      <c r="H34" s="2" t="n">
        <v>100</v>
      </c>
      <c r="I34" s="2" t="n">
        <v>55.95</v>
      </c>
      <c r="J34" s="2" t="n">
        <v>78.72</v>
      </c>
      <c r="K34" s="2" t="n">
        <v>43.31</v>
      </c>
      <c r="L34" s="2" t="n">
        <v>59.88</v>
      </c>
      <c r="M34" s="2" t="n">
        <v>64.97</v>
      </c>
      <c r="N34" s="2" t="n">
        <v>84.33</v>
      </c>
      <c r="O34" s="2" t="n">
        <v>83.00153846153846</v>
      </c>
      <c r="P34" s="2" t="n">
        <v>13</v>
      </c>
      <c r="Q34" s="2" t="n">
        <v>1</v>
      </c>
      <c r="R34" s="2" t="n">
        <v>83.00153846153846</v>
      </c>
    </row>
    <row r="35">
      <c r="A35" s="2" t="inlineStr">
        <is>
          <t>C4-034</t>
        </is>
      </c>
      <c r="B35" s="2" t="n">
        <v>68.43000000000001</v>
      </c>
      <c r="C35" s="2" t="n">
        <v>71.15000000000001</v>
      </c>
      <c r="D35" s="2" t="n">
        <v>100</v>
      </c>
      <c r="E35" s="2" t="n">
        <v>100</v>
      </c>
      <c r="F35" s="2" t="n">
        <v>66.44</v>
      </c>
      <c r="G35" s="2" t="n">
        <v>85.44</v>
      </c>
      <c r="H35" s="2" t="n">
        <v>100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45.49692307692307</v>
      </c>
      <c r="P35" s="2" t="n">
        <v>7</v>
      </c>
      <c r="Q35" s="2" t="n">
        <v>0.5384615384615384</v>
      </c>
      <c r="R35" s="2" t="n">
        <v>84.49428571428571</v>
      </c>
    </row>
    <row r="36">
      <c r="A36" s="2" t="inlineStr">
        <is>
          <t>C4-035</t>
        </is>
      </c>
      <c r="B36" s="2" t="n">
        <v>74.67</v>
      </c>
      <c r="C36" s="2" t="n">
        <v>63.46</v>
      </c>
      <c r="D36" s="2" t="n">
        <v>100</v>
      </c>
      <c r="E36" s="2" t="n">
        <v>100</v>
      </c>
      <c r="F36" s="2" t="n">
        <v>56.15</v>
      </c>
      <c r="G36" s="2" t="n">
        <v>31.87</v>
      </c>
      <c r="H36" s="2" t="n">
        <v>75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38.55</v>
      </c>
      <c r="P36" s="2" t="n">
        <v>7</v>
      </c>
      <c r="Q36" s="2" t="n">
        <v>0.5384615384615384</v>
      </c>
      <c r="R36" s="2" t="n">
        <v>71.59285714285714</v>
      </c>
    </row>
    <row r="37">
      <c r="A37" s="2" t="inlineStr">
        <is>
          <t>C4-036</t>
        </is>
      </c>
      <c r="B37" s="2" t="n">
        <v>100</v>
      </c>
      <c r="C37" s="2" t="n">
        <v>94.23</v>
      </c>
      <c r="D37" s="2" t="n">
        <v>100</v>
      </c>
      <c r="E37" s="2" t="n">
        <v>50</v>
      </c>
      <c r="F37" s="2" t="n">
        <v>63.4</v>
      </c>
      <c r="G37" s="2" t="n">
        <v>41.29</v>
      </c>
      <c r="H37" s="2" t="n">
        <v>75</v>
      </c>
      <c r="I37" s="2" t="n">
        <v>38.36</v>
      </c>
      <c r="J37" s="2" t="n">
        <v>91.38</v>
      </c>
      <c r="K37" s="2" t="n">
        <v>53.42</v>
      </c>
      <c r="L37" s="2" t="n">
        <v>99.78</v>
      </c>
      <c r="M37" s="2" t="n">
        <v>0</v>
      </c>
      <c r="N37" s="2" t="n">
        <v>15.02</v>
      </c>
      <c r="O37" s="2" t="n">
        <v>63.22153846153846</v>
      </c>
      <c r="P37" s="2" t="n">
        <v>13</v>
      </c>
      <c r="Q37" s="2" t="n">
        <v>1</v>
      </c>
      <c r="R37" s="2" t="n">
        <v>63.22153846153846</v>
      </c>
    </row>
    <row r="38">
      <c r="A38" s="2" t="inlineStr">
        <is>
          <t>C4-037</t>
        </is>
      </c>
      <c r="B38" s="2" t="n">
        <v>95.61</v>
      </c>
      <c r="C38" s="2" t="n">
        <v>98.08</v>
      </c>
      <c r="D38" s="2" t="n">
        <v>100</v>
      </c>
      <c r="E38" s="2" t="n">
        <v>100</v>
      </c>
      <c r="F38" s="2" t="n">
        <v>80</v>
      </c>
      <c r="G38" s="2" t="n">
        <v>100</v>
      </c>
      <c r="H38" s="2" t="n">
        <v>100</v>
      </c>
      <c r="I38" s="2" t="n">
        <v>0</v>
      </c>
      <c r="J38" s="2" t="n">
        <v>36.36</v>
      </c>
      <c r="K38" s="2" t="n">
        <v>0</v>
      </c>
      <c r="L38" s="2" t="n">
        <v>49.45</v>
      </c>
      <c r="M38" s="2" t="n">
        <v>31.8</v>
      </c>
      <c r="N38" s="2" t="n">
        <v>15.02</v>
      </c>
      <c r="O38" s="2" t="n">
        <v>62.02461538461539</v>
      </c>
      <c r="P38" s="2" t="n">
        <v>11</v>
      </c>
      <c r="Q38" s="2" t="n">
        <v>0.8461538461538461</v>
      </c>
      <c r="R38" s="2" t="n">
        <v>73.30181818181818</v>
      </c>
    </row>
    <row r="39">
      <c r="A39" s="2" t="inlineStr">
        <is>
          <t>C4-038</t>
        </is>
      </c>
      <c r="B39" s="2" t="n">
        <v>98.73</v>
      </c>
      <c r="C39" s="2" t="n">
        <v>86.54000000000001</v>
      </c>
      <c r="D39" s="2" t="n">
        <v>100</v>
      </c>
      <c r="E39" s="2" t="n">
        <v>0</v>
      </c>
      <c r="F39" s="2" t="n">
        <v>31.7</v>
      </c>
      <c r="G39" s="2" t="n">
        <v>31.37</v>
      </c>
      <c r="H39" s="2" t="n">
        <v>50</v>
      </c>
      <c r="I39" s="2" t="n">
        <v>11.76</v>
      </c>
      <c r="J39" s="2" t="n">
        <v>40.74</v>
      </c>
      <c r="K39" s="2" t="n">
        <v>26.39</v>
      </c>
      <c r="L39" s="2" t="n">
        <v>97.56</v>
      </c>
      <c r="M39" s="2" t="n">
        <v>55.42</v>
      </c>
      <c r="N39" s="2" t="n">
        <v>53.84</v>
      </c>
      <c r="O39" s="2" t="n">
        <v>52.61923076923077</v>
      </c>
      <c r="P39" s="2" t="n">
        <v>13</v>
      </c>
      <c r="Q39" s="2" t="n">
        <v>1</v>
      </c>
      <c r="R39" s="2" t="n">
        <v>52.61923076923077</v>
      </c>
    </row>
    <row r="40">
      <c r="A40" s="2" t="inlineStr">
        <is>
          <t>C4-039</t>
        </is>
      </c>
      <c r="B40" s="2" t="n">
        <v>100</v>
      </c>
      <c r="C40" s="2" t="n">
        <v>98.08</v>
      </c>
      <c r="D40" s="2" t="n">
        <v>100</v>
      </c>
      <c r="E40" s="2" t="n">
        <v>100</v>
      </c>
      <c r="F40" s="2" t="n">
        <v>31.7</v>
      </c>
      <c r="G40" s="2" t="n">
        <v>30.36</v>
      </c>
      <c r="H40" s="2" t="n">
        <v>75</v>
      </c>
      <c r="I40" s="2" t="n">
        <v>0</v>
      </c>
      <c r="J40" s="2" t="n">
        <v>62.13</v>
      </c>
      <c r="K40" s="2" t="n">
        <v>0</v>
      </c>
      <c r="L40" s="2" t="n">
        <v>98.94</v>
      </c>
      <c r="M40" s="2" t="n">
        <v>23.3</v>
      </c>
      <c r="N40" s="2" t="n">
        <v>15.02</v>
      </c>
      <c r="O40" s="2" t="n">
        <v>56.5023076923077</v>
      </c>
      <c r="P40" s="2" t="n">
        <v>11</v>
      </c>
      <c r="Q40" s="2" t="n">
        <v>0.8461538461538461</v>
      </c>
      <c r="R40" s="2" t="n">
        <v>66.77545454545455</v>
      </c>
    </row>
    <row r="41">
      <c r="A41" s="2" t="inlineStr">
        <is>
          <t>C4-040</t>
        </is>
      </c>
      <c r="B41" s="2" t="n">
        <v>100</v>
      </c>
      <c r="C41" s="2" t="n">
        <v>96.15000000000001</v>
      </c>
      <c r="D41" s="2" t="n">
        <v>100</v>
      </c>
      <c r="E41" s="2" t="n">
        <v>100</v>
      </c>
      <c r="F41" s="2" t="n">
        <v>100</v>
      </c>
      <c r="G41" s="2" t="n">
        <v>100</v>
      </c>
      <c r="H41" s="2" t="n">
        <v>100</v>
      </c>
      <c r="I41" s="2" t="n">
        <v>95.03</v>
      </c>
      <c r="J41" s="2" t="n">
        <v>52.08</v>
      </c>
      <c r="K41" s="2" t="n">
        <v>32.59</v>
      </c>
      <c r="L41" s="2" t="n">
        <v>55.77</v>
      </c>
      <c r="M41" s="2" t="n">
        <v>67.36</v>
      </c>
      <c r="N41" s="2" t="n">
        <v>100</v>
      </c>
      <c r="O41" s="2" t="n">
        <v>84.53692307692307</v>
      </c>
      <c r="P41" s="2" t="n">
        <v>13</v>
      </c>
      <c r="Q41" s="2" t="n">
        <v>1</v>
      </c>
      <c r="R41" s="2" t="n">
        <v>84.53692307692307</v>
      </c>
    </row>
    <row r="42">
      <c r="A42" s="2" t="inlineStr">
        <is>
          <t>C4-041</t>
        </is>
      </c>
      <c r="B42" s="2" t="n">
        <v>28.17</v>
      </c>
      <c r="C42" s="2" t="n">
        <v>7.69</v>
      </c>
      <c r="D42" s="2" t="n">
        <v>71.88</v>
      </c>
      <c r="E42" s="2" t="n">
        <v>75</v>
      </c>
      <c r="F42" s="2" t="n">
        <v>20</v>
      </c>
      <c r="G42" s="2" t="n">
        <v>15.49</v>
      </c>
      <c r="H42" s="2" t="n">
        <v>25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10.03</v>
      </c>
      <c r="N42" s="2" t="n">
        <v>0</v>
      </c>
      <c r="O42" s="2" t="n">
        <v>19.48153846153846</v>
      </c>
      <c r="P42" s="2" t="n">
        <v>9</v>
      </c>
      <c r="Q42" s="2" t="n">
        <v>0.6923076923076923</v>
      </c>
      <c r="R42" s="2" t="n">
        <v>28.14</v>
      </c>
    </row>
    <row r="43">
      <c r="A43" s="2" t="inlineStr">
        <is>
          <t>C4-042</t>
        </is>
      </c>
      <c r="B43" s="2" t="n">
        <v>100</v>
      </c>
      <c r="C43" s="2" t="n">
        <v>98.08</v>
      </c>
      <c r="D43" s="2" t="n">
        <v>100</v>
      </c>
      <c r="E43" s="2" t="n">
        <v>100</v>
      </c>
      <c r="F43" s="2" t="n">
        <v>46.44</v>
      </c>
      <c r="G43" s="2" t="n">
        <v>33.57</v>
      </c>
      <c r="H43" s="2" t="n">
        <v>75</v>
      </c>
      <c r="I43" s="2" t="n">
        <v>56.63</v>
      </c>
      <c r="J43" s="2" t="n">
        <v>46.27</v>
      </c>
      <c r="K43" s="2" t="n">
        <v>46.38</v>
      </c>
      <c r="L43" s="2" t="n">
        <v>92.18000000000001</v>
      </c>
      <c r="M43" s="2" t="n">
        <v>15.9</v>
      </c>
      <c r="N43" s="2" t="n">
        <v>15.02</v>
      </c>
      <c r="O43" s="2" t="n">
        <v>63.49769230769231</v>
      </c>
      <c r="P43" s="2" t="n">
        <v>13</v>
      </c>
      <c r="Q43" s="2" t="n">
        <v>1</v>
      </c>
      <c r="R43" s="2" t="n">
        <v>63.49769230769231</v>
      </c>
    </row>
    <row r="44">
      <c r="A44" s="2" t="inlineStr">
        <is>
          <t>C4-043</t>
        </is>
      </c>
      <c r="B44" s="2" t="n">
        <v>63.78</v>
      </c>
      <c r="C44" s="2" t="n">
        <v>61.54</v>
      </c>
      <c r="D44" s="2" t="n">
        <v>100</v>
      </c>
      <c r="E44" s="2" t="n">
        <v>0</v>
      </c>
      <c r="F44" s="2" t="n">
        <v>63.4</v>
      </c>
      <c r="G44" s="2" t="n">
        <v>29.06</v>
      </c>
      <c r="H44" s="2" t="n">
        <v>75</v>
      </c>
      <c r="I44" s="2" t="n">
        <v>24</v>
      </c>
      <c r="J44" s="2" t="n">
        <v>58.82</v>
      </c>
      <c r="K44" s="2" t="n">
        <v>80.84999999999999</v>
      </c>
      <c r="L44" s="2" t="n">
        <v>86.67</v>
      </c>
      <c r="M44" s="2" t="n">
        <v>25.93</v>
      </c>
      <c r="N44" s="2" t="n">
        <v>34.87</v>
      </c>
      <c r="O44" s="2" t="n">
        <v>54.14769230769231</v>
      </c>
      <c r="P44" s="2" t="n">
        <v>13</v>
      </c>
      <c r="Q44" s="2" t="n">
        <v>1</v>
      </c>
      <c r="R44" s="2" t="n">
        <v>54.14769230769231</v>
      </c>
    </row>
    <row r="45">
      <c r="A45" s="2" t="inlineStr">
        <is>
          <t>C4-044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</row>
    <row r="46">
      <c r="A46" s="2" t="inlineStr">
        <is>
          <t>C4-045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</row>
    <row r="47">
      <c r="A47" s="2" t="inlineStr">
        <is>
          <t>C4-046</t>
        </is>
      </c>
      <c r="B47" s="2" t="n">
        <v>28.17</v>
      </c>
      <c r="C47" s="2" t="n">
        <v>5.77</v>
      </c>
      <c r="D47" s="2" t="n">
        <v>73.97</v>
      </c>
      <c r="E47" s="2" t="n">
        <v>100</v>
      </c>
      <c r="F47" s="2" t="n">
        <v>0</v>
      </c>
      <c r="G47" s="2" t="n">
        <v>0</v>
      </c>
      <c r="H47" s="2" t="n">
        <v>25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17.91615384615385</v>
      </c>
      <c r="P47" s="2" t="n">
        <v>7</v>
      </c>
      <c r="Q47" s="2" t="n">
        <v>0.5384615384615384</v>
      </c>
      <c r="R47" s="2" t="n">
        <v>33.27285714285714</v>
      </c>
    </row>
    <row r="48">
      <c r="A48" s="2" t="inlineStr">
        <is>
          <t>C4-047</t>
        </is>
      </c>
      <c r="B48" s="2" t="n">
        <v>59.97</v>
      </c>
      <c r="C48" s="2" t="n">
        <v>53.85</v>
      </c>
      <c r="D48" s="2" t="n">
        <v>100</v>
      </c>
      <c r="E48" s="2" t="n">
        <v>100</v>
      </c>
      <c r="F48" s="2" t="n">
        <v>51.7</v>
      </c>
      <c r="G48" s="2" t="n">
        <v>38.35</v>
      </c>
      <c r="H48" s="2" t="n">
        <v>75</v>
      </c>
      <c r="I48" s="2" t="n">
        <v>0</v>
      </c>
      <c r="J48" s="2" t="n">
        <v>71.15000000000001</v>
      </c>
      <c r="K48" s="2" t="n">
        <v>0</v>
      </c>
      <c r="L48" s="2" t="n">
        <v>91.84</v>
      </c>
      <c r="M48" s="2" t="n">
        <v>49.23</v>
      </c>
      <c r="N48" s="2" t="n">
        <v>47.61</v>
      </c>
      <c r="O48" s="2" t="n">
        <v>56.82307692307693</v>
      </c>
      <c r="P48" s="2" t="n">
        <v>11</v>
      </c>
      <c r="Q48" s="2" t="n">
        <v>0.8461538461538461</v>
      </c>
      <c r="R48" s="2" t="n">
        <v>67.15454545454546</v>
      </c>
    </row>
    <row r="49">
      <c r="A49" s="2" t="inlineStr">
        <is>
          <t>C4-048</t>
        </is>
      </c>
      <c r="B49" s="2" t="n">
        <v>33.33</v>
      </c>
      <c r="C49" s="2" t="n">
        <v>5.77</v>
      </c>
      <c r="D49" s="2" t="n">
        <v>100</v>
      </c>
      <c r="E49" s="2" t="n">
        <v>50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23.3</v>
      </c>
      <c r="N49" s="2" t="n">
        <v>23.8</v>
      </c>
      <c r="O49" s="2" t="n">
        <v>18.16923076923077</v>
      </c>
      <c r="P49" s="2" t="n">
        <v>9</v>
      </c>
      <c r="Q49" s="2" t="n">
        <v>0.6923076923076923</v>
      </c>
      <c r="R49" s="2" t="n">
        <v>26.24444444444444</v>
      </c>
    </row>
    <row r="50">
      <c r="A50" s="2" t="inlineStr">
        <is>
          <t>C4-049</t>
        </is>
      </c>
      <c r="B50" s="2" t="n">
        <v>74.08</v>
      </c>
      <c r="C50" s="2" t="n">
        <v>88.45999999999999</v>
      </c>
      <c r="D50" s="2" t="n">
        <v>100</v>
      </c>
      <c r="E50" s="2" t="n">
        <v>100</v>
      </c>
      <c r="F50" s="2" t="n">
        <v>51.7</v>
      </c>
      <c r="G50" s="2" t="n">
        <v>47.23</v>
      </c>
      <c r="H50" s="2" t="n">
        <v>75</v>
      </c>
      <c r="I50" s="2" t="n">
        <v>0</v>
      </c>
      <c r="J50" s="2" t="n">
        <v>80.67</v>
      </c>
      <c r="K50" s="2" t="n">
        <v>0</v>
      </c>
      <c r="L50" s="2" t="n">
        <v>99.23999999999999</v>
      </c>
      <c r="M50" s="2" t="n">
        <v>0</v>
      </c>
      <c r="N50" s="2" t="n">
        <v>15.02</v>
      </c>
      <c r="O50" s="2" t="n">
        <v>56.26153846153846</v>
      </c>
      <c r="P50" s="2" t="n">
        <v>11</v>
      </c>
      <c r="Q50" s="2" t="n">
        <v>0.8461538461538461</v>
      </c>
      <c r="R50" s="2" t="n">
        <v>66.49090909090908</v>
      </c>
    </row>
    <row r="51">
      <c r="A51" s="2" t="inlineStr">
        <is>
          <t>C4-050</t>
        </is>
      </c>
      <c r="B51" s="2" t="n">
        <v>100</v>
      </c>
      <c r="C51" s="2" t="n">
        <v>100</v>
      </c>
      <c r="D51" s="2" t="n">
        <v>100</v>
      </c>
      <c r="E51" s="2" t="n">
        <v>100</v>
      </c>
      <c r="F51" s="2" t="n">
        <v>100</v>
      </c>
      <c r="G51" s="2" t="n">
        <v>100</v>
      </c>
      <c r="H51" s="2" t="n">
        <v>100</v>
      </c>
      <c r="I51" s="2" t="n">
        <v>81.11</v>
      </c>
      <c r="J51" s="2" t="n">
        <v>85.66</v>
      </c>
      <c r="K51" s="2" t="n">
        <v>47.45</v>
      </c>
      <c r="L51" s="2" t="n">
        <v>88.3</v>
      </c>
      <c r="M51" s="2" t="n">
        <v>81.56</v>
      </c>
      <c r="N51" s="2" t="n">
        <v>100</v>
      </c>
      <c r="O51" s="2" t="n">
        <v>91.08307692307692</v>
      </c>
      <c r="P51" s="2" t="n">
        <v>13</v>
      </c>
      <c r="Q51" s="2" t="n">
        <v>1</v>
      </c>
      <c r="R51" s="2" t="n">
        <v>91.08307692307692</v>
      </c>
    </row>
    <row r="52">
      <c r="A52" s="2" t="inlineStr">
        <is>
          <t>C4-051</t>
        </is>
      </c>
      <c r="B52" s="2" t="n">
        <v>100</v>
      </c>
      <c r="C52" s="2" t="n">
        <v>98.08</v>
      </c>
      <c r="D52" s="2" t="n">
        <v>100</v>
      </c>
      <c r="E52" s="2" t="n">
        <v>100</v>
      </c>
      <c r="F52" s="2" t="n">
        <v>100</v>
      </c>
      <c r="G52" s="2" t="n">
        <v>100</v>
      </c>
      <c r="H52" s="2" t="n">
        <v>100</v>
      </c>
      <c r="I52" s="2" t="n">
        <v>0</v>
      </c>
      <c r="J52" s="2" t="n">
        <v>58.4</v>
      </c>
      <c r="K52" s="2" t="n">
        <v>0</v>
      </c>
      <c r="L52" s="2" t="n">
        <v>92.81999999999999</v>
      </c>
      <c r="M52" s="2" t="n">
        <v>85.31999999999999</v>
      </c>
      <c r="N52" s="2" t="n">
        <v>100</v>
      </c>
      <c r="O52" s="2" t="n">
        <v>79.58615384615385</v>
      </c>
      <c r="P52" s="2" t="n">
        <v>11</v>
      </c>
      <c r="Q52" s="2" t="n">
        <v>0.8461538461538461</v>
      </c>
      <c r="R52" s="2" t="n">
        <v>94.05636363636364</v>
      </c>
    </row>
    <row r="53">
      <c r="A53" s="2" t="inlineStr">
        <is>
          <t>C4-052</t>
        </is>
      </c>
      <c r="B53" s="2" t="n">
        <v>91.44</v>
      </c>
      <c r="C53" s="2" t="n">
        <v>92.31</v>
      </c>
      <c r="D53" s="2" t="n">
        <v>100</v>
      </c>
      <c r="E53" s="2" t="n">
        <v>100</v>
      </c>
      <c r="F53" s="2" t="n">
        <v>78.14</v>
      </c>
      <c r="G53" s="2" t="n">
        <v>85.28</v>
      </c>
      <c r="H53" s="2" t="n">
        <v>100</v>
      </c>
      <c r="I53" s="2" t="n">
        <v>28.81</v>
      </c>
      <c r="J53" s="2" t="n">
        <v>77.92</v>
      </c>
      <c r="K53" s="2" t="n">
        <v>42.98</v>
      </c>
      <c r="L53" s="2" t="n">
        <v>91.55</v>
      </c>
      <c r="M53" s="2" t="n">
        <v>30.1</v>
      </c>
      <c r="N53" s="2" t="n">
        <v>38.82</v>
      </c>
      <c r="O53" s="2" t="n">
        <v>73.6423076923077</v>
      </c>
      <c r="P53" s="2" t="n">
        <v>13</v>
      </c>
      <c r="Q53" s="2" t="n">
        <v>1</v>
      </c>
      <c r="R53" s="2" t="n">
        <v>73.6423076923077</v>
      </c>
    </row>
    <row r="54">
      <c r="A54" s="2" t="inlineStr">
        <is>
          <t>C4-053</t>
        </is>
      </c>
      <c r="B54" s="2" t="n">
        <v>87.5</v>
      </c>
      <c r="C54" s="2" t="n">
        <v>92.31</v>
      </c>
      <c r="D54" s="2" t="n">
        <v>100</v>
      </c>
      <c r="E54" s="2" t="n">
        <v>100</v>
      </c>
      <c r="F54" s="2" t="n">
        <v>86.44</v>
      </c>
      <c r="G54" s="2" t="n">
        <v>67.5</v>
      </c>
      <c r="H54" s="2" t="n">
        <v>100</v>
      </c>
      <c r="I54" s="2" t="n">
        <v>23.15</v>
      </c>
      <c r="J54" s="2" t="n">
        <v>67.41</v>
      </c>
      <c r="K54" s="2" t="n">
        <v>26.6</v>
      </c>
      <c r="L54" s="2" t="n">
        <v>87.06</v>
      </c>
      <c r="M54" s="2" t="n">
        <v>37.13</v>
      </c>
      <c r="N54" s="2" t="n">
        <v>51.96</v>
      </c>
      <c r="O54" s="2" t="n">
        <v>71.3123076923077</v>
      </c>
      <c r="P54" s="2" t="n">
        <v>13</v>
      </c>
      <c r="Q54" s="2" t="n">
        <v>1</v>
      </c>
      <c r="R54" s="2" t="n">
        <v>71.3123076923077</v>
      </c>
    </row>
    <row r="55">
      <c r="A55" s="2" t="inlineStr">
        <is>
          <t>C4-054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</row>
    <row r="56">
      <c r="A56" s="2" t="inlineStr">
        <is>
          <t>C4-055</t>
        </is>
      </c>
      <c r="B56" s="2" t="n">
        <v>20.07</v>
      </c>
      <c r="C56" s="2" t="n">
        <v>3.85</v>
      </c>
      <c r="D56" s="2" t="n">
        <v>25.33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35.38</v>
      </c>
      <c r="J56" s="2" t="n">
        <v>0</v>
      </c>
      <c r="K56" s="2" t="n">
        <v>26.67</v>
      </c>
      <c r="L56" s="2" t="n">
        <v>0</v>
      </c>
      <c r="M56" s="2" t="n">
        <v>0</v>
      </c>
      <c r="N56" s="2" t="n">
        <v>15.02</v>
      </c>
      <c r="O56" s="2" t="n">
        <v>9.716923076923077</v>
      </c>
      <c r="P56" s="2" t="n">
        <v>11</v>
      </c>
      <c r="Q56" s="2" t="n">
        <v>0.8461538461538461</v>
      </c>
      <c r="R56" s="2" t="n">
        <v>11.48363636363636</v>
      </c>
    </row>
    <row r="57">
      <c r="A57" s="2" t="inlineStr">
        <is>
          <t>C4-056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</row>
    <row r="58">
      <c r="A58" s="2" t="inlineStr">
        <is>
          <t>C4-057</t>
        </is>
      </c>
      <c r="B58" s="2" t="n">
        <v>82.61</v>
      </c>
      <c r="C58" s="2" t="n">
        <v>96.15000000000001</v>
      </c>
      <c r="D58" s="2" t="n">
        <v>100</v>
      </c>
      <c r="E58" s="2" t="n">
        <v>100</v>
      </c>
      <c r="F58" s="2" t="n">
        <v>100</v>
      </c>
      <c r="G58" s="2" t="n">
        <v>100</v>
      </c>
      <c r="H58" s="2" t="n">
        <v>100</v>
      </c>
      <c r="I58" s="2" t="n">
        <v>36.51</v>
      </c>
      <c r="J58" s="2" t="n">
        <v>57.47</v>
      </c>
      <c r="K58" s="2" t="n">
        <v>48.96</v>
      </c>
      <c r="L58" s="2" t="n">
        <v>75.51000000000001</v>
      </c>
      <c r="M58" s="2" t="n">
        <v>56.03</v>
      </c>
      <c r="N58" s="2" t="n">
        <v>77.65000000000001</v>
      </c>
      <c r="O58" s="2" t="n">
        <v>79.29923076923077</v>
      </c>
      <c r="P58" s="2" t="n">
        <v>13</v>
      </c>
      <c r="Q58" s="2" t="n">
        <v>1</v>
      </c>
      <c r="R58" s="2" t="n">
        <v>79.29923076923077</v>
      </c>
    </row>
    <row r="59">
      <c r="A59" s="2" t="inlineStr">
        <is>
          <t>C4-058</t>
        </is>
      </c>
      <c r="B59" s="2" t="n">
        <v>81.97</v>
      </c>
      <c r="C59" s="2" t="n">
        <v>88.45999999999999</v>
      </c>
      <c r="D59" s="2" t="n">
        <v>100</v>
      </c>
      <c r="E59" s="2" t="n">
        <v>75</v>
      </c>
      <c r="F59" s="2" t="n">
        <v>69.19</v>
      </c>
      <c r="G59" s="2" t="n">
        <v>55.63</v>
      </c>
      <c r="H59" s="2" t="n">
        <v>100</v>
      </c>
      <c r="I59" s="2" t="n">
        <v>42.35</v>
      </c>
      <c r="J59" s="2" t="n">
        <v>95.56</v>
      </c>
      <c r="K59" s="2" t="n">
        <v>48.55</v>
      </c>
      <c r="L59" s="2" t="n">
        <v>91.91</v>
      </c>
      <c r="M59" s="2" t="n">
        <v>41.01</v>
      </c>
      <c r="N59" s="2" t="n">
        <v>38.82</v>
      </c>
      <c r="O59" s="2" t="n">
        <v>71.41923076923077</v>
      </c>
      <c r="P59" s="2" t="n">
        <v>13</v>
      </c>
      <c r="Q59" s="2" t="n">
        <v>1</v>
      </c>
      <c r="R59" s="2" t="n">
        <v>71.41923076923077</v>
      </c>
    </row>
    <row r="60">
      <c r="A60" s="2" t="inlineStr">
        <is>
          <t>C4-059</t>
        </is>
      </c>
      <c r="B60" s="2" t="n">
        <v>42.62</v>
      </c>
      <c r="C60" s="2" t="n">
        <v>23.08</v>
      </c>
      <c r="D60" s="2" t="n">
        <v>100</v>
      </c>
      <c r="E60" s="2" t="n">
        <v>100</v>
      </c>
      <c r="F60" s="2" t="n">
        <v>60</v>
      </c>
      <c r="G60" s="2" t="n">
        <v>52.02</v>
      </c>
      <c r="H60" s="2" t="n">
        <v>50</v>
      </c>
      <c r="I60" s="2" t="n">
        <v>62.5</v>
      </c>
      <c r="J60" s="2" t="n">
        <v>80</v>
      </c>
      <c r="K60" s="2" t="n">
        <v>0</v>
      </c>
      <c r="L60" s="2" t="n">
        <v>84.20999999999999</v>
      </c>
      <c r="M60" s="2" t="n">
        <v>23.3</v>
      </c>
      <c r="N60" s="2" t="n">
        <v>34.87</v>
      </c>
      <c r="O60" s="2" t="n">
        <v>54.81538461538462</v>
      </c>
      <c r="P60" s="2" t="n">
        <v>12</v>
      </c>
      <c r="Q60" s="2" t="n">
        <v>0.9230769230769231</v>
      </c>
      <c r="R60" s="2" t="n">
        <v>59.38333333333333</v>
      </c>
    </row>
    <row r="61">
      <c r="A61" s="2" t="inlineStr">
        <is>
          <t>C4-060</t>
        </is>
      </c>
      <c r="B61" s="2" t="n">
        <v>83.13</v>
      </c>
      <c r="C61" s="2" t="n">
        <v>80.77</v>
      </c>
      <c r="D61" s="2" t="n">
        <v>100</v>
      </c>
      <c r="E61" s="2" t="n">
        <v>100</v>
      </c>
      <c r="F61" s="2" t="n">
        <v>63.4</v>
      </c>
      <c r="G61" s="2" t="n">
        <v>60.79</v>
      </c>
      <c r="H61" s="2" t="n">
        <v>75</v>
      </c>
      <c r="I61" s="2" t="n">
        <v>32.26</v>
      </c>
      <c r="J61" s="2" t="n">
        <v>55.66</v>
      </c>
      <c r="K61" s="2" t="n">
        <v>53.52</v>
      </c>
      <c r="L61" s="2" t="n">
        <v>70.90000000000001</v>
      </c>
      <c r="M61" s="2" t="n">
        <v>53.39</v>
      </c>
      <c r="N61" s="2" t="n">
        <v>64.91</v>
      </c>
      <c r="O61" s="2" t="n">
        <v>68.74846153846154</v>
      </c>
      <c r="P61" s="2" t="n">
        <v>13</v>
      </c>
      <c r="Q61" s="2" t="n">
        <v>1</v>
      </c>
      <c r="R61" s="2" t="n">
        <v>68.74846153846154</v>
      </c>
    </row>
    <row r="62">
      <c r="A62" s="2" t="inlineStr">
        <is>
          <t>C4-061</t>
        </is>
      </c>
      <c r="B62" s="2" t="n">
        <v>28.17</v>
      </c>
      <c r="C62" s="2" t="n">
        <v>5.77</v>
      </c>
      <c r="D62" s="2" t="n">
        <v>100</v>
      </c>
      <c r="E62" s="2" t="n">
        <v>0</v>
      </c>
      <c r="F62" s="2" t="n">
        <v>31.7</v>
      </c>
      <c r="G62" s="2" t="n">
        <v>33.33</v>
      </c>
      <c r="H62" s="2" t="n">
        <v>0</v>
      </c>
      <c r="I62" s="2" t="n">
        <v>46.67</v>
      </c>
      <c r="J62" s="2" t="n">
        <v>0</v>
      </c>
      <c r="K62" s="2" t="n">
        <v>0</v>
      </c>
      <c r="L62" s="2" t="n">
        <v>0</v>
      </c>
      <c r="M62" s="2" t="n">
        <v>43.36</v>
      </c>
      <c r="N62" s="2" t="n">
        <v>34.87</v>
      </c>
      <c r="O62" s="2" t="n">
        <v>24.91307692307692</v>
      </c>
      <c r="P62" s="2" t="n">
        <v>11</v>
      </c>
      <c r="Q62" s="2" t="n">
        <v>0.8461538461538461</v>
      </c>
      <c r="R62" s="2" t="n">
        <v>29.44272727272727</v>
      </c>
    </row>
    <row r="63">
      <c r="A63" s="2" t="inlineStr">
        <is>
          <t>C4-062</t>
        </is>
      </c>
      <c r="B63" s="2" t="n">
        <v>76.98</v>
      </c>
      <c r="C63" s="2" t="n">
        <v>71.15000000000001</v>
      </c>
      <c r="D63" s="2" t="n">
        <v>100</v>
      </c>
      <c r="E63" s="2" t="n">
        <v>100</v>
      </c>
      <c r="F63" s="2" t="n">
        <v>46.44</v>
      </c>
      <c r="G63" s="2" t="n">
        <v>30.87</v>
      </c>
      <c r="H63" s="2" t="n">
        <v>25</v>
      </c>
      <c r="I63" s="2" t="n">
        <v>75</v>
      </c>
      <c r="J63" s="2" t="n">
        <v>0</v>
      </c>
      <c r="K63" s="2" t="n">
        <v>78.56999999999999</v>
      </c>
      <c r="L63" s="2" t="n">
        <v>0</v>
      </c>
      <c r="M63" s="2" t="n">
        <v>0</v>
      </c>
      <c r="N63" s="2" t="n">
        <v>15.02</v>
      </c>
      <c r="O63" s="2" t="n">
        <v>47.61769230769231</v>
      </c>
      <c r="P63" s="2" t="n">
        <v>11</v>
      </c>
      <c r="Q63" s="2" t="n">
        <v>0.8461538461538461</v>
      </c>
      <c r="R63" s="2" t="n">
        <v>56.27545454545454</v>
      </c>
    </row>
    <row r="64">
      <c r="A64" s="2" t="inlineStr">
        <is>
          <t>C4-063</t>
        </is>
      </c>
      <c r="B64" s="2" t="n">
        <v>85.12</v>
      </c>
      <c r="C64" s="2" t="n">
        <v>80.77</v>
      </c>
      <c r="D64" s="2" t="n">
        <v>100</v>
      </c>
      <c r="E64" s="2" t="n">
        <v>100</v>
      </c>
      <c r="F64" s="2" t="n">
        <v>56.15</v>
      </c>
      <c r="G64" s="2" t="n">
        <v>75.73</v>
      </c>
      <c r="H64" s="2" t="n">
        <v>100</v>
      </c>
      <c r="I64" s="2" t="n">
        <v>0</v>
      </c>
      <c r="J64" s="2" t="n">
        <v>52.9</v>
      </c>
      <c r="K64" s="2" t="n">
        <v>0</v>
      </c>
      <c r="L64" s="2" t="n">
        <v>89.31</v>
      </c>
      <c r="M64" s="2" t="n">
        <v>42.62</v>
      </c>
      <c r="N64" s="2" t="n">
        <v>15.02</v>
      </c>
      <c r="O64" s="2" t="n">
        <v>61.35538461538462</v>
      </c>
      <c r="P64" s="2" t="n">
        <v>11</v>
      </c>
      <c r="Q64" s="2" t="n">
        <v>0.8461538461538461</v>
      </c>
      <c r="R64" s="2" t="n">
        <v>72.5109090909091</v>
      </c>
    </row>
    <row r="65">
      <c r="A65" s="2" t="inlineStr">
        <is>
          <t>C4-064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</row>
    <row r="66">
      <c r="A66" s="2" t="inlineStr">
        <is>
          <t>C4-065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7</v>
      </c>
      <c r="Q66" s="2" t="n">
        <v>0.5384615384615384</v>
      </c>
      <c r="R66" s="2" t="n">
        <v>0</v>
      </c>
    </row>
    <row r="67">
      <c r="A67" s="2" t="inlineStr">
        <is>
          <t>C4-066</t>
        </is>
      </c>
      <c r="B67" s="2" t="n">
        <v>78.39</v>
      </c>
      <c r="C67" s="2" t="n">
        <v>57.69</v>
      </c>
      <c r="D67" s="2" t="n">
        <v>100</v>
      </c>
      <c r="E67" s="2" t="n">
        <v>100</v>
      </c>
      <c r="F67" s="2" t="n">
        <v>83.40000000000001</v>
      </c>
      <c r="G67" s="2" t="n">
        <v>54.56</v>
      </c>
      <c r="H67" s="2" t="n">
        <v>50</v>
      </c>
      <c r="I67" s="2" t="n">
        <v>51.72</v>
      </c>
      <c r="J67" s="2" t="n">
        <v>65.44</v>
      </c>
      <c r="K67" s="2" t="n">
        <v>25.58</v>
      </c>
      <c r="L67" s="2" t="n">
        <v>71.98</v>
      </c>
      <c r="M67" s="2" t="n">
        <v>53.39</v>
      </c>
      <c r="N67" s="2" t="n">
        <v>70.59999999999999</v>
      </c>
      <c r="O67" s="2" t="n">
        <v>66.36538461538461</v>
      </c>
      <c r="P67" s="2" t="n">
        <v>13</v>
      </c>
      <c r="Q67" s="2" t="n">
        <v>1</v>
      </c>
      <c r="R67" s="2" t="n">
        <v>66.36538461538461</v>
      </c>
    </row>
    <row r="68">
      <c r="A68" s="2" t="inlineStr">
        <is>
          <t>C4-067</t>
        </is>
      </c>
      <c r="B68" s="2" t="n">
        <v>23.3</v>
      </c>
      <c r="C68" s="2" t="n">
        <v>5.77</v>
      </c>
      <c r="D68" s="2" t="n">
        <v>14.28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31.8</v>
      </c>
      <c r="N68" s="2" t="n">
        <v>23.8</v>
      </c>
      <c r="O68" s="2" t="n">
        <v>7.611538461538462</v>
      </c>
      <c r="P68" s="2" t="n">
        <v>9</v>
      </c>
      <c r="Q68" s="2" t="n">
        <v>0.6923076923076923</v>
      </c>
      <c r="R68" s="2" t="n">
        <v>10.99444444444445</v>
      </c>
    </row>
    <row r="69">
      <c r="A69" s="2" t="inlineStr">
        <is>
          <t>C4-068</t>
        </is>
      </c>
      <c r="B69" s="2" t="n">
        <v>84.91</v>
      </c>
      <c r="C69" s="2" t="n">
        <v>94.23</v>
      </c>
      <c r="D69" s="2" t="n">
        <v>100</v>
      </c>
      <c r="E69" s="2" t="n">
        <v>100</v>
      </c>
      <c r="F69" s="2" t="n">
        <v>84.95999999999999</v>
      </c>
      <c r="G69" s="2" t="n">
        <v>86.95999999999999</v>
      </c>
      <c r="H69" s="2" t="n">
        <v>100</v>
      </c>
      <c r="I69" s="2" t="n">
        <v>0</v>
      </c>
      <c r="J69" s="2" t="n">
        <v>65.31</v>
      </c>
      <c r="K69" s="2" t="n">
        <v>0</v>
      </c>
      <c r="L69" s="2" t="n">
        <v>88.95</v>
      </c>
      <c r="M69" s="2" t="n">
        <v>28.17</v>
      </c>
      <c r="N69" s="2" t="n">
        <v>0</v>
      </c>
      <c r="O69" s="2" t="n">
        <v>64.11461538461539</v>
      </c>
      <c r="P69" s="2" t="n">
        <v>11</v>
      </c>
      <c r="Q69" s="2" t="n">
        <v>0.8461538461538461</v>
      </c>
      <c r="R69" s="2" t="n">
        <v>75.77181818181818</v>
      </c>
    </row>
    <row r="70">
      <c r="A70" s="2" t="inlineStr">
        <is>
          <t>C4-069</t>
        </is>
      </c>
      <c r="B70" s="2" t="n">
        <v>100</v>
      </c>
      <c r="C70" s="2" t="n">
        <v>100</v>
      </c>
      <c r="D70" s="2" t="n">
        <v>100</v>
      </c>
      <c r="E70" s="2" t="n">
        <v>100</v>
      </c>
      <c r="F70" s="2" t="n">
        <v>100</v>
      </c>
      <c r="G70" s="2" t="n">
        <v>81.98</v>
      </c>
      <c r="H70" s="2" t="n">
        <v>100</v>
      </c>
      <c r="I70" s="2" t="n">
        <v>93.47</v>
      </c>
      <c r="J70" s="2" t="n">
        <v>82.18000000000001</v>
      </c>
      <c r="K70" s="2" t="n">
        <v>70.02</v>
      </c>
      <c r="L70" s="2" t="n">
        <v>86.48999999999999</v>
      </c>
      <c r="M70" s="2" t="n">
        <v>100</v>
      </c>
      <c r="N70" s="2" t="n">
        <v>100</v>
      </c>
      <c r="O70" s="2" t="n">
        <v>93.39538461538461</v>
      </c>
      <c r="P70" s="2" t="n">
        <v>13</v>
      </c>
      <c r="Q70" s="2" t="n">
        <v>1</v>
      </c>
      <c r="R70" s="2" t="n">
        <v>93.39538461538461</v>
      </c>
    </row>
    <row r="71">
      <c r="A71" s="2" t="inlineStr">
        <is>
          <t>C4-070</t>
        </is>
      </c>
      <c r="B71" s="2" t="n">
        <v>99.09</v>
      </c>
      <c r="C71" s="2" t="n">
        <v>90.38</v>
      </c>
      <c r="D71" s="2" t="n">
        <v>100</v>
      </c>
      <c r="E71" s="2" t="n">
        <v>0</v>
      </c>
      <c r="F71" s="2" t="n">
        <v>31.7</v>
      </c>
      <c r="G71" s="2" t="n">
        <v>3.7</v>
      </c>
      <c r="H71" s="2" t="n">
        <v>50</v>
      </c>
      <c r="I71" s="2" t="n">
        <v>0</v>
      </c>
      <c r="J71" s="2" t="n">
        <v>34.62</v>
      </c>
      <c r="K71" s="2" t="n">
        <v>0</v>
      </c>
      <c r="L71" s="2" t="n">
        <v>96.15000000000001</v>
      </c>
      <c r="M71" s="2" t="n">
        <v>10.03</v>
      </c>
      <c r="N71" s="2" t="n">
        <v>0</v>
      </c>
      <c r="O71" s="2" t="n">
        <v>39.66692307692308</v>
      </c>
      <c r="P71" s="2" t="n">
        <v>11</v>
      </c>
      <c r="Q71" s="2" t="n">
        <v>0.8461538461538461</v>
      </c>
      <c r="R71" s="2" t="n">
        <v>46.87909090909091</v>
      </c>
    </row>
    <row r="72">
      <c r="A72" s="2" t="inlineStr">
        <is>
          <t>C4-071</t>
        </is>
      </c>
      <c r="B72" s="2" t="n">
        <v>47.16</v>
      </c>
      <c r="C72" s="2" t="n">
        <v>32.69</v>
      </c>
      <c r="D72" s="2" t="n">
        <v>100</v>
      </c>
      <c r="E72" s="2" t="n">
        <v>0</v>
      </c>
      <c r="F72" s="2" t="n">
        <v>0</v>
      </c>
      <c r="G72" s="2" t="n">
        <v>0</v>
      </c>
      <c r="H72" s="2" t="n">
        <v>25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15.75769230769231</v>
      </c>
      <c r="P72" s="2" t="n">
        <v>7</v>
      </c>
      <c r="Q72" s="2" t="n">
        <v>0.5384615384615384</v>
      </c>
      <c r="R72" s="2" t="n">
        <v>29.26428571428571</v>
      </c>
    </row>
    <row r="73">
      <c r="A73" s="2" t="inlineStr">
        <is>
          <t>C4-072</t>
        </is>
      </c>
      <c r="B73" s="2" t="n">
        <v>73.55</v>
      </c>
      <c r="C73" s="2" t="n">
        <v>75</v>
      </c>
      <c r="D73" s="2" t="n">
        <v>100</v>
      </c>
      <c r="E73" s="2" t="n">
        <v>75</v>
      </c>
      <c r="F73" s="2" t="n">
        <v>46.44</v>
      </c>
      <c r="G73" s="2" t="n">
        <v>47.23</v>
      </c>
      <c r="H73" s="2" t="n">
        <v>75</v>
      </c>
      <c r="I73" s="2" t="n">
        <v>45.26</v>
      </c>
      <c r="J73" s="2" t="n">
        <v>29.23</v>
      </c>
      <c r="K73" s="2" t="n">
        <v>39.36</v>
      </c>
      <c r="L73" s="2" t="n">
        <v>37.5</v>
      </c>
      <c r="M73" s="2" t="n">
        <v>62.87</v>
      </c>
      <c r="N73" s="2" t="n">
        <v>74.41</v>
      </c>
      <c r="O73" s="2" t="n">
        <v>60.06538461538462</v>
      </c>
      <c r="P73" s="2" t="n">
        <v>13</v>
      </c>
      <c r="Q73" s="2" t="n">
        <v>1</v>
      </c>
      <c r="R73" s="2" t="n">
        <v>60.06538461538462</v>
      </c>
    </row>
    <row r="74">
      <c r="A74" s="2" t="inlineStr">
        <is>
          <t>C4-073</t>
        </is>
      </c>
      <c r="B74" s="2" t="n">
        <v>87.56999999999999</v>
      </c>
      <c r="C74" s="2" t="n">
        <v>86.54000000000001</v>
      </c>
      <c r="D74" s="2" t="n">
        <v>100</v>
      </c>
      <c r="E74" s="2" t="n">
        <v>75</v>
      </c>
      <c r="F74" s="2" t="n">
        <v>63.4</v>
      </c>
      <c r="G74" s="2" t="n">
        <v>73.28</v>
      </c>
      <c r="H74" s="2" t="n">
        <v>100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45.06076923076923</v>
      </c>
      <c r="P74" s="2" t="n">
        <v>7</v>
      </c>
      <c r="Q74" s="2" t="n">
        <v>0.5384615384615384</v>
      </c>
      <c r="R74" s="2" t="n">
        <v>83.68428571428572</v>
      </c>
    </row>
    <row r="75">
      <c r="A75" s="2" t="inlineStr">
        <is>
          <t>C4-074</t>
        </is>
      </c>
      <c r="B75" s="2" t="n">
        <v>100</v>
      </c>
      <c r="C75" s="2" t="n">
        <v>100</v>
      </c>
      <c r="D75" s="2" t="n">
        <v>100</v>
      </c>
      <c r="E75" s="2" t="n">
        <v>0</v>
      </c>
      <c r="F75" s="2" t="n">
        <v>71.7</v>
      </c>
      <c r="G75" s="2" t="n">
        <v>69.7</v>
      </c>
      <c r="H75" s="2" t="n">
        <v>100</v>
      </c>
      <c r="I75" s="2" t="n">
        <v>0</v>
      </c>
      <c r="J75" s="2" t="n">
        <v>73.23</v>
      </c>
      <c r="K75" s="2" t="n">
        <v>0</v>
      </c>
      <c r="L75" s="2" t="n">
        <v>95.36</v>
      </c>
      <c r="M75" s="2" t="n">
        <v>47.71</v>
      </c>
      <c r="N75" s="2" t="n">
        <v>62.63</v>
      </c>
      <c r="O75" s="2" t="n">
        <v>63.10230769230769</v>
      </c>
      <c r="P75" s="2" t="n">
        <v>11</v>
      </c>
      <c r="Q75" s="2" t="n">
        <v>0.8461538461538461</v>
      </c>
      <c r="R75" s="2" t="n">
        <v>74.57545454545455</v>
      </c>
    </row>
    <row r="76">
      <c r="A76" s="2" t="inlineStr">
        <is>
          <t>C4-075</t>
        </is>
      </c>
      <c r="B76" s="2" t="n">
        <v>100</v>
      </c>
      <c r="C76" s="2" t="n">
        <v>96.15000000000001</v>
      </c>
      <c r="D76" s="2" t="n">
        <v>100</v>
      </c>
      <c r="E76" s="2" t="n">
        <v>100</v>
      </c>
      <c r="F76" s="2" t="n">
        <v>69.19</v>
      </c>
      <c r="G76" s="2" t="n">
        <v>35.45</v>
      </c>
      <c r="H76" s="2" t="n">
        <v>100</v>
      </c>
      <c r="I76" s="2" t="n">
        <v>0</v>
      </c>
      <c r="J76" s="2" t="n">
        <v>2.43</v>
      </c>
      <c r="K76" s="2" t="n">
        <v>0</v>
      </c>
      <c r="L76" s="2" t="n">
        <v>97.45</v>
      </c>
      <c r="M76" s="2" t="n">
        <v>33.33</v>
      </c>
      <c r="N76" s="2" t="n">
        <v>38.82</v>
      </c>
      <c r="O76" s="2" t="n">
        <v>59.44769230769231</v>
      </c>
      <c r="P76" s="2" t="n">
        <v>11</v>
      </c>
      <c r="Q76" s="2" t="n">
        <v>0.8461538461538461</v>
      </c>
      <c r="R76" s="2" t="n">
        <v>70.25636363636363</v>
      </c>
    </row>
    <row r="77">
      <c r="A77" s="2" t="inlineStr">
        <is>
          <t>C4-076</t>
        </is>
      </c>
      <c r="B77" s="2" t="n">
        <v>79.86</v>
      </c>
      <c r="C77" s="2" t="n">
        <v>71.15000000000001</v>
      </c>
      <c r="D77" s="2" t="n">
        <v>100</v>
      </c>
      <c r="E77" s="2" t="n">
        <v>50</v>
      </c>
      <c r="F77" s="2" t="n">
        <v>31.7</v>
      </c>
      <c r="G77" s="2" t="n">
        <v>9.960000000000001</v>
      </c>
      <c r="H77" s="2" t="n">
        <v>50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15.02</v>
      </c>
      <c r="O77" s="2" t="n">
        <v>31.36076923076923</v>
      </c>
      <c r="P77" s="2" t="n">
        <v>9</v>
      </c>
      <c r="Q77" s="2" t="n">
        <v>0.6923076923076923</v>
      </c>
      <c r="R77" s="2" t="n">
        <v>45.29888888888889</v>
      </c>
    </row>
    <row r="78">
      <c r="A78" s="2" t="inlineStr">
        <is>
          <t>C4-077</t>
        </is>
      </c>
      <c r="B78" s="2" t="n">
        <v>57.47</v>
      </c>
      <c r="C78" s="2" t="n">
        <v>21.15</v>
      </c>
      <c r="D78" s="2" t="n">
        <v>100</v>
      </c>
      <c r="E78" s="2" t="n">
        <v>0</v>
      </c>
      <c r="F78" s="2" t="n">
        <v>40</v>
      </c>
      <c r="G78" s="2" t="n">
        <v>25.52</v>
      </c>
      <c r="H78" s="2" t="n">
        <v>25</v>
      </c>
      <c r="I78" s="2" t="n">
        <v>13.33</v>
      </c>
      <c r="J78" s="2" t="n">
        <v>0</v>
      </c>
      <c r="K78" s="2" t="n">
        <v>3.85</v>
      </c>
      <c r="L78" s="2" t="n">
        <v>0</v>
      </c>
      <c r="M78" s="2" t="n">
        <v>15.9</v>
      </c>
      <c r="N78" s="2" t="n">
        <v>15.02</v>
      </c>
      <c r="O78" s="2" t="n">
        <v>24.40307692307692</v>
      </c>
      <c r="P78" s="2" t="n">
        <v>11</v>
      </c>
      <c r="Q78" s="2" t="n">
        <v>0.8461538461538461</v>
      </c>
      <c r="R78" s="2" t="n">
        <v>28.84</v>
      </c>
    </row>
    <row r="79">
      <c r="A79" s="2" t="inlineStr">
        <is>
          <t>C4-078</t>
        </is>
      </c>
      <c r="B79" s="2" t="n">
        <v>43.36</v>
      </c>
      <c r="C79" s="2" t="n">
        <v>17.31</v>
      </c>
      <c r="D79" s="2" t="n">
        <v>100</v>
      </c>
      <c r="E79" s="2" t="n">
        <v>75</v>
      </c>
      <c r="F79" s="2" t="n">
        <v>56.15</v>
      </c>
      <c r="G79" s="2" t="n">
        <v>47.23</v>
      </c>
      <c r="H79" s="2" t="n">
        <v>25</v>
      </c>
      <c r="I79" s="2" t="n">
        <v>0</v>
      </c>
      <c r="J79" s="2" t="n">
        <v>14.29</v>
      </c>
      <c r="K79" s="2" t="n">
        <v>0</v>
      </c>
      <c r="L79" s="2" t="n">
        <v>76.47</v>
      </c>
      <c r="M79" s="2" t="n">
        <v>54.44</v>
      </c>
      <c r="N79" s="2" t="n">
        <v>51.96</v>
      </c>
      <c r="O79" s="2" t="n">
        <v>43.17</v>
      </c>
      <c r="P79" s="2" t="n">
        <v>11</v>
      </c>
      <c r="Q79" s="2" t="n">
        <v>0.8461538461538461</v>
      </c>
      <c r="R79" s="2" t="n">
        <v>51.01909090909091</v>
      </c>
    </row>
    <row r="80">
      <c r="A80" s="2" t="inlineStr">
        <is>
          <t>C4-079</t>
        </is>
      </c>
      <c r="B80" s="2" t="n">
        <v>46</v>
      </c>
      <c r="C80" s="2" t="n">
        <v>21.15</v>
      </c>
      <c r="D80" s="2" t="n">
        <v>62.86</v>
      </c>
      <c r="E80" s="2" t="n">
        <v>50</v>
      </c>
      <c r="F80" s="2" t="n">
        <v>31.7</v>
      </c>
      <c r="G80" s="2" t="n">
        <v>28.53</v>
      </c>
      <c r="H80" s="2" t="n">
        <v>25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15.9</v>
      </c>
      <c r="N80" s="2" t="n">
        <v>23.8</v>
      </c>
      <c r="O80" s="2" t="n">
        <v>23.45692307692308</v>
      </c>
      <c r="P80" s="2" t="n">
        <v>9</v>
      </c>
      <c r="Q80" s="2" t="n">
        <v>0.6923076923076923</v>
      </c>
      <c r="R80" s="2" t="n">
        <v>33.88222222222223</v>
      </c>
    </row>
    <row r="81">
      <c r="A81" s="2" t="inlineStr">
        <is>
          <t>C4-080</t>
        </is>
      </c>
      <c r="B81" s="2" t="n">
        <v>98.79000000000001</v>
      </c>
      <c r="C81" s="2" t="n">
        <v>100</v>
      </c>
      <c r="D81" s="2" t="n">
        <v>100</v>
      </c>
      <c r="E81" s="2" t="n">
        <v>100</v>
      </c>
      <c r="F81" s="2" t="n">
        <v>100</v>
      </c>
      <c r="G81" s="2" t="n">
        <v>99.40000000000001</v>
      </c>
      <c r="H81" s="2" t="n">
        <v>100</v>
      </c>
      <c r="I81" s="2" t="n">
        <v>49.66</v>
      </c>
      <c r="J81" s="2" t="n">
        <v>26.96</v>
      </c>
      <c r="K81" s="2" t="n">
        <v>46.23</v>
      </c>
      <c r="L81" s="2" t="n">
        <v>71.81999999999999</v>
      </c>
      <c r="M81" s="2" t="n">
        <v>71.42</v>
      </c>
      <c r="N81" s="2" t="n">
        <v>99.12</v>
      </c>
      <c r="O81" s="2" t="n">
        <v>81.8</v>
      </c>
      <c r="P81" s="2" t="n">
        <v>13</v>
      </c>
      <c r="Q81" s="2" t="n">
        <v>1</v>
      </c>
      <c r="R81" s="2" t="n">
        <v>81.8</v>
      </c>
    </row>
    <row r="82">
      <c r="A82" s="2" t="inlineStr">
        <is>
          <t>C4-081</t>
        </is>
      </c>
      <c r="B82" s="2" t="n">
        <v>87.53</v>
      </c>
      <c r="C82" s="2" t="n">
        <v>98.08</v>
      </c>
      <c r="D82" s="2" t="n">
        <v>100</v>
      </c>
      <c r="E82" s="2" t="n">
        <v>100</v>
      </c>
      <c r="F82" s="2" t="n">
        <v>86.44</v>
      </c>
      <c r="G82" s="2" t="n">
        <v>91.76000000000001</v>
      </c>
      <c r="H82" s="2" t="n">
        <v>100</v>
      </c>
      <c r="I82" s="2" t="n">
        <v>49.66</v>
      </c>
      <c r="J82" s="2" t="n">
        <v>35.33</v>
      </c>
      <c r="K82" s="2" t="n">
        <v>46.23</v>
      </c>
      <c r="L82" s="2" t="n">
        <v>82.91</v>
      </c>
      <c r="M82" s="2" t="n">
        <v>37.13</v>
      </c>
      <c r="N82" s="2" t="n">
        <v>63.8</v>
      </c>
      <c r="O82" s="2" t="n">
        <v>75.2976923076923</v>
      </c>
      <c r="P82" s="2" t="n">
        <v>13</v>
      </c>
      <c r="Q82" s="2" t="n">
        <v>1</v>
      </c>
      <c r="R82" s="2" t="n">
        <v>75.2976923076923</v>
      </c>
    </row>
    <row r="83">
      <c r="A83" s="2" t="inlineStr">
        <is>
          <t>C4-082</t>
        </is>
      </c>
      <c r="B83" s="2" t="n">
        <v>85.87</v>
      </c>
      <c r="C83" s="2" t="n">
        <v>96.15000000000001</v>
      </c>
      <c r="D83" s="2" t="n">
        <v>100</v>
      </c>
      <c r="E83" s="2" t="n">
        <v>100</v>
      </c>
      <c r="F83" s="2" t="n">
        <v>84.95999999999999</v>
      </c>
      <c r="G83" s="2" t="n">
        <v>92.81999999999999</v>
      </c>
      <c r="H83" s="2" t="n">
        <v>100</v>
      </c>
      <c r="I83" s="2" t="n">
        <v>49.66</v>
      </c>
      <c r="J83" s="2" t="n">
        <v>37.63</v>
      </c>
      <c r="K83" s="2" t="n">
        <v>46.23</v>
      </c>
      <c r="L83" s="2" t="n">
        <v>81.61</v>
      </c>
      <c r="M83" s="2" t="n">
        <v>34.71</v>
      </c>
      <c r="N83" s="2" t="n">
        <v>45.06</v>
      </c>
      <c r="O83" s="2" t="n">
        <v>73.43846153846154</v>
      </c>
      <c r="P83" s="2" t="n">
        <v>13</v>
      </c>
      <c r="Q83" s="2" t="n">
        <v>1</v>
      </c>
      <c r="R83" s="2" t="n">
        <v>73.43846153846154</v>
      </c>
    </row>
    <row r="84">
      <c r="A84" s="2" t="inlineStr">
        <is>
          <t>C4-083</t>
        </is>
      </c>
      <c r="B84" s="2" t="n">
        <v>37.13</v>
      </c>
      <c r="C84" s="2" t="n">
        <v>13.46</v>
      </c>
      <c r="D84" s="2" t="n">
        <v>100</v>
      </c>
      <c r="E84" s="2" t="n">
        <v>75</v>
      </c>
      <c r="F84" s="2" t="n">
        <v>51.7</v>
      </c>
      <c r="G84" s="2" t="n">
        <v>56.98</v>
      </c>
      <c r="H84" s="2" t="n">
        <v>0</v>
      </c>
      <c r="I84" s="2" t="n">
        <v>35.14</v>
      </c>
      <c r="J84" s="2" t="n">
        <v>8.109999999999999</v>
      </c>
      <c r="K84" s="2" t="n">
        <v>35.71</v>
      </c>
      <c r="L84" s="2" t="n">
        <v>25</v>
      </c>
      <c r="M84" s="2" t="n">
        <v>62.49</v>
      </c>
      <c r="N84" s="2" t="n">
        <v>91.11</v>
      </c>
      <c r="O84" s="2" t="n">
        <v>45.52538461538462</v>
      </c>
      <c r="P84" s="2" t="n">
        <v>13</v>
      </c>
      <c r="Q84" s="2" t="n">
        <v>1</v>
      </c>
      <c r="R84" s="2" t="n">
        <v>45.52538461538462</v>
      </c>
    </row>
    <row r="85">
      <c r="A85" s="2" t="inlineStr">
        <is>
          <t>C4-084</t>
        </is>
      </c>
      <c r="B85" s="2" t="n">
        <v>0</v>
      </c>
      <c r="C85" s="2" t="n">
        <v>0</v>
      </c>
      <c r="D85" s="2" t="n">
        <v>0</v>
      </c>
      <c r="E85" s="2" t="n">
        <v>100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7.692307692307693</v>
      </c>
      <c r="P85" s="2" t="n">
        <v>9</v>
      </c>
      <c r="Q85" s="2" t="n">
        <v>0.6923076923076923</v>
      </c>
      <c r="R85" s="2" t="n">
        <v>11.11111111111111</v>
      </c>
    </row>
    <row r="86">
      <c r="A86" s="2" t="inlineStr">
        <is>
          <t>C4-085</t>
        </is>
      </c>
      <c r="B86" s="2" t="n">
        <v>82.56</v>
      </c>
      <c r="C86" s="2" t="n">
        <v>94.23</v>
      </c>
      <c r="D86" s="2" t="n">
        <v>100</v>
      </c>
      <c r="E86" s="2" t="n">
        <v>100</v>
      </c>
      <c r="F86" s="2" t="n">
        <v>84.95999999999999</v>
      </c>
      <c r="G86" s="2" t="n">
        <v>100</v>
      </c>
      <c r="H86" s="2" t="n">
        <v>100</v>
      </c>
      <c r="I86" s="2" t="n">
        <v>36.36</v>
      </c>
      <c r="J86" s="2" t="n">
        <v>77.08</v>
      </c>
      <c r="K86" s="2" t="n">
        <v>30</v>
      </c>
      <c r="L86" s="2" t="n">
        <v>92.09</v>
      </c>
      <c r="M86" s="2" t="n">
        <v>54.1</v>
      </c>
      <c r="N86" s="2" t="n">
        <v>63.8</v>
      </c>
      <c r="O86" s="2" t="n">
        <v>78.09076923076923</v>
      </c>
      <c r="P86" s="2" t="n">
        <v>13</v>
      </c>
      <c r="Q86" s="2" t="n">
        <v>1</v>
      </c>
      <c r="R86" s="2" t="n">
        <v>78.09076923076923</v>
      </c>
    </row>
    <row r="87">
      <c r="A87" s="2" t="inlineStr">
        <is>
          <t>C4-086</t>
        </is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</row>
    <row r="88">
      <c r="A88" s="2" t="inlineStr">
        <is>
          <t>C4-087</t>
        </is>
      </c>
      <c r="B88" s="2" t="n">
        <v>61.9</v>
      </c>
      <c r="C88" s="2" t="n">
        <v>48.08</v>
      </c>
      <c r="D88" s="2" t="n">
        <v>100</v>
      </c>
      <c r="E88" s="2" t="n">
        <v>100</v>
      </c>
      <c r="F88" s="2" t="n">
        <v>40</v>
      </c>
      <c r="G88" s="2" t="n">
        <v>35.45</v>
      </c>
      <c r="H88" s="2" t="n">
        <v>25</v>
      </c>
      <c r="I88" s="2" t="n">
        <v>0</v>
      </c>
      <c r="J88" s="2" t="n">
        <v>2.63</v>
      </c>
      <c r="K88" s="2" t="n">
        <v>0</v>
      </c>
      <c r="L88" s="2" t="n">
        <v>97.3</v>
      </c>
      <c r="M88" s="2" t="n">
        <v>0</v>
      </c>
      <c r="N88" s="2" t="n">
        <v>23.8</v>
      </c>
      <c r="O88" s="2" t="n">
        <v>41.08923076923077</v>
      </c>
      <c r="P88" s="2" t="n">
        <v>11</v>
      </c>
      <c r="Q88" s="2" t="n">
        <v>0.8461538461538461</v>
      </c>
      <c r="R88" s="2" t="n">
        <v>48.56</v>
      </c>
    </row>
    <row r="89">
      <c r="A89" s="2" t="inlineStr">
        <is>
          <t>C4-088</t>
        </is>
      </c>
      <c r="B89" s="2" t="n">
        <v>55.42</v>
      </c>
      <c r="C89" s="2" t="n">
        <v>17.31</v>
      </c>
      <c r="D89" s="2" t="n">
        <v>100</v>
      </c>
      <c r="E89" s="2" t="n">
        <v>75</v>
      </c>
      <c r="F89" s="2" t="n">
        <v>31.7</v>
      </c>
      <c r="G89" s="2" t="n">
        <v>8.77</v>
      </c>
      <c r="H89" s="2" t="n">
        <v>25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10.03</v>
      </c>
      <c r="N89" s="2" t="n">
        <v>30.04</v>
      </c>
      <c r="O89" s="2" t="n">
        <v>27.17461538461539</v>
      </c>
      <c r="P89" s="2" t="n">
        <v>9</v>
      </c>
      <c r="Q89" s="2" t="n">
        <v>0.6923076923076923</v>
      </c>
      <c r="R89" s="2" t="n">
        <v>39.25222222222222</v>
      </c>
    </row>
    <row r="90">
      <c r="A90" s="2" t="inlineStr">
        <is>
          <t>C4-089</t>
        </is>
      </c>
      <c r="B90" s="2" t="n">
        <v>100</v>
      </c>
      <c r="C90" s="2" t="n">
        <v>98.08</v>
      </c>
      <c r="D90" s="2" t="n">
        <v>100</v>
      </c>
      <c r="E90" s="2" t="n">
        <v>0</v>
      </c>
      <c r="F90" s="2" t="n">
        <v>31.7</v>
      </c>
      <c r="G90" s="2" t="n">
        <v>8.77</v>
      </c>
      <c r="H90" s="2" t="n">
        <v>75</v>
      </c>
      <c r="I90" s="2" t="n">
        <v>0</v>
      </c>
      <c r="J90" s="2" t="n">
        <v>100</v>
      </c>
      <c r="K90" s="2" t="n">
        <v>80.84999999999999</v>
      </c>
      <c r="L90" s="2" t="n">
        <v>100</v>
      </c>
      <c r="M90" s="2" t="n">
        <v>25.93</v>
      </c>
      <c r="N90" s="2" t="n">
        <v>23.8</v>
      </c>
      <c r="O90" s="2" t="n">
        <v>57.24076923076923</v>
      </c>
      <c r="P90" s="2" t="n">
        <v>13</v>
      </c>
      <c r="Q90" s="2" t="n">
        <v>1</v>
      </c>
      <c r="R90" s="2" t="n">
        <v>57.24076923076923</v>
      </c>
    </row>
    <row r="91">
      <c r="A91" s="2" t="inlineStr">
        <is>
          <t>C4-090</t>
        </is>
      </c>
      <c r="B91" s="2" t="n">
        <v>72.91</v>
      </c>
      <c r="C91" s="2" t="n">
        <v>86.54000000000001</v>
      </c>
      <c r="D91" s="2" t="n">
        <v>100</v>
      </c>
      <c r="E91" s="2" t="n">
        <v>100</v>
      </c>
      <c r="F91" s="2" t="n">
        <v>69.19</v>
      </c>
      <c r="G91" s="2" t="n">
        <v>78.26000000000001</v>
      </c>
      <c r="H91" s="2" t="n">
        <v>100</v>
      </c>
      <c r="I91" s="2" t="n">
        <v>35</v>
      </c>
      <c r="J91" s="2" t="n">
        <v>74.84</v>
      </c>
      <c r="K91" s="2" t="n">
        <v>35.06</v>
      </c>
      <c r="L91" s="2" t="n">
        <v>89.86</v>
      </c>
      <c r="M91" s="2" t="n">
        <v>46.59</v>
      </c>
      <c r="N91" s="2" t="n">
        <v>51.96</v>
      </c>
      <c r="O91" s="2" t="n">
        <v>72.32384615384615</v>
      </c>
      <c r="P91" s="2" t="n">
        <v>13</v>
      </c>
      <c r="Q91" s="2" t="n">
        <v>1</v>
      </c>
      <c r="R91" s="2" t="n">
        <v>72.32384615384615</v>
      </c>
    </row>
    <row r="92">
      <c r="A92" s="2" t="inlineStr">
        <is>
          <t>C4-091</t>
        </is>
      </c>
      <c r="B92" s="2" t="n">
        <v>57.47</v>
      </c>
      <c r="C92" s="2" t="n">
        <v>23.08</v>
      </c>
      <c r="D92" s="2" t="n">
        <v>96.38</v>
      </c>
      <c r="E92" s="2" t="n">
        <v>100</v>
      </c>
      <c r="F92" s="2" t="n">
        <v>46.44</v>
      </c>
      <c r="G92" s="2" t="n">
        <v>62.66</v>
      </c>
      <c r="H92" s="2" t="n">
        <v>75</v>
      </c>
      <c r="I92" s="2" t="n">
        <v>30</v>
      </c>
      <c r="J92" s="2" t="n">
        <v>92.59</v>
      </c>
      <c r="K92" s="2" t="n">
        <v>68</v>
      </c>
      <c r="L92" s="2" t="n">
        <v>88.89</v>
      </c>
      <c r="M92" s="2" t="n">
        <v>10.03</v>
      </c>
      <c r="N92" s="2" t="n">
        <v>15.02</v>
      </c>
      <c r="O92" s="2" t="n">
        <v>58.88923076923077</v>
      </c>
      <c r="P92" s="2" t="n">
        <v>13</v>
      </c>
      <c r="Q92" s="2" t="n">
        <v>1</v>
      </c>
      <c r="R92" s="2" t="n">
        <v>58.88923076923077</v>
      </c>
    </row>
    <row r="93">
      <c r="A93" s="2" t="inlineStr">
        <is>
          <t>C4-092</t>
        </is>
      </c>
      <c r="B93" s="2" t="n">
        <v>86.97</v>
      </c>
      <c r="C93" s="2" t="n">
        <v>98.08</v>
      </c>
      <c r="D93" s="2" t="n">
        <v>100</v>
      </c>
      <c r="E93" s="2" t="n">
        <v>100</v>
      </c>
      <c r="F93" s="2" t="n">
        <v>89.19</v>
      </c>
      <c r="G93" s="2" t="n">
        <v>76.81999999999999</v>
      </c>
      <c r="H93" s="2" t="n">
        <v>100</v>
      </c>
      <c r="I93" s="2" t="n">
        <v>64.81</v>
      </c>
      <c r="J93" s="2" t="n">
        <v>78.66</v>
      </c>
      <c r="K93" s="2" t="n">
        <v>57.25</v>
      </c>
      <c r="L93" s="2" t="n">
        <v>89.89</v>
      </c>
      <c r="M93" s="2" t="n">
        <v>59.26</v>
      </c>
      <c r="N93" s="2" t="n">
        <v>67.94</v>
      </c>
      <c r="O93" s="2" t="n">
        <v>82.22076923076924</v>
      </c>
      <c r="P93" s="2" t="n">
        <v>13</v>
      </c>
      <c r="Q93" s="2" t="n">
        <v>1</v>
      </c>
      <c r="R93" s="2" t="n">
        <v>82.22076923076924</v>
      </c>
    </row>
    <row r="94">
      <c r="A94" s="2" t="inlineStr">
        <is>
          <t>C4-093</t>
        </is>
      </c>
      <c r="B94" s="2" t="n">
        <v>76.09999999999999</v>
      </c>
      <c r="C94" s="2" t="n">
        <v>63.46</v>
      </c>
      <c r="D94" s="2" t="n">
        <v>100</v>
      </c>
      <c r="E94" s="2" t="n">
        <v>100</v>
      </c>
      <c r="F94" s="2" t="n">
        <v>60</v>
      </c>
      <c r="G94" s="2" t="n">
        <v>56.24</v>
      </c>
      <c r="H94" s="2" t="n">
        <v>75</v>
      </c>
      <c r="I94" s="2" t="n">
        <v>0</v>
      </c>
      <c r="J94" s="2" t="n">
        <v>41.35</v>
      </c>
      <c r="K94" s="2" t="n">
        <v>0</v>
      </c>
      <c r="L94" s="2" t="n">
        <v>96.97</v>
      </c>
      <c r="M94" s="2" t="n">
        <v>54.77</v>
      </c>
      <c r="N94" s="2" t="n">
        <v>34.87</v>
      </c>
      <c r="O94" s="2" t="n">
        <v>58.36615384615384</v>
      </c>
      <c r="P94" s="2" t="n">
        <v>11</v>
      </c>
      <c r="Q94" s="2" t="n">
        <v>0.8461538461538461</v>
      </c>
      <c r="R94" s="2" t="n">
        <v>68.97818181818182</v>
      </c>
    </row>
    <row r="95">
      <c r="A95" s="2" t="inlineStr">
        <is>
          <t>C4-094</t>
        </is>
      </c>
      <c r="B95" s="2" t="n">
        <v>59.02</v>
      </c>
      <c r="C95" s="2" t="n">
        <v>11.54</v>
      </c>
      <c r="D95" s="2" t="n">
        <v>88.54000000000001</v>
      </c>
      <c r="E95" s="2" t="n">
        <v>75</v>
      </c>
      <c r="F95" s="2" t="n">
        <v>20</v>
      </c>
      <c r="G95" s="2" t="n">
        <v>16.18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15.02</v>
      </c>
      <c r="O95" s="2" t="n">
        <v>21.94615384615385</v>
      </c>
      <c r="P95" s="2" t="n">
        <v>9</v>
      </c>
      <c r="Q95" s="2" t="n">
        <v>0.6923076923076923</v>
      </c>
      <c r="R95" s="2" t="n">
        <v>31.7</v>
      </c>
    </row>
    <row r="96">
      <c r="A96" s="2" t="inlineStr">
        <is>
          <t>C4-095</t>
        </is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</row>
    <row r="97">
      <c r="A97" s="2" t="inlineStr">
        <is>
          <t>C4-096</t>
        </is>
      </c>
      <c r="B97" s="2" t="n">
        <v>89.92</v>
      </c>
      <c r="C97" s="2" t="n">
        <v>98.08</v>
      </c>
      <c r="D97" s="2" t="n">
        <v>100</v>
      </c>
      <c r="E97" s="2" t="n">
        <v>100</v>
      </c>
      <c r="F97" s="2" t="n">
        <v>84.95999999999999</v>
      </c>
      <c r="G97" s="2" t="n">
        <v>91.40000000000001</v>
      </c>
      <c r="H97" s="2" t="n">
        <v>100</v>
      </c>
      <c r="I97" s="2" t="n">
        <v>20</v>
      </c>
      <c r="J97" s="2" t="n">
        <v>88.13</v>
      </c>
      <c r="K97" s="2" t="n">
        <v>42.86</v>
      </c>
      <c r="L97" s="2" t="n">
        <v>84.3</v>
      </c>
      <c r="M97" s="2" t="n">
        <v>52.65</v>
      </c>
      <c r="N97" s="2" t="n">
        <v>34.87</v>
      </c>
      <c r="O97" s="2" t="n">
        <v>75.93615384615384</v>
      </c>
      <c r="P97" s="2" t="n">
        <v>13</v>
      </c>
      <c r="Q97" s="2" t="n">
        <v>1</v>
      </c>
      <c r="R97" s="2" t="n">
        <v>75.93615384615384</v>
      </c>
    </row>
    <row r="98">
      <c r="A98" s="2" t="inlineStr">
        <is>
          <t>C4-097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</row>
    <row r="99">
      <c r="A99" s="2" t="inlineStr">
        <is>
          <t>C4-098</t>
        </is>
      </c>
      <c r="B99" s="2" t="n">
        <v>54.1</v>
      </c>
      <c r="C99" s="2" t="n">
        <v>25</v>
      </c>
      <c r="D99" s="2" t="n">
        <v>100</v>
      </c>
      <c r="E99" s="2" t="n">
        <v>100</v>
      </c>
      <c r="F99" s="2" t="n">
        <v>20</v>
      </c>
      <c r="G99" s="2" t="n">
        <v>4.58</v>
      </c>
      <c r="H99" s="2" t="n">
        <v>25</v>
      </c>
      <c r="I99" s="2" t="n">
        <v>0</v>
      </c>
      <c r="J99" s="2" t="n">
        <v>5.88</v>
      </c>
      <c r="K99" s="2" t="n">
        <v>0</v>
      </c>
      <c r="L99" s="2" t="n">
        <v>97.44</v>
      </c>
      <c r="M99" s="2" t="n">
        <v>33.33</v>
      </c>
      <c r="N99" s="2" t="n">
        <v>34.87</v>
      </c>
      <c r="O99" s="2" t="n">
        <v>38.47692307692308</v>
      </c>
      <c r="P99" s="2" t="n">
        <v>11</v>
      </c>
      <c r="Q99" s="2" t="n">
        <v>0.8461538461538461</v>
      </c>
      <c r="R99" s="2" t="n">
        <v>45.47272727272727</v>
      </c>
    </row>
    <row r="100">
      <c r="A100" s="2" t="inlineStr">
        <is>
          <t>C4-099</t>
        </is>
      </c>
      <c r="B100" s="2" t="n">
        <v>86.23999999999999</v>
      </c>
      <c r="C100" s="2" t="n">
        <v>53.85</v>
      </c>
      <c r="D100" s="2" t="n">
        <v>75.33</v>
      </c>
      <c r="E100" s="2" t="n">
        <v>50</v>
      </c>
      <c r="F100" s="2" t="n">
        <v>0</v>
      </c>
      <c r="G100" s="2" t="n">
        <v>0</v>
      </c>
      <c r="H100" s="2" t="n">
        <v>25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23.3</v>
      </c>
      <c r="N100" s="2" t="n">
        <v>15.02</v>
      </c>
      <c r="O100" s="2" t="n">
        <v>25.28769230769231</v>
      </c>
      <c r="P100" s="2" t="n">
        <v>9</v>
      </c>
      <c r="Q100" s="2" t="n">
        <v>0.6923076923076923</v>
      </c>
      <c r="R100" s="2" t="n">
        <v>36.52666666666666</v>
      </c>
    </row>
    <row r="101">
      <c r="A101" s="2" t="inlineStr">
        <is>
          <t>C4-100</t>
        </is>
      </c>
      <c r="B101" s="2" t="n">
        <v>93.45999999999999</v>
      </c>
      <c r="C101" s="2" t="n">
        <v>98.08</v>
      </c>
      <c r="D101" s="2" t="n">
        <v>100</v>
      </c>
      <c r="E101" s="2" t="n">
        <v>100</v>
      </c>
      <c r="F101" s="2" t="n">
        <v>69.19</v>
      </c>
      <c r="G101" s="2" t="n">
        <v>87.43000000000001</v>
      </c>
      <c r="H101" s="2" t="n">
        <v>100</v>
      </c>
      <c r="I101" s="2" t="n">
        <v>65</v>
      </c>
      <c r="J101" s="2" t="n">
        <v>75.89</v>
      </c>
      <c r="K101" s="2" t="n">
        <v>23.33</v>
      </c>
      <c r="L101" s="2" t="n">
        <v>95.89</v>
      </c>
      <c r="M101" s="2" t="n">
        <v>41.01</v>
      </c>
      <c r="N101" s="2" t="n">
        <v>42.16</v>
      </c>
      <c r="O101" s="2" t="n">
        <v>76.26461538461538</v>
      </c>
      <c r="P101" s="2" t="n">
        <v>13</v>
      </c>
      <c r="Q101" s="2" t="n">
        <v>1</v>
      </c>
      <c r="R101" s="2" t="n">
        <v>76.26461538461538</v>
      </c>
    </row>
    <row r="102">
      <c r="A102" s="2" t="inlineStr">
        <is>
          <t>C4-101</t>
        </is>
      </c>
      <c r="B102" s="2" t="n">
        <v>91.45999999999999</v>
      </c>
      <c r="C102" s="2" t="n">
        <v>50</v>
      </c>
      <c r="D102" s="2" t="n">
        <v>100</v>
      </c>
      <c r="E102" s="2" t="n">
        <v>0</v>
      </c>
      <c r="F102" s="2" t="n">
        <v>71.7</v>
      </c>
      <c r="G102" s="2" t="n">
        <v>62.79</v>
      </c>
      <c r="H102" s="2" t="n">
        <v>75</v>
      </c>
      <c r="I102" s="2" t="n">
        <v>41.38</v>
      </c>
      <c r="J102" s="2" t="n">
        <v>0</v>
      </c>
      <c r="K102" s="2" t="n">
        <v>89.66</v>
      </c>
      <c r="L102" s="2" t="n">
        <v>0</v>
      </c>
      <c r="M102" s="2" t="n">
        <v>0</v>
      </c>
      <c r="N102" s="2" t="n">
        <v>0</v>
      </c>
      <c r="O102" s="2" t="n">
        <v>44.76846153846154</v>
      </c>
      <c r="P102" s="2" t="n">
        <v>11</v>
      </c>
      <c r="Q102" s="2" t="n">
        <v>0.8461538461538461</v>
      </c>
      <c r="R102" s="2" t="n">
        <v>52.90818181818182</v>
      </c>
    </row>
    <row r="103">
      <c r="A103" s="2" t="inlineStr">
        <is>
          <t>C4-102</t>
        </is>
      </c>
      <c r="B103" s="2" t="n">
        <v>100</v>
      </c>
      <c r="C103" s="2" t="n">
        <v>100</v>
      </c>
      <c r="D103" s="2" t="n">
        <v>100</v>
      </c>
      <c r="E103" s="2" t="n">
        <v>100</v>
      </c>
      <c r="F103" s="2" t="n">
        <v>66.44</v>
      </c>
      <c r="G103" s="2" t="n">
        <v>87.04000000000001</v>
      </c>
      <c r="H103" s="2" t="n">
        <v>100</v>
      </c>
      <c r="I103" s="2" t="n">
        <v>0</v>
      </c>
      <c r="J103" s="2" t="n">
        <v>64.59</v>
      </c>
      <c r="K103" s="2" t="n">
        <v>0</v>
      </c>
      <c r="L103" s="2" t="n">
        <v>94.63</v>
      </c>
      <c r="M103" s="2" t="n">
        <v>20.07</v>
      </c>
      <c r="N103" s="2" t="n">
        <v>47.61</v>
      </c>
      <c r="O103" s="2" t="n">
        <v>67.72153846153846</v>
      </c>
      <c r="P103" s="2" t="n">
        <v>11</v>
      </c>
      <c r="Q103" s="2" t="n">
        <v>0.8461538461538461</v>
      </c>
      <c r="R103" s="2" t="n">
        <v>80.03454545454545</v>
      </c>
    </row>
    <row r="104">
      <c r="A104" s="2" t="inlineStr">
        <is>
          <t>C4-103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15.9</v>
      </c>
      <c r="N104" s="2" t="n">
        <v>0</v>
      </c>
      <c r="O104" s="2" t="n">
        <v>1.223076923076923</v>
      </c>
      <c r="P104" s="2" t="n">
        <v>9</v>
      </c>
      <c r="Q104" s="2" t="n">
        <v>0.6923076923076923</v>
      </c>
      <c r="R104" s="2" t="n">
        <v>1.766666666666667</v>
      </c>
    </row>
    <row r="105">
      <c r="A105" s="2" t="inlineStr">
        <is>
          <t>C4-104</t>
        </is>
      </c>
      <c r="B105" s="2" t="n">
        <v>93.25</v>
      </c>
      <c r="C105" s="2" t="n">
        <v>76.92</v>
      </c>
      <c r="D105" s="2" t="n">
        <v>100</v>
      </c>
      <c r="E105" s="2" t="n">
        <v>100</v>
      </c>
      <c r="F105" s="2" t="n">
        <v>31.7</v>
      </c>
      <c r="G105" s="2" t="n">
        <v>16.52</v>
      </c>
      <c r="H105" s="2" t="n">
        <v>50</v>
      </c>
      <c r="I105" s="2" t="n">
        <v>2.5</v>
      </c>
      <c r="J105" s="2" t="n">
        <v>11.64</v>
      </c>
      <c r="K105" s="2" t="n">
        <v>8.33</v>
      </c>
      <c r="L105" s="2" t="n">
        <v>93.04000000000001</v>
      </c>
      <c r="M105" s="2" t="n">
        <v>0</v>
      </c>
      <c r="N105" s="2" t="n">
        <v>15.02</v>
      </c>
      <c r="O105" s="2" t="n">
        <v>46.07076923076923</v>
      </c>
      <c r="P105" s="2" t="n">
        <v>13</v>
      </c>
      <c r="Q105" s="2" t="n">
        <v>1</v>
      </c>
      <c r="R105" s="2" t="n">
        <v>46.07076923076923</v>
      </c>
    </row>
    <row r="106">
      <c r="A106" s="2" t="inlineStr">
        <is>
          <t>C4-105</t>
        </is>
      </c>
      <c r="B106" s="2" t="n">
        <v>96.94</v>
      </c>
      <c r="C106" s="2" t="n">
        <v>90.38</v>
      </c>
      <c r="D106" s="2" t="n">
        <v>100</v>
      </c>
      <c r="E106" s="2" t="n">
        <v>100</v>
      </c>
      <c r="F106" s="2" t="n">
        <v>46.44</v>
      </c>
      <c r="G106" s="2" t="n">
        <v>21.08</v>
      </c>
      <c r="H106" s="2" t="n">
        <v>75</v>
      </c>
      <c r="I106" s="2" t="n">
        <v>23.64</v>
      </c>
      <c r="J106" s="2" t="n">
        <v>29.03</v>
      </c>
      <c r="K106" s="2" t="n">
        <v>38.71</v>
      </c>
      <c r="L106" s="2" t="n">
        <v>72.41</v>
      </c>
      <c r="M106" s="2" t="n">
        <v>70</v>
      </c>
      <c r="N106" s="2" t="n">
        <v>62.63</v>
      </c>
      <c r="O106" s="2" t="n">
        <v>63.55846153846154</v>
      </c>
      <c r="P106" s="2" t="n">
        <v>13</v>
      </c>
      <c r="Q106" s="2" t="n">
        <v>1</v>
      </c>
      <c r="R106" s="2" t="n">
        <v>63.55846153846154</v>
      </c>
    </row>
    <row r="107">
      <c r="A107" s="2" t="inlineStr">
        <is>
          <t>C4-106</t>
        </is>
      </c>
      <c r="B107" s="2" t="n">
        <v>56.91</v>
      </c>
      <c r="C107" s="2" t="n">
        <v>53.85</v>
      </c>
      <c r="D107" s="2" t="n">
        <v>100</v>
      </c>
      <c r="E107" s="2" t="n">
        <v>100</v>
      </c>
      <c r="F107" s="2" t="n">
        <v>56.15</v>
      </c>
      <c r="G107" s="2" t="n">
        <v>55.94</v>
      </c>
      <c r="H107" s="2" t="n">
        <v>75</v>
      </c>
      <c r="I107" s="2" t="n">
        <v>94.83</v>
      </c>
      <c r="J107" s="2" t="n">
        <v>62.5</v>
      </c>
      <c r="K107" s="2" t="n">
        <v>56.82</v>
      </c>
      <c r="L107" s="2" t="n">
        <v>93.75</v>
      </c>
      <c r="M107" s="2" t="n">
        <v>55.42</v>
      </c>
      <c r="N107" s="2" t="n">
        <v>34.87</v>
      </c>
      <c r="O107" s="2" t="n">
        <v>68.92615384615385</v>
      </c>
      <c r="P107" s="2" t="n">
        <v>13</v>
      </c>
      <c r="Q107" s="2" t="n">
        <v>1</v>
      </c>
      <c r="R107" s="2" t="n">
        <v>68.92615384615385</v>
      </c>
    </row>
    <row r="108">
      <c r="A108" s="2" t="inlineStr">
        <is>
          <t>C4-107</t>
        </is>
      </c>
      <c r="B108" s="2" t="n">
        <v>15.9</v>
      </c>
      <c r="C108" s="2" t="n">
        <v>3.85</v>
      </c>
      <c r="D108" s="2" t="n">
        <v>100</v>
      </c>
      <c r="E108" s="2" t="n">
        <v>100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15.9</v>
      </c>
      <c r="N108" s="2" t="n">
        <v>15.02</v>
      </c>
      <c r="O108" s="2" t="n">
        <v>19.28230769230769</v>
      </c>
      <c r="P108" s="2" t="n">
        <v>9</v>
      </c>
      <c r="Q108" s="2" t="n">
        <v>0.6923076923076923</v>
      </c>
      <c r="R108" s="2" t="n">
        <v>27.85222222222222</v>
      </c>
    </row>
    <row r="109">
      <c r="A109" s="2" t="inlineStr">
        <is>
          <t>C4-108</t>
        </is>
      </c>
      <c r="B109" s="2" t="n">
        <v>56.03</v>
      </c>
      <c r="C109" s="2" t="n">
        <v>32.69</v>
      </c>
      <c r="D109" s="2" t="n">
        <v>86.53</v>
      </c>
      <c r="E109" s="2" t="n">
        <v>75</v>
      </c>
      <c r="F109" s="2" t="n">
        <v>46.44</v>
      </c>
      <c r="G109" s="2" t="n">
        <v>57.85</v>
      </c>
      <c r="H109" s="2" t="n">
        <v>75</v>
      </c>
      <c r="I109" s="2" t="n">
        <v>17.86</v>
      </c>
      <c r="J109" s="2" t="n">
        <v>31.03</v>
      </c>
      <c r="K109" s="2" t="n">
        <v>31.82</v>
      </c>
      <c r="L109" s="2" t="n">
        <v>58.62</v>
      </c>
      <c r="M109" s="2" t="n">
        <v>23.3</v>
      </c>
      <c r="N109" s="2" t="n">
        <v>15.02</v>
      </c>
      <c r="O109" s="2" t="n">
        <v>46.70692307692308</v>
      </c>
      <c r="P109" s="2" t="n">
        <v>13</v>
      </c>
      <c r="Q109" s="2" t="n">
        <v>1</v>
      </c>
      <c r="R109" s="2" t="n">
        <v>46.70692307692308</v>
      </c>
    </row>
    <row r="110">
      <c r="A110" s="2" t="inlineStr">
        <is>
          <t>C4-109</t>
        </is>
      </c>
      <c r="B110" s="2" t="n">
        <v>67.5</v>
      </c>
      <c r="C110" s="2" t="n">
        <v>65.38</v>
      </c>
      <c r="D110" s="2" t="n">
        <v>100</v>
      </c>
      <c r="E110" s="2" t="n">
        <v>100</v>
      </c>
      <c r="F110" s="2" t="n">
        <v>60</v>
      </c>
      <c r="G110" s="2" t="n">
        <v>66.43000000000001</v>
      </c>
      <c r="H110" s="2" t="n">
        <v>75</v>
      </c>
      <c r="I110" s="2" t="n">
        <v>19.51</v>
      </c>
      <c r="J110" s="2" t="n">
        <v>43.94</v>
      </c>
      <c r="K110" s="2" t="n">
        <v>18.18</v>
      </c>
      <c r="L110" s="2" t="n">
        <v>37.5</v>
      </c>
      <c r="M110" s="2" t="n">
        <v>47.71</v>
      </c>
      <c r="N110" s="2" t="n">
        <v>63.8</v>
      </c>
      <c r="O110" s="2" t="n">
        <v>58.84230769230769</v>
      </c>
      <c r="P110" s="2" t="n">
        <v>13</v>
      </c>
      <c r="Q110" s="2" t="n">
        <v>1</v>
      </c>
      <c r="R110" s="2" t="n">
        <v>58.84230769230769</v>
      </c>
    </row>
    <row r="111">
      <c r="A111" s="2" t="inlineStr">
        <is>
          <t>C4-110</t>
        </is>
      </c>
      <c r="B111" s="2" t="n">
        <v>100</v>
      </c>
      <c r="C111" s="2" t="n">
        <v>100</v>
      </c>
      <c r="D111" s="2" t="n">
        <v>100</v>
      </c>
      <c r="E111" s="2" t="n">
        <v>100</v>
      </c>
      <c r="F111" s="2" t="n">
        <v>100</v>
      </c>
      <c r="G111" s="2" t="n">
        <v>96.25</v>
      </c>
      <c r="H111" s="2" t="n">
        <v>100</v>
      </c>
      <c r="I111" s="2" t="n">
        <v>0</v>
      </c>
      <c r="J111" s="2" t="n">
        <v>93.13</v>
      </c>
      <c r="K111" s="2" t="n">
        <v>0</v>
      </c>
      <c r="L111" s="2" t="n">
        <v>90.01000000000001</v>
      </c>
      <c r="M111" s="2" t="n">
        <v>45.38</v>
      </c>
      <c r="N111" s="2" t="n">
        <v>75.76000000000001</v>
      </c>
      <c r="O111" s="2" t="n">
        <v>76.96384615384615</v>
      </c>
      <c r="P111" s="2" t="n">
        <v>11</v>
      </c>
      <c r="Q111" s="2" t="n">
        <v>0.8461538461538461</v>
      </c>
      <c r="R111" s="2" t="n">
        <v>90.95727272727272</v>
      </c>
    </row>
    <row r="112">
      <c r="A112" s="2" t="inlineStr">
        <is>
          <t>C4-111</t>
        </is>
      </c>
      <c r="B112" s="2" t="n">
        <v>81.97</v>
      </c>
      <c r="C112" s="2" t="n">
        <v>84.62</v>
      </c>
      <c r="D112" s="2" t="n">
        <v>100</v>
      </c>
      <c r="E112" s="2" t="n">
        <v>100</v>
      </c>
      <c r="F112" s="2" t="n">
        <v>76.15000000000001</v>
      </c>
      <c r="G112" s="2" t="n">
        <v>58.14</v>
      </c>
      <c r="H112" s="2" t="n">
        <v>100</v>
      </c>
      <c r="I112" s="2" t="n">
        <v>25.53</v>
      </c>
      <c r="J112" s="2" t="n">
        <v>41.48</v>
      </c>
      <c r="K112" s="2" t="n">
        <v>10</v>
      </c>
      <c r="L112" s="2" t="n">
        <v>81.75</v>
      </c>
      <c r="M112" s="2" t="n">
        <v>74.92</v>
      </c>
      <c r="N112" s="2" t="n">
        <v>78.23999999999999</v>
      </c>
      <c r="O112" s="2" t="n">
        <v>70.21538461538462</v>
      </c>
      <c r="P112" s="2" t="n">
        <v>13</v>
      </c>
      <c r="Q112" s="2" t="n">
        <v>1</v>
      </c>
      <c r="R112" s="2" t="n">
        <v>70.21538461538462</v>
      </c>
    </row>
    <row r="113">
      <c r="A113" s="2" t="inlineStr">
        <is>
          <t>C4-112</t>
        </is>
      </c>
      <c r="B113" s="2" t="n">
        <v>100</v>
      </c>
      <c r="C113" s="2" t="n">
        <v>98.08</v>
      </c>
      <c r="D113" s="2" t="n">
        <v>100</v>
      </c>
      <c r="E113" s="2" t="n">
        <v>100</v>
      </c>
      <c r="F113" s="2" t="n">
        <v>87.84999999999999</v>
      </c>
      <c r="G113" s="2" t="n">
        <v>33.57</v>
      </c>
      <c r="H113" s="2" t="n">
        <v>100</v>
      </c>
      <c r="I113" s="2" t="n">
        <v>71.15000000000001</v>
      </c>
      <c r="J113" s="2" t="n">
        <v>68.38</v>
      </c>
      <c r="K113" s="2" t="n">
        <v>63.55</v>
      </c>
      <c r="L113" s="2" t="n">
        <v>72.2</v>
      </c>
      <c r="M113" s="2" t="n">
        <v>100</v>
      </c>
      <c r="N113" s="2" t="n">
        <v>100</v>
      </c>
      <c r="O113" s="2" t="n">
        <v>84.21384615384615</v>
      </c>
      <c r="P113" s="2" t="n">
        <v>13</v>
      </c>
      <c r="Q113" s="2" t="n">
        <v>1</v>
      </c>
      <c r="R113" s="2" t="n">
        <v>84.21384615384615</v>
      </c>
    </row>
  </sheetData>
  <autoFilter ref="A1:R1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EF1F2"/>
    <outlinePr summaryBelow="1" summaryRight="1"/>
    <pageSetUpPr/>
  </sheetPr>
  <dimension ref="A1:CU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  <col width="32" customWidth="1" min="36" max="36"/>
    <col width="32" customWidth="1" min="37" max="37"/>
    <col width="32" customWidth="1" min="38" max="38"/>
    <col width="32" customWidth="1" min="39" max="39"/>
    <col width="32" customWidth="1" min="40" max="40"/>
    <col width="32" customWidth="1" min="41" max="41"/>
    <col width="32" customWidth="1" min="42" max="42"/>
    <col width="32" customWidth="1" min="43" max="43"/>
    <col width="32" customWidth="1" min="44" max="44"/>
    <col width="32" customWidth="1" min="45" max="45"/>
    <col width="32" customWidth="1" min="46" max="46"/>
    <col width="32" customWidth="1" min="47" max="47"/>
    <col width="32" customWidth="1" min="48" max="48"/>
    <col width="32" customWidth="1" min="49" max="49"/>
    <col width="32" customWidth="1" min="50" max="50"/>
    <col width="32" customWidth="1" min="51" max="51"/>
    <col width="32" customWidth="1" min="52" max="52"/>
    <col width="32" customWidth="1" min="53" max="53"/>
    <col width="32" customWidth="1" min="54" max="54"/>
    <col width="32" customWidth="1" min="55" max="55"/>
    <col width="32" customWidth="1" min="56" max="56"/>
    <col width="32" customWidth="1" min="57" max="57"/>
    <col width="32" customWidth="1" min="58" max="58"/>
    <col width="32" customWidth="1" min="59" max="59"/>
    <col width="32" customWidth="1" min="60" max="60"/>
    <col width="32" customWidth="1" min="61" max="61"/>
    <col width="32" customWidth="1" min="62" max="62"/>
    <col width="32" customWidth="1" min="63" max="63"/>
    <col width="32" customWidth="1" min="64" max="64"/>
    <col width="32" customWidth="1" min="65" max="65"/>
    <col width="32" customWidth="1" min="66" max="66"/>
    <col width="32" customWidth="1" min="67" max="67"/>
    <col width="32" customWidth="1" min="68" max="68"/>
    <col width="32" customWidth="1" min="69" max="69"/>
    <col width="32" customWidth="1" min="70" max="70"/>
    <col width="32" customWidth="1" min="71" max="71"/>
    <col width="32" customWidth="1" min="72" max="72"/>
    <col width="32" customWidth="1" min="73" max="73"/>
    <col width="32" customWidth="1" min="74" max="74"/>
    <col width="32" customWidth="1" min="75" max="75"/>
    <col width="32" customWidth="1" min="76" max="76"/>
    <col width="32" customWidth="1" min="77" max="77"/>
    <col width="32" customWidth="1" min="78" max="78"/>
    <col width="32" customWidth="1" min="79" max="79"/>
    <col width="32" customWidth="1" min="80" max="80"/>
    <col width="32" customWidth="1" min="81" max="81"/>
    <col width="32" customWidth="1" min="82" max="82"/>
    <col width="32" customWidth="1" min="83" max="83"/>
    <col width="32" customWidth="1" min="84" max="84"/>
    <col width="32" customWidth="1" min="85" max="85"/>
    <col width="32" customWidth="1" min="86" max="86"/>
    <col width="32" customWidth="1" min="87" max="87"/>
    <col width="32" customWidth="1" min="88" max="88"/>
    <col width="32" customWidth="1" min="89" max="89"/>
    <col width="32" customWidth="1" min="90" max="90"/>
    <col width="32" customWidth="1" min="91" max="91"/>
    <col width="32" customWidth="1" min="92" max="92"/>
    <col width="32" customWidth="1" min="93" max="93"/>
    <col width="32" customWidth="1" min="94" max="94"/>
    <col width="32" customWidth="1" min="95" max="95"/>
    <col width="32" customWidth="1" min="96" max="96"/>
    <col width="32" customWidth="1" min="97" max="97"/>
    <col width="32" customWidth="1" min="98" max="98"/>
    <col width="32" customWidth="1" min="99" max="99"/>
  </cols>
  <sheetData>
    <row r="1" ht="34" customHeight="1">
      <c r="A1" s="1" t="inlineStr">
        <is>
          <t>oisi_id</t>
        </is>
      </c>
      <c r="B1" s="1" t="inlineStr">
        <is>
          <t>infrastructure</t>
        </is>
      </c>
      <c r="C1" s="1" t="inlineStr">
        <is>
          <t>repo_original_url</t>
        </is>
      </c>
      <c r="D1" s="1" t="inlineStr">
        <is>
          <t>repo_decision</t>
        </is>
      </c>
      <c r="E1" s="1" t="inlineStr">
        <is>
          <t>repo_host</t>
        </is>
      </c>
      <c r="F1" s="1" t="inlineStr">
        <is>
          <t>repo_repo</t>
        </is>
      </c>
      <c r="G1" s="1" t="inlineStr">
        <is>
          <t>repo_branch</t>
        </is>
      </c>
      <c r="H1" s="1" t="inlineStr">
        <is>
          <t>repo_upstream</t>
        </is>
      </c>
      <c r="I1" s="1" t="inlineStr">
        <is>
          <t>repo_scored</t>
        </is>
      </c>
      <c r="J1" s="1" t="inlineStr">
        <is>
          <t>repo_classification</t>
        </is>
      </c>
      <c r="K1" s="1" t="inlineStr">
        <is>
          <t>repo_issue_tracker</t>
        </is>
      </c>
      <c r="L1" s="1" t="inlineStr">
        <is>
          <t>repo_notes</t>
        </is>
      </c>
      <c r="M1" s="1" t="inlineStr">
        <is>
          <t>repo_issue_repo</t>
        </is>
      </c>
      <c r="N1" s="1" t="inlineStr">
        <is>
          <t>repo_resolved_url_marker</t>
        </is>
      </c>
      <c r="O1" s="1" t="inlineStr">
        <is>
          <t>repo_resolved_url_candidate_repo</t>
        </is>
      </c>
      <c r="P1" s="1" t="inlineStr">
        <is>
          <t>repo_resolved_url_platform</t>
        </is>
      </c>
      <c r="Q1" s="1" t="inlineStr">
        <is>
          <t>repo_resolved_url_action</t>
        </is>
      </c>
      <c r="R1" s="1" t="inlineStr">
        <is>
          <t>repo_resolved_url_note</t>
        </is>
      </c>
      <c r="S1" s="1" t="inlineStr">
        <is>
          <t>git_repo</t>
        </is>
      </c>
      <c r="T1" s="1" t="inlineStr">
        <is>
          <t>git_active_months</t>
        </is>
      </c>
      <c r="U1" s="1" t="inlineStr">
        <is>
          <t>git_active_weeks</t>
        </is>
      </c>
      <c r="V1" s="1" t="inlineStr">
        <is>
          <t>git_bf50</t>
        </is>
      </c>
      <c r="W1" s="1" t="inlineStr">
        <is>
          <t>git_bf80</t>
        </is>
      </c>
      <c r="X1" s="1" t="inlineStr">
        <is>
          <t>git_bot_commits</t>
        </is>
      </c>
      <c r="Y1" s="1" t="inlineStr">
        <is>
          <t>git_bot_share</t>
        </is>
      </c>
      <c r="Z1" s="1" t="inlineStr">
        <is>
          <t>git_contributors</t>
        </is>
      </c>
      <c r="AA1" s="1" t="inlineStr">
        <is>
          <t>git_days_since_last</t>
        </is>
      </c>
      <c r="AB1" s="1" t="inlineStr">
        <is>
          <t>git_eff_contributors</t>
        </is>
      </c>
      <c r="AC1" s="1" t="inlineStr">
        <is>
          <t>git_git_status</t>
        </is>
      </c>
      <c r="AD1" s="1" t="inlineStr">
        <is>
          <t>git_human_commits</t>
        </is>
      </c>
      <c r="AE1" s="1" t="inlineStr">
        <is>
          <t>git_last_commit_any</t>
        </is>
      </c>
      <c r="AF1" s="1" t="inlineStr">
        <is>
          <t>git_merge_commits</t>
        </is>
      </c>
      <c r="AG1" s="1" t="inlineStr">
        <is>
          <t>git_merged_identity_groups</t>
        </is>
      </c>
      <c r="AH1" s="1" t="inlineStr">
        <is>
          <t>git_retained</t>
        </is>
      </c>
      <c r="AI1" s="1" t="inlineStr">
        <is>
          <t>git_tags_in_window</t>
        </is>
      </c>
      <c r="AJ1" s="1" t="inlineStr">
        <is>
          <t>git_top_share</t>
        </is>
      </c>
      <c r="AK1" s="1" t="inlineStr">
        <is>
          <t>github_diag_acceptance_ratio</t>
        </is>
      </c>
      <c r="AL1" s="1" t="inlineStr">
        <is>
          <t>github_diag_issue_ttfr_median_h</t>
        </is>
      </c>
      <c r="AM1" s="1" t="inlineStr">
        <is>
          <t>github_diag_issue_ttfr_n</t>
        </is>
      </c>
      <c r="AN1" s="1" t="inlineStr">
        <is>
          <t>github_diag_issues_by_maintainers</t>
        </is>
      </c>
      <c r="AO1" s="1" t="inlineStr">
        <is>
          <t>github_diag_issues_created</t>
        </is>
      </c>
      <c r="AP1" s="1" t="inlineStr">
        <is>
          <t>github_diag_open_issues_over_180d_at_cutoff</t>
        </is>
      </c>
      <c r="AQ1" s="1" t="inlineStr">
        <is>
          <t>github_diag_pr_ttfr_median_h</t>
        </is>
      </c>
      <c r="AR1" s="1" t="inlineStr">
        <is>
          <t>github_diag_pr_ttfr_n</t>
        </is>
      </c>
      <c r="AS1" s="1" t="inlineStr">
        <is>
          <t>github_diag_prs_closed_unmerged</t>
        </is>
      </c>
      <c r="AT1" s="1" t="inlineStr">
        <is>
          <t>github_diag_prs_created</t>
        </is>
      </c>
      <c r="AU1" s="1" t="inlineStr">
        <is>
          <t>github_diag_prs_merged</t>
        </is>
      </c>
      <c r="AV1" s="1" t="inlineStr">
        <is>
          <t>github_diag_prs_open_at_cutoff</t>
        </is>
      </c>
      <c r="AW1" s="1" t="inlineStr">
        <is>
          <t>github_diag_prs_self_merged</t>
        </is>
      </c>
      <c r="AX1" s="1" t="inlineStr">
        <is>
          <t>github_gh_status</t>
        </is>
      </c>
      <c r="AY1" s="1" t="inlineStr">
        <is>
          <t>github_m10_closed</t>
        </is>
      </c>
      <c r="AZ1" s="1" t="inlineStr">
        <is>
          <t>github_m10_issue_close90_rate</t>
        </is>
      </c>
      <c r="BA1" s="1" t="inlineStr">
        <is>
          <t>github_m10_n</t>
        </is>
      </c>
      <c r="BB1" s="1" t="inlineStr">
        <is>
          <t>github_m11_decided</t>
        </is>
      </c>
      <c r="BC1" s="1" t="inlineStr">
        <is>
          <t>github_m11_n</t>
        </is>
      </c>
      <c r="BD1" s="1" t="inlineStr">
        <is>
          <t>github_m11_pr_decision30_rate</t>
        </is>
      </c>
      <c r="BE1" s="1" t="inlineStr">
        <is>
          <t>github_m12_stars_gained</t>
        </is>
      </c>
      <c r="BF1" s="1" t="inlineStr">
        <is>
          <t>github_m13_forks_created</t>
        </is>
      </c>
      <c r="BG1" s="1" t="inlineStr">
        <is>
          <t>github_m8_basis</t>
        </is>
      </c>
      <c r="BH1" s="1" t="inlineStr">
        <is>
          <t>github_m8_issue_response_rate</t>
        </is>
      </c>
      <c r="BI1" s="1" t="inlineStr">
        <is>
          <t>github_m8_n</t>
        </is>
      </c>
      <c r="BJ1" s="1" t="inlineStr">
        <is>
          <t>github_m8_responded</t>
        </is>
      </c>
      <c r="BK1" s="1" t="inlineStr">
        <is>
          <t>github_m9_n</t>
        </is>
      </c>
      <c r="BL1" s="1" t="inlineStr">
        <is>
          <t>github_m9_pr_response_rate</t>
        </is>
      </c>
      <c r="BM1" s="1" t="inlineStr">
        <is>
          <t>github_m9_responded</t>
        </is>
      </c>
      <c r="BN1" s="1" t="inlineStr">
        <is>
          <t>equal_m1_commits</t>
        </is>
      </c>
      <c r="BO1" s="1" t="inlineStr">
        <is>
          <t>observed_m1_commits</t>
        </is>
      </c>
      <c r="BP1" s="1" t="inlineStr">
        <is>
          <t>equal_m2_active_weeks</t>
        </is>
      </c>
      <c r="BQ1" s="1" t="inlineStr">
        <is>
          <t>observed_m2_active_weeks</t>
        </is>
      </c>
      <c r="BR1" s="1" t="inlineStr">
        <is>
          <t>equal_m3_recency</t>
        </is>
      </c>
      <c r="BS1" s="1" t="inlineStr">
        <is>
          <t>observed_m3_recency</t>
        </is>
      </c>
      <c r="BT1" s="1" t="inlineStr">
        <is>
          <t>equal_m4_releases</t>
        </is>
      </c>
      <c r="BU1" s="1" t="inlineStr">
        <is>
          <t>observed_m4_releases</t>
        </is>
      </c>
      <c r="BV1" s="1" t="inlineStr">
        <is>
          <t>equal_m5_contributors</t>
        </is>
      </c>
      <c r="BW1" s="1" t="inlineStr">
        <is>
          <t>observed_m5_contributors</t>
        </is>
      </c>
      <c r="BX1" s="1" t="inlineStr">
        <is>
          <t>equal_m6_effective_contributors</t>
        </is>
      </c>
      <c r="BY1" s="1" t="inlineStr">
        <is>
          <t>observed_m6_effective_contributors</t>
        </is>
      </c>
      <c r="BZ1" s="1" t="inlineStr">
        <is>
          <t>equal_m7_retention</t>
        </is>
      </c>
      <c r="CA1" s="1" t="inlineStr">
        <is>
          <t>observed_m7_retention</t>
        </is>
      </c>
      <c r="CB1" s="1" t="inlineStr">
        <is>
          <t>equal_m8_issue_response</t>
        </is>
      </c>
      <c r="CC1" s="1" t="inlineStr">
        <is>
          <t>observed_m8_issue_response</t>
        </is>
      </c>
      <c r="CD1" s="1" t="inlineStr">
        <is>
          <t>equal_m9_pr_response</t>
        </is>
      </c>
      <c r="CE1" s="1" t="inlineStr">
        <is>
          <t>observed_m9_pr_response</t>
        </is>
      </c>
      <c r="CF1" s="1" t="inlineStr">
        <is>
          <t>equal_m10_issue_close90</t>
        </is>
      </c>
      <c r="CG1" s="1" t="inlineStr">
        <is>
          <t>observed_m10_issue_close90</t>
        </is>
      </c>
      <c r="CH1" s="1" t="inlineStr">
        <is>
          <t>equal_m11_pr_decision30</t>
        </is>
      </c>
      <c r="CI1" s="1" t="inlineStr">
        <is>
          <t>observed_m11_pr_decision30</t>
        </is>
      </c>
      <c r="CJ1" s="1" t="inlineStr">
        <is>
          <t>equal_m12_stars</t>
        </is>
      </c>
      <c r="CK1" s="1" t="inlineStr">
        <is>
          <t>observed_m12_stars</t>
        </is>
      </c>
      <c r="CL1" s="1" t="inlineStr">
        <is>
          <t>equal_m13_forks</t>
        </is>
      </c>
      <c r="CM1" s="1" t="inlineStr">
        <is>
          <t>observed_m13_forks</t>
        </is>
      </c>
      <c r="CN1" s="1" t="inlineStr">
        <is>
          <t>equal_zero_filled_final</t>
        </is>
      </c>
      <c r="CO1" s="1" t="inlineStr">
        <is>
          <t>available_metric_count</t>
        </is>
      </c>
      <c r="CP1" s="1" t="inlineStr">
        <is>
          <t>observed_coverage</t>
        </is>
      </c>
      <c r="CQ1" s="1" t="inlineStr">
        <is>
          <t>observed_only_mean</t>
        </is>
      </c>
      <c r="CR1" s="1" t="inlineStr">
        <is>
          <t>manual_source</t>
        </is>
      </c>
      <c r="CS1" s="1" t="inlineStr">
        <is>
          <t>manual_m8_issue_response_rate</t>
        </is>
      </c>
      <c r="CT1" s="1" t="inlineStr">
        <is>
          <t>manual_m10_issue_close90_rate</t>
        </is>
      </c>
      <c r="CU1" s="1" t="inlineStr">
        <is>
          <t>manual_notes</t>
        </is>
      </c>
    </row>
    <row r="2">
      <c r="A2" s="2" t="inlineStr">
        <is>
          <t>C4-001</t>
        </is>
      </c>
      <c r="B2" s="2" t="inlineStr">
        <is>
          <t>2i2c</t>
        </is>
      </c>
      <c r="C2" s="2" t="inlineStr">
        <is>
          <t>https://github.com/2i2c-org/infrastructure</t>
        </is>
      </c>
      <c r="D2" s="2" t="inlineStr">
        <is>
          <t>Ready</t>
        </is>
      </c>
      <c r="E2" s="2" t="inlineStr">
        <is>
          <t>github</t>
        </is>
      </c>
      <c r="F2" s="2" t="inlineStr">
        <is>
          <t>2i2c-org/infrastructure</t>
        </is>
      </c>
      <c r="G2" s="2" t="inlineStr"/>
      <c r="H2" s="2" t="inlineStr"/>
      <c r="I2" s="2" t="inlineStr">
        <is>
          <t>yes</t>
        </is>
      </c>
      <c r="J2" s="2" t="inlineStr">
        <is>
          <t>software</t>
        </is>
      </c>
      <c r="K2" s="2" t="inlineStr">
        <is>
          <t>GitHub (same repo)</t>
        </is>
      </c>
      <c r="L2" s="2" t="inlineStr"/>
      <c r="M2" s="2" t="inlineStr">
        <is>
          <t>2i2c-org/infrastructure</t>
        </is>
      </c>
      <c r="N2" s="2" t="inlineStr"/>
      <c r="O2" s="2" t="inlineStr"/>
      <c r="P2" s="2" t="inlineStr"/>
      <c r="Q2" s="2" t="inlineStr"/>
      <c r="R2" s="2" t="inlineStr"/>
      <c r="S2" s="2" t="inlineStr">
        <is>
          <t>2i2c-org/infrastructure</t>
        </is>
      </c>
      <c r="T2" s="2" t="inlineStr">
        <is>
          <t>12</t>
        </is>
      </c>
      <c r="U2" s="2" t="inlineStr">
        <is>
          <t>52</t>
        </is>
      </c>
      <c r="V2" s="2" t="inlineStr">
        <is>
          <t>2</t>
        </is>
      </c>
      <c r="W2" s="2" t="inlineStr">
        <is>
          <t>5</t>
        </is>
      </c>
      <c r="X2" s="2" t="inlineStr">
        <is>
          <t>225</t>
        </is>
      </c>
      <c r="Y2" s="2" t="inlineStr">
        <is>
          <t>0.097</t>
        </is>
      </c>
      <c r="Z2" s="2" t="inlineStr">
        <is>
          <t>50</t>
        </is>
      </c>
      <c r="AA2" s="2" t="inlineStr">
        <is>
          <t>0.14</t>
        </is>
      </c>
      <c r="AB2" s="2" t="inlineStr">
        <is>
          <t>4.95</t>
        </is>
      </c>
      <c r="AC2" s="2" t="inlineStr">
        <is>
          <t>complete</t>
        </is>
      </c>
      <c r="AD2" s="2" t="inlineStr">
        <is>
          <t>2100</t>
        </is>
      </c>
      <c r="AE2" s="2" t="inlineStr">
        <is>
          <t>2026-10-14</t>
        </is>
      </c>
      <c r="AF2" s="2" t="inlineStr">
        <is>
          <t>839</t>
        </is>
      </c>
      <c r="AG2" s="2" t="inlineStr">
        <is>
          <t>2</t>
        </is>
      </c>
      <c r="AH2" s="2" t="inlineStr">
        <is>
          <t>22</t>
        </is>
      </c>
      <c r="AI2" s="2" t="inlineStr">
        <is>
          <t>0</t>
        </is>
      </c>
      <c r="AJ2" s="2" t="inlineStr">
        <is>
          <t>33.9</t>
        </is>
      </c>
      <c r="AK2" s="2" t="inlineStr">
        <is>
          <t>97.25</t>
        </is>
      </c>
      <c r="AL2" s="2" t="inlineStr">
        <is>
          <t>261.85</t>
        </is>
      </c>
      <c r="AM2" s="2" t="inlineStr">
        <is>
          <t>281</t>
        </is>
      </c>
      <c r="AN2" s="2" t="inlineStr">
        <is>
          <t>309</t>
        </is>
      </c>
      <c r="AO2" s="2" t="inlineStr">
        <is>
          <t>695</t>
        </is>
      </c>
      <c r="AP2" s="2" t="inlineStr">
        <is>
          <t>301</t>
        </is>
      </c>
      <c r="AQ2" s="2" t="inlineStr">
        <is>
          <t>5.2</t>
        </is>
      </c>
      <c r="AR2" s="2" t="inlineStr">
        <is>
          <t>260</t>
        </is>
      </c>
      <c r="AS2" s="2" t="inlineStr">
        <is>
          <t>37</t>
        </is>
      </c>
      <c r="AT2" s="2" t="inlineStr">
        <is>
          <t>1357</t>
        </is>
      </c>
      <c r="AU2" s="2" t="inlineStr">
        <is>
          <t>1309</t>
        </is>
      </c>
      <c r="AV2" s="2" t="inlineStr">
        <is>
          <t>11</t>
        </is>
      </c>
      <c r="AW2" s="2" t="inlineStr">
        <is>
          <t>1138</t>
        </is>
      </c>
      <c r="AX2" s="2" t="inlineStr">
        <is>
          <t>complete</t>
        </is>
      </c>
      <c r="AY2" s="2" t="inlineStr">
        <is>
          <t>402</t>
        </is>
      </c>
      <c r="AZ2" s="2" t="inlineStr">
        <is>
          <t>0.7053</t>
        </is>
      </c>
      <c r="BA2" s="2" t="inlineStr">
        <is>
          <t>570</t>
        </is>
      </c>
      <c r="BB2" s="2" t="inlineStr">
        <is>
          <t>1233</t>
        </is>
      </c>
      <c r="BC2" s="2" t="inlineStr">
        <is>
          <t>1250</t>
        </is>
      </c>
      <c r="BD2" s="2" t="inlineStr">
        <is>
          <t>0.9864</t>
        </is>
      </c>
      <c r="BE2" s="2" t="inlineStr">
        <is>
          <t>15</t>
        </is>
      </c>
      <c r="BF2" s="2" t="inlineStr">
        <is>
          <t>22</t>
        </is>
      </c>
      <c r="BG2" s="2" t="inlineStr">
        <is>
          <t>non-maintainer issues</t>
        </is>
      </c>
      <c r="BH2" s="2" t="inlineStr">
        <is>
          <t>0.4074</t>
        </is>
      </c>
      <c r="BI2" s="2" t="inlineStr">
        <is>
          <t>378</t>
        </is>
      </c>
      <c r="BJ2" s="2" t="inlineStr">
        <is>
          <t>154</t>
        </is>
      </c>
      <c r="BK2" s="2" t="inlineStr">
        <is>
          <t>1323</t>
        </is>
      </c>
      <c r="BL2" s="2" t="inlineStr">
        <is>
          <t>0.1867</t>
        </is>
      </c>
      <c r="BM2" s="2" t="inlineStr">
        <is>
          <t>247</t>
        </is>
      </c>
      <c r="BN2" s="2" t="n">
        <v>100</v>
      </c>
      <c r="BO2" s="2" t="n">
        <v>1</v>
      </c>
      <c r="BP2" s="2" t="n">
        <v>100</v>
      </c>
      <c r="BQ2" s="2" t="n">
        <v>1</v>
      </c>
      <c r="BR2" s="2" t="n">
        <v>100</v>
      </c>
      <c r="BS2" s="2" t="n">
        <v>1</v>
      </c>
      <c r="BT2" s="2" t="n">
        <v>0</v>
      </c>
      <c r="BU2" s="2" t="n">
        <v>1</v>
      </c>
      <c r="BV2" s="2" t="n">
        <v>100</v>
      </c>
      <c r="BW2" s="2" t="n">
        <v>1</v>
      </c>
      <c r="BX2" s="2" t="n">
        <v>76.91</v>
      </c>
      <c r="BY2" s="2" t="n">
        <v>1</v>
      </c>
      <c r="BZ2" s="2" t="n">
        <v>100</v>
      </c>
      <c r="CA2" s="2" t="n">
        <v>1</v>
      </c>
      <c r="CB2" s="2" t="n">
        <v>40.74</v>
      </c>
      <c r="CC2" s="2" t="n">
        <v>1</v>
      </c>
      <c r="CD2" s="2" t="n">
        <v>18.67</v>
      </c>
      <c r="CE2" s="2" t="n">
        <v>1</v>
      </c>
      <c r="CF2" s="2" t="n">
        <v>70.53</v>
      </c>
      <c r="CG2" s="2" t="n">
        <v>1</v>
      </c>
      <c r="CH2" s="2" t="n">
        <v>98.64</v>
      </c>
      <c r="CI2" s="2" t="n">
        <v>1</v>
      </c>
      <c r="CJ2" s="2" t="n">
        <v>40.13</v>
      </c>
      <c r="CK2" s="2" t="n">
        <v>1</v>
      </c>
      <c r="CL2" s="2" t="n">
        <v>67.94</v>
      </c>
      <c r="CM2" s="2" t="n">
        <v>1</v>
      </c>
      <c r="CN2" s="2" t="n">
        <v>70.27384615384615</v>
      </c>
      <c r="CO2" s="2" t="n">
        <v>13</v>
      </c>
      <c r="CP2" s="2" t="n">
        <v>1</v>
      </c>
      <c r="CQ2" s="2" t="n">
        <v>70.27384615384615</v>
      </c>
      <c r="CR2" s="2" t="inlineStr"/>
      <c r="CS2" s="2" t="inlineStr"/>
      <c r="CT2" s="2" t="inlineStr"/>
      <c r="CU2" s="2" t="inlineStr"/>
    </row>
    <row r="3">
      <c r="A3" s="2" t="inlineStr">
        <is>
          <t>C4-002</t>
        </is>
      </c>
      <c r="B3" s="2" t="inlineStr">
        <is>
          <t>Academic Preservation Trust (APTrust)</t>
        </is>
      </c>
      <c r="C3" s="2" t="inlineStr">
        <is>
          <t>https://github.com/APTrust/registry</t>
        </is>
      </c>
      <c r="D3" s="2" t="inlineStr">
        <is>
          <t>Ready</t>
        </is>
      </c>
      <c r="E3" s="2" t="inlineStr">
        <is>
          <t>github</t>
        </is>
      </c>
      <c r="F3" s="2" t="inlineStr">
        <is>
          <t>APTrust/registry</t>
        </is>
      </c>
      <c r="G3" s="2" t="inlineStr"/>
      <c r="H3" s="2" t="inlineStr"/>
      <c r="I3" s="2" t="inlineStr">
        <is>
          <t>yes</t>
        </is>
      </c>
      <c r="J3" s="2" t="inlineStr">
        <is>
          <t>software</t>
        </is>
      </c>
      <c r="K3" s="2" t="inlineStr">
        <is>
          <t>GitHub (same repo)</t>
        </is>
      </c>
      <c r="L3" s="2" t="inlineStr"/>
      <c r="M3" s="2" t="inlineStr">
        <is>
          <t>APTrust/registry</t>
        </is>
      </c>
      <c r="N3" s="2" t="inlineStr"/>
      <c r="O3" s="2" t="inlineStr"/>
      <c r="P3" s="2" t="inlineStr"/>
      <c r="Q3" s="2" t="inlineStr"/>
      <c r="R3" s="2" t="inlineStr"/>
      <c r="S3" s="2" t="inlineStr">
        <is>
          <t>APTrust/registry</t>
        </is>
      </c>
      <c r="T3" s="2" t="inlineStr">
        <is>
          <t>12</t>
        </is>
      </c>
      <c r="U3" s="2" t="inlineStr">
        <is>
          <t>28</t>
        </is>
      </c>
      <c r="V3" s="2" t="inlineStr">
        <is>
          <t>1</t>
        </is>
      </c>
      <c r="W3" s="2" t="inlineStr">
        <is>
          <t>2</t>
        </is>
      </c>
      <c r="X3" s="2" t="inlineStr">
        <is>
          <t>0</t>
        </is>
      </c>
      <c r="Y3" s="2" t="inlineStr">
        <is>
          <t>0.0</t>
        </is>
      </c>
      <c r="Z3" s="2" t="inlineStr">
        <is>
          <t>4</t>
        </is>
      </c>
      <c r="AA3" s="2" t="inlineStr">
        <is>
          <t>21.17</t>
        </is>
      </c>
      <c r="AB3" s="2" t="inlineStr">
        <is>
          <t>2.47</t>
        </is>
      </c>
      <c r="AC3" s="2" t="inlineStr">
        <is>
          <t>complete</t>
        </is>
      </c>
      <c r="AD3" s="2" t="inlineStr">
        <is>
          <t>156</t>
        </is>
      </c>
      <c r="AE3" s="2" t="inlineStr">
        <is>
          <t>2026-09-09</t>
        </is>
      </c>
      <c r="AF3" s="2" t="inlineStr">
        <is>
          <t>35</t>
        </is>
      </c>
      <c r="AG3" s="2" t="inlineStr">
        <is>
          <t>1</t>
        </is>
      </c>
      <c r="AH3" s="2" t="inlineStr">
        <is>
          <t>3</t>
        </is>
      </c>
      <c r="AI3" s="2" t="inlineStr">
        <is>
          <t>0</t>
        </is>
      </c>
      <c r="AJ3" s="2" t="inlineStr">
        <is>
          <t>50.0</t>
        </is>
      </c>
      <c r="AK3" s="2" t="inlineStr">
        <is>
          <t>95.45</t>
        </is>
      </c>
      <c r="AL3" s="2" t="inlineStr">
        <is>
          <t>1078.67</t>
        </is>
      </c>
      <c r="AM3" s="2" t="inlineStr">
        <is>
          <t>8</t>
        </is>
      </c>
      <c r="AN3" s="2" t="inlineStr">
        <is>
          <t>67</t>
        </is>
      </c>
      <c r="AO3" s="2" t="inlineStr">
        <is>
          <t>67</t>
        </is>
      </c>
      <c r="AP3" s="2" t="inlineStr">
        <is>
          <t>0</t>
        </is>
      </c>
      <c r="AQ3" s="2" t="inlineStr">
        <is>
          <t>3.24</t>
        </is>
      </c>
      <c r="AR3" s="2" t="inlineStr">
        <is>
          <t>14</t>
        </is>
      </c>
      <c r="AS3" s="2" t="inlineStr">
        <is>
          <t>1</t>
        </is>
      </c>
      <c r="AT3" s="2" t="inlineStr">
        <is>
          <t>24</t>
        </is>
      </c>
      <c r="AU3" s="2" t="inlineStr">
        <is>
          <t>21</t>
        </is>
      </c>
      <c r="AV3" s="2" t="inlineStr">
        <is>
          <t>2</t>
        </is>
      </c>
      <c r="AW3" s="2" t="inlineStr">
        <is>
          <t>20</t>
        </is>
      </c>
      <c r="AX3" s="2" t="inlineStr">
        <is>
          <t>complete</t>
        </is>
      </c>
      <c r="AY3" s="2" t="inlineStr">
        <is>
          <t>0</t>
        </is>
      </c>
      <c r="AZ3" s="2" t="inlineStr">
        <is>
          <t>0.0</t>
        </is>
      </c>
      <c r="BA3" s="2" t="inlineStr">
        <is>
          <t>67</t>
        </is>
      </c>
      <c r="BB3" s="2" t="inlineStr">
        <is>
          <t>16</t>
        </is>
      </c>
      <c r="BC3" s="2" t="inlineStr">
        <is>
          <t>24</t>
        </is>
      </c>
      <c r="BD3" s="2" t="inlineStr">
        <is>
          <t>0.6667</t>
        </is>
      </c>
      <c r="BE3" s="2" t="inlineStr">
        <is>
          <t>0</t>
        </is>
      </c>
      <c r="BF3" s="2" t="inlineStr">
        <is>
          <t>0</t>
        </is>
      </c>
      <c r="BG3" s="2" t="inlineStr">
        <is>
          <t>all issues (too few non-maintainer)</t>
        </is>
      </c>
      <c r="BH3" s="2" t="inlineStr">
        <is>
          <t>0.0</t>
        </is>
      </c>
      <c r="BI3" s="2" t="inlineStr">
        <is>
          <t>67</t>
        </is>
      </c>
      <c r="BJ3" s="2" t="inlineStr">
        <is>
          <t>0</t>
        </is>
      </c>
      <c r="BK3" s="2" t="inlineStr">
        <is>
          <t>24</t>
        </is>
      </c>
      <c r="BL3" s="2" t="inlineStr">
        <is>
          <t>0.5833</t>
        </is>
      </c>
      <c r="BM3" s="2" t="inlineStr">
        <is>
          <t>14</t>
        </is>
      </c>
      <c r="BN3" s="2" t="n">
        <v>73.19</v>
      </c>
      <c r="BO3" s="2" t="n">
        <v>1</v>
      </c>
      <c r="BP3" s="2" t="n">
        <v>53.85</v>
      </c>
      <c r="BQ3" s="2" t="n">
        <v>1</v>
      </c>
      <c r="BR3" s="2" t="n">
        <v>100</v>
      </c>
      <c r="BS3" s="2" t="n">
        <v>1</v>
      </c>
      <c r="BT3" s="2" t="n">
        <v>0</v>
      </c>
      <c r="BU3" s="2" t="n">
        <v>1</v>
      </c>
      <c r="BV3" s="2" t="n">
        <v>40</v>
      </c>
      <c r="BW3" s="2" t="n">
        <v>1</v>
      </c>
      <c r="BX3" s="2" t="n">
        <v>43.48</v>
      </c>
      <c r="BY3" s="2" t="n">
        <v>1</v>
      </c>
      <c r="BZ3" s="2" t="n">
        <v>75</v>
      </c>
      <c r="CA3" s="2" t="n">
        <v>1</v>
      </c>
      <c r="CB3" s="2" t="n">
        <v>0</v>
      </c>
      <c r="CC3" s="2" t="n">
        <v>1</v>
      </c>
      <c r="CD3" s="2" t="n">
        <v>58.33</v>
      </c>
      <c r="CE3" s="2" t="n">
        <v>1</v>
      </c>
      <c r="CF3" s="2" t="n">
        <v>0</v>
      </c>
      <c r="CG3" s="2" t="n">
        <v>1</v>
      </c>
      <c r="CH3" s="2" t="n">
        <v>66.67</v>
      </c>
      <c r="CI3" s="2" t="n">
        <v>1</v>
      </c>
      <c r="CJ3" s="2" t="n">
        <v>0</v>
      </c>
      <c r="CK3" s="2" t="n">
        <v>1</v>
      </c>
      <c r="CL3" s="2" t="n">
        <v>0</v>
      </c>
      <c r="CM3" s="2" t="n">
        <v>1</v>
      </c>
      <c r="CN3" s="2" t="n">
        <v>39.27076923076923</v>
      </c>
      <c r="CO3" s="2" t="n">
        <v>13</v>
      </c>
      <c r="CP3" s="2" t="n">
        <v>1</v>
      </c>
      <c r="CQ3" s="2" t="n">
        <v>39.27076923076923</v>
      </c>
      <c r="CR3" s="2" t="inlineStr"/>
      <c r="CS3" s="2" t="inlineStr"/>
      <c r="CT3" s="2" t="inlineStr"/>
      <c r="CU3" s="2" t="inlineStr"/>
    </row>
    <row r="4">
      <c r="A4" s="2" t="inlineStr">
        <is>
          <t>C4-003</t>
        </is>
      </c>
      <c r="B4" s="2" t="inlineStr">
        <is>
          <t>AfricArXiv</t>
        </is>
      </c>
      <c r="C4" s="2" t="inlineStr">
        <is>
          <t>https://github.com/AfricArxiv/AfricArXiv-overview</t>
        </is>
      </c>
      <c r="D4" s="2" t="inlineStr">
        <is>
          <t>Not assessable</t>
        </is>
      </c>
      <c r="E4" s="2" t="inlineStr"/>
      <c r="F4" s="2" t="inlineStr"/>
      <c r="G4" s="2" t="inlineStr"/>
      <c r="H4" s="2" t="inlineStr"/>
      <c r="I4" s="2" t="inlineStr">
        <is>
          <t>no</t>
        </is>
      </c>
      <c r="J4" s="2" t="inlineStr">
        <is>
          <t>not-assessable</t>
        </is>
      </c>
      <c r="K4" s="2" t="inlineStr"/>
      <c r="L4" s="2" t="inlineStr">
        <is>
          <t>Overview repo idle since 2021; service runs on hosted platforms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inlineStr"/>
      <c r="CS4" s="2" t="inlineStr"/>
      <c r="CT4" s="2" t="inlineStr"/>
      <c r="CU4" s="2" t="inlineStr"/>
    </row>
    <row r="5">
      <c r="A5" s="2" t="inlineStr">
        <is>
          <t>C4-004</t>
        </is>
      </c>
      <c r="B5" s="2" t="inlineStr">
        <is>
          <t>Arches Heritage Data Management Platform</t>
        </is>
      </c>
      <c r="C5" s="2" t="inlineStr">
        <is>
          <t>https://github.com/archesproject/arches</t>
        </is>
      </c>
      <c r="D5" s="2" t="inlineStr">
        <is>
          <t>Ready</t>
        </is>
      </c>
      <c r="E5" s="2" t="inlineStr">
        <is>
          <t>github</t>
        </is>
      </c>
      <c r="F5" s="2" t="inlineStr">
        <is>
          <t>archesproject/arches</t>
        </is>
      </c>
      <c r="G5" s="2" t="inlineStr"/>
      <c r="H5" s="2" t="inlineStr"/>
      <c r="I5" s="2" t="inlineStr">
        <is>
          <t>yes</t>
        </is>
      </c>
      <c r="J5" s="2" t="inlineStr">
        <is>
          <t>software</t>
        </is>
      </c>
      <c r="K5" s="2" t="inlineStr">
        <is>
          <t>GitHub (same repo)</t>
        </is>
      </c>
      <c r="L5" s="2" t="inlineStr"/>
      <c r="M5" s="2" t="inlineStr">
        <is>
          <t>archesproject/arches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archesproject/arches</t>
        </is>
      </c>
      <c r="T5" s="2" t="inlineStr">
        <is>
          <t>12</t>
        </is>
      </c>
      <c r="U5" s="2" t="inlineStr">
        <is>
          <t>51</t>
        </is>
      </c>
      <c r="V5" s="2" t="inlineStr">
        <is>
          <t>3</t>
        </is>
      </c>
      <c r="W5" s="2" t="inlineStr">
        <is>
          <t>7</t>
        </is>
      </c>
      <c r="X5" s="2" t="inlineStr">
        <is>
          <t>8</t>
        </is>
      </c>
      <c r="Y5" s="2" t="inlineStr">
        <is>
          <t>0.011</t>
        </is>
      </c>
      <c r="Z5" s="2" t="inlineStr">
        <is>
          <t>27</t>
        </is>
      </c>
      <c r="AA5" s="2" t="inlineStr">
        <is>
          <t>0.31</t>
        </is>
      </c>
      <c r="AB5" s="2" t="inlineStr">
        <is>
          <t>6.83</t>
        </is>
      </c>
      <c r="AC5" s="2" t="inlineStr">
        <is>
          <t>complete</t>
        </is>
      </c>
      <c r="AD5" s="2" t="inlineStr">
        <is>
          <t>705</t>
        </is>
      </c>
      <c r="AE5" s="2" t="inlineStr">
        <is>
          <t>2026-10-13</t>
        </is>
      </c>
      <c r="AF5" s="2" t="inlineStr">
        <is>
          <t>72</t>
        </is>
      </c>
      <c r="AG5" s="2" t="inlineStr">
        <is>
          <t>6</t>
        </is>
      </c>
      <c r="AH5" s="2" t="inlineStr">
        <is>
          <t>13</t>
        </is>
      </c>
      <c r="AI5" s="2" t="inlineStr">
        <is>
          <t>22</t>
        </is>
      </c>
      <c r="AJ5" s="2" t="inlineStr">
        <is>
          <t>27.38</t>
        </is>
      </c>
      <c r="AK5" s="2" t="inlineStr">
        <is>
          <t>90.6</t>
        </is>
      </c>
      <c r="AL5" s="2" t="inlineStr">
        <is>
          <t>90.54</t>
        </is>
      </c>
      <c r="AM5" s="2" t="inlineStr">
        <is>
          <t>30</t>
        </is>
      </c>
      <c r="AN5" s="2" t="inlineStr">
        <is>
          <t>80</t>
        </is>
      </c>
      <c r="AO5" s="2" t="inlineStr">
        <is>
          <t>151</t>
        </is>
      </c>
      <c r="AP5" s="2" t="inlineStr">
        <is>
          <t>991</t>
        </is>
      </c>
      <c r="AQ5" s="2" t="inlineStr">
        <is>
          <t>4.28</t>
        </is>
      </c>
      <c r="AR5" s="2" t="inlineStr">
        <is>
          <t>257</t>
        </is>
      </c>
      <c r="AS5" s="2" t="inlineStr">
        <is>
          <t>25</t>
        </is>
      </c>
      <c r="AT5" s="2" t="inlineStr">
        <is>
          <t>296</t>
        </is>
      </c>
      <c r="AU5" s="2" t="inlineStr">
        <is>
          <t>241</t>
        </is>
      </c>
      <c r="AV5" s="2" t="inlineStr">
        <is>
          <t>30</t>
        </is>
      </c>
      <c r="AW5" s="2" t="inlineStr">
        <is>
          <t>119</t>
        </is>
      </c>
      <c r="AX5" s="2" t="inlineStr">
        <is>
          <t>complete</t>
        </is>
      </c>
      <c r="AY5" s="2" t="inlineStr">
        <is>
          <t>52</t>
        </is>
      </c>
      <c r="AZ5" s="2" t="inlineStr">
        <is>
          <t>0.4444</t>
        </is>
      </c>
      <c r="BA5" s="2" t="inlineStr">
        <is>
          <t>117</t>
        </is>
      </c>
      <c r="BB5" s="2" t="inlineStr">
        <is>
          <t>227</t>
        </is>
      </c>
      <c r="BC5" s="2" t="inlineStr">
        <is>
          <t>256</t>
        </is>
      </c>
      <c r="BD5" s="2" t="inlineStr">
        <is>
          <t>0.8867</t>
        </is>
      </c>
      <c r="BE5" s="2" t="inlineStr">
        <is>
          <t>36</t>
        </is>
      </c>
      <c r="BF5" s="2" t="inlineStr">
        <is>
          <t>16</t>
        </is>
      </c>
      <c r="BG5" s="2" t="inlineStr">
        <is>
          <t>non-maintainer issues</t>
        </is>
      </c>
      <c r="BH5" s="2" t="inlineStr">
        <is>
          <t>0.303</t>
        </is>
      </c>
      <c r="BI5" s="2" t="inlineStr">
        <is>
          <t>66</t>
        </is>
      </c>
      <c r="BJ5" s="2" t="inlineStr">
        <is>
          <t>20</t>
        </is>
      </c>
      <c r="BK5" s="2" t="inlineStr">
        <is>
          <t>284</t>
        </is>
      </c>
      <c r="BL5" s="2" t="inlineStr">
        <is>
          <t>0.7746</t>
        </is>
      </c>
      <c r="BM5" s="2" t="inlineStr">
        <is>
          <t>220</t>
        </is>
      </c>
      <c r="BN5" s="2" t="n">
        <v>94.95</v>
      </c>
      <c r="BO5" s="2" t="n">
        <v>1</v>
      </c>
      <c r="BP5" s="2" t="n">
        <v>98.08</v>
      </c>
      <c r="BQ5" s="2" t="n">
        <v>1</v>
      </c>
      <c r="BR5" s="2" t="n">
        <v>100</v>
      </c>
      <c r="BS5" s="2" t="n">
        <v>1</v>
      </c>
      <c r="BT5" s="2" t="n">
        <v>100</v>
      </c>
      <c r="BU5" s="2" t="n">
        <v>1</v>
      </c>
      <c r="BV5" s="2" t="n">
        <v>95.09999999999999</v>
      </c>
      <c r="BW5" s="2" t="n">
        <v>1</v>
      </c>
      <c r="BX5" s="2" t="n">
        <v>92.40000000000001</v>
      </c>
      <c r="BY5" s="2" t="n">
        <v>1</v>
      </c>
      <c r="BZ5" s="2" t="n">
        <v>100</v>
      </c>
      <c r="CA5" s="2" t="n">
        <v>1</v>
      </c>
      <c r="CB5" s="2" t="n">
        <v>30.3</v>
      </c>
      <c r="CC5" s="2" t="n">
        <v>1</v>
      </c>
      <c r="CD5" s="2" t="n">
        <v>77.45999999999999</v>
      </c>
      <c r="CE5" s="2" t="n">
        <v>1</v>
      </c>
      <c r="CF5" s="2" t="n">
        <v>44.44</v>
      </c>
      <c r="CG5" s="2" t="n">
        <v>1</v>
      </c>
      <c r="CH5" s="2" t="n">
        <v>88.67</v>
      </c>
      <c r="CI5" s="2" t="n">
        <v>1</v>
      </c>
      <c r="CJ5" s="2" t="n">
        <v>52.27</v>
      </c>
      <c r="CK5" s="2" t="n">
        <v>1</v>
      </c>
      <c r="CL5" s="2" t="n">
        <v>61.39</v>
      </c>
      <c r="CM5" s="2" t="n">
        <v>1</v>
      </c>
      <c r="CN5" s="2" t="n">
        <v>79.62</v>
      </c>
      <c r="CO5" s="2" t="n">
        <v>13</v>
      </c>
      <c r="CP5" s="2" t="n">
        <v>1</v>
      </c>
      <c r="CQ5" s="2" t="n">
        <v>79.62</v>
      </c>
      <c r="CR5" s="2" t="inlineStr"/>
      <c r="CS5" s="2" t="inlineStr"/>
      <c r="CT5" s="2" t="inlineStr"/>
      <c r="CU5" s="2" t="inlineStr"/>
    </row>
    <row r="6">
      <c r="A6" s="2" t="inlineStr">
        <is>
          <t>C4-005</t>
        </is>
      </c>
      <c r="B6" s="2" t="inlineStr">
        <is>
          <t>Archipelago Commons</t>
        </is>
      </c>
      <c r="C6" s="2" t="inlineStr">
        <is>
          <t>https://github.com/esmero/</t>
        </is>
      </c>
      <c r="D6" s="2" t="inlineStr">
        <is>
          <t>Org URL -&gt; core module set</t>
        </is>
      </c>
      <c r="E6" s="2" t="inlineStr">
        <is>
          <t>github</t>
        </is>
      </c>
      <c r="F6" s="2" t="inlineStr">
        <is>
          <t>esmero/strawberryfield;esmero/format_strawberryfield;esmero/webform_strawberryfield;esmero/strawberry_runners;esmero/ami;esmero/archipelago-deployment</t>
        </is>
      </c>
      <c r="G6" s="2" t="inlineStr"/>
      <c r="H6" s="2" t="inlineStr"/>
      <c r="I6" s="2" t="inlineStr">
        <is>
          <t>yes</t>
        </is>
      </c>
      <c r="J6" s="2" t="inlineStr">
        <is>
          <t>software</t>
        </is>
      </c>
      <c r="K6" s="2" t="inlineStr">
        <is>
          <t>GitHub: esmero/archipelago-deployment (85 open)</t>
        </is>
      </c>
      <c r="L6" s="2" t="inlineStr">
        <is>
          <t>Modular Drupal system with no single main repo; scored on the core module set (commits de-duplicated)</t>
        </is>
      </c>
      <c r="M6" s="2" t="inlineStr">
        <is>
          <t>esmero/archipelago-deployment</t>
        </is>
      </c>
      <c r="N6" s="2" t="inlineStr">
        <is>
          <t>yes</t>
        </is>
      </c>
      <c r="O6" s="2" t="inlineStr">
        <is>
          <t>esmero/strawberryfield</t>
        </is>
      </c>
      <c r="P6" s="2" t="inlineStr">
        <is>
          <t>GitHub</t>
        </is>
      </c>
      <c r="Q6" s="2" t="inlineStr">
        <is>
          <t>marker_only</t>
        </is>
      </c>
      <c r="R6" s="2" t="inlineStr">
        <is>
          <t>Current scoring uses the Archipelago core module set; single repo recorded as candidate.</t>
        </is>
      </c>
      <c r="S6" s="2" t="inlineStr">
        <is>
          <t>esmero/strawberryfield;esmero/format_strawberryfield;esmero/webform_strawberryfield;esmero/strawberry_runners;esmero/ami;esmero/archipelago-deployment</t>
        </is>
      </c>
      <c r="T6" s="2" t="inlineStr">
        <is>
          <t>8</t>
        </is>
      </c>
      <c r="U6" s="2" t="inlineStr">
        <is>
          <t>18</t>
        </is>
      </c>
      <c r="V6" s="2" t="inlineStr">
        <is>
          <t>1</t>
        </is>
      </c>
      <c r="W6" s="2" t="inlineStr">
        <is>
          <t>1</t>
        </is>
      </c>
      <c r="X6" s="2" t="inlineStr">
        <is>
          <t>2</t>
        </is>
      </c>
      <c r="Y6" s="2" t="inlineStr">
        <is>
          <t>0.011</t>
        </is>
      </c>
      <c r="Z6" s="2" t="inlineStr">
        <is>
          <t>3</t>
        </is>
      </c>
      <c r="AA6" s="2" t="inlineStr">
        <is>
          <t>15.14</t>
        </is>
      </c>
      <c r="AB6" s="2" t="inlineStr">
        <is>
          <t>1.04</t>
        </is>
      </c>
      <c r="AC6" s="2" t="inlineStr">
        <is>
          <t>complete</t>
        </is>
      </c>
      <c r="AD6" s="2" t="inlineStr">
        <is>
          <t>185</t>
        </is>
      </c>
      <c r="AE6" s="2" t="inlineStr">
        <is>
          <t>2026-09-29</t>
        </is>
      </c>
      <c r="AF6" s="2" t="inlineStr">
        <is>
          <t>31</t>
        </is>
      </c>
      <c r="AG6" s="2" t="inlineStr">
        <is>
          <t>0</t>
        </is>
      </c>
      <c r="AH6" s="2" t="inlineStr">
        <is>
          <t>1</t>
        </is>
      </c>
      <c r="AI6" s="2" t="inlineStr">
        <is>
          <t>21</t>
        </is>
      </c>
      <c r="AJ6" s="2" t="inlineStr">
        <is>
          <t>97.84</t>
        </is>
      </c>
      <c r="AK6" s="2" t="inlineStr">
        <is>
          <t>95.6</t>
        </is>
      </c>
      <c r="AL6" s="2" t="inlineStr">
        <is>
          <t>0.39</t>
        </is>
      </c>
      <c r="AM6" s="2" t="inlineStr">
        <is>
          <t>4</t>
        </is>
      </c>
      <c r="AN6" s="2" t="inlineStr">
        <is>
          <t>3</t>
        </is>
      </c>
      <c r="AO6" s="2" t="inlineStr">
        <is>
          <t>8</t>
        </is>
      </c>
      <c r="AP6" s="2" t="inlineStr">
        <is>
          <t>81</t>
        </is>
      </c>
      <c r="AQ6" s="2" t="inlineStr">
        <is>
          <t>2.43</t>
        </is>
      </c>
      <c r="AR6" s="2" t="inlineStr">
        <is>
          <t>17</t>
        </is>
      </c>
      <c r="AS6" s="2" t="inlineStr">
        <is>
          <t>4</t>
        </is>
      </c>
      <c r="AT6" s="2" t="inlineStr">
        <is>
          <t>97</t>
        </is>
      </c>
      <c r="AU6" s="2" t="inlineStr">
        <is>
          <t>87</t>
        </is>
      </c>
      <c r="AV6" s="2" t="inlineStr">
        <is>
          <t>6</t>
        </is>
      </c>
      <c r="AW6" s="2" t="inlineStr">
        <is>
          <t>77</t>
        </is>
      </c>
      <c r="AX6" s="2" t="inlineStr">
        <is>
          <t>complete</t>
        </is>
      </c>
      <c r="AY6" s="2" t="inlineStr">
        <is>
          <t>1</t>
        </is>
      </c>
      <c r="AZ6" s="2" t="inlineStr"/>
      <c r="BA6" s="2" t="inlineStr">
        <is>
          <t>6</t>
        </is>
      </c>
      <c r="BB6" s="2" t="inlineStr">
        <is>
          <t>71</t>
        </is>
      </c>
      <c r="BC6" s="2" t="inlineStr">
        <is>
          <t>85</t>
        </is>
      </c>
      <c r="BD6" s="2" t="inlineStr">
        <is>
          <t>0.8353</t>
        </is>
      </c>
      <c r="BE6" s="2" t="inlineStr">
        <is>
          <t>2</t>
        </is>
      </c>
      <c r="BF6" s="2" t="inlineStr">
        <is>
          <t>4</t>
        </is>
      </c>
      <c r="BG6" s="2" t="inlineStr">
        <is>
          <t>all issues (too few non-maintainer)</t>
        </is>
      </c>
      <c r="BH6" s="2" t="inlineStr"/>
      <c r="BI6" s="2" t="inlineStr">
        <is>
          <t>8</t>
        </is>
      </c>
      <c r="BJ6" s="2" t="inlineStr">
        <is>
          <t>4</t>
        </is>
      </c>
      <c r="BK6" s="2" t="inlineStr">
        <is>
          <t>91</t>
        </is>
      </c>
      <c r="BL6" s="2" t="inlineStr">
        <is>
          <t>0.1758</t>
        </is>
      </c>
      <c r="BM6" s="2" t="inlineStr">
        <is>
          <t>16</t>
        </is>
      </c>
      <c r="BN6" s="2" t="n">
        <v>75.64</v>
      </c>
      <c r="BO6" s="2" t="n">
        <v>1</v>
      </c>
      <c r="BP6" s="2" t="n">
        <v>34.62</v>
      </c>
      <c r="BQ6" s="2" t="n">
        <v>1</v>
      </c>
      <c r="BR6" s="2" t="n">
        <v>100</v>
      </c>
      <c r="BS6" s="2" t="n">
        <v>1</v>
      </c>
      <c r="BT6" s="2" t="n">
        <v>100</v>
      </c>
      <c r="BU6" s="2" t="n">
        <v>1</v>
      </c>
      <c r="BV6" s="2" t="n">
        <v>31.7</v>
      </c>
      <c r="BW6" s="2" t="n">
        <v>1</v>
      </c>
      <c r="BX6" s="2" t="n">
        <v>1.89</v>
      </c>
      <c r="BY6" s="2" t="n">
        <v>1</v>
      </c>
      <c r="BZ6" s="2" t="n">
        <v>25</v>
      </c>
      <c r="CA6" s="2" t="n">
        <v>1</v>
      </c>
      <c r="CB6" s="2" t="n">
        <v>0</v>
      </c>
      <c r="CC6" s="2" t="n">
        <v>0</v>
      </c>
      <c r="CD6" s="2" t="n">
        <v>17.58</v>
      </c>
      <c r="CE6" s="2" t="n">
        <v>1</v>
      </c>
      <c r="CF6" s="2" t="n">
        <v>0</v>
      </c>
      <c r="CG6" s="2" t="n">
        <v>0</v>
      </c>
      <c r="CH6" s="2" t="n">
        <v>83.53</v>
      </c>
      <c r="CI6" s="2" t="n">
        <v>1</v>
      </c>
      <c r="CJ6" s="2" t="n">
        <v>15.9</v>
      </c>
      <c r="CK6" s="2" t="n">
        <v>1</v>
      </c>
      <c r="CL6" s="2" t="n">
        <v>34.87</v>
      </c>
      <c r="CM6" s="2" t="n">
        <v>1</v>
      </c>
      <c r="CN6" s="2" t="n">
        <v>40.05615384615385</v>
      </c>
      <c r="CO6" s="2" t="n">
        <v>11</v>
      </c>
      <c r="CP6" s="2" t="n">
        <v>0.8461538461538461</v>
      </c>
      <c r="CQ6" s="2" t="n">
        <v>47.33909090909091</v>
      </c>
      <c r="CR6" s="2" t="inlineStr"/>
      <c r="CS6" s="2" t="inlineStr"/>
      <c r="CT6" s="2" t="inlineStr"/>
      <c r="CU6" s="2" t="inlineStr"/>
    </row>
    <row r="7">
      <c r="A7" s="2" t="inlineStr">
        <is>
          <t>C4-006</t>
        </is>
      </c>
      <c r="B7" s="2" t="inlineStr">
        <is>
          <t>Archival Resource Key</t>
        </is>
      </c>
      <c r="C7" s="2" t="inlineStr">
        <is>
          <t>https://github.com/arks-org</t>
        </is>
      </c>
      <c r="D7" s="2" t="inlineStr">
        <is>
          <t>Resolved URL -&gt; scoreable standard repo</t>
        </is>
      </c>
      <c r="E7" s="2" t="inlineStr">
        <is>
          <t>github</t>
        </is>
      </c>
      <c r="F7" s="2" t="inlineStr">
        <is>
          <t>arks-org/arks.github.io</t>
        </is>
      </c>
      <c r="G7" s="2" t="inlineStr"/>
      <c r="H7" s="2" t="inlineStr"/>
      <c r="I7" s="2" t="inlineStr">
        <is>
          <t>yes</t>
        </is>
      </c>
      <c r="J7" s="2" t="inlineStr">
        <is>
          <t>standard</t>
        </is>
      </c>
      <c r="K7" s="2" t="inlineStr">
        <is>
          <t>GitHub (same repo)</t>
        </is>
      </c>
      <c r="L7" s="2" t="inlineStr">
        <is>
          <t>ARK is an identifier scheme; arkspec had 2 commits in window. Score standards separately, not against software | Restored as scoreable documentation/spec repository per resolved list; still marked as standard.</t>
        </is>
      </c>
      <c r="M7" s="2" t="inlineStr">
        <is>
          <t>arks-org/arks.github.io</t>
        </is>
      </c>
      <c r="N7" s="2" t="inlineStr">
        <is>
          <t>yes</t>
        </is>
      </c>
      <c r="O7" s="2" t="inlineStr">
        <is>
          <t>arks-org/arks.github.io</t>
        </is>
      </c>
      <c r="P7" s="2" t="inlineStr">
        <is>
          <t>GitHub</t>
        </is>
      </c>
      <c r="Q7" s="2" t="inlineStr">
        <is>
          <t>applied</t>
        </is>
      </c>
      <c r="R7" s="2" t="inlineStr">
        <is>
          <t>Restored as scoreable documentation/spec repository per resolved list; still marked as standard.</t>
        </is>
      </c>
      <c r="S7" s="2" t="inlineStr">
        <is>
          <t>arks-org/arks.github.io</t>
        </is>
      </c>
      <c r="T7" s="2" t="inlineStr">
        <is>
          <t>7</t>
        </is>
      </c>
      <c r="U7" s="2" t="inlineStr">
        <is>
          <t>12</t>
        </is>
      </c>
      <c r="V7" s="2" t="inlineStr">
        <is>
          <t>1</t>
        </is>
      </c>
      <c r="W7" s="2" t="inlineStr">
        <is>
          <t>2</t>
        </is>
      </c>
      <c r="X7" s="2" t="inlineStr">
        <is>
          <t>0</t>
        </is>
      </c>
      <c r="Y7" s="2" t="inlineStr">
        <is>
          <t>0.0</t>
        </is>
      </c>
      <c r="Z7" s="2" t="inlineStr">
        <is>
          <t>5</t>
        </is>
      </c>
      <c r="AA7" s="2" t="inlineStr">
        <is>
          <t>26.31</t>
        </is>
      </c>
      <c r="AB7" s="2" t="inlineStr">
        <is>
          <t>2.06</t>
        </is>
      </c>
      <c r="AC7" s="2" t="inlineStr">
        <is>
          <t>complete</t>
        </is>
      </c>
      <c r="AD7" s="2" t="inlineStr">
        <is>
          <t>33</t>
        </is>
      </c>
      <c r="AE7" s="2" t="inlineStr">
        <is>
          <t>2026-09-04</t>
        </is>
      </c>
      <c r="AF7" s="2" t="inlineStr">
        <is>
          <t>16</t>
        </is>
      </c>
      <c r="AG7" s="2" t="inlineStr">
        <is>
          <t>0</t>
        </is>
      </c>
      <c r="AH7" s="2" t="inlineStr">
        <is>
          <t>0</t>
        </is>
      </c>
      <c r="AI7" s="2" t="inlineStr">
        <is>
          <t>1</t>
        </is>
      </c>
      <c r="AJ7" s="2" t="inlineStr">
        <is>
          <t>66.67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n">
        <v>51.04</v>
      </c>
      <c r="BO7" s="2" t="n">
        <v>1</v>
      </c>
      <c r="BP7" s="2" t="n">
        <v>23.08</v>
      </c>
      <c r="BQ7" s="2" t="n">
        <v>1</v>
      </c>
      <c r="BR7" s="2" t="n">
        <v>100</v>
      </c>
      <c r="BS7" s="2" t="n">
        <v>1</v>
      </c>
      <c r="BT7" s="2" t="n">
        <v>50</v>
      </c>
      <c r="BU7" s="2" t="n">
        <v>1</v>
      </c>
      <c r="BV7" s="2" t="n">
        <v>46.44</v>
      </c>
      <c r="BW7" s="2" t="n">
        <v>1</v>
      </c>
      <c r="BX7" s="2" t="n">
        <v>34.75</v>
      </c>
      <c r="BY7" s="2" t="n">
        <v>1</v>
      </c>
      <c r="BZ7" s="2" t="n">
        <v>0</v>
      </c>
      <c r="CA7" s="2" t="n">
        <v>1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23.48538461538461</v>
      </c>
      <c r="CO7" s="2" t="n">
        <v>7</v>
      </c>
      <c r="CP7" s="2" t="n">
        <v>0.5384615384615384</v>
      </c>
      <c r="CQ7" s="2" t="n">
        <v>43.61571428571428</v>
      </c>
      <c r="CR7" s="2" t="inlineStr"/>
      <c r="CS7" s="2" t="inlineStr"/>
      <c r="CT7" s="2" t="inlineStr"/>
      <c r="CU7" s="2" t="inlineStr"/>
    </row>
    <row r="8">
      <c r="A8" s="2" t="inlineStr">
        <is>
          <t>C4-007</t>
        </is>
      </c>
      <c r="B8" s="2" t="inlineStr">
        <is>
          <t>Archivematica</t>
        </is>
      </c>
      <c r="C8" s="2" t="inlineStr">
        <is>
          <t>https://github.com/artefactual/archivematica</t>
        </is>
      </c>
      <c r="D8" s="2" t="inlineStr">
        <is>
          <t>Ready</t>
        </is>
      </c>
      <c r="E8" s="2" t="inlineStr">
        <is>
          <t>github</t>
        </is>
      </c>
      <c r="F8" s="2" t="inlineStr">
        <is>
          <t>artefactual/archivematica</t>
        </is>
      </c>
      <c r="G8" s="2" t="inlineStr"/>
      <c r="H8" s="2" t="inlineStr"/>
      <c r="I8" s="2" t="inlineStr">
        <is>
          <t>yes</t>
        </is>
      </c>
      <c r="J8" s="2" t="inlineStr">
        <is>
          <t>software</t>
        </is>
      </c>
      <c r="K8" s="2" t="inlineStr">
        <is>
          <t>GitHub: archivematica/Issues</t>
        </is>
      </c>
      <c r="L8" s="2" t="inlineStr"/>
      <c r="M8" s="2" t="inlineStr">
        <is>
          <t>archivematica/Issues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artefactual/archivematica</t>
        </is>
      </c>
      <c r="T8" s="2" t="inlineStr">
        <is>
          <t>12</t>
        </is>
      </c>
      <c r="U8" s="2" t="inlineStr">
        <is>
          <t>38</t>
        </is>
      </c>
      <c r="V8" s="2" t="inlineStr">
        <is>
          <t>1</t>
        </is>
      </c>
      <c r="W8" s="2" t="inlineStr">
        <is>
          <t>2</t>
        </is>
      </c>
      <c r="X8" s="2" t="inlineStr">
        <is>
          <t>153</t>
        </is>
      </c>
      <c r="Y8" s="2" t="inlineStr">
        <is>
          <t>0.484</t>
        </is>
      </c>
      <c r="Z8" s="2" t="inlineStr">
        <is>
          <t>5</t>
        </is>
      </c>
      <c r="AA8" s="2" t="inlineStr">
        <is>
          <t>10.62</t>
        </is>
      </c>
      <c r="AB8" s="2" t="inlineStr">
        <is>
          <t>2.39</t>
        </is>
      </c>
      <c r="AC8" s="2" t="inlineStr">
        <is>
          <t>complete</t>
        </is>
      </c>
      <c r="AD8" s="2" t="inlineStr">
        <is>
          <t>163</t>
        </is>
      </c>
      <c r="AE8" s="2" t="inlineStr">
        <is>
          <t>2026-10-10</t>
        </is>
      </c>
      <c r="AF8" s="2" t="inlineStr">
        <is>
          <t>0</t>
        </is>
      </c>
      <c r="AG8" s="2" t="inlineStr">
        <is>
          <t>0</t>
        </is>
      </c>
      <c r="AH8" s="2" t="inlineStr">
        <is>
          <t>2</t>
        </is>
      </c>
      <c r="AI8" s="2" t="inlineStr">
        <is>
          <t>2</t>
        </is>
      </c>
      <c r="AJ8" s="2" t="inlineStr">
        <is>
          <t>55.21</t>
        </is>
      </c>
      <c r="AK8" s="2" t="inlineStr">
        <is>
          <t>95.96</t>
        </is>
      </c>
      <c r="AL8" s="2" t="inlineStr">
        <is>
          <t>110.28</t>
        </is>
      </c>
      <c r="AM8" s="2" t="inlineStr">
        <is>
          <t>28</t>
        </is>
      </c>
      <c r="AN8" s="2" t="inlineStr">
        <is>
          <t>14</t>
        </is>
      </c>
      <c r="AO8" s="2" t="inlineStr">
        <is>
          <t>55</t>
        </is>
      </c>
      <c r="AP8" s="2" t="inlineStr">
        <is>
          <t>201</t>
        </is>
      </c>
      <c r="AQ8" s="2" t="inlineStr">
        <is>
          <t>21.74</t>
        </is>
      </c>
      <c r="AR8" s="2" t="inlineStr">
        <is>
          <t>71</t>
        </is>
      </c>
      <c r="AS8" s="2" t="inlineStr">
        <is>
          <t>4</t>
        </is>
      </c>
      <c r="AT8" s="2" t="inlineStr">
        <is>
          <t>111</t>
        </is>
      </c>
      <c r="AU8" s="2" t="inlineStr">
        <is>
          <t>95</t>
        </is>
      </c>
      <c r="AV8" s="2" t="inlineStr">
        <is>
          <t>12</t>
        </is>
      </c>
      <c r="AW8" s="2" t="inlineStr">
        <is>
          <t>84</t>
        </is>
      </c>
      <c r="AX8" s="2" t="inlineStr">
        <is>
          <t>complete</t>
        </is>
      </c>
      <c r="AY8" s="2" t="inlineStr">
        <is>
          <t>13</t>
        </is>
      </c>
      <c r="AZ8" s="2" t="inlineStr">
        <is>
          <t>0.2955</t>
        </is>
      </c>
      <c r="BA8" s="2" t="inlineStr">
        <is>
          <t>44</t>
        </is>
      </c>
      <c r="BB8" s="2" t="inlineStr">
        <is>
          <t>90</t>
        </is>
      </c>
      <c r="BC8" s="2" t="inlineStr">
        <is>
          <t>104</t>
        </is>
      </c>
      <c r="BD8" s="2" t="inlineStr">
        <is>
          <t>0.8654</t>
        </is>
      </c>
      <c r="BE8" s="2" t="inlineStr">
        <is>
          <t>59</t>
        </is>
      </c>
      <c r="BF8" s="2" t="inlineStr">
        <is>
          <t>15</t>
        </is>
      </c>
      <c r="BG8" s="2" t="inlineStr">
        <is>
          <t>non-maintainer issues</t>
        </is>
      </c>
      <c r="BH8" s="2" t="inlineStr">
        <is>
          <t>0.475</t>
        </is>
      </c>
      <c r="BI8" s="2" t="inlineStr">
        <is>
          <t>40</t>
        </is>
      </c>
      <c r="BJ8" s="2" t="inlineStr">
        <is>
          <t>19</t>
        </is>
      </c>
      <c r="BK8" s="2" t="inlineStr">
        <is>
          <t>111</t>
        </is>
      </c>
      <c r="BL8" s="2" t="inlineStr">
        <is>
          <t>0.5495</t>
        </is>
      </c>
      <c r="BM8" s="2" t="inlineStr">
        <is>
          <t>61</t>
        </is>
      </c>
      <c r="BN8" s="2" t="n">
        <v>73.81999999999999</v>
      </c>
      <c r="BO8" s="2" t="n">
        <v>1</v>
      </c>
      <c r="BP8" s="2" t="n">
        <v>73.08</v>
      </c>
      <c r="BQ8" s="2" t="n">
        <v>1</v>
      </c>
      <c r="BR8" s="2" t="n">
        <v>100</v>
      </c>
      <c r="BS8" s="2" t="n">
        <v>1</v>
      </c>
      <c r="BT8" s="2" t="n">
        <v>75</v>
      </c>
      <c r="BU8" s="2" t="n">
        <v>1</v>
      </c>
      <c r="BV8" s="2" t="n">
        <v>46.44</v>
      </c>
      <c r="BW8" s="2" t="n">
        <v>1</v>
      </c>
      <c r="BX8" s="2" t="n">
        <v>41.9</v>
      </c>
      <c r="BY8" s="2" t="n">
        <v>1</v>
      </c>
      <c r="BZ8" s="2" t="n">
        <v>50</v>
      </c>
      <c r="CA8" s="2" t="n">
        <v>1</v>
      </c>
      <c r="CB8" s="2" t="n">
        <v>47.5</v>
      </c>
      <c r="CC8" s="2" t="n">
        <v>1</v>
      </c>
      <c r="CD8" s="2" t="n">
        <v>54.95</v>
      </c>
      <c r="CE8" s="2" t="n">
        <v>1</v>
      </c>
      <c r="CF8" s="2" t="n">
        <v>29.55</v>
      </c>
      <c r="CG8" s="2" t="n">
        <v>1</v>
      </c>
      <c r="CH8" s="2" t="n">
        <v>86.54000000000001</v>
      </c>
      <c r="CI8" s="2" t="n">
        <v>1</v>
      </c>
      <c r="CJ8" s="2" t="n">
        <v>59.26</v>
      </c>
      <c r="CK8" s="2" t="n">
        <v>1</v>
      </c>
      <c r="CL8" s="2" t="n">
        <v>60.08</v>
      </c>
      <c r="CM8" s="2" t="n">
        <v>1</v>
      </c>
      <c r="CN8" s="2" t="n">
        <v>61.39384615384616</v>
      </c>
      <c r="CO8" s="2" t="n">
        <v>13</v>
      </c>
      <c r="CP8" s="2" t="n">
        <v>1</v>
      </c>
      <c r="CQ8" s="2" t="n">
        <v>61.39384615384616</v>
      </c>
      <c r="CR8" s="2" t="inlineStr"/>
      <c r="CS8" s="2" t="inlineStr"/>
      <c r="CT8" s="2" t="inlineStr"/>
      <c r="CU8" s="2" t="inlineStr"/>
    </row>
    <row r="9">
      <c r="A9" s="2" t="inlineStr">
        <is>
          <t>C4-008</t>
        </is>
      </c>
      <c r="B9" s="2" t="inlineStr">
        <is>
          <t>ArchivesSpace</t>
        </is>
      </c>
      <c r="C9" s="2" t="inlineStr">
        <is>
          <t>https://github.com/archivesspace/archivesspace</t>
        </is>
      </c>
      <c r="D9" s="2" t="inlineStr">
        <is>
          <t>Ready</t>
        </is>
      </c>
      <c r="E9" s="2" t="inlineStr">
        <is>
          <t>github</t>
        </is>
      </c>
      <c r="F9" s="2" t="inlineStr">
        <is>
          <t>archivesspace/archivesspace</t>
        </is>
      </c>
      <c r="G9" s="2" t="inlineStr"/>
      <c r="H9" s="2" t="inlineStr"/>
      <c r="I9" s="2" t="inlineStr">
        <is>
          <t>yes</t>
        </is>
      </c>
      <c r="J9" s="2" t="inlineStr">
        <is>
          <t>software</t>
        </is>
      </c>
      <c r="K9" s="2" t="inlineStr">
        <is>
          <t>GitHub (same repo); also development.archivesspace.org</t>
        </is>
      </c>
      <c r="L9" s="2" t="inlineStr"/>
      <c r="M9" s="2" t="inlineStr">
        <is>
          <t>archivesspace/archivesspace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archivesspace/archivesspace</t>
        </is>
      </c>
      <c r="T9" s="2" t="inlineStr">
        <is>
          <t>12</t>
        </is>
      </c>
      <c r="U9" s="2" t="inlineStr">
        <is>
          <t>51</t>
        </is>
      </c>
      <c r="V9" s="2" t="inlineStr">
        <is>
          <t>3</t>
        </is>
      </c>
      <c r="W9" s="2" t="inlineStr">
        <is>
          <t>5</t>
        </is>
      </c>
      <c r="X9" s="2" t="inlineStr">
        <is>
          <t>92</t>
        </is>
      </c>
      <c r="Y9" s="2" t="inlineStr">
        <is>
          <t>0.133</t>
        </is>
      </c>
      <c r="Z9" s="2" t="inlineStr">
        <is>
          <t>35</t>
        </is>
      </c>
      <c r="AA9" s="2" t="inlineStr">
        <is>
          <t>0.4</t>
        </is>
      </c>
      <c r="AB9" s="2" t="inlineStr">
        <is>
          <t>6.83</t>
        </is>
      </c>
      <c r="AC9" s="2" t="inlineStr">
        <is>
          <t>complete</t>
        </is>
      </c>
      <c r="AD9" s="2" t="inlineStr">
        <is>
          <t>602</t>
        </is>
      </c>
      <c r="AE9" s="2" t="inlineStr">
        <is>
          <t>2026-10-12</t>
        </is>
      </c>
      <c r="AF9" s="2" t="inlineStr">
        <is>
          <t>215</t>
        </is>
      </c>
      <c r="AG9" s="2" t="inlineStr">
        <is>
          <t>4</t>
        </is>
      </c>
      <c r="AH9" s="2" t="inlineStr">
        <is>
          <t>13</t>
        </is>
      </c>
      <c r="AI9" s="2" t="inlineStr">
        <is>
          <t>4</t>
        </is>
      </c>
      <c r="AJ9" s="2" t="inlineStr">
        <is>
          <t>21.26</t>
        </is>
      </c>
      <c r="AK9" s="2" t="inlineStr">
        <is>
          <t>89.8</t>
        </is>
      </c>
      <c r="AL9" s="2" t="inlineStr">
        <is>
          <t>51.01</t>
        </is>
      </c>
      <c r="AM9" s="2" t="inlineStr">
        <is>
          <t>10</t>
        </is>
      </c>
      <c r="AN9" s="2" t="inlineStr">
        <is>
          <t>0</t>
        </is>
      </c>
      <c r="AO9" s="2" t="inlineStr">
        <is>
          <t>17</t>
        </is>
      </c>
      <c r="AP9" s="2" t="inlineStr">
        <is>
          <t>90</t>
        </is>
      </c>
      <c r="AQ9" s="2" t="inlineStr">
        <is>
          <t>2.9</t>
        </is>
      </c>
      <c r="AR9" s="2" t="inlineStr">
        <is>
          <t>337</t>
        </is>
      </c>
      <c r="AS9" s="2" t="inlineStr">
        <is>
          <t>36</t>
        </is>
      </c>
      <c r="AT9" s="2" t="inlineStr">
        <is>
          <t>377</t>
        </is>
      </c>
      <c r="AU9" s="2" t="inlineStr">
        <is>
          <t>317</t>
        </is>
      </c>
      <c r="AV9" s="2" t="inlineStr">
        <is>
          <t>24</t>
        </is>
      </c>
      <c r="AW9" s="2" t="inlineStr">
        <is>
          <t>99</t>
        </is>
      </c>
      <c r="AX9" s="2" t="inlineStr">
        <is>
          <t>complete</t>
        </is>
      </c>
      <c r="AY9" s="2" t="inlineStr">
        <is>
          <t>4</t>
        </is>
      </c>
      <c r="AZ9" s="2" t="inlineStr">
        <is>
          <t>0.25</t>
        </is>
      </c>
      <c r="BA9" s="2" t="inlineStr">
        <is>
          <t>16</t>
        </is>
      </c>
      <c r="BB9" s="2" t="inlineStr">
        <is>
          <t>307</t>
        </is>
      </c>
      <c r="BC9" s="2" t="inlineStr">
        <is>
          <t>342</t>
        </is>
      </c>
      <c r="BD9" s="2" t="inlineStr">
        <is>
          <t>0.8977</t>
        </is>
      </c>
      <c r="BE9" s="2" t="inlineStr">
        <is>
          <t>64</t>
        </is>
      </c>
      <c r="BF9" s="2" t="inlineStr">
        <is>
          <t>18</t>
        </is>
      </c>
      <c r="BG9" s="2" t="inlineStr">
        <is>
          <t>non-maintainer issues</t>
        </is>
      </c>
      <c r="BH9" s="2" t="inlineStr">
        <is>
          <t>0.4118</t>
        </is>
      </c>
      <c r="BI9" s="2" t="inlineStr">
        <is>
          <t>17</t>
        </is>
      </c>
      <c r="BJ9" s="2" t="inlineStr">
        <is>
          <t>7</t>
        </is>
      </c>
      <c r="BK9" s="2" t="inlineStr">
        <is>
          <t>359</t>
        </is>
      </c>
      <c r="BL9" s="2" t="inlineStr">
        <is>
          <t>0.8969</t>
        </is>
      </c>
      <c r="BM9" s="2" t="inlineStr">
        <is>
          <t>322</t>
        </is>
      </c>
      <c r="BN9" s="2" t="n">
        <v>92.66</v>
      </c>
      <c r="BO9" s="2" t="n">
        <v>1</v>
      </c>
      <c r="BP9" s="2" t="n">
        <v>98.08</v>
      </c>
      <c r="BQ9" s="2" t="n">
        <v>1</v>
      </c>
      <c r="BR9" s="2" t="n">
        <v>100</v>
      </c>
      <c r="BS9" s="2" t="n">
        <v>1</v>
      </c>
      <c r="BT9" s="2" t="n">
        <v>100</v>
      </c>
      <c r="BU9" s="2" t="n">
        <v>1</v>
      </c>
      <c r="BV9" s="2" t="n">
        <v>100</v>
      </c>
      <c r="BW9" s="2" t="n">
        <v>1</v>
      </c>
      <c r="BX9" s="2" t="n">
        <v>92.40000000000001</v>
      </c>
      <c r="BY9" s="2" t="n">
        <v>1</v>
      </c>
      <c r="BZ9" s="2" t="n">
        <v>100</v>
      </c>
      <c r="CA9" s="2" t="n">
        <v>1</v>
      </c>
      <c r="CB9" s="2" t="n">
        <v>41.18</v>
      </c>
      <c r="CC9" s="2" t="n">
        <v>1</v>
      </c>
      <c r="CD9" s="2" t="n">
        <v>89.69</v>
      </c>
      <c r="CE9" s="2" t="n">
        <v>1</v>
      </c>
      <c r="CF9" s="2" t="n">
        <v>25</v>
      </c>
      <c r="CG9" s="2" t="n">
        <v>1</v>
      </c>
      <c r="CH9" s="2" t="n">
        <v>89.77</v>
      </c>
      <c r="CI9" s="2" t="n">
        <v>1</v>
      </c>
      <c r="CJ9" s="2" t="n">
        <v>60.42</v>
      </c>
      <c r="CK9" s="2" t="n">
        <v>1</v>
      </c>
      <c r="CL9" s="2" t="n">
        <v>63.8</v>
      </c>
      <c r="CM9" s="2" t="n">
        <v>1</v>
      </c>
      <c r="CN9" s="2" t="n">
        <v>81</v>
      </c>
      <c r="CO9" s="2" t="n">
        <v>13</v>
      </c>
      <c r="CP9" s="2" t="n">
        <v>1</v>
      </c>
      <c r="CQ9" s="2" t="n">
        <v>81</v>
      </c>
      <c r="CR9" s="2" t="inlineStr"/>
      <c r="CS9" s="2" t="inlineStr"/>
      <c r="CT9" s="2" t="inlineStr"/>
      <c r="CU9" s="2" t="inlineStr"/>
    </row>
    <row r="10">
      <c r="A10" s="2" t="inlineStr">
        <is>
          <t>C4-009</t>
        </is>
      </c>
      <c r="B10" s="2" t="inlineStr">
        <is>
          <t>ARGOS</t>
        </is>
      </c>
      <c r="C10" s="2" t="inlineStr">
        <is>
          <t>https://github.com/OpenCDMP/OpenCDMP</t>
        </is>
      </c>
      <c r="D10" s="2" t="inlineStr">
        <is>
          <t>Keep (flag)</t>
        </is>
      </c>
      <c r="E10" s="2" t="inlineStr">
        <is>
          <t>github</t>
        </is>
      </c>
      <c r="F10" s="2" t="inlineStr">
        <is>
          <t>OpenCDMP/OpenCDMP</t>
        </is>
      </c>
      <c r="G10" s="2" t="inlineStr"/>
      <c r="H10" s="2" t="inlineStr"/>
      <c r="I10" s="2" t="inlineStr">
        <is>
          <t>yes</t>
        </is>
      </c>
      <c r="J10" s="2" t="inlineStr">
        <is>
          <t>software</t>
        </is>
      </c>
      <c r="K10" s="2" t="inlineStr">
        <is>
          <t>GitHub (same repo, 3 open)</t>
        </is>
      </c>
      <c r="L10" s="2" t="inlineStr">
        <is>
          <t>ARGOS is built on OpenCDMP; public repo receives periodic code drops (20 commits total)</t>
        </is>
      </c>
      <c r="M10" s="2" t="inlineStr">
        <is>
          <t>OpenCDMP/OpenCDMP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OpenCDMP/OpenCDMP</t>
        </is>
      </c>
      <c r="T10" s="2" t="inlineStr">
        <is>
          <t>3</t>
        </is>
      </c>
      <c r="U10" s="2" t="inlineStr">
        <is>
          <t>4</t>
        </is>
      </c>
      <c r="V10" s="2" t="inlineStr">
        <is>
          <t>1</t>
        </is>
      </c>
      <c r="W10" s="2" t="inlineStr">
        <is>
          <t>1</t>
        </is>
      </c>
      <c r="X10" s="2" t="inlineStr">
        <is>
          <t>0</t>
        </is>
      </c>
      <c r="Y10" s="2" t="inlineStr">
        <is>
          <t>0.0</t>
        </is>
      </c>
      <c r="Z10" s="2" t="inlineStr">
        <is>
          <t>1</t>
        </is>
      </c>
      <c r="AA10" s="2" t="inlineStr">
        <is>
          <t>190.36</t>
        </is>
      </c>
      <c r="AB10" s="2" t="inlineStr">
        <is>
          <t>1.0</t>
        </is>
      </c>
      <c r="AC10" s="2" t="inlineStr">
        <is>
          <t>complete</t>
        </is>
      </c>
      <c r="AD10" s="2" t="inlineStr">
        <is>
          <t>4</t>
        </is>
      </c>
      <c r="AE10" s="2" t="inlineStr">
        <is>
          <t>2026-10-13</t>
        </is>
      </c>
      <c r="AF10" s="2" t="inlineStr">
        <is>
          <t>0</t>
        </is>
      </c>
      <c r="AG10" s="2" t="inlineStr">
        <is>
          <t>0</t>
        </is>
      </c>
      <c r="AH10" s="2" t="inlineStr">
        <is>
          <t>0</t>
        </is>
      </c>
      <c r="AI10" s="2" t="inlineStr">
        <is>
          <t>2</t>
        </is>
      </c>
      <c r="AJ10" s="2" t="inlineStr">
        <is>
          <t>100.0</t>
        </is>
      </c>
      <c r="AK10" s="2" t="inlineStr"/>
      <c r="AL10" s="2" t="inlineStr"/>
      <c r="AM10" s="2" t="inlineStr">
        <is>
          <t>0</t>
        </is>
      </c>
      <c r="AN10" s="2" t="inlineStr">
        <is>
          <t>0</t>
        </is>
      </c>
      <c r="AO10" s="2" t="inlineStr">
        <is>
          <t>2</t>
        </is>
      </c>
      <c r="AP10" s="2" t="inlineStr">
        <is>
          <t>1</t>
        </is>
      </c>
      <c r="AQ10" s="2" t="inlineStr"/>
      <c r="AR10" s="2" t="inlineStr">
        <is>
          <t>0</t>
        </is>
      </c>
      <c r="AS10" s="2" t="inlineStr">
        <is>
          <t>0</t>
        </is>
      </c>
      <c r="AT10" s="2" t="inlineStr">
        <is>
          <t>2</t>
        </is>
      </c>
      <c r="AU10" s="2" t="inlineStr">
        <is>
          <t>0</t>
        </is>
      </c>
      <c r="AV10" s="2" t="inlineStr">
        <is>
          <t>2</t>
        </is>
      </c>
      <c r="AW10" s="2" t="inlineStr">
        <is>
          <t>0</t>
        </is>
      </c>
      <c r="AX10" s="2" t="inlineStr">
        <is>
          <t>complete</t>
        </is>
      </c>
      <c r="AY10" s="2" t="inlineStr">
        <is>
          <t>0</t>
        </is>
      </c>
      <c r="AZ10" s="2" t="inlineStr"/>
      <c r="BA10" s="2" t="inlineStr">
        <is>
          <t>2</t>
        </is>
      </c>
      <c r="BB10" s="2" t="inlineStr">
        <is>
          <t>0</t>
        </is>
      </c>
      <c r="BC10" s="2" t="inlineStr">
        <is>
          <t>2</t>
        </is>
      </c>
      <c r="BD10" s="2" t="inlineStr"/>
      <c r="BE10" s="2" t="inlineStr">
        <is>
          <t>2</t>
        </is>
      </c>
      <c r="BF10" s="2" t="inlineStr">
        <is>
          <t>2</t>
        </is>
      </c>
      <c r="BG10" s="2" t="inlineStr">
        <is>
          <t>all issues (too few non-maintainer)</t>
        </is>
      </c>
      <c r="BH10" s="2" t="inlineStr"/>
      <c r="BI10" s="2" t="inlineStr">
        <is>
          <t>2</t>
        </is>
      </c>
      <c r="BJ10" s="2" t="inlineStr">
        <is>
          <t>0</t>
        </is>
      </c>
      <c r="BK10" s="2" t="inlineStr">
        <is>
          <t>2</t>
        </is>
      </c>
      <c r="BL10" s="2" t="inlineStr"/>
      <c r="BM10" s="2" t="inlineStr">
        <is>
          <t>0</t>
        </is>
      </c>
      <c r="BN10" s="2" t="n">
        <v>23.3</v>
      </c>
      <c r="BO10" s="2" t="n">
        <v>1</v>
      </c>
      <c r="BP10" s="2" t="n">
        <v>7.69</v>
      </c>
      <c r="BQ10" s="2" t="n">
        <v>1</v>
      </c>
      <c r="BR10" s="2" t="n">
        <v>52.13</v>
      </c>
      <c r="BS10" s="2" t="n">
        <v>1</v>
      </c>
      <c r="BT10" s="2" t="n">
        <v>75</v>
      </c>
      <c r="BU10" s="2" t="n">
        <v>1</v>
      </c>
      <c r="BV10" s="2" t="n">
        <v>0</v>
      </c>
      <c r="BW10" s="2" t="n">
        <v>1</v>
      </c>
      <c r="BX10" s="2" t="n">
        <v>0</v>
      </c>
      <c r="BY10" s="2" t="n">
        <v>1</v>
      </c>
      <c r="BZ10" s="2" t="n">
        <v>0</v>
      </c>
      <c r="CA10" s="2" t="n">
        <v>1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15.9</v>
      </c>
      <c r="CK10" s="2" t="n">
        <v>1</v>
      </c>
      <c r="CL10" s="2" t="n">
        <v>23.8</v>
      </c>
      <c r="CM10" s="2" t="n">
        <v>1</v>
      </c>
      <c r="CN10" s="2" t="n">
        <v>15.21692307692308</v>
      </c>
      <c r="CO10" s="2" t="n">
        <v>9</v>
      </c>
      <c r="CP10" s="2" t="n">
        <v>0.6923076923076923</v>
      </c>
      <c r="CQ10" s="2" t="n">
        <v>21.98</v>
      </c>
      <c r="CR10" s="2" t="inlineStr"/>
      <c r="CS10" s="2" t="inlineStr"/>
      <c r="CT10" s="2" t="inlineStr"/>
      <c r="CU10" s="2" t="inlineStr"/>
    </row>
    <row r="11">
      <c r="A11" s="2" t="inlineStr">
        <is>
          <t>C4-010</t>
        </is>
      </c>
      <c r="B11" s="2" t="inlineStr">
        <is>
          <t>arXiv</t>
        </is>
      </c>
      <c r="C11" s="2" t="inlineStr">
        <is>
          <t>https://github.com/arXiv</t>
        </is>
      </c>
      <c r="D11" s="2" t="inlineStr">
        <is>
          <t>Org URL -&gt; primary repo</t>
        </is>
      </c>
      <c r="E11" s="2" t="inlineStr">
        <is>
          <t>github</t>
        </is>
      </c>
      <c r="F11" s="2" t="inlineStr">
        <is>
          <t>arXiv/arxiv-browse</t>
        </is>
      </c>
      <c r="G11" s="2" t="inlineStr"/>
      <c r="H11" s="2" t="inlineStr"/>
      <c r="I11" s="2" t="inlineStr">
        <is>
          <t>yes</t>
        </is>
      </c>
      <c r="J11" s="2" t="inlineStr">
        <is>
          <t>software</t>
        </is>
      </c>
      <c r="K11" s="2" t="inlineStr">
        <is>
          <t>GitHub (same repo)</t>
        </is>
      </c>
      <c r="L11" s="2" t="inlineStr">
        <is>
          <t>Main public web application (abstract and listing pages); 54 repos in org</t>
        </is>
      </c>
      <c r="M11" s="2" t="inlineStr">
        <is>
          <t>arXiv/arxiv-browse</t>
        </is>
      </c>
      <c r="N11" s="2" t="inlineStr">
        <is>
          <t>yes</t>
        </is>
      </c>
      <c r="O11" s="2" t="inlineStr">
        <is>
          <t>arXiv/arxiv-browse</t>
        </is>
      </c>
      <c r="P11" s="2" t="inlineStr">
        <is>
          <t>GitHub</t>
        </is>
      </c>
      <c r="Q11" s="2" t="inlineStr">
        <is>
          <t>already_current</t>
        </is>
      </c>
      <c r="R11" s="2" t="inlineStr">
        <is>
          <t>Current scoring target already matches resolved list.</t>
        </is>
      </c>
      <c r="S11" s="2" t="inlineStr">
        <is>
          <t>arXiv/arxiv-browse</t>
        </is>
      </c>
      <c r="T11" s="2" t="inlineStr">
        <is>
          <t>12</t>
        </is>
      </c>
      <c r="U11" s="2" t="inlineStr">
        <is>
          <t>34</t>
        </is>
      </c>
      <c r="V11" s="2" t="inlineStr">
        <is>
          <t>2</t>
        </is>
      </c>
      <c r="W11" s="2" t="inlineStr">
        <is>
          <t>5</t>
        </is>
      </c>
      <c r="X11" s="2" t="inlineStr">
        <is>
          <t>0</t>
        </is>
      </c>
      <c r="Y11" s="2" t="inlineStr">
        <is>
          <t>0.0</t>
        </is>
      </c>
      <c r="Z11" s="2" t="inlineStr">
        <is>
          <t>14</t>
        </is>
      </c>
      <c r="AA11" s="2" t="inlineStr">
        <is>
          <t>1.06</t>
        </is>
      </c>
      <c r="AB11" s="2" t="inlineStr">
        <is>
          <t>3.73</t>
        </is>
      </c>
      <c r="AC11" s="2" t="inlineStr">
        <is>
          <t>complete</t>
        </is>
      </c>
      <c r="AD11" s="2" t="inlineStr">
        <is>
          <t>150</t>
        </is>
      </c>
      <c r="AE11" s="2" t="inlineStr">
        <is>
          <t>2026-10-06</t>
        </is>
      </c>
      <c r="AF11" s="2" t="inlineStr">
        <is>
          <t>63</t>
        </is>
      </c>
      <c r="AG11" s="2" t="inlineStr">
        <is>
          <t>1</t>
        </is>
      </c>
      <c r="AH11" s="2" t="inlineStr">
        <is>
          <t>4</t>
        </is>
      </c>
      <c r="AI11" s="2" t="inlineStr">
        <is>
          <t>0</t>
        </is>
      </c>
      <c r="AJ11" s="2" t="inlineStr">
        <is>
          <t>48.0</t>
        </is>
      </c>
      <c r="AK11" s="2" t="inlineStr">
        <is>
          <t>95.29</t>
        </is>
      </c>
      <c r="AL11" s="2" t="inlineStr">
        <is>
          <t>133.68</t>
        </is>
      </c>
      <c r="AM11" s="2" t="inlineStr">
        <is>
          <t>4</t>
        </is>
      </c>
      <c r="AN11" s="2" t="inlineStr">
        <is>
          <t>0</t>
        </is>
      </c>
      <c r="AO11" s="2" t="inlineStr">
        <is>
          <t>5</t>
        </is>
      </c>
      <c r="AP11" s="2" t="inlineStr">
        <is>
          <t>9</t>
        </is>
      </c>
      <c r="AQ11" s="2" t="inlineStr">
        <is>
          <t>0.32</t>
        </is>
      </c>
      <c r="AR11" s="2" t="inlineStr">
        <is>
          <t>80</t>
        </is>
      </c>
      <c r="AS11" s="2" t="inlineStr">
        <is>
          <t>4</t>
        </is>
      </c>
      <c r="AT11" s="2" t="inlineStr">
        <is>
          <t>91</t>
        </is>
      </c>
      <c r="AU11" s="2" t="inlineStr">
        <is>
          <t>81</t>
        </is>
      </c>
      <c r="AV11" s="2" t="inlineStr">
        <is>
          <t>6</t>
        </is>
      </c>
      <c r="AW11" s="2" t="inlineStr">
        <is>
          <t>76</t>
        </is>
      </c>
      <c r="AX11" s="2" t="inlineStr">
        <is>
          <t>complete</t>
        </is>
      </c>
      <c r="AY11" s="2" t="inlineStr">
        <is>
          <t>3</t>
        </is>
      </c>
      <c r="AZ11" s="2" t="inlineStr"/>
      <c r="BA11" s="2" t="inlineStr">
        <is>
          <t>5</t>
        </is>
      </c>
      <c r="BB11" s="2" t="inlineStr">
        <is>
          <t>76</t>
        </is>
      </c>
      <c r="BC11" s="2" t="inlineStr">
        <is>
          <t>83</t>
        </is>
      </c>
      <c r="BD11" s="2" t="inlineStr">
        <is>
          <t>0.9157</t>
        </is>
      </c>
      <c r="BE11" s="2" t="inlineStr">
        <is>
          <t>26</t>
        </is>
      </c>
      <c r="BF11" s="2" t="inlineStr">
        <is>
          <t>19</t>
        </is>
      </c>
      <c r="BG11" s="2" t="inlineStr">
        <is>
          <t>all issues (too few non-maintainer)</t>
        </is>
      </c>
      <c r="BH11" s="2" t="inlineStr"/>
      <c r="BI11" s="2" t="inlineStr">
        <is>
          <t>5</t>
        </is>
      </c>
      <c r="BJ11" s="2" t="inlineStr">
        <is>
          <t>3</t>
        </is>
      </c>
      <c r="BK11" s="2" t="inlineStr">
        <is>
          <t>86</t>
        </is>
      </c>
      <c r="BL11" s="2" t="inlineStr">
        <is>
          <t>0.8837</t>
        </is>
      </c>
      <c r="BM11" s="2" t="inlineStr">
        <is>
          <t>76</t>
        </is>
      </c>
      <c r="BN11" s="2" t="n">
        <v>72.62</v>
      </c>
      <c r="BO11" s="2" t="n">
        <v>1</v>
      </c>
      <c r="BP11" s="2" t="n">
        <v>65.38</v>
      </c>
      <c r="BQ11" s="2" t="n">
        <v>1</v>
      </c>
      <c r="BR11" s="2" t="n">
        <v>100</v>
      </c>
      <c r="BS11" s="2" t="n">
        <v>1</v>
      </c>
      <c r="BT11" s="2" t="n">
        <v>0</v>
      </c>
      <c r="BU11" s="2" t="n">
        <v>1</v>
      </c>
      <c r="BV11" s="2" t="n">
        <v>76.15000000000001</v>
      </c>
      <c r="BW11" s="2" t="n">
        <v>1</v>
      </c>
      <c r="BX11" s="2" t="n">
        <v>63.31</v>
      </c>
      <c r="BY11" s="2" t="n">
        <v>1</v>
      </c>
      <c r="BZ11" s="2" t="n">
        <v>75</v>
      </c>
      <c r="CA11" s="2" t="n">
        <v>1</v>
      </c>
      <c r="CB11" s="2" t="n">
        <v>0</v>
      </c>
      <c r="CC11" s="2" t="n">
        <v>0</v>
      </c>
      <c r="CD11" s="2" t="n">
        <v>88.37</v>
      </c>
      <c r="CE11" s="2" t="n">
        <v>1</v>
      </c>
      <c r="CF11" s="2" t="n">
        <v>0</v>
      </c>
      <c r="CG11" s="2" t="n">
        <v>0</v>
      </c>
      <c r="CH11" s="2" t="n">
        <v>91.56999999999999</v>
      </c>
      <c r="CI11" s="2" t="n">
        <v>1</v>
      </c>
      <c r="CJ11" s="2" t="n">
        <v>47.71</v>
      </c>
      <c r="CK11" s="2" t="n">
        <v>1</v>
      </c>
      <c r="CL11" s="2" t="n">
        <v>64.91</v>
      </c>
      <c r="CM11" s="2" t="n">
        <v>1</v>
      </c>
      <c r="CN11" s="2" t="n">
        <v>57.30923076923077</v>
      </c>
      <c r="CO11" s="2" t="n">
        <v>11</v>
      </c>
      <c r="CP11" s="2" t="n">
        <v>0.8461538461538461</v>
      </c>
      <c r="CQ11" s="2" t="n">
        <v>67.72909090909091</v>
      </c>
      <c r="CR11" s="2" t="inlineStr"/>
      <c r="CS11" s="2" t="inlineStr"/>
      <c r="CT11" s="2" t="inlineStr"/>
      <c r="CU11" s="2" t="inlineStr"/>
    </row>
    <row r="12">
      <c r="A12" s="2" t="inlineStr">
        <is>
          <t>C4-011</t>
        </is>
      </c>
      <c r="B12" s="2" t="inlineStr">
        <is>
          <t>AtoM</t>
        </is>
      </c>
      <c r="C12" s="2" t="inlineStr">
        <is>
          <t>https://github.com/artefactual/atom</t>
        </is>
      </c>
      <c r="D12" s="2" t="inlineStr">
        <is>
          <t>Ready</t>
        </is>
      </c>
      <c r="E12" s="2" t="inlineStr">
        <is>
          <t>github</t>
        </is>
      </c>
      <c r="F12" s="2" t="inlineStr">
        <is>
          <t>artefactual/atom</t>
        </is>
      </c>
      <c r="G12" s="2" t="inlineStr"/>
      <c r="H12" s="2" t="inlineStr"/>
      <c r="I12" s="2" t="inlineStr">
        <is>
          <t>yes</t>
        </is>
      </c>
      <c r="J12" s="2" t="inlineStr">
        <is>
          <t>software</t>
        </is>
      </c>
      <c r="K12" s="2" t="inlineStr">
        <is>
          <t>GitHub (same repo)</t>
        </is>
      </c>
      <c r="L12" s="2" t="inlineStr"/>
      <c r="M12" s="2" t="inlineStr">
        <is>
          <t>artefactual/atom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artefactual/atom</t>
        </is>
      </c>
      <c r="T12" s="2" t="inlineStr">
        <is>
          <t>12</t>
        </is>
      </c>
      <c r="U12" s="2" t="inlineStr">
        <is>
          <t>32</t>
        </is>
      </c>
      <c r="V12" s="2" t="inlineStr">
        <is>
          <t>2</t>
        </is>
      </c>
      <c r="W12" s="2" t="inlineStr">
        <is>
          <t>4</t>
        </is>
      </c>
      <c r="X12" s="2" t="inlineStr">
        <is>
          <t>27</t>
        </is>
      </c>
      <c r="Y12" s="2" t="inlineStr">
        <is>
          <t>0.197</t>
        </is>
      </c>
      <c r="Z12" s="2" t="inlineStr">
        <is>
          <t>12</t>
        </is>
      </c>
      <c r="AA12" s="2" t="inlineStr">
        <is>
          <t>5.01</t>
        </is>
      </c>
      <c r="AB12" s="2" t="inlineStr">
        <is>
          <t>4.86</t>
        </is>
      </c>
      <c r="AC12" s="2" t="inlineStr">
        <is>
          <t>complete</t>
        </is>
      </c>
      <c r="AD12" s="2" t="inlineStr">
        <is>
          <t>110</t>
        </is>
      </c>
      <c r="AE12" s="2" t="inlineStr">
        <is>
          <t>2026-10-06</t>
        </is>
      </c>
      <c r="AF12" s="2" t="inlineStr">
        <is>
          <t>0</t>
        </is>
      </c>
      <c r="AG12" s="2" t="inlineStr">
        <is>
          <t>0</t>
        </is>
      </c>
      <c r="AH12" s="2" t="inlineStr">
        <is>
          <t>5</t>
        </is>
      </c>
      <c r="AI12" s="2" t="inlineStr">
        <is>
          <t>5</t>
        </is>
      </c>
      <c r="AJ12" s="2" t="inlineStr">
        <is>
          <t>30.0</t>
        </is>
      </c>
      <c r="AK12" s="2" t="inlineStr">
        <is>
          <t>94.39</t>
        </is>
      </c>
      <c r="AL12" s="2" t="inlineStr">
        <is>
          <t>162.59</t>
        </is>
      </c>
      <c r="AM12" s="2" t="inlineStr">
        <is>
          <t>73</t>
        </is>
      </c>
      <c r="AN12" s="2" t="inlineStr">
        <is>
          <t>1</t>
        </is>
      </c>
      <c r="AO12" s="2" t="inlineStr">
        <is>
          <t>98</t>
        </is>
      </c>
      <c r="AP12" s="2" t="inlineStr">
        <is>
          <t>89</t>
        </is>
      </c>
      <c r="AQ12" s="2" t="inlineStr">
        <is>
          <t>147.88</t>
        </is>
      </c>
      <c r="AR12" s="2" t="inlineStr">
        <is>
          <t>110</t>
        </is>
      </c>
      <c r="AS12" s="2" t="inlineStr">
        <is>
          <t>6</t>
        </is>
      </c>
      <c r="AT12" s="2" t="inlineStr">
        <is>
          <t>123</t>
        </is>
      </c>
      <c r="AU12" s="2" t="inlineStr">
        <is>
          <t>101</t>
        </is>
      </c>
      <c r="AV12" s="2" t="inlineStr">
        <is>
          <t>16</t>
        </is>
      </c>
      <c r="AW12" s="2" t="inlineStr">
        <is>
          <t>39</t>
        </is>
      </c>
      <c r="AX12" s="2" t="inlineStr">
        <is>
          <t>complete</t>
        </is>
      </c>
      <c r="AY12" s="2" t="inlineStr">
        <is>
          <t>45</t>
        </is>
      </c>
      <c r="AZ12" s="2" t="inlineStr">
        <is>
          <t>0.5488</t>
        </is>
      </c>
      <c r="BA12" s="2" t="inlineStr">
        <is>
          <t>82</t>
        </is>
      </c>
      <c r="BB12" s="2" t="inlineStr">
        <is>
          <t>65</t>
        </is>
      </c>
      <c r="BC12" s="2" t="inlineStr">
        <is>
          <t>117</t>
        </is>
      </c>
      <c r="BD12" s="2" t="inlineStr">
        <is>
          <t>0.5556</t>
        </is>
      </c>
      <c r="BE12" s="2" t="inlineStr">
        <is>
          <t>30</t>
        </is>
      </c>
      <c r="BF12" s="2" t="inlineStr">
        <is>
          <t>17</t>
        </is>
      </c>
      <c r="BG12" s="2" t="inlineStr">
        <is>
          <t>non-maintainer issues</t>
        </is>
      </c>
      <c r="BH12" s="2" t="inlineStr">
        <is>
          <t>0.5053</t>
        </is>
      </c>
      <c r="BI12" s="2" t="inlineStr">
        <is>
          <t>95</t>
        </is>
      </c>
      <c r="BJ12" s="2" t="inlineStr">
        <is>
          <t>48</t>
        </is>
      </c>
      <c r="BK12" s="2" t="inlineStr">
        <is>
          <t>122</t>
        </is>
      </c>
      <c r="BL12" s="2" t="inlineStr">
        <is>
          <t>0.4754</t>
        </is>
      </c>
      <c r="BM12" s="2" t="inlineStr">
        <is>
          <t>58</t>
        </is>
      </c>
      <c r="BN12" s="2" t="n">
        <v>68.17</v>
      </c>
      <c r="BO12" s="2" t="n">
        <v>1</v>
      </c>
      <c r="BP12" s="2" t="n">
        <v>61.54</v>
      </c>
      <c r="BQ12" s="2" t="n">
        <v>1</v>
      </c>
      <c r="BR12" s="2" t="n">
        <v>100</v>
      </c>
      <c r="BS12" s="2" t="n">
        <v>1</v>
      </c>
      <c r="BT12" s="2" t="n">
        <v>100</v>
      </c>
      <c r="BU12" s="2" t="n">
        <v>1</v>
      </c>
      <c r="BV12" s="2" t="n">
        <v>71.7</v>
      </c>
      <c r="BW12" s="2" t="n">
        <v>1</v>
      </c>
      <c r="BX12" s="2" t="n">
        <v>76.03</v>
      </c>
      <c r="BY12" s="2" t="n">
        <v>1</v>
      </c>
      <c r="BZ12" s="2" t="n">
        <v>100</v>
      </c>
      <c r="CA12" s="2" t="n">
        <v>1</v>
      </c>
      <c r="CB12" s="2" t="n">
        <v>50.53</v>
      </c>
      <c r="CC12" s="2" t="n">
        <v>1</v>
      </c>
      <c r="CD12" s="2" t="n">
        <v>47.54</v>
      </c>
      <c r="CE12" s="2" t="n">
        <v>1</v>
      </c>
      <c r="CF12" s="2" t="n">
        <v>54.88</v>
      </c>
      <c r="CG12" s="2" t="n">
        <v>1</v>
      </c>
      <c r="CH12" s="2" t="n">
        <v>55.56</v>
      </c>
      <c r="CI12" s="2" t="n">
        <v>1</v>
      </c>
      <c r="CJ12" s="2" t="n">
        <v>49.7</v>
      </c>
      <c r="CK12" s="2" t="n">
        <v>1</v>
      </c>
      <c r="CL12" s="2" t="n">
        <v>62.63</v>
      </c>
      <c r="CM12" s="2" t="n">
        <v>1</v>
      </c>
      <c r="CN12" s="2" t="n">
        <v>69.09846153846154</v>
      </c>
      <c r="CO12" s="2" t="n">
        <v>13</v>
      </c>
      <c r="CP12" s="2" t="n">
        <v>1</v>
      </c>
      <c r="CQ12" s="2" t="n">
        <v>69.09846153846154</v>
      </c>
      <c r="CR12" s="2" t="inlineStr"/>
      <c r="CS12" s="2" t="inlineStr"/>
      <c r="CT12" s="2" t="inlineStr"/>
      <c r="CU12" s="2" t="inlineStr"/>
    </row>
    <row r="13">
      <c r="A13" s="2" t="inlineStr">
        <is>
          <t>C4-012</t>
        </is>
      </c>
      <c r="B13" s="2" t="inlineStr">
        <is>
          <t>Avalon Media System</t>
        </is>
      </c>
      <c r="C13" s="2" t="inlineStr">
        <is>
          <t>https://github.com/avalonmediasystem/avalon</t>
        </is>
      </c>
      <c r="D13" s="2" t="inlineStr">
        <is>
          <t>Ready</t>
        </is>
      </c>
      <c r="E13" s="2" t="inlineStr">
        <is>
          <t>github</t>
        </is>
      </c>
      <c r="F13" s="2" t="inlineStr">
        <is>
          <t>avalonmediasystem/avalon</t>
        </is>
      </c>
      <c r="G13" s="2" t="inlineStr"/>
      <c r="H13" s="2" t="inlineStr"/>
      <c r="I13" s="2" t="inlineStr">
        <is>
          <t>yes</t>
        </is>
      </c>
      <c r="J13" s="2" t="inlineStr">
        <is>
          <t>software</t>
        </is>
      </c>
      <c r="K13" s="2" t="inlineStr">
        <is>
          <t>GitHub (same repo)</t>
        </is>
      </c>
      <c r="L13" s="2" t="inlineStr"/>
      <c r="M13" s="2" t="inlineStr">
        <is>
          <t>avalonmediasystem/avalon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avalonmediasystem/avalon</t>
        </is>
      </c>
      <c r="T13" s="2" t="inlineStr">
        <is>
          <t>12</t>
        </is>
      </c>
      <c r="U13" s="2" t="inlineStr">
        <is>
          <t>40</t>
        </is>
      </c>
      <c r="V13" s="2" t="inlineStr">
        <is>
          <t>2</t>
        </is>
      </c>
      <c r="W13" s="2" t="inlineStr">
        <is>
          <t>3</t>
        </is>
      </c>
      <c r="X13" s="2" t="inlineStr">
        <is>
          <t>0</t>
        </is>
      </c>
      <c r="Y13" s="2" t="inlineStr">
        <is>
          <t>0.0</t>
        </is>
      </c>
      <c r="Z13" s="2" t="inlineStr">
        <is>
          <t>8</t>
        </is>
      </c>
      <c r="AA13" s="2" t="inlineStr">
        <is>
          <t>27.28</t>
        </is>
      </c>
      <c r="AB13" s="2" t="inlineStr">
        <is>
          <t>3.45</t>
        </is>
      </c>
      <c r="AC13" s="2" t="inlineStr">
        <is>
          <t>complete</t>
        </is>
      </c>
      <c r="AD13" s="2" t="inlineStr">
        <is>
          <t>293</t>
        </is>
      </c>
      <c r="AE13" s="2" t="inlineStr">
        <is>
          <t>2026-09-09</t>
        </is>
      </c>
      <c r="AF13" s="2" t="inlineStr">
        <is>
          <t>51</t>
        </is>
      </c>
      <c r="AG13" s="2" t="inlineStr">
        <is>
          <t>1</t>
        </is>
      </c>
      <c r="AH13" s="2" t="inlineStr">
        <is>
          <t>4</t>
        </is>
      </c>
      <c r="AI13" s="2" t="inlineStr">
        <is>
          <t>3</t>
        </is>
      </c>
      <c r="AJ13" s="2" t="inlineStr">
        <is>
          <t>40.61</t>
        </is>
      </c>
      <c r="AK13" s="2" t="inlineStr">
        <is>
          <t>95.35</t>
        </is>
      </c>
      <c r="AL13" s="2" t="inlineStr">
        <is>
          <t>164.24</t>
        </is>
      </c>
      <c r="AM13" s="2" t="inlineStr">
        <is>
          <t>69</t>
        </is>
      </c>
      <c r="AN13" s="2" t="inlineStr">
        <is>
          <t>27</t>
        </is>
      </c>
      <c r="AO13" s="2" t="inlineStr">
        <is>
          <t>144</t>
        </is>
      </c>
      <c r="AP13" s="2" t="inlineStr">
        <is>
          <t>163</t>
        </is>
      </c>
      <c r="AQ13" s="2" t="inlineStr">
        <is>
          <t>19.39</t>
        </is>
      </c>
      <c r="AR13" s="2" t="inlineStr">
        <is>
          <t>214</t>
        </is>
      </c>
      <c r="AS13" s="2" t="inlineStr">
        <is>
          <t>10</t>
        </is>
      </c>
      <c r="AT13" s="2" t="inlineStr">
        <is>
          <t>235</t>
        </is>
      </c>
      <c r="AU13" s="2" t="inlineStr">
        <is>
          <t>205</t>
        </is>
      </c>
      <c r="AV13" s="2" t="inlineStr">
        <is>
          <t>20</t>
        </is>
      </c>
      <c r="AW13" s="2" t="inlineStr">
        <is>
          <t>192</t>
        </is>
      </c>
      <c r="AX13" s="2" t="inlineStr">
        <is>
          <t>complete</t>
        </is>
      </c>
      <c r="AY13" s="2" t="inlineStr">
        <is>
          <t>61</t>
        </is>
      </c>
      <c r="AZ13" s="2" t="inlineStr">
        <is>
          <t>0.5495</t>
        </is>
      </c>
      <c r="BA13" s="2" t="inlineStr">
        <is>
          <t>111</t>
        </is>
      </c>
      <c r="BB13" s="2" t="inlineStr">
        <is>
          <t>194</t>
        </is>
      </c>
      <c r="BC13" s="2" t="inlineStr">
        <is>
          <t>211</t>
        </is>
      </c>
      <c r="BD13" s="2" t="inlineStr">
        <is>
          <t>0.9194</t>
        </is>
      </c>
      <c r="BE13" s="2" t="inlineStr">
        <is>
          <t>4</t>
        </is>
      </c>
      <c r="BF13" s="2" t="inlineStr">
        <is>
          <t>0</t>
        </is>
      </c>
      <c r="BG13" s="2" t="inlineStr">
        <is>
          <t>non-maintainer issues</t>
        </is>
      </c>
      <c r="BH13" s="2" t="inlineStr">
        <is>
          <t>0.4274</t>
        </is>
      </c>
      <c r="BI13" s="2" t="inlineStr">
        <is>
          <t>117</t>
        </is>
      </c>
      <c r="BJ13" s="2" t="inlineStr">
        <is>
          <t>50</t>
        </is>
      </c>
      <c r="BK13" s="2" t="inlineStr">
        <is>
          <t>222</t>
        </is>
      </c>
      <c r="BL13" s="2" t="inlineStr">
        <is>
          <t>0.8288</t>
        </is>
      </c>
      <c r="BM13" s="2" t="inlineStr">
        <is>
          <t>184</t>
        </is>
      </c>
      <c r="BN13" s="2" t="n">
        <v>82.27</v>
      </c>
      <c r="BO13" s="2" t="n">
        <v>1</v>
      </c>
      <c r="BP13" s="2" t="n">
        <v>76.92</v>
      </c>
      <c r="BQ13" s="2" t="n">
        <v>1</v>
      </c>
      <c r="BR13" s="2" t="n">
        <v>100</v>
      </c>
      <c r="BS13" s="2" t="n">
        <v>1</v>
      </c>
      <c r="BT13" s="2" t="n">
        <v>75</v>
      </c>
      <c r="BU13" s="2" t="n">
        <v>1</v>
      </c>
      <c r="BV13" s="2" t="n">
        <v>60</v>
      </c>
      <c r="BW13" s="2" t="n">
        <v>1</v>
      </c>
      <c r="BX13" s="2" t="n">
        <v>59.55</v>
      </c>
      <c r="BY13" s="2" t="n">
        <v>1</v>
      </c>
      <c r="BZ13" s="2" t="n">
        <v>75</v>
      </c>
      <c r="CA13" s="2" t="n">
        <v>1</v>
      </c>
      <c r="CB13" s="2" t="n">
        <v>42.74</v>
      </c>
      <c r="CC13" s="2" t="n">
        <v>1</v>
      </c>
      <c r="CD13" s="2" t="n">
        <v>82.88</v>
      </c>
      <c r="CE13" s="2" t="n">
        <v>1</v>
      </c>
      <c r="CF13" s="2" t="n">
        <v>54.95</v>
      </c>
      <c r="CG13" s="2" t="n">
        <v>1</v>
      </c>
      <c r="CH13" s="2" t="n">
        <v>91.94</v>
      </c>
      <c r="CI13" s="2" t="n">
        <v>1</v>
      </c>
      <c r="CJ13" s="2" t="n">
        <v>23.3</v>
      </c>
      <c r="CK13" s="2" t="n">
        <v>1</v>
      </c>
      <c r="CL13" s="2" t="n">
        <v>0</v>
      </c>
      <c r="CM13" s="2" t="n">
        <v>1</v>
      </c>
      <c r="CN13" s="2" t="n">
        <v>63.42692307692307</v>
      </c>
      <c r="CO13" s="2" t="n">
        <v>13</v>
      </c>
      <c r="CP13" s="2" t="n">
        <v>1</v>
      </c>
      <c r="CQ13" s="2" t="n">
        <v>63.42692307692307</v>
      </c>
      <c r="CR13" s="2" t="inlineStr"/>
      <c r="CS13" s="2" t="inlineStr"/>
      <c r="CT13" s="2" t="inlineStr"/>
      <c r="CU13" s="2" t="inlineStr"/>
    </row>
    <row r="14">
      <c r="A14" s="2" t="inlineStr">
        <is>
          <t>C4-013</t>
        </is>
      </c>
      <c r="B14" s="2" t="inlineStr">
        <is>
          <t>Biodiversity Heritage Library</t>
        </is>
      </c>
      <c r="C14" s="2" t="inlineStr">
        <is>
          <t>https://github.com/gbhl/bhl-us</t>
        </is>
      </c>
      <c r="D14" s="2" t="inlineStr">
        <is>
          <t>Ready</t>
        </is>
      </c>
      <c r="E14" s="2" t="inlineStr">
        <is>
          <t>github</t>
        </is>
      </c>
      <c r="F14" s="2" t="inlineStr">
        <is>
          <t>gbhl/bhl-us</t>
        </is>
      </c>
      <c r="G14" s="2" t="inlineStr"/>
      <c r="H14" s="2" t="inlineStr"/>
      <c r="I14" s="2" t="inlineStr">
        <is>
          <t>yes</t>
        </is>
      </c>
      <c r="J14" s="2" t="inlineStr">
        <is>
          <t>software</t>
        </is>
      </c>
      <c r="K14" s="2" t="inlineStr">
        <is>
          <t>Internal tracker (Gemini) - not public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>
        <is>
          <t>gbhl/bhl-us</t>
        </is>
      </c>
      <c r="T14" s="2" t="inlineStr">
        <is>
          <t>12</t>
        </is>
      </c>
      <c r="U14" s="2" t="inlineStr">
        <is>
          <t>46</t>
        </is>
      </c>
      <c r="V14" s="2" t="inlineStr">
        <is>
          <t>1</t>
        </is>
      </c>
      <c r="W14" s="2" t="inlineStr">
        <is>
          <t>1</t>
        </is>
      </c>
      <c r="X14" s="2" t="inlineStr">
        <is>
          <t>0</t>
        </is>
      </c>
      <c r="Y14" s="2" t="inlineStr">
        <is>
          <t>0.0</t>
        </is>
      </c>
      <c r="Z14" s="2" t="inlineStr">
        <is>
          <t>2</t>
        </is>
      </c>
      <c r="AA14" s="2" t="inlineStr">
        <is>
          <t>6.09</t>
        </is>
      </c>
      <c r="AB14" s="2" t="inlineStr">
        <is>
          <t>1.42</t>
        </is>
      </c>
      <c r="AC14" s="2" t="inlineStr">
        <is>
          <t>complete</t>
        </is>
      </c>
      <c r="AD14" s="2" t="inlineStr">
        <is>
          <t>122</t>
        </is>
      </c>
      <c r="AE14" s="2" t="inlineStr">
        <is>
          <t>2026-10-08</t>
        </is>
      </c>
      <c r="AF14" s="2" t="inlineStr">
        <is>
          <t>6</t>
        </is>
      </c>
      <c r="AG14" s="2" t="inlineStr">
        <is>
          <t>0</t>
        </is>
      </c>
      <c r="AH14" s="2" t="inlineStr">
        <is>
          <t>1</t>
        </is>
      </c>
      <c r="AI14" s="2" t="inlineStr">
        <is>
          <t>0</t>
        </is>
      </c>
      <c r="AJ14" s="2" t="inlineStr">
        <is>
          <t>81.97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>
        <is>
          <t>0</t>
        </is>
      </c>
      <c r="AS14" s="2" t="inlineStr">
        <is>
          <t>0</t>
        </is>
      </c>
      <c r="AT14" s="2" t="inlineStr">
        <is>
          <t>0</t>
        </is>
      </c>
      <c r="AU14" s="2" t="inlineStr">
        <is>
          <t>0</t>
        </is>
      </c>
      <c r="AV14" s="2" t="inlineStr">
        <is>
          <t>0</t>
        </is>
      </c>
      <c r="AW14" s="2" t="inlineStr">
        <is>
          <t>0</t>
        </is>
      </c>
      <c r="AX14" s="2" t="inlineStr">
        <is>
          <t>complete</t>
        </is>
      </c>
      <c r="AY14" s="2" t="inlineStr"/>
      <c r="AZ14" s="2" t="inlineStr"/>
      <c r="BA14" s="2" t="inlineStr"/>
      <c r="BB14" s="2" t="inlineStr">
        <is>
          <t>0</t>
        </is>
      </c>
      <c r="BC14" s="2" t="inlineStr">
        <is>
          <t>0</t>
        </is>
      </c>
      <c r="BD14" s="2" t="inlineStr"/>
      <c r="BE14" s="2" t="inlineStr">
        <is>
          <t>4</t>
        </is>
      </c>
      <c r="BF14" s="2" t="inlineStr">
        <is>
          <t>0</t>
        </is>
      </c>
      <c r="BG14" s="2" t="inlineStr"/>
      <c r="BH14" s="2" t="inlineStr"/>
      <c r="BI14" s="2" t="inlineStr"/>
      <c r="BJ14" s="2" t="inlineStr"/>
      <c r="BK14" s="2" t="inlineStr">
        <is>
          <t>0</t>
        </is>
      </c>
      <c r="BL14" s="2" t="inlineStr"/>
      <c r="BM14" s="2" t="inlineStr">
        <is>
          <t>0</t>
        </is>
      </c>
      <c r="BN14" s="2" t="n">
        <v>69.65000000000001</v>
      </c>
      <c r="BO14" s="2" t="n">
        <v>1</v>
      </c>
      <c r="BP14" s="2" t="n">
        <v>88.45999999999999</v>
      </c>
      <c r="BQ14" s="2" t="n">
        <v>1</v>
      </c>
      <c r="BR14" s="2" t="n">
        <v>100</v>
      </c>
      <c r="BS14" s="2" t="n">
        <v>1</v>
      </c>
      <c r="BT14" s="2" t="n">
        <v>0</v>
      </c>
      <c r="BU14" s="2" t="n">
        <v>1</v>
      </c>
      <c r="BV14" s="2" t="n">
        <v>20</v>
      </c>
      <c r="BW14" s="2" t="n">
        <v>1</v>
      </c>
      <c r="BX14" s="2" t="n">
        <v>16.86</v>
      </c>
      <c r="BY14" s="2" t="n">
        <v>1</v>
      </c>
      <c r="BZ14" s="2" t="n">
        <v>25</v>
      </c>
      <c r="CA14" s="2" t="n">
        <v>1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23.3</v>
      </c>
      <c r="CK14" s="2" t="n">
        <v>1</v>
      </c>
      <c r="CL14" s="2" t="n">
        <v>0</v>
      </c>
      <c r="CM14" s="2" t="n">
        <v>1</v>
      </c>
      <c r="CN14" s="2" t="n">
        <v>26.40538461538462</v>
      </c>
      <c r="CO14" s="2" t="n">
        <v>9</v>
      </c>
      <c r="CP14" s="2" t="n">
        <v>0.6923076923076923</v>
      </c>
      <c r="CQ14" s="2" t="n">
        <v>38.14111111111111</v>
      </c>
      <c r="CR14" s="2" t="inlineStr">
        <is>
          <t>Internal tracker (Gemini) - not public</t>
        </is>
      </c>
      <c r="CS14" s="2" t="inlineStr"/>
      <c r="CT14" s="2" t="inlineStr"/>
      <c r="CU14" s="2" t="inlineStr">
        <is>
          <t>fill from external tracker or leave blank</t>
        </is>
      </c>
    </row>
    <row r="15">
      <c r="A15" s="2" t="inlineStr">
        <is>
          <t>C4-014</t>
        </is>
      </c>
      <c r="B15" s="2" t="inlineStr">
        <is>
          <t>bioRxiv</t>
        </is>
      </c>
      <c r="C15" s="2" t="inlineStr">
        <is>
          <t>https://github.com/api-evangelist/biorxiv</t>
        </is>
      </c>
      <c r="D15" s="2" t="inlineStr">
        <is>
          <t>Not assessable</t>
        </is>
      </c>
      <c r="E15" s="2" t="inlineStr"/>
      <c r="F15" s="2" t="inlineStr"/>
      <c r="G15" s="2" t="inlineStr"/>
      <c r="H15" s="2" t="inlineStr"/>
      <c r="I15" s="2" t="inlineStr">
        <is>
          <t>no</t>
        </is>
      </c>
      <c r="J15" s="2" t="inlineStr">
        <is>
          <t>not-assessable</t>
        </is>
      </c>
      <c r="K15" s="2" t="inlineStr"/>
      <c r="L15" s="2" t="inlineStr">
        <is>
          <t>Listed repo is a third-party API description; bioRxiv platform code is not public</t>
        </is>
      </c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/>
      <c r="BH15" s="2" t="inlineStr"/>
      <c r="BI15" s="2" t="inlineStr"/>
      <c r="BJ15" s="2" t="inlineStr"/>
      <c r="BK15" s="2" t="inlineStr"/>
      <c r="BL15" s="2" t="inlineStr"/>
      <c r="BM15" s="2" t="inlineStr"/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inlineStr"/>
      <c r="CS15" s="2" t="inlineStr"/>
      <c r="CT15" s="2" t="inlineStr"/>
      <c r="CU15" s="2" t="inlineStr"/>
    </row>
    <row r="16">
      <c r="A16" s="2" t="inlineStr">
        <is>
          <t>C4-015</t>
        </is>
      </c>
      <c r="B16" s="2" t="inlineStr">
        <is>
          <t>BitCurator Environment</t>
        </is>
      </c>
      <c r="C16" s="2" t="inlineStr">
        <is>
          <t>https://github.com/bitcurator/bitcurator-salt</t>
        </is>
      </c>
      <c r="D16" s="2" t="inlineStr">
        <is>
          <t>Ready</t>
        </is>
      </c>
      <c r="E16" s="2" t="inlineStr">
        <is>
          <t>github</t>
        </is>
      </c>
      <c r="F16" s="2" t="inlineStr">
        <is>
          <t>bitcurator/bitcurator-salt</t>
        </is>
      </c>
      <c r="G16" s="2" t="inlineStr"/>
      <c r="H16" s="2" t="inlineStr"/>
      <c r="I16" s="2" t="inlineStr">
        <is>
          <t>yes</t>
        </is>
      </c>
      <c r="J16" s="2" t="inlineStr">
        <is>
          <t>software</t>
        </is>
      </c>
      <c r="K16" s="2" t="inlineStr">
        <is>
          <t>NONE on this repo; BitCurator uses bitcurator-distro / Google group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>
        <is>
          <t>bitcurator/bitcurator-salt</t>
        </is>
      </c>
      <c r="T16" s="2" t="inlineStr">
        <is>
          <t>1</t>
        </is>
      </c>
      <c r="U16" s="2" t="inlineStr">
        <is>
          <t>1</t>
        </is>
      </c>
      <c r="V16" s="2" t="inlineStr">
        <is>
          <t>1</t>
        </is>
      </c>
      <c r="W16" s="2" t="inlineStr">
        <is>
          <t>1</t>
        </is>
      </c>
      <c r="X16" s="2" t="inlineStr">
        <is>
          <t>0</t>
        </is>
      </c>
      <c r="Y16" s="2" t="inlineStr">
        <is>
          <t>0.0</t>
        </is>
      </c>
      <c r="Z16" s="2" t="inlineStr">
        <is>
          <t>1</t>
        </is>
      </c>
      <c r="AA16" s="2" t="inlineStr">
        <is>
          <t>302.87</t>
        </is>
      </c>
      <c r="AB16" s="2" t="inlineStr">
        <is>
          <t>1.0</t>
        </is>
      </c>
      <c r="AC16" s="2" t="inlineStr">
        <is>
          <t>complete</t>
        </is>
      </c>
      <c r="AD16" s="2" t="inlineStr">
        <is>
          <t>1</t>
        </is>
      </c>
      <c r="AE16" s="2" t="inlineStr">
        <is>
          <t>2025-12-02</t>
        </is>
      </c>
      <c r="AF16" s="2" t="inlineStr">
        <is>
          <t>1</t>
        </is>
      </c>
      <c r="AG16" s="2" t="inlineStr">
        <is>
          <t>0</t>
        </is>
      </c>
      <c r="AH16" s="2" t="inlineStr">
        <is>
          <t>0</t>
        </is>
      </c>
      <c r="AI16" s="2" t="inlineStr">
        <is>
          <t>0</t>
        </is>
      </c>
      <c r="AJ16" s="2" t="inlineStr">
        <is>
          <t>100.0</t>
        </is>
      </c>
      <c r="AK16" s="2" t="inlineStr">
        <is>
          <t>100.0</t>
        </is>
      </c>
      <c r="AL16" s="2" t="inlineStr"/>
      <c r="AM16" s="2" t="inlineStr"/>
      <c r="AN16" s="2" t="inlineStr"/>
      <c r="AO16" s="2" t="inlineStr"/>
      <c r="AP16" s="2" t="inlineStr"/>
      <c r="AQ16" s="2" t="inlineStr"/>
      <c r="AR16" s="2" t="inlineStr">
        <is>
          <t>0</t>
        </is>
      </c>
      <c r="AS16" s="2" t="inlineStr">
        <is>
          <t>0</t>
        </is>
      </c>
      <c r="AT16" s="2" t="inlineStr">
        <is>
          <t>1</t>
        </is>
      </c>
      <c r="AU16" s="2" t="inlineStr">
        <is>
          <t>1</t>
        </is>
      </c>
      <c r="AV16" s="2" t="inlineStr">
        <is>
          <t>0</t>
        </is>
      </c>
      <c r="AW16" s="2" t="inlineStr">
        <is>
          <t>1</t>
        </is>
      </c>
      <c r="AX16" s="2" t="inlineStr">
        <is>
          <t>complete</t>
        </is>
      </c>
      <c r="AY16" s="2" t="inlineStr"/>
      <c r="AZ16" s="2" t="inlineStr"/>
      <c r="BA16" s="2" t="inlineStr"/>
      <c r="BB16" s="2" t="inlineStr">
        <is>
          <t>1</t>
        </is>
      </c>
      <c r="BC16" s="2" t="inlineStr">
        <is>
          <t>1</t>
        </is>
      </c>
      <c r="BD16" s="2" t="inlineStr"/>
      <c r="BE16" s="2" t="inlineStr">
        <is>
          <t>0</t>
        </is>
      </c>
      <c r="BF16" s="2" t="inlineStr">
        <is>
          <t>0</t>
        </is>
      </c>
      <c r="BG16" s="2" t="inlineStr"/>
      <c r="BH16" s="2" t="inlineStr"/>
      <c r="BI16" s="2" t="inlineStr"/>
      <c r="BJ16" s="2" t="inlineStr"/>
      <c r="BK16" s="2" t="inlineStr">
        <is>
          <t>1</t>
        </is>
      </c>
      <c r="BL16" s="2" t="inlineStr"/>
      <c r="BM16" s="2" t="inlineStr">
        <is>
          <t>0</t>
        </is>
      </c>
      <c r="BN16" s="2" t="n">
        <v>10.03</v>
      </c>
      <c r="BO16" s="2" t="n">
        <v>1</v>
      </c>
      <c r="BP16" s="2" t="n">
        <v>1.92</v>
      </c>
      <c r="BQ16" s="2" t="n">
        <v>1</v>
      </c>
      <c r="BR16" s="2" t="n">
        <v>18.55</v>
      </c>
      <c r="BS16" s="2" t="n">
        <v>1</v>
      </c>
      <c r="BT16" s="2" t="n">
        <v>0</v>
      </c>
      <c r="BU16" s="2" t="n">
        <v>1</v>
      </c>
      <c r="BV16" s="2" t="n">
        <v>0</v>
      </c>
      <c r="BW16" s="2" t="n">
        <v>1</v>
      </c>
      <c r="BX16" s="2" t="n">
        <v>0</v>
      </c>
      <c r="BY16" s="2" t="n">
        <v>1</v>
      </c>
      <c r="BZ16" s="2" t="n">
        <v>0</v>
      </c>
      <c r="CA16" s="2" t="n">
        <v>1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1</v>
      </c>
      <c r="CL16" s="2" t="n">
        <v>0</v>
      </c>
      <c r="CM16" s="2" t="n">
        <v>1</v>
      </c>
      <c r="CN16" s="2" t="n">
        <v>2.346153846153846</v>
      </c>
      <c r="CO16" s="2" t="n">
        <v>9</v>
      </c>
      <c r="CP16" s="2" t="n">
        <v>0.6923076923076923</v>
      </c>
      <c r="CQ16" s="2" t="n">
        <v>3.388888888888889</v>
      </c>
      <c r="CR16" s="2" t="inlineStr">
        <is>
          <t>NONE on this repo; BitCurator uses bitcurator-distro / Google group</t>
        </is>
      </c>
      <c r="CS16" s="2" t="inlineStr"/>
      <c r="CT16" s="2" t="inlineStr"/>
      <c r="CU16" s="2" t="inlineStr">
        <is>
          <t>fill from external tracker or leave blank</t>
        </is>
      </c>
    </row>
    <row r="17">
      <c r="A17" s="2" t="inlineStr">
        <is>
          <t>C4-016</t>
        </is>
      </c>
      <c r="B17" s="2" t="inlineStr">
        <is>
          <t>Blacklight</t>
        </is>
      </c>
      <c r="C17" s="2" t="inlineStr">
        <is>
          <t>https://github.com/projectblacklight</t>
        </is>
      </c>
      <c r="D17" s="2" t="inlineStr">
        <is>
          <t>Org URL -&gt; primary repo</t>
        </is>
      </c>
      <c r="E17" s="2" t="inlineStr">
        <is>
          <t>github</t>
        </is>
      </c>
      <c r="F17" s="2" t="inlineStr">
        <is>
          <t>projectblacklight/blacklight</t>
        </is>
      </c>
      <c r="G17" s="2" t="inlineStr"/>
      <c r="H17" s="2" t="inlineStr"/>
      <c r="I17" s="2" t="inlineStr">
        <is>
          <t>yes</t>
        </is>
      </c>
      <c r="J17" s="2" t="inlineStr">
        <is>
          <t>software</t>
        </is>
      </c>
      <c r="K17" s="2" t="inlineStr">
        <is>
          <t>GitHub (same repo)</t>
        </is>
      </c>
      <c r="L17" s="2" t="inlineStr">
        <is>
          <t>Core Blacklight gem</t>
        </is>
      </c>
      <c r="M17" s="2" t="inlineStr">
        <is>
          <t>projectblacklight/blacklight</t>
        </is>
      </c>
      <c r="N17" s="2" t="inlineStr">
        <is>
          <t>yes</t>
        </is>
      </c>
      <c r="O17" s="2" t="inlineStr">
        <is>
          <t>projectblacklight/blacklight</t>
        </is>
      </c>
      <c r="P17" s="2" t="inlineStr">
        <is>
          <t>GitHub</t>
        </is>
      </c>
      <c r="Q17" s="2" t="inlineStr">
        <is>
          <t>already_current</t>
        </is>
      </c>
      <c r="R17" s="2" t="inlineStr">
        <is>
          <t>Current scoring target already matches resolved list.</t>
        </is>
      </c>
      <c r="S17" s="2" t="inlineStr">
        <is>
          <t>projectblacklight/blacklight</t>
        </is>
      </c>
      <c r="T17" s="2" t="inlineStr">
        <is>
          <t>11</t>
        </is>
      </c>
      <c r="U17" s="2" t="inlineStr">
        <is>
          <t>30</t>
        </is>
      </c>
      <c r="V17" s="2" t="inlineStr">
        <is>
          <t>2</t>
        </is>
      </c>
      <c r="W17" s="2" t="inlineStr">
        <is>
          <t>5</t>
        </is>
      </c>
      <c r="X17" s="2" t="inlineStr">
        <is>
          <t>0</t>
        </is>
      </c>
      <c r="Y17" s="2" t="inlineStr">
        <is>
          <t>0.0</t>
        </is>
      </c>
      <c r="Z17" s="2" t="inlineStr">
        <is>
          <t>12</t>
        </is>
      </c>
      <c r="AA17" s="2" t="inlineStr">
        <is>
          <t>2.47</t>
        </is>
      </c>
      <c r="AB17" s="2" t="inlineStr">
        <is>
          <t>3.79</t>
        </is>
      </c>
      <c r="AC17" s="2" t="inlineStr">
        <is>
          <t>complete</t>
        </is>
      </c>
      <c r="AD17" s="2" t="inlineStr">
        <is>
          <t>116</t>
        </is>
      </c>
      <c r="AE17" s="2" t="inlineStr">
        <is>
          <t>2026-10-12</t>
        </is>
      </c>
      <c r="AF17" s="2" t="inlineStr">
        <is>
          <t>88</t>
        </is>
      </c>
      <c r="AG17" s="2" t="inlineStr">
        <is>
          <t>2</t>
        </is>
      </c>
      <c r="AH17" s="2" t="inlineStr">
        <is>
          <t>3</t>
        </is>
      </c>
      <c r="AI17" s="2" t="inlineStr">
        <is>
          <t>9</t>
        </is>
      </c>
      <c r="AJ17" s="2" t="inlineStr">
        <is>
          <t>45.69</t>
        </is>
      </c>
      <c r="AK17" s="2" t="inlineStr">
        <is>
          <t>94.4</t>
        </is>
      </c>
      <c r="AL17" s="2" t="inlineStr">
        <is>
          <t>0.92</t>
        </is>
      </c>
      <c r="AM17" s="2" t="inlineStr">
        <is>
          <t>7</t>
        </is>
      </c>
      <c r="AN17" s="2" t="inlineStr">
        <is>
          <t>8</t>
        </is>
      </c>
      <c r="AO17" s="2" t="inlineStr">
        <is>
          <t>21</t>
        </is>
      </c>
      <c r="AP17" s="2" t="inlineStr">
        <is>
          <t>129</t>
        </is>
      </c>
      <c r="AQ17" s="2" t="inlineStr">
        <is>
          <t>0.7</t>
        </is>
      </c>
      <c r="AR17" s="2" t="inlineStr">
        <is>
          <t>133</t>
        </is>
      </c>
      <c r="AS17" s="2" t="inlineStr">
        <is>
          <t>7</t>
        </is>
      </c>
      <c r="AT17" s="2" t="inlineStr">
        <is>
          <t>145</t>
        </is>
      </c>
      <c r="AU17" s="2" t="inlineStr">
        <is>
          <t>118</t>
        </is>
      </c>
      <c r="AV17" s="2" t="inlineStr">
        <is>
          <t>20</t>
        </is>
      </c>
      <c r="AW17" s="2" t="inlineStr">
        <is>
          <t>30</t>
        </is>
      </c>
      <c r="AX17" s="2" t="inlineStr">
        <is>
          <t>complete</t>
        </is>
      </c>
      <c r="AY17" s="2" t="inlineStr">
        <is>
          <t>1</t>
        </is>
      </c>
      <c r="AZ17" s="2" t="inlineStr">
        <is>
          <t>0.0667</t>
        </is>
      </c>
      <c r="BA17" s="2" t="inlineStr">
        <is>
          <t>15</t>
        </is>
      </c>
      <c r="BB17" s="2" t="inlineStr">
        <is>
          <t>100</t>
        </is>
      </c>
      <c r="BC17" s="2" t="inlineStr">
        <is>
          <t>125</t>
        </is>
      </c>
      <c r="BD17" s="2" t="inlineStr">
        <is>
          <t>0.8</t>
        </is>
      </c>
      <c r="BE17" s="2" t="inlineStr">
        <is>
          <t>24</t>
        </is>
      </c>
      <c r="BF17" s="2" t="inlineStr">
        <is>
          <t>4</t>
        </is>
      </c>
      <c r="BG17" s="2" t="inlineStr">
        <is>
          <t>non-maintainer issues</t>
        </is>
      </c>
      <c r="BH17" s="2" t="inlineStr">
        <is>
          <t>0.5833</t>
        </is>
      </c>
      <c r="BI17" s="2" t="inlineStr">
        <is>
          <t>12</t>
        </is>
      </c>
      <c r="BJ17" s="2" t="inlineStr">
        <is>
          <t>7</t>
        </is>
      </c>
      <c r="BK17" s="2" t="inlineStr">
        <is>
          <t>144</t>
        </is>
      </c>
      <c r="BL17" s="2" t="inlineStr">
        <is>
          <t>0.875</t>
        </is>
      </c>
      <c r="BM17" s="2" t="inlineStr">
        <is>
          <t>126</t>
        </is>
      </c>
      <c r="BN17" s="2" t="n">
        <v>68.93000000000001</v>
      </c>
      <c r="BO17" s="2" t="n">
        <v>1</v>
      </c>
      <c r="BP17" s="2" t="n">
        <v>57.69</v>
      </c>
      <c r="BQ17" s="2" t="n">
        <v>1</v>
      </c>
      <c r="BR17" s="2" t="n">
        <v>100</v>
      </c>
      <c r="BS17" s="2" t="n">
        <v>1</v>
      </c>
      <c r="BT17" s="2" t="n">
        <v>100</v>
      </c>
      <c r="BU17" s="2" t="n">
        <v>1</v>
      </c>
      <c r="BV17" s="2" t="n">
        <v>71.7</v>
      </c>
      <c r="BW17" s="2" t="n">
        <v>1</v>
      </c>
      <c r="BX17" s="2" t="n">
        <v>64.06999999999999</v>
      </c>
      <c r="BY17" s="2" t="n">
        <v>1</v>
      </c>
      <c r="BZ17" s="2" t="n">
        <v>75</v>
      </c>
      <c r="CA17" s="2" t="n">
        <v>1</v>
      </c>
      <c r="CB17" s="2" t="n">
        <v>58.33</v>
      </c>
      <c r="CC17" s="2" t="n">
        <v>1</v>
      </c>
      <c r="CD17" s="2" t="n">
        <v>87.5</v>
      </c>
      <c r="CE17" s="2" t="n">
        <v>1</v>
      </c>
      <c r="CF17" s="2" t="n">
        <v>6.67</v>
      </c>
      <c r="CG17" s="2" t="n">
        <v>1</v>
      </c>
      <c r="CH17" s="2" t="n">
        <v>80</v>
      </c>
      <c r="CI17" s="2" t="n">
        <v>1</v>
      </c>
      <c r="CJ17" s="2" t="n">
        <v>46.59</v>
      </c>
      <c r="CK17" s="2" t="n">
        <v>1</v>
      </c>
      <c r="CL17" s="2" t="n">
        <v>34.87</v>
      </c>
      <c r="CM17" s="2" t="n">
        <v>1</v>
      </c>
      <c r="CN17" s="2" t="n">
        <v>65.48846153846154</v>
      </c>
      <c r="CO17" s="2" t="n">
        <v>13</v>
      </c>
      <c r="CP17" s="2" t="n">
        <v>1</v>
      </c>
      <c r="CQ17" s="2" t="n">
        <v>65.48846153846154</v>
      </c>
      <c r="CR17" s="2" t="inlineStr"/>
      <c r="CS17" s="2" t="inlineStr"/>
      <c r="CT17" s="2" t="inlineStr"/>
      <c r="CU17" s="2" t="inlineStr"/>
    </row>
    <row r="18">
      <c r="A18" s="2" t="inlineStr">
        <is>
          <t>C4-017</t>
        </is>
      </c>
      <c r="B18" s="2" t="inlineStr">
        <is>
          <t>BrCRIS</t>
        </is>
      </c>
      <c r="C18" s="2" t="inlineStr">
        <is>
          <t>https://github.com/projetos-codic-ibict</t>
        </is>
      </c>
      <c r="D18" s="2" t="inlineStr">
        <is>
          <t>Resolved URL</t>
        </is>
      </c>
      <c r="E18" s="2" t="inlineStr">
        <is>
          <t>github</t>
        </is>
      </c>
      <c r="F18" s="2" t="inlineStr">
        <is>
          <t>brcris-ibict/brcris-interface-busca</t>
        </is>
      </c>
      <c r="G18" s="2" t="inlineStr"/>
      <c r="H18" s="2" t="inlineStr"/>
      <c r="I18" s="2" t="inlineStr">
        <is>
          <t>yes</t>
        </is>
      </c>
      <c r="J18" s="2" t="inlineStr">
        <is>
          <t>software</t>
        </is>
      </c>
      <c r="K18" s="2" t="inlineStr">
        <is>
          <t>GitHub (same repo)</t>
        </is>
      </c>
      <c r="L18" s="2" t="inlineStr">
        <is>
          <t>InfraFinder lists only the Ibict GitHub org; none of its 45 repos is identifiable as BrCRIS | Restored from not-assessable using resolved GitHub repository.</t>
        </is>
      </c>
      <c r="M18" s="2" t="inlineStr">
        <is>
          <t>brcris-ibict/brcris-interface-busca</t>
        </is>
      </c>
      <c r="N18" s="2" t="inlineStr">
        <is>
          <t>yes</t>
        </is>
      </c>
      <c r="O18" s="2" t="inlineStr">
        <is>
          <t>brcris-ibict/brcris-interface-busca</t>
        </is>
      </c>
      <c r="P18" s="2" t="inlineStr">
        <is>
          <t>GitHub</t>
        </is>
      </c>
      <c r="Q18" s="2" t="inlineStr">
        <is>
          <t>applied</t>
        </is>
      </c>
      <c r="R18" s="2" t="inlineStr">
        <is>
          <t>Restored from not-assessable using resolved GitHub repository.</t>
        </is>
      </c>
      <c r="S18" s="2" t="inlineStr">
        <is>
          <t>brcris-ibict/brcris-interface-busca</t>
        </is>
      </c>
      <c r="T18" s="2" t="inlineStr">
        <is>
          <t>12</t>
        </is>
      </c>
      <c r="U18" s="2" t="inlineStr">
        <is>
          <t>47</t>
        </is>
      </c>
      <c r="V18" s="2" t="inlineStr">
        <is>
          <t>1</t>
        </is>
      </c>
      <c r="W18" s="2" t="inlineStr">
        <is>
          <t>2</t>
        </is>
      </c>
      <c r="X18" s="2" t="inlineStr">
        <is>
          <t>0</t>
        </is>
      </c>
      <c r="Y18" s="2" t="inlineStr">
        <is>
          <t>0.0</t>
        </is>
      </c>
      <c r="Z18" s="2" t="inlineStr">
        <is>
          <t>4</t>
        </is>
      </c>
      <c r="AA18" s="2" t="inlineStr">
        <is>
          <t>0.06</t>
        </is>
      </c>
      <c r="AB18" s="2" t="inlineStr">
        <is>
          <t>1.83</t>
        </is>
      </c>
      <c r="AC18" s="2" t="inlineStr">
        <is>
          <t>complete</t>
        </is>
      </c>
      <c r="AD18" s="2" t="inlineStr">
        <is>
          <t>219</t>
        </is>
      </c>
      <c r="AE18" s="2" t="inlineStr">
        <is>
          <t>2026-10-11</t>
        </is>
      </c>
      <c r="AF18" s="2" t="inlineStr">
        <is>
          <t>16</t>
        </is>
      </c>
      <c r="AG18" s="2" t="inlineStr">
        <is>
          <t>0</t>
        </is>
      </c>
      <c r="AH18" s="2" t="inlineStr">
        <is>
          <t>2</t>
        </is>
      </c>
      <c r="AI18" s="2" t="inlineStr">
        <is>
          <t>2</t>
        </is>
      </c>
      <c r="AJ18" s="2" t="inlineStr">
        <is>
          <t>68.95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/>
      <c r="BH18" s="2" t="inlineStr"/>
      <c r="BI18" s="2" t="inlineStr"/>
      <c r="BJ18" s="2" t="inlineStr"/>
      <c r="BK18" s="2" t="inlineStr"/>
      <c r="BL18" s="2" t="inlineStr"/>
      <c r="BM18" s="2" t="inlineStr"/>
      <c r="BN18" s="2" t="n">
        <v>78.06999999999999</v>
      </c>
      <c r="BO18" s="2" t="n">
        <v>1</v>
      </c>
      <c r="BP18" s="2" t="n">
        <v>90.38</v>
      </c>
      <c r="BQ18" s="2" t="n">
        <v>1</v>
      </c>
      <c r="BR18" s="2" t="n">
        <v>100</v>
      </c>
      <c r="BS18" s="2" t="n">
        <v>1</v>
      </c>
      <c r="BT18" s="2" t="n">
        <v>75</v>
      </c>
      <c r="BU18" s="2" t="n">
        <v>1</v>
      </c>
      <c r="BV18" s="2" t="n">
        <v>40</v>
      </c>
      <c r="BW18" s="2" t="n">
        <v>1</v>
      </c>
      <c r="BX18" s="2" t="n">
        <v>29.06</v>
      </c>
      <c r="BY18" s="2" t="n">
        <v>1</v>
      </c>
      <c r="BZ18" s="2" t="n">
        <v>50</v>
      </c>
      <c r="CA18" s="2" t="n">
        <v>1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35.57769230769231</v>
      </c>
      <c r="CO18" s="2" t="n">
        <v>7</v>
      </c>
      <c r="CP18" s="2" t="n">
        <v>0.5384615384615384</v>
      </c>
      <c r="CQ18" s="2" t="n">
        <v>66.07285714285715</v>
      </c>
      <c r="CR18" s="2" t="inlineStr"/>
      <c r="CS18" s="2" t="inlineStr"/>
      <c r="CT18" s="2" t="inlineStr"/>
      <c r="CU18" s="2" t="inlineStr"/>
    </row>
    <row r="19">
      <c r="A19" s="2" t="inlineStr">
        <is>
          <t>C4-018</t>
        </is>
      </c>
      <c r="B19" s="2" t="inlineStr">
        <is>
          <t>Browsertrix</t>
        </is>
      </c>
      <c r="C19" s="2" t="inlineStr">
        <is>
          <t>https://github.com/webrecorder/browsertrix</t>
        </is>
      </c>
      <c r="D19" s="2" t="inlineStr">
        <is>
          <t>Ready</t>
        </is>
      </c>
      <c r="E19" s="2" t="inlineStr">
        <is>
          <t>github</t>
        </is>
      </c>
      <c r="F19" s="2" t="inlineStr">
        <is>
          <t>webrecorder/browsertrix</t>
        </is>
      </c>
      <c r="G19" s="2" t="inlineStr"/>
      <c r="H19" s="2" t="inlineStr"/>
      <c r="I19" s="2" t="inlineStr">
        <is>
          <t>yes</t>
        </is>
      </c>
      <c r="J19" s="2" t="inlineStr">
        <is>
          <t>software</t>
        </is>
      </c>
      <c r="K19" s="2" t="inlineStr">
        <is>
          <t>GitHub (same repo)</t>
        </is>
      </c>
      <c r="L19" s="2" t="inlineStr"/>
      <c r="M19" s="2" t="inlineStr">
        <is>
          <t>webrecorder/browsertrix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webrecorder/browsertrix</t>
        </is>
      </c>
      <c r="T19" s="2" t="inlineStr">
        <is>
          <t>12</t>
        </is>
      </c>
      <c r="U19" s="2" t="inlineStr">
        <is>
          <t>52</t>
        </is>
      </c>
      <c r="V19" s="2" t="inlineStr">
        <is>
          <t>2</t>
        </is>
      </c>
      <c r="W19" s="2" t="inlineStr">
        <is>
          <t>3</t>
        </is>
      </c>
      <c r="X19" s="2" t="inlineStr">
        <is>
          <t>15</t>
        </is>
      </c>
      <c r="Y19" s="2" t="inlineStr">
        <is>
          <t>0.034</t>
        </is>
      </c>
      <c r="Z19" s="2" t="inlineStr">
        <is>
          <t>9</t>
        </is>
      </c>
      <c r="AA19" s="2" t="inlineStr">
        <is>
          <t>1.13</t>
        </is>
      </c>
      <c r="AB19" s="2" t="inlineStr">
        <is>
          <t>3.79</t>
        </is>
      </c>
      <c r="AC19" s="2" t="inlineStr">
        <is>
          <t>complete</t>
        </is>
      </c>
      <c r="AD19" s="2" t="inlineStr">
        <is>
          <t>426</t>
        </is>
      </c>
      <c r="AE19" s="2" t="inlineStr">
        <is>
          <t>2026-10-13</t>
        </is>
      </c>
      <c r="AF19" s="2" t="inlineStr">
        <is>
          <t>1</t>
        </is>
      </c>
      <c r="AG19" s="2" t="inlineStr">
        <is>
          <t>3</t>
        </is>
      </c>
      <c r="AH19" s="2" t="inlineStr">
        <is>
          <t>4</t>
        </is>
      </c>
      <c r="AI19" s="2" t="inlineStr">
        <is>
          <t>39</t>
        </is>
      </c>
      <c r="AJ19" s="2" t="inlineStr">
        <is>
          <t>37.56</t>
        </is>
      </c>
      <c r="AK19" s="2" t="inlineStr">
        <is>
          <t>94.74</t>
        </is>
      </c>
      <c r="AL19" s="2" t="inlineStr">
        <is>
          <t>6.4</t>
        </is>
      </c>
      <c r="AM19" s="2" t="inlineStr">
        <is>
          <t>33</t>
        </is>
      </c>
      <c r="AN19" s="2" t="inlineStr">
        <is>
          <t>226</t>
        </is>
      </c>
      <c r="AO19" s="2" t="inlineStr">
        <is>
          <t>294</t>
        </is>
      </c>
      <c r="AP19" s="2" t="inlineStr">
        <is>
          <t>231</t>
        </is>
      </c>
      <c r="AQ19" s="2" t="inlineStr">
        <is>
          <t>11.98</t>
        </is>
      </c>
      <c r="AR19" s="2" t="inlineStr">
        <is>
          <t>391</t>
        </is>
      </c>
      <c r="AS19" s="2" t="inlineStr">
        <is>
          <t>22</t>
        </is>
      </c>
      <c r="AT19" s="2" t="inlineStr">
        <is>
          <t>440</t>
        </is>
      </c>
      <c r="AU19" s="2" t="inlineStr">
        <is>
          <t>396</t>
        </is>
      </c>
      <c r="AV19" s="2" t="inlineStr">
        <is>
          <t>22</t>
        </is>
      </c>
      <c r="AW19" s="2" t="inlineStr">
        <is>
          <t>285</t>
        </is>
      </c>
      <c r="AX19" s="2" t="inlineStr">
        <is>
          <t>complete</t>
        </is>
      </c>
      <c r="AY19" s="2" t="inlineStr">
        <is>
          <t>150</t>
        </is>
      </c>
      <c r="AZ19" s="2" t="inlineStr">
        <is>
          <t>0.6757</t>
        </is>
      </c>
      <c r="BA19" s="2" t="inlineStr">
        <is>
          <t>222</t>
        </is>
      </c>
      <c r="BB19" s="2" t="inlineStr">
        <is>
          <t>368</t>
        </is>
      </c>
      <c r="BC19" s="2" t="inlineStr">
        <is>
          <t>399</t>
        </is>
      </c>
      <c r="BD19" s="2" t="inlineStr">
        <is>
          <t>0.9223</t>
        </is>
      </c>
      <c r="BE19" s="2" t="inlineStr">
        <is>
          <t>147</t>
        </is>
      </c>
      <c r="BF19" s="2" t="inlineStr">
        <is>
          <t>20</t>
        </is>
      </c>
      <c r="BG19" s="2" t="inlineStr">
        <is>
          <t>non-maintainer issues</t>
        </is>
      </c>
      <c r="BH19" s="2" t="inlineStr">
        <is>
          <t>0.4559</t>
        </is>
      </c>
      <c r="BI19" s="2" t="inlineStr">
        <is>
          <t>68</t>
        </is>
      </c>
      <c r="BJ19" s="2" t="inlineStr">
        <is>
          <t>31</t>
        </is>
      </c>
      <c r="BK19" s="2" t="inlineStr">
        <is>
          <t>429</t>
        </is>
      </c>
      <c r="BL19" s="2" t="inlineStr">
        <is>
          <t>0.8252</t>
        </is>
      </c>
      <c r="BM19" s="2" t="inlineStr">
        <is>
          <t>354</t>
        </is>
      </c>
      <c r="BN19" s="2" t="n">
        <v>87.67</v>
      </c>
      <c r="BO19" s="2" t="n">
        <v>1</v>
      </c>
      <c r="BP19" s="2" t="n">
        <v>100</v>
      </c>
      <c r="BQ19" s="2" t="n">
        <v>1</v>
      </c>
      <c r="BR19" s="2" t="n">
        <v>100</v>
      </c>
      <c r="BS19" s="2" t="n">
        <v>1</v>
      </c>
      <c r="BT19" s="2" t="n">
        <v>100</v>
      </c>
      <c r="BU19" s="2" t="n">
        <v>1</v>
      </c>
      <c r="BV19" s="2" t="n">
        <v>63.4</v>
      </c>
      <c r="BW19" s="2" t="n">
        <v>1</v>
      </c>
      <c r="BX19" s="2" t="n">
        <v>64.06999999999999</v>
      </c>
      <c r="BY19" s="2" t="n">
        <v>1</v>
      </c>
      <c r="BZ19" s="2" t="n">
        <v>75</v>
      </c>
      <c r="CA19" s="2" t="n">
        <v>1</v>
      </c>
      <c r="CB19" s="2" t="n">
        <v>45.59</v>
      </c>
      <c r="CC19" s="2" t="n">
        <v>1</v>
      </c>
      <c r="CD19" s="2" t="n">
        <v>82.52</v>
      </c>
      <c r="CE19" s="2" t="n">
        <v>1</v>
      </c>
      <c r="CF19" s="2" t="n">
        <v>67.56999999999999</v>
      </c>
      <c r="CG19" s="2" t="n">
        <v>1</v>
      </c>
      <c r="CH19" s="2" t="n">
        <v>92.23</v>
      </c>
      <c r="CI19" s="2" t="n">
        <v>1</v>
      </c>
      <c r="CJ19" s="2" t="n">
        <v>72.33</v>
      </c>
      <c r="CK19" s="2" t="n">
        <v>1</v>
      </c>
      <c r="CL19" s="2" t="n">
        <v>65.97</v>
      </c>
      <c r="CM19" s="2" t="n">
        <v>1</v>
      </c>
      <c r="CN19" s="2" t="n">
        <v>78.18076923076923</v>
      </c>
      <c r="CO19" s="2" t="n">
        <v>13</v>
      </c>
      <c r="CP19" s="2" t="n">
        <v>1</v>
      </c>
      <c r="CQ19" s="2" t="n">
        <v>78.18076923076923</v>
      </c>
      <c r="CR19" s="2" t="inlineStr"/>
      <c r="CS19" s="2" t="inlineStr"/>
      <c r="CT19" s="2" t="inlineStr"/>
      <c r="CU19" s="2" t="inlineStr"/>
    </row>
    <row r="20">
      <c r="A20" s="2" t="inlineStr">
        <is>
          <t>C4-019</t>
        </is>
      </c>
      <c r="B20" s="2" t="inlineStr">
        <is>
          <t>CLOCKSS</t>
        </is>
      </c>
      <c r="C20" s="2" t="inlineStr">
        <is>
          <t>https://github.com/lockss</t>
        </is>
      </c>
      <c r="D20" s="2" t="inlineStr">
        <is>
          <t>Org URL -&gt; primary repo</t>
        </is>
      </c>
      <c r="E20" s="2" t="inlineStr">
        <is>
          <t>github</t>
        </is>
      </c>
      <c r="F20" s="2" t="inlineStr">
        <is>
          <t>lockss/lockss-daemon</t>
        </is>
      </c>
      <c r="G20" s="2" t="inlineStr"/>
      <c r="H20" s="2" t="inlineStr"/>
      <c r="I20" s="2" t="inlineStr">
        <is>
          <t>yes</t>
        </is>
      </c>
      <c r="J20" s="2" t="inlineStr">
        <is>
          <t>software</t>
        </is>
      </c>
      <c r="K20" s="2" t="inlineStr">
        <is>
          <t>GitHub (2 open) - likely internal tracker</t>
        </is>
      </c>
      <c r="L20" s="2" t="inlineStr">
        <is>
          <t>CLOCKSS runs on the LOCKSS daemon; lockss-core (LOCKSS 2.x) is a possible alternative</t>
        </is>
      </c>
      <c r="M20" s="2" t="inlineStr">
        <is>
          <t>lockss/lockss-daemon</t>
        </is>
      </c>
      <c r="N20" s="2" t="inlineStr">
        <is>
          <t>yes</t>
        </is>
      </c>
      <c r="O20" s="2" t="inlineStr">
        <is>
          <t>lockss/lockss-daemon</t>
        </is>
      </c>
      <c r="P20" s="2" t="inlineStr">
        <is>
          <t>GitHub</t>
        </is>
      </c>
      <c r="Q20" s="2" t="inlineStr">
        <is>
          <t>already_current</t>
        </is>
      </c>
      <c r="R20" s="2" t="inlineStr">
        <is>
          <t>Current scoring target already matches resolved list.</t>
        </is>
      </c>
      <c r="S20" s="2" t="inlineStr">
        <is>
          <t>lockss/lockss-daemon</t>
        </is>
      </c>
      <c r="T20" s="2" t="inlineStr">
        <is>
          <t>12</t>
        </is>
      </c>
      <c r="U20" s="2" t="inlineStr">
        <is>
          <t>51</t>
        </is>
      </c>
      <c r="V20" s="2" t="inlineStr">
        <is>
          <t>2</t>
        </is>
      </c>
      <c r="W20" s="2" t="inlineStr">
        <is>
          <t>3</t>
        </is>
      </c>
      <c r="X20" s="2" t="inlineStr">
        <is>
          <t>0</t>
        </is>
      </c>
      <c r="Y20" s="2" t="inlineStr">
        <is>
          <t>0.0</t>
        </is>
      </c>
      <c r="Z20" s="2" t="inlineStr">
        <is>
          <t>9</t>
        </is>
      </c>
      <c r="AA20" s="2" t="inlineStr">
        <is>
          <t>0.13</t>
        </is>
      </c>
      <c r="AB20" s="2" t="inlineStr">
        <is>
          <t>3.43</t>
        </is>
      </c>
      <c r="AC20" s="2" t="inlineStr">
        <is>
          <t>complete</t>
        </is>
      </c>
      <c r="AD20" s="2" t="inlineStr">
        <is>
          <t>2867</t>
        </is>
      </c>
      <c r="AE20" s="2" t="inlineStr">
        <is>
          <t>2026-10-13</t>
        </is>
      </c>
      <c r="AF20" s="2" t="inlineStr">
        <is>
          <t>103</t>
        </is>
      </c>
      <c r="AG20" s="2" t="inlineStr">
        <is>
          <t>1</t>
        </is>
      </c>
      <c r="AH20" s="2" t="inlineStr">
        <is>
          <t>8</t>
        </is>
      </c>
      <c r="AI20" s="2" t="inlineStr">
        <is>
          <t>16</t>
        </is>
      </c>
      <c r="AJ20" s="2" t="inlineStr">
        <is>
          <t>43.49</t>
        </is>
      </c>
      <c r="AK20" s="2" t="inlineStr">
        <is>
          <t>0.0</t>
        </is>
      </c>
      <c r="AL20" s="2" t="inlineStr"/>
      <c r="AM20" s="2" t="inlineStr">
        <is>
          <t>0</t>
        </is>
      </c>
      <c r="AN20" s="2" t="inlineStr">
        <is>
          <t>0</t>
        </is>
      </c>
      <c r="AO20" s="2" t="inlineStr">
        <is>
          <t>0</t>
        </is>
      </c>
      <c r="AP20" s="2" t="inlineStr">
        <is>
          <t>2</t>
        </is>
      </c>
      <c r="AQ20" s="2" t="inlineStr">
        <is>
          <t>292.29</t>
        </is>
      </c>
      <c r="AR20" s="2" t="inlineStr">
        <is>
          <t>1</t>
        </is>
      </c>
      <c r="AS20" s="2" t="inlineStr">
        <is>
          <t>1</t>
        </is>
      </c>
      <c r="AT20" s="2" t="inlineStr">
        <is>
          <t>1</t>
        </is>
      </c>
      <c r="AU20" s="2" t="inlineStr">
        <is>
          <t>0</t>
        </is>
      </c>
      <c r="AV20" s="2" t="inlineStr">
        <is>
          <t>0</t>
        </is>
      </c>
      <c r="AW20" s="2" t="inlineStr">
        <is>
          <t>0</t>
        </is>
      </c>
      <c r="AX20" s="2" t="inlineStr">
        <is>
          <t>complete</t>
        </is>
      </c>
      <c r="AY20" s="2" t="inlineStr">
        <is>
          <t>0</t>
        </is>
      </c>
      <c r="AZ20" s="2" t="inlineStr"/>
      <c r="BA20" s="2" t="inlineStr">
        <is>
          <t>0</t>
        </is>
      </c>
      <c r="BB20" s="2" t="inlineStr">
        <is>
          <t>1</t>
        </is>
      </c>
      <c r="BC20" s="2" t="inlineStr">
        <is>
          <t>1</t>
        </is>
      </c>
      <c r="BD20" s="2" t="inlineStr"/>
      <c r="BE20" s="2" t="inlineStr">
        <is>
          <t>4</t>
        </is>
      </c>
      <c r="BF20" s="2" t="inlineStr">
        <is>
          <t>1</t>
        </is>
      </c>
      <c r="BG20" s="2" t="inlineStr">
        <is>
          <t>all issues (too few non-maintainer)</t>
        </is>
      </c>
      <c r="BH20" s="2" t="inlineStr"/>
      <c r="BI20" s="2" t="inlineStr">
        <is>
          <t>0</t>
        </is>
      </c>
      <c r="BJ20" s="2" t="inlineStr">
        <is>
          <t>0</t>
        </is>
      </c>
      <c r="BK20" s="2" t="inlineStr">
        <is>
          <t>1</t>
        </is>
      </c>
      <c r="BL20" s="2" t="inlineStr"/>
      <c r="BM20" s="2" t="inlineStr">
        <is>
          <t>0</t>
        </is>
      </c>
      <c r="BN20" s="2" t="n">
        <v>100</v>
      </c>
      <c r="BO20" s="2" t="n">
        <v>1</v>
      </c>
      <c r="BP20" s="2" t="n">
        <v>98.08</v>
      </c>
      <c r="BQ20" s="2" t="n">
        <v>1</v>
      </c>
      <c r="BR20" s="2" t="n">
        <v>100</v>
      </c>
      <c r="BS20" s="2" t="n">
        <v>1</v>
      </c>
      <c r="BT20" s="2" t="n">
        <v>100</v>
      </c>
      <c r="BU20" s="2" t="n">
        <v>1</v>
      </c>
      <c r="BV20" s="2" t="n">
        <v>63.4</v>
      </c>
      <c r="BW20" s="2" t="n">
        <v>1</v>
      </c>
      <c r="BX20" s="2" t="n">
        <v>59.27</v>
      </c>
      <c r="BY20" s="2" t="n">
        <v>1</v>
      </c>
      <c r="BZ20" s="2" t="n">
        <v>100</v>
      </c>
      <c r="CA20" s="2" t="n">
        <v>1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23.3</v>
      </c>
      <c r="CK20" s="2" t="n">
        <v>1</v>
      </c>
      <c r="CL20" s="2" t="n">
        <v>15.02</v>
      </c>
      <c r="CM20" s="2" t="n">
        <v>1</v>
      </c>
      <c r="CN20" s="2" t="n">
        <v>50.69769230769231</v>
      </c>
      <c r="CO20" s="2" t="n">
        <v>9</v>
      </c>
      <c r="CP20" s="2" t="n">
        <v>0.6923076923076923</v>
      </c>
      <c r="CQ20" s="2" t="n">
        <v>73.23</v>
      </c>
      <c r="CR20" s="2" t="inlineStr"/>
      <c r="CS20" s="2" t="inlineStr"/>
      <c r="CT20" s="2" t="inlineStr"/>
      <c r="CU20" s="2" t="inlineStr"/>
    </row>
    <row r="21">
      <c r="A21" s="2" t="inlineStr">
        <is>
          <t>C4-020</t>
        </is>
      </c>
      <c r="B21" s="2" t="inlineStr">
        <is>
          <t>COAR International Repository Directory (IRD)</t>
        </is>
      </c>
      <c r="C21" s="2" t="inlineStr">
        <is>
          <t>https://github.com/antleaf/IRD</t>
        </is>
      </c>
      <c r="D21" s="2" t="inlineStr">
        <is>
          <t>Ready</t>
        </is>
      </c>
      <c r="E21" s="2" t="inlineStr">
        <is>
          <t>github</t>
        </is>
      </c>
      <c r="F21" s="2" t="inlineStr">
        <is>
          <t>antleaf/IRD</t>
        </is>
      </c>
      <c r="G21" s="2" t="inlineStr"/>
      <c r="H21" s="2" t="inlineStr"/>
      <c r="I21" s="2" t="inlineStr">
        <is>
          <t>yes</t>
        </is>
      </c>
      <c r="J21" s="2" t="inlineStr">
        <is>
          <t>software</t>
        </is>
      </c>
      <c r="K21" s="2" t="inlineStr">
        <is>
          <t>GitHub (same repo)</t>
        </is>
      </c>
      <c r="L21" s="2" t="inlineStr"/>
      <c r="M21" s="2" t="inlineStr">
        <is>
          <t>antleaf/IRD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antleaf/IRD</t>
        </is>
      </c>
      <c r="T21" s="2" t="inlineStr">
        <is>
          <t>10</t>
        </is>
      </c>
      <c r="U21" s="2" t="inlineStr">
        <is>
          <t>24</t>
        </is>
      </c>
      <c r="V21" s="2" t="inlineStr">
        <is>
          <t>1</t>
        </is>
      </c>
      <c r="W21" s="2" t="inlineStr">
        <is>
          <t>2</t>
        </is>
      </c>
      <c r="X21" s="2" t="inlineStr">
        <is>
          <t>4</t>
        </is>
      </c>
      <c r="Y21" s="2" t="inlineStr">
        <is>
          <t>0.061</t>
        </is>
      </c>
      <c r="Z21" s="2" t="inlineStr">
        <is>
          <t>3</t>
        </is>
      </c>
      <c r="AA21" s="2" t="inlineStr">
        <is>
          <t>8.64</t>
        </is>
      </c>
      <c r="AB21" s="2" t="inlineStr">
        <is>
          <t>1.51</t>
        </is>
      </c>
      <c r="AC21" s="2" t="inlineStr">
        <is>
          <t>complete</t>
        </is>
      </c>
      <c r="AD21" s="2" t="inlineStr">
        <is>
          <t>62</t>
        </is>
      </c>
      <c r="AE21" s="2" t="inlineStr">
        <is>
          <t>2026-09-22</t>
        </is>
      </c>
      <c r="AF21" s="2" t="inlineStr">
        <is>
          <t>8</t>
        </is>
      </c>
      <c r="AG21" s="2" t="inlineStr">
        <is>
          <t>0</t>
        </is>
      </c>
      <c r="AH21" s="2" t="inlineStr">
        <is>
          <t>1</t>
        </is>
      </c>
      <c r="AI21" s="2" t="inlineStr">
        <is>
          <t>17</t>
        </is>
      </c>
      <c r="AJ21" s="2" t="inlineStr">
        <is>
          <t>79.03</t>
        </is>
      </c>
      <c r="AK21" s="2" t="inlineStr">
        <is>
          <t>100.0</t>
        </is>
      </c>
      <c r="AL21" s="2" t="inlineStr">
        <is>
          <t>27.98</t>
        </is>
      </c>
      <c r="AM21" s="2" t="inlineStr">
        <is>
          <t>9</t>
        </is>
      </c>
      <c r="AN21" s="2" t="inlineStr">
        <is>
          <t>3</t>
        </is>
      </c>
      <c r="AO21" s="2" t="inlineStr">
        <is>
          <t>12</t>
        </is>
      </c>
      <c r="AP21" s="2" t="inlineStr">
        <is>
          <t>6</t>
        </is>
      </c>
      <c r="AQ21" s="2" t="inlineStr">
        <is>
          <t>15.74</t>
        </is>
      </c>
      <c r="AR21" s="2" t="inlineStr">
        <is>
          <t>5</t>
        </is>
      </c>
      <c r="AS21" s="2" t="inlineStr">
        <is>
          <t>0</t>
        </is>
      </c>
      <c r="AT21" s="2" t="inlineStr">
        <is>
          <t>6</t>
        </is>
      </c>
      <c r="AU21" s="2" t="inlineStr">
        <is>
          <t>5</t>
        </is>
      </c>
      <c r="AV21" s="2" t="inlineStr">
        <is>
          <t>1</t>
        </is>
      </c>
      <c r="AW21" s="2" t="inlineStr">
        <is>
          <t>0</t>
        </is>
      </c>
      <c r="AX21" s="2" t="inlineStr">
        <is>
          <t>complete</t>
        </is>
      </c>
      <c r="AY21" s="2" t="inlineStr">
        <is>
          <t>7</t>
        </is>
      </c>
      <c r="AZ21" s="2" t="inlineStr">
        <is>
          <t>0.6364</t>
        </is>
      </c>
      <c r="BA21" s="2" t="inlineStr">
        <is>
          <t>11</t>
        </is>
      </c>
      <c r="BB21" s="2" t="inlineStr">
        <is>
          <t>5</t>
        </is>
      </c>
      <c r="BC21" s="2" t="inlineStr">
        <is>
          <t>6</t>
        </is>
      </c>
      <c r="BD21" s="2" t="inlineStr"/>
      <c r="BE21" s="2" t="inlineStr">
        <is>
          <t>1</t>
        </is>
      </c>
      <c r="BF21" s="2" t="inlineStr">
        <is>
          <t>1</t>
        </is>
      </c>
      <c r="BG21" s="2" t="inlineStr">
        <is>
          <t>all issues (too few non-maintainer)</t>
        </is>
      </c>
      <c r="BH21" s="2" t="inlineStr">
        <is>
          <t>0.5</t>
        </is>
      </c>
      <c r="BI21" s="2" t="inlineStr">
        <is>
          <t>12</t>
        </is>
      </c>
      <c r="BJ21" s="2" t="inlineStr">
        <is>
          <t>6</t>
        </is>
      </c>
      <c r="BK21" s="2" t="inlineStr">
        <is>
          <t>6</t>
        </is>
      </c>
      <c r="BL21" s="2" t="inlineStr"/>
      <c r="BM21" s="2" t="inlineStr">
        <is>
          <t>4</t>
        </is>
      </c>
      <c r="BN21" s="2" t="n">
        <v>59.97</v>
      </c>
      <c r="BO21" s="2" t="n">
        <v>1</v>
      </c>
      <c r="BP21" s="2" t="n">
        <v>46.15</v>
      </c>
      <c r="BQ21" s="2" t="n">
        <v>1</v>
      </c>
      <c r="BR21" s="2" t="n">
        <v>100</v>
      </c>
      <c r="BS21" s="2" t="n">
        <v>1</v>
      </c>
      <c r="BT21" s="2" t="n">
        <v>100</v>
      </c>
      <c r="BU21" s="2" t="n">
        <v>1</v>
      </c>
      <c r="BV21" s="2" t="n">
        <v>31.7</v>
      </c>
      <c r="BW21" s="2" t="n">
        <v>1</v>
      </c>
      <c r="BX21" s="2" t="n">
        <v>19.82</v>
      </c>
      <c r="BY21" s="2" t="n">
        <v>1</v>
      </c>
      <c r="BZ21" s="2" t="n">
        <v>25</v>
      </c>
      <c r="CA21" s="2" t="n">
        <v>1</v>
      </c>
      <c r="CB21" s="2" t="n">
        <v>50</v>
      </c>
      <c r="CC21" s="2" t="n">
        <v>1</v>
      </c>
      <c r="CD21" s="2" t="n">
        <v>0</v>
      </c>
      <c r="CE21" s="2" t="n">
        <v>0</v>
      </c>
      <c r="CF21" s="2" t="n">
        <v>63.64</v>
      </c>
      <c r="CG21" s="2" t="n">
        <v>1</v>
      </c>
      <c r="CH21" s="2" t="n">
        <v>0</v>
      </c>
      <c r="CI21" s="2" t="n">
        <v>0</v>
      </c>
      <c r="CJ21" s="2" t="n">
        <v>10.03</v>
      </c>
      <c r="CK21" s="2" t="n">
        <v>1</v>
      </c>
      <c r="CL21" s="2" t="n">
        <v>15.02</v>
      </c>
      <c r="CM21" s="2" t="n">
        <v>1</v>
      </c>
      <c r="CN21" s="2" t="n">
        <v>40.10230769230769</v>
      </c>
      <c r="CO21" s="2" t="n">
        <v>11</v>
      </c>
      <c r="CP21" s="2" t="n">
        <v>0.8461538461538461</v>
      </c>
      <c r="CQ21" s="2" t="n">
        <v>47.39363636363636</v>
      </c>
      <c r="CR21" s="2" t="inlineStr"/>
      <c r="CS21" s="2" t="inlineStr"/>
      <c r="CT21" s="2" t="inlineStr"/>
      <c r="CU21" s="2" t="inlineStr"/>
    </row>
    <row r="22">
      <c r="A22" s="2" t="inlineStr">
        <is>
          <t>C4-021</t>
        </is>
      </c>
      <c r="B22" s="2" t="inlineStr">
        <is>
          <t>COAR Notify</t>
        </is>
      </c>
      <c r="C22" s="2" t="inlineStr">
        <is>
          <t>https://github.com/coar-notify/coar-notify.net</t>
        </is>
      </c>
      <c r="D22" s="2" t="inlineStr">
        <is>
          <t>Ready</t>
        </is>
      </c>
      <c r="E22" s="2" t="inlineStr">
        <is>
          <t>github</t>
        </is>
      </c>
      <c r="F22" s="2" t="inlineStr">
        <is>
          <t>coar-notify/coar-notify.net</t>
        </is>
      </c>
      <c r="G22" s="2" t="inlineStr"/>
      <c r="H22" s="2" t="inlineStr"/>
      <c r="I22" s="2" t="inlineStr">
        <is>
          <t>yes</t>
        </is>
      </c>
      <c r="J22" s="2" t="inlineStr">
        <is>
          <t>software</t>
        </is>
      </c>
      <c r="K22" s="2" t="inlineStr">
        <is>
          <t>GitHub (same repo)</t>
        </is>
      </c>
      <c r="L22" s="2" t="inlineStr"/>
      <c r="M22" s="2" t="inlineStr">
        <is>
          <t>coar-notify/coar-notify.net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coar-notify/coar-notify.net</t>
        </is>
      </c>
      <c r="T22" s="2" t="inlineStr">
        <is>
          <t>4</t>
        </is>
      </c>
      <c r="U22" s="2" t="inlineStr">
        <is>
          <t>4</t>
        </is>
      </c>
      <c r="V22" s="2" t="inlineStr">
        <is>
          <t>1</t>
        </is>
      </c>
      <c r="W22" s="2" t="inlineStr">
        <is>
          <t>2</t>
        </is>
      </c>
      <c r="X22" s="2" t="inlineStr">
        <is>
          <t>0</t>
        </is>
      </c>
      <c r="Y22" s="2" t="inlineStr">
        <is>
          <t>0.0</t>
        </is>
      </c>
      <c r="Z22" s="2" t="inlineStr">
        <is>
          <t>3</t>
        </is>
      </c>
      <c r="AA22" s="2" t="inlineStr">
        <is>
          <t>104.6</t>
        </is>
      </c>
      <c r="AB22" s="2" t="inlineStr">
        <is>
          <t>1.59</t>
        </is>
      </c>
      <c r="AC22" s="2" t="inlineStr">
        <is>
          <t>complete</t>
        </is>
      </c>
      <c r="AD22" s="2" t="inlineStr">
        <is>
          <t>9</t>
        </is>
      </c>
      <c r="AE22" s="2" t="inlineStr">
        <is>
          <t>2026-06-18</t>
        </is>
      </c>
      <c r="AF22" s="2" t="inlineStr">
        <is>
          <t>4</t>
        </is>
      </c>
      <c r="AG22" s="2" t="inlineStr">
        <is>
          <t>0</t>
        </is>
      </c>
      <c r="AH22" s="2" t="inlineStr">
        <is>
          <t>1</t>
        </is>
      </c>
      <c r="AI22" s="2" t="inlineStr">
        <is>
          <t>0</t>
        </is>
      </c>
      <c r="AJ22" s="2" t="inlineStr">
        <is>
          <t>77.78</t>
        </is>
      </c>
      <c r="AK22" s="2" t="inlineStr">
        <is>
          <t>100.0</t>
        </is>
      </c>
      <c r="AL22" s="2" t="inlineStr">
        <is>
          <t>0.72</t>
        </is>
      </c>
      <c r="AM22" s="2" t="inlineStr">
        <is>
          <t>1</t>
        </is>
      </c>
      <c r="AN22" s="2" t="inlineStr">
        <is>
          <t>1</t>
        </is>
      </c>
      <c r="AO22" s="2" t="inlineStr">
        <is>
          <t>3</t>
        </is>
      </c>
      <c r="AP22" s="2" t="inlineStr">
        <is>
          <t>8</t>
        </is>
      </c>
      <c r="AQ22" s="2" t="inlineStr">
        <is>
          <t>20.11</t>
        </is>
      </c>
      <c r="AR22" s="2" t="inlineStr">
        <is>
          <t>3</t>
        </is>
      </c>
      <c r="AS22" s="2" t="inlineStr">
        <is>
          <t>0</t>
        </is>
      </c>
      <c r="AT22" s="2" t="inlineStr">
        <is>
          <t>3</t>
        </is>
      </c>
      <c r="AU22" s="2" t="inlineStr">
        <is>
          <t>3</t>
        </is>
      </c>
      <c r="AV22" s="2" t="inlineStr">
        <is>
          <t>0</t>
        </is>
      </c>
      <c r="AW22" s="2" t="inlineStr">
        <is>
          <t>0</t>
        </is>
      </c>
      <c r="AX22" s="2" t="inlineStr">
        <is>
          <t>complete</t>
        </is>
      </c>
      <c r="AY22" s="2" t="inlineStr">
        <is>
          <t>1</t>
        </is>
      </c>
      <c r="AZ22" s="2" t="inlineStr"/>
      <c r="BA22" s="2" t="inlineStr">
        <is>
          <t>3</t>
        </is>
      </c>
      <c r="BB22" s="2" t="inlineStr">
        <is>
          <t>3</t>
        </is>
      </c>
      <c r="BC22" s="2" t="inlineStr">
        <is>
          <t>3</t>
        </is>
      </c>
      <c r="BD22" s="2" t="inlineStr"/>
      <c r="BE22" s="2" t="inlineStr">
        <is>
          <t>1</t>
        </is>
      </c>
      <c r="BF22" s="2" t="inlineStr">
        <is>
          <t>2</t>
        </is>
      </c>
      <c r="BG22" s="2" t="inlineStr">
        <is>
          <t>all issues (too few non-maintainer)</t>
        </is>
      </c>
      <c r="BH22" s="2" t="inlineStr"/>
      <c r="BI22" s="2" t="inlineStr">
        <is>
          <t>3</t>
        </is>
      </c>
      <c r="BJ22" s="2" t="inlineStr">
        <is>
          <t>1</t>
        </is>
      </c>
      <c r="BK22" s="2" t="inlineStr">
        <is>
          <t>3</t>
        </is>
      </c>
      <c r="BL22" s="2" t="inlineStr"/>
      <c r="BM22" s="2" t="inlineStr">
        <is>
          <t>3</t>
        </is>
      </c>
      <c r="BN22" s="2" t="n">
        <v>33.33</v>
      </c>
      <c r="BO22" s="2" t="n">
        <v>1</v>
      </c>
      <c r="BP22" s="2" t="n">
        <v>7.69</v>
      </c>
      <c r="BQ22" s="2" t="n">
        <v>1</v>
      </c>
      <c r="BR22" s="2" t="n">
        <v>77.73</v>
      </c>
      <c r="BS22" s="2" t="n">
        <v>1</v>
      </c>
      <c r="BT22" s="2" t="n">
        <v>0</v>
      </c>
      <c r="BU22" s="2" t="n">
        <v>1</v>
      </c>
      <c r="BV22" s="2" t="n">
        <v>31.7</v>
      </c>
      <c r="BW22" s="2" t="n">
        <v>1</v>
      </c>
      <c r="BX22" s="2" t="n">
        <v>22.3</v>
      </c>
      <c r="BY22" s="2" t="n">
        <v>1</v>
      </c>
      <c r="BZ22" s="2" t="n">
        <v>25</v>
      </c>
      <c r="CA22" s="2" t="n">
        <v>1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10.03</v>
      </c>
      <c r="CK22" s="2" t="n">
        <v>1</v>
      </c>
      <c r="CL22" s="2" t="n">
        <v>23.8</v>
      </c>
      <c r="CM22" s="2" t="n">
        <v>1</v>
      </c>
      <c r="CN22" s="2" t="n">
        <v>17.81384615384615</v>
      </c>
      <c r="CO22" s="2" t="n">
        <v>9</v>
      </c>
      <c r="CP22" s="2" t="n">
        <v>0.6923076923076923</v>
      </c>
      <c r="CQ22" s="2" t="n">
        <v>25.73111111111111</v>
      </c>
      <c r="CR22" s="2" t="inlineStr"/>
      <c r="CS22" s="2" t="inlineStr"/>
      <c r="CT22" s="2" t="inlineStr"/>
      <c r="CU22" s="2" t="inlineStr"/>
    </row>
    <row r="23">
      <c r="A23" s="2" t="inlineStr">
        <is>
          <t>C4-022</t>
        </is>
      </c>
      <c r="B23" s="2" t="inlineStr">
        <is>
          <t>CollectiveAccess</t>
        </is>
      </c>
      <c r="C23" s="2" t="inlineStr">
        <is>
          <t>https://github.com/collectiveaccess</t>
        </is>
      </c>
      <c r="D23" s="2" t="inlineStr">
        <is>
          <t>Org URL -&gt; primary repo</t>
        </is>
      </c>
      <c r="E23" s="2" t="inlineStr">
        <is>
          <t>github</t>
        </is>
      </c>
      <c r="F23" s="2" t="inlineStr">
        <is>
          <t>collectiveaccess/providence</t>
        </is>
      </c>
      <c r="G23" s="2" t="inlineStr"/>
      <c r="H23" s="2" t="inlineStr"/>
      <c r="I23" s="2" t="inlineStr">
        <is>
          <t>yes</t>
        </is>
      </c>
      <c r="J23" s="2" t="inlineStr">
        <is>
          <t>software</t>
        </is>
      </c>
      <c r="K23" s="2" t="inlineStr">
        <is>
          <t>GitHub (same repo)</t>
        </is>
      </c>
      <c r="L23" s="2" t="inlineStr">
        <is>
          <t>Providence = cataloguing back-end; Pawtucket2 is the public front-end</t>
        </is>
      </c>
      <c r="M23" s="2" t="inlineStr">
        <is>
          <t>collectiveaccess/providence</t>
        </is>
      </c>
      <c r="N23" s="2" t="inlineStr">
        <is>
          <t>yes</t>
        </is>
      </c>
      <c r="O23" s="2" t="inlineStr">
        <is>
          <t>collectiveaccess/providence</t>
        </is>
      </c>
      <c r="P23" s="2" t="inlineStr">
        <is>
          <t>GitHub</t>
        </is>
      </c>
      <c r="Q23" s="2" t="inlineStr">
        <is>
          <t>already_current</t>
        </is>
      </c>
      <c r="R23" s="2" t="inlineStr">
        <is>
          <t>Current scoring target already matches resolved list.</t>
        </is>
      </c>
      <c r="S23" s="2" t="inlineStr">
        <is>
          <t>collectiveaccess/providence</t>
        </is>
      </c>
      <c r="T23" s="2" t="inlineStr">
        <is>
          <t>12</t>
        </is>
      </c>
      <c r="U23" s="2" t="inlineStr">
        <is>
          <t>52</t>
        </is>
      </c>
      <c r="V23" s="2" t="inlineStr">
        <is>
          <t>2</t>
        </is>
      </c>
      <c r="W23" s="2" t="inlineStr">
        <is>
          <t>2</t>
        </is>
      </c>
      <c r="X23" s="2" t="inlineStr">
        <is>
          <t>0</t>
        </is>
      </c>
      <c r="Y23" s="2" t="inlineStr">
        <is>
          <t>0.0</t>
        </is>
      </c>
      <c r="Z23" s="2" t="inlineStr">
        <is>
          <t>12</t>
        </is>
      </c>
      <c r="AA23" s="2" t="inlineStr">
        <is>
          <t>0.36</t>
        </is>
      </c>
      <c r="AB23" s="2" t="inlineStr">
        <is>
          <t>2.86</t>
        </is>
      </c>
      <c r="AC23" s="2" t="inlineStr">
        <is>
          <t>complete</t>
        </is>
      </c>
      <c r="AD23" s="2" t="inlineStr">
        <is>
          <t>839</t>
        </is>
      </c>
      <c r="AE23" s="2" t="inlineStr">
        <is>
          <t>2026-10-08</t>
        </is>
      </c>
      <c r="AF23" s="2" t="inlineStr">
        <is>
          <t>219</t>
        </is>
      </c>
      <c r="AG23" s="2" t="inlineStr">
        <is>
          <t>0</t>
        </is>
      </c>
      <c r="AH23" s="2" t="inlineStr">
        <is>
          <t>8</t>
        </is>
      </c>
      <c r="AI23" s="2" t="inlineStr">
        <is>
          <t>2</t>
        </is>
      </c>
      <c r="AJ23" s="2" t="inlineStr">
        <is>
          <t>49.82</t>
        </is>
      </c>
      <c r="AK23" s="2" t="inlineStr">
        <is>
          <t>88.78</t>
        </is>
      </c>
      <c r="AL23" s="2" t="inlineStr">
        <is>
          <t>5.25</t>
        </is>
      </c>
      <c r="AM23" s="2" t="inlineStr">
        <is>
          <t>79</t>
        </is>
      </c>
      <c r="AN23" s="2" t="inlineStr">
        <is>
          <t>0</t>
        </is>
      </c>
      <c r="AO23" s="2" t="inlineStr">
        <is>
          <t>127</t>
        </is>
      </c>
      <c r="AP23" s="2" t="inlineStr">
        <is>
          <t>143</t>
        </is>
      </c>
      <c r="AQ23" s="2" t="inlineStr">
        <is>
          <t>2.14</t>
        </is>
      </c>
      <c r="AR23" s="2" t="inlineStr">
        <is>
          <t>94</t>
        </is>
      </c>
      <c r="AS23" s="2" t="inlineStr">
        <is>
          <t>11</t>
        </is>
      </c>
      <c r="AT23" s="2" t="inlineStr">
        <is>
          <t>104</t>
        </is>
      </c>
      <c r="AU23" s="2" t="inlineStr">
        <is>
          <t>87</t>
        </is>
      </c>
      <c r="AV23" s="2" t="inlineStr">
        <is>
          <t>6</t>
        </is>
      </c>
      <c r="AW23" s="2" t="inlineStr">
        <is>
          <t>0</t>
        </is>
      </c>
      <c r="AX23" s="2" t="inlineStr">
        <is>
          <t>complete</t>
        </is>
      </c>
      <c r="AY23" s="2" t="inlineStr">
        <is>
          <t>51</t>
        </is>
      </c>
      <c r="AZ23" s="2" t="inlineStr">
        <is>
          <t>0.4766</t>
        </is>
      </c>
      <c r="BA23" s="2" t="inlineStr">
        <is>
          <t>107</t>
        </is>
      </c>
      <c r="BB23" s="2" t="inlineStr">
        <is>
          <t>76</t>
        </is>
      </c>
      <c r="BC23" s="2" t="inlineStr">
        <is>
          <t>96</t>
        </is>
      </c>
      <c r="BD23" s="2" t="inlineStr">
        <is>
          <t>0.7917</t>
        </is>
      </c>
      <c r="BE23" s="2" t="inlineStr">
        <is>
          <t>44</t>
        </is>
      </c>
      <c r="BF23" s="2" t="inlineStr">
        <is>
          <t>14</t>
        </is>
      </c>
      <c r="BG23" s="2" t="inlineStr">
        <is>
          <t>non-maintainer issues</t>
        </is>
      </c>
      <c r="BH23" s="2" t="inlineStr">
        <is>
          <t>0.5935</t>
        </is>
      </c>
      <c r="BI23" s="2" t="inlineStr">
        <is>
          <t>123</t>
        </is>
      </c>
      <c r="BJ23" s="2" t="inlineStr">
        <is>
          <t>73</t>
        </is>
      </c>
      <c r="BK23" s="2" t="inlineStr">
        <is>
          <t>102</t>
        </is>
      </c>
      <c r="BL23" s="2" t="inlineStr">
        <is>
          <t>0.8235</t>
        </is>
      </c>
      <c r="BM23" s="2" t="inlineStr">
        <is>
          <t>84</t>
        </is>
      </c>
      <c r="BN23" s="2" t="n">
        <v>97.45999999999999</v>
      </c>
      <c r="BO23" s="2" t="n">
        <v>1</v>
      </c>
      <c r="BP23" s="2" t="n">
        <v>100</v>
      </c>
      <c r="BQ23" s="2" t="n">
        <v>1</v>
      </c>
      <c r="BR23" s="2" t="n">
        <v>100</v>
      </c>
      <c r="BS23" s="2" t="n">
        <v>1</v>
      </c>
      <c r="BT23" s="2" t="n">
        <v>75</v>
      </c>
      <c r="BU23" s="2" t="n">
        <v>1</v>
      </c>
      <c r="BV23" s="2" t="n">
        <v>71.7</v>
      </c>
      <c r="BW23" s="2" t="n">
        <v>1</v>
      </c>
      <c r="BX23" s="2" t="n">
        <v>50.53</v>
      </c>
      <c r="BY23" s="2" t="n">
        <v>1</v>
      </c>
      <c r="BZ23" s="2" t="n">
        <v>100</v>
      </c>
      <c r="CA23" s="2" t="n">
        <v>1</v>
      </c>
      <c r="CB23" s="2" t="n">
        <v>59.35</v>
      </c>
      <c r="CC23" s="2" t="n">
        <v>1</v>
      </c>
      <c r="CD23" s="2" t="n">
        <v>82.34999999999999</v>
      </c>
      <c r="CE23" s="2" t="n">
        <v>1</v>
      </c>
      <c r="CF23" s="2" t="n">
        <v>47.66</v>
      </c>
      <c r="CG23" s="2" t="n">
        <v>1</v>
      </c>
      <c r="CH23" s="2" t="n">
        <v>79.17</v>
      </c>
      <c r="CI23" s="2" t="n">
        <v>1</v>
      </c>
      <c r="CJ23" s="2" t="n">
        <v>55.1</v>
      </c>
      <c r="CK23" s="2" t="n">
        <v>1</v>
      </c>
      <c r="CL23" s="2" t="n">
        <v>58.68</v>
      </c>
      <c r="CM23" s="2" t="n">
        <v>1</v>
      </c>
      <c r="CN23" s="2" t="n">
        <v>75.15384615384616</v>
      </c>
      <c r="CO23" s="2" t="n">
        <v>13</v>
      </c>
      <c r="CP23" s="2" t="n">
        <v>1</v>
      </c>
      <c r="CQ23" s="2" t="n">
        <v>75.15384615384616</v>
      </c>
      <c r="CR23" s="2" t="inlineStr"/>
      <c r="CS23" s="2" t="inlineStr"/>
      <c r="CT23" s="2" t="inlineStr"/>
      <c r="CU23" s="2" t="inlineStr"/>
    </row>
    <row r="24">
      <c r="A24" s="2" t="inlineStr">
        <is>
          <t>C4-023</t>
        </is>
      </c>
      <c r="B24" s="2" t="inlineStr">
        <is>
          <t>CORE</t>
        </is>
      </c>
      <c r="C24" s="2" t="inlineStr">
        <is>
          <t>https://github.com/oacore</t>
        </is>
      </c>
      <c r="D24" s="2" t="inlineStr">
        <is>
          <t>Resolved URL</t>
        </is>
      </c>
      <c r="E24" s="2" t="inlineStr">
        <is>
          <t>github</t>
        </is>
      </c>
      <c r="F24" s="2" t="inlineStr">
        <is>
          <t>oacore/dashboard</t>
        </is>
      </c>
      <c r="G24" s="2" t="inlineStr"/>
      <c r="H24" s="2" t="inlineStr"/>
      <c r="I24" s="2" t="inlineStr">
        <is>
          <t>yes</t>
        </is>
      </c>
      <c r="J24" s="2" t="inlineStr">
        <is>
          <t>software</t>
        </is>
      </c>
      <c r="K24" s="2" t="inlineStr">
        <is>
          <t>GitHub (same repo)</t>
        </is>
      </c>
      <c r="L24" s="2" t="inlineStr">
        <is>
          <t>Public oacore repos are front-ends and API clients; the harvesting back-end (chars) has been idle since Jan 2025 | Restored from not-assessable using resolved GitHub repository.</t>
        </is>
      </c>
      <c r="M24" s="2" t="inlineStr">
        <is>
          <t>oacore/dashboard</t>
        </is>
      </c>
      <c r="N24" s="2" t="inlineStr">
        <is>
          <t>yes</t>
        </is>
      </c>
      <c r="O24" s="2" t="inlineStr">
        <is>
          <t>oacore/dashboard</t>
        </is>
      </c>
      <c r="P24" s="2" t="inlineStr">
        <is>
          <t>GitHub</t>
        </is>
      </c>
      <c r="Q24" s="2" t="inlineStr">
        <is>
          <t>applied</t>
        </is>
      </c>
      <c r="R24" s="2" t="inlineStr">
        <is>
          <t>Restored from not-assessable using resolved GitHub repository.</t>
        </is>
      </c>
      <c r="S24" s="2" t="inlineStr">
        <is>
          <t>oacore/dashboard</t>
        </is>
      </c>
      <c r="T24" s="2" t="inlineStr">
        <is>
          <t>12</t>
        </is>
      </c>
      <c r="U24" s="2" t="inlineStr">
        <is>
          <t>39</t>
        </is>
      </c>
      <c r="V24" s="2" t="inlineStr">
        <is>
          <t>2</t>
        </is>
      </c>
      <c r="W24" s="2" t="inlineStr">
        <is>
          <t>3</t>
        </is>
      </c>
      <c r="X24" s="2" t="inlineStr">
        <is>
          <t>0</t>
        </is>
      </c>
      <c r="Y24" s="2" t="inlineStr">
        <is>
          <t>0.0</t>
        </is>
      </c>
      <c r="Z24" s="2" t="inlineStr">
        <is>
          <t>12</t>
        </is>
      </c>
      <c r="AA24" s="2" t="inlineStr">
        <is>
          <t>6.46</t>
        </is>
      </c>
      <c r="AB24" s="2" t="inlineStr">
        <is>
          <t>4.07</t>
        </is>
      </c>
      <c r="AC24" s="2" t="inlineStr">
        <is>
          <t>complete</t>
        </is>
      </c>
      <c r="AD24" s="2" t="inlineStr">
        <is>
          <t>217</t>
        </is>
      </c>
      <c r="AE24" s="2" t="inlineStr">
        <is>
          <t>2026-10-06</t>
        </is>
      </c>
      <c r="AF24" s="2" t="inlineStr">
        <is>
          <t>25</t>
        </is>
      </c>
      <c r="AG24" s="2" t="inlineStr">
        <is>
          <t>0</t>
        </is>
      </c>
      <c r="AH24" s="2" t="inlineStr">
        <is>
          <t>5</t>
        </is>
      </c>
      <c r="AI24" s="2" t="inlineStr">
        <is>
          <t>0</t>
        </is>
      </c>
      <c r="AJ24" s="2" t="inlineStr">
        <is>
          <t>36.87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/>
      <c r="BH24" s="2" t="inlineStr"/>
      <c r="BI24" s="2" t="inlineStr"/>
      <c r="BJ24" s="2" t="inlineStr"/>
      <c r="BK24" s="2" t="inlineStr"/>
      <c r="BL24" s="2" t="inlineStr"/>
      <c r="BM24" s="2" t="inlineStr"/>
      <c r="BN24" s="2" t="n">
        <v>77.94</v>
      </c>
      <c r="BO24" s="2" t="n">
        <v>1</v>
      </c>
      <c r="BP24" s="2" t="n">
        <v>75</v>
      </c>
      <c r="BQ24" s="2" t="n">
        <v>1</v>
      </c>
      <c r="BR24" s="2" t="n">
        <v>100</v>
      </c>
      <c r="BS24" s="2" t="n">
        <v>1</v>
      </c>
      <c r="BT24" s="2" t="n">
        <v>0</v>
      </c>
      <c r="BU24" s="2" t="n">
        <v>1</v>
      </c>
      <c r="BV24" s="2" t="n">
        <v>71.7</v>
      </c>
      <c r="BW24" s="2" t="n">
        <v>1</v>
      </c>
      <c r="BX24" s="2" t="n">
        <v>67.5</v>
      </c>
      <c r="BY24" s="2" t="n">
        <v>1</v>
      </c>
      <c r="BZ24" s="2" t="n">
        <v>100</v>
      </c>
      <c r="CA24" s="2" t="n">
        <v>1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37.85692307692307</v>
      </c>
      <c r="CO24" s="2" t="n">
        <v>7</v>
      </c>
      <c r="CP24" s="2" t="n">
        <v>0.5384615384615384</v>
      </c>
      <c r="CQ24" s="2" t="n">
        <v>70.30571428571429</v>
      </c>
      <c r="CR24" s="2" t="inlineStr"/>
      <c r="CS24" s="2" t="inlineStr"/>
      <c r="CT24" s="2" t="inlineStr"/>
      <c r="CU24" s="2" t="inlineStr"/>
    </row>
    <row r="25">
      <c r="A25" s="2" t="inlineStr">
        <is>
          <t>C4-024</t>
        </is>
      </c>
      <c r="B25" s="2" t="inlineStr">
        <is>
          <t>COUNTER Code of Practice</t>
        </is>
      </c>
      <c r="C25" s="2" t="inlineStr">
        <is>
          <t>https://cop5.countermetrics.org/en/5.1/index.html</t>
        </is>
      </c>
      <c r="D25" s="2" t="inlineStr">
        <is>
          <t>Resolved URL -&gt; scoreable standard repo</t>
        </is>
      </c>
      <c r="E25" s="2" t="inlineStr">
        <is>
          <t>github</t>
        </is>
      </c>
      <c r="F25" s="2" t="inlineStr">
        <is>
          <t>Project-Counter/cop5</t>
        </is>
      </c>
      <c r="G25" s="2" t="inlineStr"/>
      <c r="H25" s="2" t="inlineStr"/>
      <c r="I25" s="2" t="inlineStr">
        <is>
          <t>yes</t>
        </is>
      </c>
      <c r="J25" s="2" t="inlineStr">
        <is>
          <t>standard</t>
        </is>
      </c>
      <c r="K25" s="2" t="inlineStr">
        <is>
          <t>GitHub (same repo)</t>
        </is>
      </c>
      <c r="L25" s="2" t="inlineStr">
        <is>
          <t>Code of Practice (standard), not software | Restored as scoreable documentation/spec repository per resolved list; still marked as standard.</t>
        </is>
      </c>
      <c r="M25" s="2" t="inlineStr">
        <is>
          <t>Project-Counter/cop5</t>
        </is>
      </c>
      <c r="N25" s="2" t="inlineStr">
        <is>
          <t>yes</t>
        </is>
      </c>
      <c r="O25" s="2" t="inlineStr">
        <is>
          <t>Project-Counter/cop5</t>
        </is>
      </c>
      <c r="P25" s="2" t="inlineStr">
        <is>
          <t>GitHub</t>
        </is>
      </c>
      <c r="Q25" s="2" t="inlineStr">
        <is>
          <t>applied</t>
        </is>
      </c>
      <c r="R25" s="2" t="inlineStr">
        <is>
          <t>Restored as scoreable documentation/spec repository per resolved list; still marked as standard.</t>
        </is>
      </c>
      <c r="S25" s="2" t="inlineStr">
        <is>
          <t>Project-Counter/cop5</t>
        </is>
      </c>
      <c r="T25" s="2" t="inlineStr">
        <is>
          <t>5</t>
        </is>
      </c>
      <c r="U25" s="2" t="inlineStr">
        <is>
          <t>10</t>
        </is>
      </c>
      <c r="V25" s="2" t="inlineStr">
        <is>
          <t>2</t>
        </is>
      </c>
      <c r="W25" s="2" t="inlineStr">
        <is>
          <t>3</t>
        </is>
      </c>
      <c r="X25" s="2" t="inlineStr">
        <is>
          <t>0</t>
        </is>
      </c>
      <c r="Y25" s="2" t="inlineStr">
        <is>
          <t>0.0</t>
        </is>
      </c>
      <c r="Z25" s="2" t="inlineStr">
        <is>
          <t>5</t>
        </is>
      </c>
      <c r="AA25" s="2" t="inlineStr">
        <is>
          <t>55.58</t>
        </is>
      </c>
      <c r="AB25" s="2" t="inlineStr">
        <is>
          <t>3.41</t>
        </is>
      </c>
      <c r="AC25" s="2" t="inlineStr">
        <is>
          <t>complete</t>
        </is>
      </c>
      <c r="AD25" s="2" t="inlineStr">
        <is>
          <t>38</t>
        </is>
      </c>
      <c r="AE25" s="2" t="inlineStr">
        <is>
          <t>2026-08-06</t>
        </is>
      </c>
      <c r="AF25" s="2" t="inlineStr">
        <is>
          <t>0</t>
        </is>
      </c>
      <c r="AG25" s="2" t="inlineStr">
        <is>
          <t>0</t>
        </is>
      </c>
      <c r="AH25" s="2" t="inlineStr">
        <is>
          <t>1</t>
        </is>
      </c>
      <c r="AI25" s="2" t="inlineStr">
        <is>
          <t>0</t>
        </is>
      </c>
      <c r="AJ25" s="2" t="inlineStr">
        <is>
          <t>34.21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  <c r="BF25" s="2" t="inlineStr"/>
      <c r="BG25" s="2" t="inlineStr"/>
      <c r="BH25" s="2" t="inlineStr"/>
      <c r="BI25" s="2" t="inlineStr"/>
      <c r="BJ25" s="2" t="inlineStr"/>
      <c r="BK25" s="2" t="inlineStr"/>
      <c r="BL25" s="2" t="inlineStr"/>
      <c r="BM25" s="2" t="inlineStr"/>
      <c r="BN25" s="2" t="n">
        <v>53.03</v>
      </c>
      <c r="BO25" s="2" t="n">
        <v>1</v>
      </c>
      <c r="BP25" s="2" t="n">
        <v>19.23</v>
      </c>
      <c r="BQ25" s="2" t="n">
        <v>1</v>
      </c>
      <c r="BR25" s="2" t="n">
        <v>92.36</v>
      </c>
      <c r="BS25" s="2" t="n">
        <v>1</v>
      </c>
      <c r="BT25" s="2" t="n">
        <v>0</v>
      </c>
      <c r="BU25" s="2" t="n">
        <v>1</v>
      </c>
      <c r="BV25" s="2" t="n">
        <v>46.44</v>
      </c>
      <c r="BW25" s="2" t="n">
        <v>1</v>
      </c>
      <c r="BX25" s="2" t="n">
        <v>58.99</v>
      </c>
      <c r="BY25" s="2" t="n">
        <v>1</v>
      </c>
      <c r="BZ25" s="2" t="n">
        <v>25</v>
      </c>
      <c r="CA25" s="2" t="n">
        <v>1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22.69615384615384</v>
      </c>
      <c r="CO25" s="2" t="n">
        <v>7</v>
      </c>
      <c r="CP25" s="2" t="n">
        <v>0.5384615384615384</v>
      </c>
      <c r="CQ25" s="2" t="n">
        <v>42.15</v>
      </c>
      <c r="CR25" s="2" t="inlineStr"/>
      <c r="CS25" s="2" t="inlineStr"/>
      <c r="CT25" s="2" t="inlineStr"/>
      <c r="CU25" s="2" t="inlineStr"/>
    </row>
    <row r="26">
      <c r="A26" s="2" t="inlineStr">
        <is>
          <t>C4-025</t>
        </is>
      </c>
      <c r="B26" s="2" t="inlineStr">
        <is>
          <t>Creative Commons Licenses</t>
        </is>
      </c>
      <c r="C26" s="2" t="inlineStr">
        <is>
          <t>https://github.com/creativecommons</t>
        </is>
      </c>
      <c r="D26" s="2" t="inlineStr">
        <is>
          <t>Org URL -&gt; primary repo</t>
        </is>
      </c>
      <c r="E26" s="2" t="inlineStr">
        <is>
          <t>github</t>
        </is>
      </c>
      <c r="F26" s="2" t="inlineStr">
        <is>
          <t>creativecommons/cc-legal-tools-app</t>
        </is>
      </c>
      <c r="G26" s="2" t="inlineStr"/>
      <c r="H26" s="2" t="inlineStr"/>
      <c r="I26" s="2" t="inlineStr">
        <is>
          <t>yes</t>
        </is>
      </c>
      <c r="J26" s="2" t="inlineStr">
        <is>
          <t>software</t>
        </is>
      </c>
      <c r="K26" s="2" t="inlineStr">
        <is>
          <t>GitHub (same repo)</t>
        </is>
      </c>
      <c r="L26" s="2" t="inlineStr">
        <is>
          <t>Application that manages and publishes the licence legal code</t>
        </is>
      </c>
      <c r="M26" s="2" t="inlineStr">
        <is>
          <t>creativecommons/cc-legal-tools-app</t>
        </is>
      </c>
      <c r="N26" s="2" t="inlineStr">
        <is>
          <t>yes</t>
        </is>
      </c>
      <c r="O26" s="2" t="inlineStr">
        <is>
          <t>creativecommons/cc-legal-tools</t>
        </is>
      </c>
      <c r="P26" s="2" t="inlineStr">
        <is>
          <t>GitHub</t>
        </is>
      </c>
      <c r="Q26" s="2" t="inlineStr">
        <is>
          <t>marker_only</t>
        </is>
      </c>
      <c r="R26" s="2" t="inlineStr">
        <is>
          <t>Current scoring uses cc-legal-tools-app; resolved repo recorded as candidate.</t>
        </is>
      </c>
      <c r="S26" s="2" t="inlineStr">
        <is>
          <t>creativecommons/cc-legal-tools-app</t>
        </is>
      </c>
      <c r="T26" s="2" t="inlineStr">
        <is>
          <t>10</t>
        </is>
      </c>
      <c r="U26" s="2" t="inlineStr">
        <is>
          <t>16</t>
        </is>
      </c>
      <c r="V26" s="2" t="inlineStr">
        <is>
          <t>1</t>
        </is>
      </c>
      <c r="W26" s="2" t="inlineStr">
        <is>
          <t>2</t>
        </is>
      </c>
      <c r="X26" s="2" t="inlineStr">
        <is>
          <t>0</t>
        </is>
      </c>
      <c r="Y26" s="2" t="inlineStr">
        <is>
          <t>0.0</t>
        </is>
      </c>
      <c r="Z26" s="2" t="inlineStr">
        <is>
          <t>5</t>
        </is>
      </c>
      <c r="AA26" s="2" t="inlineStr">
        <is>
          <t>0.65</t>
        </is>
      </c>
      <c r="AB26" s="2" t="inlineStr">
        <is>
          <t>1.97</t>
        </is>
      </c>
      <c r="AC26" s="2" t="inlineStr">
        <is>
          <t>complete</t>
        </is>
      </c>
      <c r="AD26" s="2" t="inlineStr">
        <is>
          <t>75</t>
        </is>
      </c>
      <c r="AE26" s="2" t="inlineStr">
        <is>
          <t>2026-10-02</t>
        </is>
      </c>
      <c r="AF26" s="2" t="inlineStr">
        <is>
          <t>36</t>
        </is>
      </c>
      <c r="AG26" s="2" t="inlineStr">
        <is>
          <t>0</t>
        </is>
      </c>
      <c r="AH26" s="2" t="inlineStr">
        <is>
          <t>1</t>
        </is>
      </c>
      <c r="AI26" s="2" t="inlineStr">
        <is>
          <t>0</t>
        </is>
      </c>
      <c r="AJ26" s="2" t="inlineStr">
        <is>
          <t>68.0</t>
        </is>
      </c>
      <c r="AK26" s="2" t="inlineStr">
        <is>
          <t>87.5</t>
        </is>
      </c>
      <c r="AL26" s="2" t="inlineStr">
        <is>
          <t>156.99</t>
        </is>
      </c>
      <c r="AM26" s="2" t="inlineStr">
        <is>
          <t>10</t>
        </is>
      </c>
      <c r="AN26" s="2" t="inlineStr">
        <is>
          <t>9</t>
        </is>
      </c>
      <c r="AO26" s="2" t="inlineStr">
        <is>
          <t>20</t>
        </is>
      </c>
      <c r="AP26" s="2" t="inlineStr">
        <is>
          <t>28</t>
        </is>
      </c>
      <c r="AQ26" s="2" t="inlineStr">
        <is>
          <t>6.14</t>
        </is>
      </c>
      <c r="AR26" s="2" t="inlineStr">
        <is>
          <t>31</t>
        </is>
      </c>
      <c r="AS26" s="2" t="inlineStr">
        <is>
          <t>4</t>
        </is>
      </c>
      <c r="AT26" s="2" t="inlineStr">
        <is>
          <t>34</t>
        </is>
      </c>
      <c r="AU26" s="2" t="inlineStr">
        <is>
          <t>28</t>
        </is>
      </c>
      <c r="AV26" s="2" t="inlineStr">
        <is>
          <t>2</t>
        </is>
      </c>
      <c r="AW26" s="2" t="inlineStr">
        <is>
          <t>24</t>
        </is>
      </c>
      <c r="AX26" s="2" t="inlineStr">
        <is>
          <t>complete</t>
        </is>
      </c>
      <c r="AY26" s="2" t="inlineStr">
        <is>
          <t>7</t>
        </is>
      </c>
      <c r="AZ26" s="2" t="inlineStr">
        <is>
          <t>0.5385</t>
        </is>
      </c>
      <c r="BA26" s="2" t="inlineStr">
        <is>
          <t>13</t>
        </is>
      </c>
      <c r="BB26" s="2" t="inlineStr">
        <is>
          <t>27</t>
        </is>
      </c>
      <c r="BC26" s="2" t="inlineStr">
        <is>
          <t>31</t>
        </is>
      </c>
      <c r="BD26" s="2" t="inlineStr">
        <is>
          <t>0.871</t>
        </is>
      </c>
      <c r="BE26" s="2" t="inlineStr">
        <is>
          <t>87</t>
        </is>
      </c>
      <c r="BF26" s="2" t="inlineStr">
        <is>
          <t>81</t>
        </is>
      </c>
      <c r="BG26" s="2" t="inlineStr">
        <is>
          <t>non-maintainer issues</t>
        </is>
      </c>
      <c r="BH26" s="2" t="inlineStr">
        <is>
          <t>0.6364</t>
        </is>
      </c>
      <c r="BI26" s="2" t="inlineStr">
        <is>
          <t>11</t>
        </is>
      </c>
      <c r="BJ26" s="2" t="inlineStr">
        <is>
          <t>7</t>
        </is>
      </c>
      <c r="BK26" s="2" t="inlineStr">
        <is>
          <t>32</t>
        </is>
      </c>
      <c r="BL26" s="2" t="inlineStr">
        <is>
          <t>0.9062</t>
        </is>
      </c>
      <c r="BM26" s="2" t="inlineStr">
        <is>
          <t>29</t>
        </is>
      </c>
      <c r="BN26" s="2" t="n">
        <v>62.68</v>
      </c>
      <c r="BO26" s="2" t="n">
        <v>1</v>
      </c>
      <c r="BP26" s="2" t="n">
        <v>30.77</v>
      </c>
      <c r="BQ26" s="2" t="n">
        <v>1</v>
      </c>
      <c r="BR26" s="2" t="n">
        <v>100</v>
      </c>
      <c r="BS26" s="2" t="n">
        <v>1</v>
      </c>
      <c r="BT26" s="2" t="n">
        <v>0</v>
      </c>
      <c r="BU26" s="2" t="n">
        <v>1</v>
      </c>
      <c r="BV26" s="2" t="n">
        <v>46.44</v>
      </c>
      <c r="BW26" s="2" t="n">
        <v>1</v>
      </c>
      <c r="BX26" s="2" t="n">
        <v>32.61</v>
      </c>
      <c r="BY26" s="2" t="n">
        <v>1</v>
      </c>
      <c r="BZ26" s="2" t="n">
        <v>25</v>
      </c>
      <c r="CA26" s="2" t="n">
        <v>1</v>
      </c>
      <c r="CB26" s="2" t="n">
        <v>63.64</v>
      </c>
      <c r="CC26" s="2" t="n">
        <v>1</v>
      </c>
      <c r="CD26" s="2" t="n">
        <v>90.62</v>
      </c>
      <c r="CE26" s="2" t="n">
        <v>1</v>
      </c>
      <c r="CF26" s="2" t="n">
        <v>53.85</v>
      </c>
      <c r="CG26" s="2" t="n">
        <v>1</v>
      </c>
      <c r="CH26" s="2" t="n">
        <v>87.09999999999999</v>
      </c>
      <c r="CI26" s="2" t="n">
        <v>1</v>
      </c>
      <c r="CJ26" s="2" t="n">
        <v>64.81</v>
      </c>
      <c r="CK26" s="2" t="n">
        <v>1</v>
      </c>
      <c r="CL26" s="2" t="n">
        <v>95.48</v>
      </c>
      <c r="CM26" s="2" t="n">
        <v>1</v>
      </c>
      <c r="CN26" s="2" t="n">
        <v>57.92307692307692</v>
      </c>
      <c r="CO26" s="2" t="n">
        <v>13</v>
      </c>
      <c r="CP26" s="2" t="n">
        <v>1</v>
      </c>
      <c r="CQ26" s="2" t="n">
        <v>57.92307692307692</v>
      </c>
      <c r="CR26" s="2" t="inlineStr"/>
      <c r="CS26" s="2" t="inlineStr"/>
      <c r="CT26" s="2" t="inlineStr"/>
      <c r="CU26" s="2" t="inlineStr"/>
    </row>
    <row r="27">
      <c r="A27" s="2" t="inlineStr">
        <is>
          <t>C4-026</t>
        </is>
      </c>
      <c r="B27" s="2" t="inlineStr">
        <is>
          <t>Crossref Metadata Retrieval</t>
        </is>
      </c>
      <c r="C27" s="2" t="inlineStr">
        <is>
          <t>https://gitlab.com/crossref</t>
        </is>
      </c>
      <c r="D27" s="2" t="inlineStr">
        <is>
          <t>Non-GitHub (verify repo)</t>
        </is>
      </c>
      <c r="E27" s="2" t="inlineStr">
        <is>
          <t>gitlab</t>
        </is>
      </c>
      <c r="F27" s="2" t="inlineStr">
        <is>
          <t>https://gitlab.com/crossref/rest_api</t>
        </is>
      </c>
      <c r="G27" s="2" t="inlineStr"/>
      <c r="H27" s="2" t="inlineStr"/>
      <c r="I27" s="2" t="inlineStr">
        <is>
          <t>yes</t>
        </is>
      </c>
      <c r="J27" s="2" t="inlineStr">
        <is>
          <t>software</t>
        </is>
      </c>
      <c r="K27" s="2" t="inlineStr">
        <is>
          <t>GitLab (same project)</t>
        </is>
      </c>
      <c r="L27" s="2" t="inlineStr">
        <is>
          <t>GitLab group; REST API project path not verified from here (GitLab blocked)</t>
        </is>
      </c>
      <c r="M27" s="2" t="inlineStr"/>
      <c r="N27" s="2" t="inlineStr">
        <is>
          <t>yes</t>
        </is>
      </c>
      <c r="O27" s="2" t="inlineStr">
        <is>
          <t>https://gitlab.com/crossref/rest_api</t>
        </is>
      </c>
      <c r="P27" s="2" t="inlineStr">
        <is>
          <t>GitLab</t>
        </is>
      </c>
      <c r="Q27" s="2" t="inlineStr">
        <is>
          <t>already_current</t>
        </is>
      </c>
      <c r="R27" s="2" t="inlineStr">
        <is>
          <t>Current scoring target already matches resolved list.</t>
        </is>
      </c>
      <c r="S27" s="2" t="inlineStr">
        <is>
          <t>https://gitlab.com/crossref/rest_api</t>
        </is>
      </c>
      <c r="T27" s="2" t="inlineStr">
        <is>
          <t>11</t>
        </is>
      </c>
      <c r="U27" s="2" t="inlineStr">
        <is>
          <t>24</t>
        </is>
      </c>
      <c r="V27" s="2" t="inlineStr">
        <is>
          <t>1</t>
        </is>
      </c>
      <c r="W27" s="2" t="inlineStr">
        <is>
          <t>3</t>
        </is>
      </c>
      <c r="X27" s="2" t="inlineStr">
        <is>
          <t>0</t>
        </is>
      </c>
      <c r="Y27" s="2" t="inlineStr">
        <is>
          <t>0.0</t>
        </is>
      </c>
      <c r="Z27" s="2" t="inlineStr">
        <is>
          <t>6</t>
        </is>
      </c>
      <c r="AA27" s="2" t="inlineStr">
        <is>
          <t>7.35</t>
        </is>
      </c>
      <c r="AB27" s="2" t="inlineStr">
        <is>
          <t>2.86</t>
        </is>
      </c>
      <c r="AC27" s="2" t="inlineStr">
        <is>
          <t>complete</t>
        </is>
      </c>
      <c r="AD27" s="2" t="inlineStr">
        <is>
          <t>44</t>
        </is>
      </c>
      <c r="AE27" s="2" t="inlineStr">
        <is>
          <t>2026-10-13</t>
        </is>
      </c>
      <c r="AF27" s="2" t="inlineStr">
        <is>
          <t>38</t>
        </is>
      </c>
      <c r="AG27" s="2" t="inlineStr">
        <is>
          <t>0</t>
        </is>
      </c>
      <c r="AH27" s="2" t="inlineStr">
        <is>
          <t>3</t>
        </is>
      </c>
      <c r="AI27" s="2" t="inlineStr">
        <is>
          <t>30</t>
        </is>
      </c>
      <c r="AJ27" s="2" t="inlineStr">
        <is>
          <t>52.27</t>
        </is>
      </c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>
        <is>
          <t>no GitHub source</t>
        </is>
      </c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inlineStr"/>
      <c r="BH27" s="2" t="inlineStr"/>
      <c r="BI27" s="2" t="inlineStr"/>
      <c r="BJ27" s="2" t="inlineStr"/>
      <c r="BK27" s="2" t="inlineStr"/>
      <c r="BL27" s="2" t="inlineStr"/>
      <c r="BM27" s="2" t="inlineStr"/>
      <c r="BN27" s="2" t="n">
        <v>55.1</v>
      </c>
      <c r="BO27" s="2" t="n">
        <v>1</v>
      </c>
      <c r="BP27" s="2" t="n">
        <v>46.15</v>
      </c>
      <c r="BQ27" s="2" t="n">
        <v>1</v>
      </c>
      <c r="BR27" s="2" t="n">
        <v>100</v>
      </c>
      <c r="BS27" s="2" t="n">
        <v>1</v>
      </c>
      <c r="BT27" s="2" t="n">
        <v>100</v>
      </c>
      <c r="BU27" s="2" t="n">
        <v>1</v>
      </c>
      <c r="BV27" s="2" t="n">
        <v>51.7</v>
      </c>
      <c r="BW27" s="2" t="n">
        <v>1</v>
      </c>
      <c r="BX27" s="2" t="n">
        <v>50.53</v>
      </c>
      <c r="BY27" s="2" t="n">
        <v>1</v>
      </c>
      <c r="BZ27" s="2" t="n">
        <v>75</v>
      </c>
      <c r="CA27" s="2" t="n">
        <v>1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36.80615384615385</v>
      </c>
      <c r="CO27" s="2" t="n">
        <v>7</v>
      </c>
      <c r="CP27" s="2" t="n">
        <v>0.5384615384615384</v>
      </c>
      <c r="CQ27" s="2" t="n">
        <v>68.35428571428571</v>
      </c>
      <c r="CR27" s="2" t="inlineStr">
        <is>
          <t>GitLab (same project)</t>
        </is>
      </c>
      <c r="CS27" s="2" t="inlineStr"/>
      <c r="CT27" s="2" t="inlineStr"/>
      <c r="CU27" s="2" t="inlineStr">
        <is>
          <t>fill from external tracker or leave blank</t>
        </is>
      </c>
    </row>
    <row r="28">
      <c r="A28" s="2" t="inlineStr">
        <is>
          <t>C4-027</t>
        </is>
      </c>
      <c r="B28" s="2" t="inlineStr">
        <is>
          <t>D4Science Infrastructure</t>
        </is>
      </c>
      <c r="C28" s="2" t="inlineStr">
        <is>
          <t>https://code-repo.d4science.org/</t>
        </is>
      </c>
      <c r="D28" s="2" t="inlineStr">
        <is>
          <t>Non-GitHub: choose repo</t>
        </is>
      </c>
      <c r="E28" s="2" t="inlineStr">
        <is>
          <t>gitea</t>
        </is>
      </c>
      <c r="F28" s="2" t="inlineStr"/>
      <c r="G28" s="2" t="inlineStr"/>
      <c r="H28" s="2" t="inlineStr"/>
      <c r="I28" s="2" t="inlineStr">
        <is>
          <t>no</t>
        </is>
      </c>
      <c r="J28" s="2" t="inlineStr">
        <is>
          <t>needs-decision</t>
        </is>
      </c>
      <c r="K28" s="2" t="inlineStr"/>
      <c r="L28" s="2" t="inlineStr">
        <is>
          <t>Gitea root URL; D4Science is many gCube components. Pick a core repo or exclude</t>
        </is>
      </c>
      <c r="M28" s="2" t="inlineStr"/>
      <c r="N28" s="2" t="inlineStr">
        <is>
          <t>yes</t>
        </is>
      </c>
      <c r="O28" s="2" t="inlineStr">
        <is>
          <t>code-repo.d4science.org</t>
        </is>
      </c>
      <c r="P28" s="2" t="inlineStr">
        <is>
          <t>Gitea Instance</t>
        </is>
      </c>
      <c r="Q28" s="2" t="inlineStr">
        <is>
          <t>marker_only</t>
        </is>
      </c>
      <c r="R28" s="2" t="inlineStr">
        <is>
          <t>Resolved target is the host root, not a cloneable repository.</t>
        </is>
      </c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/>
      <c r="BH28" s="2" t="inlineStr"/>
      <c r="BI28" s="2" t="inlineStr"/>
      <c r="BJ28" s="2" t="inlineStr"/>
      <c r="BK28" s="2" t="inlineStr"/>
      <c r="BL28" s="2" t="inlineStr"/>
      <c r="BM28" s="2" t="inlineStr"/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</v>
      </c>
      <c r="CP28" s="2" t="n">
        <v>0</v>
      </c>
      <c r="CQ28" s="2" t="n">
        <v>0</v>
      </c>
      <c r="CR28" s="2" t="inlineStr"/>
      <c r="CS28" s="2" t="inlineStr"/>
      <c r="CT28" s="2" t="inlineStr"/>
      <c r="CU28" s="2" t="inlineStr"/>
    </row>
    <row r="29">
      <c r="A29" s="2" t="inlineStr">
        <is>
          <t>C4-028</t>
        </is>
      </c>
      <c r="B29" s="2" t="inlineStr">
        <is>
          <t>DART (Digital Archivist's Resource Tool)</t>
        </is>
      </c>
      <c r="C29" s="2" t="inlineStr">
        <is>
          <t>https://github.com/aptrust/dart/</t>
        </is>
      </c>
      <c r="D29" s="2" t="inlineStr">
        <is>
          <t>Ready</t>
        </is>
      </c>
      <c r="E29" s="2" t="inlineStr">
        <is>
          <t>github</t>
        </is>
      </c>
      <c r="F29" s="2" t="inlineStr">
        <is>
          <t>aptrust/dart</t>
        </is>
      </c>
      <c r="G29" s="2" t="inlineStr"/>
      <c r="H29" s="2" t="inlineStr"/>
      <c r="I29" s="2" t="inlineStr">
        <is>
          <t>yes</t>
        </is>
      </c>
      <c r="J29" s="2" t="inlineStr">
        <is>
          <t>software</t>
        </is>
      </c>
      <c r="K29" s="2" t="inlineStr">
        <is>
          <t>GitHub (same repo)</t>
        </is>
      </c>
      <c r="L29" s="2" t="inlineStr"/>
      <c r="M29" s="2" t="inlineStr">
        <is>
          <t>aptrust/dart</t>
        </is>
      </c>
      <c r="N29" s="2" t="inlineStr"/>
      <c r="O29" s="2" t="inlineStr"/>
      <c r="P29" s="2" t="inlineStr"/>
      <c r="Q29" s="2" t="inlineStr"/>
      <c r="R29" s="2" t="inlineStr"/>
      <c r="S29" s="2" t="inlineStr">
        <is>
          <t>aptrust/dart</t>
        </is>
      </c>
      <c r="T29" s="2" t="inlineStr">
        <is>
          <t>11</t>
        </is>
      </c>
      <c r="U29" s="2" t="inlineStr">
        <is>
          <t>23</t>
        </is>
      </c>
      <c r="V29" s="2" t="inlineStr">
        <is>
          <t>1</t>
        </is>
      </c>
      <c r="W29" s="2" t="inlineStr">
        <is>
          <t>2</t>
        </is>
      </c>
      <c r="X29" s="2" t="inlineStr">
        <is>
          <t>0</t>
        </is>
      </c>
      <c r="Y29" s="2" t="inlineStr">
        <is>
          <t>0.0</t>
        </is>
      </c>
      <c r="Z29" s="2" t="inlineStr">
        <is>
          <t>3</t>
        </is>
      </c>
      <c r="AA29" s="2" t="inlineStr">
        <is>
          <t>26.33</t>
        </is>
      </c>
      <c r="AB29" s="2" t="inlineStr">
        <is>
          <t>2.18</t>
        </is>
      </c>
      <c r="AC29" s="2" t="inlineStr">
        <is>
          <t>complete</t>
        </is>
      </c>
      <c r="AD29" s="2" t="inlineStr">
        <is>
          <t>197</t>
        </is>
      </c>
      <c r="AE29" s="2" t="inlineStr">
        <is>
          <t>2026-09-04</t>
        </is>
      </c>
      <c r="AF29" s="2" t="inlineStr">
        <is>
          <t>4</t>
        </is>
      </c>
      <c r="AG29" s="2" t="inlineStr">
        <is>
          <t>0</t>
        </is>
      </c>
      <c r="AH29" s="2" t="inlineStr">
        <is>
          <t>1</t>
        </is>
      </c>
      <c r="AI29" s="2" t="inlineStr">
        <is>
          <t>4</t>
        </is>
      </c>
      <c r="AJ29" s="2" t="inlineStr">
        <is>
          <t>50.76</t>
        </is>
      </c>
      <c r="AK29" s="2" t="inlineStr">
        <is>
          <t>80.0</t>
        </is>
      </c>
      <c r="AL29" s="2" t="inlineStr">
        <is>
          <t>5.67</t>
        </is>
      </c>
      <c r="AM29" s="2" t="inlineStr">
        <is>
          <t>16</t>
        </is>
      </c>
      <c r="AN29" s="2" t="inlineStr">
        <is>
          <t>82</t>
        </is>
      </c>
      <c r="AO29" s="2" t="inlineStr">
        <is>
          <t>98</t>
        </is>
      </c>
      <c r="AP29" s="2" t="inlineStr">
        <is>
          <t>22</t>
        </is>
      </c>
      <c r="AQ29" s="2" t="inlineStr">
        <is>
          <t>18.27</t>
        </is>
      </c>
      <c r="AR29" s="2" t="inlineStr">
        <is>
          <t>3</t>
        </is>
      </c>
      <c r="AS29" s="2" t="inlineStr">
        <is>
          <t>1</t>
        </is>
      </c>
      <c r="AT29" s="2" t="inlineStr">
        <is>
          <t>6</t>
        </is>
      </c>
      <c r="AU29" s="2" t="inlineStr">
        <is>
          <t>4</t>
        </is>
      </c>
      <c r="AV29" s="2" t="inlineStr">
        <is>
          <t>1</t>
        </is>
      </c>
      <c r="AW29" s="2" t="inlineStr">
        <is>
          <t>4</t>
        </is>
      </c>
      <c r="AX29" s="2" t="inlineStr">
        <is>
          <t>complete</t>
        </is>
      </c>
      <c r="AY29" s="2" t="inlineStr">
        <is>
          <t>1</t>
        </is>
      </c>
      <c r="AZ29" s="2" t="inlineStr">
        <is>
          <t>0.0106</t>
        </is>
      </c>
      <c r="BA29" s="2" t="inlineStr">
        <is>
          <t>94</t>
        </is>
      </c>
      <c r="BB29" s="2" t="inlineStr">
        <is>
          <t>4</t>
        </is>
      </c>
      <c r="BC29" s="2" t="inlineStr">
        <is>
          <t>5</t>
        </is>
      </c>
      <c r="BD29" s="2" t="inlineStr"/>
      <c r="BE29" s="2" t="inlineStr">
        <is>
          <t>14</t>
        </is>
      </c>
      <c r="BF29" s="2" t="inlineStr">
        <is>
          <t>0</t>
        </is>
      </c>
      <c r="BG29" s="2" t="inlineStr">
        <is>
          <t>non-maintainer issues</t>
        </is>
      </c>
      <c r="BH29" s="2" t="inlineStr">
        <is>
          <t>1.0</t>
        </is>
      </c>
      <c r="BI29" s="2" t="inlineStr">
        <is>
          <t>16</t>
        </is>
      </c>
      <c r="BJ29" s="2" t="inlineStr">
        <is>
          <t>16</t>
        </is>
      </c>
      <c r="BK29" s="2" t="inlineStr">
        <is>
          <t>6</t>
        </is>
      </c>
      <c r="BL29" s="2" t="inlineStr"/>
      <c r="BM29" s="2" t="inlineStr">
        <is>
          <t>3</t>
        </is>
      </c>
      <c r="BN29" s="2" t="n">
        <v>76.54000000000001</v>
      </c>
      <c r="BO29" s="2" t="n">
        <v>1</v>
      </c>
      <c r="BP29" s="2" t="n">
        <v>44.23</v>
      </c>
      <c r="BQ29" s="2" t="n">
        <v>1</v>
      </c>
      <c r="BR29" s="2" t="n">
        <v>100</v>
      </c>
      <c r="BS29" s="2" t="n">
        <v>1</v>
      </c>
      <c r="BT29" s="2" t="n">
        <v>100</v>
      </c>
      <c r="BU29" s="2" t="n">
        <v>1</v>
      </c>
      <c r="BV29" s="2" t="n">
        <v>31.7</v>
      </c>
      <c r="BW29" s="2" t="n">
        <v>1</v>
      </c>
      <c r="BX29" s="2" t="n">
        <v>37.48</v>
      </c>
      <c r="BY29" s="2" t="n">
        <v>1</v>
      </c>
      <c r="BZ29" s="2" t="n">
        <v>25</v>
      </c>
      <c r="CA29" s="2" t="n">
        <v>1</v>
      </c>
      <c r="CB29" s="2" t="n">
        <v>100</v>
      </c>
      <c r="CC29" s="2" t="n">
        <v>1</v>
      </c>
      <c r="CD29" s="2" t="n">
        <v>0</v>
      </c>
      <c r="CE29" s="2" t="n">
        <v>0</v>
      </c>
      <c r="CF29" s="2" t="n">
        <v>1.06</v>
      </c>
      <c r="CG29" s="2" t="n">
        <v>1</v>
      </c>
      <c r="CH29" s="2" t="n">
        <v>0</v>
      </c>
      <c r="CI29" s="2" t="n">
        <v>0</v>
      </c>
      <c r="CJ29" s="2" t="n">
        <v>39.2</v>
      </c>
      <c r="CK29" s="2" t="n">
        <v>1</v>
      </c>
      <c r="CL29" s="2" t="n">
        <v>0</v>
      </c>
      <c r="CM29" s="2" t="n">
        <v>1</v>
      </c>
      <c r="CN29" s="2" t="n">
        <v>42.70846153846154</v>
      </c>
      <c r="CO29" s="2" t="n">
        <v>11</v>
      </c>
      <c r="CP29" s="2" t="n">
        <v>0.8461538461538461</v>
      </c>
      <c r="CQ29" s="2" t="n">
        <v>50.47363636363637</v>
      </c>
      <c r="CR29" s="2" t="inlineStr"/>
      <c r="CS29" s="2" t="inlineStr"/>
      <c r="CT29" s="2" t="inlineStr"/>
      <c r="CU29" s="2" t="inlineStr"/>
    </row>
    <row r="30">
      <c r="A30" s="2" t="inlineStr">
        <is>
          <t>C4-029</t>
        </is>
      </c>
      <c r="B30" s="2" t="inlineStr">
        <is>
          <t>Database Information System</t>
        </is>
      </c>
      <c r="C30" s="2" t="inlineStr">
        <is>
          <t>https://github.com/ub-regensburg/dbis</t>
        </is>
      </c>
      <c r="D30" s="2" t="inlineStr">
        <is>
          <t>Keep (dormant/new)</t>
        </is>
      </c>
      <c r="E30" s="2" t="inlineStr">
        <is>
          <t>github</t>
        </is>
      </c>
      <c r="F30" s="2" t="inlineStr">
        <is>
          <t>ub-regensburg/dbis</t>
        </is>
      </c>
      <c r="G30" s="2" t="inlineStr"/>
      <c r="H30" s="2" t="inlineStr"/>
      <c r="I30" s="2" t="inlineStr">
        <is>
          <t>yes</t>
        </is>
      </c>
      <c r="J30" s="2" t="inlineStr">
        <is>
          <t>software</t>
        </is>
      </c>
      <c r="K30" s="2" t="inlineStr">
        <is>
          <t>GitHub (0 open)</t>
        </is>
      </c>
      <c r="L30" s="2" t="inlineStr">
        <is>
          <t>Only 3 commits ever; README says code is being published gradually</t>
        </is>
      </c>
      <c r="M30" s="2" t="inlineStr">
        <is>
          <t>ub-regensburg/dbis</t>
        </is>
      </c>
      <c r="N30" s="2" t="inlineStr"/>
      <c r="O30" s="2" t="inlineStr"/>
      <c r="P30" s="2" t="inlineStr"/>
      <c r="Q30" s="2" t="inlineStr"/>
      <c r="R30" s="2" t="inlineStr"/>
      <c r="S30" s="2" t="inlineStr">
        <is>
          <t>ub-regensburg/dbis</t>
        </is>
      </c>
      <c r="T30" s="2" t="inlineStr">
        <is>
          <t>0</t>
        </is>
      </c>
      <c r="U30" s="2" t="inlineStr">
        <is>
          <t>0</t>
        </is>
      </c>
      <c r="V30" s="2" t="inlineStr"/>
      <c r="W30" s="2" t="inlineStr"/>
      <c r="X30" s="2" t="inlineStr">
        <is>
          <t>0</t>
        </is>
      </c>
      <c r="Y30" s="2" t="inlineStr"/>
      <c r="Z30" s="2" t="inlineStr">
        <is>
          <t>0</t>
        </is>
      </c>
      <c r="AA30" s="2" t="inlineStr"/>
      <c r="AB30" s="2" t="inlineStr"/>
      <c r="AC30" s="2" t="inlineStr">
        <is>
          <t>complete</t>
        </is>
      </c>
      <c r="AD30" s="2" t="inlineStr">
        <is>
          <t>0</t>
        </is>
      </c>
      <c r="AE30" s="2" t="inlineStr">
        <is>
          <t>2025-03-03</t>
        </is>
      </c>
      <c r="AF30" s="2" t="inlineStr">
        <is>
          <t>0</t>
        </is>
      </c>
      <c r="AG30" s="2" t="inlineStr">
        <is>
          <t>0</t>
        </is>
      </c>
      <c r="AH30" s="2" t="inlineStr">
        <is>
          <t>0</t>
        </is>
      </c>
      <c r="AI30" s="2" t="inlineStr">
        <is>
          <t>0</t>
        </is>
      </c>
      <c r="AJ30" s="2" t="inlineStr"/>
      <c r="AK30" s="2" t="inlineStr"/>
      <c r="AL30" s="2" t="inlineStr"/>
      <c r="AM30" s="2" t="inlineStr">
        <is>
          <t>0</t>
        </is>
      </c>
      <c r="AN30" s="2" t="inlineStr">
        <is>
          <t>0</t>
        </is>
      </c>
      <c r="AO30" s="2" t="inlineStr">
        <is>
          <t>0</t>
        </is>
      </c>
      <c r="AP30" s="2" t="inlineStr">
        <is>
          <t>0</t>
        </is>
      </c>
      <c r="AQ30" s="2" t="inlineStr"/>
      <c r="AR30" s="2" t="inlineStr">
        <is>
          <t>0</t>
        </is>
      </c>
      <c r="AS30" s="2" t="inlineStr">
        <is>
          <t>0</t>
        </is>
      </c>
      <c r="AT30" s="2" t="inlineStr">
        <is>
          <t>0</t>
        </is>
      </c>
      <c r="AU30" s="2" t="inlineStr">
        <is>
          <t>0</t>
        </is>
      </c>
      <c r="AV30" s="2" t="inlineStr">
        <is>
          <t>0</t>
        </is>
      </c>
      <c r="AW30" s="2" t="inlineStr">
        <is>
          <t>0</t>
        </is>
      </c>
      <c r="AX30" s="2" t="inlineStr">
        <is>
          <t>complete</t>
        </is>
      </c>
      <c r="AY30" s="2" t="inlineStr">
        <is>
          <t>0</t>
        </is>
      </c>
      <c r="AZ30" s="2" t="inlineStr"/>
      <c r="BA30" s="2" t="inlineStr">
        <is>
          <t>0</t>
        </is>
      </c>
      <c r="BB30" s="2" t="inlineStr">
        <is>
          <t>0</t>
        </is>
      </c>
      <c r="BC30" s="2" t="inlineStr">
        <is>
          <t>0</t>
        </is>
      </c>
      <c r="BD30" s="2" t="inlineStr"/>
      <c r="BE30" s="2" t="inlineStr">
        <is>
          <t>0</t>
        </is>
      </c>
      <c r="BF30" s="2" t="inlineStr">
        <is>
          <t>0</t>
        </is>
      </c>
      <c r="BG30" s="2" t="inlineStr">
        <is>
          <t>all issues (too few non-maintainer)</t>
        </is>
      </c>
      <c r="BH30" s="2" t="inlineStr"/>
      <c r="BI30" s="2" t="inlineStr">
        <is>
          <t>0</t>
        </is>
      </c>
      <c r="BJ30" s="2" t="inlineStr">
        <is>
          <t>0</t>
        </is>
      </c>
      <c r="BK30" s="2" t="inlineStr">
        <is>
          <t>0</t>
        </is>
      </c>
      <c r="BL30" s="2" t="inlineStr"/>
      <c r="BM30" s="2" t="inlineStr">
        <is>
          <t>0</t>
        </is>
      </c>
      <c r="BN30" s="2" t="n">
        <v>0</v>
      </c>
      <c r="BO30" s="2" t="n">
        <v>1</v>
      </c>
      <c r="BP30" s="2" t="n">
        <v>0</v>
      </c>
      <c r="BQ30" s="2" t="n">
        <v>1</v>
      </c>
      <c r="BR30" s="2" t="n">
        <v>0</v>
      </c>
      <c r="BS30" s="2" t="n">
        <v>1</v>
      </c>
      <c r="BT30" s="2" t="n">
        <v>0</v>
      </c>
      <c r="BU30" s="2" t="n">
        <v>1</v>
      </c>
      <c r="BV30" s="2" t="n">
        <v>0</v>
      </c>
      <c r="BW30" s="2" t="n">
        <v>1</v>
      </c>
      <c r="BX30" s="2" t="n">
        <v>0</v>
      </c>
      <c r="BY30" s="2" t="n">
        <v>1</v>
      </c>
      <c r="BZ30" s="2" t="n">
        <v>0</v>
      </c>
      <c r="CA30" s="2" t="n">
        <v>1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1</v>
      </c>
      <c r="CL30" s="2" t="n">
        <v>0</v>
      </c>
      <c r="CM30" s="2" t="n">
        <v>1</v>
      </c>
      <c r="CN30" s="2" t="n">
        <v>0</v>
      </c>
      <c r="CO30" s="2" t="n">
        <v>9</v>
      </c>
      <c r="CP30" s="2" t="n">
        <v>0.6923076923076923</v>
      </c>
      <c r="CQ30" s="2" t="n">
        <v>0</v>
      </c>
      <c r="CR30" s="2" t="inlineStr"/>
      <c r="CS30" s="2" t="inlineStr"/>
      <c r="CT30" s="2" t="inlineStr"/>
      <c r="CU30" s="2" t="inlineStr"/>
    </row>
    <row r="31">
      <c r="A31" s="2" t="inlineStr">
        <is>
          <t>C4-030</t>
        </is>
      </c>
      <c r="B31" s="2" t="inlineStr">
        <is>
          <t>Data Citation Corpus</t>
        </is>
      </c>
      <c r="C31" s="2" t="inlineStr">
        <is>
          <t>https://github.com/Make-Data-Count-Community/corpus-data-file</t>
        </is>
      </c>
      <c r="D31" s="2" t="inlineStr">
        <is>
          <t>Keep</t>
        </is>
      </c>
      <c r="E31" s="2" t="inlineStr">
        <is>
          <t>github</t>
        </is>
      </c>
      <c r="F31" s="2" t="inlineStr">
        <is>
          <t>Make-Data-Count-Community/corpus-data-file</t>
        </is>
      </c>
      <c r="G31" s="2" t="inlineStr"/>
      <c r="H31" s="2" t="inlineStr"/>
      <c r="I31" s="2" t="inlineStr">
        <is>
          <t>yes</t>
        </is>
      </c>
      <c r="J31" s="2" t="inlineStr">
        <is>
          <t>software</t>
        </is>
      </c>
      <c r="K31" s="2" t="inlineStr">
        <is>
          <t>GitHub (same repo)</t>
        </is>
      </c>
      <c r="L31" s="2" t="inlineStr">
        <is>
          <t>This repo is the corpus build code; low activity is a real result</t>
        </is>
      </c>
      <c r="M31" s="2" t="inlineStr">
        <is>
          <t>Make-Data-Count-Community/corpus-data-file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Make-Data-Count-Community/corpus-data-file</t>
        </is>
      </c>
      <c r="T31" s="2" t="inlineStr">
        <is>
          <t>1</t>
        </is>
      </c>
      <c r="U31" s="2" t="inlineStr">
        <is>
          <t>1</t>
        </is>
      </c>
      <c r="V31" s="2" t="inlineStr">
        <is>
          <t>1</t>
        </is>
      </c>
      <c r="W31" s="2" t="inlineStr">
        <is>
          <t>1</t>
        </is>
      </c>
      <c r="X31" s="2" t="inlineStr">
        <is>
          <t>0</t>
        </is>
      </c>
      <c r="Y31" s="2" t="inlineStr">
        <is>
          <t>0.0</t>
        </is>
      </c>
      <c r="Z31" s="2" t="inlineStr">
        <is>
          <t>1</t>
        </is>
      </c>
      <c r="AA31" s="2" t="inlineStr">
        <is>
          <t>94.6</t>
        </is>
      </c>
      <c r="AB31" s="2" t="inlineStr">
        <is>
          <t>1.0</t>
        </is>
      </c>
      <c r="AC31" s="2" t="inlineStr">
        <is>
          <t>complete</t>
        </is>
      </c>
      <c r="AD31" s="2" t="inlineStr">
        <is>
          <t>1</t>
        </is>
      </c>
      <c r="AE31" s="2" t="inlineStr">
        <is>
          <t>2026-06-28</t>
        </is>
      </c>
      <c r="AF31" s="2" t="inlineStr">
        <is>
          <t>0</t>
        </is>
      </c>
      <c r="AG31" s="2" t="inlineStr">
        <is>
          <t>0</t>
        </is>
      </c>
      <c r="AH31" s="2" t="inlineStr">
        <is>
          <t>0</t>
        </is>
      </c>
      <c r="AI31" s="2" t="inlineStr">
        <is>
          <t>0</t>
        </is>
      </c>
      <c r="AJ31" s="2" t="inlineStr">
        <is>
          <t>100.0</t>
        </is>
      </c>
      <c r="AK31" s="2" t="inlineStr"/>
      <c r="AL31" s="2" t="inlineStr"/>
      <c r="AM31" s="2" t="inlineStr">
        <is>
          <t>0</t>
        </is>
      </c>
      <c r="AN31" s="2" t="inlineStr">
        <is>
          <t>0</t>
        </is>
      </c>
      <c r="AO31" s="2" t="inlineStr">
        <is>
          <t>0</t>
        </is>
      </c>
      <c r="AP31" s="2" t="inlineStr">
        <is>
          <t>6</t>
        </is>
      </c>
      <c r="AQ31" s="2" t="inlineStr"/>
      <c r="AR31" s="2" t="inlineStr">
        <is>
          <t>0</t>
        </is>
      </c>
      <c r="AS31" s="2" t="inlineStr">
        <is>
          <t>0</t>
        </is>
      </c>
      <c r="AT31" s="2" t="inlineStr">
        <is>
          <t>0</t>
        </is>
      </c>
      <c r="AU31" s="2" t="inlineStr">
        <is>
          <t>0</t>
        </is>
      </c>
      <c r="AV31" s="2" t="inlineStr">
        <is>
          <t>0</t>
        </is>
      </c>
      <c r="AW31" s="2" t="inlineStr">
        <is>
          <t>0</t>
        </is>
      </c>
      <c r="AX31" s="2" t="inlineStr">
        <is>
          <t>complete</t>
        </is>
      </c>
      <c r="AY31" s="2" t="inlineStr">
        <is>
          <t>0</t>
        </is>
      </c>
      <c r="AZ31" s="2" t="inlineStr"/>
      <c r="BA31" s="2" t="inlineStr">
        <is>
          <t>0</t>
        </is>
      </c>
      <c r="BB31" s="2" t="inlineStr">
        <is>
          <t>0</t>
        </is>
      </c>
      <c r="BC31" s="2" t="inlineStr">
        <is>
          <t>0</t>
        </is>
      </c>
      <c r="BD31" s="2" t="inlineStr"/>
      <c r="BE31" s="2" t="inlineStr">
        <is>
          <t>1</t>
        </is>
      </c>
      <c r="BF31" s="2" t="inlineStr">
        <is>
          <t>0</t>
        </is>
      </c>
      <c r="BG31" s="2" t="inlineStr">
        <is>
          <t>all issues (too few non-maintainer)</t>
        </is>
      </c>
      <c r="BH31" s="2" t="inlineStr"/>
      <c r="BI31" s="2" t="inlineStr">
        <is>
          <t>0</t>
        </is>
      </c>
      <c r="BJ31" s="2" t="inlineStr">
        <is>
          <t>0</t>
        </is>
      </c>
      <c r="BK31" s="2" t="inlineStr">
        <is>
          <t>0</t>
        </is>
      </c>
      <c r="BL31" s="2" t="inlineStr"/>
      <c r="BM31" s="2" t="inlineStr">
        <is>
          <t>0</t>
        </is>
      </c>
      <c r="BN31" s="2" t="n">
        <v>10.03</v>
      </c>
      <c r="BO31" s="2" t="n">
        <v>1</v>
      </c>
      <c r="BP31" s="2" t="n">
        <v>1.92</v>
      </c>
      <c r="BQ31" s="2" t="n">
        <v>1</v>
      </c>
      <c r="BR31" s="2" t="n">
        <v>80.72</v>
      </c>
      <c r="BS31" s="2" t="n">
        <v>1</v>
      </c>
      <c r="BT31" s="2" t="n">
        <v>0</v>
      </c>
      <c r="BU31" s="2" t="n">
        <v>1</v>
      </c>
      <c r="BV31" s="2" t="n">
        <v>0</v>
      </c>
      <c r="BW31" s="2" t="n">
        <v>1</v>
      </c>
      <c r="BX31" s="2" t="n">
        <v>0</v>
      </c>
      <c r="BY31" s="2" t="n">
        <v>1</v>
      </c>
      <c r="BZ31" s="2" t="n">
        <v>0</v>
      </c>
      <c r="CA31" s="2" t="n">
        <v>1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10.03</v>
      </c>
      <c r="CK31" s="2" t="n">
        <v>1</v>
      </c>
      <c r="CL31" s="2" t="n">
        <v>0</v>
      </c>
      <c r="CM31" s="2" t="n">
        <v>1</v>
      </c>
      <c r="CN31" s="2" t="n">
        <v>7.899999999999999</v>
      </c>
      <c r="CO31" s="2" t="n">
        <v>9</v>
      </c>
      <c r="CP31" s="2" t="n">
        <v>0.6923076923076923</v>
      </c>
      <c r="CQ31" s="2" t="n">
        <v>11.41111111111111</v>
      </c>
      <c r="CR31" s="2" t="inlineStr"/>
      <c r="CS31" s="2" t="inlineStr"/>
      <c r="CT31" s="2" t="inlineStr"/>
      <c r="CU31" s="2" t="inlineStr"/>
    </row>
    <row r="32">
      <c r="A32" s="2" t="inlineStr">
        <is>
          <t>C4-031</t>
        </is>
      </c>
      <c r="B32" s="2" t="inlineStr">
        <is>
          <t>DataCite</t>
        </is>
      </c>
      <c r="C32" s="2" t="inlineStr">
        <is>
          <t>https://github.com/datacite</t>
        </is>
      </c>
      <c r="D32" s="2" t="inlineStr">
        <is>
          <t>Org URL -&gt; primary repo</t>
        </is>
      </c>
      <c r="E32" s="2" t="inlineStr">
        <is>
          <t>github</t>
        </is>
      </c>
      <c r="F32" s="2" t="inlineStr">
        <is>
          <t>datacite/lupo</t>
        </is>
      </c>
      <c r="G32" s="2" t="inlineStr"/>
      <c r="H32" s="2" t="inlineStr"/>
      <c r="I32" s="2" t="inlineStr">
        <is>
          <t>yes</t>
        </is>
      </c>
      <c r="J32" s="2" t="inlineStr">
        <is>
          <t>software</t>
        </is>
      </c>
      <c r="K32" s="2" t="inlineStr">
        <is>
          <t>GitHub (same repo); org-level datacite/datacite repo idle since 2024</t>
        </is>
      </c>
      <c r="L32" s="2" t="inlineStr">
        <is>
          <t>DataCite REST API</t>
        </is>
      </c>
      <c r="M32" s="2" t="inlineStr">
        <is>
          <t>datacite/lupo</t>
        </is>
      </c>
      <c r="N32" s="2" t="inlineStr">
        <is>
          <t>yes</t>
        </is>
      </c>
      <c r="O32" s="2" t="inlineStr">
        <is>
          <t>datacite/lupo</t>
        </is>
      </c>
      <c r="P32" s="2" t="inlineStr">
        <is>
          <t>GitHub</t>
        </is>
      </c>
      <c r="Q32" s="2" t="inlineStr">
        <is>
          <t>already_current</t>
        </is>
      </c>
      <c r="R32" s="2" t="inlineStr">
        <is>
          <t>Current scoring target already matches resolved list.</t>
        </is>
      </c>
      <c r="S32" s="2" t="inlineStr">
        <is>
          <t>datacite/lupo</t>
        </is>
      </c>
      <c r="T32" s="2" t="inlineStr">
        <is>
          <t>12</t>
        </is>
      </c>
      <c r="U32" s="2" t="inlineStr">
        <is>
          <t>50</t>
        </is>
      </c>
      <c r="V32" s="2" t="inlineStr">
        <is>
          <t>2</t>
        </is>
      </c>
      <c r="W32" s="2" t="inlineStr">
        <is>
          <t>4</t>
        </is>
      </c>
      <c r="X32" s="2" t="inlineStr">
        <is>
          <t>12</t>
        </is>
      </c>
      <c r="Y32" s="2" t="inlineStr">
        <is>
          <t>0.014</t>
        </is>
      </c>
      <c r="Z32" s="2" t="inlineStr">
        <is>
          <t>11</t>
        </is>
      </c>
      <c r="AA32" s="2" t="inlineStr">
        <is>
          <t>2.47</t>
        </is>
      </c>
      <c r="AB32" s="2" t="inlineStr">
        <is>
          <t>4.05</t>
        </is>
      </c>
      <c r="AC32" s="2" t="inlineStr">
        <is>
          <t>complete</t>
        </is>
      </c>
      <c r="AD32" s="2" t="inlineStr">
        <is>
          <t>868</t>
        </is>
      </c>
      <c r="AE32" s="2" t="inlineStr">
        <is>
          <t>2026-10-13</t>
        </is>
      </c>
      <c r="AF32" s="2" t="inlineStr">
        <is>
          <t>192</t>
        </is>
      </c>
      <c r="AG32" s="2" t="inlineStr">
        <is>
          <t>3</t>
        </is>
      </c>
      <c r="AH32" s="2" t="inlineStr">
        <is>
          <t>8</t>
        </is>
      </c>
      <c r="AI32" s="2" t="inlineStr">
        <is>
          <t>51</t>
        </is>
      </c>
      <c r="AJ32" s="2" t="inlineStr">
        <is>
          <t>37.33</t>
        </is>
      </c>
      <c r="AK32" s="2" t="inlineStr">
        <is>
          <t>90.58</t>
        </is>
      </c>
      <c r="AL32" s="2" t="inlineStr">
        <is>
          <t>44.46</t>
        </is>
      </c>
      <c r="AM32" s="2" t="inlineStr">
        <is>
          <t>5</t>
        </is>
      </c>
      <c r="AN32" s="2" t="inlineStr">
        <is>
          <t>5</t>
        </is>
      </c>
      <c r="AO32" s="2" t="inlineStr">
        <is>
          <t>15</t>
        </is>
      </c>
      <c r="AP32" s="2" t="inlineStr">
        <is>
          <t>51</t>
        </is>
      </c>
      <c r="AQ32" s="2" t="inlineStr">
        <is>
          <t>1.8</t>
        </is>
      </c>
      <c r="AR32" s="2" t="inlineStr">
        <is>
          <t>131</t>
        </is>
      </c>
      <c r="AS32" s="2" t="inlineStr">
        <is>
          <t>13</t>
        </is>
      </c>
      <c r="AT32" s="2" t="inlineStr">
        <is>
          <t>146</t>
        </is>
      </c>
      <c r="AU32" s="2" t="inlineStr">
        <is>
          <t>125</t>
        </is>
      </c>
      <c r="AV32" s="2" t="inlineStr">
        <is>
          <t>8</t>
        </is>
      </c>
      <c r="AW32" s="2" t="inlineStr">
        <is>
          <t>117</t>
        </is>
      </c>
      <c r="AX32" s="2" t="inlineStr">
        <is>
          <t>complete</t>
        </is>
      </c>
      <c r="AY32" s="2" t="inlineStr">
        <is>
          <t>9</t>
        </is>
      </c>
      <c r="AZ32" s="2" t="inlineStr">
        <is>
          <t>0.6429</t>
        </is>
      </c>
      <c r="BA32" s="2" t="inlineStr">
        <is>
          <t>14</t>
        </is>
      </c>
      <c r="BB32" s="2" t="inlineStr">
        <is>
          <t>115</t>
        </is>
      </c>
      <c r="BC32" s="2" t="inlineStr">
        <is>
          <t>130</t>
        </is>
      </c>
      <c r="BD32" s="2" t="inlineStr">
        <is>
          <t>0.8846</t>
        </is>
      </c>
      <c r="BE32" s="2" t="inlineStr">
        <is>
          <t>2</t>
        </is>
      </c>
      <c r="BF32" s="2" t="inlineStr">
        <is>
          <t>0</t>
        </is>
      </c>
      <c r="BG32" s="2" t="inlineStr">
        <is>
          <t>non-maintainer issues</t>
        </is>
      </c>
      <c r="BH32" s="2" t="inlineStr">
        <is>
          <t>0.4</t>
        </is>
      </c>
      <c r="BI32" s="2" t="inlineStr">
        <is>
          <t>10</t>
        </is>
      </c>
      <c r="BJ32" s="2" t="inlineStr">
        <is>
          <t>4</t>
        </is>
      </c>
      <c r="BK32" s="2" t="inlineStr">
        <is>
          <t>144</t>
        </is>
      </c>
      <c r="BL32" s="2" t="inlineStr">
        <is>
          <t>0.8056</t>
        </is>
      </c>
      <c r="BM32" s="2" t="inlineStr">
        <is>
          <t>116</t>
        </is>
      </c>
      <c r="BN32" s="2" t="n">
        <v>97.95</v>
      </c>
      <c r="BO32" s="2" t="n">
        <v>1</v>
      </c>
      <c r="BP32" s="2" t="n">
        <v>96.15000000000001</v>
      </c>
      <c r="BQ32" s="2" t="n">
        <v>1</v>
      </c>
      <c r="BR32" s="2" t="n">
        <v>100</v>
      </c>
      <c r="BS32" s="2" t="n">
        <v>1</v>
      </c>
      <c r="BT32" s="2" t="n">
        <v>100</v>
      </c>
      <c r="BU32" s="2" t="n">
        <v>1</v>
      </c>
      <c r="BV32" s="2" t="n">
        <v>69.19</v>
      </c>
      <c r="BW32" s="2" t="n">
        <v>1</v>
      </c>
      <c r="BX32" s="2" t="n">
        <v>67.26000000000001</v>
      </c>
      <c r="BY32" s="2" t="n">
        <v>1</v>
      </c>
      <c r="BZ32" s="2" t="n">
        <v>100</v>
      </c>
      <c r="CA32" s="2" t="n">
        <v>1</v>
      </c>
      <c r="CB32" s="2" t="n">
        <v>40</v>
      </c>
      <c r="CC32" s="2" t="n">
        <v>1</v>
      </c>
      <c r="CD32" s="2" t="n">
        <v>80.56</v>
      </c>
      <c r="CE32" s="2" t="n">
        <v>1</v>
      </c>
      <c r="CF32" s="2" t="n">
        <v>64.29000000000001</v>
      </c>
      <c r="CG32" s="2" t="n">
        <v>1</v>
      </c>
      <c r="CH32" s="2" t="n">
        <v>88.45999999999999</v>
      </c>
      <c r="CI32" s="2" t="n">
        <v>1</v>
      </c>
      <c r="CJ32" s="2" t="n">
        <v>15.9</v>
      </c>
      <c r="CK32" s="2" t="n">
        <v>1</v>
      </c>
      <c r="CL32" s="2" t="n">
        <v>0</v>
      </c>
      <c r="CM32" s="2" t="n">
        <v>1</v>
      </c>
      <c r="CN32" s="2" t="n">
        <v>70.75076923076924</v>
      </c>
      <c r="CO32" s="2" t="n">
        <v>13</v>
      </c>
      <c r="CP32" s="2" t="n">
        <v>1</v>
      </c>
      <c r="CQ32" s="2" t="n">
        <v>70.75076923076924</v>
      </c>
      <c r="CR32" s="2" t="inlineStr"/>
      <c r="CS32" s="2" t="inlineStr"/>
      <c r="CT32" s="2" t="inlineStr"/>
      <c r="CU32" s="2" t="inlineStr"/>
    </row>
    <row r="33">
      <c r="A33" s="2" t="inlineStr">
        <is>
          <t>C4-032</t>
        </is>
      </c>
      <c r="B33" s="2" t="inlineStr">
        <is>
          <t>Data Stewardship Wizard</t>
        </is>
      </c>
      <c r="C33" s="2" t="inlineStr">
        <is>
          <t>https://github.com/ds-wizard</t>
        </is>
      </c>
      <c r="D33" s="2" t="inlineStr">
        <is>
          <t>Org URL -&gt; product set</t>
        </is>
      </c>
      <c r="E33" s="2" t="inlineStr">
        <is>
          <t>github</t>
        </is>
      </c>
      <c r="F33" s="2" t="inlineStr">
        <is>
          <t>ds-wizard/engine-backend;ds-wizard/engine-frontend</t>
        </is>
      </c>
      <c r="G33" s="2" t="inlineStr"/>
      <c r="H33" s="2" t="inlineStr"/>
      <c r="I33" s="2" t="inlineStr">
        <is>
          <t>yes</t>
        </is>
      </c>
      <c r="J33" s="2" t="inlineStr">
        <is>
          <t>software</t>
        </is>
      </c>
      <c r="K33" s="2" t="inlineStr">
        <is>
          <t>GitHub: ds-wizard/ds-wizard (bug reports); ideas.ds-wizard.org for features</t>
        </is>
      </c>
      <c r="L33" s="2" t="inlineStr">
        <is>
          <t>Application = backend + frontend</t>
        </is>
      </c>
      <c r="M33" s="2" t="inlineStr">
        <is>
          <t>ds-wizard/ds-wizard</t>
        </is>
      </c>
      <c r="N33" s="2" t="inlineStr">
        <is>
          <t>yes</t>
        </is>
      </c>
      <c r="O33" s="2" t="inlineStr">
        <is>
          <t>ds-wizard/wizard-server</t>
        </is>
      </c>
      <c r="P33" s="2" t="inlineStr">
        <is>
          <t>GitHub</t>
        </is>
      </c>
      <c r="Q33" s="2" t="inlineStr">
        <is>
          <t>marker_only</t>
        </is>
      </c>
      <c r="R33" s="2" t="inlineStr">
        <is>
          <t>Current scoring uses backend + frontend product set; single server repo recorded as candidate.</t>
        </is>
      </c>
      <c r="S33" s="2" t="inlineStr">
        <is>
          <t>ds-wizard/engine-backend;ds-wizard/engine-frontend</t>
        </is>
      </c>
      <c r="T33" s="2" t="inlineStr">
        <is>
          <t>12</t>
        </is>
      </c>
      <c r="U33" s="2" t="inlineStr">
        <is>
          <t>49</t>
        </is>
      </c>
      <c r="V33" s="2" t="inlineStr">
        <is>
          <t>1</t>
        </is>
      </c>
      <c r="W33" s="2" t="inlineStr">
        <is>
          <t>2</t>
        </is>
      </c>
      <c r="X33" s="2" t="inlineStr">
        <is>
          <t>103</t>
        </is>
      </c>
      <c r="Y33" s="2" t="inlineStr">
        <is>
          <t>0.214</t>
        </is>
      </c>
      <c r="Z33" s="2" t="inlineStr">
        <is>
          <t>4</t>
        </is>
      </c>
      <c r="AA33" s="2" t="inlineStr">
        <is>
          <t>15.61</t>
        </is>
      </c>
      <c r="AB33" s="2" t="inlineStr">
        <is>
          <t>1.93</t>
        </is>
      </c>
      <c r="AC33" s="2" t="inlineStr">
        <is>
          <t>complete</t>
        </is>
      </c>
      <c r="AD33" s="2" t="inlineStr">
        <is>
          <t>378</t>
        </is>
      </c>
      <c r="AE33" s="2" t="inlineStr">
        <is>
          <t>2026-09-15</t>
        </is>
      </c>
      <c r="AF33" s="2" t="inlineStr">
        <is>
          <t>68</t>
        </is>
      </c>
      <c r="AG33" s="2" t="inlineStr">
        <is>
          <t>1</t>
        </is>
      </c>
      <c r="AH33" s="2" t="inlineStr">
        <is>
          <t>3</t>
        </is>
      </c>
      <c r="AI33" s="2" t="inlineStr">
        <is>
          <t>71</t>
        </is>
      </c>
      <c r="AJ33" s="2" t="inlineStr">
        <is>
          <t>66.14</t>
        </is>
      </c>
      <c r="AK33" s="2" t="inlineStr">
        <is>
          <t>96.43</t>
        </is>
      </c>
      <c r="AL33" s="2" t="inlineStr">
        <is>
          <t>32.49</t>
        </is>
      </c>
      <c r="AM33" s="2" t="inlineStr">
        <is>
          <t>8</t>
        </is>
      </c>
      <c r="AN33" s="2" t="inlineStr">
        <is>
          <t>0</t>
        </is>
      </c>
      <c r="AO33" s="2" t="inlineStr">
        <is>
          <t>10</t>
        </is>
      </c>
      <c r="AP33" s="2" t="inlineStr">
        <is>
          <t>0</t>
        </is>
      </c>
      <c r="AQ33" s="2" t="inlineStr">
        <is>
          <t>3.11</t>
        </is>
      </c>
      <c r="AR33" s="2" t="inlineStr">
        <is>
          <t>4</t>
        </is>
      </c>
      <c r="AS33" s="2" t="inlineStr">
        <is>
          <t>4</t>
        </is>
      </c>
      <c r="AT33" s="2" t="inlineStr">
        <is>
          <t>113</t>
        </is>
      </c>
      <c r="AU33" s="2" t="inlineStr">
        <is>
          <t>108</t>
        </is>
      </c>
      <c r="AV33" s="2" t="inlineStr">
        <is>
          <t>1</t>
        </is>
      </c>
      <c r="AW33" s="2" t="inlineStr">
        <is>
          <t>105</t>
        </is>
      </c>
      <c r="AX33" s="2" t="inlineStr">
        <is>
          <t>complete</t>
        </is>
      </c>
      <c r="AY33" s="2" t="inlineStr">
        <is>
          <t>3</t>
        </is>
      </c>
      <c r="AZ33" s="2" t="inlineStr"/>
      <c r="BA33" s="2" t="inlineStr">
        <is>
          <t>8</t>
        </is>
      </c>
      <c r="BB33" s="2" t="inlineStr">
        <is>
          <t>107</t>
        </is>
      </c>
      <c r="BC33" s="2" t="inlineStr">
        <is>
          <t>107</t>
        </is>
      </c>
      <c r="BD33" s="2" t="inlineStr">
        <is>
          <t>1.0</t>
        </is>
      </c>
      <c r="BE33" s="2" t="inlineStr">
        <is>
          <t>6</t>
        </is>
      </c>
      <c r="BF33" s="2" t="inlineStr">
        <is>
          <t>6</t>
        </is>
      </c>
      <c r="BG33" s="2" t="inlineStr">
        <is>
          <t>non-maintainer issues</t>
        </is>
      </c>
      <c r="BH33" s="2" t="inlineStr">
        <is>
          <t>0.6</t>
        </is>
      </c>
      <c r="BI33" s="2" t="inlineStr">
        <is>
          <t>10</t>
        </is>
      </c>
      <c r="BJ33" s="2" t="inlineStr">
        <is>
          <t>6</t>
        </is>
      </c>
      <c r="BK33" s="2" t="inlineStr">
        <is>
          <t>113</t>
        </is>
      </c>
      <c r="BL33" s="2" t="inlineStr">
        <is>
          <t>0.0265</t>
        </is>
      </c>
      <c r="BM33" s="2" t="inlineStr">
        <is>
          <t>3</t>
        </is>
      </c>
      <c r="BN33" s="2" t="n">
        <v>85.94</v>
      </c>
      <c r="BO33" s="2" t="n">
        <v>1</v>
      </c>
      <c r="BP33" s="2" t="n">
        <v>94.23</v>
      </c>
      <c r="BQ33" s="2" t="n">
        <v>1</v>
      </c>
      <c r="BR33" s="2" t="n">
        <v>100</v>
      </c>
      <c r="BS33" s="2" t="n">
        <v>1</v>
      </c>
      <c r="BT33" s="2" t="n">
        <v>100</v>
      </c>
      <c r="BU33" s="2" t="n">
        <v>1</v>
      </c>
      <c r="BV33" s="2" t="n">
        <v>40</v>
      </c>
      <c r="BW33" s="2" t="n">
        <v>1</v>
      </c>
      <c r="BX33" s="2" t="n">
        <v>31.62</v>
      </c>
      <c r="BY33" s="2" t="n">
        <v>1</v>
      </c>
      <c r="BZ33" s="2" t="n">
        <v>75</v>
      </c>
      <c r="CA33" s="2" t="n">
        <v>1</v>
      </c>
      <c r="CB33" s="2" t="n">
        <v>60</v>
      </c>
      <c r="CC33" s="2" t="n">
        <v>1</v>
      </c>
      <c r="CD33" s="2" t="n">
        <v>2.65</v>
      </c>
      <c r="CE33" s="2" t="n">
        <v>1</v>
      </c>
      <c r="CF33" s="2" t="n">
        <v>0</v>
      </c>
      <c r="CG33" s="2" t="n">
        <v>0</v>
      </c>
      <c r="CH33" s="2" t="n">
        <v>100</v>
      </c>
      <c r="CI33" s="2" t="n">
        <v>1</v>
      </c>
      <c r="CJ33" s="2" t="n">
        <v>28.17</v>
      </c>
      <c r="CK33" s="2" t="n">
        <v>1</v>
      </c>
      <c r="CL33" s="2" t="n">
        <v>42.16</v>
      </c>
      <c r="CM33" s="2" t="n">
        <v>1</v>
      </c>
      <c r="CN33" s="2" t="n">
        <v>58.44384615384615</v>
      </c>
      <c r="CO33" s="2" t="n">
        <v>12</v>
      </c>
      <c r="CP33" s="2" t="n">
        <v>0.9230769230769231</v>
      </c>
      <c r="CQ33" s="2" t="n">
        <v>63.31416666666667</v>
      </c>
      <c r="CR33" s="2" t="inlineStr"/>
      <c r="CS33" s="2" t="inlineStr"/>
      <c r="CT33" s="2" t="inlineStr"/>
      <c r="CU33" s="2" t="inlineStr"/>
    </row>
    <row r="34">
      <c r="A34" s="2" t="inlineStr">
        <is>
          <t>C4-033</t>
        </is>
      </c>
      <c r="B34" s="2" t="inlineStr">
        <is>
          <t>Dataverse</t>
        </is>
      </c>
      <c r="C34" s="2" t="inlineStr">
        <is>
          <t>https://github.com/IQSS/dataverse</t>
        </is>
      </c>
      <c r="D34" s="2" t="inlineStr">
        <is>
          <t>Ready</t>
        </is>
      </c>
      <c r="E34" s="2" t="inlineStr">
        <is>
          <t>github</t>
        </is>
      </c>
      <c r="F34" s="2" t="inlineStr">
        <is>
          <t>IQSS/dataverse</t>
        </is>
      </c>
      <c r="G34" s="2" t="inlineStr"/>
      <c r="H34" s="2" t="inlineStr"/>
      <c r="I34" s="2" t="inlineStr">
        <is>
          <t>yes</t>
        </is>
      </c>
      <c r="J34" s="2" t="inlineStr">
        <is>
          <t>software</t>
        </is>
      </c>
      <c r="K34" s="2" t="inlineStr">
        <is>
          <t>GitHub (same repo)</t>
        </is>
      </c>
      <c r="L34" s="2" t="inlineStr"/>
      <c r="M34" s="2" t="inlineStr">
        <is>
          <t>IQSS/dataverse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IQSS/dataverse</t>
        </is>
      </c>
      <c r="T34" s="2" t="inlineStr">
        <is>
          <t>12</t>
        </is>
      </c>
      <c r="U34" s="2" t="inlineStr">
        <is>
          <t>51</t>
        </is>
      </c>
      <c r="V34" s="2" t="inlineStr">
        <is>
          <t>3</t>
        </is>
      </c>
      <c r="W34" s="2" t="inlineStr">
        <is>
          <t>8</t>
        </is>
      </c>
      <c r="X34" s="2" t="inlineStr">
        <is>
          <t>55</t>
        </is>
      </c>
      <c r="Y34" s="2" t="inlineStr">
        <is>
          <t>0.029</t>
        </is>
      </c>
      <c r="Z34" s="2" t="inlineStr">
        <is>
          <t>53</t>
        </is>
      </c>
      <c r="AA34" s="2" t="inlineStr">
        <is>
          <t>0.12</t>
        </is>
      </c>
      <c r="AB34" s="2" t="inlineStr">
        <is>
          <t>7.03</t>
        </is>
      </c>
      <c r="AC34" s="2" t="inlineStr">
        <is>
          <t>complete</t>
        </is>
      </c>
      <c r="AD34" s="2" t="inlineStr">
        <is>
          <t>1830</t>
        </is>
      </c>
      <c r="AE34" s="2" t="inlineStr">
        <is>
          <t>2026-10-13</t>
        </is>
      </c>
      <c r="AF34" s="2" t="inlineStr">
        <is>
          <t>999</t>
        </is>
      </c>
      <c r="AG34" s="2" t="inlineStr">
        <is>
          <t>5</t>
        </is>
      </c>
      <c r="AH34" s="2" t="inlineStr">
        <is>
          <t>20</t>
        </is>
      </c>
      <c r="AI34" s="2" t="inlineStr">
        <is>
          <t>5</t>
        </is>
      </c>
      <c r="AJ34" s="2" t="inlineStr">
        <is>
          <t>24.32</t>
        </is>
      </c>
      <c r="AK34" s="2" t="inlineStr">
        <is>
          <t>84.87</t>
        </is>
      </c>
      <c r="AL34" s="2" t="inlineStr">
        <is>
          <t>72.89</t>
        </is>
      </c>
      <c r="AM34" s="2" t="inlineStr">
        <is>
          <t>253</t>
        </is>
      </c>
      <c r="AN34" s="2" t="inlineStr">
        <is>
          <t>88</t>
        </is>
      </c>
      <c r="AO34" s="2" t="inlineStr">
        <is>
          <t>415</t>
        </is>
      </c>
      <c r="AP34" s="2" t="inlineStr">
        <is>
          <t>815</t>
        </is>
      </c>
      <c r="AQ34" s="2" t="inlineStr">
        <is>
          <t>1.23</t>
        </is>
      </c>
      <c r="AR34" s="2" t="inlineStr">
        <is>
          <t>371</t>
        </is>
      </c>
      <c r="AS34" s="2" t="inlineStr">
        <is>
          <t>51</t>
        </is>
      </c>
      <c r="AT34" s="2" t="inlineStr">
        <is>
          <t>396</t>
        </is>
      </c>
      <c r="AU34" s="2" t="inlineStr">
        <is>
          <t>286</t>
        </is>
      </c>
      <c r="AV34" s="2" t="inlineStr">
        <is>
          <t>59</t>
        </is>
      </c>
      <c r="AW34" s="2" t="inlineStr">
        <is>
          <t>36</t>
        </is>
      </c>
      <c r="AX34" s="2" t="inlineStr">
        <is>
          <t>complete</t>
        </is>
      </c>
      <c r="AY34" s="2" t="inlineStr">
        <is>
          <t>136</t>
        </is>
      </c>
      <c r="AZ34" s="2" t="inlineStr">
        <is>
          <t>0.4331</t>
        </is>
      </c>
      <c r="BA34" s="2" t="inlineStr">
        <is>
          <t>314</t>
        </is>
      </c>
      <c r="BB34" s="2" t="inlineStr">
        <is>
          <t>206</t>
        </is>
      </c>
      <c r="BC34" s="2" t="inlineStr">
        <is>
          <t>344</t>
        </is>
      </c>
      <c r="BD34" s="2" t="inlineStr">
        <is>
          <t>0.5988</t>
        </is>
      </c>
      <c r="BE34" s="2" t="inlineStr">
        <is>
          <t>88</t>
        </is>
      </c>
      <c r="BF34" s="2" t="inlineStr">
        <is>
          <t>48</t>
        </is>
      </c>
      <c r="BG34" s="2" t="inlineStr">
        <is>
          <t>non-maintainer issues</t>
        </is>
      </c>
      <c r="BH34" s="2" t="inlineStr">
        <is>
          <t>0.5595</t>
        </is>
      </c>
      <c r="BI34" s="2" t="inlineStr">
        <is>
          <t>311</t>
        </is>
      </c>
      <c r="BJ34" s="2" t="inlineStr">
        <is>
          <t>174</t>
        </is>
      </c>
      <c r="BK34" s="2" t="inlineStr">
        <is>
          <t>390</t>
        </is>
      </c>
      <c r="BL34" s="2" t="inlineStr">
        <is>
          <t>0.7872</t>
        </is>
      </c>
      <c r="BM34" s="2" t="inlineStr">
        <is>
          <t>307</t>
        </is>
      </c>
      <c r="BN34" s="2" t="n">
        <v>100</v>
      </c>
      <c r="BO34" s="2" t="n">
        <v>1</v>
      </c>
      <c r="BP34" s="2" t="n">
        <v>98.08</v>
      </c>
      <c r="BQ34" s="2" t="n">
        <v>1</v>
      </c>
      <c r="BR34" s="2" t="n">
        <v>100</v>
      </c>
      <c r="BS34" s="2" t="n">
        <v>1</v>
      </c>
      <c r="BT34" s="2" t="n">
        <v>100</v>
      </c>
      <c r="BU34" s="2" t="n">
        <v>1</v>
      </c>
      <c r="BV34" s="2" t="n">
        <v>100</v>
      </c>
      <c r="BW34" s="2" t="n">
        <v>1</v>
      </c>
      <c r="BX34" s="2" t="n">
        <v>93.78</v>
      </c>
      <c r="BY34" s="2" t="n">
        <v>1</v>
      </c>
      <c r="BZ34" s="2" t="n">
        <v>100</v>
      </c>
      <c r="CA34" s="2" t="n">
        <v>1</v>
      </c>
      <c r="CB34" s="2" t="n">
        <v>55.95</v>
      </c>
      <c r="CC34" s="2" t="n">
        <v>1</v>
      </c>
      <c r="CD34" s="2" t="n">
        <v>78.72</v>
      </c>
      <c r="CE34" s="2" t="n">
        <v>1</v>
      </c>
      <c r="CF34" s="2" t="n">
        <v>43.31</v>
      </c>
      <c r="CG34" s="2" t="n">
        <v>1</v>
      </c>
      <c r="CH34" s="2" t="n">
        <v>59.88</v>
      </c>
      <c r="CI34" s="2" t="n">
        <v>1</v>
      </c>
      <c r="CJ34" s="2" t="n">
        <v>64.97</v>
      </c>
      <c r="CK34" s="2" t="n">
        <v>1</v>
      </c>
      <c r="CL34" s="2" t="n">
        <v>84.33</v>
      </c>
      <c r="CM34" s="2" t="n">
        <v>1</v>
      </c>
      <c r="CN34" s="2" t="n">
        <v>83.00153846153846</v>
      </c>
      <c r="CO34" s="2" t="n">
        <v>13</v>
      </c>
      <c r="CP34" s="2" t="n">
        <v>1</v>
      </c>
      <c r="CQ34" s="2" t="n">
        <v>83.00153846153846</v>
      </c>
      <c r="CR34" s="2" t="inlineStr"/>
      <c r="CS34" s="2" t="inlineStr"/>
      <c r="CT34" s="2" t="inlineStr"/>
      <c r="CU34" s="2" t="inlineStr"/>
    </row>
    <row r="35">
      <c r="A35" s="2" t="inlineStr">
        <is>
          <t>C4-034</t>
        </is>
      </c>
      <c r="B35" s="2" t="inlineStr">
        <is>
          <t>DLCM Backend</t>
        </is>
      </c>
      <c r="C35" s="2" t="inlineStr">
        <is>
          <t>https://gitlab.unige.ch/dlcm/community/dlcm-backend</t>
        </is>
      </c>
      <c r="D35" s="2" t="inlineStr">
        <is>
          <t>Non-GitHub</t>
        </is>
      </c>
      <c r="E35" s="2" t="inlineStr">
        <is>
          <t>gitlab</t>
        </is>
      </c>
      <c r="F35" s="2" t="inlineStr">
        <is>
          <t>https://gitlab.unige.ch/dlcm/community/dlcm-backend</t>
        </is>
      </c>
      <c r="G35" s="2" t="inlineStr"/>
      <c r="H35" s="2" t="inlineStr"/>
      <c r="I35" s="2" t="inlineStr">
        <is>
          <t>yes</t>
        </is>
      </c>
      <c r="J35" s="2" t="inlineStr">
        <is>
          <t>software</t>
        </is>
      </c>
      <c r="K35" s="2" t="inlineStr">
        <is>
          <t>GitLab (same project)</t>
        </is>
      </c>
      <c r="L35" s="2" t="inlineStr">
        <is>
          <t>GitLab</t>
        </is>
      </c>
      <c r="M35" s="2" t="inlineStr"/>
      <c r="N35" s="2" t="inlineStr">
        <is>
          <t>yes</t>
        </is>
      </c>
      <c r="O35" s="2" t="inlineStr">
        <is>
          <t>https://gitlab.unige.ch/dlcm/community/dlcm-backend</t>
        </is>
      </c>
      <c r="P35" s="2" t="inlineStr">
        <is>
          <t>GitLab (UNIGE)</t>
        </is>
      </c>
      <c r="Q35" s="2" t="inlineStr">
        <is>
          <t>already_current</t>
        </is>
      </c>
      <c r="R35" s="2" t="inlineStr">
        <is>
          <t>Current scoring target already matches resolved list.</t>
        </is>
      </c>
      <c r="S35" s="2" t="inlineStr">
        <is>
          <t>https://gitlab.unige.ch/dlcm/community/dlcm-backend</t>
        </is>
      </c>
      <c r="T35" s="2" t="inlineStr">
        <is>
          <t>12</t>
        </is>
      </c>
      <c r="U35" s="2" t="inlineStr">
        <is>
          <t>37</t>
        </is>
      </c>
      <c r="V35" s="2" t="inlineStr">
        <is>
          <t>3</t>
        </is>
      </c>
      <c r="W35" s="2" t="inlineStr">
        <is>
          <t>6</t>
        </is>
      </c>
      <c r="X35" s="2" t="inlineStr">
        <is>
          <t>0</t>
        </is>
      </c>
      <c r="Y35" s="2" t="inlineStr">
        <is>
          <t>0.0</t>
        </is>
      </c>
      <c r="Z35" s="2" t="inlineStr">
        <is>
          <t>10</t>
        </is>
      </c>
      <c r="AA35" s="2" t="inlineStr">
        <is>
          <t>23.4</t>
        </is>
      </c>
      <c r="AB35" s="2" t="inlineStr">
        <is>
          <t>5.91</t>
        </is>
      </c>
      <c r="AC35" s="2" t="inlineStr">
        <is>
          <t>complete</t>
        </is>
      </c>
      <c r="AD35" s="2" t="inlineStr">
        <is>
          <t>112</t>
        </is>
      </c>
      <c r="AE35" s="2" t="inlineStr">
        <is>
          <t>2026-10-13</t>
        </is>
      </c>
      <c r="AF35" s="2" t="inlineStr">
        <is>
          <t>0</t>
        </is>
      </c>
      <c r="AG35" s="2" t="inlineStr">
        <is>
          <t>0</t>
        </is>
      </c>
      <c r="AH35" s="2" t="inlineStr">
        <is>
          <t>7</t>
        </is>
      </c>
      <c r="AI35" s="2" t="inlineStr">
        <is>
          <t>9</t>
        </is>
      </c>
      <c r="AJ35" s="2" t="inlineStr">
        <is>
          <t>30.36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>
        <is>
          <t>no GitHub source</t>
        </is>
      </c>
      <c r="AY35" s="2" t="inlineStr"/>
      <c r="AZ35" s="2" t="inlineStr"/>
      <c r="BA35" s="2" t="inlineStr"/>
      <c r="BB35" s="2" t="inlineStr"/>
      <c r="BC35" s="2" t="inlineStr"/>
      <c r="BD35" s="2" t="inlineStr"/>
      <c r="BE35" s="2" t="inlineStr"/>
      <c r="BF35" s="2" t="inlineStr"/>
      <c r="BG35" s="2" t="inlineStr"/>
      <c r="BH35" s="2" t="inlineStr"/>
      <c r="BI35" s="2" t="inlineStr"/>
      <c r="BJ35" s="2" t="inlineStr"/>
      <c r="BK35" s="2" t="inlineStr"/>
      <c r="BL35" s="2" t="inlineStr"/>
      <c r="BM35" s="2" t="inlineStr"/>
      <c r="BN35" s="2" t="n">
        <v>68.43000000000001</v>
      </c>
      <c r="BO35" s="2" t="n">
        <v>1</v>
      </c>
      <c r="BP35" s="2" t="n">
        <v>71.15000000000001</v>
      </c>
      <c r="BQ35" s="2" t="n">
        <v>1</v>
      </c>
      <c r="BR35" s="2" t="n">
        <v>100</v>
      </c>
      <c r="BS35" s="2" t="n">
        <v>1</v>
      </c>
      <c r="BT35" s="2" t="n">
        <v>100</v>
      </c>
      <c r="BU35" s="2" t="n">
        <v>1</v>
      </c>
      <c r="BV35" s="2" t="n">
        <v>66.44</v>
      </c>
      <c r="BW35" s="2" t="n">
        <v>1</v>
      </c>
      <c r="BX35" s="2" t="n">
        <v>85.44</v>
      </c>
      <c r="BY35" s="2" t="n">
        <v>1</v>
      </c>
      <c r="BZ35" s="2" t="n">
        <v>100</v>
      </c>
      <c r="CA35" s="2" t="n">
        <v>1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45.49692307692307</v>
      </c>
      <c r="CO35" s="2" t="n">
        <v>7</v>
      </c>
      <c r="CP35" s="2" t="n">
        <v>0.5384615384615384</v>
      </c>
      <c r="CQ35" s="2" t="n">
        <v>84.49428571428571</v>
      </c>
      <c r="CR35" s="2" t="inlineStr">
        <is>
          <t>GitLab (same project)</t>
        </is>
      </c>
      <c r="CS35" s="2" t="inlineStr"/>
      <c r="CT35" s="2" t="inlineStr"/>
      <c r="CU35" s="2" t="inlineStr">
        <is>
          <t>fill from external tracker or leave blank</t>
        </is>
      </c>
    </row>
    <row r="36">
      <c r="A36" s="2" t="inlineStr">
        <is>
          <t>C4-035</t>
        </is>
      </c>
      <c r="B36" s="2" t="inlineStr">
        <is>
          <t>DLCM Portal</t>
        </is>
      </c>
      <c r="C36" s="2" t="inlineStr">
        <is>
          <t>https://gitlab.unige.ch/dlcm/ui/dlcm-portal</t>
        </is>
      </c>
      <c r="D36" s="2" t="inlineStr">
        <is>
          <t>Non-GitHub</t>
        </is>
      </c>
      <c r="E36" s="2" t="inlineStr">
        <is>
          <t>gitlab</t>
        </is>
      </c>
      <c r="F36" s="2" t="inlineStr">
        <is>
          <t>https://gitlab.unige.ch/dlcm/ui/dlcm-portal</t>
        </is>
      </c>
      <c r="G36" s="2" t="inlineStr"/>
      <c r="H36" s="2" t="inlineStr"/>
      <c r="I36" s="2" t="inlineStr">
        <is>
          <t>yes</t>
        </is>
      </c>
      <c r="J36" s="2" t="inlineStr">
        <is>
          <t>software</t>
        </is>
      </c>
      <c r="K36" s="2" t="inlineStr">
        <is>
          <t>GitLab (same project)</t>
        </is>
      </c>
      <c r="L36" s="2" t="inlineStr">
        <is>
          <t>GitLab</t>
        </is>
      </c>
      <c r="M36" s="2" t="inlineStr"/>
      <c r="N36" s="2" t="inlineStr">
        <is>
          <t>yes</t>
        </is>
      </c>
      <c r="O36" s="2" t="inlineStr">
        <is>
          <t>https://gitlab.unige.ch/dlcm/ui/dlcm-portal</t>
        </is>
      </c>
      <c r="P36" s="2" t="inlineStr">
        <is>
          <t>GitLab (UNIGE)</t>
        </is>
      </c>
      <c r="Q36" s="2" t="inlineStr">
        <is>
          <t>already_current</t>
        </is>
      </c>
      <c r="R36" s="2" t="inlineStr">
        <is>
          <t>Current scoring target already matches resolved list.</t>
        </is>
      </c>
      <c r="S36" s="2" t="inlineStr">
        <is>
          <t>https://gitlab.unige.ch/dlcm/ui/dlcm-portal</t>
        </is>
      </c>
      <c r="T36" s="2" t="inlineStr">
        <is>
          <t>11</t>
        </is>
      </c>
      <c r="U36" s="2" t="inlineStr">
        <is>
          <t>33</t>
        </is>
      </c>
      <c r="V36" s="2" t="inlineStr">
        <is>
          <t>1</t>
        </is>
      </c>
      <c r="W36" s="2" t="inlineStr">
        <is>
          <t>2</t>
        </is>
      </c>
      <c r="X36" s="2" t="inlineStr">
        <is>
          <t>0</t>
        </is>
      </c>
      <c r="Y36" s="2" t="inlineStr">
        <is>
          <t>0.0</t>
        </is>
      </c>
      <c r="Z36" s="2" t="inlineStr">
        <is>
          <t>7</t>
        </is>
      </c>
      <c r="AA36" s="2" t="inlineStr">
        <is>
          <t>2.38</t>
        </is>
      </c>
      <c r="AB36" s="2" t="inlineStr">
        <is>
          <t>1.94</t>
        </is>
      </c>
      <c r="AC36" s="2" t="inlineStr">
        <is>
          <t>complete</t>
        </is>
      </c>
      <c r="AD36" s="2" t="inlineStr">
        <is>
          <t>173</t>
        </is>
      </c>
      <c r="AE36" s="2" t="inlineStr">
        <is>
          <t>2026-10-13</t>
        </is>
      </c>
      <c r="AF36" s="2" t="inlineStr">
        <is>
          <t>0</t>
        </is>
      </c>
      <c r="AG36" s="2" t="inlineStr">
        <is>
          <t>0</t>
        </is>
      </c>
      <c r="AH36" s="2" t="inlineStr">
        <is>
          <t>4</t>
        </is>
      </c>
      <c r="AI36" s="2" t="inlineStr">
        <is>
          <t>22</t>
        </is>
      </c>
      <c r="AJ36" s="2" t="inlineStr">
        <is>
          <t>67.05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>
        <is>
          <t>no GitHub source</t>
        </is>
      </c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/>
      <c r="BG36" s="2" t="inlineStr"/>
      <c r="BH36" s="2" t="inlineStr"/>
      <c r="BI36" s="2" t="inlineStr"/>
      <c r="BJ36" s="2" t="inlineStr"/>
      <c r="BK36" s="2" t="inlineStr"/>
      <c r="BL36" s="2" t="inlineStr"/>
      <c r="BM36" s="2" t="inlineStr"/>
      <c r="BN36" s="2" t="n">
        <v>74.67</v>
      </c>
      <c r="BO36" s="2" t="n">
        <v>1</v>
      </c>
      <c r="BP36" s="2" t="n">
        <v>63.46</v>
      </c>
      <c r="BQ36" s="2" t="n">
        <v>1</v>
      </c>
      <c r="BR36" s="2" t="n">
        <v>100</v>
      </c>
      <c r="BS36" s="2" t="n">
        <v>1</v>
      </c>
      <c r="BT36" s="2" t="n">
        <v>100</v>
      </c>
      <c r="BU36" s="2" t="n">
        <v>1</v>
      </c>
      <c r="BV36" s="2" t="n">
        <v>56.15</v>
      </c>
      <c r="BW36" s="2" t="n">
        <v>1</v>
      </c>
      <c r="BX36" s="2" t="n">
        <v>31.87</v>
      </c>
      <c r="BY36" s="2" t="n">
        <v>1</v>
      </c>
      <c r="BZ36" s="2" t="n">
        <v>75</v>
      </c>
      <c r="CA36" s="2" t="n">
        <v>1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38.55</v>
      </c>
      <c r="CO36" s="2" t="n">
        <v>7</v>
      </c>
      <c r="CP36" s="2" t="n">
        <v>0.5384615384615384</v>
      </c>
      <c r="CQ36" s="2" t="n">
        <v>71.59285714285714</v>
      </c>
      <c r="CR36" s="2" t="inlineStr">
        <is>
          <t>GitLab (same project)</t>
        </is>
      </c>
      <c r="CS36" s="2" t="inlineStr"/>
      <c r="CT36" s="2" t="inlineStr"/>
      <c r="CU36" s="2" t="inlineStr">
        <is>
          <t>fill from external tracker or leave blank</t>
        </is>
      </c>
    </row>
    <row r="37">
      <c r="A37" s="2" t="inlineStr">
        <is>
          <t>C4-036</t>
        </is>
      </c>
      <c r="B37" s="2" t="inlineStr">
        <is>
          <t>DMP Tool</t>
        </is>
      </c>
      <c r="C37" s="2" t="inlineStr">
        <is>
          <t>https://github.com/cdluc3/dmptool/wiki</t>
        </is>
      </c>
      <c r="D37" s="2" t="inlineStr">
        <is>
          <t>Replace URL (verify)</t>
        </is>
      </c>
      <c r="E37" s="2" t="inlineStr">
        <is>
          <t>github</t>
        </is>
      </c>
      <c r="F37" s="2" t="inlineStr">
        <is>
          <t>CDLUC3/dmsp_frontend_prototype;CDLUC3/dmsp_backend_prototype</t>
        </is>
      </c>
      <c r="G37" s="2" t="inlineStr"/>
      <c r="H37" s="2" t="inlineStr"/>
      <c r="I37" s="2" t="inlineStr">
        <is>
          <t>yes</t>
        </is>
      </c>
      <c r="J37" s="2" t="inlineStr">
        <is>
          <t>software</t>
        </is>
      </c>
      <c r="K37" s="2" t="inlineStr">
        <is>
          <t>GitHub (frontend repo; backend issues filed there too)</t>
        </is>
      </c>
      <c r="L37" s="2" t="inlineStr">
        <is>
          <t>Rebuilt DMP Tool (front + back end, 1,223 human commits in window); legacy cdluc3/dmptool is near idle. Confirm with CDL that these are the production codebase</t>
        </is>
      </c>
      <c r="M37" s="2" t="inlineStr">
        <is>
          <t>CDLUC3/dmsp_frontend_prototype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CDLUC3/dmsp_frontend_prototype;CDLUC3/dmsp_backend_prototype</t>
        </is>
      </c>
      <c r="T37" s="2" t="inlineStr">
        <is>
          <t>12</t>
        </is>
      </c>
      <c r="U37" s="2" t="inlineStr">
        <is>
          <t>49</t>
        </is>
      </c>
      <c r="V37" s="2" t="inlineStr">
        <is>
          <t>1</t>
        </is>
      </c>
      <c r="W37" s="2" t="inlineStr">
        <is>
          <t>2</t>
        </is>
      </c>
      <c r="X37" s="2" t="inlineStr">
        <is>
          <t>48</t>
        </is>
      </c>
      <c r="Y37" s="2" t="inlineStr">
        <is>
          <t>0.038</t>
        </is>
      </c>
      <c r="Z37" s="2" t="inlineStr">
        <is>
          <t>9</t>
        </is>
      </c>
      <c r="AA37" s="2" t="inlineStr">
        <is>
          <t>6.37</t>
        </is>
      </c>
      <c r="AB37" s="2" t="inlineStr">
        <is>
          <t>2.36</t>
        </is>
      </c>
      <c r="AC37" s="2" t="inlineStr">
        <is>
          <t>complete</t>
        </is>
      </c>
      <c r="AD37" s="2" t="inlineStr">
        <is>
          <t>1223</t>
        </is>
      </c>
      <c r="AE37" s="2" t="inlineStr">
        <is>
          <t>2026-09-24</t>
        </is>
      </c>
      <c r="AF37" s="2" t="inlineStr">
        <is>
          <t>653</t>
        </is>
      </c>
      <c r="AG37" s="2" t="inlineStr">
        <is>
          <t>0</t>
        </is>
      </c>
      <c r="AH37" s="2" t="inlineStr">
        <is>
          <t>4</t>
        </is>
      </c>
      <c r="AI37" s="2" t="inlineStr">
        <is>
          <t>1</t>
        </is>
      </c>
      <c r="AJ37" s="2" t="inlineStr">
        <is>
          <t>59.53</t>
        </is>
      </c>
      <c r="AK37" s="2" t="inlineStr">
        <is>
          <t>94.44</t>
        </is>
      </c>
      <c r="AL37" s="2" t="inlineStr">
        <is>
          <t>276.65</t>
        </is>
      </c>
      <c r="AM37" s="2" t="inlineStr">
        <is>
          <t>52</t>
        </is>
      </c>
      <c r="AN37" s="2" t="inlineStr">
        <is>
          <t>72</t>
        </is>
      </c>
      <c r="AO37" s="2" t="inlineStr">
        <is>
          <t>73</t>
        </is>
      </c>
      <c r="AP37" s="2" t="inlineStr">
        <is>
          <t>0</t>
        </is>
      </c>
      <c r="AQ37" s="2" t="inlineStr">
        <is>
          <t>5.44</t>
        </is>
      </c>
      <c r="AR37" s="2" t="inlineStr">
        <is>
          <t>432</t>
        </is>
      </c>
      <c r="AS37" s="2" t="inlineStr">
        <is>
          <t>26</t>
        </is>
      </c>
      <c r="AT37" s="2" t="inlineStr">
        <is>
          <t>473</t>
        </is>
      </c>
      <c r="AU37" s="2" t="inlineStr">
        <is>
          <t>442</t>
        </is>
      </c>
      <c r="AV37" s="2" t="inlineStr">
        <is>
          <t>5</t>
        </is>
      </c>
      <c r="AW37" s="2" t="inlineStr">
        <is>
          <t>412</t>
        </is>
      </c>
      <c r="AX37" s="2" t="inlineStr">
        <is>
          <t>complete</t>
        </is>
      </c>
      <c r="AY37" s="2" t="inlineStr">
        <is>
          <t>39</t>
        </is>
      </c>
      <c r="AZ37" s="2" t="inlineStr">
        <is>
          <t>0.5342</t>
        </is>
      </c>
      <c r="BA37" s="2" t="inlineStr">
        <is>
          <t>73</t>
        </is>
      </c>
      <c r="BB37" s="2" t="inlineStr">
        <is>
          <t>445</t>
        </is>
      </c>
      <c r="BC37" s="2" t="inlineStr">
        <is>
          <t>446</t>
        </is>
      </c>
      <c r="BD37" s="2" t="inlineStr">
        <is>
          <t>0.9978</t>
        </is>
      </c>
      <c r="BE37" s="2" t="inlineStr">
        <is>
          <t>0</t>
        </is>
      </c>
      <c r="BF37" s="2" t="inlineStr">
        <is>
          <t>1</t>
        </is>
      </c>
      <c r="BG37" s="2" t="inlineStr">
        <is>
          <t>all issues (too few non-maintainer)</t>
        </is>
      </c>
      <c r="BH37" s="2" t="inlineStr">
        <is>
          <t>0.3836</t>
        </is>
      </c>
      <c r="BI37" s="2" t="inlineStr">
        <is>
          <t>73</t>
        </is>
      </c>
      <c r="BJ37" s="2" t="inlineStr">
        <is>
          <t>28</t>
        </is>
      </c>
      <c r="BK37" s="2" t="inlineStr">
        <is>
          <t>464</t>
        </is>
      </c>
      <c r="BL37" s="2" t="inlineStr">
        <is>
          <t>0.9138</t>
        </is>
      </c>
      <c r="BM37" s="2" t="inlineStr">
        <is>
          <t>424</t>
        </is>
      </c>
      <c r="BN37" s="2" t="n">
        <v>100</v>
      </c>
      <c r="BO37" s="2" t="n">
        <v>1</v>
      </c>
      <c r="BP37" s="2" t="n">
        <v>94.23</v>
      </c>
      <c r="BQ37" s="2" t="n">
        <v>1</v>
      </c>
      <c r="BR37" s="2" t="n">
        <v>100</v>
      </c>
      <c r="BS37" s="2" t="n">
        <v>1</v>
      </c>
      <c r="BT37" s="2" t="n">
        <v>50</v>
      </c>
      <c r="BU37" s="2" t="n">
        <v>1</v>
      </c>
      <c r="BV37" s="2" t="n">
        <v>63.4</v>
      </c>
      <c r="BW37" s="2" t="n">
        <v>1</v>
      </c>
      <c r="BX37" s="2" t="n">
        <v>41.29</v>
      </c>
      <c r="BY37" s="2" t="n">
        <v>1</v>
      </c>
      <c r="BZ37" s="2" t="n">
        <v>75</v>
      </c>
      <c r="CA37" s="2" t="n">
        <v>1</v>
      </c>
      <c r="CB37" s="2" t="n">
        <v>38.36</v>
      </c>
      <c r="CC37" s="2" t="n">
        <v>1</v>
      </c>
      <c r="CD37" s="2" t="n">
        <v>91.38</v>
      </c>
      <c r="CE37" s="2" t="n">
        <v>1</v>
      </c>
      <c r="CF37" s="2" t="n">
        <v>53.42</v>
      </c>
      <c r="CG37" s="2" t="n">
        <v>1</v>
      </c>
      <c r="CH37" s="2" t="n">
        <v>99.78</v>
      </c>
      <c r="CI37" s="2" t="n">
        <v>1</v>
      </c>
      <c r="CJ37" s="2" t="n">
        <v>0</v>
      </c>
      <c r="CK37" s="2" t="n">
        <v>1</v>
      </c>
      <c r="CL37" s="2" t="n">
        <v>15.02</v>
      </c>
      <c r="CM37" s="2" t="n">
        <v>1</v>
      </c>
      <c r="CN37" s="2" t="n">
        <v>63.22153846153846</v>
      </c>
      <c r="CO37" s="2" t="n">
        <v>13</v>
      </c>
      <c r="CP37" s="2" t="n">
        <v>1</v>
      </c>
      <c r="CQ37" s="2" t="n">
        <v>63.22153846153846</v>
      </c>
      <c r="CR37" s="2" t="inlineStr"/>
      <c r="CS37" s="2" t="inlineStr"/>
      <c r="CT37" s="2" t="inlineStr"/>
      <c r="CU37" s="2" t="inlineStr"/>
    </row>
    <row r="38">
      <c r="A38" s="2" t="inlineStr">
        <is>
          <t>C4-037</t>
        </is>
      </c>
      <c r="B38" s="2" t="inlineStr">
        <is>
          <t>DOAJ (Directory of Open Access Journals)</t>
        </is>
      </c>
      <c r="C38" s="2" t="inlineStr">
        <is>
          <t>https://github.com/DOAJ</t>
        </is>
      </c>
      <c r="D38" s="2" t="inlineStr">
        <is>
          <t>Org URL -&gt; primary repo</t>
        </is>
      </c>
      <c r="E38" s="2" t="inlineStr">
        <is>
          <t>github</t>
        </is>
      </c>
      <c r="F38" s="2" t="inlineStr">
        <is>
          <t>DOAJ/doaj</t>
        </is>
      </c>
      <c r="G38" s="2" t="inlineStr"/>
      <c r="H38" s="2" t="inlineStr"/>
      <c r="I38" s="2" t="inlineStr">
        <is>
          <t>yes</t>
        </is>
      </c>
      <c r="J38" s="2" t="inlineStr">
        <is>
          <t>software</t>
        </is>
      </c>
      <c r="K38" s="2" t="inlineStr">
        <is>
          <t>GitHub, barely used (1 open) - verify internal tracker</t>
        </is>
      </c>
      <c r="L38" s="2" t="inlineStr">
        <is>
          <t>DOAJ website and directory software</t>
        </is>
      </c>
      <c r="M38" s="2" t="inlineStr">
        <is>
          <t>DOAJ/doaj</t>
        </is>
      </c>
      <c r="N38" s="2" t="inlineStr">
        <is>
          <t>yes</t>
        </is>
      </c>
      <c r="O38" s="2" t="inlineStr">
        <is>
          <t>DOAJ/doaj</t>
        </is>
      </c>
      <c r="P38" s="2" t="inlineStr">
        <is>
          <t>GitHub</t>
        </is>
      </c>
      <c r="Q38" s="2" t="inlineStr">
        <is>
          <t>already_current</t>
        </is>
      </c>
      <c r="R38" s="2" t="inlineStr">
        <is>
          <t>Current scoring target already matches resolved list.</t>
        </is>
      </c>
      <c r="S38" s="2" t="inlineStr">
        <is>
          <t>DOAJ/doaj</t>
        </is>
      </c>
      <c r="T38" s="2" t="inlineStr">
        <is>
          <t>12</t>
        </is>
      </c>
      <c r="U38" s="2" t="inlineStr">
        <is>
          <t>51</t>
        </is>
      </c>
      <c r="V38" s="2" t="inlineStr">
        <is>
          <t>3</t>
        </is>
      </c>
      <c r="W38" s="2" t="inlineStr">
        <is>
          <t>7</t>
        </is>
      </c>
      <c r="X38" s="2" t="inlineStr">
        <is>
          <t>2</t>
        </is>
      </c>
      <c r="Y38" s="2" t="inlineStr">
        <is>
          <t>0.003</t>
        </is>
      </c>
      <c r="Z38" s="2" t="inlineStr">
        <is>
          <t>16</t>
        </is>
      </c>
      <c r="AA38" s="2" t="inlineStr">
        <is>
          <t>0.34</t>
        </is>
      </c>
      <c r="AB38" s="2" t="inlineStr">
        <is>
          <t>8.39</t>
        </is>
      </c>
      <c r="AC38" s="2" t="inlineStr">
        <is>
          <t>complete</t>
        </is>
      </c>
      <c r="AD38" s="2" t="inlineStr">
        <is>
          <t>738</t>
        </is>
      </c>
      <c r="AE38" s="2" t="inlineStr">
        <is>
          <t>2026-10-06</t>
        </is>
      </c>
      <c r="AF38" s="2" t="inlineStr">
        <is>
          <t>478</t>
        </is>
      </c>
      <c r="AG38" s="2" t="inlineStr">
        <is>
          <t>2</t>
        </is>
      </c>
      <c r="AH38" s="2" t="inlineStr">
        <is>
          <t>11</t>
        </is>
      </c>
      <c r="AI38" s="2" t="inlineStr">
        <is>
          <t>148</t>
        </is>
      </c>
      <c r="AJ38" s="2" t="inlineStr">
        <is>
          <t>21.95</t>
        </is>
      </c>
      <c r="AK38" s="2" t="inlineStr">
        <is>
          <t>30.56</t>
        </is>
      </c>
      <c r="AL38" s="2" t="inlineStr">
        <is>
          <t>11.45</t>
        </is>
      </c>
      <c r="AM38" s="2" t="inlineStr">
        <is>
          <t>2</t>
        </is>
      </c>
      <c r="AN38" s="2" t="inlineStr">
        <is>
          <t>0</t>
        </is>
      </c>
      <c r="AO38" s="2" t="inlineStr">
        <is>
          <t>8</t>
        </is>
      </c>
      <c r="AP38" s="2" t="inlineStr">
        <is>
          <t>1</t>
        </is>
      </c>
      <c r="AQ38" s="2" t="inlineStr">
        <is>
          <t>243.41</t>
        </is>
      </c>
      <c r="AR38" s="2" t="inlineStr">
        <is>
          <t>76</t>
        </is>
      </c>
      <c r="AS38" s="2" t="inlineStr">
        <is>
          <t>50</t>
        </is>
      </c>
      <c r="AT38" s="2" t="inlineStr">
        <is>
          <t>102</t>
        </is>
      </c>
      <c r="AU38" s="2" t="inlineStr">
        <is>
          <t>22</t>
        </is>
      </c>
      <c r="AV38" s="2" t="inlineStr">
        <is>
          <t>30</t>
        </is>
      </c>
      <c r="AW38" s="2" t="inlineStr">
        <is>
          <t>4</t>
        </is>
      </c>
      <c r="AX38" s="2" t="inlineStr">
        <is>
          <t>complete</t>
        </is>
      </c>
      <c r="AY38" s="2" t="inlineStr">
        <is>
          <t>3</t>
        </is>
      </c>
      <c r="AZ38" s="2" t="inlineStr"/>
      <c r="BA38" s="2" t="inlineStr">
        <is>
          <t>8</t>
        </is>
      </c>
      <c r="BB38" s="2" t="inlineStr">
        <is>
          <t>45</t>
        </is>
      </c>
      <c r="BC38" s="2" t="inlineStr">
        <is>
          <t>91</t>
        </is>
      </c>
      <c r="BD38" s="2" t="inlineStr">
        <is>
          <t>0.4945</t>
        </is>
      </c>
      <c r="BE38" s="2" t="inlineStr">
        <is>
          <t>8</t>
        </is>
      </c>
      <c r="BF38" s="2" t="inlineStr">
        <is>
          <t>1</t>
        </is>
      </c>
      <c r="BG38" s="2" t="inlineStr">
        <is>
          <t>all issues (too few non-maintainer)</t>
        </is>
      </c>
      <c r="BH38" s="2" t="inlineStr"/>
      <c r="BI38" s="2" t="inlineStr">
        <is>
          <t>8</t>
        </is>
      </c>
      <c r="BJ38" s="2" t="inlineStr">
        <is>
          <t>2</t>
        </is>
      </c>
      <c r="BK38" s="2" t="inlineStr">
        <is>
          <t>99</t>
        </is>
      </c>
      <c r="BL38" s="2" t="inlineStr">
        <is>
          <t>0.3636</t>
        </is>
      </c>
      <c r="BM38" s="2" t="inlineStr">
        <is>
          <t>36</t>
        </is>
      </c>
      <c r="BN38" s="2" t="n">
        <v>95.61</v>
      </c>
      <c r="BO38" s="2" t="n">
        <v>1</v>
      </c>
      <c r="BP38" s="2" t="n">
        <v>98.08</v>
      </c>
      <c r="BQ38" s="2" t="n">
        <v>1</v>
      </c>
      <c r="BR38" s="2" t="n">
        <v>100</v>
      </c>
      <c r="BS38" s="2" t="n">
        <v>1</v>
      </c>
      <c r="BT38" s="2" t="n">
        <v>100</v>
      </c>
      <c r="BU38" s="2" t="n">
        <v>1</v>
      </c>
      <c r="BV38" s="2" t="n">
        <v>80</v>
      </c>
      <c r="BW38" s="2" t="n">
        <v>1</v>
      </c>
      <c r="BX38" s="2" t="n">
        <v>100</v>
      </c>
      <c r="BY38" s="2" t="n">
        <v>1</v>
      </c>
      <c r="BZ38" s="2" t="n">
        <v>100</v>
      </c>
      <c r="CA38" s="2" t="n">
        <v>1</v>
      </c>
      <c r="CB38" s="2" t="n">
        <v>0</v>
      </c>
      <c r="CC38" s="2" t="n">
        <v>0</v>
      </c>
      <c r="CD38" s="2" t="n">
        <v>36.36</v>
      </c>
      <c r="CE38" s="2" t="n">
        <v>1</v>
      </c>
      <c r="CF38" s="2" t="n">
        <v>0</v>
      </c>
      <c r="CG38" s="2" t="n">
        <v>0</v>
      </c>
      <c r="CH38" s="2" t="n">
        <v>49.45</v>
      </c>
      <c r="CI38" s="2" t="n">
        <v>1</v>
      </c>
      <c r="CJ38" s="2" t="n">
        <v>31.8</v>
      </c>
      <c r="CK38" s="2" t="n">
        <v>1</v>
      </c>
      <c r="CL38" s="2" t="n">
        <v>15.02</v>
      </c>
      <c r="CM38" s="2" t="n">
        <v>1</v>
      </c>
      <c r="CN38" s="2" t="n">
        <v>62.02461538461539</v>
      </c>
      <c r="CO38" s="2" t="n">
        <v>11</v>
      </c>
      <c r="CP38" s="2" t="n">
        <v>0.8461538461538461</v>
      </c>
      <c r="CQ38" s="2" t="n">
        <v>73.30181818181818</v>
      </c>
      <c r="CR38" s="2" t="inlineStr"/>
      <c r="CS38" s="2" t="inlineStr"/>
      <c r="CT38" s="2" t="inlineStr"/>
      <c r="CU38" s="2" t="inlineStr"/>
    </row>
    <row r="39">
      <c r="A39" s="2" t="inlineStr">
        <is>
          <t>C4-038</t>
        </is>
      </c>
      <c r="B39" s="2" t="inlineStr">
        <is>
          <t>dokieli</t>
        </is>
      </c>
      <c r="C39" s="2" t="inlineStr">
        <is>
          <t>https://github.com/linkeddata/dokieli</t>
        </is>
      </c>
      <c r="D39" s="2" t="inlineStr">
        <is>
          <t>Ready</t>
        </is>
      </c>
      <c r="E39" s="2" t="inlineStr">
        <is>
          <t>github</t>
        </is>
      </c>
      <c r="F39" s="2" t="inlineStr">
        <is>
          <t>linkeddata/dokieli</t>
        </is>
      </c>
      <c r="G39" s="2" t="inlineStr"/>
      <c r="H39" s="2" t="inlineStr"/>
      <c r="I39" s="2" t="inlineStr">
        <is>
          <t>yes</t>
        </is>
      </c>
      <c r="J39" s="2" t="inlineStr">
        <is>
          <t>software</t>
        </is>
      </c>
      <c r="K39" s="2" t="inlineStr">
        <is>
          <t>GitHub (same repo)</t>
        </is>
      </c>
      <c r="L39" s="2" t="inlineStr"/>
      <c r="M39" s="2" t="inlineStr">
        <is>
          <t>linkeddata/dokieli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linkeddata/dokieli</t>
        </is>
      </c>
      <c r="T39" s="2" t="inlineStr">
        <is>
          <t>12</t>
        </is>
      </c>
      <c r="U39" s="2" t="inlineStr">
        <is>
          <t>45</t>
        </is>
      </c>
      <c r="V39" s="2" t="inlineStr">
        <is>
          <t>1</t>
        </is>
      </c>
      <c r="W39" s="2" t="inlineStr">
        <is>
          <t>2</t>
        </is>
      </c>
      <c r="X39" s="2" t="inlineStr">
        <is>
          <t>0</t>
        </is>
      </c>
      <c r="Y39" s="2" t="inlineStr">
        <is>
          <t>0.0</t>
        </is>
      </c>
      <c r="Z39" s="2" t="inlineStr">
        <is>
          <t>3</t>
        </is>
      </c>
      <c r="AA39" s="2" t="inlineStr">
        <is>
          <t>0.55</t>
        </is>
      </c>
      <c r="AB39" s="2" t="inlineStr">
        <is>
          <t>1.92</t>
        </is>
      </c>
      <c r="AC39" s="2" t="inlineStr">
        <is>
          <t>complete</t>
        </is>
      </c>
      <c r="AD39" s="2" t="inlineStr">
        <is>
          <t>916</t>
        </is>
      </c>
      <c r="AE39" s="2" t="inlineStr">
        <is>
          <t>2026-10-13</t>
        </is>
      </c>
      <c r="AF39" s="2" t="inlineStr">
        <is>
          <t>2</t>
        </is>
      </c>
      <c r="AG39" s="2" t="inlineStr">
        <is>
          <t>0</t>
        </is>
      </c>
      <c r="AH39" s="2" t="inlineStr">
        <is>
          <t>2</t>
        </is>
      </c>
      <c r="AI39" s="2" t="inlineStr">
        <is>
          <t>0</t>
        </is>
      </c>
      <c r="AJ39" s="2" t="inlineStr">
        <is>
          <t>60.7</t>
        </is>
      </c>
      <c r="AK39" s="2" t="inlineStr">
        <is>
          <t>92.59</t>
        </is>
      </c>
      <c r="AL39" s="2" t="inlineStr">
        <is>
          <t>559.39</t>
        </is>
      </c>
      <c r="AM39" s="2" t="inlineStr">
        <is>
          <t>31</t>
        </is>
      </c>
      <c r="AN39" s="2" t="inlineStr">
        <is>
          <t>79</t>
        </is>
      </c>
      <c r="AO39" s="2" t="inlineStr">
        <is>
          <t>86</t>
        </is>
      </c>
      <c r="AP39" s="2" t="inlineStr">
        <is>
          <t>0</t>
        </is>
      </c>
      <c r="AQ39" s="2" t="inlineStr">
        <is>
          <t>1.09</t>
        </is>
      </c>
      <c r="AR39" s="2" t="inlineStr">
        <is>
          <t>22</t>
        </is>
      </c>
      <c r="AS39" s="2" t="inlineStr">
        <is>
          <t>4</t>
        </is>
      </c>
      <c r="AT39" s="2" t="inlineStr">
        <is>
          <t>55</t>
        </is>
      </c>
      <c r="AU39" s="2" t="inlineStr">
        <is>
          <t>50</t>
        </is>
      </c>
      <c r="AV39" s="2" t="inlineStr">
        <is>
          <t>1</t>
        </is>
      </c>
      <c r="AW39" s="2" t="inlineStr">
        <is>
          <t>30</t>
        </is>
      </c>
      <c r="AX39" s="2" t="inlineStr">
        <is>
          <t>complete</t>
        </is>
      </c>
      <c r="AY39" s="2" t="inlineStr">
        <is>
          <t>19</t>
        </is>
      </c>
      <c r="AZ39" s="2" t="inlineStr">
        <is>
          <t>0.2639</t>
        </is>
      </c>
      <c r="BA39" s="2" t="inlineStr">
        <is>
          <t>72</t>
        </is>
      </c>
      <c r="BB39" s="2" t="inlineStr">
        <is>
          <t>40</t>
        </is>
      </c>
      <c r="BC39" s="2" t="inlineStr">
        <is>
          <t>41</t>
        </is>
      </c>
      <c r="BD39" s="2" t="inlineStr">
        <is>
          <t>0.9756</t>
        </is>
      </c>
      <c r="BE39" s="2" t="inlineStr">
        <is>
          <t>45</t>
        </is>
      </c>
      <c r="BF39" s="2" t="inlineStr">
        <is>
          <t>11</t>
        </is>
      </c>
      <c r="BG39" s="2" t="inlineStr">
        <is>
          <t>all issues (too few non-maintainer)</t>
        </is>
      </c>
      <c r="BH39" s="2" t="inlineStr">
        <is>
          <t>0.1176</t>
        </is>
      </c>
      <c r="BI39" s="2" t="inlineStr">
        <is>
          <t>85</t>
        </is>
      </c>
      <c r="BJ39" s="2" t="inlineStr">
        <is>
          <t>10</t>
        </is>
      </c>
      <c r="BK39" s="2" t="inlineStr">
        <is>
          <t>54</t>
        </is>
      </c>
      <c r="BL39" s="2" t="inlineStr">
        <is>
          <t>0.4074</t>
        </is>
      </c>
      <c r="BM39" s="2" t="inlineStr">
        <is>
          <t>22</t>
        </is>
      </c>
      <c r="BN39" s="2" t="n">
        <v>98.73</v>
      </c>
      <c r="BO39" s="2" t="n">
        <v>1</v>
      </c>
      <c r="BP39" s="2" t="n">
        <v>86.54000000000001</v>
      </c>
      <c r="BQ39" s="2" t="n">
        <v>1</v>
      </c>
      <c r="BR39" s="2" t="n">
        <v>100</v>
      </c>
      <c r="BS39" s="2" t="n">
        <v>1</v>
      </c>
      <c r="BT39" s="2" t="n">
        <v>0</v>
      </c>
      <c r="BU39" s="2" t="n">
        <v>1</v>
      </c>
      <c r="BV39" s="2" t="n">
        <v>31.7</v>
      </c>
      <c r="BW39" s="2" t="n">
        <v>1</v>
      </c>
      <c r="BX39" s="2" t="n">
        <v>31.37</v>
      </c>
      <c r="BY39" s="2" t="n">
        <v>1</v>
      </c>
      <c r="BZ39" s="2" t="n">
        <v>50</v>
      </c>
      <c r="CA39" s="2" t="n">
        <v>1</v>
      </c>
      <c r="CB39" s="2" t="n">
        <v>11.76</v>
      </c>
      <c r="CC39" s="2" t="n">
        <v>1</v>
      </c>
      <c r="CD39" s="2" t="n">
        <v>40.74</v>
      </c>
      <c r="CE39" s="2" t="n">
        <v>1</v>
      </c>
      <c r="CF39" s="2" t="n">
        <v>26.39</v>
      </c>
      <c r="CG39" s="2" t="n">
        <v>1</v>
      </c>
      <c r="CH39" s="2" t="n">
        <v>97.56</v>
      </c>
      <c r="CI39" s="2" t="n">
        <v>1</v>
      </c>
      <c r="CJ39" s="2" t="n">
        <v>55.42</v>
      </c>
      <c r="CK39" s="2" t="n">
        <v>1</v>
      </c>
      <c r="CL39" s="2" t="n">
        <v>53.84</v>
      </c>
      <c r="CM39" s="2" t="n">
        <v>1</v>
      </c>
      <c r="CN39" s="2" t="n">
        <v>52.61923076923077</v>
      </c>
      <c r="CO39" s="2" t="n">
        <v>13</v>
      </c>
      <c r="CP39" s="2" t="n">
        <v>1</v>
      </c>
      <c r="CQ39" s="2" t="n">
        <v>52.61923076923077</v>
      </c>
      <c r="CR39" s="2" t="inlineStr"/>
      <c r="CS39" s="2" t="inlineStr"/>
      <c r="CT39" s="2" t="inlineStr"/>
      <c r="CU39" s="2" t="inlineStr"/>
    </row>
    <row r="40">
      <c r="A40" s="2" t="inlineStr">
        <is>
          <t>C4-039</t>
        </is>
      </c>
      <c r="B40" s="2" t="inlineStr">
        <is>
          <t>Dryad</t>
        </is>
      </c>
      <c r="C40" s="2" t="inlineStr">
        <is>
          <t>https://github.com/CDL-Dryad/dryad-app</t>
        </is>
      </c>
      <c r="D40" s="2" t="inlineStr">
        <is>
          <t>Replace URL</t>
        </is>
      </c>
      <c r="E40" s="2" t="inlineStr">
        <is>
          <t>github</t>
        </is>
      </c>
      <c r="F40" s="2" t="inlineStr">
        <is>
          <t>datadryad/dryad-app</t>
        </is>
      </c>
      <c r="G40" s="2" t="inlineStr"/>
      <c r="H40" s="2" t="inlineStr"/>
      <c r="I40" s="2" t="inlineStr">
        <is>
          <t>yes</t>
        </is>
      </c>
      <c r="J40" s="2" t="inlineStr">
        <is>
          <t>software</t>
        </is>
      </c>
      <c r="K40" s="2" t="inlineStr">
        <is>
          <t>GitHub Issues show 0 open - verify where Dryad tracks issues</t>
        </is>
      </c>
      <c r="L40" s="2" t="inlineStr">
        <is>
          <t>CDL-Dryad copy idle since Apr 2024; active repo is datadryad/dryad-app</t>
        </is>
      </c>
      <c r="M40" s="2" t="inlineStr">
        <is>
          <t>datadryad/dryad-app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datadryad/dryad-app</t>
        </is>
      </c>
      <c r="T40" s="2" t="inlineStr">
        <is>
          <t>12</t>
        </is>
      </c>
      <c r="U40" s="2" t="inlineStr">
        <is>
          <t>51</t>
        </is>
      </c>
      <c r="V40" s="2" t="inlineStr">
        <is>
          <t>1</t>
        </is>
      </c>
      <c r="W40" s="2" t="inlineStr">
        <is>
          <t>2</t>
        </is>
      </c>
      <c r="X40" s="2" t="inlineStr">
        <is>
          <t>90</t>
        </is>
      </c>
      <c r="Y40" s="2" t="inlineStr">
        <is>
          <t>0.059</t>
        </is>
      </c>
      <c r="Z40" s="2" t="inlineStr">
        <is>
          <t>3</t>
        </is>
      </c>
      <c r="AA40" s="2" t="inlineStr">
        <is>
          <t>1.38</t>
        </is>
      </c>
      <c r="AB40" s="2" t="inlineStr">
        <is>
          <t>1.88</t>
        </is>
      </c>
      <c r="AC40" s="2" t="inlineStr">
        <is>
          <t>complete</t>
        </is>
      </c>
      <c r="AD40" s="2" t="inlineStr">
        <is>
          <t>1442</t>
        </is>
      </c>
      <c r="AE40" s="2" t="inlineStr">
        <is>
          <t>2026-10-13</t>
        </is>
      </c>
      <c r="AF40" s="2" t="inlineStr">
        <is>
          <t>808</t>
        </is>
      </c>
      <c r="AG40" s="2" t="inlineStr">
        <is>
          <t>2</t>
        </is>
      </c>
      <c r="AH40" s="2" t="inlineStr">
        <is>
          <t>3</t>
        </is>
      </c>
      <c r="AI40" s="2" t="inlineStr">
        <is>
          <t>25</t>
        </is>
      </c>
      <c r="AJ40" s="2" t="inlineStr">
        <is>
          <t>66.23</t>
        </is>
      </c>
      <c r="AK40" s="2" t="inlineStr">
        <is>
          <t>98.83</t>
        </is>
      </c>
      <c r="AL40" s="2" t="inlineStr"/>
      <c r="AM40" s="2" t="inlineStr">
        <is>
          <t>0</t>
        </is>
      </c>
      <c r="AN40" s="2" t="inlineStr">
        <is>
          <t>0</t>
        </is>
      </c>
      <c r="AO40" s="2" t="inlineStr">
        <is>
          <t>0</t>
        </is>
      </c>
      <c r="AP40" s="2" t="inlineStr">
        <is>
          <t>0</t>
        </is>
      </c>
      <c r="AQ40" s="2" t="inlineStr">
        <is>
          <t>23.3</t>
        </is>
      </c>
      <c r="AR40" s="2" t="inlineStr">
        <is>
          <t>417</t>
        </is>
      </c>
      <c r="AS40" s="2" t="inlineStr">
        <is>
          <t>7</t>
        </is>
      </c>
      <c r="AT40" s="2" t="inlineStr">
        <is>
          <t>606</t>
        </is>
      </c>
      <c r="AU40" s="2" t="inlineStr">
        <is>
          <t>592</t>
        </is>
      </c>
      <c r="AV40" s="2" t="inlineStr">
        <is>
          <t>7</t>
        </is>
      </c>
      <c r="AW40" s="2" t="inlineStr">
        <is>
          <t>214</t>
        </is>
      </c>
      <c r="AX40" s="2" t="inlineStr">
        <is>
          <t>complete</t>
        </is>
      </c>
      <c r="AY40" s="2" t="inlineStr">
        <is>
          <t>0</t>
        </is>
      </c>
      <c r="AZ40" s="2" t="inlineStr"/>
      <c r="BA40" s="2" t="inlineStr">
        <is>
          <t>0</t>
        </is>
      </c>
      <c r="BB40" s="2" t="inlineStr">
        <is>
          <t>561</t>
        </is>
      </c>
      <c r="BC40" s="2" t="inlineStr">
        <is>
          <t>567</t>
        </is>
      </c>
      <c r="BD40" s="2" t="inlineStr">
        <is>
          <t>0.9894</t>
        </is>
      </c>
      <c r="BE40" s="2" t="inlineStr">
        <is>
          <t>4</t>
        </is>
      </c>
      <c r="BF40" s="2" t="inlineStr">
        <is>
          <t>1</t>
        </is>
      </c>
      <c r="BG40" s="2" t="inlineStr">
        <is>
          <t>all issues (too few non-maintainer)</t>
        </is>
      </c>
      <c r="BH40" s="2" t="inlineStr"/>
      <c r="BI40" s="2" t="inlineStr">
        <is>
          <t>0</t>
        </is>
      </c>
      <c r="BJ40" s="2" t="inlineStr">
        <is>
          <t>0</t>
        </is>
      </c>
      <c r="BK40" s="2" t="inlineStr">
        <is>
          <t>602</t>
        </is>
      </c>
      <c r="BL40" s="2" t="inlineStr">
        <is>
          <t>0.6213</t>
        </is>
      </c>
      <c r="BM40" s="2" t="inlineStr">
        <is>
          <t>374</t>
        </is>
      </c>
      <c r="BN40" s="2" t="n">
        <v>100</v>
      </c>
      <c r="BO40" s="2" t="n">
        <v>1</v>
      </c>
      <c r="BP40" s="2" t="n">
        <v>98.08</v>
      </c>
      <c r="BQ40" s="2" t="n">
        <v>1</v>
      </c>
      <c r="BR40" s="2" t="n">
        <v>100</v>
      </c>
      <c r="BS40" s="2" t="n">
        <v>1</v>
      </c>
      <c r="BT40" s="2" t="n">
        <v>100</v>
      </c>
      <c r="BU40" s="2" t="n">
        <v>1</v>
      </c>
      <c r="BV40" s="2" t="n">
        <v>31.7</v>
      </c>
      <c r="BW40" s="2" t="n">
        <v>1</v>
      </c>
      <c r="BX40" s="2" t="n">
        <v>30.36</v>
      </c>
      <c r="BY40" s="2" t="n">
        <v>1</v>
      </c>
      <c r="BZ40" s="2" t="n">
        <v>75</v>
      </c>
      <c r="CA40" s="2" t="n">
        <v>1</v>
      </c>
      <c r="CB40" s="2" t="n">
        <v>0</v>
      </c>
      <c r="CC40" s="2" t="n">
        <v>0</v>
      </c>
      <c r="CD40" s="2" t="n">
        <v>62.13</v>
      </c>
      <c r="CE40" s="2" t="n">
        <v>1</v>
      </c>
      <c r="CF40" s="2" t="n">
        <v>0</v>
      </c>
      <c r="CG40" s="2" t="n">
        <v>0</v>
      </c>
      <c r="CH40" s="2" t="n">
        <v>98.94</v>
      </c>
      <c r="CI40" s="2" t="n">
        <v>1</v>
      </c>
      <c r="CJ40" s="2" t="n">
        <v>23.3</v>
      </c>
      <c r="CK40" s="2" t="n">
        <v>1</v>
      </c>
      <c r="CL40" s="2" t="n">
        <v>15.02</v>
      </c>
      <c r="CM40" s="2" t="n">
        <v>1</v>
      </c>
      <c r="CN40" s="2" t="n">
        <v>56.5023076923077</v>
      </c>
      <c r="CO40" s="2" t="n">
        <v>11</v>
      </c>
      <c r="CP40" s="2" t="n">
        <v>0.8461538461538461</v>
      </c>
      <c r="CQ40" s="2" t="n">
        <v>66.77545454545455</v>
      </c>
      <c r="CR40" s="2" t="inlineStr"/>
      <c r="CS40" s="2" t="inlineStr"/>
      <c r="CT40" s="2" t="inlineStr"/>
      <c r="CU40" s="2" t="inlineStr"/>
    </row>
    <row r="41">
      <c r="A41" s="2" t="inlineStr">
        <is>
          <t>C4-040</t>
        </is>
      </c>
      <c r="B41" s="2" t="inlineStr">
        <is>
          <t>DSpace</t>
        </is>
      </c>
      <c r="C41" s="2" t="inlineStr">
        <is>
          <t>https://github.com/DSpace/DSpace</t>
        </is>
      </c>
      <c r="D41" s="2" t="inlineStr">
        <is>
          <t>Ready</t>
        </is>
      </c>
      <c r="E41" s="2" t="inlineStr">
        <is>
          <t>github</t>
        </is>
      </c>
      <c r="F41" s="2" t="inlineStr">
        <is>
          <t>DSpace/DSpace</t>
        </is>
      </c>
      <c r="G41" s="2" t="inlineStr"/>
      <c r="H41" s="2" t="inlineStr"/>
      <c r="I41" s="2" t="inlineStr">
        <is>
          <t>yes</t>
        </is>
      </c>
      <c r="J41" s="2" t="inlineStr">
        <is>
          <t>software</t>
        </is>
      </c>
      <c r="K41" s="2" t="inlineStr">
        <is>
          <t>GitHub (DSpace/DSpace + DSpace/dspace-angular)</t>
        </is>
      </c>
      <c r="L41" s="2" t="inlineStr"/>
      <c r="M41" s="2" t="inlineStr">
        <is>
          <t>DSpace/DSpace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DSpace/DSpace</t>
        </is>
      </c>
      <c r="T41" s="2" t="inlineStr">
        <is>
          <t>12</t>
        </is>
      </c>
      <c r="U41" s="2" t="inlineStr">
        <is>
          <t>50</t>
        </is>
      </c>
      <c r="V41" s="2" t="inlineStr">
        <is>
          <t>4</t>
        </is>
      </c>
      <c r="W41" s="2" t="inlineStr">
        <is>
          <t>19</t>
        </is>
      </c>
      <c r="X41" s="2" t="inlineStr">
        <is>
          <t>541</t>
        </is>
      </c>
      <c r="Y41" s="2" t="inlineStr">
        <is>
          <t>0.285</t>
        </is>
      </c>
      <c r="Z41" s="2" t="inlineStr">
        <is>
          <t>74</t>
        </is>
      </c>
      <c r="AA41" s="2" t="inlineStr">
        <is>
          <t>0.36</t>
        </is>
      </c>
      <c r="AB41" s="2" t="inlineStr">
        <is>
          <t>11.83</t>
        </is>
      </c>
      <c r="AC41" s="2" t="inlineStr">
        <is>
          <t>complete</t>
        </is>
      </c>
      <c r="AD41" s="2" t="inlineStr">
        <is>
          <t>1358</t>
        </is>
      </c>
      <c r="AE41" s="2" t="inlineStr">
        <is>
          <t>2026-10-13</t>
        </is>
      </c>
      <c r="AF41" s="2" t="inlineStr">
        <is>
          <t>1166</t>
        </is>
      </c>
      <c r="AG41" s="2" t="inlineStr">
        <is>
          <t>2</t>
        </is>
      </c>
      <c r="AH41" s="2" t="inlineStr">
        <is>
          <t>21</t>
        </is>
      </c>
      <c r="AI41" s="2" t="inlineStr">
        <is>
          <t>11</t>
        </is>
      </c>
      <c r="AJ41" s="2" t="inlineStr">
        <is>
          <t>19.59</t>
        </is>
      </c>
      <c r="AK41" s="2" t="inlineStr">
        <is>
          <t>92.42</t>
        </is>
      </c>
      <c r="AL41" s="2" t="inlineStr">
        <is>
          <t>16.94</t>
        </is>
      </c>
      <c r="AM41" s="2" t="inlineStr">
        <is>
          <t>175</t>
        </is>
      </c>
      <c r="AN41" s="2" t="inlineStr">
        <is>
          <t>96</t>
        </is>
      </c>
      <c r="AO41" s="2" t="inlineStr">
        <is>
          <t>286</t>
        </is>
      </c>
      <c r="AP41" s="2" t="inlineStr">
        <is>
          <t>454</t>
        </is>
      </c>
      <c r="AQ41" s="2" t="inlineStr">
        <is>
          <t>33.31</t>
        </is>
      </c>
      <c r="AR41" s="2" t="inlineStr">
        <is>
          <t>365</t>
        </is>
      </c>
      <c r="AS41" s="2" t="inlineStr">
        <is>
          <t>26</t>
        </is>
      </c>
      <c r="AT41" s="2" t="inlineStr">
        <is>
          <t>514</t>
        </is>
      </c>
      <c r="AU41" s="2" t="inlineStr">
        <is>
          <t>317</t>
        </is>
      </c>
      <c r="AV41" s="2" t="inlineStr">
        <is>
          <t>171</t>
        </is>
      </c>
      <c r="AW41" s="2" t="inlineStr">
        <is>
          <t>96</t>
        </is>
      </c>
      <c r="AX41" s="2" t="inlineStr">
        <is>
          <t>complete</t>
        </is>
      </c>
      <c r="AY41" s="2" t="inlineStr">
        <is>
          <t>73</t>
        </is>
      </c>
      <c r="AZ41" s="2" t="inlineStr">
        <is>
          <t>0.3259</t>
        </is>
      </c>
      <c r="BA41" s="2" t="inlineStr">
        <is>
          <t>224</t>
        </is>
      </c>
      <c r="BB41" s="2" t="inlineStr">
        <is>
          <t>261</t>
        </is>
      </c>
      <c r="BC41" s="2" t="inlineStr">
        <is>
          <t>468</t>
        </is>
      </c>
      <c r="BD41" s="2" t="inlineStr">
        <is>
          <t>0.5577</t>
        </is>
      </c>
      <c r="BE41" s="2" t="inlineStr">
        <is>
          <t>104</t>
        </is>
      </c>
      <c r="BF41" s="2" t="inlineStr">
        <is>
          <t>134</t>
        </is>
      </c>
      <c r="BG41" s="2" t="inlineStr">
        <is>
          <t>non-maintainer issues</t>
        </is>
      </c>
      <c r="BH41" s="2" t="inlineStr">
        <is>
          <t>0.9503</t>
        </is>
      </c>
      <c r="BI41" s="2" t="inlineStr">
        <is>
          <t>181</t>
        </is>
      </c>
      <c r="BJ41" s="2" t="inlineStr">
        <is>
          <t>172</t>
        </is>
      </c>
      <c r="BK41" s="2" t="inlineStr">
        <is>
          <t>505</t>
        </is>
      </c>
      <c r="BL41" s="2" t="inlineStr">
        <is>
          <t>0.5208</t>
        </is>
      </c>
      <c r="BM41" s="2" t="inlineStr">
        <is>
          <t>263</t>
        </is>
      </c>
      <c r="BN41" s="2" t="n">
        <v>100</v>
      </c>
      <c r="BO41" s="2" t="n">
        <v>1</v>
      </c>
      <c r="BP41" s="2" t="n">
        <v>96.15000000000001</v>
      </c>
      <c r="BQ41" s="2" t="n">
        <v>1</v>
      </c>
      <c r="BR41" s="2" t="n">
        <v>100</v>
      </c>
      <c r="BS41" s="2" t="n">
        <v>1</v>
      </c>
      <c r="BT41" s="2" t="n">
        <v>100</v>
      </c>
      <c r="BU41" s="2" t="n">
        <v>1</v>
      </c>
      <c r="BV41" s="2" t="n">
        <v>100</v>
      </c>
      <c r="BW41" s="2" t="n">
        <v>1</v>
      </c>
      <c r="BX41" s="2" t="n">
        <v>100</v>
      </c>
      <c r="BY41" s="2" t="n">
        <v>1</v>
      </c>
      <c r="BZ41" s="2" t="n">
        <v>100</v>
      </c>
      <c r="CA41" s="2" t="n">
        <v>1</v>
      </c>
      <c r="CB41" s="2" t="n">
        <v>95.03</v>
      </c>
      <c r="CC41" s="2" t="n">
        <v>1</v>
      </c>
      <c r="CD41" s="2" t="n">
        <v>52.08</v>
      </c>
      <c r="CE41" s="2" t="n">
        <v>1</v>
      </c>
      <c r="CF41" s="2" t="n">
        <v>32.59</v>
      </c>
      <c r="CG41" s="2" t="n">
        <v>1</v>
      </c>
      <c r="CH41" s="2" t="n">
        <v>55.77</v>
      </c>
      <c r="CI41" s="2" t="n">
        <v>1</v>
      </c>
      <c r="CJ41" s="2" t="n">
        <v>67.36</v>
      </c>
      <c r="CK41" s="2" t="n">
        <v>1</v>
      </c>
      <c r="CL41" s="2" t="n">
        <v>100</v>
      </c>
      <c r="CM41" s="2" t="n">
        <v>1</v>
      </c>
      <c r="CN41" s="2" t="n">
        <v>84.53692307692307</v>
      </c>
      <c r="CO41" s="2" t="n">
        <v>13</v>
      </c>
      <c r="CP41" s="2" t="n">
        <v>1</v>
      </c>
      <c r="CQ41" s="2" t="n">
        <v>84.53692307692307</v>
      </c>
      <c r="CR41" s="2" t="inlineStr"/>
      <c r="CS41" s="2" t="inlineStr"/>
      <c r="CT41" s="2" t="inlineStr"/>
      <c r="CU41" s="2" t="inlineStr"/>
    </row>
    <row r="42">
      <c r="A42" s="2" t="inlineStr">
        <is>
          <t>C4-041</t>
        </is>
      </c>
      <c r="B42" s="2" t="inlineStr">
        <is>
          <t>DuraCloud</t>
        </is>
      </c>
      <c r="C42" s="2" t="inlineStr">
        <is>
          <t>https://github.com/duracloud/duracloud</t>
        </is>
      </c>
      <c r="D42" s="2" t="inlineStr">
        <is>
          <t>Ready</t>
        </is>
      </c>
      <c r="E42" s="2" t="inlineStr">
        <is>
          <t>github</t>
        </is>
      </c>
      <c r="F42" s="2" t="inlineStr">
        <is>
          <t>duracloud/duracloud</t>
        </is>
      </c>
      <c r="G42" s="2" t="inlineStr"/>
      <c r="H42" s="2" t="inlineStr"/>
      <c r="I42" s="2" t="inlineStr">
        <is>
          <t>yes</t>
        </is>
      </c>
      <c r="J42" s="2" t="inlineStr">
        <is>
          <t>software</t>
        </is>
      </c>
      <c r="K42" s="2" t="inlineStr">
        <is>
          <t>GitHub (same repo)</t>
        </is>
      </c>
      <c r="L42" s="2" t="inlineStr"/>
      <c r="M42" s="2" t="inlineStr">
        <is>
          <t>duracloud/duracloud</t>
        </is>
      </c>
      <c r="N42" s="2" t="inlineStr"/>
      <c r="O42" s="2" t="inlineStr"/>
      <c r="P42" s="2" t="inlineStr"/>
      <c r="Q42" s="2" t="inlineStr"/>
      <c r="R42" s="2" t="inlineStr"/>
      <c r="S42" s="2" t="inlineStr">
        <is>
          <t>duracloud/duracloud</t>
        </is>
      </c>
      <c r="T42" s="2" t="inlineStr">
        <is>
          <t>4</t>
        </is>
      </c>
      <c r="U42" s="2" t="inlineStr">
        <is>
          <t>4</t>
        </is>
      </c>
      <c r="V42" s="2" t="inlineStr">
        <is>
          <t>1</t>
        </is>
      </c>
      <c r="W42" s="2" t="inlineStr">
        <is>
          <t>1</t>
        </is>
      </c>
      <c r="X42" s="2" t="inlineStr">
        <is>
          <t>0</t>
        </is>
      </c>
      <c r="Y42" s="2" t="inlineStr">
        <is>
          <t>0.0</t>
        </is>
      </c>
      <c r="Z42" s="2" t="inlineStr">
        <is>
          <t>2</t>
        </is>
      </c>
      <c r="AA42" s="2" t="inlineStr">
        <is>
          <t>124.2</t>
        </is>
      </c>
      <c r="AB42" s="2" t="inlineStr">
        <is>
          <t>1.38</t>
        </is>
      </c>
      <c r="AC42" s="2" t="inlineStr">
        <is>
          <t>complete</t>
        </is>
      </c>
      <c r="AD42" s="2" t="inlineStr">
        <is>
          <t>6</t>
        </is>
      </c>
      <c r="AE42" s="2" t="inlineStr">
        <is>
          <t>2026-05-29</t>
        </is>
      </c>
      <c r="AF42" s="2" t="inlineStr">
        <is>
          <t>0</t>
        </is>
      </c>
      <c r="AG42" s="2" t="inlineStr">
        <is>
          <t>1</t>
        </is>
      </c>
      <c r="AH42" s="2" t="inlineStr">
        <is>
          <t>1</t>
        </is>
      </c>
      <c r="AI42" s="2" t="inlineStr">
        <is>
          <t>2</t>
        </is>
      </c>
      <c r="AJ42" s="2" t="inlineStr">
        <is>
          <t>83.33</t>
        </is>
      </c>
      <c r="AK42" s="2" t="inlineStr">
        <is>
          <t>100.0</t>
        </is>
      </c>
      <c r="AL42" s="2" t="inlineStr"/>
      <c r="AM42" s="2" t="inlineStr">
        <is>
          <t>0</t>
        </is>
      </c>
      <c r="AN42" s="2" t="inlineStr">
        <is>
          <t>0</t>
        </is>
      </c>
      <c r="AO42" s="2" t="inlineStr">
        <is>
          <t>0</t>
        </is>
      </c>
      <c r="AP42" s="2" t="inlineStr">
        <is>
          <t>3</t>
        </is>
      </c>
      <c r="AQ42" s="2" t="inlineStr"/>
      <c r="AR42" s="2" t="inlineStr">
        <is>
          <t>0</t>
        </is>
      </c>
      <c r="AS42" s="2" t="inlineStr">
        <is>
          <t>0</t>
        </is>
      </c>
      <c r="AT42" s="2" t="inlineStr">
        <is>
          <t>3</t>
        </is>
      </c>
      <c r="AU42" s="2" t="inlineStr">
        <is>
          <t>3</t>
        </is>
      </c>
      <c r="AV42" s="2" t="inlineStr">
        <is>
          <t>0</t>
        </is>
      </c>
      <c r="AW42" s="2" t="inlineStr">
        <is>
          <t>3</t>
        </is>
      </c>
      <c r="AX42" s="2" t="inlineStr">
        <is>
          <t>complete</t>
        </is>
      </c>
      <c r="AY42" s="2" t="inlineStr">
        <is>
          <t>0</t>
        </is>
      </c>
      <c r="AZ42" s="2" t="inlineStr"/>
      <c r="BA42" s="2" t="inlineStr">
        <is>
          <t>0</t>
        </is>
      </c>
      <c r="BB42" s="2" t="inlineStr">
        <is>
          <t>3</t>
        </is>
      </c>
      <c r="BC42" s="2" t="inlineStr">
        <is>
          <t>3</t>
        </is>
      </c>
      <c r="BD42" s="2" t="inlineStr"/>
      <c r="BE42" s="2" t="inlineStr">
        <is>
          <t>1</t>
        </is>
      </c>
      <c r="BF42" s="2" t="inlineStr">
        <is>
          <t>0</t>
        </is>
      </c>
      <c r="BG42" s="2" t="inlineStr">
        <is>
          <t>all issues (too few non-maintainer)</t>
        </is>
      </c>
      <c r="BH42" s="2" t="inlineStr"/>
      <c r="BI42" s="2" t="inlineStr">
        <is>
          <t>0</t>
        </is>
      </c>
      <c r="BJ42" s="2" t="inlineStr">
        <is>
          <t>0</t>
        </is>
      </c>
      <c r="BK42" s="2" t="inlineStr">
        <is>
          <t>3</t>
        </is>
      </c>
      <c r="BL42" s="2" t="inlineStr"/>
      <c r="BM42" s="2" t="inlineStr">
        <is>
          <t>0</t>
        </is>
      </c>
      <c r="BN42" s="2" t="n">
        <v>28.17</v>
      </c>
      <c r="BO42" s="2" t="n">
        <v>1</v>
      </c>
      <c r="BP42" s="2" t="n">
        <v>7.69</v>
      </c>
      <c r="BQ42" s="2" t="n">
        <v>1</v>
      </c>
      <c r="BR42" s="2" t="n">
        <v>71.88</v>
      </c>
      <c r="BS42" s="2" t="n">
        <v>1</v>
      </c>
      <c r="BT42" s="2" t="n">
        <v>75</v>
      </c>
      <c r="BU42" s="2" t="n">
        <v>1</v>
      </c>
      <c r="BV42" s="2" t="n">
        <v>20</v>
      </c>
      <c r="BW42" s="2" t="n">
        <v>1</v>
      </c>
      <c r="BX42" s="2" t="n">
        <v>15.49</v>
      </c>
      <c r="BY42" s="2" t="n">
        <v>1</v>
      </c>
      <c r="BZ42" s="2" t="n">
        <v>25</v>
      </c>
      <c r="CA42" s="2" t="n">
        <v>1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10.03</v>
      </c>
      <c r="CK42" s="2" t="n">
        <v>1</v>
      </c>
      <c r="CL42" s="2" t="n">
        <v>0</v>
      </c>
      <c r="CM42" s="2" t="n">
        <v>1</v>
      </c>
      <c r="CN42" s="2" t="n">
        <v>19.48153846153846</v>
      </c>
      <c r="CO42" s="2" t="n">
        <v>9</v>
      </c>
      <c r="CP42" s="2" t="n">
        <v>0.6923076923076923</v>
      </c>
      <c r="CQ42" s="2" t="n">
        <v>28.14</v>
      </c>
      <c r="CR42" s="2" t="inlineStr"/>
      <c r="CS42" s="2" t="inlineStr"/>
      <c r="CT42" s="2" t="inlineStr"/>
      <c r="CU42" s="2" t="inlineStr"/>
    </row>
    <row r="43">
      <c r="A43" s="2" t="inlineStr">
        <is>
          <t>C4-042</t>
        </is>
      </c>
      <c r="B43" s="2" t="inlineStr">
        <is>
          <t>Episciences</t>
        </is>
      </c>
      <c r="C43" s="2" t="inlineStr">
        <is>
          <t>https://github.com/CCSDForge/episciences</t>
        </is>
      </c>
      <c r="D43" s="2" t="inlineStr">
        <is>
          <t>Ready</t>
        </is>
      </c>
      <c r="E43" s="2" t="inlineStr">
        <is>
          <t>github</t>
        </is>
      </c>
      <c r="F43" s="2" t="inlineStr">
        <is>
          <t>CCSDForge/episciences</t>
        </is>
      </c>
      <c r="G43" s="2" t="inlineStr"/>
      <c r="H43" s="2" t="inlineStr"/>
      <c r="I43" s="2" t="inlineStr">
        <is>
          <t>yes</t>
        </is>
      </c>
      <c r="J43" s="2" t="inlineStr">
        <is>
          <t>software</t>
        </is>
      </c>
      <c r="K43" s="2" t="inlineStr">
        <is>
          <t>GitHub (same repo)</t>
        </is>
      </c>
      <c r="L43" s="2" t="inlineStr"/>
      <c r="M43" s="2" t="inlineStr">
        <is>
          <t>CCSDForge/episciences</t>
        </is>
      </c>
      <c r="N43" s="2" t="inlineStr"/>
      <c r="O43" s="2" t="inlineStr"/>
      <c r="P43" s="2" t="inlineStr"/>
      <c r="Q43" s="2" t="inlineStr"/>
      <c r="R43" s="2" t="inlineStr"/>
      <c r="S43" s="2" t="inlineStr">
        <is>
          <t>CCSDForge/episciences</t>
        </is>
      </c>
      <c r="T43" s="2" t="inlineStr">
        <is>
          <t>12</t>
        </is>
      </c>
      <c r="U43" s="2" t="inlineStr">
        <is>
          <t>51</t>
        </is>
      </c>
      <c r="V43" s="2" t="inlineStr">
        <is>
          <t>1</t>
        </is>
      </c>
      <c r="W43" s="2" t="inlineStr">
        <is>
          <t>2</t>
        </is>
      </c>
      <c r="X43" s="2" t="inlineStr">
        <is>
          <t>42</t>
        </is>
      </c>
      <c r="Y43" s="2" t="inlineStr">
        <is>
          <t>0.036</t>
        </is>
      </c>
      <c r="Z43" s="2" t="inlineStr">
        <is>
          <t>5</t>
        </is>
      </c>
      <c r="AA43" s="2" t="inlineStr">
        <is>
          <t>0.42</t>
        </is>
      </c>
      <c r="AB43" s="2" t="inlineStr">
        <is>
          <t>2.01</t>
        </is>
      </c>
      <c r="AC43" s="2" t="inlineStr">
        <is>
          <t>complete</t>
        </is>
      </c>
      <c r="AD43" s="2" t="inlineStr">
        <is>
          <t>1126</t>
        </is>
      </c>
      <c r="AE43" s="2" t="inlineStr">
        <is>
          <t>2026-10-13</t>
        </is>
      </c>
      <c r="AF43" s="2" t="inlineStr">
        <is>
          <t>311</t>
        </is>
      </c>
      <c r="AG43" s="2" t="inlineStr">
        <is>
          <t>0</t>
        </is>
      </c>
      <c r="AH43" s="2" t="inlineStr">
        <is>
          <t>4</t>
        </is>
      </c>
      <c r="AI43" s="2" t="inlineStr">
        <is>
          <t>22</t>
        </is>
      </c>
      <c r="AJ43" s="2" t="inlineStr">
        <is>
          <t>64.39</t>
        </is>
      </c>
      <c r="AK43" s="2" t="inlineStr">
        <is>
          <t>93.14</t>
        </is>
      </c>
      <c r="AL43" s="2" t="inlineStr">
        <is>
          <t>164.0</t>
        </is>
      </c>
      <c r="AM43" s="2" t="inlineStr">
        <is>
          <t>69</t>
        </is>
      </c>
      <c r="AN43" s="2" t="inlineStr">
        <is>
          <t>10</t>
        </is>
      </c>
      <c r="AO43" s="2" t="inlineStr">
        <is>
          <t>98</t>
        </is>
      </c>
      <c r="AP43" s="2" t="inlineStr">
        <is>
          <t>101</t>
        </is>
      </c>
      <c r="AQ43" s="2" t="inlineStr">
        <is>
          <t>26.72</t>
        </is>
      </c>
      <c r="AR43" s="2" t="inlineStr">
        <is>
          <t>105</t>
        </is>
      </c>
      <c r="AS43" s="2" t="inlineStr">
        <is>
          <t>14</t>
        </is>
      </c>
      <c r="AT43" s="2" t="inlineStr">
        <is>
          <t>213</t>
        </is>
      </c>
      <c r="AU43" s="2" t="inlineStr">
        <is>
          <t>190</t>
        </is>
      </c>
      <c r="AV43" s="2" t="inlineStr">
        <is>
          <t>9</t>
        </is>
      </c>
      <c r="AW43" s="2" t="inlineStr">
        <is>
          <t>95</t>
        </is>
      </c>
      <c r="AX43" s="2" t="inlineStr">
        <is>
          <t>complete</t>
        </is>
      </c>
      <c r="AY43" s="2" t="inlineStr">
        <is>
          <t>32</t>
        </is>
      </c>
      <c r="AZ43" s="2" t="inlineStr">
        <is>
          <t>0.4638</t>
        </is>
      </c>
      <c r="BA43" s="2" t="inlineStr">
        <is>
          <t>69</t>
        </is>
      </c>
      <c r="BB43" s="2" t="inlineStr">
        <is>
          <t>165</t>
        </is>
      </c>
      <c r="BC43" s="2" t="inlineStr">
        <is>
          <t>179</t>
        </is>
      </c>
      <c r="BD43" s="2" t="inlineStr">
        <is>
          <t>0.9218</t>
        </is>
      </c>
      <c r="BE43" s="2" t="inlineStr">
        <is>
          <t>2</t>
        </is>
      </c>
      <c r="BF43" s="2" t="inlineStr">
        <is>
          <t>1</t>
        </is>
      </c>
      <c r="BG43" s="2" t="inlineStr">
        <is>
          <t>non-maintainer issues</t>
        </is>
      </c>
      <c r="BH43" s="2" t="inlineStr">
        <is>
          <t>0.5663</t>
        </is>
      </c>
      <c r="BI43" s="2" t="inlineStr">
        <is>
          <t>83</t>
        </is>
      </c>
      <c r="BJ43" s="2" t="inlineStr">
        <is>
          <t>47</t>
        </is>
      </c>
      <c r="BK43" s="2" t="inlineStr">
        <is>
          <t>201</t>
        </is>
      </c>
      <c r="BL43" s="2" t="inlineStr">
        <is>
          <t>0.4627</t>
        </is>
      </c>
      <c r="BM43" s="2" t="inlineStr">
        <is>
          <t>93</t>
        </is>
      </c>
      <c r="BN43" s="2" t="n">
        <v>100</v>
      </c>
      <c r="BO43" s="2" t="n">
        <v>1</v>
      </c>
      <c r="BP43" s="2" t="n">
        <v>98.08</v>
      </c>
      <c r="BQ43" s="2" t="n">
        <v>1</v>
      </c>
      <c r="BR43" s="2" t="n">
        <v>100</v>
      </c>
      <c r="BS43" s="2" t="n">
        <v>1</v>
      </c>
      <c r="BT43" s="2" t="n">
        <v>100</v>
      </c>
      <c r="BU43" s="2" t="n">
        <v>1</v>
      </c>
      <c r="BV43" s="2" t="n">
        <v>46.44</v>
      </c>
      <c r="BW43" s="2" t="n">
        <v>1</v>
      </c>
      <c r="BX43" s="2" t="n">
        <v>33.57</v>
      </c>
      <c r="BY43" s="2" t="n">
        <v>1</v>
      </c>
      <c r="BZ43" s="2" t="n">
        <v>75</v>
      </c>
      <c r="CA43" s="2" t="n">
        <v>1</v>
      </c>
      <c r="CB43" s="2" t="n">
        <v>56.63</v>
      </c>
      <c r="CC43" s="2" t="n">
        <v>1</v>
      </c>
      <c r="CD43" s="2" t="n">
        <v>46.27</v>
      </c>
      <c r="CE43" s="2" t="n">
        <v>1</v>
      </c>
      <c r="CF43" s="2" t="n">
        <v>46.38</v>
      </c>
      <c r="CG43" s="2" t="n">
        <v>1</v>
      </c>
      <c r="CH43" s="2" t="n">
        <v>92.18000000000001</v>
      </c>
      <c r="CI43" s="2" t="n">
        <v>1</v>
      </c>
      <c r="CJ43" s="2" t="n">
        <v>15.9</v>
      </c>
      <c r="CK43" s="2" t="n">
        <v>1</v>
      </c>
      <c r="CL43" s="2" t="n">
        <v>15.02</v>
      </c>
      <c r="CM43" s="2" t="n">
        <v>1</v>
      </c>
      <c r="CN43" s="2" t="n">
        <v>63.49769230769231</v>
      </c>
      <c r="CO43" s="2" t="n">
        <v>13</v>
      </c>
      <c r="CP43" s="2" t="n">
        <v>1</v>
      </c>
      <c r="CQ43" s="2" t="n">
        <v>63.49769230769231</v>
      </c>
      <c r="CR43" s="2" t="inlineStr"/>
      <c r="CS43" s="2" t="inlineStr"/>
      <c r="CT43" s="2" t="inlineStr"/>
      <c r="CU43" s="2" t="inlineStr"/>
    </row>
    <row r="44">
      <c r="A44" s="2" t="inlineStr">
        <is>
          <t>C4-043</t>
        </is>
      </c>
      <c r="B44" s="2" t="inlineStr">
        <is>
          <t>EPrints</t>
        </is>
      </c>
      <c r="C44" s="2" t="inlineStr">
        <is>
          <t>https://github.com/eprints/eprints3.4</t>
        </is>
      </c>
      <c r="D44" s="2" t="inlineStr">
        <is>
          <t>Ready</t>
        </is>
      </c>
      <c r="E44" s="2" t="inlineStr">
        <is>
          <t>github</t>
        </is>
      </c>
      <c r="F44" s="2" t="inlineStr">
        <is>
          <t>eprints/eprints3.4</t>
        </is>
      </c>
      <c r="G44" s="2" t="inlineStr"/>
      <c r="H44" s="2" t="inlineStr"/>
      <c r="I44" s="2" t="inlineStr">
        <is>
          <t>yes</t>
        </is>
      </c>
      <c r="J44" s="2" t="inlineStr">
        <is>
          <t>software</t>
        </is>
      </c>
      <c r="K44" s="2" t="inlineStr">
        <is>
          <t>GitHub (same repo)</t>
        </is>
      </c>
      <c r="L44" s="2" t="inlineStr"/>
      <c r="M44" s="2" t="inlineStr">
        <is>
          <t>eprints/eprints3.4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eprints/eprints3.4</t>
        </is>
      </c>
      <c r="T44" s="2" t="inlineStr">
        <is>
          <t>11</t>
        </is>
      </c>
      <c r="U44" s="2" t="inlineStr">
        <is>
          <t>32</t>
        </is>
      </c>
      <c r="V44" s="2" t="inlineStr">
        <is>
          <t>1</t>
        </is>
      </c>
      <c r="W44" s="2" t="inlineStr">
        <is>
          <t>2</t>
        </is>
      </c>
      <c r="X44" s="2" t="inlineStr">
        <is>
          <t>0</t>
        </is>
      </c>
      <c r="Y44" s="2" t="inlineStr">
        <is>
          <t>0.0</t>
        </is>
      </c>
      <c r="Z44" s="2" t="inlineStr">
        <is>
          <t>9</t>
        </is>
      </c>
      <c r="AA44" s="2" t="inlineStr">
        <is>
          <t>5.28</t>
        </is>
      </c>
      <c r="AB44" s="2" t="inlineStr">
        <is>
          <t>1.83</t>
        </is>
      </c>
      <c r="AC44" s="2" t="inlineStr">
        <is>
          <t>complete</t>
        </is>
      </c>
      <c r="AD44" s="2" t="inlineStr">
        <is>
          <t>81</t>
        </is>
      </c>
      <c r="AE44" s="2" t="inlineStr">
        <is>
          <t>2026-09-25</t>
        </is>
      </c>
      <c r="AF44" s="2" t="inlineStr">
        <is>
          <t>4</t>
        </is>
      </c>
      <c r="AG44" s="2" t="inlineStr">
        <is>
          <t>0</t>
        </is>
      </c>
      <c r="AH44" s="2" t="inlineStr">
        <is>
          <t>3</t>
        </is>
      </c>
      <c r="AI44" s="2" t="inlineStr">
        <is>
          <t>0</t>
        </is>
      </c>
      <c r="AJ44" s="2" t="inlineStr">
        <is>
          <t>72.84</t>
        </is>
      </c>
      <c r="AK44" s="2" t="inlineStr">
        <is>
          <t>85.29</t>
        </is>
      </c>
      <c r="AL44" s="2" t="inlineStr">
        <is>
          <t>18.95</t>
        </is>
      </c>
      <c r="AM44" s="2" t="inlineStr">
        <is>
          <t>15</t>
        </is>
      </c>
      <c r="AN44" s="2" t="inlineStr">
        <is>
          <t>7</t>
        </is>
      </c>
      <c r="AO44" s="2" t="inlineStr">
        <is>
          <t>59</t>
        </is>
      </c>
      <c r="AP44" s="2" t="inlineStr">
        <is>
          <t>9</t>
        </is>
      </c>
      <c r="AQ44" s="2" t="inlineStr">
        <is>
          <t>40.34</t>
        </is>
      </c>
      <c r="AR44" s="2" t="inlineStr">
        <is>
          <t>29</t>
        </is>
      </c>
      <c r="AS44" s="2" t="inlineStr">
        <is>
          <t>5</t>
        </is>
      </c>
      <c r="AT44" s="2" t="inlineStr">
        <is>
          <t>35</t>
        </is>
      </c>
      <c r="AU44" s="2" t="inlineStr">
        <is>
          <t>29</t>
        </is>
      </c>
      <c r="AV44" s="2" t="inlineStr">
        <is>
          <t>1</t>
        </is>
      </c>
      <c r="AW44" s="2" t="inlineStr">
        <is>
          <t>13</t>
        </is>
      </c>
      <c r="AX44" s="2" t="inlineStr">
        <is>
          <t>complete</t>
        </is>
      </c>
      <c r="AY44" s="2" t="inlineStr">
        <is>
          <t>38</t>
        </is>
      </c>
      <c r="AZ44" s="2" t="inlineStr">
        <is>
          <t>0.8085</t>
        </is>
      </c>
      <c r="BA44" s="2" t="inlineStr">
        <is>
          <t>47</t>
        </is>
      </c>
      <c r="BB44" s="2" t="inlineStr">
        <is>
          <t>26</t>
        </is>
      </c>
      <c r="BC44" s="2" t="inlineStr">
        <is>
          <t>30</t>
        </is>
      </c>
      <c r="BD44" s="2" t="inlineStr">
        <is>
          <t>0.8667</t>
        </is>
      </c>
      <c r="BE44" s="2" t="inlineStr">
        <is>
          <t>5</t>
        </is>
      </c>
      <c r="BF44" s="2" t="inlineStr">
        <is>
          <t>4</t>
        </is>
      </c>
      <c r="BG44" s="2" t="inlineStr">
        <is>
          <t>non-maintainer issues</t>
        </is>
      </c>
      <c r="BH44" s="2" t="inlineStr">
        <is>
          <t>0.24</t>
        </is>
      </c>
      <c r="BI44" s="2" t="inlineStr">
        <is>
          <t>50</t>
        </is>
      </c>
      <c r="BJ44" s="2" t="inlineStr">
        <is>
          <t>12</t>
        </is>
      </c>
      <c r="BK44" s="2" t="inlineStr">
        <is>
          <t>34</t>
        </is>
      </c>
      <c r="BL44" s="2" t="inlineStr">
        <is>
          <t>0.5882</t>
        </is>
      </c>
      <c r="BM44" s="2" t="inlineStr">
        <is>
          <t>20</t>
        </is>
      </c>
      <c r="BN44" s="2" t="n">
        <v>63.78</v>
      </c>
      <c r="BO44" s="2" t="n">
        <v>1</v>
      </c>
      <c r="BP44" s="2" t="n">
        <v>61.54</v>
      </c>
      <c r="BQ44" s="2" t="n">
        <v>1</v>
      </c>
      <c r="BR44" s="2" t="n">
        <v>100</v>
      </c>
      <c r="BS44" s="2" t="n">
        <v>1</v>
      </c>
      <c r="BT44" s="2" t="n">
        <v>0</v>
      </c>
      <c r="BU44" s="2" t="n">
        <v>1</v>
      </c>
      <c r="BV44" s="2" t="n">
        <v>63.4</v>
      </c>
      <c r="BW44" s="2" t="n">
        <v>1</v>
      </c>
      <c r="BX44" s="2" t="n">
        <v>29.06</v>
      </c>
      <c r="BY44" s="2" t="n">
        <v>1</v>
      </c>
      <c r="BZ44" s="2" t="n">
        <v>75</v>
      </c>
      <c r="CA44" s="2" t="n">
        <v>1</v>
      </c>
      <c r="CB44" s="2" t="n">
        <v>24</v>
      </c>
      <c r="CC44" s="2" t="n">
        <v>1</v>
      </c>
      <c r="CD44" s="2" t="n">
        <v>58.82</v>
      </c>
      <c r="CE44" s="2" t="n">
        <v>1</v>
      </c>
      <c r="CF44" s="2" t="n">
        <v>80.84999999999999</v>
      </c>
      <c r="CG44" s="2" t="n">
        <v>1</v>
      </c>
      <c r="CH44" s="2" t="n">
        <v>86.67</v>
      </c>
      <c r="CI44" s="2" t="n">
        <v>1</v>
      </c>
      <c r="CJ44" s="2" t="n">
        <v>25.93</v>
      </c>
      <c r="CK44" s="2" t="n">
        <v>1</v>
      </c>
      <c r="CL44" s="2" t="n">
        <v>34.87</v>
      </c>
      <c r="CM44" s="2" t="n">
        <v>1</v>
      </c>
      <c r="CN44" s="2" t="n">
        <v>54.14769230769231</v>
      </c>
      <c r="CO44" s="2" t="n">
        <v>13</v>
      </c>
      <c r="CP44" s="2" t="n">
        <v>1</v>
      </c>
      <c r="CQ44" s="2" t="n">
        <v>54.14769230769231</v>
      </c>
      <c r="CR44" s="2" t="inlineStr"/>
      <c r="CS44" s="2" t="inlineStr"/>
      <c r="CT44" s="2" t="inlineStr"/>
      <c r="CU44" s="2" t="inlineStr"/>
    </row>
    <row r="45">
      <c r="A45" s="2" t="inlineStr">
        <is>
          <t>C4-044</t>
        </is>
      </c>
      <c r="B45" s="2" t="inlineStr">
        <is>
          <t>Érudit</t>
        </is>
      </c>
      <c r="C45" s="2" t="inlineStr">
        <is>
          <t>https://github.com/erudit/eruditorg</t>
        </is>
      </c>
      <c r="D45" s="2" t="inlineStr">
        <is>
          <t>Replace URL (GitLab)</t>
        </is>
      </c>
      <c r="E45" s="2" t="inlineStr">
        <is>
          <t>gitlab</t>
        </is>
      </c>
      <c r="F45" s="2" t="inlineStr">
        <is>
          <t>https://gitlab.erudit.org/erudit/portail/eruditorg</t>
        </is>
      </c>
      <c r="G45" s="2" t="inlineStr"/>
      <c r="H45" s="2" t="inlineStr"/>
      <c r="I45" s="2" t="inlineStr">
        <is>
          <t>yes</t>
        </is>
      </c>
      <c r="J45" s="2" t="inlineStr">
        <is>
          <t>software</t>
        </is>
      </c>
      <c r="K45" s="2" t="inlineStr">
        <is>
          <t>GitLab (gitlab.erudit.org) - GitHub copy is a mirror</t>
        </is>
      </c>
      <c r="L45" s="2" t="inlineStr">
        <is>
          <t>GitHub copy is a stale mirror; development is on gitlab.erudit.org (activity not verifiable from here)</t>
        </is>
      </c>
      <c r="M45" s="2" t="inlineStr"/>
      <c r="N45" s="2" t="inlineStr"/>
      <c r="O45" s="2" t="inlineStr"/>
      <c r="P45" s="2" t="inlineStr"/>
      <c r="Q45" s="2" t="inlineStr"/>
      <c r="R45" s="2" t="inlineStr"/>
      <c r="S45" s="2" t="inlineStr">
        <is>
          <t>https://gitlab.erudit.org/erudit/portail/eruditorg</t>
        </is>
      </c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>
        <is>
          <t>failed: Command '['git', '-C', 'clones\\gitlab.erudit.org_erudit_portail_eruditorg.git', 'symbolic-ref', 'HEAD']' returned non-z</t>
        </is>
      </c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>
        <is>
          <t>no GitHub source</t>
        </is>
      </c>
      <c r="AY45" s="2" t="inlineStr"/>
      <c r="AZ45" s="2" t="inlineStr"/>
      <c r="BA45" s="2" t="inlineStr"/>
      <c r="BB45" s="2" t="inlineStr"/>
      <c r="BC45" s="2" t="inlineStr"/>
      <c r="BD45" s="2" t="inlineStr"/>
      <c r="BE45" s="2" t="inlineStr"/>
      <c r="BF45" s="2" t="inlineStr"/>
      <c r="BG45" s="2" t="inlineStr"/>
      <c r="BH45" s="2" t="inlineStr"/>
      <c r="BI45" s="2" t="inlineStr"/>
      <c r="BJ45" s="2" t="inlineStr"/>
      <c r="BK45" s="2" t="inlineStr"/>
      <c r="BL45" s="2" t="inlineStr"/>
      <c r="BM45" s="2" t="inlineStr"/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inlineStr">
        <is>
          <t>GitLab (gitlab.erudit.org) - GitHub copy is a mirror</t>
        </is>
      </c>
      <c r="CS45" s="2" t="inlineStr"/>
      <c r="CT45" s="2" t="inlineStr"/>
      <c r="CU45" s="2" t="inlineStr">
        <is>
          <t>fill from external tracker or leave blank</t>
        </is>
      </c>
    </row>
    <row r="46">
      <c r="A46" s="2" t="inlineStr">
        <is>
          <t>C4-045</t>
        </is>
      </c>
      <c r="B46" s="2" t="inlineStr">
        <is>
          <t>Europe PMC</t>
        </is>
      </c>
      <c r="C46" s="2" t="inlineStr">
        <is>
          <t>https://github.com/EuropePMC/EuropePMC-Annotation-Validator</t>
        </is>
      </c>
      <c r="D46" s="2" t="inlineStr">
        <is>
          <t>Not assessable (verify)</t>
        </is>
      </c>
      <c r="E46" s="2" t="inlineStr"/>
      <c r="F46" s="2" t="inlineStr"/>
      <c r="G46" s="2" t="inlineStr"/>
      <c r="H46" s="2" t="inlineStr"/>
      <c r="I46" s="2" t="inlineStr">
        <is>
          <t>no</t>
        </is>
      </c>
      <c r="J46" s="2" t="inlineStr">
        <is>
          <t>not-assessable</t>
        </is>
      </c>
      <c r="K46" s="2" t="inlineStr"/>
      <c r="L46" s="2" t="inlineStr">
        <is>
          <t>Listed repo is a minor validator with no commits in window; no core platform repo found (not fully verified)</t>
        </is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/>
      <c r="BF46" s="2" t="inlineStr"/>
      <c r="BG46" s="2" t="inlineStr"/>
      <c r="BH46" s="2" t="inlineStr"/>
      <c r="BI46" s="2" t="inlineStr"/>
      <c r="BJ46" s="2" t="inlineStr"/>
      <c r="BK46" s="2" t="inlineStr"/>
      <c r="BL46" s="2" t="inlineStr"/>
      <c r="BM46" s="2" t="inlineStr"/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inlineStr"/>
      <c r="CS46" s="2" t="inlineStr"/>
      <c r="CT46" s="2" t="inlineStr"/>
      <c r="CU46" s="2" t="inlineStr"/>
    </row>
    <row r="47">
      <c r="A47" s="2" t="inlineStr">
        <is>
          <t>C4-046</t>
        </is>
      </c>
      <c r="B47" s="2" t="inlineStr">
        <is>
          <t>FAIR Wizard</t>
        </is>
      </c>
      <c r="C47" s="2" t="inlineStr">
        <is>
          <t>https://github.com/fair-wizard</t>
        </is>
      </c>
      <c r="D47" s="2" t="inlineStr">
        <is>
          <t>Resolved URL</t>
        </is>
      </c>
      <c r="E47" s="2" t="inlineStr">
        <is>
          <t>github</t>
        </is>
      </c>
      <c r="F47" s="2" t="inlineStr">
        <is>
          <t>fair-wizard/fair-wizard-integration-sdk</t>
        </is>
      </c>
      <c r="G47" s="2" t="inlineStr"/>
      <c r="H47" s="2" t="inlineStr"/>
      <c r="I47" s="2" t="inlineStr">
        <is>
          <t>yes</t>
        </is>
      </c>
      <c r="J47" s="2" t="inlineStr">
        <is>
          <t>software</t>
        </is>
      </c>
      <c r="K47" s="2" t="inlineStr">
        <is>
          <t>GitHub (same repo)</t>
        </is>
      </c>
      <c r="L47" s="2" t="inlineStr">
        <is>
          <t>FAIR Wizard is a distribution of the DSW codebase; its own org has 3 small adapter repos. Report the DSW score | Restored from duplicate exclusion using resolved GitHub repository.</t>
        </is>
      </c>
      <c r="M47" s="2" t="inlineStr">
        <is>
          <t>fair-wizard/fair-wizard-integration-sdk</t>
        </is>
      </c>
      <c r="N47" s="2" t="inlineStr">
        <is>
          <t>yes</t>
        </is>
      </c>
      <c r="O47" s="2" t="inlineStr">
        <is>
          <t>fair-wizard/fair-wizard-integration-sdk</t>
        </is>
      </c>
      <c r="P47" s="2" t="inlineStr">
        <is>
          <t>GitHub</t>
        </is>
      </c>
      <c r="Q47" s="2" t="inlineStr">
        <is>
          <t>applied</t>
        </is>
      </c>
      <c r="R47" s="2" t="inlineStr">
        <is>
          <t>Restored from duplicate exclusion using resolved GitHub repository.</t>
        </is>
      </c>
      <c r="S47" s="2" t="inlineStr">
        <is>
          <t>fair-wizard/fair-wizard-integration-sdk</t>
        </is>
      </c>
      <c r="T47" s="2" t="inlineStr">
        <is>
          <t>3</t>
        </is>
      </c>
      <c r="U47" s="2" t="inlineStr">
        <is>
          <t>3</t>
        </is>
      </c>
      <c r="V47" s="2" t="inlineStr">
        <is>
          <t>1</t>
        </is>
      </c>
      <c r="W47" s="2" t="inlineStr">
        <is>
          <t>1</t>
        </is>
      </c>
      <c r="X47" s="2" t="inlineStr">
        <is>
          <t>0</t>
        </is>
      </c>
      <c r="Y47" s="2" t="inlineStr">
        <is>
          <t>0.0</t>
        </is>
      </c>
      <c r="Z47" s="2" t="inlineStr">
        <is>
          <t>1</t>
        </is>
      </c>
      <c r="AA47" s="2" t="inlineStr">
        <is>
          <t>117.2</t>
        </is>
      </c>
      <c r="AB47" s="2" t="inlineStr">
        <is>
          <t>1.0</t>
        </is>
      </c>
      <c r="AC47" s="2" t="inlineStr">
        <is>
          <t>complete</t>
        </is>
      </c>
      <c r="AD47" s="2" t="inlineStr">
        <is>
          <t>6</t>
        </is>
      </c>
      <c r="AE47" s="2" t="inlineStr">
        <is>
          <t>2026-06-05</t>
        </is>
      </c>
      <c r="AF47" s="2" t="inlineStr">
        <is>
          <t>3</t>
        </is>
      </c>
      <c r="AG47" s="2" t="inlineStr">
        <is>
          <t>0</t>
        </is>
      </c>
      <c r="AH47" s="2" t="inlineStr">
        <is>
          <t>1</t>
        </is>
      </c>
      <c r="AI47" s="2" t="inlineStr">
        <is>
          <t>5</t>
        </is>
      </c>
      <c r="AJ47" s="2" t="inlineStr">
        <is>
          <t>100.0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/>
      <c r="BE47" s="2" t="inlineStr"/>
      <c r="BF47" s="2" t="inlineStr"/>
      <c r="BG47" s="2" t="inlineStr"/>
      <c r="BH47" s="2" t="inlineStr"/>
      <c r="BI47" s="2" t="inlineStr"/>
      <c r="BJ47" s="2" t="inlineStr"/>
      <c r="BK47" s="2" t="inlineStr"/>
      <c r="BL47" s="2" t="inlineStr"/>
      <c r="BM47" s="2" t="inlineStr"/>
      <c r="BN47" s="2" t="n">
        <v>28.17</v>
      </c>
      <c r="BO47" s="2" t="n">
        <v>1</v>
      </c>
      <c r="BP47" s="2" t="n">
        <v>5.77</v>
      </c>
      <c r="BQ47" s="2" t="n">
        <v>1</v>
      </c>
      <c r="BR47" s="2" t="n">
        <v>73.97</v>
      </c>
      <c r="BS47" s="2" t="n">
        <v>1</v>
      </c>
      <c r="BT47" s="2" t="n">
        <v>100</v>
      </c>
      <c r="BU47" s="2" t="n">
        <v>1</v>
      </c>
      <c r="BV47" s="2" t="n">
        <v>0</v>
      </c>
      <c r="BW47" s="2" t="n">
        <v>1</v>
      </c>
      <c r="BX47" s="2" t="n">
        <v>0</v>
      </c>
      <c r="BY47" s="2" t="n">
        <v>1</v>
      </c>
      <c r="BZ47" s="2" t="n">
        <v>25</v>
      </c>
      <c r="CA47" s="2" t="n">
        <v>1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17.91615384615385</v>
      </c>
      <c r="CO47" s="2" t="n">
        <v>7</v>
      </c>
      <c r="CP47" s="2" t="n">
        <v>0.5384615384615384</v>
      </c>
      <c r="CQ47" s="2" t="n">
        <v>33.27285714285714</v>
      </c>
      <c r="CR47" s="2" t="inlineStr"/>
      <c r="CS47" s="2" t="inlineStr"/>
      <c r="CT47" s="2" t="inlineStr"/>
      <c r="CU47" s="2" t="inlineStr"/>
    </row>
    <row r="48">
      <c r="A48" s="2" t="inlineStr">
        <is>
          <t>C4-047</t>
        </is>
      </c>
      <c r="B48" s="2" t="inlineStr">
        <is>
          <t>Fedora</t>
        </is>
      </c>
      <c r="C48" s="2" t="inlineStr">
        <is>
          <t>https://github.com/fcrepo/fcrepo</t>
        </is>
      </c>
      <c r="D48" s="2" t="inlineStr">
        <is>
          <t>Ready</t>
        </is>
      </c>
      <c r="E48" s="2" t="inlineStr">
        <is>
          <t>github</t>
        </is>
      </c>
      <c r="F48" s="2" t="inlineStr">
        <is>
          <t>fcrepo/fcrepo</t>
        </is>
      </c>
      <c r="G48" s="2" t="inlineStr"/>
      <c r="H48" s="2" t="inlineStr"/>
      <c r="I48" s="2" t="inlineStr">
        <is>
          <t>yes</t>
        </is>
      </c>
      <c r="J48" s="2" t="inlineStr">
        <is>
          <t>software</t>
        </is>
      </c>
      <c r="K48" s="2" t="inlineStr">
        <is>
          <t>GitHub (5 open) - Fedora historically used Jira; verify</t>
        </is>
      </c>
      <c r="L48" s="2" t="inlineStr"/>
      <c r="M48" s="2" t="inlineStr">
        <is>
          <t>fcrepo/fcrepo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fcrepo/fcrepo</t>
        </is>
      </c>
      <c r="T48" s="2" t="inlineStr">
        <is>
          <t>10</t>
        </is>
      </c>
      <c r="U48" s="2" t="inlineStr">
        <is>
          <t>28</t>
        </is>
      </c>
      <c r="V48" s="2" t="inlineStr">
        <is>
          <t>1</t>
        </is>
      </c>
      <c r="W48" s="2" t="inlineStr">
        <is>
          <t>2</t>
        </is>
      </c>
      <c r="X48" s="2" t="inlineStr">
        <is>
          <t>16</t>
        </is>
      </c>
      <c r="Y48" s="2" t="inlineStr">
        <is>
          <t>0.205</t>
        </is>
      </c>
      <c r="Z48" s="2" t="inlineStr">
        <is>
          <t>6</t>
        </is>
      </c>
      <c r="AA48" s="2" t="inlineStr">
        <is>
          <t>6.45</t>
        </is>
      </c>
      <c r="AB48" s="2" t="inlineStr">
        <is>
          <t>2.22</t>
        </is>
      </c>
      <c r="AC48" s="2" t="inlineStr">
        <is>
          <t>complete</t>
        </is>
      </c>
      <c r="AD48" s="2" t="inlineStr">
        <is>
          <t>62</t>
        </is>
      </c>
      <c r="AE48" s="2" t="inlineStr">
        <is>
          <t>2026-09-24</t>
        </is>
      </c>
      <c r="AF48" s="2" t="inlineStr">
        <is>
          <t>0</t>
        </is>
      </c>
      <c r="AG48" s="2" t="inlineStr">
        <is>
          <t>1</t>
        </is>
      </c>
      <c r="AH48" s="2" t="inlineStr">
        <is>
          <t>3</t>
        </is>
      </c>
      <c r="AI48" s="2" t="inlineStr">
        <is>
          <t>6</t>
        </is>
      </c>
      <c r="AJ48" s="2" t="inlineStr">
        <is>
          <t>61.29</t>
        </is>
      </c>
      <c r="AK48" s="2" t="inlineStr">
        <is>
          <t>93.88</t>
        </is>
      </c>
      <c r="AL48" s="2" t="inlineStr">
        <is>
          <t>21.32</t>
        </is>
      </c>
      <c r="AM48" s="2" t="inlineStr">
        <is>
          <t>8</t>
        </is>
      </c>
      <c r="AN48" s="2" t="inlineStr">
        <is>
          <t>0</t>
        </is>
      </c>
      <c r="AO48" s="2" t="inlineStr">
        <is>
          <t>8</t>
        </is>
      </c>
      <c r="AP48" s="2" t="inlineStr">
        <is>
          <t>4</t>
        </is>
      </c>
      <c r="AQ48" s="2" t="inlineStr">
        <is>
          <t>29.37</t>
        </is>
      </c>
      <c r="AR48" s="2" t="inlineStr">
        <is>
          <t>47</t>
        </is>
      </c>
      <c r="AS48" s="2" t="inlineStr">
        <is>
          <t>3</t>
        </is>
      </c>
      <c r="AT48" s="2" t="inlineStr">
        <is>
          <t>52</t>
        </is>
      </c>
      <c r="AU48" s="2" t="inlineStr">
        <is>
          <t>46</t>
        </is>
      </c>
      <c r="AV48" s="2" t="inlineStr">
        <is>
          <t>3</t>
        </is>
      </c>
      <c r="AW48" s="2" t="inlineStr">
        <is>
          <t>4</t>
        </is>
      </c>
      <c r="AX48" s="2" t="inlineStr">
        <is>
          <t>complete</t>
        </is>
      </c>
      <c r="AY48" s="2" t="inlineStr">
        <is>
          <t>5</t>
        </is>
      </c>
      <c r="AZ48" s="2" t="inlineStr"/>
      <c r="BA48" s="2" t="inlineStr">
        <is>
          <t>7</t>
        </is>
      </c>
      <c r="BB48" s="2" t="inlineStr">
        <is>
          <t>45</t>
        </is>
      </c>
      <c r="BC48" s="2" t="inlineStr">
        <is>
          <t>49</t>
        </is>
      </c>
      <c r="BD48" s="2" t="inlineStr">
        <is>
          <t>0.9184</t>
        </is>
      </c>
      <c r="BE48" s="2" t="inlineStr">
        <is>
          <t>29</t>
        </is>
      </c>
      <c r="BF48" s="2" t="inlineStr">
        <is>
          <t>8</t>
        </is>
      </c>
      <c r="BG48" s="2" t="inlineStr">
        <is>
          <t>all issues (too few non-maintainer)</t>
        </is>
      </c>
      <c r="BH48" s="2" t="inlineStr"/>
      <c r="BI48" s="2" t="inlineStr">
        <is>
          <t>8</t>
        </is>
      </c>
      <c r="BJ48" s="2" t="inlineStr">
        <is>
          <t>8</t>
        </is>
      </c>
      <c r="BK48" s="2" t="inlineStr">
        <is>
          <t>52</t>
        </is>
      </c>
      <c r="BL48" s="2" t="inlineStr">
        <is>
          <t>0.7115</t>
        </is>
      </c>
      <c r="BM48" s="2" t="inlineStr">
        <is>
          <t>37</t>
        </is>
      </c>
      <c r="BN48" s="2" t="n">
        <v>59.97</v>
      </c>
      <c r="BO48" s="2" t="n">
        <v>1</v>
      </c>
      <c r="BP48" s="2" t="n">
        <v>53.85</v>
      </c>
      <c r="BQ48" s="2" t="n">
        <v>1</v>
      </c>
      <c r="BR48" s="2" t="n">
        <v>100</v>
      </c>
      <c r="BS48" s="2" t="n">
        <v>1</v>
      </c>
      <c r="BT48" s="2" t="n">
        <v>100</v>
      </c>
      <c r="BU48" s="2" t="n">
        <v>1</v>
      </c>
      <c r="BV48" s="2" t="n">
        <v>51.7</v>
      </c>
      <c r="BW48" s="2" t="n">
        <v>1</v>
      </c>
      <c r="BX48" s="2" t="n">
        <v>38.35</v>
      </c>
      <c r="BY48" s="2" t="n">
        <v>1</v>
      </c>
      <c r="BZ48" s="2" t="n">
        <v>75</v>
      </c>
      <c r="CA48" s="2" t="n">
        <v>1</v>
      </c>
      <c r="CB48" s="2" t="n">
        <v>0</v>
      </c>
      <c r="CC48" s="2" t="n">
        <v>0</v>
      </c>
      <c r="CD48" s="2" t="n">
        <v>71.15000000000001</v>
      </c>
      <c r="CE48" s="2" t="n">
        <v>1</v>
      </c>
      <c r="CF48" s="2" t="n">
        <v>0</v>
      </c>
      <c r="CG48" s="2" t="n">
        <v>0</v>
      </c>
      <c r="CH48" s="2" t="n">
        <v>91.84</v>
      </c>
      <c r="CI48" s="2" t="n">
        <v>1</v>
      </c>
      <c r="CJ48" s="2" t="n">
        <v>49.23</v>
      </c>
      <c r="CK48" s="2" t="n">
        <v>1</v>
      </c>
      <c r="CL48" s="2" t="n">
        <v>47.61</v>
      </c>
      <c r="CM48" s="2" t="n">
        <v>1</v>
      </c>
      <c r="CN48" s="2" t="n">
        <v>56.82307692307693</v>
      </c>
      <c r="CO48" s="2" t="n">
        <v>11</v>
      </c>
      <c r="CP48" s="2" t="n">
        <v>0.8461538461538461</v>
      </c>
      <c r="CQ48" s="2" t="n">
        <v>67.15454545454546</v>
      </c>
      <c r="CR48" s="2" t="inlineStr"/>
      <c r="CS48" s="2" t="inlineStr"/>
      <c r="CT48" s="2" t="inlineStr"/>
      <c r="CU48" s="2" t="inlineStr"/>
    </row>
    <row r="49">
      <c r="A49" s="2" t="inlineStr">
        <is>
          <t>C4-048</t>
        </is>
      </c>
      <c r="B49" s="2" t="inlineStr">
        <is>
          <t>fido</t>
        </is>
      </c>
      <c r="C49" s="2" t="inlineStr">
        <is>
          <t>https://github.com/openpreserve/fido</t>
        </is>
      </c>
      <c r="D49" s="2" t="inlineStr">
        <is>
          <t>Ready</t>
        </is>
      </c>
      <c r="E49" s="2" t="inlineStr">
        <is>
          <t>github</t>
        </is>
      </c>
      <c r="F49" s="2" t="inlineStr">
        <is>
          <t>openpreserve/fido</t>
        </is>
      </c>
      <c r="G49" s="2" t="inlineStr"/>
      <c r="H49" s="2" t="inlineStr"/>
      <c r="I49" s="2" t="inlineStr">
        <is>
          <t>yes</t>
        </is>
      </c>
      <c r="J49" s="2" t="inlineStr">
        <is>
          <t>software</t>
        </is>
      </c>
      <c r="K49" s="2" t="inlineStr">
        <is>
          <t>GitHub (same repo)</t>
        </is>
      </c>
      <c r="L49" s="2" t="inlineStr"/>
      <c r="M49" s="2" t="inlineStr">
        <is>
          <t>openpreserve/fido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openpreserve/fido</t>
        </is>
      </c>
      <c r="T49" s="2" t="inlineStr">
        <is>
          <t>3</t>
        </is>
      </c>
      <c r="U49" s="2" t="inlineStr">
        <is>
          <t>3</t>
        </is>
      </c>
      <c r="V49" s="2" t="inlineStr">
        <is>
          <t>1</t>
        </is>
      </c>
      <c r="W49" s="2" t="inlineStr">
        <is>
          <t>1</t>
        </is>
      </c>
      <c r="X49" s="2" t="inlineStr">
        <is>
          <t>0</t>
        </is>
      </c>
      <c r="Y49" s="2" t="inlineStr">
        <is>
          <t>0.0</t>
        </is>
      </c>
      <c r="Z49" s="2" t="inlineStr">
        <is>
          <t>1</t>
        </is>
      </c>
      <c r="AA49" s="2" t="inlineStr">
        <is>
          <t>14.67</t>
        </is>
      </c>
      <c r="AB49" s="2" t="inlineStr">
        <is>
          <t>1.0</t>
        </is>
      </c>
      <c r="AC49" s="2" t="inlineStr">
        <is>
          <t>complete</t>
        </is>
      </c>
      <c r="AD49" s="2" t="inlineStr">
        <is>
          <t>9</t>
        </is>
      </c>
      <c r="AE49" s="2" t="inlineStr">
        <is>
          <t>2026-09-16</t>
        </is>
      </c>
      <c r="AF49" s="2" t="inlineStr">
        <is>
          <t>0</t>
        </is>
      </c>
      <c r="AG49" s="2" t="inlineStr">
        <is>
          <t>0</t>
        </is>
      </c>
      <c r="AH49" s="2" t="inlineStr">
        <is>
          <t>0</t>
        </is>
      </c>
      <c r="AI49" s="2" t="inlineStr">
        <is>
          <t>1</t>
        </is>
      </c>
      <c r="AJ49" s="2" t="inlineStr">
        <is>
          <t>100.0</t>
        </is>
      </c>
      <c r="AK49" s="2" t="inlineStr">
        <is>
          <t>0.0</t>
        </is>
      </c>
      <c r="AL49" s="2" t="inlineStr">
        <is>
          <t>338.86</t>
        </is>
      </c>
      <c r="AM49" s="2" t="inlineStr">
        <is>
          <t>3</t>
        </is>
      </c>
      <c r="AN49" s="2" t="inlineStr">
        <is>
          <t>0</t>
        </is>
      </c>
      <c r="AO49" s="2" t="inlineStr">
        <is>
          <t>3</t>
        </is>
      </c>
      <c r="AP49" s="2" t="inlineStr">
        <is>
          <t>18</t>
        </is>
      </c>
      <c r="AQ49" s="2" t="inlineStr">
        <is>
          <t>0.63</t>
        </is>
      </c>
      <c r="AR49" s="2" t="inlineStr">
        <is>
          <t>2</t>
        </is>
      </c>
      <c r="AS49" s="2" t="inlineStr">
        <is>
          <t>2</t>
        </is>
      </c>
      <c r="AT49" s="2" t="inlineStr">
        <is>
          <t>4</t>
        </is>
      </c>
      <c r="AU49" s="2" t="inlineStr">
        <is>
          <t>0</t>
        </is>
      </c>
      <c r="AV49" s="2" t="inlineStr">
        <is>
          <t>2</t>
        </is>
      </c>
      <c r="AW49" s="2" t="inlineStr">
        <is>
          <t>0</t>
        </is>
      </c>
      <c r="AX49" s="2" t="inlineStr">
        <is>
          <t>complete</t>
        </is>
      </c>
      <c r="AY49" s="2" t="inlineStr">
        <is>
          <t>1</t>
        </is>
      </c>
      <c r="AZ49" s="2" t="inlineStr"/>
      <c r="BA49" s="2" t="inlineStr">
        <is>
          <t>3</t>
        </is>
      </c>
      <c r="BB49" s="2" t="inlineStr">
        <is>
          <t>0</t>
        </is>
      </c>
      <c r="BC49" s="2" t="inlineStr">
        <is>
          <t>0</t>
        </is>
      </c>
      <c r="BD49" s="2" t="inlineStr"/>
      <c r="BE49" s="2" t="inlineStr">
        <is>
          <t>4</t>
        </is>
      </c>
      <c r="BF49" s="2" t="inlineStr">
        <is>
          <t>2</t>
        </is>
      </c>
      <c r="BG49" s="2" t="inlineStr">
        <is>
          <t>all issues (too few non-maintainer)</t>
        </is>
      </c>
      <c r="BH49" s="2" t="inlineStr"/>
      <c r="BI49" s="2" t="inlineStr">
        <is>
          <t>3</t>
        </is>
      </c>
      <c r="BJ49" s="2" t="inlineStr">
        <is>
          <t>1</t>
        </is>
      </c>
      <c r="BK49" s="2" t="inlineStr">
        <is>
          <t>4</t>
        </is>
      </c>
      <c r="BL49" s="2" t="inlineStr"/>
      <c r="BM49" s="2" t="inlineStr">
        <is>
          <t>2</t>
        </is>
      </c>
      <c r="BN49" s="2" t="n">
        <v>33.33</v>
      </c>
      <c r="BO49" s="2" t="n">
        <v>1</v>
      </c>
      <c r="BP49" s="2" t="n">
        <v>5.77</v>
      </c>
      <c r="BQ49" s="2" t="n">
        <v>1</v>
      </c>
      <c r="BR49" s="2" t="n">
        <v>100</v>
      </c>
      <c r="BS49" s="2" t="n">
        <v>1</v>
      </c>
      <c r="BT49" s="2" t="n">
        <v>50</v>
      </c>
      <c r="BU49" s="2" t="n">
        <v>1</v>
      </c>
      <c r="BV49" s="2" t="n">
        <v>0</v>
      </c>
      <c r="BW49" s="2" t="n">
        <v>1</v>
      </c>
      <c r="BX49" s="2" t="n">
        <v>0</v>
      </c>
      <c r="BY49" s="2" t="n">
        <v>1</v>
      </c>
      <c r="BZ49" s="2" t="n">
        <v>0</v>
      </c>
      <c r="CA49" s="2" t="n">
        <v>1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23.3</v>
      </c>
      <c r="CK49" s="2" t="n">
        <v>1</v>
      </c>
      <c r="CL49" s="2" t="n">
        <v>23.8</v>
      </c>
      <c r="CM49" s="2" t="n">
        <v>1</v>
      </c>
      <c r="CN49" s="2" t="n">
        <v>18.16923076923077</v>
      </c>
      <c r="CO49" s="2" t="n">
        <v>9</v>
      </c>
      <c r="CP49" s="2" t="n">
        <v>0.6923076923076923</v>
      </c>
      <c r="CQ49" s="2" t="n">
        <v>26.24444444444444</v>
      </c>
      <c r="CR49" s="2" t="inlineStr"/>
      <c r="CS49" s="2" t="inlineStr"/>
      <c r="CT49" s="2" t="inlineStr"/>
      <c r="CU49" s="2" t="inlineStr"/>
    </row>
    <row r="50">
      <c r="A50" s="2" t="inlineStr">
        <is>
          <t>C4-049</t>
        </is>
      </c>
      <c r="B50" s="2" t="inlineStr">
        <is>
          <t>Fulcrum</t>
        </is>
      </c>
      <c r="C50" s="2" t="inlineStr">
        <is>
          <t>https://github.com/mlibrary/heliotrope</t>
        </is>
      </c>
      <c r="D50" s="2" t="inlineStr">
        <is>
          <t>Ready</t>
        </is>
      </c>
      <c r="E50" s="2" t="inlineStr">
        <is>
          <t>github</t>
        </is>
      </c>
      <c r="F50" s="2" t="inlineStr">
        <is>
          <t>mlibrary/heliotrope</t>
        </is>
      </c>
      <c r="G50" s="2" t="inlineStr"/>
      <c r="H50" s="2" t="inlineStr"/>
      <c r="I50" s="2" t="inlineStr">
        <is>
          <t>yes</t>
        </is>
      </c>
      <c r="J50" s="2" t="inlineStr">
        <is>
          <t>software</t>
        </is>
      </c>
      <c r="K50" s="2" t="inlineStr">
        <is>
          <t>Jira (tools.lib.umich.edu/jira/projects/HELIO) + GitHub</t>
        </is>
      </c>
      <c r="L50" s="2" t="inlineStr"/>
      <c r="M50" s="2" t="inlineStr">
        <is>
          <t>mlibrary/heliotrope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mlibrary/heliotrope</t>
        </is>
      </c>
      <c r="T50" s="2" t="inlineStr">
        <is>
          <t>12</t>
        </is>
      </c>
      <c r="U50" s="2" t="inlineStr">
        <is>
          <t>46</t>
        </is>
      </c>
      <c r="V50" s="2" t="inlineStr">
        <is>
          <t>1</t>
        </is>
      </c>
      <c r="W50" s="2" t="inlineStr">
        <is>
          <t>3</t>
        </is>
      </c>
      <c r="X50" s="2" t="inlineStr">
        <is>
          <t>66</t>
        </is>
      </c>
      <c r="Y50" s="2" t="inlineStr">
        <is>
          <t>0.284</t>
        </is>
      </c>
      <c r="Z50" s="2" t="inlineStr">
        <is>
          <t>6</t>
        </is>
      </c>
      <c r="AA50" s="2" t="inlineStr">
        <is>
          <t>0.18</t>
        </is>
      </c>
      <c r="AB50" s="2" t="inlineStr">
        <is>
          <t>2.67</t>
        </is>
      </c>
      <c r="AC50" s="2" t="inlineStr">
        <is>
          <t>complete</t>
        </is>
      </c>
      <c r="AD50" s="2" t="inlineStr">
        <is>
          <t>166</t>
        </is>
      </c>
      <c r="AE50" s="2" t="inlineStr">
        <is>
          <t>2026-10-09</t>
        </is>
      </c>
      <c r="AF50" s="2" t="inlineStr">
        <is>
          <t>181</t>
        </is>
      </c>
      <c r="AG50" s="2" t="inlineStr">
        <is>
          <t>0</t>
        </is>
      </c>
      <c r="AH50" s="2" t="inlineStr">
        <is>
          <t>4</t>
        </is>
      </c>
      <c r="AI50" s="2" t="inlineStr">
        <is>
          <t>26</t>
        </is>
      </c>
      <c r="AJ50" s="2" t="inlineStr">
        <is>
          <t>55.42</t>
        </is>
      </c>
      <c r="AK50" s="2" t="inlineStr">
        <is>
          <t>97.33</t>
        </is>
      </c>
      <c r="AL50" s="2" t="inlineStr"/>
      <c r="AM50" s="2" t="inlineStr">
        <is>
          <t>0</t>
        </is>
      </c>
      <c r="AN50" s="2" t="inlineStr">
        <is>
          <t>0</t>
        </is>
      </c>
      <c r="AO50" s="2" t="inlineStr">
        <is>
          <t>0</t>
        </is>
      </c>
      <c r="AP50" s="2" t="inlineStr">
        <is>
          <t>17</t>
        </is>
      </c>
      <c r="AQ50" s="2" t="inlineStr">
        <is>
          <t>21.81</t>
        </is>
      </c>
      <c r="AR50" s="2" t="inlineStr">
        <is>
          <t>138</t>
        </is>
      </c>
      <c r="AS50" s="2" t="inlineStr">
        <is>
          <t>4</t>
        </is>
      </c>
      <c r="AT50" s="2" t="inlineStr">
        <is>
          <t>152</t>
        </is>
      </c>
      <c r="AU50" s="2" t="inlineStr">
        <is>
          <t>146</t>
        </is>
      </c>
      <c r="AV50" s="2" t="inlineStr">
        <is>
          <t>2</t>
        </is>
      </c>
      <c r="AW50" s="2" t="inlineStr">
        <is>
          <t>9</t>
        </is>
      </c>
      <c r="AX50" s="2" t="inlineStr">
        <is>
          <t>complete</t>
        </is>
      </c>
      <c r="AY50" s="2" t="inlineStr">
        <is>
          <t>0</t>
        </is>
      </c>
      <c r="AZ50" s="2" t="inlineStr"/>
      <c r="BA50" s="2" t="inlineStr">
        <is>
          <t>0</t>
        </is>
      </c>
      <c r="BB50" s="2" t="inlineStr">
        <is>
          <t>130</t>
        </is>
      </c>
      <c r="BC50" s="2" t="inlineStr">
        <is>
          <t>131</t>
        </is>
      </c>
      <c r="BD50" s="2" t="inlineStr">
        <is>
          <t>0.9924</t>
        </is>
      </c>
      <c r="BE50" s="2" t="inlineStr">
        <is>
          <t>0</t>
        </is>
      </c>
      <c r="BF50" s="2" t="inlineStr">
        <is>
          <t>1</t>
        </is>
      </c>
      <c r="BG50" s="2" t="inlineStr">
        <is>
          <t>all issues (too few non-maintainer)</t>
        </is>
      </c>
      <c r="BH50" s="2" t="inlineStr"/>
      <c r="BI50" s="2" t="inlineStr">
        <is>
          <t>0</t>
        </is>
      </c>
      <c r="BJ50" s="2" t="inlineStr">
        <is>
          <t>0</t>
        </is>
      </c>
      <c r="BK50" s="2" t="inlineStr">
        <is>
          <t>150</t>
        </is>
      </c>
      <c r="BL50" s="2" t="inlineStr">
        <is>
          <t>0.8067</t>
        </is>
      </c>
      <c r="BM50" s="2" t="inlineStr">
        <is>
          <t>121</t>
        </is>
      </c>
      <c r="BN50" s="2" t="n">
        <v>74.08</v>
      </c>
      <c r="BO50" s="2" t="n">
        <v>1</v>
      </c>
      <c r="BP50" s="2" t="n">
        <v>88.45999999999999</v>
      </c>
      <c r="BQ50" s="2" t="n">
        <v>1</v>
      </c>
      <c r="BR50" s="2" t="n">
        <v>100</v>
      </c>
      <c r="BS50" s="2" t="n">
        <v>1</v>
      </c>
      <c r="BT50" s="2" t="n">
        <v>100</v>
      </c>
      <c r="BU50" s="2" t="n">
        <v>1</v>
      </c>
      <c r="BV50" s="2" t="n">
        <v>51.7</v>
      </c>
      <c r="BW50" s="2" t="n">
        <v>1</v>
      </c>
      <c r="BX50" s="2" t="n">
        <v>47.23</v>
      </c>
      <c r="BY50" s="2" t="n">
        <v>1</v>
      </c>
      <c r="BZ50" s="2" t="n">
        <v>75</v>
      </c>
      <c r="CA50" s="2" t="n">
        <v>1</v>
      </c>
      <c r="CB50" s="2" t="n">
        <v>0</v>
      </c>
      <c r="CC50" s="2" t="n">
        <v>0</v>
      </c>
      <c r="CD50" s="2" t="n">
        <v>80.67</v>
      </c>
      <c r="CE50" s="2" t="n">
        <v>1</v>
      </c>
      <c r="CF50" s="2" t="n">
        <v>0</v>
      </c>
      <c r="CG50" s="2" t="n">
        <v>0</v>
      </c>
      <c r="CH50" s="2" t="n">
        <v>99.23999999999999</v>
      </c>
      <c r="CI50" s="2" t="n">
        <v>1</v>
      </c>
      <c r="CJ50" s="2" t="n">
        <v>0</v>
      </c>
      <c r="CK50" s="2" t="n">
        <v>1</v>
      </c>
      <c r="CL50" s="2" t="n">
        <v>15.02</v>
      </c>
      <c r="CM50" s="2" t="n">
        <v>1</v>
      </c>
      <c r="CN50" s="2" t="n">
        <v>56.26153846153846</v>
      </c>
      <c r="CO50" s="2" t="n">
        <v>11</v>
      </c>
      <c r="CP50" s="2" t="n">
        <v>0.8461538461538461</v>
      </c>
      <c r="CQ50" s="2" t="n">
        <v>66.49090909090908</v>
      </c>
      <c r="CR50" s="2" t="inlineStr"/>
      <c r="CS50" s="2" t="inlineStr"/>
      <c r="CT50" s="2" t="inlineStr"/>
      <c r="CU50" s="2" t="inlineStr"/>
    </row>
    <row r="51">
      <c r="A51" s="2" t="inlineStr">
        <is>
          <t>C4-050</t>
        </is>
      </c>
      <c r="B51" s="2" t="inlineStr">
        <is>
          <t>Galaxy</t>
        </is>
      </c>
      <c r="C51" s="2" t="inlineStr">
        <is>
          <t>https://github.com/galaxyproject/galaxy</t>
        </is>
      </c>
      <c r="D51" s="2" t="inlineStr">
        <is>
          <t>Ready</t>
        </is>
      </c>
      <c r="E51" s="2" t="inlineStr">
        <is>
          <t>github</t>
        </is>
      </c>
      <c r="F51" s="2" t="inlineStr">
        <is>
          <t>galaxyproject/galaxy</t>
        </is>
      </c>
      <c r="G51" s="2" t="inlineStr"/>
      <c r="H51" s="2" t="inlineStr"/>
      <c r="I51" s="2" t="inlineStr">
        <is>
          <t>yes</t>
        </is>
      </c>
      <c r="J51" s="2" t="inlineStr">
        <is>
          <t>software</t>
        </is>
      </c>
      <c r="K51" s="2" t="inlineStr">
        <is>
          <t>GitHub (same repo)</t>
        </is>
      </c>
      <c r="L51" s="2" t="inlineStr"/>
      <c r="M51" s="2" t="inlineStr">
        <is>
          <t>galaxyproject/galaxy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galaxyproject/galaxy</t>
        </is>
      </c>
      <c r="T51" s="2" t="inlineStr">
        <is>
          <t>12</t>
        </is>
      </c>
      <c r="U51" s="2" t="inlineStr">
        <is>
          <t>52</t>
        </is>
      </c>
      <c r="V51" s="2" t="inlineStr">
        <is>
          <t>4</t>
        </is>
      </c>
      <c r="W51" s="2" t="inlineStr">
        <is>
          <t>11</t>
        </is>
      </c>
      <c r="X51" s="2" t="inlineStr">
        <is>
          <t>91</t>
        </is>
      </c>
      <c r="Y51" s="2" t="inlineStr">
        <is>
          <t>0.011</t>
        </is>
      </c>
      <c r="Z51" s="2" t="inlineStr">
        <is>
          <t>99</t>
        </is>
      </c>
      <c r="AA51" s="2" t="inlineStr">
        <is>
          <t>0.01</t>
        </is>
      </c>
      <c r="AB51" s="2" t="inlineStr">
        <is>
          <t>11.41</t>
        </is>
      </c>
      <c r="AC51" s="2" t="inlineStr">
        <is>
          <t>complete</t>
        </is>
      </c>
      <c r="AD51" s="2" t="inlineStr">
        <is>
          <t>8172</t>
        </is>
      </c>
      <c r="AE51" s="2" t="inlineStr">
        <is>
          <t>2026-10-14</t>
        </is>
      </c>
      <c r="AF51" s="2" t="inlineStr">
        <is>
          <t>2101</t>
        </is>
      </c>
      <c r="AG51" s="2" t="inlineStr">
        <is>
          <t>6</t>
        </is>
      </c>
      <c r="AH51" s="2" t="inlineStr">
        <is>
          <t>34</t>
        </is>
      </c>
      <c r="AI51" s="2" t="inlineStr">
        <is>
          <t>8</t>
        </is>
      </c>
      <c r="AJ51" s="2" t="inlineStr">
        <is>
          <t>16.25</t>
        </is>
      </c>
      <c r="AK51" s="2" t="inlineStr">
        <is>
          <t>92.33</t>
        </is>
      </c>
      <c r="AL51" s="2" t="inlineStr">
        <is>
          <t>13.77</t>
        </is>
      </c>
      <c r="AM51" s="2" t="inlineStr">
        <is>
          <t>275</t>
        </is>
      </c>
      <c r="AN51" s="2" t="inlineStr">
        <is>
          <t>344</t>
        </is>
      </c>
      <c r="AO51" s="2" t="inlineStr">
        <is>
          <t>678</t>
        </is>
      </c>
      <c r="AP51" s="2" t="inlineStr">
        <is>
          <t>2262</t>
        </is>
      </c>
      <c r="AQ51" s="2" t="inlineStr">
        <is>
          <t>8.39</t>
        </is>
      </c>
      <c r="AR51" s="2" t="inlineStr">
        <is>
          <t>1621</t>
        </is>
      </c>
      <c r="AS51" s="2" t="inlineStr">
        <is>
          <t>133</t>
        </is>
      </c>
      <c r="AT51" s="2" t="inlineStr">
        <is>
          <t>1840</t>
        </is>
      </c>
      <c r="AU51" s="2" t="inlineStr">
        <is>
          <t>1600</t>
        </is>
      </c>
      <c r="AV51" s="2" t="inlineStr">
        <is>
          <t>107</t>
        </is>
      </c>
      <c r="AW51" s="2" t="inlineStr">
        <is>
          <t>495</t>
        </is>
      </c>
      <c r="AX51" s="2" t="inlineStr">
        <is>
          <t>complete</t>
        </is>
      </c>
      <c r="AY51" s="2" t="inlineStr">
        <is>
          <t>260</t>
        </is>
      </c>
      <c r="AZ51" s="2" t="inlineStr">
        <is>
          <t>0.4745</t>
        </is>
      </c>
      <c r="BA51" s="2" t="inlineStr">
        <is>
          <t>548</t>
        </is>
      </c>
      <c r="BB51" s="2" t="inlineStr">
        <is>
          <t>1321</t>
        </is>
      </c>
      <c r="BC51" s="2" t="inlineStr">
        <is>
          <t>1496</t>
        </is>
      </c>
      <c r="BD51" s="2" t="inlineStr">
        <is>
          <t>0.883</t>
        </is>
      </c>
      <c r="BE51" s="2" t="inlineStr">
        <is>
          <t>279</t>
        </is>
      </c>
      <c r="BF51" s="2" t="inlineStr">
        <is>
          <t>110</t>
        </is>
      </c>
      <c r="BG51" s="2" t="inlineStr">
        <is>
          <t>non-maintainer issues</t>
        </is>
      </c>
      <c r="BH51" s="2" t="inlineStr">
        <is>
          <t>0.8111</t>
        </is>
      </c>
      <c r="BI51" s="2" t="inlineStr">
        <is>
          <t>323</t>
        </is>
      </c>
      <c r="BJ51" s="2" t="inlineStr">
        <is>
          <t>262</t>
        </is>
      </c>
      <c r="BK51" s="2" t="inlineStr">
        <is>
          <t>1709</t>
        </is>
      </c>
      <c r="BL51" s="2" t="inlineStr">
        <is>
          <t>0.8566</t>
        </is>
      </c>
      <c r="BM51" s="2" t="inlineStr">
        <is>
          <t>1464</t>
        </is>
      </c>
      <c r="BN51" s="2" t="n">
        <v>100</v>
      </c>
      <c r="BO51" s="2" t="n">
        <v>1</v>
      </c>
      <c r="BP51" s="2" t="n">
        <v>100</v>
      </c>
      <c r="BQ51" s="2" t="n">
        <v>1</v>
      </c>
      <c r="BR51" s="2" t="n">
        <v>100</v>
      </c>
      <c r="BS51" s="2" t="n">
        <v>1</v>
      </c>
      <c r="BT51" s="2" t="n">
        <v>100</v>
      </c>
      <c r="BU51" s="2" t="n">
        <v>1</v>
      </c>
      <c r="BV51" s="2" t="n">
        <v>100</v>
      </c>
      <c r="BW51" s="2" t="n">
        <v>1</v>
      </c>
      <c r="BX51" s="2" t="n">
        <v>100</v>
      </c>
      <c r="BY51" s="2" t="n">
        <v>1</v>
      </c>
      <c r="BZ51" s="2" t="n">
        <v>100</v>
      </c>
      <c r="CA51" s="2" t="n">
        <v>1</v>
      </c>
      <c r="CB51" s="2" t="n">
        <v>81.11</v>
      </c>
      <c r="CC51" s="2" t="n">
        <v>1</v>
      </c>
      <c r="CD51" s="2" t="n">
        <v>85.66</v>
      </c>
      <c r="CE51" s="2" t="n">
        <v>1</v>
      </c>
      <c r="CF51" s="2" t="n">
        <v>47.45</v>
      </c>
      <c r="CG51" s="2" t="n">
        <v>1</v>
      </c>
      <c r="CH51" s="2" t="n">
        <v>88.3</v>
      </c>
      <c r="CI51" s="2" t="n">
        <v>1</v>
      </c>
      <c r="CJ51" s="2" t="n">
        <v>81.56</v>
      </c>
      <c r="CK51" s="2" t="n">
        <v>1</v>
      </c>
      <c r="CL51" s="2" t="n">
        <v>100</v>
      </c>
      <c r="CM51" s="2" t="n">
        <v>1</v>
      </c>
      <c r="CN51" s="2" t="n">
        <v>91.08307692307692</v>
      </c>
      <c r="CO51" s="2" t="n">
        <v>13</v>
      </c>
      <c r="CP51" s="2" t="n">
        <v>1</v>
      </c>
      <c r="CQ51" s="2" t="n">
        <v>91.08307692307692</v>
      </c>
      <c r="CR51" s="2" t="inlineStr"/>
      <c r="CS51" s="2" t="inlineStr"/>
      <c r="CT51" s="2" t="inlineStr"/>
      <c r="CU51" s="2" t="inlineStr"/>
    </row>
    <row r="52">
      <c r="A52" s="2" t="inlineStr">
        <is>
          <t>C4-051</t>
        </is>
      </c>
      <c r="B52" s="2" t="inlineStr">
        <is>
          <t>GeoServer</t>
        </is>
      </c>
      <c r="C52" s="2" t="inlineStr">
        <is>
          <t>https://github.com/geoserver/geoserver</t>
        </is>
      </c>
      <c r="D52" s="2" t="inlineStr">
        <is>
          <t>Ready</t>
        </is>
      </c>
      <c r="E52" s="2" t="inlineStr">
        <is>
          <t>github</t>
        </is>
      </c>
      <c r="F52" s="2" t="inlineStr">
        <is>
          <t>geoserver/geoserver</t>
        </is>
      </c>
      <c r="G52" s="2" t="inlineStr"/>
      <c r="H52" s="2" t="inlineStr"/>
      <c r="I52" s="2" t="inlineStr">
        <is>
          <t>yes</t>
        </is>
      </c>
      <c r="J52" s="2" t="inlineStr">
        <is>
          <t>software</t>
        </is>
      </c>
      <c r="K52" s="2" t="inlineStr">
        <is>
          <t>Jira (osgeo-org.atlassian.net/projects/GEOS)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>
        <is>
          <t>geoserver/geoserver</t>
        </is>
      </c>
      <c r="T52" s="2" t="inlineStr">
        <is>
          <t>12</t>
        </is>
      </c>
      <c r="U52" s="2" t="inlineStr">
        <is>
          <t>51</t>
        </is>
      </c>
      <c r="V52" s="2" t="inlineStr">
        <is>
          <t>4</t>
        </is>
      </c>
      <c r="W52" s="2" t="inlineStr">
        <is>
          <t>9</t>
        </is>
      </c>
      <c r="X52" s="2" t="inlineStr">
        <is>
          <t>190</t>
        </is>
      </c>
      <c r="Y52" s="2" t="inlineStr">
        <is>
          <t>0.14</t>
        </is>
      </c>
      <c r="Z52" s="2" t="inlineStr">
        <is>
          <t>63</t>
        </is>
      </c>
      <c r="AA52" s="2" t="inlineStr">
        <is>
          <t>2.4</t>
        </is>
      </c>
      <c r="AB52" s="2" t="inlineStr">
        <is>
          <t>9.24</t>
        </is>
      </c>
      <c r="AC52" s="2" t="inlineStr">
        <is>
          <t>complete</t>
        </is>
      </c>
      <c r="AD52" s="2" t="inlineStr">
        <is>
          <t>1171</t>
        </is>
      </c>
      <c r="AE52" s="2" t="inlineStr">
        <is>
          <t>2026-10-13</t>
        </is>
      </c>
      <c r="AF52" s="2" t="inlineStr">
        <is>
          <t>138</t>
        </is>
      </c>
      <c r="AG52" s="2" t="inlineStr">
        <is>
          <t>9</t>
        </is>
      </c>
      <c r="AH52" s="2" t="inlineStr">
        <is>
          <t>21</t>
        </is>
      </c>
      <c r="AI52" s="2" t="inlineStr">
        <is>
          <t>14</t>
        </is>
      </c>
      <c r="AJ52" s="2" t="inlineStr">
        <is>
          <t>23.74</t>
        </is>
      </c>
      <c r="AK52" s="2" t="inlineStr">
        <is>
          <t>92.42</t>
        </is>
      </c>
      <c r="AL52" s="2" t="inlineStr"/>
      <c r="AM52" s="2" t="inlineStr"/>
      <c r="AN52" s="2" t="inlineStr"/>
      <c r="AO52" s="2" t="inlineStr"/>
      <c r="AP52" s="2" t="inlineStr"/>
      <c r="AQ52" s="2" t="inlineStr">
        <is>
          <t>15.26</t>
        </is>
      </c>
      <c r="AR52" s="2" t="inlineStr">
        <is>
          <t>478</t>
        </is>
      </c>
      <c r="AS52" s="2" t="inlineStr">
        <is>
          <t>55</t>
        </is>
      </c>
      <c r="AT52" s="2" t="inlineStr">
        <is>
          <t>748</t>
        </is>
      </c>
      <c r="AU52" s="2" t="inlineStr">
        <is>
          <t>671</t>
        </is>
      </c>
      <c r="AV52" s="2" t="inlineStr">
        <is>
          <t>22</t>
        </is>
      </c>
      <c r="AW52" s="2" t="inlineStr">
        <is>
          <t>372</t>
        </is>
      </c>
      <c r="AX52" s="2" t="inlineStr">
        <is>
          <t>complete</t>
        </is>
      </c>
      <c r="AY52" s="2" t="inlineStr"/>
      <c r="AZ52" s="2" t="inlineStr"/>
      <c r="BA52" s="2" t="inlineStr"/>
      <c r="BB52" s="2" t="inlineStr">
        <is>
          <t>646</t>
        </is>
      </c>
      <c r="BC52" s="2" t="inlineStr">
        <is>
          <t>696</t>
        </is>
      </c>
      <c r="BD52" s="2" t="inlineStr">
        <is>
          <t>0.9282</t>
        </is>
      </c>
      <c r="BE52" s="2" t="inlineStr">
        <is>
          <t>362</t>
        </is>
      </c>
      <c r="BF52" s="2" t="inlineStr">
        <is>
          <t>134</t>
        </is>
      </c>
      <c r="BG52" s="2" t="inlineStr"/>
      <c r="BH52" s="2" t="inlineStr"/>
      <c r="BI52" s="2" t="inlineStr"/>
      <c r="BJ52" s="2" t="inlineStr"/>
      <c r="BK52" s="2" t="inlineStr">
        <is>
          <t>738</t>
        </is>
      </c>
      <c r="BL52" s="2" t="inlineStr">
        <is>
          <t>0.584</t>
        </is>
      </c>
      <c r="BM52" s="2" t="inlineStr">
        <is>
          <t>431</t>
        </is>
      </c>
      <c r="BN52" s="2" t="n">
        <v>100</v>
      </c>
      <c r="BO52" s="2" t="n">
        <v>1</v>
      </c>
      <c r="BP52" s="2" t="n">
        <v>98.08</v>
      </c>
      <c r="BQ52" s="2" t="n">
        <v>1</v>
      </c>
      <c r="BR52" s="2" t="n">
        <v>100</v>
      </c>
      <c r="BS52" s="2" t="n">
        <v>1</v>
      </c>
      <c r="BT52" s="2" t="n">
        <v>100</v>
      </c>
      <c r="BU52" s="2" t="n">
        <v>1</v>
      </c>
      <c r="BV52" s="2" t="n">
        <v>100</v>
      </c>
      <c r="BW52" s="2" t="n">
        <v>1</v>
      </c>
      <c r="BX52" s="2" t="n">
        <v>100</v>
      </c>
      <c r="BY52" s="2" t="n">
        <v>1</v>
      </c>
      <c r="BZ52" s="2" t="n">
        <v>100</v>
      </c>
      <c r="CA52" s="2" t="n">
        <v>1</v>
      </c>
      <c r="CB52" s="2" t="n">
        <v>0</v>
      </c>
      <c r="CC52" s="2" t="n">
        <v>0</v>
      </c>
      <c r="CD52" s="2" t="n">
        <v>58.4</v>
      </c>
      <c r="CE52" s="2" t="n">
        <v>1</v>
      </c>
      <c r="CF52" s="2" t="n">
        <v>0</v>
      </c>
      <c r="CG52" s="2" t="n">
        <v>0</v>
      </c>
      <c r="CH52" s="2" t="n">
        <v>92.81999999999999</v>
      </c>
      <c r="CI52" s="2" t="n">
        <v>1</v>
      </c>
      <c r="CJ52" s="2" t="n">
        <v>85.31999999999999</v>
      </c>
      <c r="CK52" s="2" t="n">
        <v>1</v>
      </c>
      <c r="CL52" s="2" t="n">
        <v>100</v>
      </c>
      <c r="CM52" s="2" t="n">
        <v>1</v>
      </c>
      <c r="CN52" s="2" t="n">
        <v>79.58615384615385</v>
      </c>
      <c r="CO52" s="2" t="n">
        <v>11</v>
      </c>
      <c r="CP52" s="2" t="n">
        <v>0.8461538461538461</v>
      </c>
      <c r="CQ52" s="2" t="n">
        <v>94.05636363636364</v>
      </c>
      <c r="CR52" s="2" t="inlineStr">
        <is>
          <t>Jira (osgeo-org.atlassian.net/projects/GEOS)</t>
        </is>
      </c>
      <c r="CS52" s="2" t="inlineStr"/>
      <c r="CT52" s="2" t="inlineStr"/>
      <c r="CU52" s="2" t="inlineStr">
        <is>
          <t>fill from external tracker or leave blank</t>
        </is>
      </c>
    </row>
    <row r="53">
      <c r="A53" s="2" t="inlineStr">
        <is>
          <t>C4-052</t>
        </is>
      </c>
      <c r="B53" s="2" t="inlineStr">
        <is>
          <t>Hyku</t>
        </is>
      </c>
      <c r="C53" s="2" t="inlineStr">
        <is>
          <t>https://github.com/samvera/hyku</t>
        </is>
      </c>
      <c r="D53" s="2" t="inlineStr">
        <is>
          <t>Ready</t>
        </is>
      </c>
      <c r="E53" s="2" t="inlineStr">
        <is>
          <t>github</t>
        </is>
      </c>
      <c r="F53" s="2" t="inlineStr">
        <is>
          <t>samvera/hyku</t>
        </is>
      </c>
      <c r="G53" s="2" t="inlineStr"/>
      <c r="H53" s="2" t="inlineStr"/>
      <c r="I53" s="2" t="inlineStr">
        <is>
          <t>yes</t>
        </is>
      </c>
      <c r="J53" s="2" t="inlineStr">
        <is>
          <t>software</t>
        </is>
      </c>
      <c r="K53" s="2" t="inlineStr">
        <is>
          <t>GitHub (same repo)</t>
        </is>
      </c>
      <c r="L53" s="2" t="inlineStr"/>
      <c r="M53" s="2" t="inlineStr">
        <is>
          <t>samvera/hyku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samvera/hyku</t>
        </is>
      </c>
      <c r="T53" s="2" t="inlineStr">
        <is>
          <t>12</t>
        </is>
      </c>
      <c r="U53" s="2" t="inlineStr">
        <is>
          <t>48</t>
        </is>
      </c>
      <c r="V53" s="2" t="inlineStr">
        <is>
          <t>3</t>
        </is>
      </c>
      <c r="W53" s="2" t="inlineStr">
        <is>
          <t>5</t>
        </is>
      </c>
      <c r="X53" s="2" t="inlineStr">
        <is>
          <t>47</t>
        </is>
      </c>
      <c r="Y53" s="2" t="inlineStr">
        <is>
          <t>0.078</t>
        </is>
      </c>
      <c r="Z53" s="2" t="inlineStr">
        <is>
          <t>15</t>
        </is>
      </c>
      <c r="AA53" s="2" t="inlineStr">
        <is>
          <t>0.31</t>
        </is>
      </c>
      <c r="AB53" s="2" t="inlineStr">
        <is>
          <t>5.89</t>
        </is>
      </c>
      <c r="AC53" s="2" t="inlineStr">
        <is>
          <t>complete</t>
        </is>
      </c>
      <c r="AD53" s="2" t="inlineStr">
        <is>
          <t>553</t>
        </is>
      </c>
      <c r="AE53" s="2" t="inlineStr">
        <is>
          <t>2026-10-13</t>
        </is>
      </c>
      <c r="AF53" s="2" t="inlineStr">
        <is>
          <t>161</t>
        </is>
      </c>
      <c r="AG53" s="2" t="inlineStr">
        <is>
          <t>4</t>
        </is>
      </c>
      <c r="AH53" s="2" t="inlineStr">
        <is>
          <t>7</t>
        </is>
      </c>
      <c r="AI53" s="2" t="inlineStr">
        <is>
          <t>29</t>
        </is>
      </c>
      <c r="AJ53" s="2" t="inlineStr">
        <is>
          <t>26.76</t>
        </is>
      </c>
      <c r="AK53" s="2" t="inlineStr">
        <is>
          <t>83.08</t>
        </is>
      </c>
      <c r="AL53" s="2" t="inlineStr">
        <is>
          <t>190.52</t>
        </is>
      </c>
      <c r="AM53" s="2" t="inlineStr">
        <is>
          <t>26</t>
        </is>
      </c>
      <c r="AN53" s="2" t="inlineStr">
        <is>
          <t>84</t>
        </is>
      </c>
      <c r="AO53" s="2" t="inlineStr">
        <is>
          <t>144</t>
        </is>
      </c>
      <c r="AP53" s="2" t="inlineStr">
        <is>
          <t>246</t>
        </is>
      </c>
      <c r="AQ53" s="2" t="inlineStr">
        <is>
          <t>5.06</t>
        </is>
      </c>
      <c r="AR53" s="2" t="inlineStr">
        <is>
          <t>336</t>
        </is>
      </c>
      <c r="AS53" s="2" t="inlineStr">
        <is>
          <t>68</t>
        </is>
      </c>
      <c r="AT53" s="2" t="inlineStr">
        <is>
          <t>422</t>
        </is>
      </c>
      <c r="AU53" s="2" t="inlineStr">
        <is>
          <t>334</t>
        </is>
      </c>
      <c r="AV53" s="2" t="inlineStr">
        <is>
          <t>20</t>
        </is>
      </c>
      <c r="AW53" s="2" t="inlineStr">
        <is>
          <t>269</t>
        </is>
      </c>
      <c r="AX53" s="2" t="inlineStr">
        <is>
          <t>complete</t>
        </is>
      </c>
      <c r="AY53" s="2" t="inlineStr">
        <is>
          <t>49</t>
        </is>
      </c>
      <c r="AZ53" s="2" t="inlineStr">
        <is>
          <t>0.4298</t>
        </is>
      </c>
      <c r="BA53" s="2" t="inlineStr">
        <is>
          <t>114</t>
        </is>
      </c>
      <c r="BB53" s="2" t="inlineStr">
        <is>
          <t>314</t>
        </is>
      </c>
      <c r="BC53" s="2" t="inlineStr">
        <is>
          <t>343</t>
        </is>
      </c>
      <c r="BD53" s="2" t="inlineStr">
        <is>
          <t>0.9155</t>
        </is>
      </c>
      <c r="BE53" s="2" t="inlineStr">
        <is>
          <t>7</t>
        </is>
      </c>
      <c r="BF53" s="2" t="inlineStr">
        <is>
          <t>5</t>
        </is>
      </c>
      <c r="BG53" s="2" t="inlineStr">
        <is>
          <t>non-maintainer issues</t>
        </is>
      </c>
      <c r="BH53" s="2" t="inlineStr">
        <is>
          <t>0.2881</t>
        </is>
      </c>
      <c r="BI53" s="2" t="inlineStr">
        <is>
          <t>59</t>
        </is>
      </c>
      <c r="BJ53" s="2" t="inlineStr">
        <is>
          <t>17</t>
        </is>
      </c>
      <c r="BK53" s="2" t="inlineStr">
        <is>
          <t>394</t>
        </is>
      </c>
      <c r="BL53" s="2" t="inlineStr">
        <is>
          <t>0.7792</t>
        </is>
      </c>
      <c r="BM53" s="2" t="inlineStr">
        <is>
          <t>307</t>
        </is>
      </c>
      <c r="BN53" s="2" t="n">
        <v>91.44</v>
      </c>
      <c r="BO53" s="2" t="n">
        <v>1</v>
      </c>
      <c r="BP53" s="2" t="n">
        <v>92.31</v>
      </c>
      <c r="BQ53" s="2" t="n">
        <v>1</v>
      </c>
      <c r="BR53" s="2" t="n">
        <v>100</v>
      </c>
      <c r="BS53" s="2" t="n">
        <v>1</v>
      </c>
      <c r="BT53" s="2" t="n">
        <v>100</v>
      </c>
      <c r="BU53" s="2" t="n">
        <v>1</v>
      </c>
      <c r="BV53" s="2" t="n">
        <v>78.14</v>
      </c>
      <c r="BW53" s="2" t="n">
        <v>1</v>
      </c>
      <c r="BX53" s="2" t="n">
        <v>85.28</v>
      </c>
      <c r="BY53" s="2" t="n">
        <v>1</v>
      </c>
      <c r="BZ53" s="2" t="n">
        <v>100</v>
      </c>
      <c r="CA53" s="2" t="n">
        <v>1</v>
      </c>
      <c r="CB53" s="2" t="n">
        <v>28.81</v>
      </c>
      <c r="CC53" s="2" t="n">
        <v>1</v>
      </c>
      <c r="CD53" s="2" t="n">
        <v>77.92</v>
      </c>
      <c r="CE53" s="2" t="n">
        <v>1</v>
      </c>
      <c r="CF53" s="2" t="n">
        <v>42.98</v>
      </c>
      <c r="CG53" s="2" t="n">
        <v>1</v>
      </c>
      <c r="CH53" s="2" t="n">
        <v>91.55</v>
      </c>
      <c r="CI53" s="2" t="n">
        <v>1</v>
      </c>
      <c r="CJ53" s="2" t="n">
        <v>30.1</v>
      </c>
      <c r="CK53" s="2" t="n">
        <v>1</v>
      </c>
      <c r="CL53" s="2" t="n">
        <v>38.82</v>
      </c>
      <c r="CM53" s="2" t="n">
        <v>1</v>
      </c>
      <c r="CN53" s="2" t="n">
        <v>73.6423076923077</v>
      </c>
      <c r="CO53" s="2" t="n">
        <v>13</v>
      </c>
      <c r="CP53" s="2" t="n">
        <v>1</v>
      </c>
      <c r="CQ53" s="2" t="n">
        <v>73.6423076923077</v>
      </c>
      <c r="CR53" s="2" t="inlineStr"/>
      <c r="CS53" s="2" t="inlineStr"/>
      <c r="CT53" s="2" t="inlineStr"/>
      <c r="CU53" s="2" t="inlineStr"/>
    </row>
    <row r="54">
      <c r="A54" s="2" t="inlineStr">
        <is>
          <t>C4-053</t>
        </is>
      </c>
      <c r="B54" s="2" t="inlineStr">
        <is>
          <t>Hyrax</t>
        </is>
      </c>
      <c r="C54" s="2" t="inlineStr">
        <is>
          <t>https://github.com/samvera/hyrax</t>
        </is>
      </c>
      <c r="D54" s="2" t="inlineStr">
        <is>
          <t>Ready</t>
        </is>
      </c>
      <c r="E54" s="2" t="inlineStr">
        <is>
          <t>github</t>
        </is>
      </c>
      <c r="F54" s="2" t="inlineStr">
        <is>
          <t>samvera/hyrax</t>
        </is>
      </c>
      <c r="G54" s="2" t="inlineStr"/>
      <c r="H54" s="2" t="inlineStr"/>
      <c r="I54" s="2" t="inlineStr">
        <is>
          <t>yes</t>
        </is>
      </c>
      <c r="J54" s="2" t="inlineStr">
        <is>
          <t>software</t>
        </is>
      </c>
      <c r="K54" s="2" t="inlineStr">
        <is>
          <t>GitHub (same repo)</t>
        </is>
      </c>
      <c r="L54" s="2" t="inlineStr"/>
      <c r="M54" s="2" t="inlineStr">
        <is>
          <t>samvera/hyrax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samvera/hyrax</t>
        </is>
      </c>
      <c r="T54" s="2" t="inlineStr">
        <is>
          <t>12</t>
        </is>
      </c>
      <c r="U54" s="2" t="inlineStr">
        <is>
          <t>48</t>
        </is>
      </c>
      <c r="V54" s="2" t="inlineStr">
        <is>
          <t>2</t>
        </is>
      </c>
      <c r="W54" s="2" t="inlineStr">
        <is>
          <t>5</t>
        </is>
      </c>
      <c r="X54" s="2" t="inlineStr">
        <is>
          <t>8</t>
        </is>
      </c>
      <c r="Y54" s="2" t="inlineStr">
        <is>
          <t>0.019</t>
        </is>
      </c>
      <c r="Z54" s="2" t="inlineStr">
        <is>
          <t>20</t>
        </is>
      </c>
      <c r="AA54" s="2" t="inlineStr">
        <is>
          <t>3.02</t>
        </is>
      </c>
      <c r="AB54" s="2" t="inlineStr">
        <is>
          <t>4.07</t>
        </is>
      </c>
      <c r="AC54" s="2" t="inlineStr">
        <is>
          <t>complete</t>
        </is>
      </c>
      <c r="AD54" s="2" t="inlineStr">
        <is>
          <t>421</t>
        </is>
      </c>
      <c r="AE54" s="2" t="inlineStr">
        <is>
          <t>2026-10-08</t>
        </is>
      </c>
      <c r="AF54" s="2" t="inlineStr">
        <is>
          <t>171</t>
        </is>
      </c>
      <c r="AG54" s="2" t="inlineStr">
        <is>
          <t>5</t>
        </is>
      </c>
      <c r="AH54" s="2" t="inlineStr">
        <is>
          <t>9</t>
        </is>
      </c>
      <c r="AI54" s="2" t="inlineStr">
        <is>
          <t>6</t>
        </is>
      </c>
      <c r="AJ54" s="2" t="inlineStr">
        <is>
          <t>44.42</t>
        </is>
      </c>
      <c r="AK54" s="2" t="inlineStr">
        <is>
          <t>81.38</t>
        </is>
      </c>
      <c r="AL54" s="2" t="inlineStr">
        <is>
          <t>490.45</t>
        </is>
      </c>
      <c r="AM54" s="2" t="inlineStr">
        <is>
          <t>50</t>
        </is>
      </c>
      <c r="AN54" s="2" t="inlineStr">
        <is>
          <t>3</t>
        </is>
      </c>
      <c r="AO54" s="2" t="inlineStr">
        <is>
          <t>116</t>
        </is>
      </c>
      <c r="AP54" s="2" t="inlineStr">
        <is>
          <t>473</t>
        </is>
      </c>
      <c r="AQ54" s="2" t="inlineStr">
        <is>
          <t>24.2</t>
        </is>
      </c>
      <c r="AR54" s="2" t="inlineStr">
        <is>
          <t>249</t>
        </is>
      </c>
      <c r="AS54" s="2" t="inlineStr">
        <is>
          <t>54</t>
        </is>
      </c>
      <c r="AT54" s="2" t="inlineStr">
        <is>
          <t>325</t>
        </is>
      </c>
      <c r="AU54" s="2" t="inlineStr">
        <is>
          <t>236</t>
        </is>
      </c>
      <c r="AV54" s="2" t="inlineStr">
        <is>
          <t>35</t>
        </is>
      </c>
      <c r="AW54" s="2" t="inlineStr">
        <is>
          <t>135</t>
        </is>
      </c>
      <c r="AX54" s="2" t="inlineStr">
        <is>
          <t>complete</t>
        </is>
      </c>
      <c r="AY54" s="2" t="inlineStr">
        <is>
          <t>25</t>
        </is>
      </c>
      <c r="AZ54" s="2" t="inlineStr">
        <is>
          <t>0.266</t>
        </is>
      </c>
      <c r="BA54" s="2" t="inlineStr">
        <is>
          <t>94</t>
        </is>
      </c>
      <c r="BB54" s="2" t="inlineStr">
        <is>
          <t>249</t>
        </is>
      </c>
      <c r="BC54" s="2" t="inlineStr">
        <is>
          <t>286</t>
        </is>
      </c>
      <c r="BD54" s="2" t="inlineStr">
        <is>
          <t>0.8706</t>
        </is>
      </c>
      <c r="BE54" s="2" t="inlineStr">
        <is>
          <t>12</t>
        </is>
      </c>
      <c r="BF54" s="2" t="inlineStr">
        <is>
          <t>10</t>
        </is>
      </c>
      <c r="BG54" s="2" t="inlineStr">
        <is>
          <t>non-maintainer issues</t>
        </is>
      </c>
      <c r="BH54" s="2" t="inlineStr">
        <is>
          <t>0.2315</t>
        </is>
      </c>
      <c r="BI54" s="2" t="inlineStr">
        <is>
          <t>108</t>
        </is>
      </c>
      <c r="BJ54" s="2" t="inlineStr">
        <is>
          <t>25</t>
        </is>
      </c>
      <c r="BK54" s="2" t="inlineStr">
        <is>
          <t>316</t>
        </is>
      </c>
      <c r="BL54" s="2" t="inlineStr">
        <is>
          <t>0.6741</t>
        </is>
      </c>
      <c r="BM54" s="2" t="inlineStr">
        <is>
          <t>213</t>
        </is>
      </c>
      <c r="BN54" s="2" t="n">
        <v>87.5</v>
      </c>
      <c r="BO54" s="2" t="n">
        <v>1</v>
      </c>
      <c r="BP54" s="2" t="n">
        <v>92.31</v>
      </c>
      <c r="BQ54" s="2" t="n">
        <v>1</v>
      </c>
      <c r="BR54" s="2" t="n">
        <v>100</v>
      </c>
      <c r="BS54" s="2" t="n">
        <v>1</v>
      </c>
      <c r="BT54" s="2" t="n">
        <v>100</v>
      </c>
      <c r="BU54" s="2" t="n">
        <v>1</v>
      </c>
      <c r="BV54" s="2" t="n">
        <v>86.44</v>
      </c>
      <c r="BW54" s="2" t="n">
        <v>1</v>
      </c>
      <c r="BX54" s="2" t="n">
        <v>67.5</v>
      </c>
      <c r="BY54" s="2" t="n">
        <v>1</v>
      </c>
      <c r="BZ54" s="2" t="n">
        <v>100</v>
      </c>
      <c r="CA54" s="2" t="n">
        <v>1</v>
      </c>
      <c r="CB54" s="2" t="n">
        <v>23.15</v>
      </c>
      <c r="CC54" s="2" t="n">
        <v>1</v>
      </c>
      <c r="CD54" s="2" t="n">
        <v>67.41</v>
      </c>
      <c r="CE54" s="2" t="n">
        <v>1</v>
      </c>
      <c r="CF54" s="2" t="n">
        <v>26.6</v>
      </c>
      <c r="CG54" s="2" t="n">
        <v>1</v>
      </c>
      <c r="CH54" s="2" t="n">
        <v>87.06</v>
      </c>
      <c r="CI54" s="2" t="n">
        <v>1</v>
      </c>
      <c r="CJ54" s="2" t="n">
        <v>37.13</v>
      </c>
      <c r="CK54" s="2" t="n">
        <v>1</v>
      </c>
      <c r="CL54" s="2" t="n">
        <v>51.96</v>
      </c>
      <c r="CM54" s="2" t="n">
        <v>1</v>
      </c>
      <c r="CN54" s="2" t="n">
        <v>71.3123076923077</v>
      </c>
      <c r="CO54" s="2" t="n">
        <v>13</v>
      </c>
      <c r="CP54" s="2" t="n">
        <v>1</v>
      </c>
      <c r="CQ54" s="2" t="n">
        <v>71.3123076923077</v>
      </c>
      <c r="CR54" s="2" t="inlineStr"/>
      <c r="CS54" s="2" t="inlineStr"/>
      <c r="CT54" s="2" t="inlineStr"/>
      <c r="CU54" s="2" t="inlineStr"/>
    </row>
    <row r="55">
      <c r="A55" s="2" t="inlineStr">
        <is>
          <t>C4-054</t>
        </is>
      </c>
      <c r="B55" s="2" t="inlineStr">
        <is>
          <t>IIIF</t>
        </is>
      </c>
      <c r="C55" s="2" t="inlineStr">
        <is>
          <t>https://github.com/IIIF/awesome-iiif</t>
        </is>
      </c>
      <c r="D55" s="2" t="inlineStr">
        <is>
          <t>Exclude: standard</t>
        </is>
      </c>
      <c r="E55" s="2" t="inlineStr"/>
      <c r="F55" s="2" t="inlineStr"/>
      <c r="G55" s="2" t="inlineStr"/>
      <c r="H55" s="2" t="inlineStr"/>
      <c r="I55" s="2" t="inlineStr">
        <is>
          <t>no</t>
        </is>
      </c>
      <c r="J55" s="2" t="inlineStr">
        <is>
          <t>standard</t>
        </is>
      </c>
      <c r="K55" s="2" t="inlineStr"/>
      <c r="L55" s="2" t="inlineStr">
        <is>
          <t>IIIF is a set of API specifications; listed repo is a link list</t>
        </is>
      </c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/>
      <c r="BF55" s="2" t="inlineStr"/>
      <c r="BG55" s="2" t="inlineStr"/>
      <c r="BH55" s="2" t="inlineStr"/>
      <c r="BI55" s="2" t="inlineStr"/>
      <c r="BJ55" s="2" t="inlineStr"/>
      <c r="BK55" s="2" t="inlineStr"/>
      <c r="BL55" s="2" t="inlineStr"/>
      <c r="BM55" s="2" t="inlineStr"/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inlineStr"/>
      <c r="CS55" s="2" t="inlineStr"/>
      <c r="CT55" s="2" t="inlineStr"/>
      <c r="CU55" s="2" t="inlineStr"/>
    </row>
    <row r="56">
      <c r="A56" s="2" t="inlineStr">
        <is>
          <t>C4-055</t>
        </is>
      </c>
      <c r="B56" s="2" t="inlineStr">
        <is>
          <t>ImpactU</t>
        </is>
      </c>
      <c r="C56" s="2" t="inlineStr">
        <is>
          <t>https://github.com/colav/impactu</t>
        </is>
      </c>
      <c r="D56" s="2" t="inlineStr">
        <is>
          <t>Ready</t>
        </is>
      </c>
      <c r="E56" s="2" t="inlineStr">
        <is>
          <t>github</t>
        </is>
      </c>
      <c r="F56" s="2" t="inlineStr">
        <is>
          <t>colav/impactu</t>
        </is>
      </c>
      <c r="G56" s="2" t="inlineStr"/>
      <c r="H56" s="2" t="inlineStr"/>
      <c r="I56" s="2" t="inlineStr">
        <is>
          <t>yes</t>
        </is>
      </c>
      <c r="J56" s="2" t="inlineStr">
        <is>
          <t>software</t>
        </is>
      </c>
      <c r="K56" s="2" t="inlineStr">
        <is>
          <t>GitHub (same repo)</t>
        </is>
      </c>
      <c r="L56" s="2" t="inlineStr"/>
      <c r="M56" s="2" t="inlineStr">
        <is>
          <t>colav/impactu</t>
        </is>
      </c>
      <c r="N56" s="2" t="inlineStr"/>
      <c r="O56" s="2" t="inlineStr"/>
      <c r="P56" s="2" t="inlineStr"/>
      <c r="Q56" s="2" t="inlineStr"/>
      <c r="R56" s="2" t="inlineStr"/>
      <c r="S56" s="2" t="inlineStr">
        <is>
          <t>colav/impactu</t>
        </is>
      </c>
      <c r="T56" s="2" t="inlineStr">
        <is>
          <t>2</t>
        </is>
      </c>
      <c r="U56" s="2" t="inlineStr">
        <is>
          <t>2</t>
        </is>
      </c>
      <c r="V56" s="2" t="inlineStr">
        <is>
          <t>1</t>
        </is>
      </c>
      <c r="W56" s="2" t="inlineStr">
        <is>
          <t>1</t>
        </is>
      </c>
      <c r="X56" s="2" t="inlineStr">
        <is>
          <t>0</t>
        </is>
      </c>
      <c r="Y56" s="2" t="inlineStr">
        <is>
          <t>0.0</t>
        </is>
      </c>
      <c r="Z56" s="2" t="inlineStr">
        <is>
          <t>1</t>
        </is>
      </c>
      <c r="AA56" s="2" t="inlineStr">
        <is>
          <t>280.16</t>
        </is>
      </c>
      <c r="AB56" s="2" t="inlineStr">
        <is>
          <t>1.0</t>
        </is>
      </c>
      <c r="AC56" s="2" t="inlineStr">
        <is>
          <t>complete</t>
        </is>
      </c>
      <c r="AD56" s="2" t="inlineStr">
        <is>
          <t>3</t>
        </is>
      </c>
      <c r="AE56" s="2" t="inlineStr">
        <is>
          <t>2025-12-24</t>
        </is>
      </c>
      <c r="AF56" s="2" t="inlineStr">
        <is>
          <t>0</t>
        </is>
      </c>
      <c r="AG56" s="2" t="inlineStr">
        <is>
          <t>0</t>
        </is>
      </c>
      <c r="AH56" s="2" t="inlineStr">
        <is>
          <t>0</t>
        </is>
      </c>
      <c r="AI56" s="2" t="inlineStr">
        <is>
          <t>0</t>
        </is>
      </c>
      <c r="AJ56" s="2" t="inlineStr">
        <is>
          <t>100.0</t>
        </is>
      </c>
      <c r="AK56" s="2" t="inlineStr"/>
      <c r="AL56" s="2" t="inlineStr">
        <is>
          <t>65.18</t>
        </is>
      </c>
      <c r="AM56" s="2" t="inlineStr">
        <is>
          <t>32</t>
        </is>
      </c>
      <c r="AN56" s="2" t="inlineStr">
        <is>
          <t>20</t>
        </is>
      </c>
      <c r="AO56" s="2" t="inlineStr">
        <is>
          <t>87</t>
        </is>
      </c>
      <c r="AP56" s="2" t="inlineStr">
        <is>
          <t>200</t>
        </is>
      </c>
      <c r="AQ56" s="2" t="inlineStr"/>
      <c r="AR56" s="2" t="inlineStr">
        <is>
          <t>0</t>
        </is>
      </c>
      <c r="AS56" s="2" t="inlineStr">
        <is>
          <t>0</t>
        </is>
      </c>
      <c r="AT56" s="2" t="inlineStr">
        <is>
          <t>1</t>
        </is>
      </c>
      <c r="AU56" s="2" t="inlineStr">
        <is>
          <t>0</t>
        </is>
      </c>
      <c r="AV56" s="2" t="inlineStr">
        <is>
          <t>1</t>
        </is>
      </c>
      <c r="AW56" s="2" t="inlineStr">
        <is>
          <t>0</t>
        </is>
      </c>
      <c r="AX56" s="2" t="inlineStr">
        <is>
          <t>complete</t>
        </is>
      </c>
      <c r="AY56" s="2" t="inlineStr">
        <is>
          <t>20</t>
        </is>
      </c>
      <c r="AZ56" s="2" t="inlineStr">
        <is>
          <t>0.2667</t>
        </is>
      </c>
      <c r="BA56" s="2" t="inlineStr">
        <is>
          <t>75</t>
        </is>
      </c>
      <c r="BB56" s="2" t="inlineStr">
        <is>
          <t>0</t>
        </is>
      </c>
      <c r="BC56" s="2" t="inlineStr">
        <is>
          <t>1</t>
        </is>
      </c>
      <c r="BD56" s="2" t="inlineStr"/>
      <c r="BE56" s="2" t="inlineStr">
        <is>
          <t>0</t>
        </is>
      </c>
      <c r="BF56" s="2" t="inlineStr">
        <is>
          <t>1</t>
        </is>
      </c>
      <c r="BG56" s="2" t="inlineStr">
        <is>
          <t>non-maintainer issues</t>
        </is>
      </c>
      <c r="BH56" s="2" t="inlineStr">
        <is>
          <t>0.3538</t>
        </is>
      </c>
      <c r="BI56" s="2" t="inlineStr">
        <is>
          <t>65</t>
        </is>
      </c>
      <c r="BJ56" s="2" t="inlineStr">
        <is>
          <t>23</t>
        </is>
      </c>
      <c r="BK56" s="2" t="inlineStr">
        <is>
          <t>1</t>
        </is>
      </c>
      <c r="BL56" s="2" t="inlineStr"/>
      <c r="BM56" s="2" t="inlineStr">
        <is>
          <t>0</t>
        </is>
      </c>
      <c r="BN56" s="2" t="n">
        <v>20.07</v>
      </c>
      <c r="BO56" s="2" t="n">
        <v>1</v>
      </c>
      <c r="BP56" s="2" t="n">
        <v>3.85</v>
      </c>
      <c r="BQ56" s="2" t="n">
        <v>1</v>
      </c>
      <c r="BR56" s="2" t="n">
        <v>25.33</v>
      </c>
      <c r="BS56" s="2" t="n">
        <v>1</v>
      </c>
      <c r="BT56" s="2" t="n">
        <v>0</v>
      </c>
      <c r="BU56" s="2" t="n">
        <v>1</v>
      </c>
      <c r="BV56" s="2" t="n">
        <v>0</v>
      </c>
      <c r="BW56" s="2" t="n">
        <v>1</v>
      </c>
      <c r="BX56" s="2" t="n">
        <v>0</v>
      </c>
      <c r="BY56" s="2" t="n">
        <v>1</v>
      </c>
      <c r="BZ56" s="2" t="n">
        <v>0</v>
      </c>
      <c r="CA56" s="2" t="n">
        <v>1</v>
      </c>
      <c r="CB56" s="2" t="n">
        <v>35.38</v>
      </c>
      <c r="CC56" s="2" t="n">
        <v>1</v>
      </c>
      <c r="CD56" s="2" t="n">
        <v>0</v>
      </c>
      <c r="CE56" s="2" t="n">
        <v>0</v>
      </c>
      <c r="CF56" s="2" t="n">
        <v>26.67</v>
      </c>
      <c r="CG56" s="2" t="n">
        <v>1</v>
      </c>
      <c r="CH56" s="2" t="n">
        <v>0</v>
      </c>
      <c r="CI56" s="2" t="n">
        <v>0</v>
      </c>
      <c r="CJ56" s="2" t="n">
        <v>0</v>
      </c>
      <c r="CK56" s="2" t="n">
        <v>1</v>
      </c>
      <c r="CL56" s="2" t="n">
        <v>15.02</v>
      </c>
      <c r="CM56" s="2" t="n">
        <v>1</v>
      </c>
      <c r="CN56" s="2" t="n">
        <v>9.716923076923077</v>
      </c>
      <c r="CO56" s="2" t="n">
        <v>11</v>
      </c>
      <c r="CP56" s="2" t="n">
        <v>0.8461538461538461</v>
      </c>
      <c r="CQ56" s="2" t="n">
        <v>11.48363636363636</v>
      </c>
      <c r="CR56" s="2" t="inlineStr"/>
      <c r="CS56" s="2" t="inlineStr"/>
      <c r="CT56" s="2" t="inlineStr"/>
      <c r="CU56" s="2" t="inlineStr"/>
    </row>
    <row r="57">
      <c r="A57" s="2" t="inlineStr">
        <is>
          <t>C4-056</t>
        </is>
      </c>
      <c r="B57" s="2" t="inlineStr">
        <is>
          <t>International Generic Sample Number (IGSN)</t>
        </is>
      </c>
      <c r="C57" s="2" t="inlineStr">
        <is>
          <t>https://github.com/IGSN/igsn.github.io</t>
        </is>
      </c>
      <c r="D57" s="2" t="inlineStr">
        <is>
          <t>Exclude: standard</t>
        </is>
      </c>
      <c r="E57" s="2" t="inlineStr"/>
      <c r="F57" s="2" t="inlineStr"/>
      <c r="G57" s="2" t="inlineStr"/>
      <c r="H57" s="2" t="inlineStr"/>
      <c r="I57" s="2" t="inlineStr">
        <is>
          <t>no</t>
        </is>
      </c>
      <c r="J57" s="2" t="inlineStr">
        <is>
          <t>standard</t>
        </is>
      </c>
      <c r="K57" s="2" t="inlineStr"/>
      <c r="L57" s="2" t="inlineStr">
        <is>
          <t>Identifier standard/service; listed repo is a website</t>
        </is>
      </c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/>
      <c r="BF57" s="2" t="inlineStr"/>
      <c r="BG57" s="2" t="inlineStr"/>
      <c r="BH57" s="2" t="inlineStr"/>
      <c r="BI57" s="2" t="inlineStr"/>
      <c r="BJ57" s="2" t="inlineStr"/>
      <c r="BK57" s="2" t="inlineStr"/>
      <c r="BL57" s="2" t="inlineStr"/>
      <c r="BM57" s="2" t="inlineStr"/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inlineStr"/>
      <c r="CS57" s="2" t="inlineStr"/>
      <c r="CT57" s="2" t="inlineStr"/>
      <c r="CU57" s="2" t="inlineStr"/>
    </row>
    <row r="58">
      <c r="A58" s="2" t="inlineStr">
        <is>
          <t>C4-057</t>
        </is>
      </c>
      <c r="B58" s="2" t="inlineStr">
        <is>
          <t>InvenioRDM</t>
        </is>
      </c>
      <c r="C58" s="2" t="inlineStr">
        <is>
          <t>https://github.com/inveniosoftware/invenio-app-rdm</t>
        </is>
      </c>
      <c r="D58" s="2" t="inlineStr">
        <is>
          <t>Ready</t>
        </is>
      </c>
      <c r="E58" s="2" t="inlineStr">
        <is>
          <t>github</t>
        </is>
      </c>
      <c r="F58" s="2" t="inlineStr">
        <is>
          <t>inveniosoftware/invenio-app-rdm</t>
        </is>
      </c>
      <c r="G58" s="2" t="inlineStr"/>
      <c r="H58" s="2" t="inlineStr"/>
      <c r="I58" s="2" t="inlineStr">
        <is>
          <t>yes</t>
        </is>
      </c>
      <c r="J58" s="2" t="inlineStr">
        <is>
          <t>software</t>
        </is>
      </c>
      <c r="K58" s="2" t="inlineStr">
        <is>
          <t>GitHub (same repo)</t>
        </is>
      </c>
      <c r="L58" s="2" t="inlineStr"/>
      <c r="M58" s="2" t="inlineStr">
        <is>
          <t>inveniosoftware/invenio-app-rdm</t>
        </is>
      </c>
      <c r="N58" s="2" t="inlineStr"/>
      <c r="O58" s="2" t="inlineStr"/>
      <c r="P58" s="2" t="inlineStr"/>
      <c r="Q58" s="2" t="inlineStr"/>
      <c r="R58" s="2" t="inlineStr"/>
      <c r="S58" s="2" t="inlineStr">
        <is>
          <t>inveniosoftware/invenio-app-rdm</t>
        </is>
      </c>
      <c r="T58" s="2" t="inlineStr">
        <is>
          <t>12</t>
        </is>
      </c>
      <c r="U58" s="2" t="inlineStr">
        <is>
          <t>50</t>
        </is>
      </c>
      <c r="V58" s="2" t="inlineStr">
        <is>
          <t>7</t>
        </is>
      </c>
      <c r="W58" s="2" t="inlineStr">
        <is>
          <t>14</t>
        </is>
      </c>
      <c r="X58" s="2" t="inlineStr">
        <is>
          <t>3</t>
        </is>
      </c>
      <c r="Y58" s="2" t="inlineStr">
        <is>
          <t>0.01</t>
        </is>
      </c>
      <c r="Z58" s="2" t="inlineStr">
        <is>
          <t>34</t>
        </is>
      </c>
      <c r="AA58" s="2" t="inlineStr">
        <is>
          <t>7.45</t>
        </is>
      </c>
      <c r="AB58" s="2" t="inlineStr">
        <is>
          <t>18.36</t>
        </is>
      </c>
      <c r="AC58" s="2" t="inlineStr">
        <is>
          <t>complete</t>
        </is>
      </c>
      <c r="AD58" s="2" t="inlineStr">
        <is>
          <t>300</t>
        </is>
      </c>
      <c r="AE58" s="2" t="inlineStr">
        <is>
          <t>2026-10-02</t>
        </is>
      </c>
      <c r="AF58" s="2" t="inlineStr">
        <is>
          <t>0</t>
        </is>
      </c>
      <c r="AG58" s="2" t="inlineStr">
        <is>
          <t>4</t>
        </is>
      </c>
      <c r="AH58" s="2" t="inlineStr">
        <is>
          <t>20</t>
        </is>
      </c>
      <c r="AI58" s="2" t="inlineStr">
        <is>
          <t>81</t>
        </is>
      </c>
      <c r="AJ58" s="2" t="inlineStr">
        <is>
          <t>10.33</t>
        </is>
      </c>
      <c r="AK58" s="2" t="inlineStr">
        <is>
          <t>87.01</t>
        </is>
      </c>
      <c r="AL58" s="2" t="inlineStr">
        <is>
          <t>137.42</t>
        </is>
      </c>
      <c r="AM58" s="2" t="inlineStr">
        <is>
          <t>39</t>
        </is>
      </c>
      <c r="AN58" s="2" t="inlineStr">
        <is>
          <t>58</t>
        </is>
      </c>
      <c r="AO58" s="2" t="inlineStr">
        <is>
          <t>121</t>
        </is>
      </c>
      <c r="AP58" s="2" t="inlineStr">
        <is>
          <t>249</t>
        </is>
      </c>
      <c r="AQ58" s="2" t="inlineStr">
        <is>
          <t>16.56</t>
        </is>
      </c>
      <c r="AR58" s="2" t="inlineStr">
        <is>
          <t>187</t>
        </is>
      </c>
      <c r="AS58" s="2" t="inlineStr">
        <is>
          <t>30</t>
        </is>
      </c>
      <c r="AT58" s="2" t="inlineStr">
        <is>
          <t>265</t>
        </is>
      </c>
      <c r="AU58" s="2" t="inlineStr">
        <is>
          <t>201</t>
        </is>
      </c>
      <c r="AV58" s="2" t="inlineStr">
        <is>
          <t>34</t>
        </is>
      </c>
      <c r="AW58" s="2" t="inlineStr">
        <is>
          <t>89</t>
        </is>
      </c>
      <c r="AX58" s="2" t="inlineStr">
        <is>
          <t>complete</t>
        </is>
      </c>
      <c r="AY58" s="2" t="inlineStr">
        <is>
          <t>47</t>
        </is>
      </c>
      <c r="AZ58" s="2" t="inlineStr">
        <is>
          <t>0.4896</t>
        </is>
      </c>
      <c r="BA58" s="2" t="inlineStr">
        <is>
          <t>96</t>
        </is>
      </c>
      <c r="BB58" s="2" t="inlineStr">
        <is>
          <t>185</t>
        </is>
      </c>
      <c r="BC58" s="2" t="inlineStr">
        <is>
          <t>245</t>
        </is>
      </c>
      <c r="BD58" s="2" t="inlineStr">
        <is>
          <t>0.7551</t>
        </is>
      </c>
      <c r="BE58" s="2" t="inlineStr">
        <is>
          <t>47</t>
        </is>
      </c>
      <c r="BF58" s="2" t="inlineStr">
        <is>
          <t>35</t>
        </is>
      </c>
      <c r="BG58" s="2" t="inlineStr">
        <is>
          <t>non-maintainer issues</t>
        </is>
      </c>
      <c r="BH58" s="2" t="inlineStr">
        <is>
          <t>0.3651</t>
        </is>
      </c>
      <c r="BI58" s="2" t="inlineStr">
        <is>
          <t>63</t>
        </is>
      </c>
      <c r="BJ58" s="2" t="inlineStr">
        <is>
          <t>23</t>
        </is>
      </c>
      <c r="BK58" s="2" t="inlineStr">
        <is>
          <t>261</t>
        </is>
      </c>
      <c r="BL58" s="2" t="inlineStr">
        <is>
          <t>0.5747</t>
        </is>
      </c>
      <c r="BM58" s="2" t="inlineStr">
        <is>
          <t>150</t>
        </is>
      </c>
      <c r="BN58" s="2" t="n">
        <v>82.61</v>
      </c>
      <c r="BO58" s="2" t="n">
        <v>1</v>
      </c>
      <c r="BP58" s="2" t="n">
        <v>96.15000000000001</v>
      </c>
      <c r="BQ58" s="2" t="n">
        <v>1</v>
      </c>
      <c r="BR58" s="2" t="n">
        <v>100</v>
      </c>
      <c r="BS58" s="2" t="n">
        <v>1</v>
      </c>
      <c r="BT58" s="2" t="n">
        <v>100</v>
      </c>
      <c r="BU58" s="2" t="n">
        <v>1</v>
      </c>
      <c r="BV58" s="2" t="n">
        <v>100</v>
      </c>
      <c r="BW58" s="2" t="n">
        <v>1</v>
      </c>
      <c r="BX58" s="2" t="n">
        <v>100</v>
      </c>
      <c r="BY58" s="2" t="n">
        <v>1</v>
      </c>
      <c r="BZ58" s="2" t="n">
        <v>100</v>
      </c>
      <c r="CA58" s="2" t="n">
        <v>1</v>
      </c>
      <c r="CB58" s="2" t="n">
        <v>36.51</v>
      </c>
      <c r="CC58" s="2" t="n">
        <v>1</v>
      </c>
      <c r="CD58" s="2" t="n">
        <v>57.47</v>
      </c>
      <c r="CE58" s="2" t="n">
        <v>1</v>
      </c>
      <c r="CF58" s="2" t="n">
        <v>48.96</v>
      </c>
      <c r="CG58" s="2" t="n">
        <v>1</v>
      </c>
      <c r="CH58" s="2" t="n">
        <v>75.51000000000001</v>
      </c>
      <c r="CI58" s="2" t="n">
        <v>1</v>
      </c>
      <c r="CJ58" s="2" t="n">
        <v>56.03</v>
      </c>
      <c r="CK58" s="2" t="n">
        <v>1</v>
      </c>
      <c r="CL58" s="2" t="n">
        <v>77.65000000000001</v>
      </c>
      <c r="CM58" s="2" t="n">
        <v>1</v>
      </c>
      <c r="CN58" s="2" t="n">
        <v>79.29923076923077</v>
      </c>
      <c r="CO58" s="2" t="n">
        <v>13</v>
      </c>
      <c r="CP58" s="2" t="n">
        <v>1</v>
      </c>
      <c r="CQ58" s="2" t="n">
        <v>79.29923076923077</v>
      </c>
      <c r="CR58" s="2" t="inlineStr"/>
      <c r="CS58" s="2" t="inlineStr"/>
      <c r="CT58" s="2" t="inlineStr"/>
      <c r="CU58" s="2" t="inlineStr"/>
    </row>
    <row r="59">
      <c r="A59" s="2" t="inlineStr">
        <is>
          <t>C4-058</t>
        </is>
      </c>
      <c r="B59" s="2" t="inlineStr">
        <is>
          <t>iRODS</t>
        </is>
      </c>
      <c r="C59" s="2" t="inlineStr">
        <is>
          <t>https://github.com/irods/irods</t>
        </is>
      </c>
      <c r="D59" s="2" t="inlineStr">
        <is>
          <t>Ready</t>
        </is>
      </c>
      <c r="E59" s="2" t="inlineStr">
        <is>
          <t>github</t>
        </is>
      </c>
      <c r="F59" s="2" t="inlineStr">
        <is>
          <t>irods/irods</t>
        </is>
      </c>
      <c r="G59" s="2" t="inlineStr"/>
      <c r="H59" s="2" t="inlineStr"/>
      <c r="I59" s="2" t="inlineStr">
        <is>
          <t>yes</t>
        </is>
      </c>
      <c r="J59" s="2" t="inlineStr">
        <is>
          <t>software</t>
        </is>
      </c>
      <c r="K59" s="2" t="inlineStr">
        <is>
          <t>GitHub (same repo)</t>
        </is>
      </c>
      <c r="L59" s="2" t="inlineStr"/>
      <c r="M59" s="2" t="inlineStr">
        <is>
          <t>irods/irods</t>
        </is>
      </c>
      <c r="N59" s="2" t="inlineStr"/>
      <c r="O59" s="2" t="inlineStr"/>
      <c r="P59" s="2" t="inlineStr"/>
      <c r="Q59" s="2" t="inlineStr"/>
      <c r="R59" s="2" t="inlineStr"/>
      <c r="S59" s="2" t="inlineStr">
        <is>
          <t>irods/irods</t>
        </is>
      </c>
      <c r="T59" s="2" t="inlineStr">
        <is>
          <t>12</t>
        </is>
      </c>
      <c r="U59" s="2" t="inlineStr">
        <is>
          <t>46</t>
        </is>
      </c>
      <c r="V59" s="2" t="inlineStr">
        <is>
          <t>2</t>
        </is>
      </c>
      <c r="W59" s="2" t="inlineStr">
        <is>
          <t>3</t>
        </is>
      </c>
      <c r="X59" s="2" t="inlineStr">
        <is>
          <t>0</t>
        </is>
      </c>
      <c r="Y59" s="2" t="inlineStr">
        <is>
          <t>0.0</t>
        </is>
      </c>
      <c r="Z59" s="2" t="inlineStr">
        <is>
          <t>11</t>
        </is>
      </c>
      <c r="AA59" s="2" t="inlineStr">
        <is>
          <t>0.01</t>
        </is>
      </c>
      <c r="AB59" s="2" t="inlineStr">
        <is>
          <t>3.18</t>
        </is>
      </c>
      <c r="AC59" s="2" t="inlineStr">
        <is>
          <t>complete</t>
        </is>
      </c>
      <c r="AD59" s="2" t="inlineStr">
        <is>
          <t>287</t>
        </is>
      </c>
      <c r="AE59" s="2" t="inlineStr">
        <is>
          <t>2026-10-11</t>
        </is>
      </c>
      <c r="AF59" s="2" t="inlineStr">
        <is>
          <t>1</t>
        </is>
      </c>
      <c r="AG59" s="2" t="inlineStr">
        <is>
          <t>0</t>
        </is>
      </c>
      <c r="AH59" s="2" t="inlineStr">
        <is>
          <t>6</t>
        </is>
      </c>
      <c r="AI59" s="2" t="inlineStr">
        <is>
          <t>2</t>
        </is>
      </c>
      <c r="AJ59" s="2" t="inlineStr">
        <is>
          <t>48.43</t>
        </is>
      </c>
      <c r="AK59" s="2" t="inlineStr">
        <is>
          <t>97.13</t>
        </is>
      </c>
      <c r="AL59" s="2" t="inlineStr">
        <is>
          <t>3.66</t>
        </is>
      </c>
      <c r="AM59" s="2" t="inlineStr">
        <is>
          <t>81</t>
        </is>
      </c>
      <c r="AN59" s="2" t="inlineStr">
        <is>
          <t>51</t>
        </is>
      </c>
      <c r="AO59" s="2" t="inlineStr">
        <is>
          <t>226</t>
        </is>
      </c>
      <c r="AP59" s="2" t="inlineStr">
        <is>
          <t>1084</t>
        </is>
      </c>
      <c r="AQ59" s="2" t="inlineStr">
        <is>
          <t>1.13</t>
        </is>
      </c>
      <c r="AR59" s="2" t="inlineStr">
        <is>
          <t>175</t>
        </is>
      </c>
      <c r="AS59" s="2" t="inlineStr">
        <is>
          <t>5</t>
        </is>
      </c>
      <c r="AT59" s="2" t="inlineStr">
        <is>
          <t>186</t>
        </is>
      </c>
      <c r="AU59" s="2" t="inlineStr">
        <is>
          <t>169</t>
        </is>
      </c>
      <c r="AV59" s="2" t="inlineStr">
        <is>
          <t>12</t>
        </is>
      </c>
      <c r="AW59" s="2" t="inlineStr">
        <is>
          <t>58</t>
        </is>
      </c>
      <c r="AX59" s="2" t="inlineStr">
        <is>
          <t>complete</t>
        </is>
      </c>
      <c r="AY59" s="2" t="inlineStr">
        <is>
          <t>84</t>
        </is>
      </c>
      <c r="AZ59" s="2" t="inlineStr">
        <is>
          <t>0.4855</t>
        </is>
      </c>
      <c r="BA59" s="2" t="inlineStr">
        <is>
          <t>173</t>
        </is>
      </c>
      <c r="BB59" s="2" t="inlineStr">
        <is>
          <t>159</t>
        </is>
      </c>
      <c r="BC59" s="2" t="inlineStr">
        <is>
          <t>173</t>
        </is>
      </c>
      <c r="BD59" s="2" t="inlineStr">
        <is>
          <t>0.9191</t>
        </is>
      </c>
      <c r="BE59" s="2" t="inlineStr">
        <is>
          <t>16</t>
        </is>
      </c>
      <c r="BF59" s="2" t="inlineStr">
        <is>
          <t>5</t>
        </is>
      </c>
      <c r="BG59" s="2" t="inlineStr">
        <is>
          <t>non-maintainer issues</t>
        </is>
      </c>
      <c r="BH59" s="2" t="inlineStr">
        <is>
          <t>0.4235</t>
        </is>
      </c>
      <c r="BI59" s="2" t="inlineStr">
        <is>
          <t>170</t>
        </is>
      </c>
      <c r="BJ59" s="2" t="inlineStr">
        <is>
          <t>72</t>
        </is>
      </c>
      <c r="BK59" s="2" t="inlineStr">
        <is>
          <t>180</t>
        </is>
      </c>
      <c r="BL59" s="2" t="inlineStr">
        <is>
          <t>0.9556</t>
        </is>
      </c>
      <c r="BM59" s="2" t="inlineStr">
        <is>
          <t>172</t>
        </is>
      </c>
      <c r="BN59" s="2" t="n">
        <v>81.97</v>
      </c>
      <c r="BO59" s="2" t="n">
        <v>1</v>
      </c>
      <c r="BP59" s="2" t="n">
        <v>88.45999999999999</v>
      </c>
      <c r="BQ59" s="2" t="n">
        <v>1</v>
      </c>
      <c r="BR59" s="2" t="n">
        <v>100</v>
      </c>
      <c r="BS59" s="2" t="n">
        <v>1</v>
      </c>
      <c r="BT59" s="2" t="n">
        <v>75</v>
      </c>
      <c r="BU59" s="2" t="n">
        <v>1</v>
      </c>
      <c r="BV59" s="2" t="n">
        <v>69.19</v>
      </c>
      <c r="BW59" s="2" t="n">
        <v>1</v>
      </c>
      <c r="BX59" s="2" t="n">
        <v>55.63</v>
      </c>
      <c r="BY59" s="2" t="n">
        <v>1</v>
      </c>
      <c r="BZ59" s="2" t="n">
        <v>100</v>
      </c>
      <c r="CA59" s="2" t="n">
        <v>1</v>
      </c>
      <c r="CB59" s="2" t="n">
        <v>42.35</v>
      </c>
      <c r="CC59" s="2" t="n">
        <v>1</v>
      </c>
      <c r="CD59" s="2" t="n">
        <v>95.56</v>
      </c>
      <c r="CE59" s="2" t="n">
        <v>1</v>
      </c>
      <c r="CF59" s="2" t="n">
        <v>48.55</v>
      </c>
      <c r="CG59" s="2" t="n">
        <v>1</v>
      </c>
      <c r="CH59" s="2" t="n">
        <v>91.91</v>
      </c>
      <c r="CI59" s="2" t="n">
        <v>1</v>
      </c>
      <c r="CJ59" s="2" t="n">
        <v>41.01</v>
      </c>
      <c r="CK59" s="2" t="n">
        <v>1</v>
      </c>
      <c r="CL59" s="2" t="n">
        <v>38.82</v>
      </c>
      <c r="CM59" s="2" t="n">
        <v>1</v>
      </c>
      <c r="CN59" s="2" t="n">
        <v>71.41923076923077</v>
      </c>
      <c r="CO59" s="2" t="n">
        <v>13</v>
      </c>
      <c r="CP59" s="2" t="n">
        <v>1</v>
      </c>
      <c r="CQ59" s="2" t="n">
        <v>71.41923076923077</v>
      </c>
      <c r="CR59" s="2" t="inlineStr"/>
      <c r="CS59" s="2" t="inlineStr"/>
      <c r="CT59" s="2" t="inlineStr"/>
      <c r="CU59" s="2" t="inlineStr"/>
    </row>
    <row r="60">
      <c r="A60" s="2" t="inlineStr">
        <is>
          <t>C4-059</t>
        </is>
      </c>
      <c r="B60" s="2" t="inlineStr">
        <is>
          <t>Islandora</t>
        </is>
      </c>
      <c r="C60" s="2" t="inlineStr">
        <is>
          <t>https://github.com/Islandora/islandora</t>
        </is>
      </c>
      <c r="D60" s="2" t="inlineStr">
        <is>
          <t>Ready</t>
        </is>
      </c>
      <c r="E60" s="2" t="inlineStr">
        <is>
          <t>github</t>
        </is>
      </c>
      <c r="F60" s="2" t="inlineStr">
        <is>
          <t>Islandora/islandora</t>
        </is>
      </c>
      <c r="G60" s="2" t="inlineStr"/>
      <c r="H60" s="2" t="inlineStr"/>
      <c r="I60" s="2" t="inlineStr">
        <is>
          <t>yes</t>
        </is>
      </c>
      <c r="J60" s="2" t="inlineStr">
        <is>
          <t>software</t>
        </is>
      </c>
      <c r="K60" s="2" t="inlineStr">
        <is>
          <t>GitHub: Islandora/documentation (central issue queue)</t>
        </is>
      </c>
      <c r="L60" s="2" t="inlineStr"/>
      <c r="M60" s="2" t="inlineStr">
        <is>
          <t>Islandora/documentation</t>
        </is>
      </c>
      <c r="N60" s="2" t="inlineStr"/>
      <c r="O60" s="2" t="inlineStr"/>
      <c r="P60" s="2" t="inlineStr"/>
      <c r="Q60" s="2" t="inlineStr"/>
      <c r="R60" s="2" t="inlineStr"/>
      <c r="S60" s="2" t="inlineStr">
        <is>
          <t>Islandora/islandora</t>
        </is>
      </c>
      <c r="T60" s="2" t="inlineStr">
        <is>
          <t>9</t>
        </is>
      </c>
      <c r="U60" s="2" t="inlineStr">
        <is>
          <t>12</t>
        </is>
      </c>
      <c r="V60" s="2" t="inlineStr">
        <is>
          <t>1</t>
        </is>
      </c>
      <c r="W60" s="2" t="inlineStr">
        <is>
          <t>5</t>
        </is>
      </c>
      <c r="X60" s="2" t="inlineStr">
        <is>
          <t>0</t>
        </is>
      </c>
      <c r="Y60" s="2" t="inlineStr">
        <is>
          <t>0.0</t>
        </is>
      </c>
      <c r="Z60" s="2" t="inlineStr">
        <is>
          <t>8</t>
        </is>
      </c>
      <c r="AA60" s="2" t="inlineStr">
        <is>
          <t>19.29</t>
        </is>
      </c>
      <c r="AB60" s="2" t="inlineStr">
        <is>
          <t>2.95</t>
        </is>
      </c>
      <c r="AC60" s="2" t="inlineStr">
        <is>
          <t>complete</t>
        </is>
      </c>
      <c r="AD60" s="2" t="inlineStr">
        <is>
          <t>18</t>
        </is>
      </c>
      <c r="AE60" s="2" t="inlineStr">
        <is>
          <t>2026-09-11</t>
        </is>
      </c>
      <c r="AF60" s="2" t="inlineStr">
        <is>
          <t>0</t>
        </is>
      </c>
      <c r="AG60" s="2" t="inlineStr">
        <is>
          <t>0</t>
        </is>
      </c>
      <c r="AH60" s="2" t="inlineStr">
        <is>
          <t>2</t>
        </is>
      </c>
      <c r="AI60" s="2" t="inlineStr">
        <is>
          <t>11</t>
        </is>
      </c>
      <c r="AJ60" s="2" t="inlineStr">
        <is>
          <t>55.56</t>
        </is>
      </c>
      <c r="AK60" s="2" t="inlineStr">
        <is>
          <t>94.74</t>
        </is>
      </c>
      <c r="AL60" s="2" t="inlineStr">
        <is>
          <t>137.31</t>
        </is>
      </c>
      <c r="AM60" s="2" t="inlineStr">
        <is>
          <t>15</t>
        </is>
      </c>
      <c r="AN60" s="2" t="inlineStr">
        <is>
          <t>8</t>
        </is>
      </c>
      <c r="AO60" s="2" t="inlineStr">
        <is>
          <t>16</t>
        </is>
      </c>
      <c r="AP60" s="2" t="inlineStr">
        <is>
          <t>4</t>
        </is>
      </c>
      <c r="AQ60" s="2" t="inlineStr">
        <is>
          <t>15.41</t>
        </is>
      </c>
      <c r="AR60" s="2" t="inlineStr">
        <is>
          <t>20</t>
        </is>
      </c>
      <c r="AS60" s="2" t="inlineStr">
        <is>
          <t>1</t>
        </is>
      </c>
      <c r="AT60" s="2" t="inlineStr">
        <is>
          <t>20</t>
        </is>
      </c>
      <c r="AU60" s="2" t="inlineStr">
        <is>
          <t>18</t>
        </is>
      </c>
      <c r="AV60" s="2" t="inlineStr">
        <is>
          <t>1</t>
        </is>
      </c>
      <c r="AW60" s="2" t="inlineStr">
        <is>
          <t>0</t>
        </is>
      </c>
      <c r="AX60" s="2" t="inlineStr">
        <is>
          <t>complete</t>
        </is>
      </c>
      <c r="AY60" s="2" t="inlineStr">
        <is>
          <t>2</t>
        </is>
      </c>
      <c r="AZ60" s="2" t="inlineStr"/>
      <c r="BA60" s="2" t="inlineStr">
        <is>
          <t>7</t>
        </is>
      </c>
      <c r="BB60" s="2" t="inlineStr">
        <is>
          <t>16</t>
        </is>
      </c>
      <c r="BC60" s="2" t="inlineStr">
        <is>
          <t>19</t>
        </is>
      </c>
      <c r="BD60" s="2" t="inlineStr">
        <is>
          <t>0.8421</t>
        </is>
      </c>
      <c r="BE60" s="2" t="inlineStr">
        <is>
          <t>4</t>
        </is>
      </c>
      <c r="BF60" s="2" t="inlineStr">
        <is>
          <t>4</t>
        </is>
      </c>
      <c r="BG60" s="2" t="inlineStr">
        <is>
          <t>all issues (too few non-maintainer)</t>
        </is>
      </c>
      <c r="BH60" s="2" t="inlineStr">
        <is>
          <t>0.625</t>
        </is>
      </c>
      <c r="BI60" s="2" t="inlineStr">
        <is>
          <t>16</t>
        </is>
      </c>
      <c r="BJ60" s="2" t="inlineStr">
        <is>
          <t>10</t>
        </is>
      </c>
      <c r="BK60" s="2" t="inlineStr">
        <is>
          <t>20</t>
        </is>
      </c>
      <c r="BL60" s="2" t="inlineStr">
        <is>
          <t>0.8</t>
        </is>
      </c>
      <c r="BM60" s="2" t="inlineStr">
        <is>
          <t>16</t>
        </is>
      </c>
      <c r="BN60" s="2" t="n">
        <v>42.62</v>
      </c>
      <c r="BO60" s="2" t="n">
        <v>1</v>
      </c>
      <c r="BP60" s="2" t="n">
        <v>23.08</v>
      </c>
      <c r="BQ60" s="2" t="n">
        <v>1</v>
      </c>
      <c r="BR60" s="2" t="n">
        <v>100</v>
      </c>
      <c r="BS60" s="2" t="n">
        <v>1</v>
      </c>
      <c r="BT60" s="2" t="n">
        <v>100</v>
      </c>
      <c r="BU60" s="2" t="n">
        <v>1</v>
      </c>
      <c r="BV60" s="2" t="n">
        <v>60</v>
      </c>
      <c r="BW60" s="2" t="n">
        <v>1</v>
      </c>
      <c r="BX60" s="2" t="n">
        <v>52.02</v>
      </c>
      <c r="BY60" s="2" t="n">
        <v>1</v>
      </c>
      <c r="BZ60" s="2" t="n">
        <v>50</v>
      </c>
      <c r="CA60" s="2" t="n">
        <v>1</v>
      </c>
      <c r="CB60" s="2" t="n">
        <v>62.5</v>
      </c>
      <c r="CC60" s="2" t="n">
        <v>1</v>
      </c>
      <c r="CD60" s="2" t="n">
        <v>80</v>
      </c>
      <c r="CE60" s="2" t="n">
        <v>1</v>
      </c>
      <c r="CF60" s="2" t="n">
        <v>0</v>
      </c>
      <c r="CG60" s="2" t="n">
        <v>0</v>
      </c>
      <c r="CH60" s="2" t="n">
        <v>84.20999999999999</v>
      </c>
      <c r="CI60" s="2" t="n">
        <v>1</v>
      </c>
      <c r="CJ60" s="2" t="n">
        <v>23.3</v>
      </c>
      <c r="CK60" s="2" t="n">
        <v>1</v>
      </c>
      <c r="CL60" s="2" t="n">
        <v>34.87</v>
      </c>
      <c r="CM60" s="2" t="n">
        <v>1</v>
      </c>
      <c r="CN60" s="2" t="n">
        <v>54.81538461538462</v>
      </c>
      <c r="CO60" s="2" t="n">
        <v>12</v>
      </c>
      <c r="CP60" s="2" t="n">
        <v>0.9230769230769231</v>
      </c>
      <c r="CQ60" s="2" t="n">
        <v>59.38333333333333</v>
      </c>
      <c r="CR60" s="2" t="inlineStr"/>
      <c r="CS60" s="2" t="inlineStr"/>
      <c r="CT60" s="2" t="inlineStr"/>
      <c r="CU60" s="2" t="inlineStr"/>
    </row>
    <row r="61">
      <c r="A61" s="2" t="inlineStr">
        <is>
          <t>C4-060</t>
        </is>
      </c>
      <c r="B61" s="2" t="inlineStr">
        <is>
          <t>Janeway</t>
        </is>
      </c>
      <c r="C61" s="2" t="inlineStr">
        <is>
          <t>https://github.com/openlibhums/janeway</t>
        </is>
      </c>
      <c r="D61" s="2" t="inlineStr">
        <is>
          <t>Ready</t>
        </is>
      </c>
      <c r="E61" s="2" t="inlineStr">
        <is>
          <t>github</t>
        </is>
      </c>
      <c r="F61" s="2" t="inlineStr">
        <is>
          <t>openlibhums/janeway</t>
        </is>
      </c>
      <c r="G61" s="2" t="inlineStr"/>
      <c r="H61" s="2" t="inlineStr"/>
      <c r="I61" s="2" t="inlineStr">
        <is>
          <t>yes</t>
        </is>
      </c>
      <c r="J61" s="2" t="inlineStr">
        <is>
          <t>software</t>
        </is>
      </c>
      <c r="K61" s="2" t="inlineStr">
        <is>
          <t>GitHub (same repo)</t>
        </is>
      </c>
      <c r="L61" s="2" t="inlineStr"/>
      <c r="M61" s="2" t="inlineStr">
        <is>
          <t>openlibhums/janeway</t>
        </is>
      </c>
      <c r="N61" s="2" t="inlineStr"/>
      <c r="O61" s="2" t="inlineStr"/>
      <c r="P61" s="2" t="inlineStr"/>
      <c r="Q61" s="2" t="inlineStr"/>
      <c r="R61" s="2" t="inlineStr"/>
      <c r="S61" s="2" t="inlineStr">
        <is>
          <t>openlibhums/janeway</t>
        </is>
      </c>
      <c r="T61" s="2" t="inlineStr">
        <is>
          <t>12</t>
        </is>
      </c>
      <c r="U61" s="2" t="inlineStr">
        <is>
          <t>42</t>
        </is>
      </c>
      <c r="V61" s="2" t="inlineStr">
        <is>
          <t>2</t>
        </is>
      </c>
      <c r="W61" s="2" t="inlineStr">
        <is>
          <t>3</t>
        </is>
      </c>
      <c r="X61" s="2" t="inlineStr">
        <is>
          <t>3</t>
        </is>
      </c>
      <c r="Y61" s="2" t="inlineStr">
        <is>
          <t>0.01</t>
        </is>
      </c>
      <c r="Z61" s="2" t="inlineStr">
        <is>
          <t>9</t>
        </is>
      </c>
      <c r="AA61" s="2" t="inlineStr">
        <is>
          <t>8.15</t>
        </is>
      </c>
      <c r="AB61" s="2" t="inlineStr">
        <is>
          <t>3.54</t>
        </is>
      </c>
      <c r="AC61" s="2" t="inlineStr">
        <is>
          <t>complete</t>
        </is>
      </c>
      <c r="AD61" s="2" t="inlineStr">
        <is>
          <t>311</t>
        </is>
      </c>
      <c r="AE61" s="2" t="inlineStr">
        <is>
          <t>2026-10-06</t>
        </is>
      </c>
      <c r="AF61" s="2" t="inlineStr">
        <is>
          <t>16</t>
        </is>
      </c>
      <c r="AG61" s="2" t="inlineStr">
        <is>
          <t>1</t>
        </is>
      </c>
      <c r="AH61" s="2" t="inlineStr">
        <is>
          <t>4</t>
        </is>
      </c>
      <c r="AI61" s="2" t="inlineStr">
        <is>
          <t>10</t>
        </is>
      </c>
      <c r="AJ61" s="2" t="inlineStr">
        <is>
          <t>37.62</t>
        </is>
      </c>
      <c r="AK61" s="2" t="inlineStr">
        <is>
          <t>88.27</t>
        </is>
      </c>
      <c r="AL61" s="2" t="inlineStr">
        <is>
          <t>211.97</t>
        </is>
      </c>
      <c r="AM61" s="2" t="inlineStr">
        <is>
          <t>33</t>
        </is>
      </c>
      <c r="AN61" s="2" t="inlineStr">
        <is>
          <t>262</t>
        </is>
      </c>
      <c r="AO61" s="2" t="inlineStr">
        <is>
          <t>327</t>
        </is>
      </c>
      <c r="AP61" s="2" t="inlineStr">
        <is>
          <t>447</t>
        </is>
      </c>
      <c r="AQ61" s="2" t="inlineStr">
        <is>
          <t>115.25</t>
        </is>
      </c>
      <c r="AR61" s="2" t="inlineStr">
        <is>
          <t>186</t>
        </is>
      </c>
      <c r="AS61" s="2" t="inlineStr">
        <is>
          <t>23</t>
        </is>
      </c>
      <c r="AT61" s="2" t="inlineStr">
        <is>
          <t>241</t>
        </is>
      </c>
      <c r="AU61" s="2" t="inlineStr">
        <is>
          <t>173</t>
        </is>
      </c>
      <c r="AV61" s="2" t="inlineStr">
        <is>
          <t>45</t>
        </is>
      </c>
      <c r="AW61" s="2" t="inlineStr">
        <is>
          <t>28</t>
        </is>
      </c>
      <c r="AX61" s="2" t="inlineStr">
        <is>
          <t>complete</t>
        </is>
      </c>
      <c r="AY61" s="2" t="inlineStr">
        <is>
          <t>114</t>
        </is>
      </c>
      <c r="AZ61" s="2" t="inlineStr">
        <is>
          <t>0.5352</t>
        </is>
      </c>
      <c r="BA61" s="2" t="inlineStr">
        <is>
          <t>213</t>
        </is>
      </c>
      <c r="BB61" s="2" t="inlineStr">
        <is>
          <t>134</t>
        </is>
      </c>
      <c r="BC61" s="2" t="inlineStr">
        <is>
          <t>189</t>
        </is>
      </c>
      <c r="BD61" s="2" t="inlineStr">
        <is>
          <t>0.709</t>
        </is>
      </c>
      <c r="BE61" s="2" t="inlineStr">
        <is>
          <t>39</t>
        </is>
      </c>
      <c r="BF61" s="2" t="inlineStr">
        <is>
          <t>19</t>
        </is>
      </c>
      <c r="BG61" s="2" t="inlineStr">
        <is>
          <t>non-maintainer issues</t>
        </is>
      </c>
      <c r="BH61" s="2" t="inlineStr">
        <is>
          <t>0.3226</t>
        </is>
      </c>
      <c r="BI61" s="2" t="inlineStr">
        <is>
          <t>62</t>
        </is>
      </c>
      <c r="BJ61" s="2" t="inlineStr">
        <is>
          <t>20</t>
        </is>
      </c>
      <c r="BK61" s="2" t="inlineStr">
        <is>
          <t>221</t>
        </is>
      </c>
      <c r="BL61" s="2" t="inlineStr">
        <is>
          <t>0.5566</t>
        </is>
      </c>
      <c r="BM61" s="2" t="inlineStr">
        <is>
          <t>123</t>
        </is>
      </c>
      <c r="BN61" s="2" t="n">
        <v>83.13</v>
      </c>
      <c r="BO61" s="2" t="n">
        <v>1</v>
      </c>
      <c r="BP61" s="2" t="n">
        <v>80.77</v>
      </c>
      <c r="BQ61" s="2" t="n">
        <v>1</v>
      </c>
      <c r="BR61" s="2" t="n">
        <v>100</v>
      </c>
      <c r="BS61" s="2" t="n">
        <v>1</v>
      </c>
      <c r="BT61" s="2" t="n">
        <v>100</v>
      </c>
      <c r="BU61" s="2" t="n">
        <v>1</v>
      </c>
      <c r="BV61" s="2" t="n">
        <v>63.4</v>
      </c>
      <c r="BW61" s="2" t="n">
        <v>1</v>
      </c>
      <c r="BX61" s="2" t="n">
        <v>60.79</v>
      </c>
      <c r="BY61" s="2" t="n">
        <v>1</v>
      </c>
      <c r="BZ61" s="2" t="n">
        <v>75</v>
      </c>
      <c r="CA61" s="2" t="n">
        <v>1</v>
      </c>
      <c r="CB61" s="2" t="n">
        <v>32.26</v>
      </c>
      <c r="CC61" s="2" t="n">
        <v>1</v>
      </c>
      <c r="CD61" s="2" t="n">
        <v>55.66</v>
      </c>
      <c r="CE61" s="2" t="n">
        <v>1</v>
      </c>
      <c r="CF61" s="2" t="n">
        <v>53.52</v>
      </c>
      <c r="CG61" s="2" t="n">
        <v>1</v>
      </c>
      <c r="CH61" s="2" t="n">
        <v>70.90000000000001</v>
      </c>
      <c r="CI61" s="2" t="n">
        <v>1</v>
      </c>
      <c r="CJ61" s="2" t="n">
        <v>53.39</v>
      </c>
      <c r="CK61" s="2" t="n">
        <v>1</v>
      </c>
      <c r="CL61" s="2" t="n">
        <v>64.91</v>
      </c>
      <c r="CM61" s="2" t="n">
        <v>1</v>
      </c>
      <c r="CN61" s="2" t="n">
        <v>68.74846153846154</v>
      </c>
      <c r="CO61" s="2" t="n">
        <v>13</v>
      </c>
      <c r="CP61" s="2" t="n">
        <v>1</v>
      </c>
      <c r="CQ61" s="2" t="n">
        <v>68.74846153846154</v>
      </c>
      <c r="CR61" s="2" t="inlineStr"/>
      <c r="CS61" s="2" t="inlineStr"/>
      <c r="CT61" s="2" t="inlineStr"/>
      <c r="CU61" s="2" t="inlineStr"/>
    </row>
    <row r="62">
      <c r="A62" s="2" t="inlineStr">
        <is>
          <t>C4-061</t>
        </is>
      </c>
      <c r="B62" s="2" t="inlineStr">
        <is>
          <t>JHOVE</t>
        </is>
      </c>
      <c r="C62" s="2" t="inlineStr">
        <is>
          <t>https://github.com/openpreserve/jhove</t>
        </is>
      </c>
      <c r="D62" s="2" t="inlineStr">
        <is>
          <t>Ready</t>
        </is>
      </c>
      <c r="E62" s="2" t="inlineStr">
        <is>
          <t>github</t>
        </is>
      </c>
      <c r="F62" s="2" t="inlineStr">
        <is>
          <t>openpreserve/jhove</t>
        </is>
      </c>
      <c r="G62" s="2" t="inlineStr"/>
      <c r="H62" s="2" t="inlineStr"/>
      <c r="I62" s="2" t="inlineStr">
        <is>
          <t>yes</t>
        </is>
      </c>
      <c r="J62" s="2" t="inlineStr">
        <is>
          <t>software</t>
        </is>
      </c>
      <c r="K62" s="2" t="inlineStr">
        <is>
          <t>GitHub (same repo)</t>
        </is>
      </c>
      <c r="L62" s="2" t="inlineStr"/>
      <c r="M62" s="2" t="inlineStr">
        <is>
          <t>openpreserve/jhove</t>
        </is>
      </c>
      <c r="N62" s="2" t="inlineStr"/>
      <c r="O62" s="2" t="inlineStr"/>
      <c r="P62" s="2" t="inlineStr"/>
      <c r="Q62" s="2" t="inlineStr"/>
      <c r="R62" s="2" t="inlineStr"/>
      <c r="S62" s="2" t="inlineStr">
        <is>
          <t>openpreserve/jhove</t>
        </is>
      </c>
      <c r="T62" s="2" t="inlineStr">
        <is>
          <t>3</t>
        </is>
      </c>
      <c r="U62" s="2" t="inlineStr">
        <is>
          <t>3</t>
        </is>
      </c>
      <c r="V62" s="2" t="inlineStr">
        <is>
          <t>1</t>
        </is>
      </c>
      <c r="W62" s="2" t="inlineStr">
        <is>
          <t>2</t>
        </is>
      </c>
      <c r="X62" s="2" t="inlineStr">
        <is>
          <t>0</t>
        </is>
      </c>
      <c r="Y62" s="2" t="inlineStr">
        <is>
          <t>0.0</t>
        </is>
      </c>
      <c r="Z62" s="2" t="inlineStr">
        <is>
          <t>3</t>
        </is>
      </c>
      <c r="AA62" s="2" t="inlineStr">
        <is>
          <t>14.42</t>
        </is>
      </c>
      <c r="AB62" s="2" t="inlineStr">
        <is>
          <t>2.0</t>
        </is>
      </c>
      <c r="AC62" s="2" t="inlineStr">
        <is>
          <t>complete</t>
        </is>
      </c>
      <c r="AD62" s="2" t="inlineStr">
        <is>
          <t>6</t>
        </is>
      </c>
      <c r="AE62" s="2" t="inlineStr">
        <is>
          <t>2026-09-16</t>
        </is>
      </c>
      <c r="AF62" s="2" t="inlineStr">
        <is>
          <t>5</t>
        </is>
      </c>
      <c r="AG62" s="2" t="inlineStr">
        <is>
          <t>0</t>
        </is>
      </c>
      <c r="AH62" s="2" t="inlineStr">
        <is>
          <t>0</t>
        </is>
      </c>
      <c r="AI62" s="2" t="inlineStr">
        <is>
          <t>0</t>
        </is>
      </c>
      <c r="AJ62" s="2" t="inlineStr">
        <is>
          <t>66.67</t>
        </is>
      </c>
      <c r="AK62" s="2" t="inlineStr">
        <is>
          <t>100.0</t>
        </is>
      </c>
      <c r="AL62" s="2" t="inlineStr">
        <is>
          <t>144.46</t>
        </is>
      </c>
      <c r="AM62" s="2" t="inlineStr">
        <is>
          <t>12</t>
        </is>
      </c>
      <c r="AN62" s="2" t="inlineStr">
        <is>
          <t>0</t>
        </is>
      </c>
      <c r="AO62" s="2" t="inlineStr">
        <is>
          <t>15</t>
        </is>
      </c>
      <c r="AP62" s="2" t="inlineStr">
        <is>
          <t>170</t>
        </is>
      </c>
      <c r="AQ62" s="2" t="inlineStr">
        <is>
          <t>52.53</t>
        </is>
      </c>
      <c r="AR62" s="2" t="inlineStr">
        <is>
          <t>3</t>
        </is>
      </c>
      <c r="AS62" s="2" t="inlineStr">
        <is>
          <t>0</t>
        </is>
      </c>
      <c r="AT62" s="2" t="inlineStr">
        <is>
          <t>8</t>
        </is>
      </c>
      <c r="AU62" s="2" t="inlineStr">
        <is>
          <t>3</t>
        </is>
      </c>
      <c r="AV62" s="2" t="inlineStr">
        <is>
          <t>5</t>
        </is>
      </c>
      <c r="AW62" s="2" t="inlineStr">
        <is>
          <t>1</t>
        </is>
      </c>
      <c r="AX62" s="2" t="inlineStr">
        <is>
          <t>complete</t>
        </is>
      </c>
      <c r="AY62" s="2" t="inlineStr">
        <is>
          <t>0</t>
        </is>
      </c>
      <c r="AZ62" s="2" t="inlineStr">
        <is>
          <t>0.0</t>
        </is>
      </c>
      <c r="BA62" s="2" t="inlineStr">
        <is>
          <t>14</t>
        </is>
      </c>
      <c r="BB62" s="2" t="inlineStr">
        <is>
          <t>1</t>
        </is>
      </c>
      <c r="BC62" s="2" t="inlineStr">
        <is>
          <t>7</t>
        </is>
      </c>
      <c r="BD62" s="2" t="inlineStr"/>
      <c r="BE62" s="2" t="inlineStr">
        <is>
          <t>19</t>
        </is>
      </c>
      <c r="BF62" s="2" t="inlineStr">
        <is>
          <t>4</t>
        </is>
      </c>
      <c r="BG62" s="2" t="inlineStr">
        <is>
          <t>non-maintainer issues</t>
        </is>
      </c>
      <c r="BH62" s="2" t="inlineStr">
        <is>
          <t>0.4667</t>
        </is>
      </c>
      <c r="BI62" s="2" t="inlineStr">
        <is>
          <t>15</t>
        </is>
      </c>
      <c r="BJ62" s="2" t="inlineStr">
        <is>
          <t>7</t>
        </is>
      </c>
      <c r="BK62" s="2" t="inlineStr">
        <is>
          <t>8</t>
        </is>
      </c>
      <c r="BL62" s="2" t="inlineStr"/>
      <c r="BM62" s="2" t="inlineStr">
        <is>
          <t>3</t>
        </is>
      </c>
      <c r="BN62" s="2" t="n">
        <v>28.17</v>
      </c>
      <c r="BO62" s="2" t="n">
        <v>1</v>
      </c>
      <c r="BP62" s="2" t="n">
        <v>5.77</v>
      </c>
      <c r="BQ62" s="2" t="n">
        <v>1</v>
      </c>
      <c r="BR62" s="2" t="n">
        <v>100</v>
      </c>
      <c r="BS62" s="2" t="n">
        <v>1</v>
      </c>
      <c r="BT62" s="2" t="n">
        <v>0</v>
      </c>
      <c r="BU62" s="2" t="n">
        <v>1</v>
      </c>
      <c r="BV62" s="2" t="n">
        <v>31.7</v>
      </c>
      <c r="BW62" s="2" t="n">
        <v>1</v>
      </c>
      <c r="BX62" s="2" t="n">
        <v>33.33</v>
      </c>
      <c r="BY62" s="2" t="n">
        <v>1</v>
      </c>
      <c r="BZ62" s="2" t="n">
        <v>0</v>
      </c>
      <c r="CA62" s="2" t="n">
        <v>1</v>
      </c>
      <c r="CB62" s="2" t="n">
        <v>46.67</v>
      </c>
      <c r="CC62" s="2" t="n">
        <v>1</v>
      </c>
      <c r="CD62" s="2" t="n">
        <v>0</v>
      </c>
      <c r="CE62" s="2" t="n">
        <v>0</v>
      </c>
      <c r="CF62" s="2" t="n">
        <v>0</v>
      </c>
      <c r="CG62" s="2" t="n">
        <v>1</v>
      </c>
      <c r="CH62" s="2" t="n">
        <v>0</v>
      </c>
      <c r="CI62" s="2" t="n">
        <v>0</v>
      </c>
      <c r="CJ62" s="2" t="n">
        <v>43.36</v>
      </c>
      <c r="CK62" s="2" t="n">
        <v>1</v>
      </c>
      <c r="CL62" s="2" t="n">
        <v>34.87</v>
      </c>
      <c r="CM62" s="2" t="n">
        <v>1</v>
      </c>
      <c r="CN62" s="2" t="n">
        <v>24.91307692307692</v>
      </c>
      <c r="CO62" s="2" t="n">
        <v>11</v>
      </c>
      <c r="CP62" s="2" t="n">
        <v>0.8461538461538461</v>
      </c>
      <c r="CQ62" s="2" t="n">
        <v>29.44272727272727</v>
      </c>
      <c r="CR62" s="2" t="inlineStr"/>
      <c r="CS62" s="2" t="inlineStr"/>
      <c r="CT62" s="2" t="inlineStr"/>
      <c r="CU62" s="2" t="inlineStr"/>
    </row>
    <row r="63">
      <c r="A63" s="2" t="inlineStr">
        <is>
          <t>C4-062</t>
        </is>
      </c>
      <c r="B63" s="2" t="inlineStr">
        <is>
          <t>LA Referencia</t>
        </is>
      </c>
      <c r="C63" s="2" t="inlineStr">
        <is>
          <t>https://github.com/lareferencia/lareferencia-platform</t>
        </is>
      </c>
      <c r="D63" s="2" t="inlineStr">
        <is>
          <t>Ready</t>
        </is>
      </c>
      <c r="E63" s="2" t="inlineStr">
        <is>
          <t>github</t>
        </is>
      </c>
      <c r="F63" s="2" t="inlineStr">
        <is>
          <t>lareferencia/lareferencia-platform</t>
        </is>
      </c>
      <c r="G63" s="2" t="inlineStr"/>
      <c r="H63" s="2" t="inlineStr"/>
      <c r="I63" s="2" t="inlineStr">
        <is>
          <t>yes</t>
        </is>
      </c>
      <c r="J63" s="2" t="inlineStr">
        <is>
          <t>software</t>
        </is>
      </c>
      <c r="K63" s="2" t="inlineStr">
        <is>
          <t>GitHub (same repo)</t>
        </is>
      </c>
      <c r="L63" s="2" t="inlineStr"/>
      <c r="M63" s="2" t="inlineStr">
        <is>
          <t>lareferencia/lareferencia-platform</t>
        </is>
      </c>
      <c r="N63" s="2" t="inlineStr"/>
      <c r="O63" s="2" t="inlineStr"/>
      <c r="P63" s="2" t="inlineStr"/>
      <c r="Q63" s="2" t="inlineStr"/>
      <c r="R63" s="2" t="inlineStr"/>
      <c r="S63" s="2" t="inlineStr">
        <is>
          <t>lareferencia/lareferencia-platform</t>
        </is>
      </c>
      <c r="T63" s="2" t="inlineStr">
        <is>
          <t>12</t>
        </is>
      </c>
      <c r="U63" s="2" t="inlineStr">
        <is>
          <t>37</t>
        </is>
      </c>
      <c r="V63" s="2" t="inlineStr">
        <is>
          <t>1</t>
        </is>
      </c>
      <c r="W63" s="2" t="inlineStr">
        <is>
          <t>2</t>
        </is>
      </c>
      <c r="X63" s="2" t="inlineStr">
        <is>
          <t>13</t>
        </is>
      </c>
      <c r="Y63" s="2" t="inlineStr">
        <is>
          <t>0.06</t>
        </is>
      </c>
      <c r="Z63" s="2" t="inlineStr">
        <is>
          <t>5</t>
        </is>
      </c>
      <c r="AA63" s="2" t="inlineStr">
        <is>
          <t>0.23</t>
        </is>
      </c>
      <c r="AB63" s="2" t="inlineStr">
        <is>
          <t>1.9</t>
        </is>
      </c>
      <c r="AC63" s="2" t="inlineStr">
        <is>
          <t>complete</t>
        </is>
      </c>
      <c r="AD63" s="2" t="inlineStr">
        <is>
          <t>203</t>
        </is>
      </c>
      <c r="AE63" s="2" t="inlineStr">
        <is>
          <t>2026-10-11</t>
        </is>
      </c>
      <c r="AF63" s="2" t="inlineStr">
        <is>
          <t>12</t>
        </is>
      </c>
      <c r="AG63" s="2" t="inlineStr">
        <is>
          <t>0</t>
        </is>
      </c>
      <c r="AH63" s="2" t="inlineStr">
        <is>
          <t>1</t>
        </is>
      </c>
      <c r="AI63" s="2" t="inlineStr">
        <is>
          <t>6</t>
        </is>
      </c>
      <c r="AJ63" s="2" t="inlineStr">
        <is>
          <t>67.0</t>
        </is>
      </c>
      <c r="AK63" s="2" t="inlineStr">
        <is>
          <t>75.0</t>
        </is>
      </c>
      <c r="AL63" s="2" t="inlineStr">
        <is>
          <t>68.93</t>
        </is>
      </c>
      <c r="AM63" s="2" t="inlineStr">
        <is>
          <t>10</t>
        </is>
      </c>
      <c r="AN63" s="2" t="inlineStr">
        <is>
          <t>28</t>
        </is>
      </c>
      <c r="AO63" s="2" t="inlineStr">
        <is>
          <t>40</t>
        </is>
      </c>
      <c r="AP63" s="2" t="inlineStr">
        <is>
          <t>22</t>
        </is>
      </c>
      <c r="AQ63" s="2" t="inlineStr">
        <is>
          <t>2.17</t>
        </is>
      </c>
      <c r="AR63" s="2" t="inlineStr">
        <is>
          <t>3</t>
        </is>
      </c>
      <c r="AS63" s="2" t="inlineStr">
        <is>
          <t>1</t>
        </is>
      </c>
      <c r="AT63" s="2" t="inlineStr">
        <is>
          <t>4</t>
        </is>
      </c>
      <c r="AU63" s="2" t="inlineStr">
        <is>
          <t>3</t>
        </is>
      </c>
      <c r="AV63" s="2" t="inlineStr">
        <is>
          <t>0</t>
        </is>
      </c>
      <c r="AW63" s="2" t="inlineStr">
        <is>
          <t>1</t>
        </is>
      </c>
      <c r="AX63" s="2" t="inlineStr">
        <is>
          <t>complete</t>
        </is>
      </c>
      <c r="AY63" s="2" t="inlineStr">
        <is>
          <t>11</t>
        </is>
      </c>
      <c r="AZ63" s="2" t="inlineStr">
        <is>
          <t>0.7857</t>
        </is>
      </c>
      <c r="BA63" s="2" t="inlineStr">
        <is>
          <t>14</t>
        </is>
      </c>
      <c r="BB63" s="2" t="inlineStr">
        <is>
          <t>3</t>
        </is>
      </c>
      <c r="BC63" s="2" t="inlineStr">
        <is>
          <t>4</t>
        </is>
      </c>
      <c r="BD63" s="2" t="inlineStr"/>
      <c r="BE63" s="2" t="inlineStr">
        <is>
          <t>0</t>
        </is>
      </c>
      <c r="BF63" s="2" t="inlineStr">
        <is>
          <t>1</t>
        </is>
      </c>
      <c r="BG63" s="2" t="inlineStr">
        <is>
          <t>non-maintainer issues</t>
        </is>
      </c>
      <c r="BH63" s="2" t="inlineStr">
        <is>
          <t>0.75</t>
        </is>
      </c>
      <c r="BI63" s="2" t="inlineStr">
        <is>
          <t>12</t>
        </is>
      </c>
      <c r="BJ63" s="2" t="inlineStr">
        <is>
          <t>9</t>
        </is>
      </c>
      <c r="BK63" s="2" t="inlineStr">
        <is>
          <t>4</t>
        </is>
      </c>
      <c r="BL63" s="2" t="inlineStr"/>
      <c r="BM63" s="2" t="inlineStr">
        <is>
          <t>2</t>
        </is>
      </c>
      <c r="BN63" s="2" t="n">
        <v>76.98</v>
      </c>
      <c r="BO63" s="2" t="n">
        <v>1</v>
      </c>
      <c r="BP63" s="2" t="n">
        <v>71.15000000000001</v>
      </c>
      <c r="BQ63" s="2" t="n">
        <v>1</v>
      </c>
      <c r="BR63" s="2" t="n">
        <v>100</v>
      </c>
      <c r="BS63" s="2" t="n">
        <v>1</v>
      </c>
      <c r="BT63" s="2" t="n">
        <v>100</v>
      </c>
      <c r="BU63" s="2" t="n">
        <v>1</v>
      </c>
      <c r="BV63" s="2" t="n">
        <v>46.44</v>
      </c>
      <c r="BW63" s="2" t="n">
        <v>1</v>
      </c>
      <c r="BX63" s="2" t="n">
        <v>30.87</v>
      </c>
      <c r="BY63" s="2" t="n">
        <v>1</v>
      </c>
      <c r="BZ63" s="2" t="n">
        <v>25</v>
      </c>
      <c r="CA63" s="2" t="n">
        <v>1</v>
      </c>
      <c r="CB63" s="2" t="n">
        <v>75</v>
      </c>
      <c r="CC63" s="2" t="n">
        <v>1</v>
      </c>
      <c r="CD63" s="2" t="n">
        <v>0</v>
      </c>
      <c r="CE63" s="2" t="n">
        <v>0</v>
      </c>
      <c r="CF63" s="2" t="n">
        <v>78.56999999999999</v>
      </c>
      <c r="CG63" s="2" t="n">
        <v>1</v>
      </c>
      <c r="CH63" s="2" t="n">
        <v>0</v>
      </c>
      <c r="CI63" s="2" t="n">
        <v>0</v>
      </c>
      <c r="CJ63" s="2" t="n">
        <v>0</v>
      </c>
      <c r="CK63" s="2" t="n">
        <v>1</v>
      </c>
      <c r="CL63" s="2" t="n">
        <v>15.02</v>
      </c>
      <c r="CM63" s="2" t="n">
        <v>1</v>
      </c>
      <c r="CN63" s="2" t="n">
        <v>47.61769230769231</v>
      </c>
      <c r="CO63" s="2" t="n">
        <v>11</v>
      </c>
      <c r="CP63" s="2" t="n">
        <v>0.8461538461538461</v>
      </c>
      <c r="CQ63" s="2" t="n">
        <v>56.27545454545454</v>
      </c>
      <c r="CR63" s="2" t="inlineStr"/>
      <c r="CS63" s="2" t="inlineStr"/>
      <c r="CT63" s="2" t="inlineStr"/>
      <c r="CU63" s="2" t="inlineStr"/>
    </row>
    <row r="64">
      <c r="A64" s="2" t="inlineStr">
        <is>
          <t>C4-063</t>
        </is>
      </c>
      <c r="B64" s="2" t="inlineStr">
        <is>
          <t>Manifold</t>
        </is>
      </c>
      <c r="C64" s="2" t="inlineStr">
        <is>
          <t>https://github.com/ManifoldScholar/manifold</t>
        </is>
      </c>
      <c r="D64" s="2" t="inlineStr">
        <is>
          <t>Ready</t>
        </is>
      </c>
      <c r="E64" s="2" t="inlineStr">
        <is>
          <t>github</t>
        </is>
      </c>
      <c r="F64" s="2" t="inlineStr">
        <is>
          <t>ManifoldScholar/manifold</t>
        </is>
      </c>
      <c r="G64" s="2" t="inlineStr"/>
      <c r="H64" s="2" t="inlineStr"/>
      <c r="I64" s="2" t="inlineStr">
        <is>
          <t>yes</t>
        </is>
      </c>
      <c r="J64" s="2" t="inlineStr">
        <is>
          <t>software</t>
        </is>
      </c>
      <c r="K64" s="2" t="inlineStr">
        <is>
          <t>GitHub (same repo)</t>
        </is>
      </c>
      <c r="L64" s="2" t="inlineStr"/>
      <c r="M64" s="2" t="inlineStr">
        <is>
          <t>ManifoldScholar/manifold</t>
        </is>
      </c>
      <c r="N64" s="2" t="inlineStr"/>
      <c r="O64" s="2" t="inlineStr"/>
      <c r="P64" s="2" t="inlineStr"/>
      <c r="Q64" s="2" t="inlineStr"/>
      <c r="R64" s="2" t="inlineStr"/>
      <c r="S64" s="2" t="inlineStr">
        <is>
          <t>ManifoldScholar/manifold</t>
        </is>
      </c>
      <c r="T64" s="2" t="inlineStr">
        <is>
          <t>12</t>
        </is>
      </c>
      <c r="U64" s="2" t="inlineStr">
        <is>
          <t>42</t>
        </is>
      </c>
      <c r="V64" s="2" t="inlineStr">
        <is>
          <t>2</t>
        </is>
      </c>
      <c r="W64" s="2" t="inlineStr">
        <is>
          <t>4</t>
        </is>
      </c>
      <c r="X64" s="2" t="inlineStr">
        <is>
          <t>43</t>
        </is>
      </c>
      <c r="Y64" s="2" t="inlineStr">
        <is>
          <t>0.107</t>
        </is>
      </c>
      <c r="Z64" s="2" t="inlineStr">
        <is>
          <t>7</t>
        </is>
      </c>
      <c r="AA64" s="2" t="inlineStr">
        <is>
          <t>9.25</t>
        </is>
      </c>
      <c r="AB64" s="2" t="inlineStr">
        <is>
          <t>4.83</t>
        </is>
      </c>
      <c r="AC64" s="2" t="inlineStr">
        <is>
          <t>complete</t>
        </is>
      </c>
      <c r="AD64" s="2" t="inlineStr">
        <is>
          <t>357</t>
        </is>
      </c>
      <c r="AE64" s="2" t="inlineStr">
        <is>
          <t>2026-10-13</t>
        </is>
      </c>
      <c r="AF64" s="2" t="inlineStr">
        <is>
          <t>0</t>
        </is>
      </c>
      <c r="AG64" s="2" t="inlineStr">
        <is>
          <t>0</t>
        </is>
      </c>
      <c r="AH64" s="2" t="inlineStr">
        <is>
          <t>5</t>
        </is>
      </c>
      <c r="AI64" s="2" t="inlineStr">
        <is>
          <t>13</t>
        </is>
      </c>
      <c r="AJ64" s="2" t="inlineStr">
        <is>
          <t>31.65</t>
        </is>
      </c>
      <c r="AK64" s="2" t="inlineStr">
        <is>
          <t>93.43</t>
        </is>
      </c>
      <c r="AL64" s="2" t="inlineStr">
        <is>
          <t>0.73</t>
        </is>
      </c>
      <c r="AM64" s="2" t="inlineStr">
        <is>
          <t>1</t>
        </is>
      </c>
      <c r="AN64" s="2" t="inlineStr">
        <is>
          <t>0</t>
        </is>
      </c>
      <c r="AO64" s="2" t="inlineStr">
        <is>
          <t>9</t>
        </is>
      </c>
      <c r="AP64" s="2" t="inlineStr">
        <is>
          <t>81</t>
        </is>
      </c>
      <c r="AQ64" s="2" t="inlineStr">
        <is>
          <t>19.04</t>
        </is>
      </c>
      <c r="AR64" s="2" t="inlineStr">
        <is>
          <t>87</t>
        </is>
      </c>
      <c r="AS64" s="2" t="inlineStr">
        <is>
          <t>9</t>
        </is>
      </c>
      <c r="AT64" s="2" t="inlineStr">
        <is>
          <t>138</t>
        </is>
      </c>
      <c r="AU64" s="2" t="inlineStr">
        <is>
          <t>128</t>
        </is>
      </c>
      <c r="AV64" s="2" t="inlineStr">
        <is>
          <t>1</t>
        </is>
      </c>
      <c r="AW64" s="2" t="inlineStr">
        <is>
          <t>90</t>
        </is>
      </c>
      <c r="AX64" s="2" t="inlineStr">
        <is>
          <t>complete</t>
        </is>
      </c>
      <c r="AY64" s="2" t="inlineStr">
        <is>
          <t>1</t>
        </is>
      </c>
      <c r="AZ64" s="2" t="inlineStr"/>
      <c r="BA64" s="2" t="inlineStr">
        <is>
          <t>7</t>
        </is>
      </c>
      <c r="BB64" s="2" t="inlineStr">
        <is>
          <t>117</t>
        </is>
      </c>
      <c r="BC64" s="2" t="inlineStr">
        <is>
          <t>131</t>
        </is>
      </c>
      <c r="BD64" s="2" t="inlineStr">
        <is>
          <t>0.8931</t>
        </is>
      </c>
      <c r="BE64" s="2" t="inlineStr">
        <is>
          <t>18</t>
        </is>
      </c>
      <c r="BF64" s="2" t="inlineStr">
        <is>
          <t>1</t>
        </is>
      </c>
      <c r="BG64" s="2" t="inlineStr">
        <is>
          <t>all issues (too few non-maintainer)</t>
        </is>
      </c>
      <c r="BH64" s="2" t="inlineStr"/>
      <c r="BI64" s="2" t="inlineStr">
        <is>
          <t>9</t>
        </is>
      </c>
      <c r="BJ64" s="2" t="inlineStr">
        <is>
          <t>1</t>
        </is>
      </c>
      <c r="BK64" s="2" t="inlineStr">
        <is>
          <t>138</t>
        </is>
      </c>
      <c r="BL64" s="2" t="inlineStr">
        <is>
          <t>0.529</t>
        </is>
      </c>
      <c r="BM64" s="2" t="inlineStr">
        <is>
          <t>73</t>
        </is>
      </c>
      <c r="BN64" s="2" t="n">
        <v>85.12</v>
      </c>
      <c r="BO64" s="2" t="n">
        <v>1</v>
      </c>
      <c r="BP64" s="2" t="n">
        <v>80.77</v>
      </c>
      <c r="BQ64" s="2" t="n">
        <v>1</v>
      </c>
      <c r="BR64" s="2" t="n">
        <v>100</v>
      </c>
      <c r="BS64" s="2" t="n">
        <v>1</v>
      </c>
      <c r="BT64" s="2" t="n">
        <v>100</v>
      </c>
      <c r="BU64" s="2" t="n">
        <v>1</v>
      </c>
      <c r="BV64" s="2" t="n">
        <v>56.15</v>
      </c>
      <c r="BW64" s="2" t="n">
        <v>1</v>
      </c>
      <c r="BX64" s="2" t="n">
        <v>75.73</v>
      </c>
      <c r="BY64" s="2" t="n">
        <v>1</v>
      </c>
      <c r="BZ64" s="2" t="n">
        <v>100</v>
      </c>
      <c r="CA64" s="2" t="n">
        <v>1</v>
      </c>
      <c r="CB64" s="2" t="n">
        <v>0</v>
      </c>
      <c r="CC64" s="2" t="n">
        <v>0</v>
      </c>
      <c r="CD64" s="2" t="n">
        <v>52.9</v>
      </c>
      <c r="CE64" s="2" t="n">
        <v>1</v>
      </c>
      <c r="CF64" s="2" t="n">
        <v>0</v>
      </c>
      <c r="CG64" s="2" t="n">
        <v>0</v>
      </c>
      <c r="CH64" s="2" t="n">
        <v>89.31</v>
      </c>
      <c r="CI64" s="2" t="n">
        <v>1</v>
      </c>
      <c r="CJ64" s="2" t="n">
        <v>42.62</v>
      </c>
      <c r="CK64" s="2" t="n">
        <v>1</v>
      </c>
      <c r="CL64" s="2" t="n">
        <v>15.02</v>
      </c>
      <c r="CM64" s="2" t="n">
        <v>1</v>
      </c>
      <c r="CN64" s="2" t="n">
        <v>61.35538461538462</v>
      </c>
      <c r="CO64" s="2" t="n">
        <v>11</v>
      </c>
      <c r="CP64" s="2" t="n">
        <v>0.8461538461538461</v>
      </c>
      <c r="CQ64" s="2" t="n">
        <v>72.5109090909091</v>
      </c>
      <c r="CR64" s="2" t="inlineStr"/>
      <c r="CS64" s="2" t="inlineStr"/>
      <c r="CT64" s="2" t="inlineStr"/>
      <c r="CU64" s="2" t="inlineStr"/>
    </row>
    <row r="65">
      <c r="A65" s="2" t="inlineStr">
        <is>
          <t>C4-064</t>
        </is>
      </c>
      <c r="B65" s="2" t="inlineStr">
        <is>
          <t>medRxiv</t>
        </is>
      </c>
      <c r="C65" s="2" t="inlineStr">
        <is>
          <t>https://github.com/ropensci/medrxivr/</t>
        </is>
      </c>
      <c r="D65" s="2" t="inlineStr">
        <is>
          <t>Not assessable</t>
        </is>
      </c>
      <c r="E65" s="2" t="inlineStr"/>
      <c r="F65" s="2" t="inlineStr"/>
      <c r="G65" s="2" t="inlineStr"/>
      <c r="H65" s="2" t="inlineStr"/>
      <c r="I65" s="2" t="inlineStr">
        <is>
          <t>no</t>
        </is>
      </c>
      <c r="J65" s="2" t="inlineStr">
        <is>
          <t>not-assessable</t>
        </is>
      </c>
      <c r="K65" s="2" t="inlineStr"/>
      <c r="L65" s="2" t="inlineStr">
        <is>
          <t>Listed repo is an rOpenSci R client; medRxiv platform code is not public</t>
        </is>
      </c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inlineStr"/>
      <c r="CS65" s="2" t="inlineStr"/>
      <c r="CT65" s="2" t="inlineStr"/>
      <c r="CU65" s="2" t="inlineStr"/>
    </row>
    <row r="66">
      <c r="A66" s="2" t="inlineStr">
        <is>
          <t>C4-065</t>
        </is>
      </c>
      <c r="B66" s="2" t="inlineStr">
        <is>
          <t>Metadata Encoding and Transmission Standard (METS)</t>
        </is>
      </c>
      <c r="C66" s="2" t="inlineStr">
        <is>
          <t>https://github.com/mets</t>
        </is>
      </c>
      <c r="D66" s="2" t="inlineStr">
        <is>
          <t>Resolved URL -&gt; scoreable standard repo</t>
        </is>
      </c>
      <c r="E66" s="2" t="inlineStr">
        <is>
          <t>github</t>
        </is>
      </c>
      <c r="F66" s="2" t="inlineStr">
        <is>
          <t>mets/METS-schema</t>
        </is>
      </c>
      <c r="G66" s="2" t="inlineStr"/>
      <c r="H66" s="2" t="inlineStr"/>
      <c r="I66" s="2" t="inlineStr">
        <is>
          <t>yes</t>
        </is>
      </c>
      <c r="J66" s="2" t="inlineStr">
        <is>
          <t>standard</t>
        </is>
      </c>
      <c r="K66" s="2" t="inlineStr">
        <is>
          <t>GitHub (same repo)</t>
        </is>
      </c>
      <c r="L66" s="2" t="inlineStr">
        <is>
          <t>XML schema/standard; no schema commits in window | Restored as scoreable schema repository per resolved list; still marked as standard.</t>
        </is>
      </c>
      <c r="M66" s="2" t="inlineStr">
        <is>
          <t>mets/METS-schema</t>
        </is>
      </c>
      <c r="N66" s="2" t="inlineStr">
        <is>
          <t>yes</t>
        </is>
      </c>
      <c r="O66" s="2" t="inlineStr">
        <is>
          <t>mets/METS-schema</t>
        </is>
      </c>
      <c r="P66" s="2" t="inlineStr">
        <is>
          <t>GitHub</t>
        </is>
      </c>
      <c r="Q66" s="2" t="inlineStr">
        <is>
          <t>applied</t>
        </is>
      </c>
      <c r="R66" s="2" t="inlineStr">
        <is>
          <t>Restored as scoreable schema repository per resolved list; still marked as standard.</t>
        </is>
      </c>
      <c r="S66" s="2" t="inlineStr">
        <is>
          <t>mets/METS-schema</t>
        </is>
      </c>
      <c r="T66" s="2" t="inlineStr">
        <is>
          <t>0</t>
        </is>
      </c>
      <c r="U66" s="2" t="inlineStr">
        <is>
          <t>0</t>
        </is>
      </c>
      <c r="V66" s="2" t="inlineStr"/>
      <c r="W66" s="2" t="inlineStr"/>
      <c r="X66" s="2" t="inlineStr">
        <is>
          <t>0</t>
        </is>
      </c>
      <c r="Y66" s="2" t="inlineStr"/>
      <c r="Z66" s="2" t="inlineStr">
        <is>
          <t>0</t>
        </is>
      </c>
      <c r="AA66" s="2" t="inlineStr"/>
      <c r="AB66" s="2" t="inlineStr"/>
      <c r="AC66" s="2" t="inlineStr">
        <is>
          <t>complete</t>
        </is>
      </c>
      <c r="AD66" s="2" t="inlineStr">
        <is>
          <t>0</t>
        </is>
      </c>
      <c r="AE66" s="2" t="inlineStr">
        <is>
          <t>2025-03-12</t>
        </is>
      </c>
      <c r="AF66" s="2" t="inlineStr">
        <is>
          <t>0</t>
        </is>
      </c>
      <c r="AG66" s="2" t="inlineStr">
        <is>
          <t>0</t>
        </is>
      </c>
      <c r="AH66" s="2" t="inlineStr">
        <is>
          <t>0</t>
        </is>
      </c>
      <c r="AI66" s="2" t="inlineStr">
        <is>
          <t>0</t>
        </is>
      </c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n">
        <v>0</v>
      </c>
      <c r="BO66" s="2" t="n">
        <v>1</v>
      </c>
      <c r="BP66" s="2" t="n">
        <v>0</v>
      </c>
      <c r="BQ66" s="2" t="n">
        <v>1</v>
      </c>
      <c r="BR66" s="2" t="n">
        <v>0</v>
      </c>
      <c r="BS66" s="2" t="n">
        <v>1</v>
      </c>
      <c r="BT66" s="2" t="n">
        <v>0</v>
      </c>
      <c r="BU66" s="2" t="n">
        <v>1</v>
      </c>
      <c r="BV66" s="2" t="n">
        <v>0</v>
      </c>
      <c r="BW66" s="2" t="n">
        <v>1</v>
      </c>
      <c r="BX66" s="2" t="n">
        <v>0</v>
      </c>
      <c r="BY66" s="2" t="n">
        <v>1</v>
      </c>
      <c r="BZ66" s="2" t="n">
        <v>0</v>
      </c>
      <c r="CA66" s="2" t="n">
        <v>1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7</v>
      </c>
      <c r="CP66" s="2" t="n">
        <v>0.5384615384615384</v>
      </c>
      <c r="CQ66" s="2" t="n">
        <v>0</v>
      </c>
      <c r="CR66" s="2" t="inlineStr"/>
      <c r="CS66" s="2" t="inlineStr"/>
      <c r="CT66" s="2" t="inlineStr"/>
      <c r="CU66" s="2" t="inlineStr"/>
    </row>
    <row r="67">
      <c r="A67" s="2" t="inlineStr">
        <is>
          <t>C4-066</t>
        </is>
      </c>
      <c r="B67" s="2" t="inlineStr">
        <is>
          <t>Mirador</t>
        </is>
      </c>
      <c r="C67" s="2" t="inlineStr">
        <is>
          <t>https://github.com/projectmirador/mirador</t>
        </is>
      </c>
      <c r="D67" s="2" t="inlineStr">
        <is>
          <t>Ready</t>
        </is>
      </c>
      <c r="E67" s="2" t="inlineStr">
        <is>
          <t>github</t>
        </is>
      </c>
      <c r="F67" s="2" t="inlineStr">
        <is>
          <t>projectmirador/mirador</t>
        </is>
      </c>
      <c r="G67" s="2" t="inlineStr"/>
      <c r="H67" s="2" t="inlineStr"/>
      <c r="I67" s="2" t="inlineStr">
        <is>
          <t>yes</t>
        </is>
      </c>
      <c r="J67" s="2" t="inlineStr">
        <is>
          <t>software</t>
        </is>
      </c>
      <c r="K67" s="2" t="inlineStr">
        <is>
          <t>GitHub (same repo)</t>
        </is>
      </c>
      <c r="L67" s="2" t="inlineStr"/>
      <c r="M67" s="2" t="inlineStr">
        <is>
          <t>projectmirador/mirador</t>
        </is>
      </c>
      <c r="N67" s="2" t="inlineStr"/>
      <c r="O67" s="2" t="inlineStr"/>
      <c r="P67" s="2" t="inlineStr"/>
      <c r="Q67" s="2" t="inlineStr"/>
      <c r="R67" s="2" t="inlineStr"/>
      <c r="S67" s="2" t="inlineStr">
        <is>
          <t>projectmirador/mirador</t>
        </is>
      </c>
      <c r="T67" s="2" t="inlineStr">
        <is>
          <t>11</t>
        </is>
      </c>
      <c r="U67" s="2" t="inlineStr">
        <is>
          <t>30</t>
        </is>
      </c>
      <c r="V67" s="2" t="inlineStr">
        <is>
          <t>1</t>
        </is>
      </c>
      <c r="W67" s="2" t="inlineStr">
        <is>
          <t>4</t>
        </is>
      </c>
      <c r="X67" s="2" t="inlineStr">
        <is>
          <t>27</t>
        </is>
      </c>
      <c r="Y67" s="2" t="inlineStr">
        <is>
          <t>0.108</t>
        </is>
      </c>
      <c r="Z67" s="2" t="inlineStr">
        <is>
          <t>18</t>
        </is>
      </c>
      <c r="AA67" s="2" t="inlineStr">
        <is>
          <t>0.12</t>
        </is>
      </c>
      <c r="AB67" s="2" t="inlineStr">
        <is>
          <t>3.11</t>
        </is>
      </c>
      <c r="AC67" s="2" t="inlineStr">
        <is>
          <t>complete</t>
        </is>
      </c>
      <c r="AD67" s="2" t="inlineStr">
        <is>
          <t>224</t>
        </is>
      </c>
      <c r="AE67" s="2" t="inlineStr">
        <is>
          <t>2026-10-13</t>
        </is>
      </c>
      <c r="AF67" s="2" t="inlineStr">
        <is>
          <t>187</t>
        </is>
      </c>
      <c r="AG67" s="2" t="inlineStr">
        <is>
          <t>2</t>
        </is>
      </c>
      <c r="AH67" s="2" t="inlineStr">
        <is>
          <t>2</t>
        </is>
      </c>
      <c r="AI67" s="2" t="inlineStr">
        <is>
          <t>8</t>
        </is>
      </c>
      <c r="AJ67" s="2" t="inlineStr">
        <is>
          <t>52.68</t>
        </is>
      </c>
      <c r="AK67" s="2" t="inlineStr">
        <is>
          <t>80.71</t>
        </is>
      </c>
      <c r="AL67" s="2" t="inlineStr">
        <is>
          <t>84.84</t>
        </is>
      </c>
      <c r="AM67" s="2" t="inlineStr">
        <is>
          <t>29</t>
        </is>
      </c>
      <c r="AN67" s="2" t="inlineStr">
        <is>
          <t>70</t>
        </is>
      </c>
      <c r="AO67" s="2" t="inlineStr">
        <is>
          <t>99</t>
        </is>
      </c>
      <c r="AP67" s="2" t="inlineStr">
        <is>
          <t>162</t>
        </is>
      </c>
      <c r="AQ67" s="2" t="inlineStr">
        <is>
          <t>16.1</t>
        </is>
      </c>
      <c r="AR67" s="2" t="inlineStr">
        <is>
          <t>187</t>
        </is>
      </c>
      <c r="AS67" s="2" t="inlineStr">
        <is>
          <t>38</t>
        </is>
      </c>
      <c r="AT67" s="2" t="inlineStr">
        <is>
          <t>231</t>
        </is>
      </c>
      <c r="AU67" s="2" t="inlineStr">
        <is>
          <t>159</t>
        </is>
      </c>
      <c r="AV67" s="2" t="inlineStr">
        <is>
          <t>34</t>
        </is>
      </c>
      <c r="AW67" s="2" t="inlineStr">
        <is>
          <t>15</t>
        </is>
      </c>
      <c r="AX67" s="2" t="inlineStr">
        <is>
          <t>complete</t>
        </is>
      </c>
      <c r="AY67" s="2" t="inlineStr">
        <is>
          <t>11</t>
        </is>
      </c>
      <c r="AZ67" s="2" t="inlineStr">
        <is>
          <t>0.2558</t>
        </is>
      </c>
      <c r="BA67" s="2" t="inlineStr">
        <is>
          <t>43</t>
        </is>
      </c>
      <c r="BB67" s="2" t="inlineStr">
        <is>
          <t>131</t>
        </is>
      </c>
      <c r="BC67" s="2" t="inlineStr">
        <is>
          <t>182</t>
        </is>
      </c>
      <c r="BD67" s="2" t="inlineStr">
        <is>
          <t>0.7198</t>
        </is>
      </c>
      <c r="BE67" s="2" t="inlineStr">
        <is>
          <t>39</t>
        </is>
      </c>
      <c r="BF67" s="2" t="inlineStr">
        <is>
          <t>25</t>
        </is>
      </c>
      <c r="BG67" s="2" t="inlineStr">
        <is>
          <t>non-maintainer issues</t>
        </is>
      </c>
      <c r="BH67" s="2" t="inlineStr">
        <is>
          <t>0.5172</t>
        </is>
      </c>
      <c r="BI67" s="2" t="inlineStr">
        <is>
          <t>29</t>
        </is>
      </c>
      <c r="BJ67" s="2" t="inlineStr">
        <is>
          <t>15</t>
        </is>
      </c>
      <c r="BK67" s="2" t="inlineStr">
        <is>
          <t>217</t>
        </is>
      </c>
      <c r="BL67" s="2" t="inlineStr">
        <is>
          <t>0.6544</t>
        </is>
      </c>
      <c r="BM67" s="2" t="inlineStr">
        <is>
          <t>142</t>
        </is>
      </c>
      <c r="BN67" s="2" t="n">
        <v>78.39</v>
      </c>
      <c r="BO67" s="2" t="n">
        <v>1</v>
      </c>
      <c r="BP67" s="2" t="n">
        <v>57.69</v>
      </c>
      <c r="BQ67" s="2" t="n">
        <v>1</v>
      </c>
      <c r="BR67" s="2" t="n">
        <v>100</v>
      </c>
      <c r="BS67" s="2" t="n">
        <v>1</v>
      </c>
      <c r="BT67" s="2" t="n">
        <v>100</v>
      </c>
      <c r="BU67" s="2" t="n">
        <v>1</v>
      </c>
      <c r="BV67" s="2" t="n">
        <v>83.40000000000001</v>
      </c>
      <c r="BW67" s="2" t="n">
        <v>1</v>
      </c>
      <c r="BX67" s="2" t="n">
        <v>54.56</v>
      </c>
      <c r="BY67" s="2" t="n">
        <v>1</v>
      </c>
      <c r="BZ67" s="2" t="n">
        <v>50</v>
      </c>
      <c r="CA67" s="2" t="n">
        <v>1</v>
      </c>
      <c r="CB67" s="2" t="n">
        <v>51.72</v>
      </c>
      <c r="CC67" s="2" t="n">
        <v>1</v>
      </c>
      <c r="CD67" s="2" t="n">
        <v>65.44</v>
      </c>
      <c r="CE67" s="2" t="n">
        <v>1</v>
      </c>
      <c r="CF67" s="2" t="n">
        <v>25.58</v>
      </c>
      <c r="CG67" s="2" t="n">
        <v>1</v>
      </c>
      <c r="CH67" s="2" t="n">
        <v>71.98</v>
      </c>
      <c r="CI67" s="2" t="n">
        <v>1</v>
      </c>
      <c r="CJ67" s="2" t="n">
        <v>53.39</v>
      </c>
      <c r="CK67" s="2" t="n">
        <v>1</v>
      </c>
      <c r="CL67" s="2" t="n">
        <v>70.59999999999999</v>
      </c>
      <c r="CM67" s="2" t="n">
        <v>1</v>
      </c>
      <c r="CN67" s="2" t="n">
        <v>66.36538461538461</v>
      </c>
      <c r="CO67" s="2" t="n">
        <v>13</v>
      </c>
      <c r="CP67" s="2" t="n">
        <v>1</v>
      </c>
      <c r="CQ67" s="2" t="n">
        <v>66.36538461538461</v>
      </c>
      <c r="CR67" s="2" t="inlineStr"/>
      <c r="CS67" s="2" t="inlineStr"/>
      <c r="CT67" s="2" t="inlineStr"/>
      <c r="CU67" s="2" t="inlineStr"/>
    </row>
    <row r="68">
      <c r="A68" s="2" t="inlineStr">
        <is>
          <t>C4-067</t>
        </is>
      </c>
      <c r="B68" s="2" t="inlineStr">
        <is>
          <t>Mukurtu CMS</t>
        </is>
      </c>
      <c r="C68" s="2" t="inlineStr">
        <is>
          <t>https://github.com/MukurtuCMS/mukurtucms</t>
        </is>
      </c>
      <c r="D68" s="2" t="inlineStr">
        <is>
          <t>Ready</t>
        </is>
      </c>
      <c r="E68" s="2" t="inlineStr">
        <is>
          <t>github</t>
        </is>
      </c>
      <c r="F68" s="2" t="inlineStr">
        <is>
          <t>MukurtuCMS/mukurtucms</t>
        </is>
      </c>
      <c r="G68" s="2" t="inlineStr"/>
      <c r="H68" s="2" t="inlineStr"/>
      <c r="I68" s="2" t="inlineStr">
        <is>
          <t>yes</t>
        </is>
      </c>
      <c r="J68" s="2" t="inlineStr">
        <is>
          <t>software</t>
        </is>
      </c>
      <c r="K68" s="2" t="inlineStr">
        <is>
          <t>GitHub (same repo)</t>
        </is>
      </c>
      <c r="L68" s="2" t="inlineStr"/>
      <c r="M68" s="2" t="inlineStr">
        <is>
          <t>MukurtuCMS/mukurtucms</t>
        </is>
      </c>
      <c r="N68" s="2" t="inlineStr"/>
      <c r="O68" s="2" t="inlineStr"/>
      <c r="P68" s="2" t="inlineStr"/>
      <c r="Q68" s="2" t="inlineStr"/>
      <c r="R68" s="2" t="inlineStr"/>
      <c r="S68" s="2" t="inlineStr">
        <is>
          <t>MukurtuCMS/mukurtucms</t>
        </is>
      </c>
      <c r="T68" s="2" t="inlineStr">
        <is>
          <t>2</t>
        </is>
      </c>
      <c r="U68" s="2" t="inlineStr">
        <is>
          <t>3</t>
        </is>
      </c>
      <c r="V68" s="2" t="inlineStr">
        <is>
          <t>1</t>
        </is>
      </c>
      <c r="W68" s="2" t="inlineStr">
        <is>
          <t>1</t>
        </is>
      </c>
      <c r="X68" s="2" t="inlineStr">
        <is>
          <t>0</t>
        </is>
      </c>
      <c r="Y68" s="2" t="inlineStr">
        <is>
          <t>0.0</t>
        </is>
      </c>
      <c r="Z68" s="2" t="inlineStr">
        <is>
          <t>1</t>
        </is>
      </c>
      <c r="AA68" s="2" t="inlineStr">
        <is>
          <t>317.15</t>
        </is>
      </c>
      <c r="AB68" s="2" t="inlineStr">
        <is>
          <t>1.0</t>
        </is>
      </c>
      <c r="AC68" s="2" t="inlineStr">
        <is>
          <t>complete</t>
        </is>
      </c>
      <c r="AD68" s="2" t="inlineStr">
        <is>
          <t>4</t>
        </is>
      </c>
      <c r="AE68" s="2" t="inlineStr">
        <is>
          <t>2025-11-17</t>
        </is>
      </c>
      <c r="AF68" s="2" t="inlineStr">
        <is>
          <t>1</t>
        </is>
      </c>
      <c r="AG68" s="2" t="inlineStr">
        <is>
          <t>0</t>
        </is>
      </c>
      <c r="AH68" s="2" t="inlineStr">
        <is>
          <t>0</t>
        </is>
      </c>
      <c r="AI68" s="2" t="inlineStr">
        <is>
          <t>0</t>
        </is>
      </c>
      <c r="AJ68" s="2" t="inlineStr">
        <is>
          <t>100.0</t>
        </is>
      </c>
      <c r="AK68" s="2" t="inlineStr">
        <is>
          <t>100.0</t>
        </is>
      </c>
      <c r="AL68" s="2" t="inlineStr"/>
      <c r="AM68" s="2" t="inlineStr">
        <is>
          <t>0</t>
        </is>
      </c>
      <c r="AN68" s="2" t="inlineStr">
        <is>
          <t>0</t>
        </is>
      </c>
      <c r="AO68" s="2" t="inlineStr">
        <is>
          <t>1</t>
        </is>
      </c>
      <c r="AP68" s="2" t="inlineStr">
        <is>
          <t>90</t>
        </is>
      </c>
      <c r="AQ68" s="2" t="inlineStr"/>
      <c r="AR68" s="2" t="inlineStr">
        <is>
          <t>0</t>
        </is>
      </c>
      <c r="AS68" s="2" t="inlineStr">
        <is>
          <t>0</t>
        </is>
      </c>
      <c r="AT68" s="2" t="inlineStr">
        <is>
          <t>1</t>
        </is>
      </c>
      <c r="AU68" s="2" t="inlineStr">
        <is>
          <t>1</t>
        </is>
      </c>
      <c r="AV68" s="2" t="inlineStr">
        <is>
          <t>0</t>
        </is>
      </c>
      <c r="AW68" s="2" t="inlineStr">
        <is>
          <t>1</t>
        </is>
      </c>
      <c r="AX68" s="2" t="inlineStr">
        <is>
          <t>complete</t>
        </is>
      </c>
      <c r="AY68" s="2" t="inlineStr">
        <is>
          <t>0</t>
        </is>
      </c>
      <c r="AZ68" s="2" t="inlineStr"/>
      <c r="BA68" s="2" t="inlineStr">
        <is>
          <t>0</t>
        </is>
      </c>
      <c r="BB68" s="2" t="inlineStr">
        <is>
          <t>1</t>
        </is>
      </c>
      <c r="BC68" s="2" t="inlineStr">
        <is>
          <t>1</t>
        </is>
      </c>
      <c r="BD68" s="2" t="inlineStr"/>
      <c r="BE68" s="2" t="inlineStr">
        <is>
          <t>8</t>
        </is>
      </c>
      <c r="BF68" s="2" t="inlineStr">
        <is>
          <t>2</t>
        </is>
      </c>
      <c r="BG68" s="2" t="inlineStr">
        <is>
          <t>all issues (too few non-maintainer)</t>
        </is>
      </c>
      <c r="BH68" s="2" t="inlineStr"/>
      <c r="BI68" s="2" t="inlineStr">
        <is>
          <t>1</t>
        </is>
      </c>
      <c r="BJ68" s="2" t="inlineStr">
        <is>
          <t>0</t>
        </is>
      </c>
      <c r="BK68" s="2" t="inlineStr">
        <is>
          <t>1</t>
        </is>
      </c>
      <c r="BL68" s="2" t="inlineStr"/>
      <c r="BM68" s="2" t="inlineStr">
        <is>
          <t>0</t>
        </is>
      </c>
      <c r="BN68" s="2" t="n">
        <v>23.3</v>
      </c>
      <c r="BO68" s="2" t="n">
        <v>1</v>
      </c>
      <c r="BP68" s="2" t="n">
        <v>5.77</v>
      </c>
      <c r="BQ68" s="2" t="n">
        <v>1</v>
      </c>
      <c r="BR68" s="2" t="n">
        <v>14.28</v>
      </c>
      <c r="BS68" s="2" t="n">
        <v>1</v>
      </c>
      <c r="BT68" s="2" t="n">
        <v>0</v>
      </c>
      <c r="BU68" s="2" t="n">
        <v>1</v>
      </c>
      <c r="BV68" s="2" t="n">
        <v>0</v>
      </c>
      <c r="BW68" s="2" t="n">
        <v>1</v>
      </c>
      <c r="BX68" s="2" t="n">
        <v>0</v>
      </c>
      <c r="BY68" s="2" t="n">
        <v>1</v>
      </c>
      <c r="BZ68" s="2" t="n">
        <v>0</v>
      </c>
      <c r="CA68" s="2" t="n">
        <v>1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31.8</v>
      </c>
      <c r="CK68" s="2" t="n">
        <v>1</v>
      </c>
      <c r="CL68" s="2" t="n">
        <v>23.8</v>
      </c>
      <c r="CM68" s="2" t="n">
        <v>1</v>
      </c>
      <c r="CN68" s="2" t="n">
        <v>7.611538461538462</v>
      </c>
      <c r="CO68" s="2" t="n">
        <v>9</v>
      </c>
      <c r="CP68" s="2" t="n">
        <v>0.6923076923076923</v>
      </c>
      <c r="CQ68" s="2" t="n">
        <v>10.99444444444445</v>
      </c>
      <c r="CR68" s="2" t="inlineStr"/>
      <c r="CS68" s="2" t="inlineStr"/>
      <c r="CT68" s="2" t="inlineStr"/>
      <c r="CU68" s="2" t="inlineStr"/>
    </row>
    <row r="69">
      <c r="A69" s="2" t="inlineStr">
        <is>
          <t>C4-068</t>
        </is>
      </c>
      <c r="B69" s="2" t="inlineStr">
        <is>
          <t>MyCoRe</t>
        </is>
      </c>
      <c r="C69" s="2" t="inlineStr">
        <is>
          <t>https://github.com/MyCoRe-Org/mycore</t>
        </is>
      </c>
      <c r="D69" s="2" t="inlineStr">
        <is>
          <t>Ready</t>
        </is>
      </c>
      <c r="E69" s="2" t="inlineStr">
        <is>
          <t>github</t>
        </is>
      </c>
      <c r="F69" s="2" t="inlineStr">
        <is>
          <t>MyCoRe-Org/mycore</t>
        </is>
      </c>
      <c r="G69" s="2" t="inlineStr"/>
      <c r="H69" s="2" t="inlineStr"/>
      <c r="I69" s="2" t="inlineStr">
        <is>
          <t>yes</t>
        </is>
      </c>
      <c r="J69" s="2" t="inlineStr">
        <is>
          <t>software</t>
        </is>
      </c>
      <c r="K69" s="2" t="inlineStr">
        <is>
          <t>NONE on GitHub (no Issues tab) - external tracker not found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>
        <is>
          <t>MyCoRe-Org/mycore</t>
        </is>
      </c>
      <c r="T69" s="2" t="inlineStr">
        <is>
          <t>12</t>
        </is>
      </c>
      <c r="U69" s="2" t="inlineStr">
        <is>
          <t>49</t>
        </is>
      </c>
      <c r="V69" s="2" t="inlineStr">
        <is>
          <t>3</t>
        </is>
      </c>
      <c r="W69" s="2" t="inlineStr">
        <is>
          <t>5</t>
        </is>
      </c>
      <c r="X69" s="2" t="inlineStr">
        <is>
          <t>28</t>
        </is>
      </c>
      <c r="Y69" s="2" t="inlineStr">
        <is>
          <t>0.074</t>
        </is>
      </c>
      <c r="Z69" s="2" t="inlineStr">
        <is>
          <t>19</t>
        </is>
      </c>
      <c r="AA69" s="2" t="inlineStr">
        <is>
          <t>0.53</t>
        </is>
      </c>
      <c r="AB69" s="2" t="inlineStr">
        <is>
          <t>6.1</t>
        </is>
      </c>
      <c r="AC69" s="2" t="inlineStr">
        <is>
          <t>complete</t>
        </is>
      </c>
      <c r="AD69" s="2" t="inlineStr">
        <is>
          <t>352</t>
        </is>
      </c>
      <c r="AE69" s="2" t="inlineStr">
        <is>
          <t>2026-10-13</t>
        </is>
      </c>
      <c r="AF69" s="2" t="inlineStr">
        <is>
          <t>128</t>
        </is>
      </c>
      <c r="AG69" s="2" t="inlineStr">
        <is>
          <t>4</t>
        </is>
      </c>
      <c r="AH69" s="2" t="inlineStr">
        <is>
          <t>10</t>
        </is>
      </c>
      <c r="AI69" s="2" t="inlineStr">
        <is>
          <t>10</t>
        </is>
      </c>
      <c r="AJ69" s="2" t="inlineStr">
        <is>
          <t>27.27</t>
        </is>
      </c>
      <c r="AK69" s="2" t="inlineStr">
        <is>
          <t>93.54</t>
        </is>
      </c>
      <c r="AL69" s="2" t="inlineStr"/>
      <c r="AM69" s="2" t="inlineStr"/>
      <c r="AN69" s="2" t="inlineStr"/>
      <c r="AO69" s="2" t="inlineStr"/>
      <c r="AP69" s="2" t="inlineStr"/>
      <c r="AQ69" s="2" t="inlineStr">
        <is>
          <t>20.85</t>
        </is>
      </c>
      <c r="AR69" s="2" t="inlineStr">
        <is>
          <t>326</t>
        </is>
      </c>
      <c r="AS69" s="2" t="inlineStr">
        <is>
          <t>23</t>
        </is>
      </c>
      <c r="AT69" s="2" t="inlineStr">
        <is>
          <t>379</t>
        </is>
      </c>
      <c r="AU69" s="2" t="inlineStr">
        <is>
          <t>333</t>
        </is>
      </c>
      <c r="AV69" s="2" t="inlineStr">
        <is>
          <t>23</t>
        </is>
      </c>
      <c r="AW69" s="2" t="inlineStr">
        <is>
          <t>114</t>
        </is>
      </c>
      <c r="AX69" s="2" t="inlineStr">
        <is>
          <t>complete</t>
        </is>
      </c>
      <c r="AY69" s="2" t="inlineStr"/>
      <c r="AZ69" s="2" t="inlineStr"/>
      <c r="BA69" s="2" t="inlineStr"/>
      <c r="BB69" s="2" t="inlineStr">
        <is>
          <t>314</t>
        </is>
      </c>
      <c r="BC69" s="2" t="inlineStr">
        <is>
          <t>353</t>
        </is>
      </c>
      <c r="BD69" s="2" t="inlineStr">
        <is>
          <t>0.8895</t>
        </is>
      </c>
      <c r="BE69" s="2" t="inlineStr">
        <is>
          <t>6</t>
        </is>
      </c>
      <c r="BF69" s="2" t="inlineStr">
        <is>
          <t>0</t>
        </is>
      </c>
      <c r="BG69" s="2" t="inlineStr"/>
      <c r="BH69" s="2" t="inlineStr"/>
      <c r="BI69" s="2" t="inlineStr"/>
      <c r="BJ69" s="2" t="inlineStr"/>
      <c r="BK69" s="2" t="inlineStr">
        <is>
          <t>369</t>
        </is>
      </c>
      <c r="BL69" s="2" t="inlineStr">
        <is>
          <t>0.6531</t>
        </is>
      </c>
      <c r="BM69" s="2" t="inlineStr">
        <is>
          <t>241</t>
        </is>
      </c>
      <c r="BN69" s="2" t="n">
        <v>84.91</v>
      </c>
      <c r="BO69" s="2" t="n">
        <v>1</v>
      </c>
      <c r="BP69" s="2" t="n">
        <v>94.23</v>
      </c>
      <c r="BQ69" s="2" t="n">
        <v>1</v>
      </c>
      <c r="BR69" s="2" t="n">
        <v>100</v>
      </c>
      <c r="BS69" s="2" t="n">
        <v>1</v>
      </c>
      <c r="BT69" s="2" t="n">
        <v>100</v>
      </c>
      <c r="BU69" s="2" t="n">
        <v>1</v>
      </c>
      <c r="BV69" s="2" t="n">
        <v>84.95999999999999</v>
      </c>
      <c r="BW69" s="2" t="n">
        <v>1</v>
      </c>
      <c r="BX69" s="2" t="n">
        <v>86.95999999999999</v>
      </c>
      <c r="BY69" s="2" t="n">
        <v>1</v>
      </c>
      <c r="BZ69" s="2" t="n">
        <v>100</v>
      </c>
      <c r="CA69" s="2" t="n">
        <v>1</v>
      </c>
      <c r="CB69" s="2" t="n">
        <v>0</v>
      </c>
      <c r="CC69" s="2" t="n">
        <v>0</v>
      </c>
      <c r="CD69" s="2" t="n">
        <v>65.31</v>
      </c>
      <c r="CE69" s="2" t="n">
        <v>1</v>
      </c>
      <c r="CF69" s="2" t="n">
        <v>0</v>
      </c>
      <c r="CG69" s="2" t="n">
        <v>0</v>
      </c>
      <c r="CH69" s="2" t="n">
        <v>88.95</v>
      </c>
      <c r="CI69" s="2" t="n">
        <v>1</v>
      </c>
      <c r="CJ69" s="2" t="n">
        <v>28.17</v>
      </c>
      <c r="CK69" s="2" t="n">
        <v>1</v>
      </c>
      <c r="CL69" s="2" t="n">
        <v>0</v>
      </c>
      <c r="CM69" s="2" t="n">
        <v>1</v>
      </c>
      <c r="CN69" s="2" t="n">
        <v>64.11461538461539</v>
      </c>
      <c r="CO69" s="2" t="n">
        <v>11</v>
      </c>
      <c r="CP69" s="2" t="n">
        <v>0.8461538461538461</v>
      </c>
      <c r="CQ69" s="2" t="n">
        <v>75.77181818181818</v>
      </c>
      <c r="CR69" s="2" t="inlineStr">
        <is>
          <t>NONE on GitHub (no Issues tab) - external tracker not found</t>
        </is>
      </c>
      <c r="CS69" s="2" t="inlineStr"/>
      <c r="CT69" s="2" t="inlineStr"/>
      <c r="CU69" s="2" t="inlineStr">
        <is>
          <t>fill from external tracker or leave blank</t>
        </is>
      </c>
    </row>
    <row r="70">
      <c r="A70" s="2" t="inlineStr">
        <is>
          <t>C4-069</t>
        </is>
      </c>
      <c r="B70" s="2" t="inlineStr">
        <is>
          <t>NumPy</t>
        </is>
      </c>
      <c r="C70" s="2" t="inlineStr">
        <is>
          <t>https://github.com/numpy/numpy</t>
        </is>
      </c>
      <c r="D70" s="2" t="inlineStr">
        <is>
          <t>Ready</t>
        </is>
      </c>
      <c r="E70" s="2" t="inlineStr">
        <is>
          <t>github</t>
        </is>
      </c>
      <c r="F70" s="2" t="inlineStr">
        <is>
          <t>numpy/numpy</t>
        </is>
      </c>
      <c r="G70" s="2" t="inlineStr"/>
      <c r="H70" s="2" t="inlineStr"/>
      <c r="I70" s="2" t="inlineStr">
        <is>
          <t>yes</t>
        </is>
      </c>
      <c r="J70" s="2" t="inlineStr">
        <is>
          <t>software</t>
        </is>
      </c>
      <c r="K70" s="2" t="inlineStr">
        <is>
          <t>GitHub (same repo)</t>
        </is>
      </c>
      <c r="L70" s="2" t="inlineStr"/>
      <c r="M70" s="2" t="inlineStr">
        <is>
          <t>numpy/numpy</t>
        </is>
      </c>
      <c r="N70" s="2" t="inlineStr"/>
      <c r="O70" s="2" t="inlineStr"/>
      <c r="P70" s="2" t="inlineStr"/>
      <c r="Q70" s="2" t="inlineStr"/>
      <c r="R70" s="2" t="inlineStr"/>
      <c r="S70" s="2" t="inlineStr">
        <is>
          <t>numpy/numpy</t>
        </is>
      </c>
      <c r="T70" s="2" t="inlineStr">
        <is>
          <t>12</t>
        </is>
      </c>
      <c r="U70" s="2" t="inlineStr">
        <is>
          <t>52</t>
        </is>
      </c>
      <c r="V70" s="2" t="inlineStr">
        <is>
          <t>3</t>
        </is>
      </c>
      <c r="W70" s="2" t="inlineStr">
        <is>
          <t>32</t>
        </is>
      </c>
      <c r="X70" s="2" t="inlineStr">
        <is>
          <t>186</t>
        </is>
      </c>
      <c r="Y70" s="2" t="inlineStr">
        <is>
          <t>0.09</t>
        </is>
      </c>
      <c r="Z70" s="2" t="inlineStr">
        <is>
          <t>227</t>
        </is>
      </c>
      <c r="AA70" s="2" t="inlineStr">
        <is>
          <t>0.05</t>
        </is>
      </c>
      <c r="AB70" s="2" t="inlineStr">
        <is>
          <t>5.5</t>
        </is>
      </c>
      <c r="AC70" s="2" t="inlineStr">
        <is>
          <t>complete</t>
        </is>
      </c>
      <c r="AD70" s="2" t="inlineStr">
        <is>
          <t>1886</t>
        </is>
      </c>
      <c r="AE70" s="2" t="inlineStr">
        <is>
          <t>2026-10-14</t>
        </is>
      </c>
      <c r="AF70" s="2" t="inlineStr">
        <is>
          <t>573</t>
        </is>
      </c>
      <c r="AG70" s="2" t="inlineStr">
        <is>
          <t>10</t>
        </is>
      </c>
      <c r="AH70" s="2" t="inlineStr">
        <is>
          <t>34</t>
        </is>
      </c>
      <c r="AI70" s="2" t="inlineStr">
        <is>
          <t>17</t>
        </is>
      </c>
      <c r="AJ70" s="2" t="inlineStr">
        <is>
          <t>41.52</t>
        </is>
      </c>
      <c r="AK70" s="2" t="inlineStr">
        <is>
          <t>81.34</t>
        </is>
      </c>
      <c r="AL70" s="2" t="inlineStr">
        <is>
          <t>2.39</t>
        </is>
      </c>
      <c r="AM70" s="2" t="inlineStr">
        <is>
          <t>412</t>
        </is>
      </c>
      <c r="AN70" s="2" t="inlineStr">
        <is>
          <t>112</t>
        </is>
      </c>
      <c r="AO70" s="2" t="inlineStr">
        <is>
          <t>557</t>
        </is>
      </c>
      <c r="AP70" s="2" t="inlineStr">
        <is>
          <t>1869</t>
        </is>
      </c>
      <c r="AQ70" s="2" t="inlineStr">
        <is>
          <t>3.51</t>
        </is>
      </c>
      <c r="AR70" s="2" t="inlineStr">
        <is>
          <t>1807</t>
        </is>
      </c>
      <c r="AS70" s="2" t="inlineStr">
        <is>
          <t>369</t>
        </is>
      </c>
      <c r="AT70" s="2" t="inlineStr">
        <is>
          <t>2172</t>
        </is>
      </c>
      <c r="AU70" s="2" t="inlineStr">
        <is>
          <t>1608</t>
        </is>
      </c>
      <c r="AV70" s="2" t="inlineStr">
        <is>
          <t>195</t>
        </is>
      </c>
      <c r="AW70" s="2" t="inlineStr">
        <is>
          <t>333</t>
        </is>
      </c>
      <c r="AX70" s="2" t="inlineStr">
        <is>
          <t>complete</t>
        </is>
      </c>
      <c r="AY70" s="2" t="inlineStr">
        <is>
          <t>292</t>
        </is>
      </c>
      <c r="AZ70" s="2" t="inlineStr">
        <is>
          <t>0.7002</t>
        </is>
      </c>
      <c r="BA70" s="2" t="inlineStr">
        <is>
          <t>417</t>
        </is>
      </c>
      <c r="BB70" s="2" t="inlineStr">
        <is>
          <t>1607</t>
        </is>
      </c>
      <c r="BC70" s="2" t="inlineStr">
        <is>
          <t>1858</t>
        </is>
      </c>
      <c r="BD70" s="2" t="inlineStr">
        <is>
          <t>0.8649</t>
        </is>
      </c>
      <c r="BE70" s="2" t="inlineStr">
        <is>
          <t>2859</t>
        </is>
      </c>
      <c r="BF70" s="2" t="inlineStr">
        <is>
          <t>1725</t>
        </is>
      </c>
      <c r="BG70" s="2" t="inlineStr">
        <is>
          <t>non-maintainer issues</t>
        </is>
      </c>
      <c r="BH70" s="2" t="inlineStr">
        <is>
          <t>0.9347</t>
        </is>
      </c>
      <c r="BI70" s="2" t="inlineStr">
        <is>
          <t>429</t>
        </is>
      </c>
      <c r="BJ70" s="2" t="inlineStr">
        <is>
          <t>401</t>
        </is>
      </c>
      <c r="BK70" s="2" t="inlineStr">
        <is>
          <t>2110</t>
        </is>
      </c>
      <c r="BL70" s="2" t="inlineStr">
        <is>
          <t>0.8218</t>
        </is>
      </c>
      <c r="BM70" s="2" t="inlineStr">
        <is>
          <t>1734</t>
        </is>
      </c>
      <c r="BN70" s="2" t="n">
        <v>100</v>
      </c>
      <c r="BO70" s="2" t="n">
        <v>1</v>
      </c>
      <c r="BP70" s="2" t="n">
        <v>100</v>
      </c>
      <c r="BQ70" s="2" t="n">
        <v>1</v>
      </c>
      <c r="BR70" s="2" t="n">
        <v>100</v>
      </c>
      <c r="BS70" s="2" t="n">
        <v>1</v>
      </c>
      <c r="BT70" s="2" t="n">
        <v>100</v>
      </c>
      <c r="BU70" s="2" t="n">
        <v>1</v>
      </c>
      <c r="BV70" s="2" t="n">
        <v>100</v>
      </c>
      <c r="BW70" s="2" t="n">
        <v>1</v>
      </c>
      <c r="BX70" s="2" t="n">
        <v>81.98</v>
      </c>
      <c r="BY70" s="2" t="n">
        <v>1</v>
      </c>
      <c r="BZ70" s="2" t="n">
        <v>100</v>
      </c>
      <c r="CA70" s="2" t="n">
        <v>1</v>
      </c>
      <c r="CB70" s="2" t="n">
        <v>93.47</v>
      </c>
      <c r="CC70" s="2" t="n">
        <v>1</v>
      </c>
      <c r="CD70" s="2" t="n">
        <v>82.18000000000001</v>
      </c>
      <c r="CE70" s="2" t="n">
        <v>1</v>
      </c>
      <c r="CF70" s="2" t="n">
        <v>70.02</v>
      </c>
      <c r="CG70" s="2" t="n">
        <v>1</v>
      </c>
      <c r="CH70" s="2" t="n">
        <v>86.48999999999999</v>
      </c>
      <c r="CI70" s="2" t="n">
        <v>1</v>
      </c>
      <c r="CJ70" s="2" t="n">
        <v>100</v>
      </c>
      <c r="CK70" s="2" t="n">
        <v>1</v>
      </c>
      <c r="CL70" s="2" t="n">
        <v>100</v>
      </c>
      <c r="CM70" s="2" t="n">
        <v>1</v>
      </c>
      <c r="CN70" s="2" t="n">
        <v>93.39538461538461</v>
      </c>
      <c r="CO70" s="2" t="n">
        <v>13</v>
      </c>
      <c r="CP70" s="2" t="n">
        <v>1</v>
      </c>
      <c r="CQ70" s="2" t="n">
        <v>93.39538461538461</v>
      </c>
      <c r="CR70" s="2" t="inlineStr"/>
      <c r="CS70" s="2" t="inlineStr"/>
      <c r="CT70" s="2" t="inlineStr"/>
      <c r="CU70" s="2" t="inlineStr"/>
    </row>
    <row r="71">
      <c r="A71" s="2" t="inlineStr">
        <is>
          <t>C4-070</t>
        </is>
      </c>
      <c r="B71" s="2" t="inlineStr">
        <is>
          <t>OA.Report</t>
        </is>
      </c>
      <c r="C71" s="2" t="inlineStr">
        <is>
          <t>https://github.com/oaworks/oa-report</t>
        </is>
      </c>
      <c r="D71" s="2" t="inlineStr">
        <is>
          <t>Ready</t>
        </is>
      </c>
      <c r="E71" s="2" t="inlineStr">
        <is>
          <t>github</t>
        </is>
      </c>
      <c r="F71" s="2" t="inlineStr">
        <is>
          <t>oaworks/oa-report</t>
        </is>
      </c>
      <c r="G71" s="2" t="inlineStr"/>
      <c r="H71" s="2" t="inlineStr"/>
      <c r="I71" s="2" t="inlineStr">
        <is>
          <t>yes</t>
        </is>
      </c>
      <c r="J71" s="2" t="inlineStr">
        <is>
          <t>software</t>
        </is>
      </c>
      <c r="K71" s="2" t="inlineStr">
        <is>
          <t>NONE (Issues and PRs disabled)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>
        <is>
          <t>oaworks/oa-report</t>
        </is>
      </c>
      <c r="T71" s="2" t="inlineStr">
        <is>
          <t>12</t>
        </is>
      </c>
      <c r="U71" s="2" t="inlineStr">
        <is>
          <t>47</t>
        </is>
      </c>
      <c r="V71" s="2" t="inlineStr">
        <is>
          <t>1</t>
        </is>
      </c>
      <c r="W71" s="2" t="inlineStr">
        <is>
          <t>1</t>
        </is>
      </c>
      <c r="X71" s="2" t="inlineStr">
        <is>
          <t>100</t>
        </is>
      </c>
      <c r="Y71" s="2" t="inlineStr">
        <is>
          <t>0.096</t>
        </is>
      </c>
      <c r="Z71" s="2" t="inlineStr">
        <is>
          <t>3</t>
        </is>
      </c>
      <c r="AA71" s="2" t="inlineStr">
        <is>
          <t>1.41</t>
        </is>
      </c>
      <c r="AB71" s="2" t="inlineStr">
        <is>
          <t>1.08</t>
        </is>
      </c>
      <c r="AC71" s="2" t="inlineStr">
        <is>
          <t>complete</t>
        </is>
      </c>
      <c r="AD71" s="2" t="inlineStr">
        <is>
          <t>939</t>
        </is>
      </c>
      <c r="AE71" s="2" t="inlineStr">
        <is>
          <t>2026-10-06</t>
        </is>
      </c>
      <c r="AF71" s="2" t="inlineStr">
        <is>
          <t>284</t>
        </is>
      </c>
      <c r="AG71" s="2" t="inlineStr">
        <is>
          <t>0</t>
        </is>
      </c>
      <c r="AH71" s="2" t="inlineStr">
        <is>
          <t>2</t>
        </is>
      </c>
      <c r="AI71" s="2" t="inlineStr">
        <is>
          <t>0</t>
        </is>
      </c>
      <c r="AJ71" s="2" t="inlineStr">
        <is>
          <t>96.38</t>
        </is>
      </c>
      <c r="AK71" s="2" t="inlineStr">
        <is>
          <t>61.54</t>
        </is>
      </c>
      <c r="AL71" s="2" t="inlineStr"/>
      <c r="AM71" s="2" t="inlineStr"/>
      <c r="AN71" s="2" t="inlineStr"/>
      <c r="AO71" s="2" t="inlineStr"/>
      <c r="AP71" s="2" t="inlineStr"/>
      <c r="AQ71" s="2" t="inlineStr">
        <is>
          <t>6.96</t>
        </is>
      </c>
      <c r="AR71" s="2" t="inlineStr">
        <is>
          <t>10</t>
        </is>
      </c>
      <c r="AS71" s="2" t="inlineStr">
        <is>
          <t>10</t>
        </is>
      </c>
      <c r="AT71" s="2" t="inlineStr">
        <is>
          <t>26</t>
        </is>
      </c>
      <c r="AU71" s="2" t="inlineStr">
        <is>
          <t>16</t>
        </is>
      </c>
      <c r="AV71" s="2" t="inlineStr">
        <is>
          <t>0</t>
        </is>
      </c>
      <c r="AW71" s="2" t="inlineStr">
        <is>
          <t>8</t>
        </is>
      </c>
      <c r="AX71" s="2" t="inlineStr">
        <is>
          <t>complete</t>
        </is>
      </c>
      <c r="AY71" s="2" t="inlineStr"/>
      <c r="AZ71" s="2" t="inlineStr"/>
      <c r="BA71" s="2" t="inlineStr"/>
      <c r="BB71" s="2" t="inlineStr">
        <is>
          <t>25</t>
        </is>
      </c>
      <c r="BC71" s="2" t="inlineStr">
        <is>
          <t>26</t>
        </is>
      </c>
      <c r="BD71" s="2" t="inlineStr">
        <is>
          <t>0.9615</t>
        </is>
      </c>
      <c r="BE71" s="2" t="inlineStr">
        <is>
          <t>1</t>
        </is>
      </c>
      <c r="BF71" s="2" t="inlineStr">
        <is>
          <t>0</t>
        </is>
      </c>
      <c r="BG71" s="2" t="inlineStr"/>
      <c r="BH71" s="2" t="inlineStr"/>
      <c r="BI71" s="2" t="inlineStr"/>
      <c r="BJ71" s="2" t="inlineStr"/>
      <c r="BK71" s="2" t="inlineStr">
        <is>
          <t>26</t>
        </is>
      </c>
      <c r="BL71" s="2" t="inlineStr">
        <is>
          <t>0.3462</t>
        </is>
      </c>
      <c r="BM71" s="2" t="inlineStr">
        <is>
          <t>9</t>
        </is>
      </c>
      <c r="BN71" s="2" t="n">
        <v>99.09</v>
      </c>
      <c r="BO71" s="2" t="n">
        <v>1</v>
      </c>
      <c r="BP71" s="2" t="n">
        <v>90.38</v>
      </c>
      <c r="BQ71" s="2" t="n">
        <v>1</v>
      </c>
      <c r="BR71" s="2" t="n">
        <v>100</v>
      </c>
      <c r="BS71" s="2" t="n">
        <v>1</v>
      </c>
      <c r="BT71" s="2" t="n">
        <v>0</v>
      </c>
      <c r="BU71" s="2" t="n">
        <v>1</v>
      </c>
      <c r="BV71" s="2" t="n">
        <v>31.7</v>
      </c>
      <c r="BW71" s="2" t="n">
        <v>1</v>
      </c>
      <c r="BX71" s="2" t="n">
        <v>3.7</v>
      </c>
      <c r="BY71" s="2" t="n">
        <v>1</v>
      </c>
      <c r="BZ71" s="2" t="n">
        <v>50</v>
      </c>
      <c r="CA71" s="2" t="n">
        <v>1</v>
      </c>
      <c r="CB71" s="2" t="n">
        <v>0</v>
      </c>
      <c r="CC71" s="2" t="n">
        <v>0</v>
      </c>
      <c r="CD71" s="2" t="n">
        <v>34.62</v>
      </c>
      <c r="CE71" s="2" t="n">
        <v>1</v>
      </c>
      <c r="CF71" s="2" t="n">
        <v>0</v>
      </c>
      <c r="CG71" s="2" t="n">
        <v>0</v>
      </c>
      <c r="CH71" s="2" t="n">
        <v>96.15000000000001</v>
      </c>
      <c r="CI71" s="2" t="n">
        <v>1</v>
      </c>
      <c r="CJ71" s="2" t="n">
        <v>10.03</v>
      </c>
      <c r="CK71" s="2" t="n">
        <v>1</v>
      </c>
      <c r="CL71" s="2" t="n">
        <v>0</v>
      </c>
      <c r="CM71" s="2" t="n">
        <v>1</v>
      </c>
      <c r="CN71" s="2" t="n">
        <v>39.66692307692308</v>
      </c>
      <c r="CO71" s="2" t="n">
        <v>11</v>
      </c>
      <c r="CP71" s="2" t="n">
        <v>0.8461538461538461</v>
      </c>
      <c r="CQ71" s="2" t="n">
        <v>46.87909090909091</v>
      </c>
      <c r="CR71" s="2" t="inlineStr">
        <is>
          <t>NONE (Issues and PRs disabled)</t>
        </is>
      </c>
      <c r="CS71" s="2" t="inlineStr"/>
      <c r="CT71" s="2" t="inlineStr"/>
      <c r="CU71" s="2" t="inlineStr">
        <is>
          <t>fill from external tracker or leave blank</t>
        </is>
      </c>
    </row>
    <row r="72">
      <c r="A72" s="2" t="inlineStr">
        <is>
          <t>C4-071</t>
        </is>
      </c>
      <c r="B72" s="2" t="inlineStr">
        <is>
          <t>OA Switchboard</t>
        </is>
      </c>
      <c r="C72" s="2" t="inlineStr">
        <is>
          <t>https://bitbucket.org/oaswitchboard/api/src/master/</t>
        </is>
      </c>
      <c r="D72" s="2" t="inlineStr">
        <is>
          <t>Non-GitHub</t>
        </is>
      </c>
      <c r="E72" s="2" t="inlineStr">
        <is>
          <t>bitbucket</t>
        </is>
      </c>
      <c r="F72" s="2" t="inlineStr">
        <is>
          <t>https://bitbucket.org/oaswitchboard/api</t>
        </is>
      </c>
      <c r="G72" s="2" t="inlineStr"/>
      <c r="H72" s="2" t="inlineStr"/>
      <c r="I72" s="2" t="inlineStr">
        <is>
          <t>yes</t>
        </is>
      </c>
      <c r="J72" s="2" t="inlineStr">
        <is>
          <t>software</t>
        </is>
      </c>
      <c r="K72" s="2" t="inlineStr">
        <is>
          <t>Bitbucket (verify issues enabled)</t>
        </is>
      </c>
      <c r="L72" s="2" t="inlineStr">
        <is>
          <t>Bitbucket; issue tracker likely disabled</t>
        </is>
      </c>
      <c r="M72" s="2" t="inlineStr"/>
      <c r="N72" s="2" t="inlineStr">
        <is>
          <t>yes</t>
        </is>
      </c>
      <c r="O72" s="2" t="inlineStr">
        <is>
          <t>https://bitbucket.org/oaswitchboard/api</t>
        </is>
      </c>
      <c r="P72" s="2" t="inlineStr">
        <is>
          <t>Bitbucket</t>
        </is>
      </c>
      <c r="Q72" s="2" t="inlineStr">
        <is>
          <t>already_current</t>
        </is>
      </c>
      <c r="R72" s="2" t="inlineStr">
        <is>
          <t>Current scoring target already matches resolved list.</t>
        </is>
      </c>
      <c r="S72" s="2" t="inlineStr">
        <is>
          <t>https://bitbucket.org/oaswitchboard/api</t>
        </is>
      </c>
      <c r="T72" s="2" t="inlineStr">
        <is>
          <t>10</t>
        </is>
      </c>
      <c r="U72" s="2" t="inlineStr">
        <is>
          <t>17</t>
        </is>
      </c>
      <c r="V72" s="2" t="inlineStr">
        <is>
          <t>1</t>
        </is>
      </c>
      <c r="W72" s="2" t="inlineStr">
        <is>
          <t>1</t>
        </is>
      </c>
      <c r="X72" s="2" t="inlineStr">
        <is>
          <t>0</t>
        </is>
      </c>
      <c r="Y72" s="2" t="inlineStr">
        <is>
          <t>0.0</t>
        </is>
      </c>
      <c r="Z72" s="2" t="inlineStr">
        <is>
          <t>1</t>
        </is>
      </c>
      <c r="AA72" s="2" t="inlineStr">
        <is>
          <t>1.31</t>
        </is>
      </c>
      <c r="AB72" s="2" t="inlineStr">
        <is>
          <t>1.0</t>
        </is>
      </c>
      <c r="AC72" s="2" t="inlineStr">
        <is>
          <t>complete</t>
        </is>
      </c>
      <c r="AD72" s="2" t="inlineStr">
        <is>
          <t>25</t>
        </is>
      </c>
      <c r="AE72" s="2" t="inlineStr">
        <is>
          <t>2026-09-29</t>
        </is>
      </c>
      <c r="AF72" s="2" t="inlineStr">
        <is>
          <t>1</t>
        </is>
      </c>
      <c r="AG72" s="2" t="inlineStr">
        <is>
          <t>0</t>
        </is>
      </c>
      <c r="AH72" s="2" t="inlineStr">
        <is>
          <t>1</t>
        </is>
      </c>
      <c r="AI72" s="2" t="inlineStr">
        <is>
          <t>0</t>
        </is>
      </c>
      <c r="AJ72" s="2" t="inlineStr">
        <is>
          <t>100.0</t>
        </is>
      </c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>
        <is>
          <t>no GitHub source</t>
        </is>
      </c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n">
        <v>47.16</v>
      </c>
      <c r="BO72" s="2" t="n">
        <v>1</v>
      </c>
      <c r="BP72" s="2" t="n">
        <v>32.69</v>
      </c>
      <c r="BQ72" s="2" t="n">
        <v>1</v>
      </c>
      <c r="BR72" s="2" t="n">
        <v>100</v>
      </c>
      <c r="BS72" s="2" t="n">
        <v>1</v>
      </c>
      <c r="BT72" s="2" t="n">
        <v>0</v>
      </c>
      <c r="BU72" s="2" t="n">
        <v>1</v>
      </c>
      <c r="BV72" s="2" t="n">
        <v>0</v>
      </c>
      <c r="BW72" s="2" t="n">
        <v>1</v>
      </c>
      <c r="BX72" s="2" t="n">
        <v>0</v>
      </c>
      <c r="BY72" s="2" t="n">
        <v>1</v>
      </c>
      <c r="BZ72" s="2" t="n">
        <v>25</v>
      </c>
      <c r="CA72" s="2" t="n">
        <v>1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15.75769230769231</v>
      </c>
      <c r="CO72" s="2" t="n">
        <v>7</v>
      </c>
      <c r="CP72" s="2" t="n">
        <v>0.5384615384615384</v>
      </c>
      <c r="CQ72" s="2" t="n">
        <v>29.26428571428571</v>
      </c>
      <c r="CR72" s="2" t="inlineStr">
        <is>
          <t>Bitbucket (verify issues enabled)</t>
        </is>
      </c>
      <c r="CS72" s="2" t="inlineStr"/>
      <c r="CT72" s="2" t="inlineStr"/>
      <c r="CU72" s="2" t="inlineStr">
        <is>
          <t>fill from external tracker or leave blank</t>
        </is>
      </c>
    </row>
    <row r="73">
      <c r="A73" s="2" t="inlineStr">
        <is>
          <t>C4-072</t>
        </is>
      </c>
      <c r="B73" s="2" t="inlineStr">
        <is>
          <t>Omeka</t>
        </is>
      </c>
      <c r="C73" s="2" t="inlineStr">
        <is>
          <t>https://github.com/omeka/Omeka</t>
        </is>
      </c>
      <c r="D73" s="2" t="inlineStr">
        <is>
          <t>Replace URL (Omeka S)</t>
        </is>
      </c>
      <c r="E73" s="2" t="inlineStr">
        <is>
          <t>github</t>
        </is>
      </c>
      <c r="F73" s="2" t="inlineStr">
        <is>
          <t>omeka/omeka-s</t>
        </is>
      </c>
      <c r="G73" s="2" t="inlineStr"/>
      <c r="H73" s="2" t="inlineStr"/>
      <c r="I73" s="2" t="inlineStr">
        <is>
          <t>yes</t>
        </is>
      </c>
      <c r="J73" s="2" t="inlineStr">
        <is>
          <t>software</t>
        </is>
      </c>
      <c r="K73" s="2" t="inlineStr">
        <is>
          <t>GitHub (same repo); Omeka forums</t>
        </is>
      </c>
      <c r="L73" s="2" t="inlineStr">
        <is>
          <t>Omeka S is the actively developed product (160 vs 66 human commits); Omeka Classic kept as diagnostic</t>
        </is>
      </c>
      <c r="M73" s="2" t="inlineStr">
        <is>
          <t>omeka/omeka-s</t>
        </is>
      </c>
      <c r="N73" s="2" t="inlineStr"/>
      <c r="O73" s="2" t="inlineStr"/>
      <c r="P73" s="2" t="inlineStr"/>
      <c r="Q73" s="2" t="inlineStr"/>
      <c r="R73" s="2" t="inlineStr"/>
      <c r="S73" s="2" t="inlineStr">
        <is>
          <t>omeka/omeka-s</t>
        </is>
      </c>
      <c r="T73" s="2" t="inlineStr">
        <is>
          <t>12</t>
        </is>
      </c>
      <c r="U73" s="2" t="inlineStr">
        <is>
          <t>39</t>
        </is>
      </c>
      <c r="V73" s="2" t="inlineStr">
        <is>
          <t>2</t>
        </is>
      </c>
      <c r="W73" s="2" t="inlineStr">
        <is>
          <t>2</t>
        </is>
      </c>
      <c r="X73" s="2" t="inlineStr">
        <is>
          <t>0</t>
        </is>
      </c>
      <c r="Y73" s="2" t="inlineStr">
        <is>
          <t>0.0</t>
        </is>
      </c>
      <c r="Z73" s="2" t="inlineStr">
        <is>
          <t>5</t>
        </is>
      </c>
      <c r="AA73" s="2" t="inlineStr">
        <is>
          <t>1.26</t>
        </is>
      </c>
      <c r="AB73" s="2" t="inlineStr">
        <is>
          <t>2.67</t>
        </is>
      </c>
      <c r="AC73" s="2" t="inlineStr">
        <is>
          <t>complete</t>
        </is>
      </c>
      <c r="AD73" s="2" t="inlineStr">
        <is>
          <t>160</t>
        </is>
      </c>
      <c r="AE73" s="2" t="inlineStr">
        <is>
          <t>2026-10-05</t>
        </is>
      </c>
      <c r="AF73" s="2" t="inlineStr">
        <is>
          <t>29</t>
        </is>
      </c>
      <c r="AG73" s="2" t="inlineStr">
        <is>
          <t>0</t>
        </is>
      </c>
      <c r="AH73" s="2" t="inlineStr">
        <is>
          <t>3</t>
        </is>
      </c>
      <c r="AI73" s="2" t="inlineStr">
        <is>
          <t>2</t>
        </is>
      </c>
      <c r="AJ73" s="2" t="inlineStr">
        <is>
          <t>48.12</t>
        </is>
      </c>
      <c r="AK73" s="2" t="inlineStr">
        <is>
          <t>73.53</t>
        </is>
      </c>
      <c r="AL73" s="2" t="inlineStr">
        <is>
          <t>53.08</t>
        </is>
      </c>
      <c r="AM73" s="2" t="inlineStr">
        <is>
          <t>60</t>
        </is>
      </c>
      <c r="AN73" s="2" t="inlineStr">
        <is>
          <t>20</t>
        </is>
      </c>
      <c r="AO73" s="2" t="inlineStr">
        <is>
          <t>115</t>
        </is>
      </c>
      <c r="AP73" s="2" t="inlineStr">
        <is>
          <t>142</t>
        </is>
      </c>
      <c r="AQ73" s="2" t="inlineStr">
        <is>
          <t>168.68</t>
        </is>
      </c>
      <c r="AR73" s="2" t="inlineStr">
        <is>
          <t>38</t>
        </is>
      </c>
      <c r="AS73" s="2" t="inlineStr">
        <is>
          <t>9</t>
        </is>
      </c>
      <c r="AT73" s="2" t="inlineStr">
        <is>
          <t>69</t>
        </is>
      </c>
      <c r="AU73" s="2" t="inlineStr">
        <is>
          <t>25</t>
        </is>
      </c>
      <c r="AV73" s="2" t="inlineStr">
        <is>
          <t>35</t>
        </is>
      </c>
      <c r="AW73" s="2" t="inlineStr">
        <is>
          <t>1</t>
        </is>
      </c>
      <c r="AX73" s="2" t="inlineStr">
        <is>
          <t>complete</t>
        </is>
      </c>
      <c r="AY73" s="2" t="inlineStr">
        <is>
          <t>37</t>
        </is>
      </c>
      <c r="AZ73" s="2" t="inlineStr">
        <is>
          <t>0.3936</t>
        </is>
      </c>
      <c r="BA73" s="2" t="inlineStr">
        <is>
          <t>94</t>
        </is>
      </c>
      <c r="BB73" s="2" t="inlineStr">
        <is>
          <t>24</t>
        </is>
      </c>
      <c r="BC73" s="2" t="inlineStr">
        <is>
          <t>64</t>
        </is>
      </c>
      <c r="BD73" s="2" t="inlineStr">
        <is>
          <t>0.375</t>
        </is>
      </c>
      <c r="BE73" s="2" t="inlineStr">
        <is>
          <t>76</t>
        </is>
      </c>
      <c r="BF73" s="2" t="inlineStr">
        <is>
          <t>30</t>
        </is>
      </c>
      <c r="BG73" s="2" t="inlineStr">
        <is>
          <t>non-maintainer issues</t>
        </is>
      </c>
      <c r="BH73" s="2" t="inlineStr">
        <is>
          <t>0.4526</t>
        </is>
      </c>
      <c r="BI73" s="2" t="inlineStr">
        <is>
          <t>95</t>
        </is>
      </c>
      <c r="BJ73" s="2" t="inlineStr">
        <is>
          <t>43</t>
        </is>
      </c>
      <c r="BK73" s="2" t="inlineStr">
        <is>
          <t>65</t>
        </is>
      </c>
      <c r="BL73" s="2" t="inlineStr">
        <is>
          <t>0.2923</t>
        </is>
      </c>
      <c r="BM73" s="2" t="inlineStr">
        <is>
          <t>19</t>
        </is>
      </c>
      <c r="BN73" s="2" t="n">
        <v>73.55</v>
      </c>
      <c r="BO73" s="2" t="n">
        <v>1</v>
      </c>
      <c r="BP73" s="2" t="n">
        <v>75</v>
      </c>
      <c r="BQ73" s="2" t="n">
        <v>1</v>
      </c>
      <c r="BR73" s="2" t="n">
        <v>100</v>
      </c>
      <c r="BS73" s="2" t="n">
        <v>1</v>
      </c>
      <c r="BT73" s="2" t="n">
        <v>75</v>
      </c>
      <c r="BU73" s="2" t="n">
        <v>1</v>
      </c>
      <c r="BV73" s="2" t="n">
        <v>46.44</v>
      </c>
      <c r="BW73" s="2" t="n">
        <v>1</v>
      </c>
      <c r="BX73" s="2" t="n">
        <v>47.23</v>
      </c>
      <c r="BY73" s="2" t="n">
        <v>1</v>
      </c>
      <c r="BZ73" s="2" t="n">
        <v>75</v>
      </c>
      <c r="CA73" s="2" t="n">
        <v>1</v>
      </c>
      <c r="CB73" s="2" t="n">
        <v>45.26</v>
      </c>
      <c r="CC73" s="2" t="n">
        <v>1</v>
      </c>
      <c r="CD73" s="2" t="n">
        <v>29.23</v>
      </c>
      <c r="CE73" s="2" t="n">
        <v>1</v>
      </c>
      <c r="CF73" s="2" t="n">
        <v>39.36</v>
      </c>
      <c r="CG73" s="2" t="n">
        <v>1</v>
      </c>
      <c r="CH73" s="2" t="n">
        <v>37.5</v>
      </c>
      <c r="CI73" s="2" t="n">
        <v>1</v>
      </c>
      <c r="CJ73" s="2" t="n">
        <v>62.87</v>
      </c>
      <c r="CK73" s="2" t="n">
        <v>1</v>
      </c>
      <c r="CL73" s="2" t="n">
        <v>74.41</v>
      </c>
      <c r="CM73" s="2" t="n">
        <v>1</v>
      </c>
      <c r="CN73" s="2" t="n">
        <v>60.06538461538462</v>
      </c>
      <c r="CO73" s="2" t="n">
        <v>13</v>
      </c>
      <c r="CP73" s="2" t="n">
        <v>1</v>
      </c>
      <c r="CQ73" s="2" t="n">
        <v>60.06538461538462</v>
      </c>
      <c r="CR73" s="2" t="inlineStr"/>
      <c r="CS73" s="2" t="inlineStr"/>
      <c r="CT73" s="2" t="inlineStr"/>
      <c r="CU73" s="2" t="inlineStr"/>
    </row>
    <row r="74">
      <c r="A74" s="2" t="inlineStr">
        <is>
          <t>C4-073</t>
        </is>
      </c>
      <c r="B74" s="2" t="inlineStr">
        <is>
          <t>OpenAIRE Graph</t>
        </is>
      </c>
      <c r="C74" s="2" t="inlineStr">
        <is>
          <t>https://code-repo.d4science.org/D-Net/dnet-hadoop</t>
        </is>
      </c>
      <c r="D74" s="2" t="inlineStr">
        <is>
          <t>Non-GitHub</t>
        </is>
      </c>
      <c r="E74" s="2" t="inlineStr">
        <is>
          <t>gitea</t>
        </is>
      </c>
      <c r="F74" s="2" t="inlineStr">
        <is>
          <t>https://code-repo.d4science.org/D-Net/dnet-hadoop</t>
        </is>
      </c>
      <c r="G74" s="2" t="inlineStr"/>
      <c r="H74" s="2" t="inlineStr"/>
      <c r="I74" s="2" t="inlineStr">
        <is>
          <t>yes</t>
        </is>
      </c>
      <c r="J74" s="2" t="inlineStr">
        <is>
          <t>software</t>
        </is>
      </c>
      <c r="K74" s="2" t="inlineStr">
        <is>
          <t>Gitea (same repo)</t>
        </is>
      </c>
      <c r="L74" s="2" t="inlineStr">
        <is>
          <t>Gitea; issues may be tracked in OpenAIRE support systems</t>
        </is>
      </c>
      <c r="M74" s="2" t="inlineStr"/>
      <c r="N74" s="2" t="inlineStr">
        <is>
          <t>yes</t>
        </is>
      </c>
      <c r="O74" s="2" t="inlineStr">
        <is>
          <t>https://code-repo.d4science.org/D-Net/dnet-hadoop</t>
        </is>
      </c>
      <c r="P74" s="2" t="inlineStr">
        <is>
          <t>Gitea (D4Science)</t>
        </is>
      </c>
      <c r="Q74" s="2" t="inlineStr">
        <is>
          <t>already_current</t>
        </is>
      </c>
      <c r="R74" s="2" t="inlineStr">
        <is>
          <t>Current scoring target already matches resolved list.</t>
        </is>
      </c>
      <c r="S74" s="2" t="inlineStr">
        <is>
          <t>https://code-repo.d4science.org/D-Net/dnet-hadoop</t>
        </is>
      </c>
      <c r="T74" s="2" t="inlineStr">
        <is>
          <t>12</t>
        </is>
      </c>
      <c r="U74" s="2" t="inlineStr">
        <is>
          <t>45</t>
        </is>
      </c>
      <c r="V74" s="2" t="inlineStr">
        <is>
          <t>2</t>
        </is>
      </c>
      <c r="W74" s="2" t="inlineStr">
        <is>
          <t>4</t>
        </is>
      </c>
      <c r="X74" s="2" t="inlineStr">
        <is>
          <t>0</t>
        </is>
      </c>
      <c r="Y74" s="2" t="inlineStr">
        <is>
          <t>0.0</t>
        </is>
      </c>
      <c r="Z74" s="2" t="inlineStr">
        <is>
          <t>9</t>
        </is>
      </c>
      <c r="AA74" s="2" t="inlineStr">
        <is>
          <t>0.05</t>
        </is>
      </c>
      <c r="AB74" s="2" t="inlineStr">
        <is>
          <t>4.59</t>
        </is>
      </c>
      <c r="AC74" s="2" t="inlineStr">
        <is>
          <t>complete</t>
        </is>
      </c>
      <c r="AD74" s="2" t="inlineStr">
        <is>
          <t>423</t>
        </is>
      </c>
      <c r="AE74" s="2" t="inlineStr">
        <is>
          <t>2026-10-12</t>
        </is>
      </c>
      <c r="AF74" s="2" t="inlineStr">
        <is>
          <t>129</t>
        </is>
      </c>
      <c r="AG74" s="2" t="inlineStr">
        <is>
          <t>1</t>
        </is>
      </c>
      <c r="AH74" s="2" t="inlineStr">
        <is>
          <t>6</t>
        </is>
      </c>
      <c r="AI74" s="2" t="inlineStr">
        <is>
          <t>2</t>
        </is>
      </c>
      <c r="AJ74" s="2" t="inlineStr">
        <is>
          <t>30.73</t>
        </is>
      </c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>
        <is>
          <t>no GitHub source</t>
        </is>
      </c>
      <c r="AY74" s="2" t="inlineStr"/>
      <c r="AZ74" s="2" t="inlineStr"/>
      <c r="BA74" s="2" t="inlineStr"/>
      <c r="BB74" s="2" t="inlineStr"/>
      <c r="BC74" s="2" t="inlineStr"/>
      <c r="BD74" s="2" t="inlineStr"/>
      <c r="BE74" s="2" t="inlineStr"/>
      <c r="BF74" s="2" t="inlineStr"/>
      <c r="BG74" s="2" t="inlineStr"/>
      <c r="BH74" s="2" t="inlineStr"/>
      <c r="BI74" s="2" t="inlineStr"/>
      <c r="BJ74" s="2" t="inlineStr"/>
      <c r="BK74" s="2" t="inlineStr"/>
      <c r="BL74" s="2" t="inlineStr"/>
      <c r="BM74" s="2" t="inlineStr"/>
      <c r="BN74" s="2" t="n">
        <v>87.56999999999999</v>
      </c>
      <c r="BO74" s="2" t="n">
        <v>1</v>
      </c>
      <c r="BP74" s="2" t="n">
        <v>86.54000000000001</v>
      </c>
      <c r="BQ74" s="2" t="n">
        <v>1</v>
      </c>
      <c r="BR74" s="2" t="n">
        <v>100</v>
      </c>
      <c r="BS74" s="2" t="n">
        <v>1</v>
      </c>
      <c r="BT74" s="2" t="n">
        <v>75</v>
      </c>
      <c r="BU74" s="2" t="n">
        <v>1</v>
      </c>
      <c r="BV74" s="2" t="n">
        <v>63.4</v>
      </c>
      <c r="BW74" s="2" t="n">
        <v>1</v>
      </c>
      <c r="BX74" s="2" t="n">
        <v>73.28</v>
      </c>
      <c r="BY74" s="2" t="n">
        <v>1</v>
      </c>
      <c r="BZ74" s="2" t="n">
        <v>100</v>
      </c>
      <c r="CA74" s="2" t="n">
        <v>1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0</v>
      </c>
      <c r="CN74" s="2" t="n">
        <v>45.06076923076923</v>
      </c>
      <c r="CO74" s="2" t="n">
        <v>7</v>
      </c>
      <c r="CP74" s="2" t="n">
        <v>0.5384615384615384</v>
      </c>
      <c r="CQ74" s="2" t="n">
        <v>83.68428571428572</v>
      </c>
      <c r="CR74" s="2" t="inlineStr">
        <is>
          <t>Gitea (same repo)</t>
        </is>
      </c>
      <c r="CS74" s="2" t="inlineStr"/>
      <c r="CT74" s="2" t="inlineStr"/>
      <c r="CU74" s="2" t="inlineStr">
        <is>
          <t>fill from external tracker or leave blank</t>
        </is>
      </c>
    </row>
    <row r="75">
      <c r="A75" s="2" t="inlineStr">
        <is>
          <t>C4-074</t>
        </is>
      </c>
      <c r="B75" s="2" t="inlineStr">
        <is>
          <t>OpenAlex</t>
        </is>
      </c>
      <c r="C75" s="2" t="inlineStr">
        <is>
          <t>https://github.com/ourresearch/openalex-official</t>
        </is>
      </c>
      <c r="D75" s="2" t="inlineStr">
        <is>
          <t>Replace URL -&gt; product set</t>
        </is>
      </c>
      <c r="E75" s="2" t="inlineStr">
        <is>
          <t>github</t>
        </is>
      </c>
      <c r="F75" s="2" t="inlineStr">
        <is>
          <t>ourresearch/openalex-walden;ourresearch/openalex-elastic-api</t>
        </is>
      </c>
      <c r="G75" s="2" t="inlineStr"/>
      <c r="H75" s="2" t="inlineStr"/>
      <c r="I75" s="2" t="inlineStr">
        <is>
          <t>yes</t>
        </is>
      </c>
      <c r="J75" s="2" t="inlineStr">
        <is>
          <t>software</t>
        </is>
      </c>
      <c r="K75" s="2" t="inlineStr">
        <is>
          <t>NONE on GitHub (elastic-api has no Issues tab); support via OpenAlex help desk</t>
        </is>
      </c>
      <c r="L75" s="2" t="inlineStr">
        <is>
          <t>openalex-official had 12 commits; walden = data pipelines, elastic-api = API</t>
        </is>
      </c>
      <c r="M75" s="2" t="inlineStr"/>
      <c r="N75" s="2" t="inlineStr"/>
      <c r="O75" s="2" t="inlineStr"/>
      <c r="P75" s="2" t="inlineStr"/>
      <c r="Q75" s="2" t="inlineStr"/>
      <c r="R75" s="2" t="inlineStr"/>
      <c r="S75" s="2" t="inlineStr">
        <is>
          <t>ourresearch/openalex-walden;ourresearch/openalex-elastic-api</t>
        </is>
      </c>
      <c r="T75" s="2" t="inlineStr">
        <is>
          <t>12</t>
        </is>
      </c>
      <c r="U75" s="2" t="inlineStr">
        <is>
          <t>52</t>
        </is>
      </c>
      <c r="V75" s="2" t="inlineStr">
        <is>
          <t>2</t>
        </is>
      </c>
      <c r="W75" s="2" t="inlineStr">
        <is>
          <t>4</t>
        </is>
      </c>
      <c r="X75" s="2" t="inlineStr">
        <is>
          <t>0</t>
        </is>
      </c>
      <c r="Y75" s="2" t="inlineStr">
        <is>
          <t>0.0</t>
        </is>
      </c>
      <c r="Z75" s="2" t="inlineStr">
        <is>
          <t>12</t>
        </is>
      </c>
      <c r="AA75" s="2" t="inlineStr">
        <is>
          <t>0.0</t>
        </is>
      </c>
      <c r="AB75" s="2" t="inlineStr">
        <is>
          <t>4.26</t>
        </is>
      </c>
      <c r="AC75" s="2" t="inlineStr">
        <is>
          <t>complete</t>
        </is>
      </c>
      <c r="AD75" s="2" t="inlineStr">
        <is>
          <t>3668</t>
        </is>
      </c>
      <c r="AE75" s="2" t="inlineStr">
        <is>
          <t>2026-10-13</t>
        </is>
      </c>
      <c r="AF75" s="2" t="inlineStr">
        <is>
          <t>184</t>
        </is>
      </c>
      <c r="AG75" s="2" t="inlineStr">
        <is>
          <t>3</t>
        </is>
      </c>
      <c r="AH75" s="2" t="inlineStr">
        <is>
          <t>5</t>
        </is>
      </c>
      <c r="AI75" s="2" t="inlineStr">
        <is>
          <t>0</t>
        </is>
      </c>
      <c r="AJ75" s="2" t="inlineStr">
        <is>
          <t>39.91</t>
        </is>
      </c>
      <c r="AK75" s="2" t="inlineStr">
        <is>
          <t>81.38</t>
        </is>
      </c>
      <c r="AL75" s="2" t="inlineStr"/>
      <c r="AM75" s="2" t="inlineStr"/>
      <c r="AN75" s="2" t="inlineStr"/>
      <c r="AO75" s="2" t="inlineStr"/>
      <c r="AP75" s="2" t="inlineStr"/>
      <c r="AQ75" s="2" t="inlineStr">
        <is>
          <t>41.73</t>
        </is>
      </c>
      <c r="AR75" s="2" t="inlineStr">
        <is>
          <t>145</t>
        </is>
      </c>
      <c r="AS75" s="2" t="inlineStr">
        <is>
          <t>35</t>
        </is>
      </c>
      <c r="AT75" s="2" t="inlineStr">
        <is>
          <t>199</t>
        </is>
      </c>
      <c r="AU75" s="2" t="inlineStr">
        <is>
          <t>153</t>
        </is>
      </c>
      <c r="AV75" s="2" t="inlineStr">
        <is>
          <t>11</t>
        </is>
      </c>
      <c r="AW75" s="2" t="inlineStr">
        <is>
          <t>9</t>
        </is>
      </c>
      <c r="AX75" s="2" t="inlineStr">
        <is>
          <t>complete</t>
        </is>
      </c>
      <c r="AY75" s="2" t="inlineStr"/>
      <c r="AZ75" s="2" t="inlineStr"/>
      <c r="BA75" s="2" t="inlineStr"/>
      <c r="BB75" s="2" t="inlineStr">
        <is>
          <t>185</t>
        </is>
      </c>
      <c r="BC75" s="2" t="inlineStr">
        <is>
          <t>194</t>
        </is>
      </c>
      <c r="BD75" s="2" t="inlineStr">
        <is>
          <t>0.9536</t>
        </is>
      </c>
      <c r="BE75" s="2" t="inlineStr">
        <is>
          <t>26</t>
        </is>
      </c>
      <c r="BF75" s="2" t="inlineStr">
        <is>
          <t>17</t>
        </is>
      </c>
      <c r="BG75" s="2" t="inlineStr"/>
      <c r="BH75" s="2" t="inlineStr"/>
      <c r="BI75" s="2" t="inlineStr"/>
      <c r="BJ75" s="2" t="inlineStr"/>
      <c r="BK75" s="2" t="inlineStr">
        <is>
          <t>198</t>
        </is>
      </c>
      <c r="BL75" s="2" t="inlineStr">
        <is>
          <t>0.7323</t>
        </is>
      </c>
      <c r="BM75" s="2" t="inlineStr">
        <is>
          <t>145</t>
        </is>
      </c>
      <c r="BN75" s="2" t="n">
        <v>100</v>
      </c>
      <c r="BO75" s="2" t="n">
        <v>1</v>
      </c>
      <c r="BP75" s="2" t="n">
        <v>100</v>
      </c>
      <c r="BQ75" s="2" t="n">
        <v>1</v>
      </c>
      <c r="BR75" s="2" t="n">
        <v>100</v>
      </c>
      <c r="BS75" s="2" t="n">
        <v>1</v>
      </c>
      <c r="BT75" s="2" t="n">
        <v>0</v>
      </c>
      <c r="BU75" s="2" t="n">
        <v>1</v>
      </c>
      <c r="BV75" s="2" t="n">
        <v>71.7</v>
      </c>
      <c r="BW75" s="2" t="n">
        <v>1</v>
      </c>
      <c r="BX75" s="2" t="n">
        <v>69.7</v>
      </c>
      <c r="BY75" s="2" t="n">
        <v>1</v>
      </c>
      <c r="BZ75" s="2" t="n">
        <v>100</v>
      </c>
      <c r="CA75" s="2" t="n">
        <v>1</v>
      </c>
      <c r="CB75" s="2" t="n">
        <v>0</v>
      </c>
      <c r="CC75" s="2" t="n">
        <v>0</v>
      </c>
      <c r="CD75" s="2" t="n">
        <v>73.23</v>
      </c>
      <c r="CE75" s="2" t="n">
        <v>1</v>
      </c>
      <c r="CF75" s="2" t="n">
        <v>0</v>
      </c>
      <c r="CG75" s="2" t="n">
        <v>0</v>
      </c>
      <c r="CH75" s="2" t="n">
        <v>95.36</v>
      </c>
      <c r="CI75" s="2" t="n">
        <v>1</v>
      </c>
      <c r="CJ75" s="2" t="n">
        <v>47.71</v>
      </c>
      <c r="CK75" s="2" t="n">
        <v>1</v>
      </c>
      <c r="CL75" s="2" t="n">
        <v>62.63</v>
      </c>
      <c r="CM75" s="2" t="n">
        <v>1</v>
      </c>
      <c r="CN75" s="2" t="n">
        <v>63.10230769230769</v>
      </c>
      <c r="CO75" s="2" t="n">
        <v>11</v>
      </c>
      <c r="CP75" s="2" t="n">
        <v>0.8461538461538461</v>
      </c>
      <c r="CQ75" s="2" t="n">
        <v>74.57545454545455</v>
      </c>
      <c r="CR75" s="2" t="inlineStr">
        <is>
          <t>NONE on GitHub (elastic-api has no Issues tab); support via OpenAlex help desk</t>
        </is>
      </c>
      <c r="CS75" s="2" t="inlineStr"/>
      <c r="CT75" s="2" t="inlineStr"/>
      <c r="CU75" s="2" t="inlineStr">
        <is>
          <t>fill from external tracker or leave blank</t>
        </is>
      </c>
    </row>
    <row r="76">
      <c r="A76" s="2" t="inlineStr">
        <is>
          <t>C4-075</t>
        </is>
      </c>
      <c r="B76" s="2" t="inlineStr">
        <is>
          <t>OpenAPC</t>
        </is>
      </c>
      <c r="C76" s="2" t="inlineStr">
        <is>
          <t>https://github.com/OpenAPC/openapc-de</t>
        </is>
      </c>
      <c r="D76" s="2" t="inlineStr">
        <is>
          <t>Ready</t>
        </is>
      </c>
      <c r="E76" s="2" t="inlineStr">
        <is>
          <t>github</t>
        </is>
      </c>
      <c r="F76" s="2" t="inlineStr">
        <is>
          <t>OpenAPC/openapc-de</t>
        </is>
      </c>
      <c r="G76" s="2" t="inlineStr"/>
      <c r="H76" s="2" t="inlineStr"/>
      <c r="I76" s="2" t="inlineStr">
        <is>
          <t>yes</t>
        </is>
      </c>
      <c r="J76" s="2" t="inlineStr">
        <is>
          <t>software</t>
        </is>
      </c>
      <c r="K76" s="2" t="inlineStr">
        <is>
          <t>GitHub (same repo)</t>
        </is>
      </c>
      <c r="L76" s="2" t="inlineStr"/>
      <c r="M76" s="2" t="inlineStr">
        <is>
          <t>OpenAPC/openapc-de</t>
        </is>
      </c>
      <c r="N76" s="2" t="inlineStr"/>
      <c r="O76" s="2" t="inlineStr"/>
      <c r="P76" s="2" t="inlineStr"/>
      <c r="Q76" s="2" t="inlineStr"/>
      <c r="R76" s="2" t="inlineStr"/>
      <c r="S76" s="2" t="inlineStr">
        <is>
          <t>OpenAPC/openapc-de</t>
        </is>
      </c>
      <c r="T76" s="2" t="inlineStr">
        <is>
          <t>12</t>
        </is>
      </c>
      <c r="U76" s="2" t="inlineStr">
        <is>
          <t>50</t>
        </is>
      </c>
      <c r="V76" s="2" t="inlineStr">
        <is>
          <t>2</t>
        </is>
      </c>
      <c r="W76" s="2" t="inlineStr">
        <is>
          <t>2</t>
        </is>
      </c>
      <c r="X76" s="2" t="inlineStr">
        <is>
          <t>0</t>
        </is>
      </c>
      <c r="Y76" s="2" t="inlineStr">
        <is>
          <t>0.0</t>
        </is>
      </c>
      <c r="Z76" s="2" t="inlineStr">
        <is>
          <t>11</t>
        </is>
      </c>
      <c r="AA76" s="2" t="inlineStr">
        <is>
          <t>0.36</t>
        </is>
      </c>
      <c r="AB76" s="2" t="inlineStr">
        <is>
          <t>2.09</t>
        </is>
      </c>
      <c r="AC76" s="2" t="inlineStr">
        <is>
          <t>complete</t>
        </is>
      </c>
      <c r="AD76" s="2" t="inlineStr">
        <is>
          <t>2631</t>
        </is>
      </c>
      <c r="AE76" s="2" t="inlineStr">
        <is>
          <t>2026-10-13</t>
        </is>
      </c>
      <c r="AF76" s="2" t="inlineStr">
        <is>
          <t>286</t>
        </is>
      </c>
      <c r="AG76" s="2" t="inlineStr">
        <is>
          <t>0</t>
        </is>
      </c>
      <c r="AH76" s="2" t="inlineStr">
        <is>
          <t>6</t>
        </is>
      </c>
      <c r="AI76" s="2" t="inlineStr">
        <is>
          <t>219</t>
        </is>
      </c>
      <c r="AJ76" s="2" t="inlineStr">
        <is>
          <t>49.3</t>
        </is>
      </c>
      <c r="AK76" s="2" t="inlineStr">
        <is>
          <t>99.6</t>
        </is>
      </c>
      <c r="AL76" s="2" t="inlineStr"/>
      <c r="AM76" s="2" t="inlineStr">
        <is>
          <t>0</t>
        </is>
      </c>
      <c r="AN76" s="2" t="inlineStr">
        <is>
          <t>0</t>
        </is>
      </c>
      <c r="AO76" s="2" t="inlineStr">
        <is>
          <t>1</t>
        </is>
      </c>
      <c r="AP76" s="2" t="inlineStr">
        <is>
          <t>11</t>
        </is>
      </c>
      <c r="AQ76" s="2" t="inlineStr">
        <is>
          <t>439.23</t>
        </is>
      </c>
      <c r="AR76" s="2" t="inlineStr">
        <is>
          <t>20</t>
        </is>
      </c>
      <c r="AS76" s="2" t="inlineStr">
        <is>
          <t>1</t>
        </is>
      </c>
      <c r="AT76" s="2" t="inlineStr">
        <is>
          <t>252</t>
        </is>
      </c>
      <c r="AU76" s="2" t="inlineStr">
        <is>
          <t>249</t>
        </is>
      </c>
      <c r="AV76" s="2" t="inlineStr">
        <is>
          <t>2</t>
        </is>
      </c>
      <c r="AW76" s="2" t="inlineStr">
        <is>
          <t>230</t>
        </is>
      </c>
      <c r="AX76" s="2" t="inlineStr">
        <is>
          <t>complete</t>
        </is>
      </c>
      <c r="AY76" s="2" t="inlineStr">
        <is>
          <t>0</t>
        </is>
      </c>
      <c r="AZ76" s="2" t="inlineStr"/>
      <c r="BA76" s="2" t="inlineStr">
        <is>
          <t>1</t>
        </is>
      </c>
      <c r="BB76" s="2" t="inlineStr">
        <is>
          <t>229</t>
        </is>
      </c>
      <c r="BC76" s="2" t="inlineStr">
        <is>
          <t>235</t>
        </is>
      </c>
      <c r="BD76" s="2" t="inlineStr">
        <is>
          <t>0.9745</t>
        </is>
      </c>
      <c r="BE76" s="2" t="inlineStr">
        <is>
          <t>9</t>
        </is>
      </c>
      <c r="BF76" s="2" t="inlineStr">
        <is>
          <t>5</t>
        </is>
      </c>
      <c r="BG76" s="2" t="inlineStr">
        <is>
          <t>all issues (too few non-maintainer)</t>
        </is>
      </c>
      <c r="BH76" s="2" t="inlineStr"/>
      <c r="BI76" s="2" t="inlineStr">
        <is>
          <t>1</t>
        </is>
      </c>
      <c r="BJ76" s="2" t="inlineStr">
        <is>
          <t>0</t>
        </is>
      </c>
      <c r="BK76" s="2" t="inlineStr">
        <is>
          <t>247</t>
        </is>
      </c>
      <c r="BL76" s="2" t="inlineStr">
        <is>
          <t>0.0243</t>
        </is>
      </c>
      <c r="BM76" s="2" t="inlineStr">
        <is>
          <t>6</t>
        </is>
      </c>
      <c r="BN76" s="2" t="n">
        <v>100</v>
      </c>
      <c r="BO76" s="2" t="n">
        <v>1</v>
      </c>
      <c r="BP76" s="2" t="n">
        <v>96.15000000000001</v>
      </c>
      <c r="BQ76" s="2" t="n">
        <v>1</v>
      </c>
      <c r="BR76" s="2" t="n">
        <v>100</v>
      </c>
      <c r="BS76" s="2" t="n">
        <v>1</v>
      </c>
      <c r="BT76" s="2" t="n">
        <v>100</v>
      </c>
      <c r="BU76" s="2" t="n">
        <v>1</v>
      </c>
      <c r="BV76" s="2" t="n">
        <v>69.19</v>
      </c>
      <c r="BW76" s="2" t="n">
        <v>1</v>
      </c>
      <c r="BX76" s="2" t="n">
        <v>35.45</v>
      </c>
      <c r="BY76" s="2" t="n">
        <v>1</v>
      </c>
      <c r="BZ76" s="2" t="n">
        <v>100</v>
      </c>
      <c r="CA76" s="2" t="n">
        <v>1</v>
      </c>
      <c r="CB76" s="2" t="n">
        <v>0</v>
      </c>
      <c r="CC76" s="2" t="n">
        <v>0</v>
      </c>
      <c r="CD76" s="2" t="n">
        <v>2.43</v>
      </c>
      <c r="CE76" s="2" t="n">
        <v>1</v>
      </c>
      <c r="CF76" s="2" t="n">
        <v>0</v>
      </c>
      <c r="CG76" s="2" t="n">
        <v>0</v>
      </c>
      <c r="CH76" s="2" t="n">
        <v>97.45</v>
      </c>
      <c r="CI76" s="2" t="n">
        <v>1</v>
      </c>
      <c r="CJ76" s="2" t="n">
        <v>33.33</v>
      </c>
      <c r="CK76" s="2" t="n">
        <v>1</v>
      </c>
      <c r="CL76" s="2" t="n">
        <v>38.82</v>
      </c>
      <c r="CM76" s="2" t="n">
        <v>1</v>
      </c>
      <c r="CN76" s="2" t="n">
        <v>59.44769230769231</v>
      </c>
      <c r="CO76" s="2" t="n">
        <v>11</v>
      </c>
      <c r="CP76" s="2" t="n">
        <v>0.8461538461538461</v>
      </c>
      <c r="CQ76" s="2" t="n">
        <v>70.25636363636363</v>
      </c>
      <c r="CR76" s="2" t="inlineStr"/>
      <c r="CS76" s="2" t="inlineStr"/>
      <c r="CT76" s="2" t="inlineStr"/>
      <c r="CU76" s="2" t="inlineStr"/>
    </row>
    <row r="77">
      <c r="A77" s="2" t="inlineStr">
        <is>
          <t>C4-076</t>
        </is>
      </c>
      <c r="B77" s="2" t="inlineStr">
        <is>
          <t>OpenCitations</t>
        </is>
      </c>
      <c r="C77" s="2" t="inlineStr">
        <is>
          <t>https://github.com/opencitations/OpenCitationsCorpus</t>
        </is>
      </c>
      <c r="D77" s="2" t="inlineStr">
        <is>
          <t>Replace URL</t>
        </is>
      </c>
      <c r="E77" s="2" t="inlineStr">
        <is>
          <t>github</t>
        </is>
      </c>
      <c r="F77" s="2" t="inlineStr">
        <is>
          <t>opencitations/oc_meta</t>
        </is>
      </c>
      <c r="G77" s="2" t="inlineStr"/>
      <c r="H77" s="2" t="inlineStr"/>
      <c r="I77" s="2" t="inlineStr">
        <is>
          <t>yes</t>
        </is>
      </c>
      <c r="J77" s="2" t="inlineStr">
        <is>
          <t>software</t>
        </is>
      </c>
      <c r="K77" s="2" t="inlineStr">
        <is>
          <t>GitHub (same repo)</t>
        </is>
      </c>
      <c r="L77" s="2" t="inlineStr">
        <is>
          <t>OpenCitationsCorpus idle since 2014; oc_meta manages OpenCitations Meta</t>
        </is>
      </c>
      <c r="M77" s="2" t="inlineStr">
        <is>
          <t>opencitations/oc_meta</t>
        </is>
      </c>
      <c r="N77" s="2" t="inlineStr"/>
      <c r="O77" s="2" t="inlineStr"/>
      <c r="P77" s="2" t="inlineStr"/>
      <c r="Q77" s="2" t="inlineStr"/>
      <c r="R77" s="2" t="inlineStr"/>
      <c r="S77" s="2" t="inlineStr">
        <is>
          <t>opencitations/oc_meta</t>
        </is>
      </c>
      <c r="T77" s="2" t="inlineStr">
        <is>
          <t>11</t>
        </is>
      </c>
      <c r="U77" s="2" t="inlineStr">
        <is>
          <t>37</t>
        </is>
      </c>
      <c r="V77" s="2" t="inlineStr">
        <is>
          <t>1</t>
        </is>
      </c>
      <c r="W77" s="2" t="inlineStr">
        <is>
          <t>1</t>
        </is>
      </c>
      <c r="X77" s="2" t="inlineStr">
        <is>
          <t>27</t>
        </is>
      </c>
      <c r="Y77" s="2" t="inlineStr">
        <is>
          <t>0.098</t>
        </is>
      </c>
      <c r="Z77" s="2" t="inlineStr">
        <is>
          <t>3</t>
        </is>
      </c>
      <c r="AA77" s="2" t="inlineStr">
        <is>
          <t>8.36</t>
        </is>
      </c>
      <c r="AB77" s="2" t="inlineStr">
        <is>
          <t>1.23</t>
        </is>
      </c>
      <c r="AC77" s="2" t="inlineStr">
        <is>
          <t>complete</t>
        </is>
      </c>
      <c r="AD77" s="2" t="inlineStr">
        <is>
          <t>248</t>
        </is>
      </c>
      <c r="AE77" s="2" t="inlineStr">
        <is>
          <t>2026-10-12</t>
        </is>
      </c>
      <c r="AF77" s="2" t="inlineStr">
        <is>
          <t>28</t>
        </is>
      </c>
      <c r="AG77" s="2" t="inlineStr">
        <is>
          <t>0</t>
        </is>
      </c>
      <c r="AH77" s="2" t="inlineStr">
        <is>
          <t>2</t>
        </is>
      </c>
      <c r="AI77" s="2" t="inlineStr">
        <is>
          <t>1</t>
        </is>
      </c>
      <c r="AJ77" s="2" t="inlineStr">
        <is>
          <t>89.52</t>
        </is>
      </c>
      <c r="AK77" s="2" t="inlineStr">
        <is>
          <t>100.0</t>
        </is>
      </c>
      <c r="AL77" s="2" t="inlineStr">
        <is>
          <t>1514.76</t>
        </is>
      </c>
      <c r="AM77" s="2" t="inlineStr">
        <is>
          <t>2</t>
        </is>
      </c>
      <c r="AN77" s="2" t="inlineStr">
        <is>
          <t>1</t>
        </is>
      </c>
      <c r="AO77" s="2" t="inlineStr">
        <is>
          <t>4</t>
        </is>
      </c>
      <c r="AP77" s="2" t="inlineStr">
        <is>
          <t>25</t>
        </is>
      </c>
      <c r="AQ77" s="2" t="inlineStr">
        <is>
          <t>4.94</t>
        </is>
      </c>
      <c r="AR77" s="2" t="inlineStr">
        <is>
          <t>1</t>
        </is>
      </c>
      <c r="AS77" s="2" t="inlineStr">
        <is>
          <t>0</t>
        </is>
      </c>
      <c r="AT77" s="2" t="inlineStr">
        <is>
          <t>1</t>
        </is>
      </c>
      <c r="AU77" s="2" t="inlineStr">
        <is>
          <t>1</t>
        </is>
      </c>
      <c r="AV77" s="2" t="inlineStr">
        <is>
          <t>0</t>
        </is>
      </c>
      <c r="AW77" s="2" t="inlineStr">
        <is>
          <t>0</t>
        </is>
      </c>
      <c r="AX77" s="2" t="inlineStr">
        <is>
          <t>complete</t>
        </is>
      </c>
      <c r="AY77" s="2" t="inlineStr">
        <is>
          <t>0</t>
        </is>
      </c>
      <c r="AZ77" s="2" t="inlineStr"/>
      <c r="BA77" s="2" t="inlineStr">
        <is>
          <t>1</t>
        </is>
      </c>
      <c r="BB77" s="2" t="inlineStr">
        <is>
          <t>0</t>
        </is>
      </c>
      <c r="BC77" s="2" t="inlineStr">
        <is>
          <t>0</t>
        </is>
      </c>
      <c r="BD77" s="2" t="inlineStr"/>
      <c r="BE77" s="2" t="inlineStr">
        <is>
          <t>0</t>
        </is>
      </c>
      <c r="BF77" s="2" t="inlineStr">
        <is>
          <t>1</t>
        </is>
      </c>
      <c r="BG77" s="2" t="inlineStr">
        <is>
          <t>all issues (too few non-maintainer)</t>
        </is>
      </c>
      <c r="BH77" s="2" t="inlineStr"/>
      <c r="BI77" s="2" t="inlineStr">
        <is>
          <t>4</t>
        </is>
      </c>
      <c r="BJ77" s="2" t="inlineStr">
        <is>
          <t>0</t>
        </is>
      </c>
      <c r="BK77" s="2" t="inlineStr">
        <is>
          <t>1</t>
        </is>
      </c>
      <c r="BL77" s="2" t="inlineStr"/>
      <c r="BM77" s="2" t="inlineStr">
        <is>
          <t>1</t>
        </is>
      </c>
      <c r="BN77" s="2" t="n">
        <v>79.86</v>
      </c>
      <c r="BO77" s="2" t="n">
        <v>1</v>
      </c>
      <c r="BP77" s="2" t="n">
        <v>71.15000000000001</v>
      </c>
      <c r="BQ77" s="2" t="n">
        <v>1</v>
      </c>
      <c r="BR77" s="2" t="n">
        <v>100</v>
      </c>
      <c r="BS77" s="2" t="n">
        <v>1</v>
      </c>
      <c r="BT77" s="2" t="n">
        <v>50</v>
      </c>
      <c r="BU77" s="2" t="n">
        <v>1</v>
      </c>
      <c r="BV77" s="2" t="n">
        <v>31.7</v>
      </c>
      <c r="BW77" s="2" t="n">
        <v>1</v>
      </c>
      <c r="BX77" s="2" t="n">
        <v>9.960000000000001</v>
      </c>
      <c r="BY77" s="2" t="n">
        <v>1</v>
      </c>
      <c r="BZ77" s="2" t="n">
        <v>50</v>
      </c>
      <c r="CA77" s="2" t="n">
        <v>1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1</v>
      </c>
      <c r="CL77" s="2" t="n">
        <v>15.02</v>
      </c>
      <c r="CM77" s="2" t="n">
        <v>1</v>
      </c>
      <c r="CN77" s="2" t="n">
        <v>31.36076923076923</v>
      </c>
      <c r="CO77" s="2" t="n">
        <v>9</v>
      </c>
      <c r="CP77" s="2" t="n">
        <v>0.6923076923076923</v>
      </c>
      <c r="CQ77" s="2" t="n">
        <v>45.29888888888889</v>
      </c>
      <c r="CR77" s="2" t="inlineStr"/>
      <c r="CS77" s="2" t="inlineStr"/>
      <c r="CT77" s="2" t="inlineStr"/>
      <c r="CU77" s="2" t="inlineStr"/>
    </row>
    <row r="78">
      <c r="A78" s="2" t="inlineStr">
        <is>
          <t>C4-077</t>
        </is>
      </c>
      <c r="B78" s="2" t="inlineStr">
        <is>
          <t>openCost</t>
        </is>
      </c>
      <c r="C78" s="2" t="inlineStr">
        <is>
          <t>https://github.com/opencost-de/opencost/tree/main/doc</t>
        </is>
      </c>
      <c r="D78" s="2" t="inlineStr">
        <is>
          <t>Fix URL (repo root)</t>
        </is>
      </c>
      <c r="E78" s="2" t="inlineStr">
        <is>
          <t>github</t>
        </is>
      </c>
      <c r="F78" s="2" t="inlineStr">
        <is>
          <t>opencost-de/opencost</t>
        </is>
      </c>
      <c r="G78" s="2" t="inlineStr"/>
      <c r="H78" s="2" t="inlineStr"/>
      <c r="I78" s="2" t="inlineStr">
        <is>
          <t>yes</t>
        </is>
      </c>
      <c r="J78" s="2" t="inlineStr">
        <is>
          <t>software</t>
        </is>
      </c>
      <c r="K78" s="2" t="inlineStr">
        <is>
          <t>GitHub (same repo)</t>
        </is>
      </c>
      <c r="L78" s="2" t="inlineStr">
        <is>
          <t>URL pointed to /doc subfolder</t>
        </is>
      </c>
      <c r="M78" s="2" t="inlineStr">
        <is>
          <t>opencost-de/opencost</t>
        </is>
      </c>
      <c r="N78" s="2" t="inlineStr"/>
      <c r="O78" s="2" t="inlineStr"/>
      <c r="P78" s="2" t="inlineStr"/>
      <c r="Q78" s="2" t="inlineStr"/>
      <c r="R78" s="2" t="inlineStr"/>
      <c r="S78" s="2" t="inlineStr">
        <is>
          <t>opencost-de/opencost</t>
        </is>
      </c>
      <c r="T78" s="2" t="inlineStr">
        <is>
          <t>5</t>
        </is>
      </c>
      <c r="U78" s="2" t="inlineStr">
        <is>
          <t>11</t>
        </is>
      </c>
      <c r="V78" s="2" t="inlineStr">
        <is>
          <t>1</t>
        </is>
      </c>
      <c r="W78" s="2" t="inlineStr">
        <is>
          <t>2</t>
        </is>
      </c>
      <c r="X78" s="2" t="inlineStr">
        <is>
          <t>0</t>
        </is>
      </c>
      <c r="Y78" s="2" t="inlineStr">
        <is>
          <t>0.0</t>
        </is>
      </c>
      <c r="Z78" s="2" t="inlineStr">
        <is>
          <t>4</t>
        </is>
      </c>
      <c r="AA78" s="2" t="inlineStr">
        <is>
          <t>1.42</t>
        </is>
      </c>
      <c r="AB78" s="2" t="inlineStr">
        <is>
          <t>1.7</t>
        </is>
      </c>
      <c r="AC78" s="2" t="inlineStr">
        <is>
          <t>complete</t>
        </is>
      </c>
      <c r="AD78" s="2" t="inlineStr">
        <is>
          <t>52</t>
        </is>
      </c>
      <c r="AE78" s="2" t="inlineStr">
        <is>
          <t>2026-10-07</t>
        </is>
      </c>
      <c r="AF78" s="2" t="inlineStr">
        <is>
          <t>9</t>
        </is>
      </c>
      <c r="AG78" s="2" t="inlineStr">
        <is>
          <t>0</t>
        </is>
      </c>
      <c r="AH78" s="2" t="inlineStr">
        <is>
          <t>1</t>
        </is>
      </c>
      <c r="AI78" s="2" t="inlineStr">
        <is>
          <t>0</t>
        </is>
      </c>
      <c r="AJ78" s="2" t="inlineStr">
        <is>
          <t>75.0</t>
        </is>
      </c>
      <c r="AK78" s="2" t="inlineStr">
        <is>
          <t>100.0</t>
        </is>
      </c>
      <c r="AL78" s="2" t="inlineStr">
        <is>
          <t>335.33</t>
        </is>
      </c>
      <c r="AM78" s="2" t="inlineStr">
        <is>
          <t>7</t>
        </is>
      </c>
      <c r="AN78" s="2" t="inlineStr">
        <is>
          <t>0</t>
        </is>
      </c>
      <c r="AO78" s="2" t="inlineStr">
        <is>
          <t>31</t>
        </is>
      </c>
      <c r="AP78" s="2" t="inlineStr">
        <is>
          <t>29</t>
        </is>
      </c>
      <c r="AQ78" s="2" t="inlineStr">
        <is>
          <t>10.36</t>
        </is>
      </c>
      <c r="AR78" s="2" t="inlineStr">
        <is>
          <t>1</t>
        </is>
      </c>
      <c r="AS78" s="2" t="inlineStr">
        <is>
          <t>0</t>
        </is>
      </c>
      <c r="AT78" s="2" t="inlineStr">
        <is>
          <t>9</t>
        </is>
      </c>
      <c r="AU78" s="2" t="inlineStr">
        <is>
          <t>8</t>
        </is>
      </c>
      <c r="AV78" s="2" t="inlineStr">
        <is>
          <t>1</t>
        </is>
      </c>
      <c r="AW78" s="2" t="inlineStr">
        <is>
          <t>7</t>
        </is>
      </c>
      <c r="AX78" s="2" t="inlineStr">
        <is>
          <t>complete</t>
        </is>
      </c>
      <c r="AY78" s="2" t="inlineStr">
        <is>
          <t>1</t>
        </is>
      </c>
      <c r="AZ78" s="2" t="inlineStr">
        <is>
          <t>0.0385</t>
        </is>
      </c>
      <c r="BA78" s="2" t="inlineStr">
        <is>
          <t>26</t>
        </is>
      </c>
      <c r="BB78" s="2" t="inlineStr">
        <is>
          <t>3</t>
        </is>
      </c>
      <c r="BC78" s="2" t="inlineStr">
        <is>
          <t>4</t>
        </is>
      </c>
      <c r="BD78" s="2" t="inlineStr"/>
      <c r="BE78" s="2" t="inlineStr">
        <is>
          <t>2</t>
        </is>
      </c>
      <c r="BF78" s="2" t="inlineStr">
        <is>
          <t>1</t>
        </is>
      </c>
      <c r="BG78" s="2" t="inlineStr">
        <is>
          <t>non-maintainer issues</t>
        </is>
      </c>
      <c r="BH78" s="2" t="inlineStr">
        <is>
          <t>0.1333</t>
        </is>
      </c>
      <c r="BI78" s="2" t="inlineStr">
        <is>
          <t>30</t>
        </is>
      </c>
      <c r="BJ78" s="2" t="inlineStr">
        <is>
          <t>4</t>
        </is>
      </c>
      <c r="BK78" s="2" t="inlineStr">
        <is>
          <t>9</t>
        </is>
      </c>
      <c r="BL78" s="2" t="inlineStr"/>
      <c r="BM78" s="2" t="inlineStr">
        <is>
          <t>1</t>
        </is>
      </c>
      <c r="BN78" s="2" t="n">
        <v>57.47</v>
      </c>
      <c r="BO78" s="2" t="n">
        <v>1</v>
      </c>
      <c r="BP78" s="2" t="n">
        <v>21.15</v>
      </c>
      <c r="BQ78" s="2" t="n">
        <v>1</v>
      </c>
      <c r="BR78" s="2" t="n">
        <v>100</v>
      </c>
      <c r="BS78" s="2" t="n">
        <v>1</v>
      </c>
      <c r="BT78" s="2" t="n">
        <v>0</v>
      </c>
      <c r="BU78" s="2" t="n">
        <v>1</v>
      </c>
      <c r="BV78" s="2" t="n">
        <v>40</v>
      </c>
      <c r="BW78" s="2" t="n">
        <v>1</v>
      </c>
      <c r="BX78" s="2" t="n">
        <v>25.52</v>
      </c>
      <c r="BY78" s="2" t="n">
        <v>1</v>
      </c>
      <c r="BZ78" s="2" t="n">
        <v>25</v>
      </c>
      <c r="CA78" s="2" t="n">
        <v>1</v>
      </c>
      <c r="CB78" s="2" t="n">
        <v>13.33</v>
      </c>
      <c r="CC78" s="2" t="n">
        <v>1</v>
      </c>
      <c r="CD78" s="2" t="n">
        <v>0</v>
      </c>
      <c r="CE78" s="2" t="n">
        <v>0</v>
      </c>
      <c r="CF78" s="2" t="n">
        <v>3.85</v>
      </c>
      <c r="CG78" s="2" t="n">
        <v>1</v>
      </c>
      <c r="CH78" s="2" t="n">
        <v>0</v>
      </c>
      <c r="CI78" s="2" t="n">
        <v>0</v>
      </c>
      <c r="CJ78" s="2" t="n">
        <v>15.9</v>
      </c>
      <c r="CK78" s="2" t="n">
        <v>1</v>
      </c>
      <c r="CL78" s="2" t="n">
        <v>15.02</v>
      </c>
      <c r="CM78" s="2" t="n">
        <v>1</v>
      </c>
      <c r="CN78" s="2" t="n">
        <v>24.40307692307692</v>
      </c>
      <c r="CO78" s="2" t="n">
        <v>11</v>
      </c>
      <c r="CP78" s="2" t="n">
        <v>0.8461538461538461</v>
      </c>
      <c r="CQ78" s="2" t="n">
        <v>28.84</v>
      </c>
      <c r="CR78" s="2" t="inlineStr"/>
      <c r="CS78" s="2" t="inlineStr"/>
      <c r="CT78" s="2" t="inlineStr"/>
      <c r="CU78" s="2" t="inlineStr"/>
    </row>
    <row r="79">
      <c r="A79" s="2" t="inlineStr">
        <is>
          <t>C4-078</t>
        </is>
      </c>
      <c r="B79" s="2" t="inlineStr">
        <is>
          <t>Open Data Editor</t>
        </is>
      </c>
      <c r="C79" s="2" t="inlineStr">
        <is>
          <t>https://github.com/okfn/opendataeditor</t>
        </is>
      </c>
      <c r="D79" s="2" t="inlineStr">
        <is>
          <t>Ready</t>
        </is>
      </c>
      <c r="E79" s="2" t="inlineStr">
        <is>
          <t>github</t>
        </is>
      </c>
      <c r="F79" s="2" t="inlineStr">
        <is>
          <t>okfn/opendataeditor</t>
        </is>
      </c>
      <c r="G79" s="2" t="inlineStr"/>
      <c r="H79" s="2" t="inlineStr"/>
      <c r="I79" s="2" t="inlineStr">
        <is>
          <t>yes</t>
        </is>
      </c>
      <c r="J79" s="2" t="inlineStr">
        <is>
          <t>software</t>
        </is>
      </c>
      <c r="K79" s="2" t="inlineStr">
        <is>
          <t>GitHub (same repo)</t>
        </is>
      </c>
      <c r="L79" s="2" t="inlineStr"/>
      <c r="M79" s="2" t="inlineStr">
        <is>
          <t>okfn/opendataeditor</t>
        </is>
      </c>
      <c r="N79" s="2" t="inlineStr"/>
      <c r="O79" s="2" t="inlineStr"/>
      <c r="P79" s="2" t="inlineStr"/>
      <c r="Q79" s="2" t="inlineStr"/>
      <c r="R79" s="2" t="inlineStr"/>
      <c r="S79" s="2" t="inlineStr">
        <is>
          <t>okfn/opendataeditor</t>
        </is>
      </c>
      <c r="T79" s="2" t="inlineStr">
        <is>
          <t>4</t>
        </is>
      </c>
      <c r="U79" s="2" t="inlineStr">
        <is>
          <t>9</t>
        </is>
      </c>
      <c r="V79" s="2" t="inlineStr">
        <is>
          <t>1</t>
        </is>
      </c>
      <c r="W79" s="2" t="inlineStr">
        <is>
          <t>4</t>
        </is>
      </c>
      <c r="X79" s="2" t="inlineStr">
        <is>
          <t>0</t>
        </is>
      </c>
      <c r="Y79" s="2" t="inlineStr">
        <is>
          <t>0.0</t>
        </is>
      </c>
      <c r="Z79" s="2" t="inlineStr">
        <is>
          <t>7</t>
        </is>
      </c>
      <c r="AA79" s="2" t="inlineStr">
        <is>
          <t>13.41</t>
        </is>
      </c>
      <c r="AB79" s="2" t="inlineStr">
        <is>
          <t>2.67</t>
        </is>
      </c>
      <c r="AC79" s="2" t="inlineStr">
        <is>
          <t>complete</t>
        </is>
      </c>
      <c r="AD79" s="2" t="inlineStr">
        <is>
          <t>19</t>
        </is>
      </c>
      <c r="AE79" s="2" t="inlineStr">
        <is>
          <t>2026-09-17</t>
        </is>
      </c>
      <c r="AF79" s="2" t="inlineStr">
        <is>
          <t>0</t>
        </is>
      </c>
      <c r="AG79" s="2" t="inlineStr">
        <is>
          <t>0</t>
        </is>
      </c>
      <c r="AH79" s="2" t="inlineStr">
        <is>
          <t>1</t>
        </is>
      </c>
      <c r="AI79" s="2" t="inlineStr">
        <is>
          <t>2</t>
        </is>
      </c>
      <c r="AJ79" s="2" t="inlineStr">
        <is>
          <t>57.89</t>
        </is>
      </c>
      <c r="AK79" s="2" t="inlineStr">
        <is>
          <t>85.0</t>
        </is>
      </c>
      <c r="AL79" s="2" t="inlineStr">
        <is>
          <t>36.63</t>
        </is>
      </c>
      <c r="AM79" s="2" t="inlineStr">
        <is>
          <t>7</t>
        </is>
      </c>
      <c r="AN79" s="2" t="inlineStr">
        <is>
          <t>1</t>
        </is>
      </c>
      <c r="AO79" s="2" t="inlineStr">
        <is>
          <t>9</t>
        </is>
      </c>
      <c r="AP79" s="2" t="inlineStr">
        <is>
          <t>77</t>
        </is>
      </c>
      <c r="AQ79" s="2" t="inlineStr">
        <is>
          <t>110.11</t>
        </is>
      </c>
      <c r="AR79" s="2" t="inlineStr">
        <is>
          <t>6</t>
        </is>
      </c>
      <c r="AS79" s="2" t="inlineStr">
        <is>
          <t>3</t>
        </is>
      </c>
      <c r="AT79" s="2" t="inlineStr">
        <is>
          <t>21</t>
        </is>
      </c>
      <c r="AU79" s="2" t="inlineStr">
        <is>
          <t>17</t>
        </is>
      </c>
      <c r="AV79" s="2" t="inlineStr">
        <is>
          <t>1</t>
        </is>
      </c>
      <c r="AW79" s="2" t="inlineStr">
        <is>
          <t>12</t>
        </is>
      </c>
      <c r="AX79" s="2" t="inlineStr">
        <is>
          <t>complete</t>
        </is>
      </c>
      <c r="AY79" s="2" t="inlineStr">
        <is>
          <t>2</t>
        </is>
      </c>
      <c r="AZ79" s="2" t="inlineStr"/>
      <c r="BA79" s="2" t="inlineStr">
        <is>
          <t>8</t>
        </is>
      </c>
      <c r="BB79" s="2" t="inlineStr">
        <is>
          <t>13</t>
        </is>
      </c>
      <c r="BC79" s="2" t="inlineStr">
        <is>
          <t>17</t>
        </is>
      </c>
      <c r="BD79" s="2" t="inlineStr">
        <is>
          <t>0.7647</t>
        </is>
      </c>
      <c r="BE79" s="2" t="inlineStr">
        <is>
          <t>42</t>
        </is>
      </c>
      <c r="BF79" s="2" t="inlineStr">
        <is>
          <t>10</t>
        </is>
      </c>
      <c r="BG79" s="2" t="inlineStr">
        <is>
          <t>all issues (too few non-maintainer)</t>
        </is>
      </c>
      <c r="BH79" s="2" t="inlineStr"/>
      <c r="BI79" s="2" t="inlineStr">
        <is>
          <t>9</t>
        </is>
      </c>
      <c r="BJ79" s="2" t="inlineStr">
        <is>
          <t>5</t>
        </is>
      </c>
      <c r="BK79" s="2" t="inlineStr">
        <is>
          <t>21</t>
        </is>
      </c>
      <c r="BL79" s="2" t="inlineStr">
        <is>
          <t>0.1429</t>
        </is>
      </c>
      <c r="BM79" s="2" t="inlineStr">
        <is>
          <t>3</t>
        </is>
      </c>
      <c r="BN79" s="2" t="n">
        <v>43.36</v>
      </c>
      <c r="BO79" s="2" t="n">
        <v>1</v>
      </c>
      <c r="BP79" s="2" t="n">
        <v>17.31</v>
      </c>
      <c r="BQ79" s="2" t="n">
        <v>1</v>
      </c>
      <c r="BR79" s="2" t="n">
        <v>100</v>
      </c>
      <c r="BS79" s="2" t="n">
        <v>1</v>
      </c>
      <c r="BT79" s="2" t="n">
        <v>75</v>
      </c>
      <c r="BU79" s="2" t="n">
        <v>1</v>
      </c>
      <c r="BV79" s="2" t="n">
        <v>56.15</v>
      </c>
      <c r="BW79" s="2" t="n">
        <v>1</v>
      </c>
      <c r="BX79" s="2" t="n">
        <v>47.23</v>
      </c>
      <c r="BY79" s="2" t="n">
        <v>1</v>
      </c>
      <c r="BZ79" s="2" t="n">
        <v>25</v>
      </c>
      <c r="CA79" s="2" t="n">
        <v>1</v>
      </c>
      <c r="CB79" s="2" t="n">
        <v>0</v>
      </c>
      <c r="CC79" s="2" t="n">
        <v>0</v>
      </c>
      <c r="CD79" s="2" t="n">
        <v>14.29</v>
      </c>
      <c r="CE79" s="2" t="n">
        <v>1</v>
      </c>
      <c r="CF79" s="2" t="n">
        <v>0</v>
      </c>
      <c r="CG79" s="2" t="n">
        <v>0</v>
      </c>
      <c r="CH79" s="2" t="n">
        <v>76.47</v>
      </c>
      <c r="CI79" s="2" t="n">
        <v>1</v>
      </c>
      <c r="CJ79" s="2" t="n">
        <v>54.44</v>
      </c>
      <c r="CK79" s="2" t="n">
        <v>1</v>
      </c>
      <c r="CL79" s="2" t="n">
        <v>51.96</v>
      </c>
      <c r="CM79" s="2" t="n">
        <v>1</v>
      </c>
      <c r="CN79" s="2" t="n">
        <v>43.17</v>
      </c>
      <c r="CO79" s="2" t="n">
        <v>11</v>
      </c>
      <c r="CP79" s="2" t="n">
        <v>0.8461538461538461</v>
      </c>
      <c r="CQ79" s="2" t="n">
        <v>51.01909090909091</v>
      </c>
      <c r="CR79" s="2" t="inlineStr"/>
      <c r="CS79" s="2" t="inlineStr"/>
      <c r="CT79" s="2" t="inlineStr"/>
      <c r="CU79" s="2" t="inlineStr"/>
    </row>
    <row r="80">
      <c r="A80" s="2" t="inlineStr">
        <is>
          <t>C4-079</t>
        </is>
      </c>
      <c r="B80" s="2" t="inlineStr">
        <is>
          <t>OpenEdition</t>
        </is>
      </c>
      <c r="C80" s="2" t="inlineStr">
        <is>
          <t>https://gitlab.openedition.org/public</t>
        </is>
      </c>
      <c r="D80" s="2" t="inlineStr">
        <is>
          <t>Replace URL</t>
        </is>
      </c>
      <c r="E80" s="2" t="inlineStr">
        <is>
          <t>github</t>
        </is>
      </c>
      <c r="F80" s="2" t="inlineStr">
        <is>
          <t>OpenEdition/lodel</t>
        </is>
      </c>
      <c r="G80" s="2" t="inlineStr"/>
      <c r="H80" s="2" t="inlineStr"/>
      <c r="I80" s="2" t="inlineStr">
        <is>
          <t>yes</t>
        </is>
      </c>
      <c r="J80" s="2" t="inlineStr">
        <is>
          <t>software</t>
        </is>
      </c>
      <c r="K80" s="2" t="inlineStr">
        <is>
          <t>GitHub (same repo)</t>
        </is>
      </c>
      <c r="L80" s="2" t="inlineStr">
        <is>
          <t>Lodel (OpenEdition publishing software) is on GitHub; gitlab.openedition.org group URL could not be listed</t>
        </is>
      </c>
      <c r="M80" s="2" t="inlineStr">
        <is>
          <t>OpenEdition/lodel</t>
        </is>
      </c>
      <c r="N80" s="2" t="inlineStr">
        <is>
          <t>yes</t>
        </is>
      </c>
      <c r="O80" s="2" t="inlineStr">
        <is>
          <t>https://gitlab.openedition.org/lodel2/lodel-skeleton</t>
        </is>
      </c>
      <c r="P80" s="2" t="inlineStr">
        <is>
          <t>GitLab (OpenEdition)</t>
        </is>
      </c>
      <c r="Q80" s="2" t="inlineStr">
        <is>
          <t>marker_only</t>
        </is>
      </c>
      <c r="R80" s="2" t="inlineStr">
        <is>
          <t>Current scoring uses OpenEdition/lodel GitHub mirror; GitLab repo recorded as candidate.</t>
        </is>
      </c>
      <c r="S80" s="2" t="inlineStr">
        <is>
          <t>OpenEdition/lodel</t>
        </is>
      </c>
      <c r="T80" s="2" t="inlineStr">
        <is>
          <t>6</t>
        </is>
      </c>
      <c r="U80" s="2" t="inlineStr">
        <is>
          <t>11</t>
        </is>
      </c>
      <c r="V80" s="2" t="inlineStr">
        <is>
          <t>1</t>
        </is>
      </c>
      <c r="W80" s="2" t="inlineStr">
        <is>
          <t>2</t>
        </is>
      </c>
      <c r="X80" s="2" t="inlineStr">
        <is>
          <t>0</t>
        </is>
      </c>
      <c r="Y80" s="2" t="inlineStr">
        <is>
          <t>0.0</t>
        </is>
      </c>
      <c r="Z80" s="2" t="inlineStr">
        <is>
          <t>3</t>
        </is>
      </c>
      <c r="AA80" s="2" t="inlineStr">
        <is>
          <t>154.43</t>
        </is>
      </c>
      <c r="AB80" s="2" t="inlineStr">
        <is>
          <t>1.81</t>
        </is>
      </c>
      <c r="AC80" s="2" t="inlineStr">
        <is>
          <t>complete</t>
        </is>
      </c>
      <c r="AD80" s="2" t="inlineStr">
        <is>
          <t>23</t>
        </is>
      </c>
      <c r="AE80" s="2" t="inlineStr">
        <is>
          <t>2026-04-29</t>
        </is>
      </c>
      <c r="AF80" s="2" t="inlineStr">
        <is>
          <t>1</t>
        </is>
      </c>
      <c r="AG80" s="2" t="inlineStr">
        <is>
          <t>2</t>
        </is>
      </c>
      <c r="AH80" s="2" t="inlineStr">
        <is>
          <t>1</t>
        </is>
      </c>
      <c r="AI80" s="2" t="inlineStr">
        <is>
          <t>1</t>
        </is>
      </c>
      <c r="AJ80" s="2" t="inlineStr">
        <is>
          <t>69.57</t>
        </is>
      </c>
      <c r="AK80" s="2" t="inlineStr">
        <is>
          <t>100.0</t>
        </is>
      </c>
      <c r="AL80" s="2" t="inlineStr"/>
      <c r="AM80" s="2" t="inlineStr">
        <is>
          <t>0</t>
        </is>
      </c>
      <c r="AN80" s="2" t="inlineStr">
        <is>
          <t>0</t>
        </is>
      </c>
      <c r="AO80" s="2" t="inlineStr">
        <is>
          <t>0</t>
        </is>
      </c>
      <c r="AP80" s="2" t="inlineStr">
        <is>
          <t>42</t>
        </is>
      </c>
      <c r="AQ80" s="2" t="inlineStr"/>
      <c r="AR80" s="2" t="inlineStr">
        <is>
          <t>0</t>
        </is>
      </c>
      <c r="AS80" s="2" t="inlineStr">
        <is>
          <t>0</t>
        </is>
      </c>
      <c r="AT80" s="2" t="inlineStr">
        <is>
          <t>1</t>
        </is>
      </c>
      <c r="AU80" s="2" t="inlineStr">
        <is>
          <t>1</t>
        </is>
      </c>
      <c r="AV80" s="2" t="inlineStr">
        <is>
          <t>0</t>
        </is>
      </c>
      <c r="AW80" s="2" t="inlineStr">
        <is>
          <t>1</t>
        </is>
      </c>
      <c r="AX80" s="2" t="inlineStr">
        <is>
          <t>complete</t>
        </is>
      </c>
      <c r="AY80" s="2" t="inlineStr">
        <is>
          <t>0</t>
        </is>
      </c>
      <c r="AZ80" s="2" t="inlineStr"/>
      <c r="BA80" s="2" t="inlineStr">
        <is>
          <t>0</t>
        </is>
      </c>
      <c r="BB80" s="2" t="inlineStr">
        <is>
          <t>1</t>
        </is>
      </c>
      <c r="BC80" s="2" t="inlineStr">
        <is>
          <t>1</t>
        </is>
      </c>
      <c r="BD80" s="2" t="inlineStr"/>
      <c r="BE80" s="2" t="inlineStr">
        <is>
          <t>2</t>
        </is>
      </c>
      <c r="BF80" s="2" t="inlineStr">
        <is>
          <t>2</t>
        </is>
      </c>
      <c r="BG80" s="2" t="inlineStr">
        <is>
          <t>all issues (too few non-maintainer)</t>
        </is>
      </c>
      <c r="BH80" s="2" t="inlineStr"/>
      <c r="BI80" s="2" t="inlineStr">
        <is>
          <t>0</t>
        </is>
      </c>
      <c r="BJ80" s="2" t="inlineStr">
        <is>
          <t>0</t>
        </is>
      </c>
      <c r="BK80" s="2" t="inlineStr">
        <is>
          <t>1</t>
        </is>
      </c>
      <c r="BL80" s="2" t="inlineStr"/>
      <c r="BM80" s="2" t="inlineStr">
        <is>
          <t>0</t>
        </is>
      </c>
      <c r="BN80" s="2" t="n">
        <v>46</v>
      </c>
      <c r="BO80" s="2" t="n">
        <v>1</v>
      </c>
      <c r="BP80" s="2" t="n">
        <v>21.15</v>
      </c>
      <c r="BQ80" s="2" t="n">
        <v>1</v>
      </c>
      <c r="BR80" s="2" t="n">
        <v>62.86</v>
      </c>
      <c r="BS80" s="2" t="n">
        <v>1</v>
      </c>
      <c r="BT80" s="2" t="n">
        <v>50</v>
      </c>
      <c r="BU80" s="2" t="n">
        <v>1</v>
      </c>
      <c r="BV80" s="2" t="n">
        <v>31.7</v>
      </c>
      <c r="BW80" s="2" t="n">
        <v>1</v>
      </c>
      <c r="BX80" s="2" t="n">
        <v>28.53</v>
      </c>
      <c r="BY80" s="2" t="n">
        <v>1</v>
      </c>
      <c r="BZ80" s="2" t="n">
        <v>25</v>
      </c>
      <c r="CA80" s="2" t="n">
        <v>1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15.9</v>
      </c>
      <c r="CK80" s="2" t="n">
        <v>1</v>
      </c>
      <c r="CL80" s="2" t="n">
        <v>23.8</v>
      </c>
      <c r="CM80" s="2" t="n">
        <v>1</v>
      </c>
      <c r="CN80" s="2" t="n">
        <v>23.45692307692308</v>
      </c>
      <c r="CO80" s="2" t="n">
        <v>9</v>
      </c>
      <c r="CP80" s="2" t="n">
        <v>0.6923076923076923</v>
      </c>
      <c r="CQ80" s="2" t="n">
        <v>33.88222222222223</v>
      </c>
      <c r="CR80" s="2" t="inlineStr"/>
      <c r="CS80" s="2" t="inlineStr"/>
      <c r="CT80" s="2" t="inlineStr"/>
      <c r="CU80" s="2" t="inlineStr"/>
    </row>
    <row r="81">
      <c r="A81" s="2" t="inlineStr">
        <is>
          <t>C4-080</t>
        </is>
      </c>
      <c r="B81" s="2" t="inlineStr">
        <is>
          <t>Open Journal Systems (OJS)</t>
        </is>
      </c>
      <c r="C81" s="2" t="inlineStr">
        <is>
          <t>https://github.com/pkp/ojs</t>
        </is>
      </c>
      <c r="D81" s="2" t="inlineStr">
        <is>
          <t>Ready</t>
        </is>
      </c>
      <c r="E81" s="2" t="inlineStr">
        <is>
          <t>github</t>
        </is>
      </c>
      <c r="F81" s="2" t="inlineStr">
        <is>
          <t>pkp/ojs</t>
        </is>
      </c>
      <c r="G81" s="2" t="inlineStr"/>
      <c r="H81" s="2" t="inlineStr"/>
      <c r="I81" s="2" t="inlineStr">
        <is>
          <t>yes</t>
        </is>
      </c>
      <c r="J81" s="2" t="inlineStr">
        <is>
          <t>software</t>
        </is>
      </c>
      <c r="K81" s="2" t="inlineStr">
        <is>
          <t>GitHub: pkp/pkp-lib</t>
        </is>
      </c>
      <c r="L81" s="2" t="inlineStr"/>
      <c r="M81" s="2" t="inlineStr">
        <is>
          <t>pkp/pkp-lib</t>
        </is>
      </c>
      <c r="N81" s="2" t="inlineStr"/>
      <c r="O81" s="2" t="inlineStr"/>
      <c r="P81" s="2" t="inlineStr"/>
      <c r="Q81" s="2" t="inlineStr"/>
      <c r="R81" s="2" t="inlineStr"/>
      <c r="S81" s="2" t="inlineStr">
        <is>
          <t>pkp/ojs</t>
        </is>
      </c>
      <c r="T81" s="2" t="inlineStr">
        <is>
          <t>12</t>
        </is>
      </c>
      <c r="U81" s="2" t="inlineStr">
        <is>
          <t>52</t>
        </is>
      </c>
      <c r="V81" s="2" t="inlineStr">
        <is>
          <t>4</t>
        </is>
      </c>
      <c r="W81" s="2" t="inlineStr">
        <is>
          <t>9</t>
        </is>
      </c>
      <c r="X81" s="2" t="inlineStr">
        <is>
          <t>4</t>
        </is>
      </c>
      <c r="Y81" s="2" t="inlineStr">
        <is>
          <t>0.004</t>
        </is>
      </c>
      <c r="Z81" s="2" t="inlineStr">
        <is>
          <t>38</t>
        </is>
      </c>
      <c r="AA81" s="2" t="inlineStr">
        <is>
          <t>0.55</t>
        </is>
      </c>
      <c r="AB81" s="2" t="inlineStr">
        <is>
          <t>7.9</t>
        </is>
      </c>
      <c r="AC81" s="2" t="inlineStr">
        <is>
          <t>complete</t>
        </is>
      </c>
      <c r="AD81" s="2" t="inlineStr">
        <is>
          <t>920</t>
        </is>
      </c>
      <c r="AE81" s="2" t="inlineStr">
        <is>
          <t>2026-10-14</t>
        </is>
      </c>
      <c r="AF81" s="2" t="inlineStr">
        <is>
          <t>135</t>
        </is>
      </c>
      <c r="AG81" s="2" t="inlineStr">
        <is>
          <t>1</t>
        </is>
      </c>
      <c r="AH81" s="2" t="inlineStr">
        <is>
          <t>12</t>
        </is>
      </c>
      <c r="AI81" s="2" t="inlineStr">
        <is>
          <t>13</t>
        </is>
      </c>
      <c r="AJ81" s="2" t="inlineStr">
        <is>
          <t>28.7</t>
        </is>
      </c>
      <c r="AK81" s="2" t="inlineStr">
        <is>
          <t>59.08</t>
        </is>
      </c>
      <c r="AL81" s="2" t="inlineStr">
        <is>
          <t>124.49</t>
        </is>
      </c>
      <c r="AM81" s="2" t="inlineStr">
        <is>
          <t>445</t>
        </is>
      </c>
      <c r="AN81" s="2" t="inlineStr">
        <is>
          <t>172</t>
        </is>
      </c>
      <c r="AO81" s="2" t="inlineStr">
        <is>
          <t>794</t>
        </is>
      </c>
      <c r="AP81" s="2" t="inlineStr">
        <is>
          <t>828</t>
        </is>
      </c>
      <c r="AQ81" s="2" t="inlineStr">
        <is>
          <t>138.03</t>
        </is>
      </c>
      <c r="AR81" s="2" t="inlineStr">
        <is>
          <t>344</t>
        </is>
      </c>
      <c r="AS81" s="2" t="inlineStr">
        <is>
          <t>248</t>
        </is>
      </c>
      <c r="AT81" s="2" t="inlineStr">
        <is>
          <t>722</t>
        </is>
      </c>
      <c r="AU81" s="2" t="inlineStr">
        <is>
          <t>358</t>
        </is>
      </c>
      <c r="AV81" s="2" t="inlineStr">
        <is>
          <t>116</t>
        </is>
      </c>
      <c r="AW81" s="2" t="inlineStr">
        <is>
          <t>281</t>
        </is>
      </c>
      <c r="AX81" s="2" t="inlineStr">
        <is>
          <t>complete</t>
        </is>
      </c>
      <c r="AY81" s="2" t="inlineStr">
        <is>
          <t>270</t>
        </is>
      </c>
      <c r="AZ81" s="2" t="inlineStr">
        <is>
          <t>0.4623</t>
        </is>
      </c>
      <c r="BA81" s="2" t="inlineStr">
        <is>
          <t>584</t>
        </is>
      </c>
      <c r="BB81" s="2" t="inlineStr">
        <is>
          <t>451</t>
        </is>
      </c>
      <c r="BC81" s="2" t="inlineStr">
        <is>
          <t>628</t>
        </is>
      </c>
      <c r="BD81" s="2" t="inlineStr">
        <is>
          <t>0.7182</t>
        </is>
      </c>
      <c r="BE81" s="2" t="inlineStr">
        <is>
          <t>138</t>
        </is>
      </c>
      <c r="BF81" s="2" t="inlineStr">
        <is>
          <t>96</t>
        </is>
      </c>
      <c r="BG81" s="2" t="inlineStr">
        <is>
          <t>non-maintainer issues</t>
        </is>
      </c>
      <c r="BH81" s="2" t="inlineStr">
        <is>
          <t>0.4966</t>
        </is>
      </c>
      <c r="BI81" s="2" t="inlineStr">
        <is>
          <t>596</t>
        </is>
      </c>
      <c r="BJ81" s="2" t="inlineStr">
        <is>
          <t>296</t>
        </is>
      </c>
      <c r="BK81" s="2" t="inlineStr">
        <is>
          <t>701</t>
        </is>
      </c>
      <c r="BL81" s="2" t="inlineStr">
        <is>
          <t>0.2696</t>
        </is>
      </c>
      <c r="BM81" s="2" t="inlineStr">
        <is>
          <t>189</t>
        </is>
      </c>
      <c r="BN81" s="2" t="n">
        <v>98.79000000000001</v>
      </c>
      <c r="BO81" s="2" t="n">
        <v>1</v>
      </c>
      <c r="BP81" s="2" t="n">
        <v>100</v>
      </c>
      <c r="BQ81" s="2" t="n">
        <v>1</v>
      </c>
      <c r="BR81" s="2" t="n">
        <v>100</v>
      </c>
      <c r="BS81" s="2" t="n">
        <v>1</v>
      </c>
      <c r="BT81" s="2" t="n">
        <v>100</v>
      </c>
      <c r="BU81" s="2" t="n">
        <v>1</v>
      </c>
      <c r="BV81" s="2" t="n">
        <v>100</v>
      </c>
      <c r="BW81" s="2" t="n">
        <v>1</v>
      </c>
      <c r="BX81" s="2" t="n">
        <v>99.40000000000001</v>
      </c>
      <c r="BY81" s="2" t="n">
        <v>1</v>
      </c>
      <c r="BZ81" s="2" t="n">
        <v>100</v>
      </c>
      <c r="CA81" s="2" t="n">
        <v>1</v>
      </c>
      <c r="CB81" s="2" t="n">
        <v>49.66</v>
      </c>
      <c r="CC81" s="2" t="n">
        <v>1</v>
      </c>
      <c r="CD81" s="2" t="n">
        <v>26.96</v>
      </c>
      <c r="CE81" s="2" t="n">
        <v>1</v>
      </c>
      <c r="CF81" s="2" t="n">
        <v>46.23</v>
      </c>
      <c r="CG81" s="2" t="n">
        <v>1</v>
      </c>
      <c r="CH81" s="2" t="n">
        <v>71.81999999999999</v>
      </c>
      <c r="CI81" s="2" t="n">
        <v>1</v>
      </c>
      <c r="CJ81" s="2" t="n">
        <v>71.42</v>
      </c>
      <c r="CK81" s="2" t="n">
        <v>1</v>
      </c>
      <c r="CL81" s="2" t="n">
        <v>99.12</v>
      </c>
      <c r="CM81" s="2" t="n">
        <v>1</v>
      </c>
      <c r="CN81" s="2" t="n">
        <v>81.8</v>
      </c>
      <c r="CO81" s="2" t="n">
        <v>13</v>
      </c>
      <c r="CP81" s="2" t="n">
        <v>1</v>
      </c>
      <c r="CQ81" s="2" t="n">
        <v>81.8</v>
      </c>
      <c r="CR81" s="2" t="inlineStr"/>
      <c r="CS81" s="2" t="inlineStr"/>
      <c r="CT81" s="2" t="inlineStr"/>
      <c r="CU81" s="2" t="inlineStr"/>
    </row>
    <row r="82">
      <c r="A82" s="2" t="inlineStr">
        <is>
          <t>C4-081</t>
        </is>
      </c>
      <c r="B82" s="2" t="inlineStr">
        <is>
          <t>Open Monograph Press (OMP)</t>
        </is>
      </c>
      <c r="C82" s="2" t="inlineStr">
        <is>
          <t>https://github.com/pkp/omp</t>
        </is>
      </c>
      <c r="D82" s="2" t="inlineStr">
        <is>
          <t>Ready</t>
        </is>
      </c>
      <c r="E82" s="2" t="inlineStr">
        <is>
          <t>github</t>
        </is>
      </c>
      <c r="F82" s="2" t="inlineStr">
        <is>
          <t>pkp/omp</t>
        </is>
      </c>
      <c r="G82" s="2" t="inlineStr"/>
      <c r="H82" s="2" t="inlineStr"/>
      <c r="I82" s="2" t="inlineStr">
        <is>
          <t>yes</t>
        </is>
      </c>
      <c r="J82" s="2" t="inlineStr">
        <is>
          <t>software</t>
        </is>
      </c>
      <c r="K82" s="2" t="inlineStr">
        <is>
          <t>GitHub: pkp/pkp-lib</t>
        </is>
      </c>
      <c r="L82" s="2" t="inlineStr"/>
      <c r="M82" s="2" t="inlineStr">
        <is>
          <t>pkp/pkp-lib</t>
        </is>
      </c>
      <c r="N82" s="2" t="inlineStr"/>
      <c r="O82" s="2" t="inlineStr"/>
      <c r="P82" s="2" t="inlineStr"/>
      <c r="Q82" s="2" t="inlineStr"/>
      <c r="R82" s="2" t="inlineStr"/>
      <c r="S82" s="2" t="inlineStr">
        <is>
          <t>pkp/omp</t>
        </is>
      </c>
      <c r="T82" s="2" t="inlineStr">
        <is>
          <t>12</t>
        </is>
      </c>
      <c r="U82" s="2" t="inlineStr">
        <is>
          <t>51</t>
        </is>
      </c>
      <c r="V82" s="2" t="inlineStr">
        <is>
          <t>3</t>
        </is>
      </c>
      <c r="W82" s="2" t="inlineStr">
        <is>
          <t>7</t>
        </is>
      </c>
      <c r="X82" s="2" t="inlineStr">
        <is>
          <t>3</t>
        </is>
      </c>
      <c r="Y82" s="2" t="inlineStr">
        <is>
          <t>0.007</t>
        </is>
      </c>
      <c r="Z82" s="2" t="inlineStr">
        <is>
          <t>20</t>
        </is>
      </c>
      <c r="AA82" s="2" t="inlineStr">
        <is>
          <t>1.2</t>
        </is>
      </c>
      <c r="AB82" s="2" t="inlineStr">
        <is>
          <t>6.74</t>
        </is>
      </c>
      <c r="AC82" s="2" t="inlineStr">
        <is>
          <t>complete</t>
        </is>
      </c>
      <c r="AD82" s="2" t="inlineStr">
        <is>
          <t>422</t>
        </is>
      </c>
      <c r="AE82" s="2" t="inlineStr">
        <is>
          <t>2026-10-13</t>
        </is>
      </c>
      <c r="AF82" s="2" t="inlineStr">
        <is>
          <t>65</t>
        </is>
      </c>
      <c r="AG82" s="2" t="inlineStr">
        <is>
          <t>0</t>
        </is>
      </c>
      <c r="AH82" s="2" t="inlineStr">
        <is>
          <t>12</t>
        </is>
      </c>
      <c r="AI82" s="2" t="inlineStr">
        <is>
          <t>8</t>
        </is>
      </c>
      <c r="AJ82" s="2" t="inlineStr">
        <is>
          <t>31.99</t>
        </is>
      </c>
      <c r="AK82" s="2" t="inlineStr">
        <is>
          <t>79.86</t>
        </is>
      </c>
      <c r="AL82" s="2" t="inlineStr">
        <is>
          <t>124.49</t>
        </is>
      </c>
      <c r="AM82" s="2" t="inlineStr">
        <is>
          <t>445</t>
        </is>
      </c>
      <c r="AN82" s="2" t="inlineStr">
        <is>
          <t>172</t>
        </is>
      </c>
      <c r="AO82" s="2" t="inlineStr">
        <is>
          <t>794</t>
        </is>
      </c>
      <c r="AP82" s="2" t="inlineStr">
        <is>
          <t>828</t>
        </is>
      </c>
      <c r="AQ82" s="2" t="inlineStr">
        <is>
          <t>70.96</t>
        </is>
      </c>
      <c r="AR82" s="2" t="inlineStr">
        <is>
          <t>163</t>
        </is>
      </c>
      <c r="AS82" s="2" t="inlineStr">
        <is>
          <t>57</t>
        </is>
      </c>
      <c r="AT82" s="2" t="inlineStr">
        <is>
          <t>314</t>
        </is>
      </c>
      <c r="AU82" s="2" t="inlineStr">
        <is>
          <t>226</t>
        </is>
      </c>
      <c r="AV82" s="2" t="inlineStr">
        <is>
          <t>31</t>
        </is>
      </c>
      <c r="AW82" s="2" t="inlineStr">
        <is>
          <t>180</t>
        </is>
      </c>
      <c r="AX82" s="2" t="inlineStr">
        <is>
          <t>complete</t>
        </is>
      </c>
      <c r="AY82" s="2" t="inlineStr">
        <is>
          <t>270</t>
        </is>
      </c>
      <c r="AZ82" s="2" t="inlineStr">
        <is>
          <t>0.4623</t>
        </is>
      </c>
      <c r="BA82" s="2" t="inlineStr">
        <is>
          <t>584</t>
        </is>
      </c>
      <c r="BB82" s="2" t="inlineStr">
        <is>
          <t>228</t>
        </is>
      </c>
      <c r="BC82" s="2" t="inlineStr">
        <is>
          <t>275</t>
        </is>
      </c>
      <c r="BD82" s="2" t="inlineStr">
        <is>
          <t>0.8291</t>
        </is>
      </c>
      <c r="BE82" s="2" t="inlineStr">
        <is>
          <t>12</t>
        </is>
      </c>
      <c r="BF82" s="2" t="inlineStr">
        <is>
          <t>18</t>
        </is>
      </c>
      <c r="BG82" s="2" t="inlineStr">
        <is>
          <t>non-maintainer issues</t>
        </is>
      </c>
      <c r="BH82" s="2" t="inlineStr">
        <is>
          <t>0.4966</t>
        </is>
      </c>
      <c r="BI82" s="2" t="inlineStr">
        <is>
          <t>596</t>
        </is>
      </c>
      <c r="BJ82" s="2" t="inlineStr">
        <is>
          <t>296</t>
        </is>
      </c>
      <c r="BK82" s="2" t="inlineStr">
        <is>
          <t>300</t>
        </is>
      </c>
      <c r="BL82" s="2" t="inlineStr">
        <is>
          <t>0.3533</t>
        </is>
      </c>
      <c r="BM82" s="2" t="inlineStr">
        <is>
          <t>106</t>
        </is>
      </c>
      <c r="BN82" s="2" t="n">
        <v>87.53</v>
      </c>
      <c r="BO82" s="2" t="n">
        <v>1</v>
      </c>
      <c r="BP82" s="2" t="n">
        <v>98.08</v>
      </c>
      <c r="BQ82" s="2" t="n">
        <v>1</v>
      </c>
      <c r="BR82" s="2" t="n">
        <v>100</v>
      </c>
      <c r="BS82" s="2" t="n">
        <v>1</v>
      </c>
      <c r="BT82" s="2" t="n">
        <v>100</v>
      </c>
      <c r="BU82" s="2" t="n">
        <v>1</v>
      </c>
      <c r="BV82" s="2" t="n">
        <v>86.44</v>
      </c>
      <c r="BW82" s="2" t="n">
        <v>1</v>
      </c>
      <c r="BX82" s="2" t="n">
        <v>91.76000000000001</v>
      </c>
      <c r="BY82" s="2" t="n">
        <v>1</v>
      </c>
      <c r="BZ82" s="2" t="n">
        <v>100</v>
      </c>
      <c r="CA82" s="2" t="n">
        <v>1</v>
      </c>
      <c r="CB82" s="2" t="n">
        <v>49.66</v>
      </c>
      <c r="CC82" s="2" t="n">
        <v>1</v>
      </c>
      <c r="CD82" s="2" t="n">
        <v>35.33</v>
      </c>
      <c r="CE82" s="2" t="n">
        <v>1</v>
      </c>
      <c r="CF82" s="2" t="n">
        <v>46.23</v>
      </c>
      <c r="CG82" s="2" t="n">
        <v>1</v>
      </c>
      <c r="CH82" s="2" t="n">
        <v>82.91</v>
      </c>
      <c r="CI82" s="2" t="n">
        <v>1</v>
      </c>
      <c r="CJ82" s="2" t="n">
        <v>37.13</v>
      </c>
      <c r="CK82" s="2" t="n">
        <v>1</v>
      </c>
      <c r="CL82" s="2" t="n">
        <v>63.8</v>
      </c>
      <c r="CM82" s="2" t="n">
        <v>1</v>
      </c>
      <c r="CN82" s="2" t="n">
        <v>75.2976923076923</v>
      </c>
      <c r="CO82" s="2" t="n">
        <v>13</v>
      </c>
      <c r="CP82" s="2" t="n">
        <v>1</v>
      </c>
      <c r="CQ82" s="2" t="n">
        <v>75.2976923076923</v>
      </c>
      <c r="CR82" s="2" t="inlineStr"/>
      <c r="CS82" s="2" t="inlineStr"/>
      <c r="CT82" s="2" t="inlineStr"/>
      <c r="CU82" s="2" t="inlineStr"/>
    </row>
    <row r="83">
      <c r="A83" s="2" t="inlineStr">
        <is>
          <t>C4-082</t>
        </is>
      </c>
      <c r="B83" s="2" t="inlineStr">
        <is>
          <t>Open Preprint Systems (OPS)</t>
        </is>
      </c>
      <c r="C83" s="2" t="inlineStr">
        <is>
          <t>https://github.com/pkp/ops</t>
        </is>
      </c>
      <c r="D83" s="2" t="inlineStr">
        <is>
          <t>Ready</t>
        </is>
      </c>
      <c r="E83" s="2" t="inlineStr">
        <is>
          <t>github</t>
        </is>
      </c>
      <c r="F83" s="2" t="inlineStr">
        <is>
          <t>pkp/ops</t>
        </is>
      </c>
      <c r="G83" s="2" t="inlineStr"/>
      <c r="H83" s="2" t="inlineStr"/>
      <c r="I83" s="2" t="inlineStr">
        <is>
          <t>yes</t>
        </is>
      </c>
      <c r="J83" s="2" t="inlineStr">
        <is>
          <t>software</t>
        </is>
      </c>
      <c r="K83" s="2" t="inlineStr">
        <is>
          <t>GitHub: pkp/pkp-lib</t>
        </is>
      </c>
      <c r="L83" s="2" t="inlineStr"/>
      <c r="M83" s="2" t="inlineStr">
        <is>
          <t>pkp/pkp-lib</t>
        </is>
      </c>
      <c r="N83" s="2" t="inlineStr"/>
      <c r="O83" s="2" t="inlineStr"/>
      <c r="P83" s="2" t="inlineStr"/>
      <c r="Q83" s="2" t="inlineStr"/>
      <c r="R83" s="2" t="inlineStr"/>
      <c r="S83" s="2" t="inlineStr">
        <is>
          <t>pkp/ops</t>
        </is>
      </c>
      <c r="T83" s="2" t="inlineStr">
        <is>
          <t>12</t>
        </is>
      </c>
      <c r="U83" s="2" t="inlineStr">
        <is>
          <t>50</t>
        </is>
      </c>
      <c r="V83" s="2" t="inlineStr">
        <is>
          <t>4</t>
        </is>
      </c>
      <c r="W83" s="2" t="inlineStr">
        <is>
          <t>8</t>
        </is>
      </c>
      <c r="X83" s="2" t="inlineStr">
        <is>
          <t>2</t>
        </is>
      </c>
      <c r="Y83" s="2" t="inlineStr">
        <is>
          <t>0.005</t>
        </is>
      </c>
      <c r="Z83" s="2" t="inlineStr">
        <is>
          <t>19</t>
        </is>
      </c>
      <c r="AA83" s="2" t="inlineStr">
        <is>
          <t>1.19</t>
        </is>
      </c>
      <c r="AB83" s="2" t="inlineStr">
        <is>
          <t>6.89</t>
        </is>
      </c>
      <c r="AC83" s="2" t="inlineStr">
        <is>
          <t>complete</t>
        </is>
      </c>
      <c r="AD83" s="2" t="inlineStr">
        <is>
          <t>376</t>
        </is>
      </c>
      <c r="AE83" s="2" t="inlineStr">
        <is>
          <t>2026-10-13</t>
        </is>
      </c>
      <c r="AF83" s="2" t="inlineStr">
        <is>
          <t>57</t>
        </is>
      </c>
      <c r="AG83" s="2" t="inlineStr">
        <is>
          <t>0</t>
        </is>
      </c>
      <c r="AH83" s="2" t="inlineStr">
        <is>
          <t>12</t>
        </is>
      </c>
      <c r="AI83" s="2" t="inlineStr">
        <is>
          <t>8</t>
        </is>
      </c>
      <c r="AJ83" s="2" t="inlineStr">
        <is>
          <t>31.38</t>
        </is>
      </c>
      <c r="AK83" s="2" t="inlineStr">
        <is>
          <t>78.81</t>
        </is>
      </c>
      <c r="AL83" s="2" t="inlineStr">
        <is>
          <t>124.49</t>
        </is>
      </c>
      <c r="AM83" s="2" t="inlineStr">
        <is>
          <t>445</t>
        </is>
      </c>
      <c r="AN83" s="2" t="inlineStr">
        <is>
          <t>172</t>
        </is>
      </c>
      <c r="AO83" s="2" t="inlineStr">
        <is>
          <t>794</t>
        </is>
      </c>
      <c r="AP83" s="2" t="inlineStr">
        <is>
          <t>828</t>
        </is>
      </c>
      <c r="AQ83" s="2" t="inlineStr">
        <is>
          <t>63.26</t>
        </is>
      </c>
      <c r="AR83" s="2" t="inlineStr">
        <is>
          <t>162</t>
        </is>
      </c>
      <c r="AS83" s="2" t="inlineStr">
        <is>
          <t>57</t>
        </is>
      </c>
      <c r="AT83" s="2" t="inlineStr">
        <is>
          <t>302</t>
        </is>
      </c>
      <c r="AU83" s="2" t="inlineStr">
        <is>
          <t>212</t>
        </is>
      </c>
      <c r="AV83" s="2" t="inlineStr">
        <is>
          <t>33</t>
        </is>
      </c>
      <c r="AW83" s="2" t="inlineStr">
        <is>
          <t>172</t>
        </is>
      </c>
      <c r="AX83" s="2" t="inlineStr">
        <is>
          <t>complete</t>
        </is>
      </c>
      <c r="AY83" s="2" t="inlineStr">
        <is>
          <t>270</t>
        </is>
      </c>
      <c r="AZ83" s="2" t="inlineStr">
        <is>
          <t>0.4623</t>
        </is>
      </c>
      <c r="BA83" s="2" t="inlineStr">
        <is>
          <t>584</t>
        </is>
      </c>
      <c r="BB83" s="2" t="inlineStr">
        <is>
          <t>213</t>
        </is>
      </c>
      <c r="BC83" s="2" t="inlineStr">
        <is>
          <t>261</t>
        </is>
      </c>
      <c r="BD83" s="2" t="inlineStr">
        <is>
          <t>0.8161</t>
        </is>
      </c>
      <c r="BE83" s="2" t="inlineStr">
        <is>
          <t>10</t>
        </is>
      </c>
      <c r="BF83" s="2" t="inlineStr">
        <is>
          <t>7</t>
        </is>
      </c>
      <c r="BG83" s="2" t="inlineStr">
        <is>
          <t>non-maintainer issues</t>
        </is>
      </c>
      <c r="BH83" s="2" t="inlineStr">
        <is>
          <t>0.4966</t>
        </is>
      </c>
      <c r="BI83" s="2" t="inlineStr">
        <is>
          <t>596</t>
        </is>
      </c>
      <c r="BJ83" s="2" t="inlineStr">
        <is>
          <t>296</t>
        </is>
      </c>
      <c r="BK83" s="2" t="inlineStr">
        <is>
          <t>287</t>
        </is>
      </c>
      <c r="BL83" s="2" t="inlineStr">
        <is>
          <t>0.3763</t>
        </is>
      </c>
      <c r="BM83" s="2" t="inlineStr">
        <is>
          <t>108</t>
        </is>
      </c>
      <c r="BN83" s="2" t="n">
        <v>85.87</v>
      </c>
      <c r="BO83" s="2" t="n">
        <v>1</v>
      </c>
      <c r="BP83" s="2" t="n">
        <v>96.15000000000001</v>
      </c>
      <c r="BQ83" s="2" t="n">
        <v>1</v>
      </c>
      <c r="BR83" s="2" t="n">
        <v>100</v>
      </c>
      <c r="BS83" s="2" t="n">
        <v>1</v>
      </c>
      <c r="BT83" s="2" t="n">
        <v>100</v>
      </c>
      <c r="BU83" s="2" t="n">
        <v>1</v>
      </c>
      <c r="BV83" s="2" t="n">
        <v>84.95999999999999</v>
      </c>
      <c r="BW83" s="2" t="n">
        <v>1</v>
      </c>
      <c r="BX83" s="2" t="n">
        <v>92.81999999999999</v>
      </c>
      <c r="BY83" s="2" t="n">
        <v>1</v>
      </c>
      <c r="BZ83" s="2" t="n">
        <v>100</v>
      </c>
      <c r="CA83" s="2" t="n">
        <v>1</v>
      </c>
      <c r="CB83" s="2" t="n">
        <v>49.66</v>
      </c>
      <c r="CC83" s="2" t="n">
        <v>1</v>
      </c>
      <c r="CD83" s="2" t="n">
        <v>37.63</v>
      </c>
      <c r="CE83" s="2" t="n">
        <v>1</v>
      </c>
      <c r="CF83" s="2" t="n">
        <v>46.23</v>
      </c>
      <c r="CG83" s="2" t="n">
        <v>1</v>
      </c>
      <c r="CH83" s="2" t="n">
        <v>81.61</v>
      </c>
      <c r="CI83" s="2" t="n">
        <v>1</v>
      </c>
      <c r="CJ83" s="2" t="n">
        <v>34.71</v>
      </c>
      <c r="CK83" s="2" t="n">
        <v>1</v>
      </c>
      <c r="CL83" s="2" t="n">
        <v>45.06</v>
      </c>
      <c r="CM83" s="2" t="n">
        <v>1</v>
      </c>
      <c r="CN83" s="2" t="n">
        <v>73.43846153846154</v>
      </c>
      <c r="CO83" s="2" t="n">
        <v>13</v>
      </c>
      <c r="CP83" s="2" t="n">
        <v>1</v>
      </c>
      <c r="CQ83" s="2" t="n">
        <v>73.43846153846154</v>
      </c>
      <c r="CR83" s="2" t="inlineStr"/>
      <c r="CS83" s="2" t="inlineStr"/>
      <c r="CT83" s="2" t="inlineStr"/>
      <c r="CU83" s="2" t="inlineStr"/>
    </row>
    <row r="84">
      <c r="A84" s="2" t="inlineStr">
        <is>
          <t>C4-083</t>
        </is>
      </c>
      <c r="B84" s="2" t="inlineStr">
        <is>
          <t>Openverse</t>
        </is>
      </c>
      <c r="C84" s="2" t="inlineStr">
        <is>
          <t>https://github.com/WordPress/openverse</t>
        </is>
      </c>
      <c r="D84" s="2" t="inlineStr">
        <is>
          <t>Ready</t>
        </is>
      </c>
      <c r="E84" s="2" t="inlineStr">
        <is>
          <t>github</t>
        </is>
      </c>
      <c r="F84" s="2" t="inlineStr">
        <is>
          <t>WordPress/openverse</t>
        </is>
      </c>
      <c r="G84" s="2" t="inlineStr"/>
      <c r="H84" s="2" t="inlineStr"/>
      <c r="I84" s="2" t="inlineStr">
        <is>
          <t>yes</t>
        </is>
      </c>
      <c r="J84" s="2" t="inlineStr">
        <is>
          <t>software</t>
        </is>
      </c>
      <c r="K84" s="2" t="inlineStr">
        <is>
          <t>GitHub (same repo)</t>
        </is>
      </c>
      <c r="L84" s="2" t="inlineStr"/>
      <c r="M84" s="2" t="inlineStr">
        <is>
          <t>WordPress/openverse</t>
        </is>
      </c>
      <c r="N84" s="2" t="inlineStr"/>
      <c r="O84" s="2" t="inlineStr"/>
      <c r="P84" s="2" t="inlineStr"/>
      <c r="Q84" s="2" t="inlineStr"/>
      <c r="R84" s="2" t="inlineStr"/>
      <c r="S84" s="2" t="inlineStr">
        <is>
          <t>WordPress/openverse</t>
        </is>
      </c>
      <c r="T84" s="2" t="inlineStr">
        <is>
          <t>5</t>
        </is>
      </c>
      <c r="U84" s="2" t="inlineStr">
        <is>
          <t>7</t>
        </is>
      </c>
      <c r="V84" s="2" t="inlineStr">
        <is>
          <t>1</t>
        </is>
      </c>
      <c r="W84" s="2" t="inlineStr">
        <is>
          <t>4</t>
        </is>
      </c>
      <c r="X84" s="2" t="inlineStr">
        <is>
          <t>38</t>
        </is>
      </c>
      <c r="Y84" s="2" t="inlineStr">
        <is>
          <t>0.76</t>
        </is>
      </c>
      <c r="Z84" s="2" t="inlineStr">
        <is>
          <t>6</t>
        </is>
      </c>
      <c r="AA84" s="2" t="inlineStr">
        <is>
          <t>20.19</t>
        </is>
      </c>
      <c r="AB84" s="2" t="inlineStr">
        <is>
          <t>3.27</t>
        </is>
      </c>
      <c r="AC84" s="2" t="inlineStr">
        <is>
          <t>complete</t>
        </is>
      </c>
      <c r="AD84" s="2" t="inlineStr">
        <is>
          <t>12</t>
        </is>
      </c>
      <c r="AE84" s="2" t="inlineStr">
        <is>
          <t>2026-10-13</t>
        </is>
      </c>
      <c r="AF84" s="2" t="inlineStr">
        <is>
          <t>0</t>
        </is>
      </c>
      <c r="AG84" s="2" t="inlineStr">
        <is>
          <t>0</t>
        </is>
      </c>
      <c r="AH84" s="2" t="inlineStr">
        <is>
          <t>0</t>
        </is>
      </c>
      <c r="AI84" s="2" t="inlineStr">
        <is>
          <t>2</t>
        </is>
      </c>
      <c r="AJ84" s="2" t="inlineStr">
        <is>
          <t>50.0</t>
        </is>
      </c>
      <c r="AK84" s="2" t="inlineStr">
        <is>
          <t>57.89</t>
        </is>
      </c>
      <c r="AL84" s="2" t="inlineStr">
        <is>
          <t>8.14</t>
        </is>
      </c>
      <c r="AM84" s="2" t="inlineStr">
        <is>
          <t>15</t>
        </is>
      </c>
      <c r="AN84" s="2" t="inlineStr">
        <is>
          <t>0</t>
        </is>
      </c>
      <c r="AO84" s="2" t="inlineStr">
        <is>
          <t>39</t>
        </is>
      </c>
      <c r="AP84" s="2" t="inlineStr">
        <is>
          <t>639</t>
        </is>
      </c>
      <c r="AQ84" s="2" t="inlineStr">
        <is>
          <t>202.09</t>
        </is>
      </c>
      <c r="AR84" s="2" t="inlineStr">
        <is>
          <t>9</t>
        </is>
      </c>
      <c r="AS84" s="2" t="inlineStr">
        <is>
          <t>8</t>
        </is>
      </c>
      <c r="AT84" s="2" t="inlineStr">
        <is>
          <t>40</t>
        </is>
      </c>
      <c r="AU84" s="2" t="inlineStr">
        <is>
          <t>11</t>
        </is>
      </c>
      <c r="AV84" s="2" t="inlineStr">
        <is>
          <t>21</t>
        </is>
      </c>
      <c r="AW84" s="2" t="inlineStr">
        <is>
          <t>7</t>
        </is>
      </c>
      <c r="AX84" s="2" t="inlineStr">
        <is>
          <t>complete</t>
        </is>
      </c>
      <c r="AY84" s="2" t="inlineStr">
        <is>
          <t>10</t>
        </is>
      </c>
      <c r="AZ84" s="2" t="inlineStr">
        <is>
          <t>0.3571</t>
        </is>
      </c>
      <c r="BA84" s="2" t="inlineStr">
        <is>
          <t>28</t>
        </is>
      </c>
      <c r="BB84" s="2" t="inlineStr">
        <is>
          <t>8</t>
        </is>
      </c>
      <c r="BC84" s="2" t="inlineStr">
        <is>
          <t>32</t>
        </is>
      </c>
      <c r="BD84" s="2" t="inlineStr">
        <is>
          <t>0.25</t>
        </is>
      </c>
      <c r="BE84" s="2" t="inlineStr">
        <is>
          <t>74</t>
        </is>
      </c>
      <c r="BF84" s="2" t="inlineStr">
        <is>
          <t>66</t>
        </is>
      </c>
      <c r="BG84" s="2" t="inlineStr">
        <is>
          <t>non-maintainer issues</t>
        </is>
      </c>
      <c r="BH84" s="2" t="inlineStr">
        <is>
          <t>0.3514</t>
        </is>
      </c>
      <c r="BI84" s="2" t="inlineStr">
        <is>
          <t>37</t>
        </is>
      </c>
      <c r="BJ84" s="2" t="inlineStr">
        <is>
          <t>13</t>
        </is>
      </c>
      <c r="BK84" s="2" t="inlineStr">
        <is>
          <t>37</t>
        </is>
      </c>
      <c r="BL84" s="2" t="inlineStr">
        <is>
          <t>0.0811</t>
        </is>
      </c>
      <c r="BM84" s="2" t="inlineStr">
        <is>
          <t>3</t>
        </is>
      </c>
      <c r="BN84" s="2" t="n">
        <v>37.13</v>
      </c>
      <c r="BO84" s="2" t="n">
        <v>1</v>
      </c>
      <c r="BP84" s="2" t="n">
        <v>13.46</v>
      </c>
      <c r="BQ84" s="2" t="n">
        <v>1</v>
      </c>
      <c r="BR84" s="2" t="n">
        <v>100</v>
      </c>
      <c r="BS84" s="2" t="n">
        <v>1</v>
      </c>
      <c r="BT84" s="2" t="n">
        <v>75</v>
      </c>
      <c r="BU84" s="2" t="n">
        <v>1</v>
      </c>
      <c r="BV84" s="2" t="n">
        <v>51.7</v>
      </c>
      <c r="BW84" s="2" t="n">
        <v>1</v>
      </c>
      <c r="BX84" s="2" t="n">
        <v>56.98</v>
      </c>
      <c r="BY84" s="2" t="n">
        <v>1</v>
      </c>
      <c r="BZ84" s="2" t="n">
        <v>0</v>
      </c>
      <c r="CA84" s="2" t="n">
        <v>1</v>
      </c>
      <c r="CB84" s="2" t="n">
        <v>35.14</v>
      </c>
      <c r="CC84" s="2" t="n">
        <v>1</v>
      </c>
      <c r="CD84" s="2" t="n">
        <v>8.109999999999999</v>
      </c>
      <c r="CE84" s="2" t="n">
        <v>1</v>
      </c>
      <c r="CF84" s="2" t="n">
        <v>35.71</v>
      </c>
      <c r="CG84" s="2" t="n">
        <v>1</v>
      </c>
      <c r="CH84" s="2" t="n">
        <v>25</v>
      </c>
      <c r="CI84" s="2" t="n">
        <v>1</v>
      </c>
      <c r="CJ84" s="2" t="n">
        <v>62.49</v>
      </c>
      <c r="CK84" s="2" t="n">
        <v>1</v>
      </c>
      <c r="CL84" s="2" t="n">
        <v>91.11</v>
      </c>
      <c r="CM84" s="2" t="n">
        <v>1</v>
      </c>
      <c r="CN84" s="2" t="n">
        <v>45.52538461538462</v>
      </c>
      <c r="CO84" s="2" t="n">
        <v>13</v>
      </c>
      <c r="CP84" s="2" t="n">
        <v>1</v>
      </c>
      <c r="CQ84" s="2" t="n">
        <v>45.52538461538462</v>
      </c>
      <c r="CR84" s="2" t="inlineStr"/>
      <c r="CS84" s="2" t="inlineStr"/>
      <c r="CT84" s="2" t="inlineStr"/>
      <c r="CU84" s="2" t="inlineStr"/>
    </row>
    <row r="85">
      <c r="A85" s="2" t="inlineStr">
        <is>
          <t>C4-084</t>
        </is>
      </c>
      <c r="B85" s="2" t="inlineStr">
        <is>
          <t>O Portal Brasileiro de Publicações e Dados Científicos em Acesso Aberto (The Brazilian Open Access Publications and Scientific Data Portal) (Oasisbr)</t>
        </is>
      </c>
      <c r="C85" s="2" t="inlineStr">
        <is>
          <t>https://github.com/projetos-codic-ibict/oasisbr-vufind</t>
        </is>
      </c>
      <c r="D85" s="2" t="inlineStr">
        <is>
          <t>Replace URL + fork rule (decide branch)</t>
        </is>
      </c>
      <c r="E85" s="2" t="inlineStr">
        <is>
          <t>github</t>
        </is>
      </c>
      <c r="F85" s="2" t="inlineStr">
        <is>
          <t>projetos-codic-ibict/vufind-oasisbr</t>
        </is>
      </c>
      <c r="G85" s="2" t="inlineStr"/>
      <c r="H85" s="2" t="inlineStr">
        <is>
          <t>vufind-org/vufind</t>
        </is>
      </c>
      <c r="I85" s="2" t="inlineStr">
        <is>
          <t>yes</t>
        </is>
      </c>
      <c r="J85" s="2" t="inlineStr">
        <is>
          <t>software</t>
        </is>
      </c>
      <c r="K85" s="2" t="inlineStr">
        <is>
          <t>NONE (no Issues tab)</t>
        </is>
      </c>
      <c r="L85" s="2" t="inlineStr">
        <is>
          <t>Fork of VuFind: upstream commits excluded. Default branch has 0 own commits in window; 88 own commits sit on feat/migration-vufind7-to-11. Decide whether to score that branch</t>
        </is>
      </c>
      <c r="M85" s="2" t="inlineStr"/>
      <c r="N85" s="2" t="inlineStr"/>
      <c r="O85" s="2" t="inlineStr"/>
      <c r="P85" s="2" t="inlineStr"/>
      <c r="Q85" s="2" t="inlineStr"/>
      <c r="R85" s="2" t="inlineStr"/>
      <c r="S85" s="2" t="inlineStr">
        <is>
          <t>projetos-codic-ibict/vufind-oasisbr</t>
        </is>
      </c>
      <c r="T85" s="2" t="inlineStr">
        <is>
          <t>0</t>
        </is>
      </c>
      <c r="U85" s="2" t="inlineStr">
        <is>
          <t>0</t>
        </is>
      </c>
      <c r="V85" s="2" t="inlineStr"/>
      <c r="W85" s="2" t="inlineStr"/>
      <c r="X85" s="2" t="inlineStr">
        <is>
          <t>0</t>
        </is>
      </c>
      <c r="Y85" s="2" t="inlineStr"/>
      <c r="Z85" s="2" t="inlineStr">
        <is>
          <t>0</t>
        </is>
      </c>
      <c r="AA85" s="2" t="inlineStr"/>
      <c r="AB85" s="2" t="inlineStr"/>
      <c r="AC85" s="2" t="inlineStr">
        <is>
          <t>complete</t>
        </is>
      </c>
      <c r="AD85" s="2" t="inlineStr">
        <is>
          <t>0</t>
        </is>
      </c>
      <c r="AE85" s="2" t="inlineStr"/>
      <c r="AF85" s="2" t="inlineStr">
        <is>
          <t>0</t>
        </is>
      </c>
      <c r="AG85" s="2" t="inlineStr">
        <is>
          <t>0</t>
        </is>
      </c>
      <c r="AH85" s="2" t="inlineStr">
        <is>
          <t>0</t>
        </is>
      </c>
      <c r="AI85" s="2" t="inlineStr">
        <is>
          <t>8</t>
        </is>
      </c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>
        <is>
          <t>0</t>
        </is>
      </c>
      <c r="AS85" s="2" t="inlineStr">
        <is>
          <t>0</t>
        </is>
      </c>
      <c r="AT85" s="2" t="inlineStr">
        <is>
          <t>0</t>
        </is>
      </c>
      <c r="AU85" s="2" t="inlineStr">
        <is>
          <t>0</t>
        </is>
      </c>
      <c r="AV85" s="2" t="inlineStr">
        <is>
          <t>0</t>
        </is>
      </c>
      <c r="AW85" s="2" t="inlineStr">
        <is>
          <t>0</t>
        </is>
      </c>
      <c r="AX85" s="2" t="inlineStr">
        <is>
          <t>complete</t>
        </is>
      </c>
      <c r="AY85" s="2" t="inlineStr"/>
      <c r="AZ85" s="2" t="inlineStr"/>
      <c r="BA85" s="2" t="inlineStr"/>
      <c r="BB85" s="2" t="inlineStr">
        <is>
          <t>0</t>
        </is>
      </c>
      <c r="BC85" s="2" t="inlineStr">
        <is>
          <t>0</t>
        </is>
      </c>
      <c r="BD85" s="2" t="inlineStr"/>
      <c r="BE85" s="2" t="inlineStr">
        <is>
          <t>0</t>
        </is>
      </c>
      <c r="BF85" s="2" t="inlineStr">
        <is>
          <t>0</t>
        </is>
      </c>
      <c r="BG85" s="2" t="inlineStr"/>
      <c r="BH85" s="2" t="inlineStr"/>
      <c r="BI85" s="2" t="inlineStr"/>
      <c r="BJ85" s="2" t="inlineStr"/>
      <c r="BK85" s="2" t="inlineStr">
        <is>
          <t>0</t>
        </is>
      </c>
      <c r="BL85" s="2" t="inlineStr"/>
      <c r="BM85" s="2" t="inlineStr">
        <is>
          <t>0</t>
        </is>
      </c>
      <c r="BN85" s="2" t="n">
        <v>0</v>
      </c>
      <c r="BO85" s="2" t="n">
        <v>1</v>
      </c>
      <c r="BP85" s="2" t="n">
        <v>0</v>
      </c>
      <c r="BQ85" s="2" t="n">
        <v>1</v>
      </c>
      <c r="BR85" s="2" t="n">
        <v>0</v>
      </c>
      <c r="BS85" s="2" t="n">
        <v>1</v>
      </c>
      <c r="BT85" s="2" t="n">
        <v>100</v>
      </c>
      <c r="BU85" s="2" t="n">
        <v>1</v>
      </c>
      <c r="BV85" s="2" t="n">
        <v>0</v>
      </c>
      <c r="BW85" s="2" t="n">
        <v>1</v>
      </c>
      <c r="BX85" s="2" t="n">
        <v>0</v>
      </c>
      <c r="BY85" s="2" t="n">
        <v>1</v>
      </c>
      <c r="BZ85" s="2" t="n">
        <v>0</v>
      </c>
      <c r="CA85" s="2" t="n">
        <v>1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1</v>
      </c>
      <c r="CL85" s="2" t="n">
        <v>0</v>
      </c>
      <c r="CM85" s="2" t="n">
        <v>1</v>
      </c>
      <c r="CN85" s="2" t="n">
        <v>7.692307692307693</v>
      </c>
      <c r="CO85" s="2" t="n">
        <v>9</v>
      </c>
      <c r="CP85" s="2" t="n">
        <v>0.6923076923076923</v>
      </c>
      <c r="CQ85" s="2" t="n">
        <v>11.11111111111111</v>
      </c>
      <c r="CR85" s="2" t="inlineStr">
        <is>
          <t>NONE (no Issues tab)</t>
        </is>
      </c>
      <c r="CS85" s="2" t="inlineStr"/>
      <c r="CT85" s="2" t="inlineStr"/>
      <c r="CU85" s="2" t="inlineStr">
        <is>
          <t>fill from external tracker or leave blank</t>
        </is>
      </c>
    </row>
    <row r="86">
      <c r="A86" s="2" t="inlineStr">
        <is>
          <t>C4-085</t>
        </is>
      </c>
      <c r="B86" s="2" t="inlineStr">
        <is>
          <t>OSF (Open Science Framework)</t>
        </is>
      </c>
      <c r="C86" s="2" t="inlineStr">
        <is>
          <t>https://github.com/CenterForOpenScience/osf.io</t>
        </is>
      </c>
      <c r="D86" s="2" t="inlineStr">
        <is>
          <t>Ready</t>
        </is>
      </c>
      <c r="E86" s="2" t="inlineStr">
        <is>
          <t>github</t>
        </is>
      </c>
      <c r="F86" s="2" t="inlineStr">
        <is>
          <t>CenterForOpenScience/osf.io</t>
        </is>
      </c>
      <c r="G86" s="2" t="inlineStr"/>
      <c r="H86" s="2" t="inlineStr"/>
      <c r="I86" s="2" t="inlineStr">
        <is>
          <t>yes</t>
        </is>
      </c>
      <c r="J86" s="2" t="inlineStr">
        <is>
          <t>software</t>
        </is>
      </c>
      <c r="K86" s="2" t="inlineStr">
        <is>
          <t>GitHub (same repo)</t>
        </is>
      </c>
      <c r="L86" s="2" t="inlineStr"/>
      <c r="M86" s="2" t="inlineStr">
        <is>
          <t>CenterForOpenScience/osf.io</t>
        </is>
      </c>
      <c r="N86" s="2" t="inlineStr"/>
      <c r="O86" s="2" t="inlineStr"/>
      <c r="P86" s="2" t="inlineStr"/>
      <c r="Q86" s="2" t="inlineStr"/>
      <c r="R86" s="2" t="inlineStr"/>
      <c r="S86" s="2" t="inlineStr">
        <is>
          <t>CenterForOpenScience/osf.io</t>
        </is>
      </c>
      <c r="T86" s="2" t="inlineStr">
        <is>
          <t>12</t>
        </is>
      </c>
      <c r="U86" s="2" t="inlineStr">
        <is>
          <t>49</t>
        </is>
      </c>
      <c r="V86" s="2" t="inlineStr">
        <is>
          <t>4</t>
        </is>
      </c>
      <c r="W86" s="2" t="inlineStr">
        <is>
          <t>8</t>
        </is>
      </c>
      <c r="X86" s="2" t="inlineStr">
        <is>
          <t>0</t>
        </is>
      </c>
      <c r="Y86" s="2" t="inlineStr">
        <is>
          <t>0.0</t>
        </is>
      </c>
      <c r="Z86" s="2" t="inlineStr">
        <is>
          <t>19</t>
        </is>
      </c>
      <c r="AA86" s="2" t="inlineStr">
        <is>
          <t>1.38</t>
        </is>
      </c>
      <c r="AB86" s="2" t="inlineStr">
        <is>
          <t>8.72</t>
        </is>
      </c>
      <c r="AC86" s="2" t="inlineStr">
        <is>
          <t>complete</t>
        </is>
      </c>
      <c r="AD86" s="2" t="inlineStr">
        <is>
          <t>299</t>
        </is>
      </c>
      <c r="AE86" s="2" t="inlineStr">
        <is>
          <t>2026-10-08</t>
        </is>
      </c>
      <c r="AF86" s="2" t="inlineStr">
        <is>
          <t>205</t>
        </is>
      </c>
      <c r="AG86" s="2" t="inlineStr">
        <is>
          <t>3</t>
        </is>
      </c>
      <c r="AH86" s="2" t="inlineStr">
        <is>
          <t>10</t>
        </is>
      </c>
      <c r="AI86" s="2" t="inlineStr">
        <is>
          <t>71</t>
        </is>
      </c>
      <c r="AJ86" s="2" t="inlineStr">
        <is>
          <t>23.41</t>
        </is>
      </c>
      <c r="AK86" s="2" t="inlineStr">
        <is>
          <t>90.02</t>
        </is>
      </c>
      <c r="AL86" s="2" t="inlineStr">
        <is>
          <t>438.27</t>
        </is>
      </c>
      <c r="AM86" s="2" t="inlineStr">
        <is>
          <t>17</t>
        </is>
      </c>
      <c r="AN86" s="2" t="inlineStr">
        <is>
          <t>0</t>
        </is>
      </c>
      <c r="AO86" s="2" t="inlineStr">
        <is>
          <t>22</t>
        </is>
      </c>
      <c r="AP86" s="2" t="inlineStr">
        <is>
          <t>121</t>
        </is>
      </c>
      <c r="AQ86" s="2" t="inlineStr">
        <is>
          <t>13.1</t>
        </is>
      </c>
      <c r="AR86" s="2" t="inlineStr">
        <is>
          <t>515</t>
        </is>
      </c>
      <c r="AS86" s="2" t="inlineStr">
        <is>
          <t>57</t>
        </is>
      </c>
      <c r="AT86" s="2" t="inlineStr">
        <is>
          <t>588</t>
        </is>
      </c>
      <c r="AU86" s="2" t="inlineStr">
        <is>
          <t>514</t>
        </is>
      </c>
      <c r="AV86" s="2" t="inlineStr">
        <is>
          <t>17</t>
        </is>
      </c>
      <c r="AW86" s="2" t="inlineStr">
        <is>
          <t>121</t>
        </is>
      </c>
      <c r="AX86" s="2" t="inlineStr">
        <is>
          <t>complete</t>
        </is>
      </c>
      <c r="AY86" s="2" t="inlineStr">
        <is>
          <t>6</t>
        </is>
      </c>
      <c r="AZ86" s="2" t="inlineStr">
        <is>
          <t>0.3</t>
        </is>
      </c>
      <c r="BA86" s="2" t="inlineStr">
        <is>
          <t>20</t>
        </is>
      </c>
      <c r="BB86" s="2" t="inlineStr">
        <is>
          <t>489</t>
        </is>
      </c>
      <c r="BC86" s="2" t="inlineStr">
        <is>
          <t>531</t>
        </is>
      </c>
      <c r="BD86" s="2" t="inlineStr">
        <is>
          <t>0.9209</t>
        </is>
      </c>
      <c r="BE86" s="2" t="inlineStr">
        <is>
          <t>41</t>
        </is>
      </c>
      <c r="BF86" s="2" t="inlineStr">
        <is>
          <t>18</t>
        </is>
      </c>
      <c r="BG86" s="2" t="inlineStr">
        <is>
          <t>non-maintainer issues</t>
        </is>
      </c>
      <c r="BH86" s="2" t="inlineStr">
        <is>
          <t>0.3636</t>
        </is>
      </c>
      <c r="BI86" s="2" t="inlineStr">
        <is>
          <t>22</t>
        </is>
      </c>
      <c r="BJ86" s="2" t="inlineStr">
        <is>
          <t>8</t>
        </is>
      </c>
      <c r="BK86" s="2" t="inlineStr">
        <is>
          <t>576</t>
        </is>
      </c>
      <c r="BL86" s="2" t="inlineStr">
        <is>
          <t>0.7708</t>
        </is>
      </c>
      <c r="BM86" s="2" t="inlineStr">
        <is>
          <t>444</t>
        </is>
      </c>
      <c r="BN86" s="2" t="n">
        <v>82.56</v>
      </c>
      <c r="BO86" s="2" t="n">
        <v>1</v>
      </c>
      <c r="BP86" s="2" t="n">
        <v>94.23</v>
      </c>
      <c r="BQ86" s="2" t="n">
        <v>1</v>
      </c>
      <c r="BR86" s="2" t="n">
        <v>100</v>
      </c>
      <c r="BS86" s="2" t="n">
        <v>1</v>
      </c>
      <c r="BT86" s="2" t="n">
        <v>100</v>
      </c>
      <c r="BU86" s="2" t="n">
        <v>1</v>
      </c>
      <c r="BV86" s="2" t="n">
        <v>84.95999999999999</v>
      </c>
      <c r="BW86" s="2" t="n">
        <v>1</v>
      </c>
      <c r="BX86" s="2" t="n">
        <v>100</v>
      </c>
      <c r="BY86" s="2" t="n">
        <v>1</v>
      </c>
      <c r="BZ86" s="2" t="n">
        <v>100</v>
      </c>
      <c r="CA86" s="2" t="n">
        <v>1</v>
      </c>
      <c r="CB86" s="2" t="n">
        <v>36.36</v>
      </c>
      <c r="CC86" s="2" t="n">
        <v>1</v>
      </c>
      <c r="CD86" s="2" t="n">
        <v>77.08</v>
      </c>
      <c r="CE86" s="2" t="n">
        <v>1</v>
      </c>
      <c r="CF86" s="2" t="n">
        <v>30</v>
      </c>
      <c r="CG86" s="2" t="n">
        <v>1</v>
      </c>
      <c r="CH86" s="2" t="n">
        <v>92.09</v>
      </c>
      <c r="CI86" s="2" t="n">
        <v>1</v>
      </c>
      <c r="CJ86" s="2" t="n">
        <v>54.1</v>
      </c>
      <c r="CK86" s="2" t="n">
        <v>1</v>
      </c>
      <c r="CL86" s="2" t="n">
        <v>63.8</v>
      </c>
      <c r="CM86" s="2" t="n">
        <v>1</v>
      </c>
      <c r="CN86" s="2" t="n">
        <v>78.09076923076923</v>
      </c>
      <c r="CO86" s="2" t="n">
        <v>13</v>
      </c>
      <c r="CP86" s="2" t="n">
        <v>1</v>
      </c>
      <c r="CQ86" s="2" t="n">
        <v>78.09076923076923</v>
      </c>
      <c r="CR86" s="2" t="inlineStr"/>
      <c r="CS86" s="2" t="inlineStr"/>
      <c r="CT86" s="2" t="inlineStr"/>
      <c r="CU86" s="2" t="inlineStr"/>
    </row>
    <row r="87">
      <c r="A87" s="2" t="inlineStr">
        <is>
          <t>C4-086</t>
        </is>
      </c>
      <c r="B87" s="2" t="inlineStr">
        <is>
          <t>Oxford Common File Layout</t>
        </is>
      </c>
      <c r="C87" s="2" t="inlineStr">
        <is>
          <t>https://github.com/OCFL/spec</t>
        </is>
      </c>
      <c r="D87" s="2" t="inlineStr">
        <is>
          <t>Exclude: standard</t>
        </is>
      </c>
      <c r="E87" s="2" t="inlineStr">
        <is>
          <t>github</t>
        </is>
      </c>
      <c r="F87" s="2" t="inlineStr">
        <is>
          <t>OCFL/spec</t>
        </is>
      </c>
      <c r="G87" s="2" t="inlineStr"/>
      <c r="H87" s="2" t="inlineStr"/>
      <c r="I87" s="2" t="inlineStr">
        <is>
          <t>no</t>
        </is>
      </c>
      <c r="J87" s="2" t="inlineStr">
        <is>
          <t>standard</t>
        </is>
      </c>
      <c r="K87" s="2" t="inlineStr"/>
      <c r="L87" s="2" t="inlineStr">
        <is>
          <t>Specification</t>
        </is>
      </c>
      <c r="M87" s="2" t="inlineStr">
        <is>
          <t>OCFL/spec</t>
        </is>
      </c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/>
      <c r="BE87" s="2" t="inlineStr"/>
      <c r="BF87" s="2" t="inlineStr"/>
      <c r="BG87" s="2" t="inlineStr"/>
      <c r="BH87" s="2" t="inlineStr"/>
      <c r="BI87" s="2" t="inlineStr"/>
      <c r="BJ87" s="2" t="inlineStr"/>
      <c r="BK87" s="2" t="inlineStr"/>
      <c r="BL87" s="2" t="inlineStr"/>
      <c r="BM87" s="2" t="inlineStr"/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inlineStr"/>
      <c r="CS87" s="2" t="inlineStr"/>
      <c r="CT87" s="2" t="inlineStr"/>
      <c r="CU87" s="2" t="inlineStr"/>
    </row>
    <row r="88">
      <c r="A88" s="2" t="inlineStr">
        <is>
          <t>C4-087</t>
        </is>
      </c>
      <c r="B88" s="2" t="inlineStr">
        <is>
          <t>Peer Community In</t>
        </is>
      </c>
      <c r="C88" s="2" t="inlineStr">
        <is>
          <t>https://github.com/pci-dev/pci</t>
        </is>
      </c>
      <c r="D88" s="2" t="inlineStr">
        <is>
          <t>Ready</t>
        </is>
      </c>
      <c r="E88" s="2" t="inlineStr">
        <is>
          <t>github</t>
        </is>
      </c>
      <c r="F88" s="2" t="inlineStr">
        <is>
          <t>pci-dev/pci</t>
        </is>
      </c>
      <c r="G88" s="2" t="inlineStr"/>
      <c r="H88" s="2" t="inlineStr"/>
      <c r="I88" s="2" t="inlineStr">
        <is>
          <t>yes</t>
        </is>
      </c>
      <c r="J88" s="2" t="inlineStr">
        <is>
          <t>software</t>
        </is>
      </c>
      <c r="K88" s="2" t="inlineStr">
        <is>
          <t>NONE (no Issues tab)</t>
        </is>
      </c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>
        <is>
          <t>pci-dev/pci</t>
        </is>
      </c>
      <c r="T88" s="2" t="inlineStr">
        <is>
          <t>12</t>
        </is>
      </c>
      <c r="U88" s="2" t="inlineStr">
        <is>
          <t>25</t>
        </is>
      </c>
      <c r="V88" s="2" t="inlineStr">
        <is>
          <t>1</t>
        </is>
      </c>
      <c r="W88" s="2" t="inlineStr">
        <is>
          <t>3</t>
        </is>
      </c>
      <c r="X88" s="2" t="inlineStr">
        <is>
          <t>0</t>
        </is>
      </c>
      <c r="Y88" s="2" t="inlineStr">
        <is>
          <t>0.0</t>
        </is>
      </c>
      <c r="Z88" s="2" t="inlineStr">
        <is>
          <t>4</t>
        </is>
      </c>
      <c r="AA88" s="2" t="inlineStr">
        <is>
          <t>8.59</t>
        </is>
      </c>
      <c r="AB88" s="2" t="inlineStr">
        <is>
          <t>2.09</t>
        </is>
      </c>
      <c r="AC88" s="2" t="inlineStr">
        <is>
          <t>complete</t>
        </is>
      </c>
      <c r="AD88" s="2" t="inlineStr">
        <is>
          <t>71</t>
        </is>
      </c>
      <c r="AE88" s="2" t="inlineStr">
        <is>
          <t>2026-10-08</t>
        </is>
      </c>
      <c r="AF88" s="2" t="inlineStr">
        <is>
          <t>40</t>
        </is>
      </c>
      <c r="AG88" s="2" t="inlineStr">
        <is>
          <t>0</t>
        </is>
      </c>
      <c r="AH88" s="2" t="inlineStr">
        <is>
          <t>1</t>
        </is>
      </c>
      <c r="AI88" s="2" t="inlineStr">
        <is>
          <t>23</t>
        </is>
      </c>
      <c r="AJ88" s="2" t="inlineStr">
        <is>
          <t>66.2</t>
        </is>
      </c>
      <c r="AK88" s="2" t="inlineStr">
        <is>
          <t>86.84</t>
        </is>
      </c>
      <c r="AL88" s="2" t="inlineStr"/>
      <c r="AM88" s="2" t="inlineStr"/>
      <c r="AN88" s="2" t="inlineStr"/>
      <c r="AO88" s="2" t="inlineStr"/>
      <c r="AP88" s="2" t="inlineStr"/>
      <c r="AQ88" s="2" t="inlineStr">
        <is>
          <t>105.54</t>
        </is>
      </c>
      <c r="AR88" s="2" t="inlineStr">
        <is>
          <t>1</t>
        </is>
      </c>
      <c r="AS88" s="2" t="inlineStr">
        <is>
          <t>5</t>
        </is>
      </c>
      <c r="AT88" s="2" t="inlineStr">
        <is>
          <t>38</t>
        </is>
      </c>
      <c r="AU88" s="2" t="inlineStr">
        <is>
          <t>33</t>
        </is>
      </c>
      <c r="AV88" s="2" t="inlineStr">
        <is>
          <t>0</t>
        </is>
      </c>
      <c r="AW88" s="2" t="inlineStr">
        <is>
          <t>32</t>
        </is>
      </c>
      <c r="AX88" s="2" t="inlineStr">
        <is>
          <t>complete</t>
        </is>
      </c>
      <c r="AY88" s="2" t="inlineStr"/>
      <c r="AZ88" s="2" t="inlineStr"/>
      <c r="BA88" s="2" t="inlineStr"/>
      <c r="BB88" s="2" t="inlineStr">
        <is>
          <t>36</t>
        </is>
      </c>
      <c r="BC88" s="2" t="inlineStr">
        <is>
          <t>37</t>
        </is>
      </c>
      <c r="BD88" s="2" t="inlineStr">
        <is>
          <t>0.973</t>
        </is>
      </c>
      <c r="BE88" s="2" t="inlineStr">
        <is>
          <t>0</t>
        </is>
      </c>
      <c r="BF88" s="2" t="inlineStr">
        <is>
          <t>2</t>
        </is>
      </c>
      <c r="BG88" s="2" t="inlineStr"/>
      <c r="BH88" s="2" t="inlineStr"/>
      <c r="BI88" s="2" t="inlineStr"/>
      <c r="BJ88" s="2" t="inlineStr"/>
      <c r="BK88" s="2" t="inlineStr">
        <is>
          <t>38</t>
        </is>
      </c>
      <c r="BL88" s="2" t="inlineStr">
        <is>
          <t>0.0263</t>
        </is>
      </c>
      <c r="BM88" s="2" t="inlineStr">
        <is>
          <t>1</t>
        </is>
      </c>
      <c r="BN88" s="2" t="n">
        <v>61.9</v>
      </c>
      <c r="BO88" s="2" t="n">
        <v>1</v>
      </c>
      <c r="BP88" s="2" t="n">
        <v>48.08</v>
      </c>
      <c r="BQ88" s="2" t="n">
        <v>1</v>
      </c>
      <c r="BR88" s="2" t="n">
        <v>100</v>
      </c>
      <c r="BS88" s="2" t="n">
        <v>1</v>
      </c>
      <c r="BT88" s="2" t="n">
        <v>100</v>
      </c>
      <c r="BU88" s="2" t="n">
        <v>1</v>
      </c>
      <c r="BV88" s="2" t="n">
        <v>40</v>
      </c>
      <c r="BW88" s="2" t="n">
        <v>1</v>
      </c>
      <c r="BX88" s="2" t="n">
        <v>35.45</v>
      </c>
      <c r="BY88" s="2" t="n">
        <v>1</v>
      </c>
      <c r="BZ88" s="2" t="n">
        <v>25</v>
      </c>
      <c r="CA88" s="2" t="n">
        <v>1</v>
      </c>
      <c r="CB88" s="2" t="n">
        <v>0</v>
      </c>
      <c r="CC88" s="2" t="n">
        <v>0</v>
      </c>
      <c r="CD88" s="2" t="n">
        <v>2.63</v>
      </c>
      <c r="CE88" s="2" t="n">
        <v>1</v>
      </c>
      <c r="CF88" s="2" t="n">
        <v>0</v>
      </c>
      <c r="CG88" s="2" t="n">
        <v>0</v>
      </c>
      <c r="CH88" s="2" t="n">
        <v>97.3</v>
      </c>
      <c r="CI88" s="2" t="n">
        <v>1</v>
      </c>
      <c r="CJ88" s="2" t="n">
        <v>0</v>
      </c>
      <c r="CK88" s="2" t="n">
        <v>1</v>
      </c>
      <c r="CL88" s="2" t="n">
        <v>23.8</v>
      </c>
      <c r="CM88" s="2" t="n">
        <v>1</v>
      </c>
      <c r="CN88" s="2" t="n">
        <v>41.08923076923077</v>
      </c>
      <c r="CO88" s="2" t="n">
        <v>11</v>
      </c>
      <c r="CP88" s="2" t="n">
        <v>0.8461538461538461</v>
      </c>
      <c r="CQ88" s="2" t="n">
        <v>48.56</v>
      </c>
      <c r="CR88" s="2" t="inlineStr">
        <is>
          <t>NONE (no Issues tab)</t>
        </is>
      </c>
      <c r="CS88" s="2" t="inlineStr"/>
      <c r="CT88" s="2" t="inlineStr"/>
      <c r="CU88" s="2" t="inlineStr">
        <is>
          <t>fill from external tracker or leave blank</t>
        </is>
      </c>
    </row>
    <row r="89">
      <c r="A89" s="2" t="inlineStr">
        <is>
          <t>C4-088</t>
        </is>
      </c>
      <c r="B89" s="2" t="inlineStr">
        <is>
          <t>PKP Preservation Network</t>
        </is>
      </c>
      <c r="C89" s="2" t="inlineStr">
        <is>
          <t>https://github.com/pkp/pln</t>
        </is>
      </c>
      <c r="D89" s="2" t="inlineStr">
        <is>
          <t>Ready</t>
        </is>
      </c>
      <c r="E89" s="2" t="inlineStr">
        <is>
          <t>github</t>
        </is>
      </c>
      <c r="F89" s="2" t="inlineStr">
        <is>
          <t>pkp/pln</t>
        </is>
      </c>
      <c r="G89" s="2" t="inlineStr"/>
      <c r="H89" s="2" t="inlineStr"/>
      <c r="I89" s="2" t="inlineStr">
        <is>
          <t>yes</t>
        </is>
      </c>
      <c r="J89" s="2" t="inlineStr">
        <is>
          <t>software</t>
        </is>
      </c>
      <c r="K89" s="2" t="inlineStr">
        <is>
          <t>GitHub (same repo)</t>
        </is>
      </c>
      <c r="L89" s="2" t="inlineStr"/>
      <c r="M89" s="2" t="inlineStr">
        <is>
          <t>pkp/pln</t>
        </is>
      </c>
      <c r="N89" s="2" t="inlineStr"/>
      <c r="O89" s="2" t="inlineStr"/>
      <c r="P89" s="2" t="inlineStr"/>
      <c r="Q89" s="2" t="inlineStr"/>
      <c r="R89" s="2" t="inlineStr"/>
      <c r="S89" s="2" t="inlineStr">
        <is>
          <t>pkp/pln</t>
        </is>
      </c>
      <c r="T89" s="2" t="inlineStr">
        <is>
          <t>5</t>
        </is>
      </c>
      <c r="U89" s="2" t="inlineStr">
        <is>
          <t>9</t>
        </is>
      </c>
      <c r="V89" s="2" t="inlineStr">
        <is>
          <t>1</t>
        </is>
      </c>
      <c r="W89" s="2" t="inlineStr">
        <is>
          <t>1</t>
        </is>
      </c>
      <c r="X89" s="2" t="inlineStr">
        <is>
          <t>0</t>
        </is>
      </c>
      <c r="Y89" s="2" t="inlineStr">
        <is>
          <t>0.0</t>
        </is>
      </c>
      <c r="Z89" s="2" t="inlineStr">
        <is>
          <t>3</t>
        </is>
      </c>
      <c r="AA89" s="2" t="inlineStr">
        <is>
          <t>14.11</t>
        </is>
      </c>
      <c r="AB89" s="2" t="inlineStr">
        <is>
          <t>1.2</t>
        </is>
      </c>
      <c r="AC89" s="2" t="inlineStr">
        <is>
          <t>complete</t>
        </is>
      </c>
      <c r="AD89" s="2" t="inlineStr">
        <is>
          <t>45</t>
        </is>
      </c>
      <c r="AE89" s="2" t="inlineStr">
        <is>
          <t>2026-09-16</t>
        </is>
      </c>
      <c r="AF89" s="2" t="inlineStr">
        <is>
          <t>3</t>
        </is>
      </c>
      <c r="AG89" s="2" t="inlineStr">
        <is>
          <t>0</t>
        </is>
      </c>
      <c r="AH89" s="2" t="inlineStr">
        <is>
          <t>1</t>
        </is>
      </c>
      <c r="AI89" s="2" t="inlineStr">
        <is>
          <t>2</t>
        </is>
      </c>
      <c r="AJ89" s="2" t="inlineStr">
        <is>
          <t>91.11</t>
        </is>
      </c>
      <c r="AK89" s="2" t="inlineStr">
        <is>
          <t>44.44</t>
        </is>
      </c>
      <c r="AL89" s="2" t="inlineStr">
        <is>
          <t>553.67</t>
        </is>
      </c>
      <c r="AM89" s="2" t="inlineStr">
        <is>
          <t>2</t>
        </is>
      </c>
      <c r="AN89" s="2" t="inlineStr">
        <is>
          <t>1</t>
        </is>
      </c>
      <c r="AO89" s="2" t="inlineStr">
        <is>
          <t>4</t>
        </is>
      </c>
      <c r="AP89" s="2" t="inlineStr">
        <is>
          <t>8</t>
        </is>
      </c>
      <c r="AQ89" s="2" t="inlineStr">
        <is>
          <t>388.34</t>
        </is>
      </c>
      <c r="AR89" s="2" t="inlineStr">
        <is>
          <t>5</t>
        </is>
      </c>
      <c r="AS89" s="2" t="inlineStr">
        <is>
          <t>5</t>
        </is>
      </c>
      <c r="AT89" s="2" t="inlineStr">
        <is>
          <t>9</t>
        </is>
      </c>
      <c r="AU89" s="2" t="inlineStr">
        <is>
          <t>4</t>
        </is>
      </c>
      <c r="AV89" s="2" t="inlineStr">
        <is>
          <t>0</t>
        </is>
      </c>
      <c r="AW89" s="2" t="inlineStr">
        <is>
          <t>3</t>
        </is>
      </c>
      <c r="AX89" s="2" t="inlineStr">
        <is>
          <t>complete</t>
        </is>
      </c>
      <c r="AY89" s="2" t="inlineStr">
        <is>
          <t>0</t>
        </is>
      </c>
      <c r="AZ89" s="2" t="inlineStr"/>
      <c r="BA89" s="2" t="inlineStr">
        <is>
          <t>0</t>
        </is>
      </c>
      <c r="BB89" s="2" t="inlineStr">
        <is>
          <t>5</t>
        </is>
      </c>
      <c r="BC89" s="2" t="inlineStr">
        <is>
          <t>7</t>
        </is>
      </c>
      <c r="BD89" s="2" t="inlineStr"/>
      <c r="BE89" s="2" t="inlineStr">
        <is>
          <t>1</t>
        </is>
      </c>
      <c r="BF89" s="2" t="inlineStr">
        <is>
          <t>3</t>
        </is>
      </c>
      <c r="BG89" s="2" t="inlineStr">
        <is>
          <t>all issues (too few non-maintainer)</t>
        </is>
      </c>
      <c r="BH89" s="2" t="inlineStr"/>
      <c r="BI89" s="2" t="inlineStr">
        <is>
          <t>4</t>
        </is>
      </c>
      <c r="BJ89" s="2" t="inlineStr">
        <is>
          <t>1</t>
        </is>
      </c>
      <c r="BK89" s="2" t="inlineStr">
        <is>
          <t>9</t>
        </is>
      </c>
      <c r="BL89" s="2" t="inlineStr"/>
      <c r="BM89" s="2" t="inlineStr">
        <is>
          <t>0</t>
        </is>
      </c>
      <c r="BN89" s="2" t="n">
        <v>55.42</v>
      </c>
      <c r="BO89" s="2" t="n">
        <v>1</v>
      </c>
      <c r="BP89" s="2" t="n">
        <v>17.31</v>
      </c>
      <c r="BQ89" s="2" t="n">
        <v>1</v>
      </c>
      <c r="BR89" s="2" t="n">
        <v>100</v>
      </c>
      <c r="BS89" s="2" t="n">
        <v>1</v>
      </c>
      <c r="BT89" s="2" t="n">
        <v>75</v>
      </c>
      <c r="BU89" s="2" t="n">
        <v>1</v>
      </c>
      <c r="BV89" s="2" t="n">
        <v>31.7</v>
      </c>
      <c r="BW89" s="2" t="n">
        <v>1</v>
      </c>
      <c r="BX89" s="2" t="n">
        <v>8.77</v>
      </c>
      <c r="BY89" s="2" t="n">
        <v>1</v>
      </c>
      <c r="BZ89" s="2" t="n">
        <v>25</v>
      </c>
      <c r="CA89" s="2" t="n">
        <v>1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10.03</v>
      </c>
      <c r="CK89" s="2" t="n">
        <v>1</v>
      </c>
      <c r="CL89" s="2" t="n">
        <v>30.04</v>
      </c>
      <c r="CM89" s="2" t="n">
        <v>1</v>
      </c>
      <c r="CN89" s="2" t="n">
        <v>27.17461538461539</v>
      </c>
      <c r="CO89" s="2" t="n">
        <v>9</v>
      </c>
      <c r="CP89" s="2" t="n">
        <v>0.6923076923076923</v>
      </c>
      <c r="CQ89" s="2" t="n">
        <v>39.25222222222222</v>
      </c>
      <c r="CR89" s="2" t="inlineStr"/>
      <c r="CS89" s="2" t="inlineStr"/>
      <c r="CT89" s="2" t="inlineStr"/>
      <c r="CU89" s="2" t="inlineStr"/>
    </row>
    <row r="90">
      <c r="A90" s="2" t="inlineStr">
        <is>
          <t>C4-089</t>
        </is>
      </c>
      <c r="B90" s="2" t="inlineStr">
        <is>
          <t>PREreview</t>
        </is>
      </c>
      <c r="C90" s="2" t="inlineStr">
        <is>
          <t>https://github.com/PREreview/prereview.org</t>
        </is>
      </c>
      <c r="D90" s="2" t="inlineStr">
        <is>
          <t>Ready</t>
        </is>
      </c>
      <c r="E90" s="2" t="inlineStr">
        <is>
          <t>github</t>
        </is>
      </c>
      <c r="F90" s="2" t="inlineStr">
        <is>
          <t>PREreview/prereview.org</t>
        </is>
      </c>
      <c r="G90" s="2" t="inlineStr"/>
      <c r="H90" s="2" t="inlineStr"/>
      <c r="I90" s="2" t="inlineStr">
        <is>
          <t>yes</t>
        </is>
      </c>
      <c r="J90" s="2" t="inlineStr">
        <is>
          <t>software</t>
        </is>
      </c>
      <c r="K90" s="2" t="inlineStr">
        <is>
          <t>GitHub (same repo)</t>
        </is>
      </c>
      <c r="L90" s="2" t="inlineStr"/>
      <c r="M90" s="2" t="inlineStr">
        <is>
          <t>PREreview/prereview.org</t>
        </is>
      </c>
      <c r="N90" s="2" t="inlineStr"/>
      <c r="O90" s="2" t="inlineStr"/>
      <c r="P90" s="2" t="inlineStr"/>
      <c r="Q90" s="2" t="inlineStr"/>
      <c r="R90" s="2" t="inlineStr"/>
      <c r="S90" s="2" t="inlineStr">
        <is>
          <t>PREreview/prereview.org</t>
        </is>
      </c>
      <c r="T90" s="2" t="inlineStr">
        <is>
          <t>12</t>
        </is>
      </c>
      <c r="U90" s="2" t="inlineStr">
        <is>
          <t>51</t>
        </is>
      </c>
      <c r="V90" s="2" t="inlineStr">
        <is>
          <t>1</t>
        </is>
      </c>
      <c r="W90" s="2" t="inlineStr">
        <is>
          <t>1</t>
        </is>
      </c>
      <c r="X90" s="2" t="inlineStr">
        <is>
          <t>613</t>
        </is>
      </c>
      <c r="Y90" s="2" t="inlineStr">
        <is>
          <t>0.188</t>
        </is>
      </c>
      <c r="Z90" s="2" t="inlineStr">
        <is>
          <t>3</t>
        </is>
      </c>
      <c r="AA90" s="2" t="inlineStr">
        <is>
          <t>0.55</t>
        </is>
      </c>
      <c r="AB90" s="2" t="inlineStr">
        <is>
          <t>1.2</t>
        </is>
      </c>
      <c r="AC90" s="2" t="inlineStr">
        <is>
          <t>complete</t>
        </is>
      </c>
      <c r="AD90" s="2" t="inlineStr">
        <is>
          <t>2647</t>
        </is>
      </c>
      <c r="AE90" s="2" t="inlineStr">
        <is>
          <t>2026-10-12</t>
        </is>
      </c>
      <c r="AF90" s="2" t="inlineStr">
        <is>
          <t>0</t>
        </is>
      </c>
      <c r="AG90" s="2" t="inlineStr">
        <is>
          <t>1</t>
        </is>
      </c>
      <c r="AH90" s="2" t="inlineStr">
        <is>
          <t>3</t>
        </is>
      </c>
      <c r="AI90" s="2" t="inlineStr">
        <is>
          <t>0</t>
        </is>
      </c>
      <c r="AJ90" s="2" t="inlineStr">
        <is>
          <t>91.08</t>
        </is>
      </c>
      <c r="AK90" s="2" t="inlineStr">
        <is>
          <t>100.0</t>
        </is>
      </c>
      <c r="AL90" s="2" t="inlineStr">
        <is>
          <t>3188.4</t>
        </is>
      </c>
      <c r="AM90" s="2" t="inlineStr">
        <is>
          <t>1</t>
        </is>
      </c>
      <c r="AN90" s="2" t="inlineStr">
        <is>
          <t>60</t>
        </is>
      </c>
      <c r="AO90" s="2" t="inlineStr">
        <is>
          <t>60</t>
        </is>
      </c>
      <c r="AP90" s="2" t="inlineStr">
        <is>
          <t>8</t>
        </is>
      </c>
      <c r="AQ90" s="2" t="inlineStr">
        <is>
          <t>21.2</t>
        </is>
      </c>
      <c r="AR90" s="2" t="inlineStr">
        <is>
          <t>26</t>
        </is>
      </c>
      <c r="AS90" s="2" t="inlineStr">
        <is>
          <t>0</t>
        </is>
      </c>
      <c r="AT90" s="2" t="inlineStr">
        <is>
          <t>27</t>
        </is>
      </c>
      <c r="AU90" s="2" t="inlineStr">
        <is>
          <t>27</t>
        </is>
      </c>
      <c r="AV90" s="2" t="inlineStr">
        <is>
          <t>0</t>
        </is>
      </c>
      <c r="AW90" s="2" t="inlineStr">
        <is>
          <t>0</t>
        </is>
      </c>
      <c r="AX90" s="2" t="inlineStr">
        <is>
          <t>complete</t>
        </is>
      </c>
      <c r="AY90" s="2" t="inlineStr">
        <is>
          <t>38</t>
        </is>
      </c>
      <c r="AZ90" s="2" t="inlineStr">
        <is>
          <t>0.8085</t>
        </is>
      </c>
      <c r="BA90" s="2" t="inlineStr">
        <is>
          <t>47</t>
        </is>
      </c>
      <c r="BB90" s="2" t="inlineStr">
        <is>
          <t>19</t>
        </is>
      </c>
      <c r="BC90" s="2" t="inlineStr">
        <is>
          <t>19</t>
        </is>
      </c>
      <c r="BD90" s="2" t="inlineStr">
        <is>
          <t>1.0</t>
        </is>
      </c>
      <c r="BE90" s="2" t="inlineStr">
        <is>
          <t>5</t>
        </is>
      </c>
      <c r="BF90" s="2" t="inlineStr">
        <is>
          <t>2</t>
        </is>
      </c>
      <c r="BG90" s="2" t="inlineStr">
        <is>
          <t>all issues (too few non-maintainer)</t>
        </is>
      </c>
      <c r="BH90" s="2" t="inlineStr">
        <is>
          <t>0.0</t>
        </is>
      </c>
      <c r="BI90" s="2" t="inlineStr">
        <is>
          <t>57</t>
        </is>
      </c>
      <c r="BJ90" s="2" t="inlineStr">
        <is>
          <t>0</t>
        </is>
      </c>
      <c r="BK90" s="2" t="inlineStr">
        <is>
          <t>26</t>
        </is>
      </c>
      <c r="BL90" s="2" t="inlineStr">
        <is>
          <t>1.0</t>
        </is>
      </c>
      <c r="BM90" s="2" t="inlineStr">
        <is>
          <t>26</t>
        </is>
      </c>
      <c r="BN90" s="2" t="n">
        <v>100</v>
      </c>
      <c r="BO90" s="2" t="n">
        <v>1</v>
      </c>
      <c r="BP90" s="2" t="n">
        <v>98.08</v>
      </c>
      <c r="BQ90" s="2" t="n">
        <v>1</v>
      </c>
      <c r="BR90" s="2" t="n">
        <v>100</v>
      </c>
      <c r="BS90" s="2" t="n">
        <v>1</v>
      </c>
      <c r="BT90" s="2" t="n">
        <v>0</v>
      </c>
      <c r="BU90" s="2" t="n">
        <v>1</v>
      </c>
      <c r="BV90" s="2" t="n">
        <v>31.7</v>
      </c>
      <c r="BW90" s="2" t="n">
        <v>1</v>
      </c>
      <c r="BX90" s="2" t="n">
        <v>8.77</v>
      </c>
      <c r="BY90" s="2" t="n">
        <v>1</v>
      </c>
      <c r="BZ90" s="2" t="n">
        <v>75</v>
      </c>
      <c r="CA90" s="2" t="n">
        <v>1</v>
      </c>
      <c r="CB90" s="2" t="n">
        <v>0</v>
      </c>
      <c r="CC90" s="2" t="n">
        <v>1</v>
      </c>
      <c r="CD90" s="2" t="n">
        <v>100</v>
      </c>
      <c r="CE90" s="2" t="n">
        <v>1</v>
      </c>
      <c r="CF90" s="2" t="n">
        <v>80.84999999999999</v>
      </c>
      <c r="CG90" s="2" t="n">
        <v>1</v>
      </c>
      <c r="CH90" s="2" t="n">
        <v>100</v>
      </c>
      <c r="CI90" s="2" t="n">
        <v>1</v>
      </c>
      <c r="CJ90" s="2" t="n">
        <v>25.93</v>
      </c>
      <c r="CK90" s="2" t="n">
        <v>1</v>
      </c>
      <c r="CL90" s="2" t="n">
        <v>23.8</v>
      </c>
      <c r="CM90" s="2" t="n">
        <v>1</v>
      </c>
      <c r="CN90" s="2" t="n">
        <v>57.24076923076923</v>
      </c>
      <c r="CO90" s="2" t="n">
        <v>13</v>
      </c>
      <c r="CP90" s="2" t="n">
        <v>1</v>
      </c>
      <c r="CQ90" s="2" t="n">
        <v>57.24076923076923</v>
      </c>
      <c r="CR90" s="2" t="inlineStr"/>
      <c r="CS90" s="2" t="inlineStr"/>
      <c r="CT90" s="2" t="inlineStr"/>
      <c r="CU90" s="2" t="inlineStr"/>
    </row>
    <row r="91">
      <c r="A91" s="2" t="inlineStr">
        <is>
          <t>C4-090</t>
        </is>
      </c>
      <c r="B91" s="2" t="inlineStr">
        <is>
          <t>Pressbooks</t>
        </is>
      </c>
      <c r="C91" s="2" t="inlineStr">
        <is>
          <t>https://github.com/pressbooks/pressbooks</t>
        </is>
      </c>
      <c r="D91" s="2" t="inlineStr">
        <is>
          <t>Ready</t>
        </is>
      </c>
      <c r="E91" s="2" t="inlineStr">
        <is>
          <t>github</t>
        </is>
      </c>
      <c r="F91" s="2" t="inlineStr">
        <is>
          <t>pressbooks/pressbooks</t>
        </is>
      </c>
      <c r="G91" s="2" t="inlineStr"/>
      <c r="H91" s="2" t="inlineStr"/>
      <c r="I91" s="2" t="inlineStr">
        <is>
          <t>yes</t>
        </is>
      </c>
      <c r="J91" s="2" t="inlineStr">
        <is>
          <t>software</t>
        </is>
      </c>
      <c r="K91" s="2" t="inlineStr">
        <is>
          <t>GitHub (same repo)</t>
        </is>
      </c>
      <c r="L91" s="2" t="inlineStr"/>
      <c r="M91" s="2" t="inlineStr">
        <is>
          <t>pressbooks/pressbooks</t>
        </is>
      </c>
      <c r="N91" s="2" t="inlineStr"/>
      <c r="O91" s="2" t="inlineStr"/>
      <c r="P91" s="2" t="inlineStr"/>
      <c r="Q91" s="2" t="inlineStr"/>
      <c r="R91" s="2" t="inlineStr"/>
      <c r="S91" s="2" t="inlineStr">
        <is>
          <t>pressbooks/pressbooks</t>
        </is>
      </c>
      <c r="T91" s="2" t="inlineStr">
        <is>
          <t>12</t>
        </is>
      </c>
      <c r="U91" s="2" t="inlineStr">
        <is>
          <t>45</t>
        </is>
      </c>
      <c r="V91" s="2" t="inlineStr">
        <is>
          <t>2</t>
        </is>
      </c>
      <c r="W91" s="2" t="inlineStr">
        <is>
          <t>4</t>
        </is>
      </c>
      <c r="X91" s="2" t="inlineStr">
        <is>
          <t>17</t>
        </is>
      </c>
      <c r="Y91" s="2" t="inlineStr">
        <is>
          <t>0.1</t>
        </is>
      </c>
      <c r="Z91" s="2" t="inlineStr">
        <is>
          <t>11</t>
        </is>
      </c>
      <c r="AA91" s="2" t="inlineStr">
        <is>
          <t>0.31</t>
        </is>
      </c>
      <c r="AB91" s="2" t="inlineStr">
        <is>
          <t>5.09</t>
        </is>
      </c>
      <c r="AC91" s="2" t="inlineStr">
        <is>
          <t>complete</t>
        </is>
      </c>
      <c r="AD91" s="2" t="inlineStr">
        <is>
          <t>153</t>
        </is>
      </c>
      <c r="AE91" s="2" t="inlineStr">
        <is>
          <t>2026-10-08</t>
        </is>
      </c>
      <c r="AF91" s="2" t="inlineStr">
        <is>
          <t>0</t>
        </is>
      </c>
      <c r="AG91" s="2" t="inlineStr">
        <is>
          <t>0</t>
        </is>
      </c>
      <c r="AH91" s="2" t="inlineStr">
        <is>
          <t>7</t>
        </is>
      </c>
      <c r="AI91" s="2" t="inlineStr">
        <is>
          <t>34</t>
        </is>
      </c>
      <c r="AJ91" s="2" t="inlineStr">
        <is>
          <t>30.07</t>
        </is>
      </c>
      <c r="AK91" s="2" t="inlineStr">
        <is>
          <t>94.87</t>
        </is>
      </c>
      <c r="AL91" s="2" t="inlineStr">
        <is>
          <t>203.07</t>
        </is>
      </c>
      <c r="AM91" s="2" t="inlineStr">
        <is>
          <t>59</t>
        </is>
      </c>
      <c r="AN91" s="2" t="inlineStr">
        <is>
          <t>0</t>
        </is>
      </c>
      <c r="AO91" s="2" t="inlineStr">
        <is>
          <t>104</t>
        </is>
      </c>
      <c r="AP91" s="2" t="inlineStr">
        <is>
          <t>74</t>
        </is>
      </c>
      <c r="AQ91" s="2" t="inlineStr">
        <is>
          <t>25.86</t>
        </is>
      </c>
      <c r="AR91" s="2" t="inlineStr">
        <is>
          <t>151</t>
        </is>
      </c>
      <c r="AS91" s="2" t="inlineStr">
        <is>
          <t>8</t>
        </is>
      </c>
      <c r="AT91" s="2" t="inlineStr">
        <is>
          <t>165</t>
        </is>
      </c>
      <c r="AU91" s="2" t="inlineStr">
        <is>
          <t>148</t>
        </is>
      </c>
      <c r="AV91" s="2" t="inlineStr">
        <is>
          <t>9</t>
        </is>
      </c>
      <c r="AW91" s="2" t="inlineStr">
        <is>
          <t>0</t>
        </is>
      </c>
      <c r="AX91" s="2" t="inlineStr">
        <is>
          <t>complete</t>
        </is>
      </c>
      <c r="AY91" s="2" t="inlineStr">
        <is>
          <t>27</t>
        </is>
      </c>
      <c r="AZ91" s="2" t="inlineStr">
        <is>
          <t>0.3506</t>
        </is>
      </c>
      <c r="BA91" s="2" t="inlineStr">
        <is>
          <t>77</t>
        </is>
      </c>
      <c r="BB91" s="2" t="inlineStr">
        <is>
          <t>133</t>
        </is>
      </c>
      <c r="BC91" s="2" t="inlineStr">
        <is>
          <t>148</t>
        </is>
      </c>
      <c r="BD91" s="2" t="inlineStr">
        <is>
          <t>0.8986</t>
        </is>
      </c>
      <c r="BE91" s="2" t="inlineStr">
        <is>
          <t>24</t>
        </is>
      </c>
      <c r="BF91" s="2" t="inlineStr">
        <is>
          <t>10</t>
        </is>
      </c>
      <c r="BG91" s="2" t="inlineStr">
        <is>
          <t>non-maintainer issues</t>
        </is>
      </c>
      <c r="BH91" s="2" t="inlineStr">
        <is>
          <t>0.35</t>
        </is>
      </c>
      <c r="BI91" s="2" t="inlineStr">
        <is>
          <t>100</t>
        </is>
      </c>
      <c r="BJ91" s="2" t="inlineStr">
        <is>
          <t>35</t>
        </is>
      </c>
      <c r="BK91" s="2" t="inlineStr">
        <is>
          <t>159</t>
        </is>
      </c>
      <c r="BL91" s="2" t="inlineStr">
        <is>
          <t>0.7484</t>
        </is>
      </c>
      <c r="BM91" s="2" t="inlineStr">
        <is>
          <t>119</t>
        </is>
      </c>
      <c r="BN91" s="2" t="n">
        <v>72.91</v>
      </c>
      <c r="BO91" s="2" t="n">
        <v>1</v>
      </c>
      <c r="BP91" s="2" t="n">
        <v>86.54000000000001</v>
      </c>
      <c r="BQ91" s="2" t="n">
        <v>1</v>
      </c>
      <c r="BR91" s="2" t="n">
        <v>100</v>
      </c>
      <c r="BS91" s="2" t="n">
        <v>1</v>
      </c>
      <c r="BT91" s="2" t="n">
        <v>100</v>
      </c>
      <c r="BU91" s="2" t="n">
        <v>1</v>
      </c>
      <c r="BV91" s="2" t="n">
        <v>69.19</v>
      </c>
      <c r="BW91" s="2" t="n">
        <v>1</v>
      </c>
      <c r="BX91" s="2" t="n">
        <v>78.26000000000001</v>
      </c>
      <c r="BY91" s="2" t="n">
        <v>1</v>
      </c>
      <c r="BZ91" s="2" t="n">
        <v>100</v>
      </c>
      <c r="CA91" s="2" t="n">
        <v>1</v>
      </c>
      <c r="CB91" s="2" t="n">
        <v>35</v>
      </c>
      <c r="CC91" s="2" t="n">
        <v>1</v>
      </c>
      <c r="CD91" s="2" t="n">
        <v>74.84</v>
      </c>
      <c r="CE91" s="2" t="n">
        <v>1</v>
      </c>
      <c r="CF91" s="2" t="n">
        <v>35.06</v>
      </c>
      <c r="CG91" s="2" t="n">
        <v>1</v>
      </c>
      <c r="CH91" s="2" t="n">
        <v>89.86</v>
      </c>
      <c r="CI91" s="2" t="n">
        <v>1</v>
      </c>
      <c r="CJ91" s="2" t="n">
        <v>46.59</v>
      </c>
      <c r="CK91" s="2" t="n">
        <v>1</v>
      </c>
      <c r="CL91" s="2" t="n">
        <v>51.96</v>
      </c>
      <c r="CM91" s="2" t="n">
        <v>1</v>
      </c>
      <c r="CN91" s="2" t="n">
        <v>72.32384615384615</v>
      </c>
      <c r="CO91" s="2" t="n">
        <v>13</v>
      </c>
      <c r="CP91" s="2" t="n">
        <v>1</v>
      </c>
      <c r="CQ91" s="2" t="n">
        <v>72.32384615384615</v>
      </c>
      <c r="CR91" s="2" t="inlineStr"/>
      <c r="CS91" s="2" t="inlineStr"/>
      <c r="CT91" s="2" t="inlineStr"/>
      <c r="CU91" s="2" t="inlineStr"/>
    </row>
    <row r="92">
      <c r="A92" s="2" t="inlineStr">
        <is>
          <t>C4-091</t>
        </is>
      </c>
      <c r="B92" s="2" t="inlineStr">
        <is>
          <t>Public Access Submission System</t>
        </is>
      </c>
      <c r="C92" s="2" t="inlineStr">
        <is>
          <t>https://github.com/eclipse-pass/main</t>
        </is>
      </c>
      <c r="D92" s="2" t="inlineStr">
        <is>
          <t>Ready -&gt; umbrella expanded to product set</t>
        </is>
      </c>
      <c r="E92" s="2" t="inlineStr">
        <is>
          <t>github</t>
        </is>
      </c>
      <c r="F92" s="2" t="inlineStr">
        <is>
          <t>eclipse-pass/main;eclipse-pass/pass-core;eclipse-pass/pass-ui</t>
        </is>
      </c>
      <c r="G92" s="2" t="inlineStr"/>
      <c r="H92" s="2" t="inlineStr"/>
      <c r="I92" s="2" t="inlineStr">
        <is>
          <t>yes</t>
        </is>
      </c>
      <c r="J92" s="2" t="inlineStr">
        <is>
          <t>software</t>
        </is>
      </c>
      <c r="K92" s="2" t="inlineStr">
        <is>
          <t>GitHub (umbrella repo eclipse-pass/main)</t>
        </is>
      </c>
      <c r="L92" s="2" t="inlineStr">
        <is>
          <t>Umbrella repo; code lives in sub-repos, scored as a set</t>
        </is>
      </c>
      <c r="M92" s="2" t="inlineStr">
        <is>
          <t>eclipse-pass/main</t>
        </is>
      </c>
      <c r="N92" s="2" t="inlineStr"/>
      <c r="O92" s="2" t="inlineStr"/>
      <c r="P92" s="2" t="inlineStr"/>
      <c r="Q92" s="2" t="inlineStr"/>
      <c r="R92" s="2" t="inlineStr"/>
      <c r="S92" s="2" t="inlineStr">
        <is>
          <t>eclipse-pass/main;eclipse-pass/pass-core;eclipse-pass/pass-ui</t>
        </is>
      </c>
      <c r="T92" s="2" t="inlineStr">
        <is>
          <t>7</t>
        </is>
      </c>
      <c r="U92" s="2" t="inlineStr">
        <is>
          <t>12</t>
        </is>
      </c>
      <c r="V92" s="2" t="inlineStr">
        <is>
          <t>2</t>
        </is>
      </c>
      <c r="W92" s="2" t="inlineStr">
        <is>
          <t>3</t>
        </is>
      </c>
      <c r="X92" s="2" t="inlineStr">
        <is>
          <t>17</t>
        </is>
      </c>
      <c r="Y92" s="2" t="inlineStr">
        <is>
          <t>0.246</t>
        </is>
      </c>
      <c r="Z92" s="2" t="inlineStr">
        <is>
          <t>5</t>
        </is>
      </c>
      <c r="AA92" s="2" t="inlineStr">
        <is>
          <t>42.13</t>
        </is>
      </c>
      <c r="AB92" s="2" t="inlineStr">
        <is>
          <t>3.68</t>
        </is>
      </c>
      <c r="AC92" s="2" t="inlineStr">
        <is>
          <t>complete</t>
        </is>
      </c>
      <c r="AD92" s="2" t="inlineStr">
        <is>
          <t>52</t>
        </is>
      </c>
      <c r="AE92" s="2" t="inlineStr">
        <is>
          <t>2026-08-19</t>
        </is>
      </c>
      <c r="AF92" s="2" t="inlineStr">
        <is>
          <t>0</t>
        </is>
      </c>
      <c r="AG92" s="2" t="inlineStr">
        <is>
          <t>0</t>
        </is>
      </c>
      <c r="AH92" s="2" t="inlineStr">
        <is>
          <t>4</t>
        </is>
      </c>
      <c r="AI92" s="2" t="inlineStr">
        <is>
          <t>9</t>
        </is>
      </c>
      <c r="AJ92" s="2" t="inlineStr">
        <is>
          <t>34.62</t>
        </is>
      </c>
      <c r="AK92" s="2" t="inlineStr">
        <is>
          <t>100.0</t>
        </is>
      </c>
      <c r="AL92" s="2" t="inlineStr">
        <is>
          <t>51.9</t>
        </is>
      </c>
      <c r="AM92" s="2" t="inlineStr">
        <is>
          <t>13</t>
        </is>
      </c>
      <c r="AN92" s="2" t="inlineStr">
        <is>
          <t>0</t>
        </is>
      </c>
      <c r="AO92" s="2" t="inlineStr">
        <is>
          <t>30</t>
        </is>
      </c>
      <c r="AP92" s="2" t="inlineStr">
        <is>
          <t>117</t>
        </is>
      </c>
      <c r="AQ92" s="2" t="inlineStr">
        <is>
          <t>3.15</t>
        </is>
      </c>
      <c r="AR92" s="2" t="inlineStr">
        <is>
          <t>27</t>
        </is>
      </c>
      <c r="AS92" s="2" t="inlineStr">
        <is>
          <t>0</t>
        </is>
      </c>
      <c r="AT92" s="2" t="inlineStr">
        <is>
          <t>27</t>
        </is>
      </c>
      <c r="AU92" s="2" t="inlineStr">
        <is>
          <t>24</t>
        </is>
      </c>
      <c r="AV92" s="2" t="inlineStr">
        <is>
          <t>3</t>
        </is>
      </c>
      <c r="AW92" s="2" t="inlineStr">
        <is>
          <t>22</t>
        </is>
      </c>
      <c r="AX92" s="2" t="inlineStr">
        <is>
          <t>complete</t>
        </is>
      </c>
      <c r="AY92" s="2" t="inlineStr">
        <is>
          <t>17</t>
        </is>
      </c>
      <c r="AZ92" s="2" t="inlineStr">
        <is>
          <t>0.68</t>
        </is>
      </c>
      <c r="BA92" s="2" t="inlineStr">
        <is>
          <t>25</t>
        </is>
      </c>
      <c r="BB92" s="2" t="inlineStr">
        <is>
          <t>24</t>
        </is>
      </c>
      <c r="BC92" s="2" t="inlineStr">
        <is>
          <t>27</t>
        </is>
      </c>
      <c r="BD92" s="2" t="inlineStr">
        <is>
          <t>0.8889</t>
        </is>
      </c>
      <c r="BE92" s="2" t="inlineStr">
        <is>
          <t>1</t>
        </is>
      </c>
      <c r="BF92" s="2" t="inlineStr">
        <is>
          <t>1</t>
        </is>
      </c>
      <c r="BG92" s="2" t="inlineStr">
        <is>
          <t>non-maintainer issues</t>
        </is>
      </c>
      <c r="BH92" s="2" t="inlineStr">
        <is>
          <t>0.3</t>
        </is>
      </c>
      <c r="BI92" s="2" t="inlineStr">
        <is>
          <t>30</t>
        </is>
      </c>
      <c r="BJ92" s="2" t="inlineStr">
        <is>
          <t>9</t>
        </is>
      </c>
      <c r="BK92" s="2" t="inlineStr">
        <is>
          <t>27</t>
        </is>
      </c>
      <c r="BL92" s="2" t="inlineStr">
        <is>
          <t>0.9259</t>
        </is>
      </c>
      <c r="BM92" s="2" t="inlineStr">
        <is>
          <t>25</t>
        </is>
      </c>
      <c r="BN92" s="2" t="n">
        <v>57.47</v>
      </c>
      <c r="BO92" s="2" t="n">
        <v>1</v>
      </c>
      <c r="BP92" s="2" t="n">
        <v>23.08</v>
      </c>
      <c r="BQ92" s="2" t="n">
        <v>1</v>
      </c>
      <c r="BR92" s="2" t="n">
        <v>96.38</v>
      </c>
      <c r="BS92" s="2" t="n">
        <v>1</v>
      </c>
      <c r="BT92" s="2" t="n">
        <v>100</v>
      </c>
      <c r="BU92" s="2" t="n">
        <v>1</v>
      </c>
      <c r="BV92" s="2" t="n">
        <v>46.44</v>
      </c>
      <c r="BW92" s="2" t="n">
        <v>1</v>
      </c>
      <c r="BX92" s="2" t="n">
        <v>62.66</v>
      </c>
      <c r="BY92" s="2" t="n">
        <v>1</v>
      </c>
      <c r="BZ92" s="2" t="n">
        <v>75</v>
      </c>
      <c r="CA92" s="2" t="n">
        <v>1</v>
      </c>
      <c r="CB92" s="2" t="n">
        <v>30</v>
      </c>
      <c r="CC92" s="2" t="n">
        <v>1</v>
      </c>
      <c r="CD92" s="2" t="n">
        <v>92.59</v>
      </c>
      <c r="CE92" s="2" t="n">
        <v>1</v>
      </c>
      <c r="CF92" s="2" t="n">
        <v>68</v>
      </c>
      <c r="CG92" s="2" t="n">
        <v>1</v>
      </c>
      <c r="CH92" s="2" t="n">
        <v>88.89</v>
      </c>
      <c r="CI92" s="2" t="n">
        <v>1</v>
      </c>
      <c r="CJ92" s="2" t="n">
        <v>10.03</v>
      </c>
      <c r="CK92" s="2" t="n">
        <v>1</v>
      </c>
      <c r="CL92" s="2" t="n">
        <v>15.02</v>
      </c>
      <c r="CM92" s="2" t="n">
        <v>1</v>
      </c>
      <c r="CN92" s="2" t="n">
        <v>58.88923076923077</v>
      </c>
      <c r="CO92" s="2" t="n">
        <v>13</v>
      </c>
      <c r="CP92" s="2" t="n">
        <v>1</v>
      </c>
      <c r="CQ92" s="2" t="n">
        <v>58.88923076923077</v>
      </c>
      <c r="CR92" s="2" t="inlineStr"/>
      <c r="CS92" s="2" t="inlineStr"/>
      <c r="CT92" s="2" t="inlineStr"/>
      <c r="CU92" s="2" t="inlineStr"/>
    </row>
    <row r="93">
      <c r="A93" s="2" t="inlineStr">
        <is>
          <t>C4-092</t>
        </is>
      </c>
      <c r="B93" s="2" t="inlineStr">
        <is>
          <t>Public Utility Data Liberation (PUDL)</t>
        </is>
      </c>
      <c r="C93" s="2" t="inlineStr">
        <is>
          <t>https://github.com/catalyst-cooperative/pudl/</t>
        </is>
      </c>
      <c r="D93" s="2" t="inlineStr">
        <is>
          <t>Ready</t>
        </is>
      </c>
      <c r="E93" s="2" t="inlineStr">
        <is>
          <t>github</t>
        </is>
      </c>
      <c r="F93" s="2" t="inlineStr">
        <is>
          <t>catalyst-cooperative/pudl</t>
        </is>
      </c>
      <c r="G93" s="2" t="inlineStr"/>
      <c r="H93" s="2" t="inlineStr"/>
      <c r="I93" s="2" t="inlineStr">
        <is>
          <t>yes</t>
        </is>
      </c>
      <c r="J93" s="2" t="inlineStr">
        <is>
          <t>software</t>
        </is>
      </c>
      <c r="K93" s="2" t="inlineStr">
        <is>
          <t>GitHub (same repo)</t>
        </is>
      </c>
      <c r="L93" s="2" t="inlineStr"/>
      <c r="M93" s="2" t="inlineStr">
        <is>
          <t>catalyst-cooperative/pudl</t>
        </is>
      </c>
      <c r="N93" s="2" t="inlineStr"/>
      <c r="O93" s="2" t="inlineStr"/>
      <c r="P93" s="2" t="inlineStr"/>
      <c r="Q93" s="2" t="inlineStr"/>
      <c r="R93" s="2" t="inlineStr"/>
      <c r="S93" s="2" t="inlineStr">
        <is>
          <t>catalyst-cooperative/pudl</t>
        </is>
      </c>
      <c r="T93" s="2" t="inlineStr">
        <is>
          <t>12</t>
        </is>
      </c>
      <c r="U93" s="2" t="inlineStr">
        <is>
          <t>51</t>
        </is>
      </c>
      <c r="V93" s="2" t="inlineStr">
        <is>
          <t>2</t>
        </is>
      </c>
      <c r="W93" s="2" t="inlineStr">
        <is>
          <t>6</t>
        </is>
      </c>
      <c r="X93" s="2" t="inlineStr">
        <is>
          <t>87</t>
        </is>
      </c>
      <c r="Y93" s="2" t="inlineStr">
        <is>
          <t>0.176</t>
        </is>
      </c>
      <c r="Z93" s="2" t="inlineStr">
        <is>
          <t>22</t>
        </is>
      </c>
      <c r="AA93" s="2" t="inlineStr">
        <is>
          <t>1.16</t>
        </is>
      </c>
      <c r="AB93" s="2" t="inlineStr">
        <is>
          <t>4.94</t>
        </is>
      </c>
      <c r="AC93" s="2" t="inlineStr">
        <is>
          <t>complete</t>
        </is>
      </c>
      <c r="AD93" s="2" t="inlineStr">
        <is>
          <t>406</t>
        </is>
      </c>
      <c r="AE93" s="2" t="inlineStr">
        <is>
          <t>2026-10-13</t>
        </is>
      </c>
      <c r="AF93" s="2" t="inlineStr">
        <is>
          <t>0</t>
        </is>
      </c>
      <c r="AG93" s="2" t="inlineStr">
        <is>
          <t>0</t>
        </is>
      </c>
      <c r="AH93" s="2" t="inlineStr">
        <is>
          <t>11</t>
        </is>
      </c>
      <c r="AI93" s="2" t="inlineStr">
        <is>
          <t>333</t>
        </is>
      </c>
      <c r="AJ93" s="2" t="inlineStr">
        <is>
          <t>39.16</t>
        </is>
      </c>
      <c r="AK93" s="2" t="inlineStr">
        <is>
          <t>90.57</t>
        </is>
      </c>
      <c r="AL93" s="2" t="inlineStr">
        <is>
          <t>21.41</t>
        </is>
      </c>
      <c r="AM93" s="2" t="inlineStr">
        <is>
          <t>39</t>
        </is>
      </c>
      <c r="AN93" s="2" t="inlineStr">
        <is>
          <t>325</t>
        </is>
      </c>
      <c r="AO93" s="2" t="inlineStr">
        <is>
          <t>379</t>
        </is>
      </c>
      <c r="AP93" s="2" t="inlineStr">
        <is>
          <t>399</t>
        </is>
      </c>
      <c r="AQ93" s="2" t="inlineStr">
        <is>
          <t>20.45</t>
        </is>
      </c>
      <c r="AR93" s="2" t="inlineStr">
        <is>
          <t>448</t>
        </is>
      </c>
      <c r="AS93" s="2" t="inlineStr">
        <is>
          <t>45</t>
        </is>
      </c>
      <c r="AT93" s="2" t="inlineStr">
        <is>
          <t>507</t>
        </is>
      </c>
      <c r="AU93" s="2" t="inlineStr">
        <is>
          <t>432</t>
        </is>
      </c>
      <c r="AV93" s="2" t="inlineStr">
        <is>
          <t>30</t>
        </is>
      </c>
      <c r="AW93" s="2" t="inlineStr">
        <is>
          <t>352</t>
        </is>
      </c>
      <c r="AX93" s="2" t="inlineStr">
        <is>
          <t>complete</t>
        </is>
      </c>
      <c r="AY93" s="2" t="inlineStr">
        <is>
          <t>150</t>
        </is>
      </c>
      <c r="AZ93" s="2" t="inlineStr">
        <is>
          <t>0.5725</t>
        </is>
      </c>
      <c r="BA93" s="2" t="inlineStr">
        <is>
          <t>262</t>
        </is>
      </c>
      <c r="BB93" s="2" t="inlineStr">
        <is>
          <t>391</t>
        </is>
      </c>
      <c r="BC93" s="2" t="inlineStr">
        <is>
          <t>435</t>
        </is>
      </c>
      <c r="BD93" s="2" t="inlineStr">
        <is>
          <t>0.8989</t>
        </is>
      </c>
      <c r="BE93" s="2" t="inlineStr">
        <is>
          <t>59</t>
        </is>
      </c>
      <c r="BF93" s="2" t="inlineStr">
        <is>
          <t>22</t>
        </is>
      </c>
      <c r="BG93" s="2" t="inlineStr">
        <is>
          <t>non-maintainer issues</t>
        </is>
      </c>
      <c r="BH93" s="2" t="inlineStr">
        <is>
          <t>0.6481</t>
        </is>
      </c>
      <c r="BI93" s="2" t="inlineStr">
        <is>
          <t>54</t>
        </is>
      </c>
      <c r="BJ93" s="2" t="inlineStr">
        <is>
          <t>35</t>
        </is>
      </c>
      <c r="BK93" s="2" t="inlineStr">
        <is>
          <t>492</t>
        </is>
      </c>
      <c r="BL93" s="2" t="inlineStr">
        <is>
          <t>0.7866</t>
        </is>
      </c>
      <c r="BM93" s="2" t="inlineStr">
        <is>
          <t>387</t>
        </is>
      </c>
      <c r="BN93" s="2" t="n">
        <v>86.97</v>
      </c>
      <c r="BO93" s="2" t="n">
        <v>1</v>
      </c>
      <c r="BP93" s="2" t="n">
        <v>98.08</v>
      </c>
      <c r="BQ93" s="2" t="n">
        <v>1</v>
      </c>
      <c r="BR93" s="2" t="n">
        <v>100</v>
      </c>
      <c r="BS93" s="2" t="n">
        <v>1</v>
      </c>
      <c r="BT93" s="2" t="n">
        <v>100</v>
      </c>
      <c r="BU93" s="2" t="n">
        <v>1</v>
      </c>
      <c r="BV93" s="2" t="n">
        <v>89.19</v>
      </c>
      <c r="BW93" s="2" t="n">
        <v>1</v>
      </c>
      <c r="BX93" s="2" t="n">
        <v>76.81999999999999</v>
      </c>
      <c r="BY93" s="2" t="n">
        <v>1</v>
      </c>
      <c r="BZ93" s="2" t="n">
        <v>100</v>
      </c>
      <c r="CA93" s="2" t="n">
        <v>1</v>
      </c>
      <c r="CB93" s="2" t="n">
        <v>64.81</v>
      </c>
      <c r="CC93" s="2" t="n">
        <v>1</v>
      </c>
      <c r="CD93" s="2" t="n">
        <v>78.66</v>
      </c>
      <c r="CE93" s="2" t="n">
        <v>1</v>
      </c>
      <c r="CF93" s="2" t="n">
        <v>57.25</v>
      </c>
      <c r="CG93" s="2" t="n">
        <v>1</v>
      </c>
      <c r="CH93" s="2" t="n">
        <v>89.89</v>
      </c>
      <c r="CI93" s="2" t="n">
        <v>1</v>
      </c>
      <c r="CJ93" s="2" t="n">
        <v>59.26</v>
      </c>
      <c r="CK93" s="2" t="n">
        <v>1</v>
      </c>
      <c r="CL93" s="2" t="n">
        <v>67.94</v>
      </c>
      <c r="CM93" s="2" t="n">
        <v>1</v>
      </c>
      <c r="CN93" s="2" t="n">
        <v>82.22076923076924</v>
      </c>
      <c r="CO93" s="2" t="n">
        <v>13</v>
      </c>
      <c r="CP93" s="2" t="n">
        <v>1</v>
      </c>
      <c r="CQ93" s="2" t="n">
        <v>82.22076923076924</v>
      </c>
      <c r="CR93" s="2" t="inlineStr"/>
      <c r="CS93" s="2" t="inlineStr"/>
      <c r="CT93" s="2" t="inlineStr"/>
      <c r="CU93" s="2" t="inlineStr"/>
    </row>
    <row r="94">
      <c r="A94" s="2" t="inlineStr">
        <is>
          <t>C4-093</t>
        </is>
      </c>
      <c r="B94" s="2" t="inlineStr">
        <is>
          <t>PubPub</t>
        </is>
      </c>
      <c r="C94" s="2" t="inlineStr">
        <is>
          <t>https://github.com/pubpub/pubpub-editor</t>
        </is>
      </c>
      <c r="D94" s="2" t="inlineStr">
        <is>
          <t>Replace URL</t>
        </is>
      </c>
      <c r="E94" s="2" t="inlineStr">
        <is>
          <t>github</t>
        </is>
      </c>
      <c r="F94" s="2" t="inlineStr">
        <is>
          <t>knowledgefutures/pubpub</t>
        </is>
      </c>
      <c r="G94" s="2" t="inlineStr"/>
      <c r="H94" s="2" t="inlineStr"/>
      <c r="I94" s="2" t="inlineStr">
        <is>
          <t>yes</t>
        </is>
      </c>
      <c r="J94" s="2" t="inlineStr">
        <is>
          <t>software</t>
        </is>
      </c>
      <c r="K94" s="2" t="inlineStr">
        <is>
          <t>GitHub: pubpub/pubpub (verify)</t>
        </is>
      </c>
      <c r="L94" s="2" t="inlineStr">
        <is>
          <t>pubpub-editor idle since 2020; knowledgefutures/pubpub is the active platform (pubpub/platform = v7, last commit Jun 2026)</t>
        </is>
      </c>
      <c r="M94" s="2" t="inlineStr">
        <is>
          <t>pubpub/pubpub</t>
        </is>
      </c>
      <c r="N94" s="2" t="inlineStr"/>
      <c r="O94" s="2" t="inlineStr"/>
      <c r="P94" s="2" t="inlineStr"/>
      <c r="Q94" s="2" t="inlineStr"/>
      <c r="R94" s="2" t="inlineStr"/>
      <c r="S94" s="2" t="inlineStr">
        <is>
          <t>knowledgefutures/pubpub</t>
        </is>
      </c>
      <c r="T94" s="2" t="inlineStr">
        <is>
          <t>11</t>
        </is>
      </c>
      <c r="U94" s="2" t="inlineStr">
        <is>
          <t>33</t>
        </is>
      </c>
      <c r="V94" s="2" t="inlineStr">
        <is>
          <t>2</t>
        </is>
      </c>
      <c r="W94" s="2" t="inlineStr">
        <is>
          <t>3</t>
        </is>
      </c>
      <c r="X94" s="2" t="inlineStr">
        <is>
          <t>0</t>
        </is>
      </c>
      <c r="Y94" s="2" t="inlineStr">
        <is>
          <t>0.0</t>
        </is>
      </c>
      <c r="Z94" s="2" t="inlineStr">
        <is>
          <t>8</t>
        </is>
      </c>
      <c r="AA94" s="2" t="inlineStr">
        <is>
          <t>0.23</t>
        </is>
      </c>
      <c r="AB94" s="2" t="inlineStr">
        <is>
          <t>3.22</t>
        </is>
      </c>
      <c r="AC94" s="2" t="inlineStr">
        <is>
          <t>complete</t>
        </is>
      </c>
      <c r="AD94" s="2" t="inlineStr">
        <is>
          <t>191</t>
        </is>
      </c>
      <c r="AE94" s="2" t="inlineStr">
        <is>
          <t>2026-10-07</t>
        </is>
      </c>
      <c r="AF94" s="2" t="inlineStr">
        <is>
          <t>1</t>
        </is>
      </c>
      <c r="AG94" s="2" t="inlineStr">
        <is>
          <t>0</t>
        </is>
      </c>
      <c r="AH94" s="2" t="inlineStr">
        <is>
          <t>3</t>
        </is>
      </c>
      <c r="AI94" s="2" t="inlineStr">
        <is>
          <t>65</t>
        </is>
      </c>
      <c r="AJ94" s="2" t="inlineStr">
        <is>
          <t>35.08</t>
        </is>
      </c>
      <c r="AK94" s="2" t="inlineStr">
        <is>
          <t>92.31</t>
        </is>
      </c>
      <c r="AL94" s="2" t="inlineStr">
        <is>
          <t>180.22</t>
        </is>
      </c>
      <c r="AM94" s="2" t="inlineStr">
        <is>
          <t>9</t>
        </is>
      </c>
      <c r="AN94" s="2" t="inlineStr">
        <is>
          <t>5</t>
        </is>
      </c>
      <c r="AO94" s="2" t="inlineStr">
        <is>
          <t>10</t>
        </is>
      </c>
      <c r="AP94" s="2" t="inlineStr">
        <is>
          <t>0</t>
        </is>
      </c>
      <c r="AQ94" s="2" t="inlineStr">
        <is>
          <t>10.95</t>
        </is>
      </c>
      <c r="AR94" s="2" t="inlineStr">
        <is>
          <t>61</t>
        </is>
      </c>
      <c r="AS94" s="2" t="inlineStr">
        <is>
          <t>10</t>
        </is>
      </c>
      <c r="AT94" s="2" t="inlineStr">
        <is>
          <t>133</t>
        </is>
      </c>
      <c r="AU94" s="2" t="inlineStr">
        <is>
          <t>120</t>
        </is>
      </c>
      <c r="AV94" s="2" t="inlineStr">
        <is>
          <t>3</t>
        </is>
      </c>
      <c r="AW94" s="2" t="inlineStr">
        <is>
          <t>107</t>
        </is>
      </c>
      <c r="AX94" s="2" t="inlineStr">
        <is>
          <t>complete</t>
        </is>
      </c>
      <c r="AY94" s="2" t="inlineStr">
        <is>
          <t>7</t>
        </is>
      </c>
      <c r="AZ94" s="2" t="inlineStr"/>
      <c r="BA94" s="2" t="inlineStr">
        <is>
          <t>9</t>
        </is>
      </c>
      <c r="BB94" s="2" t="inlineStr">
        <is>
          <t>128</t>
        </is>
      </c>
      <c r="BC94" s="2" t="inlineStr">
        <is>
          <t>132</t>
        </is>
      </c>
      <c r="BD94" s="2" t="inlineStr">
        <is>
          <t>0.9697</t>
        </is>
      </c>
      <c r="BE94" s="2" t="inlineStr">
        <is>
          <t>43</t>
        </is>
      </c>
      <c r="BF94" s="2" t="inlineStr">
        <is>
          <t>4</t>
        </is>
      </c>
      <c r="BG94" s="2" t="inlineStr">
        <is>
          <t>all issues (too few non-maintainer)</t>
        </is>
      </c>
      <c r="BH94" s="2" t="inlineStr"/>
      <c r="BI94" s="2" t="inlineStr">
        <is>
          <t>9</t>
        </is>
      </c>
      <c r="BJ94" s="2" t="inlineStr">
        <is>
          <t>7</t>
        </is>
      </c>
      <c r="BK94" s="2" t="inlineStr">
        <is>
          <t>133</t>
        </is>
      </c>
      <c r="BL94" s="2" t="inlineStr">
        <is>
          <t>0.4135</t>
        </is>
      </c>
      <c r="BM94" s="2" t="inlineStr">
        <is>
          <t>55</t>
        </is>
      </c>
      <c r="BN94" s="2" t="n">
        <v>76.09999999999999</v>
      </c>
      <c r="BO94" s="2" t="n">
        <v>1</v>
      </c>
      <c r="BP94" s="2" t="n">
        <v>63.46</v>
      </c>
      <c r="BQ94" s="2" t="n">
        <v>1</v>
      </c>
      <c r="BR94" s="2" t="n">
        <v>100</v>
      </c>
      <c r="BS94" s="2" t="n">
        <v>1</v>
      </c>
      <c r="BT94" s="2" t="n">
        <v>100</v>
      </c>
      <c r="BU94" s="2" t="n">
        <v>1</v>
      </c>
      <c r="BV94" s="2" t="n">
        <v>60</v>
      </c>
      <c r="BW94" s="2" t="n">
        <v>1</v>
      </c>
      <c r="BX94" s="2" t="n">
        <v>56.24</v>
      </c>
      <c r="BY94" s="2" t="n">
        <v>1</v>
      </c>
      <c r="BZ94" s="2" t="n">
        <v>75</v>
      </c>
      <c r="CA94" s="2" t="n">
        <v>1</v>
      </c>
      <c r="CB94" s="2" t="n">
        <v>0</v>
      </c>
      <c r="CC94" s="2" t="n">
        <v>0</v>
      </c>
      <c r="CD94" s="2" t="n">
        <v>41.35</v>
      </c>
      <c r="CE94" s="2" t="n">
        <v>1</v>
      </c>
      <c r="CF94" s="2" t="n">
        <v>0</v>
      </c>
      <c r="CG94" s="2" t="n">
        <v>0</v>
      </c>
      <c r="CH94" s="2" t="n">
        <v>96.97</v>
      </c>
      <c r="CI94" s="2" t="n">
        <v>1</v>
      </c>
      <c r="CJ94" s="2" t="n">
        <v>54.77</v>
      </c>
      <c r="CK94" s="2" t="n">
        <v>1</v>
      </c>
      <c r="CL94" s="2" t="n">
        <v>34.87</v>
      </c>
      <c r="CM94" s="2" t="n">
        <v>1</v>
      </c>
      <c r="CN94" s="2" t="n">
        <v>58.36615384615384</v>
      </c>
      <c r="CO94" s="2" t="n">
        <v>11</v>
      </c>
      <c r="CP94" s="2" t="n">
        <v>0.8461538461538461</v>
      </c>
      <c r="CQ94" s="2" t="n">
        <v>68.97818181818182</v>
      </c>
      <c r="CR94" s="2" t="inlineStr"/>
      <c r="CS94" s="2" t="inlineStr"/>
      <c r="CT94" s="2" t="inlineStr"/>
      <c r="CU94" s="2" t="inlineStr"/>
    </row>
    <row r="95">
      <c r="A95" s="2" t="inlineStr">
        <is>
          <t>C4-094</t>
        </is>
      </c>
      <c r="B95" s="2" t="inlineStr">
        <is>
          <t>Pundit</t>
        </is>
      </c>
      <c r="C95" s="2" t="inlineStr">
        <is>
          <t>https://github.com/net7/pundit-client</t>
        </is>
      </c>
      <c r="D95" s="2" t="inlineStr">
        <is>
          <t>Ready</t>
        </is>
      </c>
      <c r="E95" s="2" t="inlineStr">
        <is>
          <t>github</t>
        </is>
      </c>
      <c r="F95" s="2" t="inlineStr">
        <is>
          <t>net7/pundit-client</t>
        </is>
      </c>
      <c r="G95" s="2" t="inlineStr"/>
      <c r="H95" s="2" t="inlineStr"/>
      <c r="I95" s="2" t="inlineStr">
        <is>
          <t>yes</t>
        </is>
      </c>
      <c r="J95" s="2" t="inlineStr">
        <is>
          <t>software</t>
        </is>
      </c>
      <c r="K95" s="2" t="inlineStr">
        <is>
          <t>GitHub (count not shown)</t>
        </is>
      </c>
      <c r="L95" s="2" t="inlineStr"/>
      <c r="M95" s="2" t="inlineStr">
        <is>
          <t>net7/pundit-client</t>
        </is>
      </c>
      <c r="N95" s="2" t="inlineStr"/>
      <c r="O95" s="2" t="inlineStr"/>
      <c r="P95" s="2" t="inlineStr"/>
      <c r="Q95" s="2" t="inlineStr"/>
      <c r="R95" s="2" t="inlineStr"/>
      <c r="S95" s="2" t="inlineStr">
        <is>
          <t>net7/pundit-client</t>
        </is>
      </c>
      <c r="T95" s="2" t="inlineStr">
        <is>
          <t>4</t>
        </is>
      </c>
      <c r="U95" s="2" t="inlineStr">
        <is>
          <t>6</t>
        </is>
      </c>
      <c r="V95" s="2" t="inlineStr">
        <is>
          <t>1</t>
        </is>
      </c>
      <c r="W95" s="2" t="inlineStr">
        <is>
          <t>1</t>
        </is>
      </c>
      <c r="X95" s="2" t="inlineStr">
        <is>
          <t>0</t>
        </is>
      </c>
      <c r="Y95" s="2" t="inlineStr">
        <is>
          <t>0.0</t>
        </is>
      </c>
      <c r="Z95" s="2" t="inlineStr">
        <is>
          <t>2</t>
        </is>
      </c>
      <c r="AA95" s="2" t="inlineStr">
        <is>
          <t>68.4</t>
        </is>
      </c>
      <c r="AB95" s="2" t="inlineStr">
        <is>
          <t>1.4</t>
        </is>
      </c>
      <c r="AC95" s="2" t="inlineStr">
        <is>
          <t>complete</t>
        </is>
      </c>
      <c r="AD95" s="2" t="inlineStr">
        <is>
          <t>58</t>
        </is>
      </c>
      <c r="AE95" s="2" t="inlineStr">
        <is>
          <t>2026-07-24</t>
        </is>
      </c>
      <c r="AF95" s="2" t="inlineStr">
        <is>
          <t>4</t>
        </is>
      </c>
      <c r="AG95" s="2" t="inlineStr">
        <is>
          <t>0</t>
        </is>
      </c>
      <c r="AH95" s="2" t="inlineStr">
        <is>
          <t>0</t>
        </is>
      </c>
      <c r="AI95" s="2" t="inlineStr">
        <is>
          <t>3</t>
        </is>
      </c>
      <c r="AJ95" s="2" t="inlineStr">
        <is>
          <t>82.76</t>
        </is>
      </c>
      <c r="AK95" s="2" t="inlineStr">
        <is>
          <t>100.0</t>
        </is>
      </c>
      <c r="AL95" s="2" t="inlineStr"/>
      <c r="AM95" s="2" t="inlineStr">
        <is>
          <t>0</t>
        </is>
      </c>
      <c r="AN95" s="2" t="inlineStr">
        <is>
          <t>0</t>
        </is>
      </c>
      <c r="AO95" s="2" t="inlineStr">
        <is>
          <t>0</t>
        </is>
      </c>
      <c r="AP95" s="2" t="inlineStr">
        <is>
          <t>0</t>
        </is>
      </c>
      <c r="AQ95" s="2" t="inlineStr">
        <is>
          <t>1657.0</t>
        </is>
      </c>
      <c r="AR95" s="2" t="inlineStr">
        <is>
          <t>2</t>
        </is>
      </c>
      <c r="AS95" s="2" t="inlineStr">
        <is>
          <t>0</t>
        </is>
      </c>
      <c r="AT95" s="2" t="inlineStr">
        <is>
          <t>2</t>
        </is>
      </c>
      <c r="AU95" s="2" t="inlineStr">
        <is>
          <t>1</t>
        </is>
      </c>
      <c r="AV95" s="2" t="inlineStr">
        <is>
          <t>1</t>
        </is>
      </c>
      <c r="AW95" s="2" t="inlineStr">
        <is>
          <t>0</t>
        </is>
      </c>
      <c r="AX95" s="2" t="inlineStr">
        <is>
          <t>complete</t>
        </is>
      </c>
      <c r="AY95" s="2" t="inlineStr">
        <is>
          <t>0</t>
        </is>
      </c>
      <c r="AZ95" s="2" t="inlineStr"/>
      <c r="BA95" s="2" t="inlineStr">
        <is>
          <t>0</t>
        </is>
      </c>
      <c r="BB95" s="2" t="inlineStr">
        <is>
          <t>0</t>
        </is>
      </c>
      <c r="BC95" s="2" t="inlineStr">
        <is>
          <t>2</t>
        </is>
      </c>
      <c r="BD95" s="2" t="inlineStr"/>
      <c r="BE95" s="2" t="inlineStr">
        <is>
          <t>0</t>
        </is>
      </c>
      <c r="BF95" s="2" t="inlineStr">
        <is>
          <t>1</t>
        </is>
      </c>
      <c r="BG95" s="2" t="inlineStr">
        <is>
          <t>all issues (too few non-maintainer)</t>
        </is>
      </c>
      <c r="BH95" s="2" t="inlineStr"/>
      <c r="BI95" s="2" t="inlineStr">
        <is>
          <t>0</t>
        </is>
      </c>
      <c r="BJ95" s="2" t="inlineStr">
        <is>
          <t>0</t>
        </is>
      </c>
      <c r="BK95" s="2" t="inlineStr">
        <is>
          <t>2</t>
        </is>
      </c>
      <c r="BL95" s="2" t="inlineStr"/>
      <c r="BM95" s="2" t="inlineStr">
        <is>
          <t>0</t>
        </is>
      </c>
      <c r="BN95" s="2" t="n">
        <v>59.02</v>
      </c>
      <c r="BO95" s="2" t="n">
        <v>1</v>
      </c>
      <c r="BP95" s="2" t="n">
        <v>11.54</v>
      </c>
      <c r="BQ95" s="2" t="n">
        <v>1</v>
      </c>
      <c r="BR95" s="2" t="n">
        <v>88.54000000000001</v>
      </c>
      <c r="BS95" s="2" t="n">
        <v>1</v>
      </c>
      <c r="BT95" s="2" t="n">
        <v>75</v>
      </c>
      <c r="BU95" s="2" t="n">
        <v>1</v>
      </c>
      <c r="BV95" s="2" t="n">
        <v>20</v>
      </c>
      <c r="BW95" s="2" t="n">
        <v>1</v>
      </c>
      <c r="BX95" s="2" t="n">
        <v>16.18</v>
      </c>
      <c r="BY95" s="2" t="n">
        <v>1</v>
      </c>
      <c r="BZ95" s="2" t="n">
        <v>0</v>
      </c>
      <c r="CA95" s="2" t="n">
        <v>1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1</v>
      </c>
      <c r="CL95" s="2" t="n">
        <v>15.02</v>
      </c>
      <c r="CM95" s="2" t="n">
        <v>1</v>
      </c>
      <c r="CN95" s="2" t="n">
        <v>21.94615384615385</v>
      </c>
      <c r="CO95" s="2" t="n">
        <v>9</v>
      </c>
      <c r="CP95" s="2" t="n">
        <v>0.6923076923076923</v>
      </c>
      <c r="CQ95" s="2" t="n">
        <v>31.7</v>
      </c>
      <c r="CR95" s="2" t="inlineStr"/>
      <c r="CS95" s="2" t="inlineStr"/>
      <c r="CT95" s="2" t="inlineStr"/>
      <c r="CU95" s="2" t="inlineStr"/>
    </row>
    <row r="96">
      <c r="A96" s="2" t="inlineStr">
        <is>
          <t>C4-095</t>
        </is>
      </c>
      <c r="B96" s="2" t="inlineStr">
        <is>
          <t>pyOpenSci</t>
        </is>
      </c>
      <c r="C96" s="2" t="inlineStr">
        <is>
          <t>https://github.com/pyOpenSci/pyopensci.github.io</t>
        </is>
      </c>
      <c r="D96" s="2" t="inlineStr">
        <is>
          <t>Not assessable</t>
        </is>
      </c>
      <c r="E96" s="2" t="inlineStr"/>
      <c r="F96" s="2" t="inlineStr"/>
      <c r="G96" s="2" t="inlineStr"/>
      <c r="H96" s="2" t="inlineStr"/>
      <c r="I96" s="2" t="inlineStr">
        <is>
          <t>no</t>
        </is>
      </c>
      <c r="J96" s="2" t="inlineStr">
        <is>
          <t>not-assessable</t>
        </is>
      </c>
      <c r="K96" s="2" t="inlineStr"/>
      <c r="L96" s="2" t="inlineStr">
        <is>
          <t>Community organisation; listed repo is its website</t>
        </is>
      </c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/>
      <c r="BE96" s="2" t="inlineStr"/>
      <c r="BF96" s="2" t="inlineStr"/>
      <c r="BG96" s="2" t="inlineStr"/>
      <c r="BH96" s="2" t="inlineStr"/>
      <c r="BI96" s="2" t="inlineStr"/>
      <c r="BJ96" s="2" t="inlineStr"/>
      <c r="BK96" s="2" t="inlineStr"/>
      <c r="BL96" s="2" t="inlineStr"/>
      <c r="BM96" s="2" t="inlineStr"/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inlineStr"/>
      <c r="CS96" s="2" t="inlineStr"/>
      <c r="CT96" s="2" t="inlineStr"/>
      <c r="CU96" s="2" t="inlineStr"/>
    </row>
    <row r="97">
      <c r="A97" s="2" t="inlineStr">
        <is>
          <t>C4-096</t>
        </is>
      </c>
      <c r="B97" s="2" t="inlineStr">
        <is>
          <t>Renku</t>
        </is>
      </c>
      <c r="C97" s="2" t="inlineStr">
        <is>
          <t>https://github.com/SwissDataScienceCenter/renku</t>
        </is>
      </c>
      <c r="D97" s="2" t="inlineStr">
        <is>
          <t>Ready -&gt; umbrella expanded to product set</t>
        </is>
      </c>
      <c r="E97" s="2" t="inlineStr">
        <is>
          <t>github</t>
        </is>
      </c>
      <c r="F97" s="2" t="inlineStr">
        <is>
          <t>SwissDataScienceCenter/renku;SwissDataScienceCenter/renku-data-services;SwissDataScienceCenter/renku-ui</t>
        </is>
      </c>
      <c r="G97" s="2" t="inlineStr"/>
      <c r="H97" s="2" t="inlineStr"/>
      <c r="I97" s="2" t="inlineStr">
        <is>
          <t>yes</t>
        </is>
      </c>
      <c r="J97" s="2" t="inlineStr">
        <is>
          <t>software</t>
        </is>
      </c>
      <c r="K97" s="2" t="inlineStr">
        <is>
          <t>GitHub (umbrella repo renku)</t>
        </is>
      </c>
      <c r="L97" s="2" t="inlineStr">
        <is>
          <t>Umbrella repo; code lives in sub-repos, scored as a set</t>
        </is>
      </c>
      <c r="M97" s="2" t="inlineStr">
        <is>
          <t>SwissDataScienceCenter/renku</t>
        </is>
      </c>
      <c r="N97" s="2" t="inlineStr"/>
      <c r="O97" s="2" t="inlineStr"/>
      <c r="P97" s="2" t="inlineStr"/>
      <c r="Q97" s="2" t="inlineStr"/>
      <c r="R97" s="2" t="inlineStr"/>
      <c r="S97" s="2" t="inlineStr">
        <is>
          <t>SwissDataScienceCenter/renku;SwissDataScienceCenter/renku-data-services;SwissDataScienceCenter/renku-ui</t>
        </is>
      </c>
      <c r="T97" s="2" t="inlineStr">
        <is>
          <t>12</t>
        </is>
      </c>
      <c r="U97" s="2" t="inlineStr">
        <is>
          <t>51</t>
        </is>
      </c>
      <c r="V97" s="2" t="inlineStr">
        <is>
          <t>3</t>
        </is>
      </c>
      <c r="W97" s="2" t="inlineStr">
        <is>
          <t>7</t>
        </is>
      </c>
      <c r="X97" s="2" t="inlineStr">
        <is>
          <t>169</t>
        </is>
      </c>
      <c r="Y97" s="2" t="inlineStr">
        <is>
          <t>0.253</t>
        </is>
      </c>
      <c r="Z97" s="2" t="inlineStr">
        <is>
          <t>19</t>
        </is>
      </c>
      <c r="AA97" s="2" t="inlineStr">
        <is>
          <t>0.42</t>
        </is>
      </c>
      <c r="AB97" s="2" t="inlineStr">
        <is>
          <t>6.69</t>
        </is>
      </c>
      <c r="AC97" s="2" t="inlineStr">
        <is>
          <t>complete</t>
        </is>
      </c>
      <c r="AD97" s="2" t="inlineStr">
        <is>
          <t>498</t>
        </is>
      </c>
      <c r="AE97" s="2" t="inlineStr">
        <is>
          <t>2026-10-13</t>
        </is>
      </c>
      <c r="AF97" s="2" t="inlineStr">
        <is>
          <t>0</t>
        </is>
      </c>
      <c r="AG97" s="2" t="inlineStr">
        <is>
          <t>3</t>
        </is>
      </c>
      <c r="AH97" s="2" t="inlineStr">
        <is>
          <t>15</t>
        </is>
      </c>
      <c r="AI97" s="2" t="inlineStr">
        <is>
          <t>178</t>
        </is>
      </c>
      <c r="AJ97" s="2" t="inlineStr">
        <is>
          <t>28.92</t>
        </is>
      </c>
      <c r="AK97" s="2" t="inlineStr">
        <is>
          <t>87.39</t>
        </is>
      </c>
      <c r="AL97" s="2" t="inlineStr">
        <is>
          <t>174.33</t>
        </is>
      </c>
      <c r="AM97" s="2" t="inlineStr">
        <is>
          <t>4</t>
        </is>
      </c>
      <c r="AN97" s="2" t="inlineStr">
        <is>
          <t>8</t>
        </is>
      </c>
      <c r="AO97" s="2" t="inlineStr">
        <is>
          <t>16</t>
        </is>
      </c>
      <c r="AP97" s="2" t="inlineStr">
        <is>
          <t>225</t>
        </is>
      </c>
      <c r="AQ97" s="2" t="inlineStr">
        <is>
          <t>0.03</t>
        </is>
      </c>
      <c r="AR97" s="2" t="inlineStr">
        <is>
          <t>840</t>
        </is>
      </c>
      <c r="AS97" s="2" t="inlineStr">
        <is>
          <t>100</t>
        </is>
      </c>
      <c r="AT97" s="2" t="inlineStr">
        <is>
          <t>890</t>
        </is>
      </c>
      <c r="AU97" s="2" t="inlineStr">
        <is>
          <t>693</t>
        </is>
      </c>
      <c r="AV97" s="2" t="inlineStr">
        <is>
          <t>97</t>
        </is>
      </c>
      <c r="AW97" s="2" t="inlineStr">
        <is>
          <t>607</t>
        </is>
      </c>
      <c r="AX97" s="2" t="inlineStr">
        <is>
          <t>complete</t>
        </is>
      </c>
      <c r="AY97" s="2" t="inlineStr">
        <is>
          <t>6</t>
        </is>
      </c>
      <c r="AZ97" s="2" t="inlineStr">
        <is>
          <t>0.4286</t>
        </is>
      </c>
      <c r="BA97" s="2" t="inlineStr">
        <is>
          <t>14</t>
        </is>
      </c>
      <c r="BB97" s="2" t="inlineStr">
        <is>
          <t>671</t>
        </is>
      </c>
      <c r="BC97" s="2" t="inlineStr">
        <is>
          <t>796</t>
        </is>
      </c>
      <c r="BD97" s="2" t="inlineStr">
        <is>
          <t>0.843</t>
        </is>
      </c>
      <c r="BE97" s="2" t="inlineStr">
        <is>
          <t>37</t>
        </is>
      </c>
      <c r="BF97" s="2" t="inlineStr">
        <is>
          <t>4</t>
        </is>
      </c>
      <c r="BG97" s="2" t="inlineStr">
        <is>
          <t>all issues (too few non-maintainer)</t>
        </is>
      </c>
      <c r="BH97" s="2" t="inlineStr">
        <is>
          <t>0.2</t>
        </is>
      </c>
      <c r="BI97" s="2" t="inlineStr">
        <is>
          <t>15</t>
        </is>
      </c>
      <c r="BJ97" s="2" t="inlineStr">
        <is>
          <t>3</t>
        </is>
      </c>
      <c r="BK97" s="2" t="inlineStr">
        <is>
          <t>868</t>
        </is>
      </c>
      <c r="BL97" s="2" t="inlineStr">
        <is>
          <t>0.8813</t>
        </is>
      </c>
      <c r="BM97" s="2" t="inlineStr">
        <is>
          <t>765</t>
        </is>
      </c>
      <c r="BN97" s="2" t="n">
        <v>89.92</v>
      </c>
      <c r="BO97" s="2" t="n">
        <v>1</v>
      </c>
      <c r="BP97" s="2" t="n">
        <v>98.08</v>
      </c>
      <c r="BQ97" s="2" t="n">
        <v>1</v>
      </c>
      <c r="BR97" s="2" t="n">
        <v>100</v>
      </c>
      <c r="BS97" s="2" t="n">
        <v>1</v>
      </c>
      <c r="BT97" s="2" t="n">
        <v>100</v>
      </c>
      <c r="BU97" s="2" t="n">
        <v>1</v>
      </c>
      <c r="BV97" s="2" t="n">
        <v>84.95999999999999</v>
      </c>
      <c r="BW97" s="2" t="n">
        <v>1</v>
      </c>
      <c r="BX97" s="2" t="n">
        <v>91.40000000000001</v>
      </c>
      <c r="BY97" s="2" t="n">
        <v>1</v>
      </c>
      <c r="BZ97" s="2" t="n">
        <v>100</v>
      </c>
      <c r="CA97" s="2" t="n">
        <v>1</v>
      </c>
      <c r="CB97" s="2" t="n">
        <v>20</v>
      </c>
      <c r="CC97" s="2" t="n">
        <v>1</v>
      </c>
      <c r="CD97" s="2" t="n">
        <v>88.13</v>
      </c>
      <c r="CE97" s="2" t="n">
        <v>1</v>
      </c>
      <c r="CF97" s="2" t="n">
        <v>42.86</v>
      </c>
      <c r="CG97" s="2" t="n">
        <v>1</v>
      </c>
      <c r="CH97" s="2" t="n">
        <v>84.3</v>
      </c>
      <c r="CI97" s="2" t="n">
        <v>1</v>
      </c>
      <c r="CJ97" s="2" t="n">
        <v>52.65</v>
      </c>
      <c r="CK97" s="2" t="n">
        <v>1</v>
      </c>
      <c r="CL97" s="2" t="n">
        <v>34.87</v>
      </c>
      <c r="CM97" s="2" t="n">
        <v>1</v>
      </c>
      <c r="CN97" s="2" t="n">
        <v>75.93615384615384</v>
      </c>
      <c r="CO97" s="2" t="n">
        <v>13</v>
      </c>
      <c r="CP97" s="2" t="n">
        <v>1</v>
      </c>
      <c r="CQ97" s="2" t="n">
        <v>75.93615384615384</v>
      </c>
      <c r="CR97" s="2" t="inlineStr"/>
      <c r="CS97" s="2" t="inlineStr"/>
      <c r="CT97" s="2" t="inlineStr"/>
      <c r="CU97" s="2" t="inlineStr"/>
    </row>
    <row r="98">
      <c r="A98" s="2" t="inlineStr">
        <is>
          <t>C4-097</t>
        </is>
      </c>
      <c r="B98" s="2" t="inlineStr">
        <is>
          <t>RePEc</t>
        </is>
      </c>
      <c r="C98" s="2" t="inlineStr">
        <is>
          <t>https://github.com/repec-org/Scripts</t>
        </is>
      </c>
      <c r="D98" s="2" t="inlineStr">
        <is>
          <t>Not assessable</t>
        </is>
      </c>
      <c r="E98" s="2" t="inlineStr"/>
      <c r="F98" s="2" t="inlineStr"/>
      <c r="G98" s="2" t="inlineStr"/>
      <c r="H98" s="2" t="inlineStr"/>
      <c r="I98" s="2" t="inlineStr">
        <is>
          <t>no</t>
        </is>
      </c>
      <c r="J98" s="2" t="inlineStr">
        <is>
          <t>not-assessable</t>
        </is>
      </c>
      <c r="K98" s="2" t="inlineStr"/>
      <c r="L98" s="2" t="inlineStr">
        <is>
          <t>Listed repo is helper scripts idle since 2017; core RePEc services are not on GitHub</t>
        </is>
      </c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/>
      <c r="BE98" s="2" t="inlineStr"/>
      <c r="BF98" s="2" t="inlineStr"/>
      <c r="BG98" s="2" t="inlineStr"/>
      <c r="BH98" s="2" t="inlineStr"/>
      <c r="BI98" s="2" t="inlineStr"/>
      <c r="BJ98" s="2" t="inlineStr"/>
      <c r="BK98" s="2" t="inlineStr"/>
      <c r="BL98" s="2" t="inlineStr"/>
      <c r="BM98" s="2" t="inlineStr"/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inlineStr"/>
      <c r="CS98" s="2" t="inlineStr"/>
      <c r="CT98" s="2" t="inlineStr"/>
      <c r="CU98" s="2" t="inlineStr"/>
    </row>
    <row r="99">
      <c r="A99" s="2" t="inlineStr">
        <is>
          <t>C4-098</t>
        </is>
      </c>
      <c r="B99" s="2" t="inlineStr">
        <is>
          <t>Research Organization Registry (ROR)</t>
        </is>
      </c>
      <c r="C99" s="2" t="inlineStr">
        <is>
          <t>https://github.com/ror-community/ror-site</t>
        </is>
      </c>
      <c r="D99" s="2" t="inlineStr">
        <is>
          <t>Replace URL</t>
        </is>
      </c>
      <c r="E99" s="2" t="inlineStr">
        <is>
          <t>github</t>
        </is>
      </c>
      <c r="F99" s="2" t="inlineStr">
        <is>
          <t>ror-community/ror-api</t>
        </is>
      </c>
      <c r="G99" s="2" t="inlineStr"/>
      <c r="H99" s="2" t="inlineStr"/>
      <c r="I99" s="2" t="inlineStr">
        <is>
          <t>yes</t>
        </is>
      </c>
      <c r="J99" s="2" t="inlineStr">
        <is>
          <t>software</t>
        </is>
      </c>
      <c r="K99" s="2" t="inlineStr">
        <is>
          <t>GitHub Issues show 0 open - ROR may track elsewhere; verify</t>
        </is>
      </c>
      <c r="L99" s="2" t="inlineStr">
        <is>
          <t>ror-site is the website; ror-api is the registry service</t>
        </is>
      </c>
      <c r="M99" s="2" t="inlineStr">
        <is>
          <t>ror-community/ror-api</t>
        </is>
      </c>
      <c r="N99" s="2" t="inlineStr"/>
      <c r="O99" s="2" t="inlineStr"/>
      <c r="P99" s="2" t="inlineStr"/>
      <c r="Q99" s="2" t="inlineStr"/>
      <c r="R99" s="2" t="inlineStr"/>
      <c r="S99" s="2" t="inlineStr">
        <is>
          <t>ror-community/ror-api</t>
        </is>
      </c>
      <c r="T99" s="2" t="inlineStr">
        <is>
          <t>7</t>
        </is>
      </c>
      <c r="U99" s="2" t="inlineStr">
        <is>
          <t>13</t>
        </is>
      </c>
      <c r="V99" s="2" t="inlineStr">
        <is>
          <t>1</t>
        </is>
      </c>
      <c r="W99" s="2" t="inlineStr">
        <is>
          <t>1</t>
        </is>
      </c>
      <c r="X99" s="2" t="inlineStr">
        <is>
          <t>9</t>
        </is>
      </c>
      <c r="Y99" s="2" t="inlineStr">
        <is>
          <t>0.18</t>
        </is>
      </c>
      <c r="Z99" s="2" t="inlineStr">
        <is>
          <t>2</t>
        </is>
      </c>
      <c r="AA99" s="2" t="inlineStr">
        <is>
          <t>0.33</t>
        </is>
      </c>
      <c r="AB99" s="2" t="inlineStr">
        <is>
          <t>1.1</t>
        </is>
      </c>
      <c r="AC99" s="2" t="inlineStr">
        <is>
          <t>complete</t>
        </is>
      </c>
      <c r="AD99" s="2" t="inlineStr">
        <is>
          <t>41</t>
        </is>
      </c>
      <c r="AE99" s="2" t="inlineStr">
        <is>
          <t>2026-10-05</t>
        </is>
      </c>
      <c r="AF99" s="2" t="inlineStr">
        <is>
          <t>39</t>
        </is>
      </c>
      <c r="AG99" s="2" t="inlineStr">
        <is>
          <t>0</t>
        </is>
      </c>
      <c r="AH99" s="2" t="inlineStr">
        <is>
          <t>1</t>
        </is>
      </c>
      <c r="AI99" s="2" t="inlineStr">
        <is>
          <t>14</t>
        </is>
      </c>
      <c r="AJ99" s="2" t="inlineStr">
        <is>
          <t>95.12</t>
        </is>
      </c>
      <c r="AK99" s="2" t="inlineStr">
        <is>
          <t>98.73</t>
        </is>
      </c>
      <c r="AL99" s="2" t="inlineStr"/>
      <c r="AM99" s="2" t="inlineStr">
        <is>
          <t>0</t>
        </is>
      </c>
      <c r="AN99" s="2" t="inlineStr">
        <is>
          <t>0</t>
        </is>
      </c>
      <c r="AO99" s="2" t="inlineStr">
        <is>
          <t>0</t>
        </is>
      </c>
      <c r="AP99" s="2" t="inlineStr">
        <is>
          <t>0</t>
        </is>
      </c>
      <c r="AQ99" s="2" t="inlineStr">
        <is>
          <t>1.33</t>
        </is>
      </c>
      <c r="AR99" s="2" t="inlineStr">
        <is>
          <t>4</t>
        </is>
      </c>
      <c r="AS99" s="2" t="inlineStr">
        <is>
          <t>1</t>
        </is>
      </c>
      <c r="AT99" s="2" t="inlineStr">
        <is>
          <t>80</t>
        </is>
      </c>
      <c r="AU99" s="2" t="inlineStr">
        <is>
          <t>78</t>
        </is>
      </c>
      <c r="AV99" s="2" t="inlineStr">
        <is>
          <t>1</t>
        </is>
      </c>
      <c r="AW99" s="2" t="inlineStr">
        <is>
          <t>77</t>
        </is>
      </c>
      <c r="AX99" s="2" t="inlineStr">
        <is>
          <t>complete</t>
        </is>
      </c>
      <c r="AY99" s="2" t="inlineStr">
        <is>
          <t>0</t>
        </is>
      </c>
      <c r="AZ99" s="2" t="inlineStr"/>
      <c r="BA99" s="2" t="inlineStr">
        <is>
          <t>0</t>
        </is>
      </c>
      <c r="BB99" s="2" t="inlineStr">
        <is>
          <t>38</t>
        </is>
      </c>
      <c r="BC99" s="2" t="inlineStr">
        <is>
          <t>39</t>
        </is>
      </c>
      <c r="BD99" s="2" t="inlineStr">
        <is>
          <t>0.9744</t>
        </is>
      </c>
      <c r="BE99" s="2" t="inlineStr">
        <is>
          <t>9</t>
        </is>
      </c>
      <c r="BF99" s="2" t="inlineStr">
        <is>
          <t>4</t>
        </is>
      </c>
      <c r="BG99" s="2" t="inlineStr">
        <is>
          <t>all issues (too few non-maintainer)</t>
        </is>
      </c>
      <c r="BH99" s="2" t="inlineStr"/>
      <c r="BI99" s="2" t="inlineStr">
        <is>
          <t>0</t>
        </is>
      </c>
      <c r="BJ99" s="2" t="inlineStr">
        <is>
          <t>0</t>
        </is>
      </c>
      <c r="BK99" s="2" t="inlineStr">
        <is>
          <t>68</t>
        </is>
      </c>
      <c r="BL99" s="2" t="inlineStr">
        <is>
          <t>0.0588</t>
        </is>
      </c>
      <c r="BM99" s="2" t="inlineStr">
        <is>
          <t>4</t>
        </is>
      </c>
      <c r="BN99" s="2" t="n">
        <v>54.1</v>
      </c>
      <c r="BO99" s="2" t="n">
        <v>1</v>
      </c>
      <c r="BP99" s="2" t="n">
        <v>25</v>
      </c>
      <c r="BQ99" s="2" t="n">
        <v>1</v>
      </c>
      <c r="BR99" s="2" t="n">
        <v>100</v>
      </c>
      <c r="BS99" s="2" t="n">
        <v>1</v>
      </c>
      <c r="BT99" s="2" t="n">
        <v>100</v>
      </c>
      <c r="BU99" s="2" t="n">
        <v>1</v>
      </c>
      <c r="BV99" s="2" t="n">
        <v>20</v>
      </c>
      <c r="BW99" s="2" t="n">
        <v>1</v>
      </c>
      <c r="BX99" s="2" t="n">
        <v>4.58</v>
      </c>
      <c r="BY99" s="2" t="n">
        <v>1</v>
      </c>
      <c r="BZ99" s="2" t="n">
        <v>25</v>
      </c>
      <c r="CA99" s="2" t="n">
        <v>1</v>
      </c>
      <c r="CB99" s="2" t="n">
        <v>0</v>
      </c>
      <c r="CC99" s="2" t="n">
        <v>0</v>
      </c>
      <c r="CD99" s="2" t="n">
        <v>5.88</v>
      </c>
      <c r="CE99" s="2" t="n">
        <v>1</v>
      </c>
      <c r="CF99" s="2" t="n">
        <v>0</v>
      </c>
      <c r="CG99" s="2" t="n">
        <v>0</v>
      </c>
      <c r="CH99" s="2" t="n">
        <v>97.44</v>
      </c>
      <c r="CI99" s="2" t="n">
        <v>1</v>
      </c>
      <c r="CJ99" s="2" t="n">
        <v>33.33</v>
      </c>
      <c r="CK99" s="2" t="n">
        <v>1</v>
      </c>
      <c r="CL99" s="2" t="n">
        <v>34.87</v>
      </c>
      <c r="CM99" s="2" t="n">
        <v>1</v>
      </c>
      <c r="CN99" s="2" t="n">
        <v>38.47692307692308</v>
      </c>
      <c r="CO99" s="2" t="n">
        <v>11</v>
      </c>
      <c r="CP99" s="2" t="n">
        <v>0.8461538461538461</v>
      </c>
      <c r="CQ99" s="2" t="n">
        <v>45.47272727272727</v>
      </c>
      <c r="CR99" s="2" t="inlineStr"/>
      <c r="CS99" s="2" t="inlineStr"/>
      <c r="CT99" s="2" t="inlineStr"/>
      <c r="CU99" s="2" t="inlineStr"/>
    </row>
    <row r="100">
      <c r="A100" s="2" t="inlineStr">
        <is>
          <t>C4-099</t>
        </is>
      </c>
      <c r="B100" s="2" t="inlineStr">
        <is>
          <t>Rogue Scholar</t>
        </is>
      </c>
      <c r="C100" s="2" t="inlineStr">
        <is>
          <t>https://github.com/front-matter/rogue-scholar</t>
        </is>
      </c>
      <c r="D100" s="2" t="inlineStr">
        <is>
          <t>Ready</t>
        </is>
      </c>
      <c r="E100" s="2" t="inlineStr">
        <is>
          <t>github</t>
        </is>
      </c>
      <c r="F100" s="2" t="inlineStr">
        <is>
          <t>front-matter/rogue-scholar</t>
        </is>
      </c>
      <c r="G100" s="2" t="inlineStr"/>
      <c r="H100" s="2" t="inlineStr"/>
      <c r="I100" s="2" t="inlineStr">
        <is>
          <t>yes</t>
        </is>
      </c>
      <c r="J100" s="2" t="inlineStr">
        <is>
          <t>software</t>
        </is>
      </c>
      <c r="K100" s="2" t="inlineStr">
        <is>
          <t>GitHub (same repo)</t>
        </is>
      </c>
      <c r="L100" s="2" t="inlineStr"/>
      <c r="M100" s="2" t="inlineStr">
        <is>
          <t>front-matter/rogue-scholar</t>
        </is>
      </c>
      <c r="N100" s="2" t="inlineStr"/>
      <c r="O100" s="2" t="inlineStr"/>
      <c r="P100" s="2" t="inlineStr"/>
      <c r="Q100" s="2" t="inlineStr"/>
      <c r="R100" s="2" t="inlineStr"/>
      <c r="S100" s="2" t="inlineStr">
        <is>
          <t>front-matter/rogue-scholar</t>
        </is>
      </c>
      <c r="T100" s="2" t="inlineStr">
        <is>
          <t>9</t>
        </is>
      </c>
      <c r="U100" s="2" t="inlineStr">
        <is>
          <t>28</t>
        </is>
      </c>
      <c r="V100" s="2" t="inlineStr">
        <is>
          <t>1</t>
        </is>
      </c>
      <c r="W100" s="2" t="inlineStr">
        <is>
          <t>1</t>
        </is>
      </c>
      <c r="X100" s="2" t="inlineStr">
        <is>
          <t>0</t>
        </is>
      </c>
      <c r="Y100" s="2" t="inlineStr">
        <is>
          <t>0.0</t>
        </is>
      </c>
      <c r="Z100" s="2" t="inlineStr">
        <is>
          <t>1</t>
        </is>
      </c>
      <c r="AA100" s="2" t="inlineStr">
        <is>
          <t>112.64</t>
        </is>
      </c>
      <c r="AB100" s="2" t="inlineStr">
        <is>
          <t>1.0</t>
        </is>
      </c>
      <c r="AC100" s="2" t="inlineStr">
        <is>
          <t>complete</t>
        </is>
      </c>
      <c r="AD100" s="2" t="inlineStr">
        <is>
          <t>386</t>
        </is>
      </c>
      <c r="AE100" s="2" t="inlineStr">
        <is>
          <t>2026-06-10</t>
        </is>
      </c>
      <c r="AF100" s="2" t="inlineStr">
        <is>
          <t>0</t>
        </is>
      </c>
      <c r="AG100" s="2" t="inlineStr">
        <is>
          <t>1</t>
        </is>
      </c>
      <c r="AH100" s="2" t="inlineStr">
        <is>
          <t>1</t>
        </is>
      </c>
      <c r="AI100" s="2" t="inlineStr">
        <is>
          <t>1</t>
        </is>
      </c>
      <c r="AJ100" s="2" t="inlineStr">
        <is>
          <t>100.0</t>
        </is>
      </c>
      <c r="AK100" s="2" t="inlineStr"/>
      <c r="AL100" s="2" t="inlineStr"/>
      <c r="AM100" s="2" t="inlineStr">
        <is>
          <t>0</t>
        </is>
      </c>
      <c r="AN100" s="2" t="inlineStr">
        <is>
          <t>0</t>
        </is>
      </c>
      <c r="AO100" s="2" t="inlineStr">
        <is>
          <t>0</t>
        </is>
      </c>
      <c r="AP100" s="2" t="inlineStr">
        <is>
          <t>9</t>
        </is>
      </c>
      <c r="AQ100" s="2" t="inlineStr"/>
      <c r="AR100" s="2" t="inlineStr">
        <is>
          <t>0</t>
        </is>
      </c>
      <c r="AS100" s="2" t="inlineStr">
        <is>
          <t>0</t>
        </is>
      </c>
      <c r="AT100" s="2" t="inlineStr">
        <is>
          <t>1</t>
        </is>
      </c>
      <c r="AU100" s="2" t="inlineStr">
        <is>
          <t>0</t>
        </is>
      </c>
      <c r="AV100" s="2" t="inlineStr">
        <is>
          <t>1</t>
        </is>
      </c>
      <c r="AW100" s="2" t="inlineStr">
        <is>
          <t>0</t>
        </is>
      </c>
      <c r="AX100" s="2" t="inlineStr">
        <is>
          <t>complete</t>
        </is>
      </c>
      <c r="AY100" s="2" t="inlineStr">
        <is>
          <t>0</t>
        </is>
      </c>
      <c r="AZ100" s="2" t="inlineStr"/>
      <c r="BA100" s="2" t="inlineStr">
        <is>
          <t>0</t>
        </is>
      </c>
      <c r="BB100" s="2" t="inlineStr">
        <is>
          <t>0</t>
        </is>
      </c>
      <c r="BC100" s="2" t="inlineStr">
        <is>
          <t>0</t>
        </is>
      </c>
      <c r="BD100" s="2" t="inlineStr"/>
      <c r="BE100" s="2" t="inlineStr">
        <is>
          <t>4</t>
        </is>
      </c>
      <c r="BF100" s="2" t="inlineStr">
        <is>
          <t>1</t>
        </is>
      </c>
      <c r="BG100" s="2" t="inlineStr">
        <is>
          <t>all issues (too few non-maintainer)</t>
        </is>
      </c>
      <c r="BH100" s="2" t="inlineStr"/>
      <c r="BI100" s="2" t="inlineStr">
        <is>
          <t>0</t>
        </is>
      </c>
      <c r="BJ100" s="2" t="inlineStr">
        <is>
          <t>0</t>
        </is>
      </c>
      <c r="BK100" s="2" t="inlineStr">
        <is>
          <t>1</t>
        </is>
      </c>
      <c r="BL100" s="2" t="inlineStr"/>
      <c r="BM100" s="2" t="inlineStr">
        <is>
          <t>0</t>
        </is>
      </c>
      <c r="BN100" s="2" t="n">
        <v>86.23999999999999</v>
      </c>
      <c r="BO100" s="2" t="n">
        <v>1</v>
      </c>
      <c r="BP100" s="2" t="n">
        <v>53.85</v>
      </c>
      <c r="BQ100" s="2" t="n">
        <v>1</v>
      </c>
      <c r="BR100" s="2" t="n">
        <v>75.33</v>
      </c>
      <c r="BS100" s="2" t="n">
        <v>1</v>
      </c>
      <c r="BT100" s="2" t="n">
        <v>50</v>
      </c>
      <c r="BU100" s="2" t="n">
        <v>1</v>
      </c>
      <c r="BV100" s="2" t="n">
        <v>0</v>
      </c>
      <c r="BW100" s="2" t="n">
        <v>1</v>
      </c>
      <c r="BX100" s="2" t="n">
        <v>0</v>
      </c>
      <c r="BY100" s="2" t="n">
        <v>1</v>
      </c>
      <c r="BZ100" s="2" t="n">
        <v>25</v>
      </c>
      <c r="CA100" s="2" t="n">
        <v>1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23.3</v>
      </c>
      <c r="CK100" s="2" t="n">
        <v>1</v>
      </c>
      <c r="CL100" s="2" t="n">
        <v>15.02</v>
      </c>
      <c r="CM100" s="2" t="n">
        <v>1</v>
      </c>
      <c r="CN100" s="2" t="n">
        <v>25.28769230769231</v>
      </c>
      <c r="CO100" s="2" t="n">
        <v>9</v>
      </c>
      <c r="CP100" s="2" t="n">
        <v>0.6923076923076923</v>
      </c>
      <c r="CQ100" s="2" t="n">
        <v>36.52666666666666</v>
      </c>
      <c r="CR100" s="2" t="inlineStr"/>
      <c r="CS100" s="2" t="inlineStr"/>
      <c r="CT100" s="2" t="inlineStr"/>
      <c r="CU100" s="2" t="inlineStr"/>
    </row>
    <row r="101">
      <c r="A101" s="2" t="inlineStr">
        <is>
          <t>C4-100</t>
        </is>
      </c>
      <c r="B101" s="2" t="inlineStr">
        <is>
          <t>RSpace</t>
        </is>
      </c>
      <c r="C101" s="2" t="inlineStr">
        <is>
          <t>https://github.com/rspace-os/rspace-web</t>
        </is>
      </c>
      <c r="D101" s="2" t="inlineStr">
        <is>
          <t>Ready</t>
        </is>
      </c>
      <c r="E101" s="2" t="inlineStr">
        <is>
          <t>github</t>
        </is>
      </c>
      <c r="F101" s="2" t="inlineStr">
        <is>
          <t>rspace-os/rspace-web</t>
        </is>
      </c>
      <c r="G101" s="2" t="inlineStr"/>
      <c r="H101" s="2" t="inlineStr"/>
      <c r="I101" s="2" t="inlineStr">
        <is>
          <t>yes</t>
        </is>
      </c>
      <c r="J101" s="2" t="inlineStr">
        <is>
          <t>software</t>
        </is>
      </c>
      <c r="K101" s="2" t="inlineStr">
        <is>
          <t>GitHub (same repo)</t>
        </is>
      </c>
      <c r="L101" s="2" t="inlineStr"/>
      <c r="M101" s="2" t="inlineStr">
        <is>
          <t>rspace-os/rspace-web</t>
        </is>
      </c>
      <c r="N101" s="2" t="inlineStr"/>
      <c r="O101" s="2" t="inlineStr"/>
      <c r="P101" s="2" t="inlineStr"/>
      <c r="Q101" s="2" t="inlineStr"/>
      <c r="R101" s="2" t="inlineStr"/>
      <c r="S101" s="2" t="inlineStr">
        <is>
          <t>rspace-os/rspace-web</t>
        </is>
      </c>
      <c r="T101" s="2" t="inlineStr">
        <is>
          <t>12</t>
        </is>
      </c>
      <c r="U101" s="2" t="inlineStr">
        <is>
          <t>51</t>
        </is>
      </c>
      <c r="V101" s="2" t="inlineStr">
        <is>
          <t>3</t>
        </is>
      </c>
      <c r="W101" s="2" t="inlineStr">
        <is>
          <t>5</t>
        </is>
      </c>
      <c r="X101" s="2" t="inlineStr">
        <is>
          <t>11</t>
        </is>
      </c>
      <c r="Y101" s="2" t="inlineStr">
        <is>
          <t>0.017</t>
        </is>
      </c>
      <c r="Z101" s="2" t="inlineStr">
        <is>
          <t>11</t>
        </is>
      </c>
      <c r="AA101" s="2" t="inlineStr">
        <is>
          <t>0.54</t>
        </is>
      </c>
      <c r="AB101" s="2" t="inlineStr">
        <is>
          <t>6.16</t>
        </is>
      </c>
      <c r="AC101" s="2" t="inlineStr">
        <is>
          <t>complete</t>
        </is>
      </c>
      <c r="AD101" s="2" t="inlineStr">
        <is>
          <t>636</t>
        </is>
      </c>
      <c r="AE101" s="2" t="inlineStr">
        <is>
          <t>2026-10-13</t>
        </is>
      </c>
      <c r="AF101" s="2" t="inlineStr">
        <is>
          <t>0</t>
        </is>
      </c>
      <c r="AG101" s="2" t="inlineStr">
        <is>
          <t>1</t>
        </is>
      </c>
      <c r="AH101" s="2" t="inlineStr">
        <is>
          <t>9</t>
        </is>
      </c>
      <c r="AI101" s="2" t="inlineStr">
        <is>
          <t>13</t>
        </is>
      </c>
      <c r="AJ101" s="2" t="inlineStr">
        <is>
          <t>27.83</t>
        </is>
      </c>
      <c r="AK101" s="2" t="inlineStr">
        <is>
          <t>91.54</t>
        </is>
      </c>
      <c r="AL101" s="2" t="inlineStr">
        <is>
          <t>29.53</t>
        </is>
      </c>
      <c r="AM101" s="2" t="inlineStr">
        <is>
          <t>15</t>
        </is>
      </c>
      <c r="AN101" s="2" t="inlineStr">
        <is>
          <t>16</t>
        </is>
      </c>
      <c r="AO101" s="2" t="inlineStr">
        <is>
          <t>38</t>
        </is>
      </c>
      <c r="AP101" s="2" t="inlineStr">
        <is>
          <t>53</t>
        </is>
      </c>
      <c r="AQ101" s="2" t="inlineStr">
        <is>
          <t>19.68</t>
        </is>
      </c>
      <c r="AR101" s="2" t="inlineStr">
        <is>
          <t>491</t>
        </is>
      </c>
      <c r="AS101" s="2" t="inlineStr">
        <is>
          <t>49</t>
        </is>
      </c>
      <c r="AT101" s="2" t="inlineStr">
        <is>
          <t>602</t>
        </is>
      </c>
      <c r="AU101" s="2" t="inlineStr">
        <is>
          <t>530</t>
        </is>
      </c>
      <c r="AV101" s="2" t="inlineStr">
        <is>
          <t>23</t>
        </is>
      </c>
      <c r="AW101" s="2" t="inlineStr">
        <is>
          <t>516</t>
        </is>
      </c>
      <c r="AX101" s="2" t="inlineStr">
        <is>
          <t>complete</t>
        </is>
      </c>
      <c r="AY101" s="2" t="inlineStr">
        <is>
          <t>7</t>
        </is>
      </c>
      <c r="AZ101" s="2" t="inlineStr">
        <is>
          <t>0.2333</t>
        </is>
      </c>
      <c r="BA101" s="2" t="inlineStr">
        <is>
          <t>30</t>
        </is>
      </c>
      <c r="BB101" s="2" t="inlineStr">
        <is>
          <t>513</t>
        </is>
      </c>
      <c r="BC101" s="2" t="inlineStr">
        <is>
          <t>535</t>
        </is>
      </c>
      <c r="BD101" s="2" t="inlineStr">
        <is>
          <t>0.9589</t>
        </is>
      </c>
      <c r="BE101" s="2" t="inlineStr">
        <is>
          <t>16</t>
        </is>
      </c>
      <c r="BF101" s="2" t="inlineStr">
        <is>
          <t>6</t>
        </is>
      </c>
      <c r="BG101" s="2" t="inlineStr">
        <is>
          <t>non-maintainer issues</t>
        </is>
      </c>
      <c r="BH101" s="2" t="inlineStr">
        <is>
          <t>0.65</t>
        </is>
      </c>
      <c r="BI101" s="2" t="inlineStr">
        <is>
          <t>20</t>
        </is>
      </c>
      <c r="BJ101" s="2" t="inlineStr">
        <is>
          <t>13</t>
        </is>
      </c>
      <c r="BK101" s="2" t="inlineStr">
        <is>
          <t>593</t>
        </is>
      </c>
      <c r="BL101" s="2" t="inlineStr">
        <is>
          <t>0.7589</t>
        </is>
      </c>
      <c r="BM101" s="2" t="inlineStr">
        <is>
          <t>450</t>
        </is>
      </c>
      <c r="BN101" s="2" t="n">
        <v>93.45999999999999</v>
      </c>
      <c r="BO101" s="2" t="n">
        <v>1</v>
      </c>
      <c r="BP101" s="2" t="n">
        <v>98.08</v>
      </c>
      <c r="BQ101" s="2" t="n">
        <v>1</v>
      </c>
      <c r="BR101" s="2" t="n">
        <v>100</v>
      </c>
      <c r="BS101" s="2" t="n">
        <v>1</v>
      </c>
      <c r="BT101" s="2" t="n">
        <v>100</v>
      </c>
      <c r="BU101" s="2" t="n">
        <v>1</v>
      </c>
      <c r="BV101" s="2" t="n">
        <v>69.19</v>
      </c>
      <c r="BW101" s="2" t="n">
        <v>1</v>
      </c>
      <c r="BX101" s="2" t="n">
        <v>87.43000000000001</v>
      </c>
      <c r="BY101" s="2" t="n">
        <v>1</v>
      </c>
      <c r="BZ101" s="2" t="n">
        <v>100</v>
      </c>
      <c r="CA101" s="2" t="n">
        <v>1</v>
      </c>
      <c r="CB101" s="2" t="n">
        <v>65</v>
      </c>
      <c r="CC101" s="2" t="n">
        <v>1</v>
      </c>
      <c r="CD101" s="2" t="n">
        <v>75.89</v>
      </c>
      <c r="CE101" s="2" t="n">
        <v>1</v>
      </c>
      <c r="CF101" s="2" t="n">
        <v>23.33</v>
      </c>
      <c r="CG101" s="2" t="n">
        <v>1</v>
      </c>
      <c r="CH101" s="2" t="n">
        <v>95.89</v>
      </c>
      <c r="CI101" s="2" t="n">
        <v>1</v>
      </c>
      <c r="CJ101" s="2" t="n">
        <v>41.01</v>
      </c>
      <c r="CK101" s="2" t="n">
        <v>1</v>
      </c>
      <c r="CL101" s="2" t="n">
        <v>42.16</v>
      </c>
      <c r="CM101" s="2" t="n">
        <v>1</v>
      </c>
      <c r="CN101" s="2" t="n">
        <v>76.26461538461538</v>
      </c>
      <c r="CO101" s="2" t="n">
        <v>13</v>
      </c>
      <c r="CP101" s="2" t="n">
        <v>1</v>
      </c>
      <c r="CQ101" s="2" t="n">
        <v>76.26461538461538</v>
      </c>
      <c r="CR101" s="2" t="inlineStr"/>
      <c r="CS101" s="2" t="inlineStr"/>
      <c r="CT101" s="2" t="inlineStr"/>
      <c r="CU101" s="2" t="inlineStr"/>
    </row>
    <row r="102">
      <c r="A102" s="2" t="inlineStr">
        <is>
          <t>C4-101</t>
        </is>
      </c>
      <c r="B102" s="2" t="inlineStr">
        <is>
          <t>Sciety</t>
        </is>
      </c>
      <c r="C102" s="2" t="inlineStr">
        <is>
          <t>https://github.com/sciety/sciety</t>
        </is>
      </c>
      <c r="D102" s="2" t="inlineStr">
        <is>
          <t>Ready</t>
        </is>
      </c>
      <c r="E102" s="2" t="inlineStr">
        <is>
          <t>github</t>
        </is>
      </c>
      <c r="F102" s="2" t="inlineStr">
        <is>
          <t>sciety/sciety</t>
        </is>
      </c>
      <c r="G102" s="2" t="inlineStr"/>
      <c r="H102" s="2" t="inlineStr"/>
      <c r="I102" s="2" t="inlineStr">
        <is>
          <t>yes</t>
        </is>
      </c>
      <c r="J102" s="2" t="inlineStr">
        <is>
          <t>software</t>
        </is>
      </c>
      <c r="K102" s="2" t="inlineStr">
        <is>
          <t>GitHub, barely used (2 open)</t>
        </is>
      </c>
      <c r="L102" s="2" t="inlineStr"/>
      <c r="M102" s="2" t="inlineStr">
        <is>
          <t>sciety/sciety</t>
        </is>
      </c>
      <c r="N102" s="2" t="inlineStr"/>
      <c r="O102" s="2" t="inlineStr"/>
      <c r="P102" s="2" t="inlineStr"/>
      <c r="Q102" s="2" t="inlineStr"/>
      <c r="R102" s="2" t="inlineStr"/>
      <c r="S102" s="2" t="inlineStr">
        <is>
          <t>sciety/sciety</t>
        </is>
      </c>
      <c r="T102" s="2" t="inlineStr">
        <is>
          <t>10</t>
        </is>
      </c>
      <c r="U102" s="2" t="inlineStr">
        <is>
          <t>26</t>
        </is>
      </c>
      <c r="V102" s="2" t="inlineStr">
        <is>
          <t>2</t>
        </is>
      </c>
      <c r="W102" s="2" t="inlineStr">
        <is>
          <t>3</t>
        </is>
      </c>
      <c r="X102" s="2" t="inlineStr">
        <is>
          <t>55</t>
        </is>
      </c>
      <c r="Y102" s="2" t="inlineStr">
        <is>
          <t>0.09</t>
        </is>
      </c>
      <c r="Z102" s="2" t="inlineStr">
        <is>
          <t>12</t>
        </is>
      </c>
      <c r="AA102" s="2" t="inlineStr">
        <is>
          <t>16.44</t>
        </is>
      </c>
      <c r="AB102" s="2" t="inlineStr">
        <is>
          <t>3.69</t>
        </is>
      </c>
      <c r="AC102" s="2" t="inlineStr">
        <is>
          <t>complete</t>
        </is>
      </c>
      <c r="AD102" s="2" t="inlineStr">
        <is>
          <t>554</t>
        </is>
      </c>
      <c r="AE102" s="2" t="inlineStr">
        <is>
          <t>2026-09-14</t>
        </is>
      </c>
      <c r="AF102" s="2" t="inlineStr">
        <is>
          <t>0</t>
        </is>
      </c>
      <c r="AG102" s="2" t="inlineStr">
        <is>
          <t>1</t>
        </is>
      </c>
      <c r="AH102" s="2" t="inlineStr">
        <is>
          <t>3</t>
        </is>
      </c>
      <c r="AI102" s="2" t="inlineStr">
        <is>
          <t>0</t>
        </is>
      </c>
      <c r="AJ102" s="2" t="inlineStr">
        <is>
          <t>44.04</t>
        </is>
      </c>
      <c r="AK102" s="2" t="inlineStr">
        <is>
          <t>80.0</t>
        </is>
      </c>
      <c r="AL102" s="2" t="inlineStr">
        <is>
          <t>86.5</t>
        </is>
      </c>
      <c r="AM102" s="2" t="inlineStr">
        <is>
          <t>16</t>
        </is>
      </c>
      <c r="AN102" s="2" t="inlineStr">
        <is>
          <t>29</t>
        </is>
      </c>
      <c r="AO102" s="2" t="inlineStr">
        <is>
          <t>29</t>
        </is>
      </c>
      <c r="AP102" s="2" t="inlineStr">
        <is>
          <t>2</t>
        </is>
      </c>
      <c r="AQ102" s="2" t="inlineStr">
        <is>
          <t>352.84</t>
        </is>
      </c>
      <c r="AR102" s="2" t="inlineStr">
        <is>
          <t>1</t>
        </is>
      </c>
      <c r="AS102" s="2" t="inlineStr">
        <is>
          <t>1</t>
        </is>
      </c>
      <c r="AT102" s="2" t="inlineStr">
        <is>
          <t>5</t>
        </is>
      </c>
      <c r="AU102" s="2" t="inlineStr">
        <is>
          <t>4</t>
        </is>
      </c>
      <c r="AV102" s="2" t="inlineStr">
        <is>
          <t>0</t>
        </is>
      </c>
      <c r="AW102" s="2" t="inlineStr">
        <is>
          <t>3</t>
        </is>
      </c>
      <c r="AX102" s="2" t="inlineStr">
        <is>
          <t>complete</t>
        </is>
      </c>
      <c r="AY102" s="2" t="inlineStr">
        <is>
          <t>26</t>
        </is>
      </c>
      <c r="AZ102" s="2" t="inlineStr">
        <is>
          <t>0.8966</t>
        </is>
      </c>
      <c r="BA102" s="2" t="inlineStr">
        <is>
          <t>29</t>
        </is>
      </c>
      <c r="BB102" s="2" t="inlineStr">
        <is>
          <t>5</t>
        </is>
      </c>
      <c r="BC102" s="2" t="inlineStr">
        <is>
          <t>5</t>
        </is>
      </c>
      <c r="BD102" s="2" t="inlineStr"/>
      <c r="BE102" s="2" t="inlineStr">
        <is>
          <t>0</t>
        </is>
      </c>
      <c r="BF102" s="2" t="inlineStr">
        <is>
          <t>0</t>
        </is>
      </c>
      <c r="BG102" s="2" t="inlineStr">
        <is>
          <t>all issues (too few non-maintainer)</t>
        </is>
      </c>
      <c r="BH102" s="2" t="inlineStr">
        <is>
          <t>0.4138</t>
        </is>
      </c>
      <c r="BI102" s="2" t="inlineStr">
        <is>
          <t>29</t>
        </is>
      </c>
      <c r="BJ102" s="2" t="inlineStr">
        <is>
          <t>12</t>
        </is>
      </c>
      <c r="BK102" s="2" t="inlineStr">
        <is>
          <t>5</t>
        </is>
      </c>
      <c r="BL102" s="2" t="inlineStr"/>
      <c r="BM102" s="2" t="inlineStr">
        <is>
          <t>0</t>
        </is>
      </c>
      <c r="BN102" s="2" t="n">
        <v>91.45999999999999</v>
      </c>
      <c r="BO102" s="2" t="n">
        <v>1</v>
      </c>
      <c r="BP102" s="2" t="n">
        <v>50</v>
      </c>
      <c r="BQ102" s="2" t="n">
        <v>1</v>
      </c>
      <c r="BR102" s="2" t="n">
        <v>100</v>
      </c>
      <c r="BS102" s="2" t="n">
        <v>1</v>
      </c>
      <c r="BT102" s="2" t="n">
        <v>0</v>
      </c>
      <c r="BU102" s="2" t="n">
        <v>1</v>
      </c>
      <c r="BV102" s="2" t="n">
        <v>71.7</v>
      </c>
      <c r="BW102" s="2" t="n">
        <v>1</v>
      </c>
      <c r="BX102" s="2" t="n">
        <v>62.79</v>
      </c>
      <c r="BY102" s="2" t="n">
        <v>1</v>
      </c>
      <c r="BZ102" s="2" t="n">
        <v>75</v>
      </c>
      <c r="CA102" s="2" t="n">
        <v>1</v>
      </c>
      <c r="CB102" s="2" t="n">
        <v>41.38</v>
      </c>
      <c r="CC102" s="2" t="n">
        <v>1</v>
      </c>
      <c r="CD102" s="2" t="n">
        <v>0</v>
      </c>
      <c r="CE102" s="2" t="n">
        <v>0</v>
      </c>
      <c r="CF102" s="2" t="n">
        <v>89.66</v>
      </c>
      <c r="CG102" s="2" t="n">
        <v>1</v>
      </c>
      <c r="CH102" s="2" t="n">
        <v>0</v>
      </c>
      <c r="CI102" s="2" t="n">
        <v>0</v>
      </c>
      <c r="CJ102" s="2" t="n">
        <v>0</v>
      </c>
      <c r="CK102" s="2" t="n">
        <v>1</v>
      </c>
      <c r="CL102" s="2" t="n">
        <v>0</v>
      </c>
      <c r="CM102" s="2" t="n">
        <v>1</v>
      </c>
      <c r="CN102" s="2" t="n">
        <v>44.76846153846154</v>
      </c>
      <c r="CO102" s="2" t="n">
        <v>11</v>
      </c>
      <c r="CP102" s="2" t="n">
        <v>0.8461538461538461</v>
      </c>
      <c r="CQ102" s="2" t="n">
        <v>52.90818181818182</v>
      </c>
      <c r="CR102" s="2" t="inlineStr"/>
      <c r="CS102" s="2" t="inlineStr"/>
      <c r="CT102" s="2" t="inlineStr"/>
      <c r="CU102" s="2" t="inlineStr"/>
    </row>
    <row r="103">
      <c r="A103" s="2" t="inlineStr">
        <is>
          <t>C4-102</t>
        </is>
      </c>
      <c r="B103" s="2" t="inlineStr">
        <is>
          <t>Synapse</t>
        </is>
      </c>
      <c r="C103" s="2" t="inlineStr">
        <is>
          <t>https://github.com/Sage-Bionetworks/Synapse-Repository-Services</t>
        </is>
      </c>
      <c r="D103" s="2" t="inlineStr">
        <is>
          <t>Ready</t>
        </is>
      </c>
      <c r="E103" s="2" t="inlineStr">
        <is>
          <t>github</t>
        </is>
      </c>
      <c r="F103" s="2" t="inlineStr">
        <is>
          <t>Sage-Bionetworks/Synapse-Repository-Services</t>
        </is>
      </c>
      <c r="G103" s="2" t="inlineStr"/>
      <c r="H103" s="2" t="inlineStr"/>
      <c r="I103" s="2" t="inlineStr">
        <is>
          <t>yes</t>
        </is>
      </c>
      <c r="J103" s="2" t="inlineStr">
        <is>
          <t>software</t>
        </is>
      </c>
      <c r="K103" s="2" t="inlineStr">
        <is>
          <t>Jira (sagebionetworks.jira.com)</t>
        </is>
      </c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>
        <is>
          <t>Sage-Bionetworks/Synapse-Repository-Services</t>
        </is>
      </c>
      <c r="T103" s="2" t="inlineStr">
        <is>
          <t>12</t>
        </is>
      </c>
      <c r="U103" s="2" t="inlineStr">
        <is>
          <t>52</t>
        </is>
      </c>
      <c r="V103" s="2" t="inlineStr">
        <is>
          <t>3</t>
        </is>
      </c>
      <c r="W103" s="2" t="inlineStr">
        <is>
          <t>5</t>
        </is>
      </c>
      <c r="X103" s="2" t="inlineStr">
        <is>
          <t>0</t>
        </is>
      </c>
      <c r="Y103" s="2" t="inlineStr">
        <is>
          <t>0.0</t>
        </is>
      </c>
      <c r="Z103" s="2" t="inlineStr">
        <is>
          <t>10</t>
        </is>
      </c>
      <c r="AA103" s="2" t="inlineStr">
        <is>
          <t>0.01</t>
        </is>
      </c>
      <c r="AB103" s="2" t="inlineStr">
        <is>
          <t>6.11</t>
        </is>
      </c>
      <c r="AC103" s="2" t="inlineStr">
        <is>
          <t>complete</t>
        </is>
      </c>
      <c r="AD103" s="2" t="inlineStr">
        <is>
          <t>1341</t>
        </is>
      </c>
      <c r="AE103" s="2" t="inlineStr">
        <is>
          <t>2026-10-12</t>
        </is>
      </c>
      <c r="AF103" s="2" t="inlineStr">
        <is>
          <t>546</t>
        </is>
      </c>
      <c r="AG103" s="2" t="inlineStr">
        <is>
          <t>0</t>
        </is>
      </c>
      <c r="AH103" s="2" t="inlineStr">
        <is>
          <t>5</t>
        </is>
      </c>
      <c r="AI103" s="2" t="inlineStr">
        <is>
          <t>91</t>
        </is>
      </c>
      <c r="AJ103" s="2" t="inlineStr">
        <is>
          <t>24.91</t>
        </is>
      </c>
      <c r="AK103" s="2" t="inlineStr">
        <is>
          <t>90.89</t>
        </is>
      </c>
      <c r="AL103" s="2" t="inlineStr"/>
      <c r="AM103" s="2" t="inlineStr"/>
      <c r="AN103" s="2" t="inlineStr"/>
      <c r="AO103" s="2" t="inlineStr"/>
      <c r="AP103" s="2" t="inlineStr"/>
      <c r="AQ103" s="2" t="inlineStr">
        <is>
          <t>19.53</t>
        </is>
      </c>
      <c r="AR103" s="2" t="inlineStr">
        <is>
          <t>296</t>
        </is>
      </c>
      <c r="AS103" s="2" t="inlineStr">
        <is>
          <t>37</t>
        </is>
      </c>
      <c r="AT103" s="2" t="inlineStr">
        <is>
          <t>425</t>
        </is>
      </c>
      <c r="AU103" s="2" t="inlineStr">
        <is>
          <t>369</t>
        </is>
      </c>
      <c r="AV103" s="2" t="inlineStr">
        <is>
          <t>19</t>
        </is>
      </c>
      <c r="AW103" s="2" t="inlineStr">
        <is>
          <t>249</t>
        </is>
      </c>
      <c r="AX103" s="2" t="inlineStr">
        <is>
          <t>complete</t>
        </is>
      </c>
      <c r="AY103" s="2" t="inlineStr"/>
      <c r="AZ103" s="2" t="inlineStr"/>
      <c r="BA103" s="2" t="inlineStr"/>
      <c r="BB103" s="2" t="inlineStr">
        <is>
          <t>370</t>
        </is>
      </c>
      <c r="BC103" s="2" t="inlineStr">
        <is>
          <t>391</t>
        </is>
      </c>
      <c r="BD103" s="2" t="inlineStr">
        <is>
          <t>0.9463</t>
        </is>
      </c>
      <c r="BE103" s="2" t="inlineStr">
        <is>
          <t>3</t>
        </is>
      </c>
      <c r="BF103" s="2" t="inlineStr">
        <is>
          <t>8</t>
        </is>
      </c>
      <c r="BG103" s="2" t="inlineStr"/>
      <c r="BH103" s="2" t="inlineStr"/>
      <c r="BI103" s="2" t="inlineStr"/>
      <c r="BJ103" s="2" t="inlineStr"/>
      <c r="BK103" s="2" t="inlineStr">
        <is>
          <t>418</t>
        </is>
      </c>
      <c r="BL103" s="2" t="inlineStr">
        <is>
          <t>0.6459</t>
        </is>
      </c>
      <c r="BM103" s="2" t="inlineStr">
        <is>
          <t>270</t>
        </is>
      </c>
      <c r="BN103" s="2" t="n">
        <v>100</v>
      </c>
      <c r="BO103" s="2" t="n">
        <v>1</v>
      </c>
      <c r="BP103" s="2" t="n">
        <v>100</v>
      </c>
      <c r="BQ103" s="2" t="n">
        <v>1</v>
      </c>
      <c r="BR103" s="2" t="n">
        <v>100</v>
      </c>
      <c r="BS103" s="2" t="n">
        <v>1</v>
      </c>
      <c r="BT103" s="2" t="n">
        <v>100</v>
      </c>
      <c r="BU103" s="2" t="n">
        <v>1</v>
      </c>
      <c r="BV103" s="2" t="n">
        <v>66.44</v>
      </c>
      <c r="BW103" s="2" t="n">
        <v>1</v>
      </c>
      <c r="BX103" s="2" t="n">
        <v>87.04000000000001</v>
      </c>
      <c r="BY103" s="2" t="n">
        <v>1</v>
      </c>
      <c r="BZ103" s="2" t="n">
        <v>100</v>
      </c>
      <c r="CA103" s="2" t="n">
        <v>1</v>
      </c>
      <c r="CB103" s="2" t="n">
        <v>0</v>
      </c>
      <c r="CC103" s="2" t="n">
        <v>0</v>
      </c>
      <c r="CD103" s="2" t="n">
        <v>64.59</v>
      </c>
      <c r="CE103" s="2" t="n">
        <v>1</v>
      </c>
      <c r="CF103" s="2" t="n">
        <v>0</v>
      </c>
      <c r="CG103" s="2" t="n">
        <v>0</v>
      </c>
      <c r="CH103" s="2" t="n">
        <v>94.63</v>
      </c>
      <c r="CI103" s="2" t="n">
        <v>1</v>
      </c>
      <c r="CJ103" s="2" t="n">
        <v>20.07</v>
      </c>
      <c r="CK103" s="2" t="n">
        <v>1</v>
      </c>
      <c r="CL103" s="2" t="n">
        <v>47.61</v>
      </c>
      <c r="CM103" s="2" t="n">
        <v>1</v>
      </c>
      <c r="CN103" s="2" t="n">
        <v>67.72153846153846</v>
      </c>
      <c r="CO103" s="2" t="n">
        <v>11</v>
      </c>
      <c r="CP103" s="2" t="n">
        <v>0.8461538461538461</v>
      </c>
      <c r="CQ103" s="2" t="n">
        <v>80.03454545454545</v>
      </c>
      <c r="CR103" s="2" t="inlineStr">
        <is>
          <t>Jira (sagebionetworks.jira.com)</t>
        </is>
      </c>
      <c r="CS103" s="2" t="inlineStr"/>
      <c r="CT103" s="2" t="inlineStr"/>
      <c r="CU103" s="2" t="inlineStr">
        <is>
          <t>fill from external tracker or leave blank</t>
        </is>
      </c>
    </row>
    <row r="104">
      <c r="A104" s="2" t="inlineStr">
        <is>
          <t>C4-103</t>
        </is>
      </c>
      <c r="B104" s="2" t="inlineStr">
        <is>
          <t>TagTeam</t>
        </is>
      </c>
      <c r="C104" s="2" t="inlineStr">
        <is>
          <t>https://github.com/berkmancenter/tagteam</t>
        </is>
      </c>
      <c r="D104" s="2" t="inlineStr">
        <is>
          <t>Keep (dormant)</t>
        </is>
      </c>
      <c r="E104" s="2" t="inlineStr">
        <is>
          <t>github</t>
        </is>
      </c>
      <c r="F104" s="2" t="inlineStr">
        <is>
          <t>berkmancenter/tagteam</t>
        </is>
      </c>
      <c r="G104" s="2" t="inlineStr"/>
      <c r="H104" s="2" t="inlineStr"/>
      <c r="I104" s="2" t="inlineStr">
        <is>
          <t>yes</t>
        </is>
      </c>
      <c r="J104" s="2" t="inlineStr">
        <is>
          <t>software</t>
        </is>
      </c>
      <c r="K104" s="2" t="inlineStr">
        <is>
          <t>GitHub (same repo)</t>
        </is>
      </c>
      <c r="L104" s="2" t="inlineStr">
        <is>
          <t>No commits since 2020</t>
        </is>
      </c>
      <c r="M104" s="2" t="inlineStr">
        <is>
          <t>berkmancenter/tagteam</t>
        </is>
      </c>
      <c r="N104" s="2" t="inlineStr"/>
      <c r="O104" s="2" t="inlineStr"/>
      <c r="P104" s="2" t="inlineStr"/>
      <c r="Q104" s="2" t="inlineStr"/>
      <c r="R104" s="2" t="inlineStr"/>
      <c r="S104" s="2" t="inlineStr">
        <is>
          <t>berkmancenter/tagteam</t>
        </is>
      </c>
      <c r="T104" s="2" t="inlineStr">
        <is>
          <t>0</t>
        </is>
      </c>
      <c r="U104" s="2" t="inlineStr">
        <is>
          <t>0</t>
        </is>
      </c>
      <c r="V104" s="2" t="inlineStr"/>
      <c r="W104" s="2" t="inlineStr"/>
      <c r="X104" s="2" t="inlineStr">
        <is>
          <t>0</t>
        </is>
      </c>
      <c r="Y104" s="2" t="inlineStr"/>
      <c r="Z104" s="2" t="inlineStr">
        <is>
          <t>0</t>
        </is>
      </c>
      <c r="AA104" s="2" t="inlineStr"/>
      <c r="AB104" s="2" t="inlineStr"/>
      <c r="AC104" s="2" t="inlineStr">
        <is>
          <t>complete</t>
        </is>
      </c>
      <c r="AD104" s="2" t="inlineStr">
        <is>
          <t>0</t>
        </is>
      </c>
      <c r="AE104" s="2" t="inlineStr">
        <is>
          <t>2020-02-01</t>
        </is>
      </c>
      <c r="AF104" s="2" t="inlineStr">
        <is>
          <t>0</t>
        </is>
      </c>
      <c r="AG104" s="2" t="inlineStr">
        <is>
          <t>0</t>
        </is>
      </c>
      <c r="AH104" s="2" t="inlineStr">
        <is>
          <t>0</t>
        </is>
      </c>
      <c r="AI104" s="2" t="inlineStr">
        <is>
          <t>0</t>
        </is>
      </c>
      <c r="AJ104" s="2" t="inlineStr"/>
      <c r="AK104" s="2" t="inlineStr"/>
      <c r="AL104" s="2" t="inlineStr"/>
      <c r="AM104" s="2" t="inlineStr">
        <is>
          <t>0</t>
        </is>
      </c>
      <c r="AN104" s="2" t="inlineStr">
        <is>
          <t>0</t>
        </is>
      </c>
      <c r="AO104" s="2" t="inlineStr">
        <is>
          <t>0</t>
        </is>
      </c>
      <c r="AP104" s="2" t="inlineStr">
        <is>
          <t>15</t>
        </is>
      </c>
      <c r="AQ104" s="2" t="inlineStr"/>
      <c r="AR104" s="2" t="inlineStr">
        <is>
          <t>0</t>
        </is>
      </c>
      <c r="AS104" s="2" t="inlineStr">
        <is>
          <t>0</t>
        </is>
      </c>
      <c r="AT104" s="2" t="inlineStr">
        <is>
          <t>0</t>
        </is>
      </c>
      <c r="AU104" s="2" t="inlineStr">
        <is>
          <t>0</t>
        </is>
      </c>
      <c r="AV104" s="2" t="inlineStr">
        <is>
          <t>0</t>
        </is>
      </c>
      <c r="AW104" s="2" t="inlineStr">
        <is>
          <t>0</t>
        </is>
      </c>
      <c r="AX104" s="2" t="inlineStr">
        <is>
          <t>complete</t>
        </is>
      </c>
      <c r="AY104" s="2" t="inlineStr">
        <is>
          <t>0</t>
        </is>
      </c>
      <c r="AZ104" s="2" t="inlineStr"/>
      <c r="BA104" s="2" t="inlineStr">
        <is>
          <t>0</t>
        </is>
      </c>
      <c r="BB104" s="2" t="inlineStr">
        <is>
          <t>0</t>
        </is>
      </c>
      <c r="BC104" s="2" t="inlineStr">
        <is>
          <t>0</t>
        </is>
      </c>
      <c r="BD104" s="2" t="inlineStr"/>
      <c r="BE104" s="2" t="inlineStr">
        <is>
          <t>2</t>
        </is>
      </c>
      <c r="BF104" s="2" t="inlineStr">
        <is>
          <t>0</t>
        </is>
      </c>
      <c r="BG104" s="2" t="inlineStr">
        <is>
          <t>all issues (too few non-maintainer)</t>
        </is>
      </c>
      <c r="BH104" s="2" t="inlineStr"/>
      <c r="BI104" s="2" t="inlineStr">
        <is>
          <t>0</t>
        </is>
      </c>
      <c r="BJ104" s="2" t="inlineStr">
        <is>
          <t>0</t>
        </is>
      </c>
      <c r="BK104" s="2" t="inlineStr">
        <is>
          <t>0</t>
        </is>
      </c>
      <c r="BL104" s="2" t="inlineStr"/>
      <c r="BM104" s="2" t="inlineStr">
        <is>
          <t>0</t>
        </is>
      </c>
      <c r="BN104" s="2" t="n">
        <v>0</v>
      </c>
      <c r="BO104" s="2" t="n">
        <v>1</v>
      </c>
      <c r="BP104" s="2" t="n">
        <v>0</v>
      </c>
      <c r="BQ104" s="2" t="n">
        <v>1</v>
      </c>
      <c r="BR104" s="2" t="n">
        <v>0</v>
      </c>
      <c r="BS104" s="2" t="n">
        <v>1</v>
      </c>
      <c r="BT104" s="2" t="n">
        <v>0</v>
      </c>
      <c r="BU104" s="2" t="n">
        <v>1</v>
      </c>
      <c r="BV104" s="2" t="n">
        <v>0</v>
      </c>
      <c r="BW104" s="2" t="n">
        <v>1</v>
      </c>
      <c r="BX104" s="2" t="n">
        <v>0</v>
      </c>
      <c r="BY104" s="2" t="n">
        <v>1</v>
      </c>
      <c r="BZ104" s="2" t="n">
        <v>0</v>
      </c>
      <c r="CA104" s="2" t="n">
        <v>1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15.9</v>
      </c>
      <c r="CK104" s="2" t="n">
        <v>1</v>
      </c>
      <c r="CL104" s="2" t="n">
        <v>0</v>
      </c>
      <c r="CM104" s="2" t="n">
        <v>1</v>
      </c>
      <c r="CN104" s="2" t="n">
        <v>1.223076923076923</v>
      </c>
      <c r="CO104" s="2" t="n">
        <v>9</v>
      </c>
      <c r="CP104" s="2" t="n">
        <v>0.6923076923076923</v>
      </c>
      <c r="CQ104" s="2" t="n">
        <v>1.766666666666667</v>
      </c>
      <c r="CR104" s="2" t="inlineStr"/>
      <c r="CS104" s="2" t="inlineStr"/>
      <c r="CT104" s="2" t="inlineStr"/>
      <c r="CU104" s="2" t="inlineStr"/>
    </row>
    <row r="105">
      <c r="A105" s="2" t="inlineStr">
        <is>
          <t>C4-104</t>
        </is>
      </c>
      <c r="B105" s="2" t="inlineStr">
        <is>
          <t>Thoth Open Metadata</t>
        </is>
      </c>
      <c r="C105" s="2" t="inlineStr">
        <is>
          <t>https://github.com/thoth-pub/thoth</t>
        </is>
      </c>
      <c r="D105" s="2" t="inlineStr">
        <is>
          <t>Ready</t>
        </is>
      </c>
      <c r="E105" s="2" t="inlineStr">
        <is>
          <t>github</t>
        </is>
      </c>
      <c r="F105" s="2" t="inlineStr">
        <is>
          <t>thoth-pub/thoth</t>
        </is>
      </c>
      <c r="G105" s="2" t="inlineStr"/>
      <c r="H105" s="2" t="inlineStr"/>
      <c r="I105" s="2" t="inlineStr">
        <is>
          <t>yes</t>
        </is>
      </c>
      <c r="J105" s="2" t="inlineStr">
        <is>
          <t>software</t>
        </is>
      </c>
      <c r="K105" s="2" t="inlineStr">
        <is>
          <t>GitHub (same repo)</t>
        </is>
      </c>
      <c r="L105" s="2" t="inlineStr"/>
      <c r="M105" s="2" t="inlineStr">
        <is>
          <t>thoth-pub/thoth</t>
        </is>
      </c>
      <c r="N105" s="2" t="inlineStr"/>
      <c r="O105" s="2" t="inlineStr"/>
      <c r="P105" s="2" t="inlineStr"/>
      <c r="Q105" s="2" t="inlineStr"/>
      <c r="R105" s="2" t="inlineStr"/>
      <c r="S105" s="2" t="inlineStr">
        <is>
          <t>thoth-pub/thoth</t>
        </is>
      </c>
      <c r="T105" s="2" t="inlineStr">
        <is>
          <t>11</t>
        </is>
      </c>
      <c r="U105" s="2" t="inlineStr">
        <is>
          <t>40</t>
        </is>
      </c>
      <c r="V105" s="2" t="inlineStr">
        <is>
          <t>1</t>
        </is>
      </c>
      <c r="W105" s="2" t="inlineStr">
        <is>
          <t>1</t>
        </is>
      </c>
      <c r="X105" s="2" t="inlineStr">
        <is>
          <t>0</t>
        </is>
      </c>
      <c r="Y105" s="2" t="inlineStr">
        <is>
          <t>0.0</t>
        </is>
      </c>
      <c r="Z105" s="2" t="inlineStr">
        <is>
          <t>3</t>
        </is>
      </c>
      <c r="AA105" s="2" t="inlineStr">
        <is>
          <t>26.4</t>
        </is>
      </c>
      <c r="AB105" s="2" t="inlineStr">
        <is>
          <t>1.41</t>
        </is>
      </c>
      <c r="AC105" s="2" t="inlineStr">
        <is>
          <t>complete</t>
        </is>
      </c>
      <c r="AD105" s="2" t="inlineStr">
        <is>
          <t>627</t>
        </is>
      </c>
      <c r="AE105" s="2" t="inlineStr">
        <is>
          <t>2026-09-04</t>
        </is>
      </c>
      <c r="AF105" s="2" t="inlineStr">
        <is>
          <t>169</t>
        </is>
      </c>
      <c r="AG105" s="2" t="inlineStr">
        <is>
          <t>1</t>
        </is>
      </c>
      <c r="AH105" s="2" t="inlineStr">
        <is>
          <t>2</t>
        </is>
      </c>
      <c r="AI105" s="2" t="inlineStr">
        <is>
          <t>25</t>
        </is>
      </c>
      <c r="AJ105" s="2" t="inlineStr">
        <is>
          <t>83.25</t>
        </is>
      </c>
      <c r="AK105" s="2" t="inlineStr">
        <is>
          <t>95.95</t>
        </is>
      </c>
      <c r="AL105" s="2" t="inlineStr">
        <is>
          <t>0.75</t>
        </is>
      </c>
      <c r="AM105" s="2" t="inlineStr">
        <is>
          <t>2</t>
        </is>
      </c>
      <c r="AN105" s="2" t="inlineStr">
        <is>
          <t>98</t>
        </is>
      </c>
      <c r="AO105" s="2" t="inlineStr">
        <is>
          <t>101</t>
        </is>
      </c>
      <c r="AP105" s="2" t="inlineStr">
        <is>
          <t>56</t>
        </is>
      </c>
      <c r="AQ105" s="2" t="inlineStr">
        <is>
          <t>20.91</t>
        </is>
      </c>
      <c r="AR105" s="2" t="inlineStr">
        <is>
          <t>18</t>
        </is>
      </c>
      <c r="AS105" s="2" t="inlineStr">
        <is>
          <t>6</t>
        </is>
      </c>
      <c r="AT105" s="2" t="inlineStr">
        <is>
          <t>154</t>
        </is>
      </c>
      <c r="AU105" s="2" t="inlineStr">
        <is>
          <t>142</t>
        </is>
      </c>
      <c r="AV105" s="2" t="inlineStr">
        <is>
          <t>6</t>
        </is>
      </c>
      <c r="AW105" s="2" t="inlineStr">
        <is>
          <t>136</t>
        </is>
      </c>
      <c r="AX105" s="2" t="inlineStr">
        <is>
          <t>complete</t>
        </is>
      </c>
      <c r="AY105" s="2" t="inlineStr">
        <is>
          <t>1</t>
        </is>
      </c>
      <c r="AZ105" s="2" t="inlineStr">
        <is>
          <t>0.0833</t>
        </is>
      </c>
      <c r="BA105" s="2" t="inlineStr">
        <is>
          <t>12</t>
        </is>
      </c>
      <c r="BB105" s="2" t="inlineStr">
        <is>
          <t>107</t>
        </is>
      </c>
      <c r="BC105" s="2" t="inlineStr">
        <is>
          <t>115</t>
        </is>
      </c>
      <c r="BD105" s="2" t="inlineStr">
        <is>
          <t>0.9304</t>
        </is>
      </c>
      <c r="BE105" s="2" t="inlineStr">
        <is>
          <t>0</t>
        </is>
      </c>
      <c r="BF105" s="2" t="inlineStr">
        <is>
          <t>1</t>
        </is>
      </c>
      <c r="BG105" s="2" t="inlineStr">
        <is>
          <t>all issues (too few non-maintainer)</t>
        </is>
      </c>
      <c r="BH105" s="2" t="inlineStr">
        <is>
          <t>0.025</t>
        </is>
      </c>
      <c r="BI105" s="2" t="inlineStr">
        <is>
          <t>80</t>
        </is>
      </c>
      <c r="BJ105" s="2" t="inlineStr">
        <is>
          <t>2</t>
        </is>
      </c>
      <c r="BK105" s="2" t="inlineStr">
        <is>
          <t>146</t>
        </is>
      </c>
      <c r="BL105" s="2" t="inlineStr">
        <is>
          <t>0.1164</t>
        </is>
      </c>
      <c r="BM105" s="2" t="inlineStr">
        <is>
          <t>17</t>
        </is>
      </c>
      <c r="BN105" s="2" t="n">
        <v>93.25</v>
      </c>
      <c r="BO105" s="2" t="n">
        <v>1</v>
      </c>
      <c r="BP105" s="2" t="n">
        <v>76.92</v>
      </c>
      <c r="BQ105" s="2" t="n">
        <v>1</v>
      </c>
      <c r="BR105" s="2" t="n">
        <v>100</v>
      </c>
      <c r="BS105" s="2" t="n">
        <v>1</v>
      </c>
      <c r="BT105" s="2" t="n">
        <v>100</v>
      </c>
      <c r="BU105" s="2" t="n">
        <v>1</v>
      </c>
      <c r="BV105" s="2" t="n">
        <v>31.7</v>
      </c>
      <c r="BW105" s="2" t="n">
        <v>1</v>
      </c>
      <c r="BX105" s="2" t="n">
        <v>16.52</v>
      </c>
      <c r="BY105" s="2" t="n">
        <v>1</v>
      </c>
      <c r="BZ105" s="2" t="n">
        <v>50</v>
      </c>
      <c r="CA105" s="2" t="n">
        <v>1</v>
      </c>
      <c r="CB105" s="2" t="n">
        <v>2.5</v>
      </c>
      <c r="CC105" s="2" t="n">
        <v>1</v>
      </c>
      <c r="CD105" s="2" t="n">
        <v>11.64</v>
      </c>
      <c r="CE105" s="2" t="n">
        <v>1</v>
      </c>
      <c r="CF105" s="2" t="n">
        <v>8.33</v>
      </c>
      <c r="CG105" s="2" t="n">
        <v>1</v>
      </c>
      <c r="CH105" s="2" t="n">
        <v>93.04000000000001</v>
      </c>
      <c r="CI105" s="2" t="n">
        <v>1</v>
      </c>
      <c r="CJ105" s="2" t="n">
        <v>0</v>
      </c>
      <c r="CK105" s="2" t="n">
        <v>1</v>
      </c>
      <c r="CL105" s="2" t="n">
        <v>15.02</v>
      </c>
      <c r="CM105" s="2" t="n">
        <v>1</v>
      </c>
      <c r="CN105" s="2" t="n">
        <v>46.07076923076923</v>
      </c>
      <c r="CO105" s="2" t="n">
        <v>13</v>
      </c>
      <c r="CP105" s="2" t="n">
        <v>1</v>
      </c>
      <c r="CQ105" s="2" t="n">
        <v>46.07076923076923</v>
      </c>
      <c r="CR105" s="2" t="inlineStr"/>
      <c r="CS105" s="2" t="inlineStr"/>
      <c r="CT105" s="2" t="inlineStr"/>
      <c r="CU105" s="2" t="inlineStr"/>
    </row>
    <row r="106">
      <c r="A106" s="2" t="inlineStr">
        <is>
          <t>C4-105</t>
        </is>
      </c>
      <c r="B106" s="2" t="inlineStr">
        <is>
          <t>Tropy</t>
        </is>
      </c>
      <c r="C106" s="2" t="inlineStr">
        <is>
          <t>https://github.com/tropy/tropy</t>
        </is>
      </c>
      <c r="D106" s="2" t="inlineStr">
        <is>
          <t>Ready</t>
        </is>
      </c>
      <c r="E106" s="2" t="inlineStr">
        <is>
          <t>github</t>
        </is>
      </c>
      <c r="F106" s="2" t="inlineStr">
        <is>
          <t>tropy/tropy</t>
        </is>
      </c>
      <c r="G106" s="2" t="inlineStr"/>
      <c r="H106" s="2" t="inlineStr"/>
      <c r="I106" s="2" t="inlineStr">
        <is>
          <t>yes</t>
        </is>
      </c>
      <c r="J106" s="2" t="inlineStr">
        <is>
          <t>software</t>
        </is>
      </c>
      <c r="K106" s="2" t="inlineStr">
        <is>
          <t>GitHub (same repo)</t>
        </is>
      </c>
      <c r="L106" s="2" t="inlineStr"/>
      <c r="M106" s="2" t="inlineStr">
        <is>
          <t>tropy/tropy</t>
        </is>
      </c>
      <c r="N106" s="2" t="inlineStr"/>
      <c r="O106" s="2" t="inlineStr"/>
      <c r="P106" s="2" t="inlineStr"/>
      <c r="Q106" s="2" t="inlineStr"/>
      <c r="R106" s="2" t="inlineStr"/>
      <c r="S106" s="2" t="inlineStr">
        <is>
          <t>tropy/tropy</t>
        </is>
      </c>
      <c r="T106" s="2" t="inlineStr">
        <is>
          <t>12</t>
        </is>
      </c>
      <c r="U106" s="2" t="inlineStr">
        <is>
          <t>47</t>
        </is>
      </c>
      <c r="V106" s="2" t="inlineStr">
        <is>
          <t>1</t>
        </is>
      </c>
      <c r="W106" s="2" t="inlineStr">
        <is>
          <t>2</t>
        </is>
      </c>
      <c r="X106" s="2" t="inlineStr">
        <is>
          <t>0</t>
        </is>
      </c>
      <c r="Y106" s="2" t="inlineStr">
        <is>
          <t>0.0</t>
        </is>
      </c>
      <c r="Z106" s="2" t="inlineStr">
        <is>
          <t>5</t>
        </is>
      </c>
      <c r="AA106" s="2" t="inlineStr">
        <is>
          <t>0.51</t>
        </is>
      </c>
      <c r="AB106" s="2" t="inlineStr">
        <is>
          <t>1.55</t>
        </is>
      </c>
      <c r="AC106" s="2" t="inlineStr">
        <is>
          <t>complete</t>
        </is>
      </c>
      <c r="AD106" s="2" t="inlineStr">
        <is>
          <t>809</t>
        </is>
      </c>
      <c r="AE106" s="2" t="inlineStr">
        <is>
          <t>2026-10-13</t>
        </is>
      </c>
      <c r="AF106" s="2" t="inlineStr">
        <is>
          <t>1</t>
        </is>
      </c>
      <c r="AG106" s="2" t="inlineStr">
        <is>
          <t>0</t>
        </is>
      </c>
      <c r="AH106" s="2" t="inlineStr">
        <is>
          <t>3</t>
        </is>
      </c>
      <c r="AI106" s="2" t="inlineStr">
        <is>
          <t>27</t>
        </is>
      </c>
      <c r="AJ106" s="2" t="inlineStr">
        <is>
          <t>78.99</t>
        </is>
      </c>
      <c r="AK106" s="2" t="inlineStr">
        <is>
          <t>80.0</t>
        </is>
      </c>
      <c r="AL106" s="2" t="inlineStr">
        <is>
          <t>71.16</t>
        </is>
      </c>
      <c r="AM106" s="2" t="inlineStr">
        <is>
          <t>21</t>
        </is>
      </c>
      <c r="AN106" s="2" t="inlineStr">
        <is>
          <t>46</t>
        </is>
      </c>
      <c r="AO106" s="2" t="inlineStr">
        <is>
          <t>55</t>
        </is>
      </c>
      <c r="AP106" s="2" t="inlineStr">
        <is>
          <t>201</t>
        </is>
      </c>
      <c r="AQ106" s="2" t="inlineStr">
        <is>
          <t>15.83</t>
        </is>
      </c>
      <c r="AR106" s="2" t="inlineStr">
        <is>
          <t>13</t>
        </is>
      </c>
      <c r="AS106" s="2" t="inlineStr">
        <is>
          <t>5</t>
        </is>
      </c>
      <c r="AT106" s="2" t="inlineStr">
        <is>
          <t>31</t>
        </is>
      </c>
      <c r="AU106" s="2" t="inlineStr">
        <is>
          <t>20</t>
        </is>
      </c>
      <c r="AV106" s="2" t="inlineStr">
        <is>
          <t>6</t>
        </is>
      </c>
      <c r="AW106" s="2" t="inlineStr">
        <is>
          <t>12</t>
        </is>
      </c>
      <c r="AX106" s="2" t="inlineStr">
        <is>
          <t>complete</t>
        </is>
      </c>
      <c r="AY106" s="2" t="inlineStr">
        <is>
          <t>12</t>
        </is>
      </c>
      <c r="AZ106" s="2" t="inlineStr">
        <is>
          <t>0.3871</t>
        </is>
      </c>
      <c r="BA106" s="2" t="inlineStr">
        <is>
          <t>31</t>
        </is>
      </c>
      <c r="BB106" s="2" t="inlineStr">
        <is>
          <t>21</t>
        </is>
      </c>
      <c r="BC106" s="2" t="inlineStr">
        <is>
          <t>29</t>
        </is>
      </c>
      <c r="BD106" s="2" t="inlineStr">
        <is>
          <t>0.7241</t>
        </is>
      </c>
      <c r="BE106" s="2" t="inlineStr">
        <is>
          <t>125</t>
        </is>
      </c>
      <c r="BF106" s="2" t="inlineStr">
        <is>
          <t>17</t>
        </is>
      </c>
      <c r="BG106" s="2" t="inlineStr">
        <is>
          <t>all issues (too few non-maintainer)</t>
        </is>
      </c>
      <c r="BH106" s="2" t="inlineStr">
        <is>
          <t>0.2364</t>
        </is>
      </c>
      <c r="BI106" s="2" t="inlineStr">
        <is>
          <t>55</t>
        </is>
      </c>
      <c r="BJ106" s="2" t="inlineStr">
        <is>
          <t>13</t>
        </is>
      </c>
      <c r="BK106" s="2" t="inlineStr">
        <is>
          <t>31</t>
        </is>
      </c>
      <c r="BL106" s="2" t="inlineStr">
        <is>
          <t>0.2903</t>
        </is>
      </c>
      <c r="BM106" s="2" t="inlineStr">
        <is>
          <t>9</t>
        </is>
      </c>
      <c r="BN106" s="2" t="n">
        <v>96.94</v>
      </c>
      <c r="BO106" s="2" t="n">
        <v>1</v>
      </c>
      <c r="BP106" s="2" t="n">
        <v>90.38</v>
      </c>
      <c r="BQ106" s="2" t="n">
        <v>1</v>
      </c>
      <c r="BR106" s="2" t="n">
        <v>100</v>
      </c>
      <c r="BS106" s="2" t="n">
        <v>1</v>
      </c>
      <c r="BT106" s="2" t="n">
        <v>100</v>
      </c>
      <c r="BU106" s="2" t="n">
        <v>1</v>
      </c>
      <c r="BV106" s="2" t="n">
        <v>46.44</v>
      </c>
      <c r="BW106" s="2" t="n">
        <v>1</v>
      </c>
      <c r="BX106" s="2" t="n">
        <v>21.08</v>
      </c>
      <c r="BY106" s="2" t="n">
        <v>1</v>
      </c>
      <c r="BZ106" s="2" t="n">
        <v>75</v>
      </c>
      <c r="CA106" s="2" t="n">
        <v>1</v>
      </c>
      <c r="CB106" s="2" t="n">
        <v>23.64</v>
      </c>
      <c r="CC106" s="2" t="n">
        <v>1</v>
      </c>
      <c r="CD106" s="2" t="n">
        <v>29.03</v>
      </c>
      <c r="CE106" s="2" t="n">
        <v>1</v>
      </c>
      <c r="CF106" s="2" t="n">
        <v>38.71</v>
      </c>
      <c r="CG106" s="2" t="n">
        <v>1</v>
      </c>
      <c r="CH106" s="2" t="n">
        <v>72.41</v>
      </c>
      <c r="CI106" s="2" t="n">
        <v>1</v>
      </c>
      <c r="CJ106" s="2" t="n">
        <v>70</v>
      </c>
      <c r="CK106" s="2" t="n">
        <v>1</v>
      </c>
      <c r="CL106" s="2" t="n">
        <v>62.63</v>
      </c>
      <c r="CM106" s="2" t="n">
        <v>1</v>
      </c>
      <c r="CN106" s="2" t="n">
        <v>63.55846153846154</v>
      </c>
      <c r="CO106" s="2" t="n">
        <v>13</v>
      </c>
      <c r="CP106" s="2" t="n">
        <v>1</v>
      </c>
      <c r="CQ106" s="2" t="n">
        <v>63.55846153846154</v>
      </c>
      <c r="CR106" s="2" t="inlineStr"/>
      <c r="CS106" s="2" t="inlineStr"/>
      <c r="CT106" s="2" t="inlineStr"/>
      <c r="CU106" s="2" t="inlineStr"/>
    </row>
    <row r="107">
      <c r="A107" s="2" t="inlineStr">
        <is>
          <t>C4-106</t>
        </is>
      </c>
      <c r="B107" s="2" t="inlineStr">
        <is>
          <t>veraPDF</t>
        </is>
      </c>
      <c r="C107" s="2" t="inlineStr">
        <is>
          <t>https://github.com/veraPDF/veraPDF-library</t>
        </is>
      </c>
      <c r="D107" s="2" t="inlineStr">
        <is>
          <t>Ready</t>
        </is>
      </c>
      <c r="E107" s="2" t="inlineStr">
        <is>
          <t>github</t>
        </is>
      </c>
      <c r="F107" s="2" t="inlineStr">
        <is>
          <t>veraPDF/veraPDF-library</t>
        </is>
      </c>
      <c r="G107" s="2" t="inlineStr"/>
      <c r="H107" s="2" t="inlineStr"/>
      <c r="I107" s="2" t="inlineStr">
        <is>
          <t>yes</t>
        </is>
      </c>
      <c r="J107" s="2" t="inlineStr">
        <is>
          <t>software</t>
        </is>
      </c>
      <c r="K107" s="2" t="inlineStr">
        <is>
          <t>GitHub (same repo)</t>
        </is>
      </c>
      <c r="L107" s="2" t="inlineStr"/>
      <c r="M107" s="2" t="inlineStr">
        <is>
          <t>veraPDF/veraPDF-library</t>
        </is>
      </c>
      <c r="N107" s="2" t="inlineStr"/>
      <c r="O107" s="2" t="inlineStr"/>
      <c r="P107" s="2" t="inlineStr"/>
      <c r="Q107" s="2" t="inlineStr"/>
      <c r="R107" s="2" t="inlineStr"/>
      <c r="S107" s="2" t="inlineStr">
        <is>
          <t>veraPDF/veraPDF-library</t>
        </is>
      </c>
      <c r="T107" s="2" t="inlineStr">
        <is>
          <t>12</t>
        </is>
      </c>
      <c r="U107" s="2" t="inlineStr">
        <is>
          <t>28</t>
        </is>
      </c>
      <c r="V107" s="2" t="inlineStr">
        <is>
          <t>2</t>
        </is>
      </c>
      <c r="W107" s="2" t="inlineStr">
        <is>
          <t>3</t>
        </is>
      </c>
      <c r="X107" s="2" t="inlineStr">
        <is>
          <t>4</t>
        </is>
      </c>
      <c r="Y107" s="2" t="inlineStr">
        <is>
          <t>0.074</t>
        </is>
      </c>
      <c r="Z107" s="2" t="inlineStr">
        <is>
          <t>7</t>
        </is>
      </c>
      <c r="AA107" s="2" t="inlineStr">
        <is>
          <t>3.23</t>
        </is>
      </c>
      <c r="AB107" s="2" t="inlineStr">
        <is>
          <t>3.2</t>
        </is>
      </c>
      <c r="AC107" s="2" t="inlineStr">
        <is>
          <t>complete</t>
        </is>
      </c>
      <c r="AD107" s="2" t="inlineStr">
        <is>
          <t>50</t>
        </is>
      </c>
      <c r="AE107" s="2" t="inlineStr">
        <is>
          <t>2026-10-12</t>
        </is>
      </c>
      <c r="AF107" s="2" t="inlineStr">
        <is>
          <t>16</t>
        </is>
      </c>
      <c r="AG107" s="2" t="inlineStr">
        <is>
          <t>1</t>
        </is>
      </c>
      <c r="AH107" s="2" t="inlineStr">
        <is>
          <t>3</t>
        </is>
      </c>
      <c r="AI107" s="2" t="inlineStr">
        <is>
          <t>247</t>
        </is>
      </c>
      <c r="AJ107" s="2" t="inlineStr">
        <is>
          <t>42.0</t>
        </is>
      </c>
      <c r="AK107" s="2" t="inlineStr">
        <is>
          <t>93.33</t>
        </is>
      </c>
      <c r="AL107" s="2" t="inlineStr">
        <is>
          <t>31.88</t>
        </is>
      </c>
      <c r="AM107" s="2" t="inlineStr">
        <is>
          <t>56</t>
        </is>
      </c>
      <c r="AN107" s="2" t="inlineStr">
        <is>
          <t>0</t>
        </is>
      </c>
      <c r="AO107" s="2" t="inlineStr">
        <is>
          <t>60</t>
        </is>
      </c>
      <c r="AP107" s="2" t="inlineStr">
        <is>
          <t>13</t>
        </is>
      </c>
      <c r="AQ107" s="2" t="inlineStr">
        <is>
          <t>1.56</t>
        </is>
      </c>
      <c r="AR107" s="2" t="inlineStr">
        <is>
          <t>10</t>
        </is>
      </c>
      <c r="AS107" s="2" t="inlineStr">
        <is>
          <t>1</t>
        </is>
      </c>
      <c r="AT107" s="2" t="inlineStr">
        <is>
          <t>16</t>
        </is>
      </c>
      <c r="AU107" s="2" t="inlineStr">
        <is>
          <t>14</t>
        </is>
      </c>
      <c r="AV107" s="2" t="inlineStr">
        <is>
          <t>1</t>
        </is>
      </c>
      <c r="AW107" s="2" t="inlineStr">
        <is>
          <t>4</t>
        </is>
      </c>
      <c r="AX107" s="2" t="inlineStr">
        <is>
          <t>complete</t>
        </is>
      </c>
      <c r="AY107" s="2" t="inlineStr">
        <is>
          <t>25</t>
        </is>
      </c>
      <c r="AZ107" s="2" t="inlineStr">
        <is>
          <t>0.5682</t>
        </is>
      </c>
      <c r="BA107" s="2" t="inlineStr">
        <is>
          <t>44</t>
        </is>
      </c>
      <c r="BB107" s="2" t="inlineStr">
        <is>
          <t>15</t>
        </is>
      </c>
      <c r="BC107" s="2" t="inlineStr">
        <is>
          <t>16</t>
        </is>
      </c>
      <c r="BD107" s="2" t="inlineStr">
        <is>
          <t>0.9375</t>
        </is>
      </c>
      <c r="BE107" s="2" t="inlineStr">
        <is>
          <t>45</t>
        </is>
      </c>
      <c r="BF107" s="2" t="inlineStr">
        <is>
          <t>4</t>
        </is>
      </c>
      <c r="BG107" s="2" t="inlineStr">
        <is>
          <t>non-maintainer issues</t>
        </is>
      </c>
      <c r="BH107" s="2" t="inlineStr">
        <is>
          <t>0.9483</t>
        </is>
      </c>
      <c r="BI107" s="2" t="inlineStr">
        <is>
          <t>58</t>
        </is>
      </c>
      <c r="BJ107" s="2" t="inlineStr">
        <is>
          <t>55</t>
        </is>
      </c>
      <c r="BK107" s="2" t="inlineStr">
        <is>
          <t>16</t>
        </is>
      </c>
      <c r="BL107" s="2" t="inlineStr">
        <is>
          <t>0.625</t>
        </is>
      </c>
      <c r="BM107" s="2" t="inlineStr">
        <is>
          <t>10</t>
        </is>
      </c>
      <c r="BN107" s="2" t="n">
        <v>56.91</v>
      </c>
      <c r="BO107" s="2" t="n">
        <v>1</v>
      </c>
      <c r="BP107" s="2" t="n">
        <v>53.85</v>
      </c>
      <c r="BQ107" s="2" t="n">
        <v>1</v>
      </c>
      <c r="BR107" s="2" t="n">
        <v>100</v>
      </c>
      <c r="BS107" s="2" t="n">
        <v>1</v>
      </c>
      <c r="BT107" s="2" t="n">
        <v>100</v>
      </c>
      <c r="BU107" s="2" t="n">
        <v>1</v>
      </c>
      <c r="BV107" s="2" t="n">
        <v>56.15</v>
      </c>
      <c r="BW107" s="2" t="n">
        <v>1</v>
      </c>
      <c r="BX107" s="2" t="n">
        <v>55.94</v>
      </c>
      <c r="BY107" s="2" t="n">
        <v>1</v>
      </c>
      <c r="BZ107" s="2" t="n">
        <v>75</v>
      </c>
      <c r="CA107" s="2" t="n">
        <v>1</v>
      </c>
      <c r="CB107" s="2" t="n">
        <v>94.83</v>
      </c>
      <c r="CC107" s="2" t="n">
        <v>1</v>
      </c>
      <c r="CD107" s="2" t="n">
        <v>62.5</v>
      </c>
      <c r="CE107" s="2" t="n">
        <v>1</v>
      </c>
      <c r="CF107" s="2" t="n">
        <v>56.82</v>
      </c>
      <c r="CG107" s="2" t="n">
        <v>1</v>
      </c>
      <c r="CH107" s="2" t="n">
        <v>93.75</v>
      </c>
      <c r="CI107" s="2" t="n">
        <v>1</v>
      </c>
      <c r="CJ107" s="2" t="n">
        <v>55.42</v>
      </c>
      <c r="CK107" s="2" t="n">
        <v>1</v>
      </c>
      <c r="CL107" s="2" t="n">
        <v>34.87</v>
      </c>
      <c r="CM107" s="2" t="n">
        <v>1</v>
      </c>
      <c r="CN107" s="2" t="n">
        <v>68.92615384615385</v>
      </c>
      <c r="CO107" s="2" t="n">
        <v>13</v>
      </c>
      <c r="CP107" s="2" t="n">
        <v>1</v>
      </c>
      <c r="CQ107" s="2" t="n">
        <v>68.92615384615385</v>
      </c>
      <c r="CR107" s="2" t="inlineStr"/>
      <c r="CS107" s="2" t="inlineStr"/>
      <c r="CT107" s="2" t="inlineStr"/>
      <c r="CU107" s="2" t="inlineStr"/>
    </row>
    <row r="108">
      <c r="A108" s="2" t="inlineStr">
        <is>
          <t>C4-107</t>
        </is>
      </c>
      <c r="B108" s="2" t="inlineStr">
        <is>
          <t>ViPER</t>
        </is>
      </c>
      <c r="C108" s="2" t="inlineStr">
        <is>
          <t>https://github.com/openpreserve/ViPER</t>
        </is>
      </c>
      <c r="D108" s="2" t="inlineStr">
        <is>
          <t>Ready</t>
        </is>
      </c>
      <c r="E108" s="2" t="inlineStr">
        <is>
          <t>github</t>
        </is>
      </c>
      <c r="F108" s="2" t="inlineStr">
        <is>
          <t>openpreserve/ViPER</t>
        </is>
      </c>
      <c r="G108" s="2" t="inlineStr"/>
      <c r="H108" s="2" t="inlineStr"/>
      <c r="I108" s="2" t="inlineStr">
        <is>
          <t>yes</t>
        </is>
      </c>
      <c r="J108" s="2" t="inlineStr">
        <is>
          <t>software</t>
        </is>
      </c>
      <c r="K108" s="2" t="inlineStr">
        <is>
          <t>GitHub (same repo)</t>
        </is>
      </c>
      <c r="L108" s="2" t="inlineStr"/>
      <c r="M108" s="2" t="inlineStr">
        <is>
          <t>openpreserve/ViPER</t>
        </is>
      </c>
      <c r="N108" s="2" t="inlineStr"/>
      <c r="O108" s="2" t="inlineStr"/>
      <c r="P108" s="2" t="inlineStr"/>
      <c r="Q108" s="2" t="inlineStr"/>
      <c r="R108" s="2" t="inlineStr"/>
      <c r="S108" s="2" t="inlineStr">
        <is>
          <t>openpreserve/ViPER</t>
        </is>
      </c>
      <c r="T108" s="2" t="inlineStr">
        <is>
          <t>1</t>
        </is>
      </c>
      <c r="U108" s="2" t="inlineStr">
        <is>
          <t>2</t>
        </is>
      </c>
      <c r="V108" s="2" t="inlineStr">
        <is>
          <t>1</t>
        </is>
      </c>
      <c r="W108" s="2" t="inlineStr">
        <is>
          <t>1</t>
        </is>
      </c>
      <c r="X108" s="2" t="inlineStr">
        <is>
          <t>0</t>
        </is>
      </c>
      <c r="Y108" s="2" t="inlineStr">
        <is>
          <t>0.0</t>
        </is>
      </c>
      <c r="Z108" s="2" t="inlineStr">
        <is>
          <t>1</t>
        </is>
      </c>
      <c r="AA108" s="2" t="inlineStr">
        <is>
          <t>28.44</t>
        </is>
      </c>
      <c r="AB108" s="2" t="inlineStr">
        <is>
          <t>1.0</t>
        </is>
      </c>
      <c r="AC108" s="2" t="inlineStr">
        <is>
          <t>complete</t>
        </is>
      </c>
      <c r="AD108" s="2" t="inlineStr">
        <is>
          <t>2</t>
        </is>
      </c>
      <c r="AE108" s="2" t="inlineStr">
        <is>
          <t>2026-09-03</t>
        </is>
      </c>
      <c r="AF108" s="2" t="inlineStr">
        <is>
          <t>1</t>
        </is>
      </c>
      <c r="AG108" s="2" t="inlineStr">
        <is>
          <t>0</t>
        </is>
      </c>
      <c r="AH108" s="2" t="inlineStr">
        <is>
          <t>0</t>
        </is>
      </c>
      <c r="AI108" s="2" t="inlineStr">
        <is>
          <t>19</t>
        </is>
      </c>
      <c r="AJ108" s="2" t="inlineStr">
        <is>
          <t>100.0</t>
        </is>
      </c>
      <c r="AK108" s="2" t="inlineStr">
        <is>
          <t>80.0</t>
        </is>
      </c>
      <c r="AL108" s="2" t="inlineStr">
        <is>
          <t>714.25</t>
        </is>
      </c>
      <c r="AM108" s="2" t="inlineStr">
        <is>
          <t>1</t>
        </is>
      </c>
      <c r="AN108" s="2" t="inlineStr">
        <is>
          <t>0</t>
        </is>
      </c>
      <c r="AO108" s="2" t="inlineStr">
        <is>
          <t>2</t>
        </is>
      </c>
      <c r="AP108" s="2" t="inlineStr">
        <is>
          <t>8</t>
        </is>
      </c>
      <c r="AQ108" s="2" t="inlineStr">
        <is>
          <t>1308.07</t>
        </is>
      </c>
      <c r="AR108" s="2" t="inlineStr">
        <is>
          <t>2</t>
        </is>
      </c>
      <c r="AS108" s="2" t="inlineStr">
        <is>
          <t>1</t>
        </is>
      </c>
      <c r="AT108" s="2" t="inlineStr">
        <is>
          <t>7</t>
        </is>
      </c>
      <c r="AU108" s="2" t="inlineStr">
        <is>
          <t>4</t>
        </is>
      </c>
      <c r="AV108" s="2" t="inlineStr">
        <is>
          <t>2</t>
        </is>
      </c>
      <c r="AW108" s="2" t="inlineStr">
        <is>
          <t>2</t>
        </is>
      </c>
      <c r="AX108" s="2" t="inlineStr">
        <is>
          <t>complete</t>
        </is>
      </c>
      <c r="AY108" s="2" t="inlineStr">
        <is>
          <t>0</t>
        </is>
      </c>
      <c r="AZ108" s="2" t="inlineStr"/>
      <c r="BA108" s="2" t="inlineStr">
        <is>
          <t>1</t>
        </is>
      </c>
      <c r="BB108" s="2" t="inlineStr">
        <is>
          <t>3</t>
        </is>
      </c>
      <c r="BC108" s="2" t="inlineStr">
        <is>
          <t>6</t>
        </is>
      </c>
      <c r="BD108" s="2" t="inlineStr"/>
      <c r="BE108" s="2" t="inlineStr">
        <is>
          <t>2</t>
        </is>
      </c>
      <c r="BF108" s="2" t="inlineStr">
        <is>
          <t>1</t>
        </is>
      </c>
      <c r="BG108" s="2" t="inlineStr">
        <is>
          <t>all issues (too few non-maintainer)</t>
        </is>
      </c>
      <c r="BH108" s="2" t="inlineStr"/>
      <c r="BI108" s="2" t="inlineStr">
        <is>
          <t>2</t>
        </is>
      </c>
      <c r="BJ108" s="2" t="inlineStr">
        <is>
          <t>0</t>
        </is>
      </c>
      <c r="BK108" s="2" t="inlineStr">
        <is>
          <t>7</t>
        </is>
      </c>
      <c r="BL108" s="2" t="inlineStr"/>
      <c r="BM108" s="2" t="inlineStr">
        <is>
          <t>1</t>
        </is>
      </c>
      <c r="BN108" s="2" t="n">
        <v>15.9</v>
      </c>
      <c r="BO108" s="2" t="n">
        <v>1</v>
      </c>
      <c r="BP108" s="2" t="n">
        <v>3.85</v>
      </c>
      <c r="BQ108" s="2" t="n">
        <v>1</v>
      </c>
      <c r="BR108" s="2" t="n">
        <v>100</v>
      </c>
      <c r="BS108" s="2" t="n">
        <v>1</v>
      </c>
      <c r="BT108" s="2" t="n">
        <v>100</v>
      </c>
      <c r="BU108" s="2" t="n">
        <v>1</v>
      </c>
      <c r="BV108" s="2" t="n">
        <v>0</v>
      </c>
      <c r="BW108" s="2" t="n">
        <v>1</v>
      </c>
      <c r="BX108" s="2" t="n">
        <v>0</v>
      </c>
      <c r="BY108" s="2" t="n">
        <v>1</v>
      </c>
      <c r="BZ108" s="2" t="n">
        <v>0</v>
      </c>
      <c r="CA108" s="2" t="n">
        <v>1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15.9</v>
      </c>
      <c r="CK108" s="2" t="n">
        <v>1</v>
      </c>
      <c r="CL108" s="2" t="n">
        <v>15.02</v>
      </c>
      <c r="CM108" s="2" t="n">
        <v>1</v>
      </c>
      <c r="CN108" s="2" t="n">
        <v>19.28230769230769</v>
      </c>
      <c r="CO108" s="2" t="n">
        <v>9</v>
      </c>
      <c r="CP108" s="2" t="n">
        <v>0.6923076923076923</v>
      </c>
      <c r="CQ108" s="2" t="n">
        <v>27.85222222222222</v>
      </c>
      <c r="CR108" s="2" t="inlineStr"/>
      <c r="CS108" s="2" t="inlineStr"/>
      <c r="CT108" s="2" t="inlineStr"/>
      <c r="CU108" s="2" t="inlineStr"/>
    </row>
    <row r="109">
      <c r="A109" s="2" t="inlineStr">
        <is>
          <t>C4-108</t>
        </is>
      </c>
      <c r="B109" s="2" t="inlineStr">
        <is>
          <t>Vireo ETD</t>
        </is>
      </c>
      <c r="C109" s="2" t="inlineStr">
        <is>
          <t>https://github.com/TexasDigitalLibrary/Vireo</t>
        </is>
      </c>
      <c r="D109" s="2" t="inlineStr">
        <is>
          <t>Ready</t>
        </is>
      </c>
      <c r="E109" s="2" t="inlineStr">
        <is>
          <t>github</t>
        </is>
      </c>
      <c r="F109" s="2" t="inlineStr">
        <is>
          <t>TexasDigitalLibrary/Vireo</t>
        </is>
      </c>
      <c r="G109" s="2" t="inlineStr"/>
      <c r="H109" s="2" t="inlineStr"/>
      <c r="I109" s="2" t="inlineStr">
        <is>
          <t>yes</t>
        </is>
      </c>
      <c r="J109" s="2" t="inlineStr">
        <is>
          <t>software</t>
        </is>
      </c>
      <c r="K109" s="2" t="inlineStr">
        <is>
          <t>GitHub (same repo)</t>
        </is>
      </c>
      <c r="L109" s="2" t="inlineStr"/>
      <c r="M109" s="2" t="inlineStr">
        <is>
          <t>TexasDigitalLibrary/Vireo</t>
        </is>
      </c>
      <c r="N109" s="2" t="inlineStr"/>
      <c r="O109" s="2" t="inlineStr"/>
      <c r="P109" s="2" t="inlineStr"/>
      <c r="Q109" s="2" t="inlineStr"/>
      <c r="R109" s="2" t="inlineStr"/>
      <c r="S109" s="2" t="inlineStr">
        <is>
          <t>TexasDigitalLibrary/Vireo</t>
        </is>
      </c>
      <c r="T109" s="2" t="inlineStr">
        <is>
          <t>6</t>
        </is>
      </c>
      <c r="U109" s="2" t="inlineStr">
        <is>
          <t>17</t>
        </is>
      </c>
      <c r="V109" s="2" t="inlineStr">
        <is>
          <t>2</t>
        </is>
      </c>
      <c r="W109" s="2" t="inlineStr">
        <is>
          <t>3</t>
        </is>
      </c>
      <c r="X109" s="2" t="inlineStr">
        <is>
          <t>7</t>
        </is>
      </c>
      <c r="Y109" s="2" t="inlineStr">
        <is>
          <t>0.13</t>
        </is>
      </c>
      <c r="Z109" s="2" t="inlineStr">
        <is>
          <t>5</t>
        </is>
      </c>
      <c r="AA109" s="2" t="inlineStr">
        <is>
          <t>75.14</t>
        </is>
      </c>
      <c r="AB109" s="2" t="inlineStr">
        <is>
          <t>3.33</t>
        </is>
      </c>
      <c r="AC109" s="2" t="inlineStr">
        <is>
          <t>complete</t>
        </is>
      </c>
      <c r="AD109" s="2" t="inlineStr">
        <is>
          <t>47</t>
        </is>
      </c>
      <c r="AE109" s="2" t="inlineStr">
        <is>
          <t>2026-07-20</t>
        </is>
      </c>
      <c r="AF109" s="2" t="inlineStr">
        <is>
          <t>59</t>
        </is>
      </c>
      <c r="AG109" s="2" t="inlineStr">
        <is>
          <t>0</t>
        </is>
      </c>
      <c r="AH109" s="2" t="inlineStr">
        <is>
          <t>3</t>
        </is>
      </c>
      <c r="AI109" s="2" t="inlineStr">
        <is>
          <t>2</t>
        </is>
      </c>
      <c r="AJ109" s="2" t="inlineStr">
        <is>
          <t>42.55</t>
        </is>
      </c>
      <c r="AK109" s="2" t="inlineStr">
        <is>
          <t>92.59</t>
        </is>
      </c>
      <c r="AL109" s="2" t="inlineStr">
        <is>
          <t>2734.56</t>
        </is>
      </c>
      <c r="AM109" s="2" t="inlineStr">
        <is>
          <t>17</t>
        </is>
      </c>
      <c r="AN109" s="2" t="inlineStr">
        <is>
          <t>9</t>
        </is>
      </c>
      <c r="AO109" s="2" t="inlineStr">
        <is>
          <t>37</t>
        </is>
      </c>
      <c r="AP109" s="2" t="inlineStr">
        <is>
          <t>99</t>
        </is>
      </c>
      <c r="AQ109" s="2" t="inlineStr">
        <is>
          <t>331.4</t>
        </is>
      </c>
      <c r="AR109" s="2" t="inlineStr">
        <is>
          <t>27</t>
        </is>
      </c>
      <c r="AS109" s="2" t="inlineStr">
        <is>
          <t>2</t>
        </is>
      </c>
      <c r="AT109" s="2" t="inlineStr">
        <is>
          <t>29</t>
        </is>
      </c>
      <c r="AU109" s="2" t="inlineStr">
        <is>
          <t>25</t>
        </is>
      </c>
      <c r="AV109" s="2" t="inlineStr">
        <is>
          <t>2</t>
        </is>
      </c>
      <c r="AW109" s="2" t="inlineStr">
        <is>
          <t>4</t>
        </is>
      </c>
      <c r="AX109" s="2" t="inlineStr">
        <is>
          <t>complete</t>
        </is>
      </c>
      <c r="AY109" s="2" t="inlineStr">
        <is>
          <t>7</t>
        </is>
      </c>
      <c r="AZ109" s="2" t="inlineStr">
        <is>
          <t>0.3182</t>
        </is>
      </c>
      <c r="BA109" s="2" t="inlineStr">
        <is>
          <t>22</t>
        </is>
      </c>
      <c r="BB109" s="2" t="inlineStr">
        <is>
          <t>17</t>
        </is>
      </c>
      <c r="BC109" s="2" t="inlineStr">
        <is>
          <t>29</t>
        </is>
      </c>
      <c r="BD109" s="2" t="inlineStr">
        <is>
          <t>0.5862</t>
        </is>
      </c>
      <c r="BE109" s="2" t="inlineStr">
        <is>
          <t>4</t>
        </is>
      </c>
      <c r="BF109" s="2" t="inlineStr">
        <is>
          <t>1</t>
        </is>
      </c>
      <c r="BG109" s="2" t="inlineStr">
        <is>
          <t>non-maintainer issues</t>
        </is>
      </c>
      <c r="BH109" s="2" t="inlineStr">
        <is>
          <t>0.1786</t>
        </is>
      </c>
      <c r="BI109" s="2" t="inlineStr">
        <is>
          <t>28</t>
        </is>
      </c>
      <c r="BJ109" s="2" t="inlineStr">
        <is>
          <t>5</t>
        </is>
      </c>
      <c r="BK109" s="2" t="inlineStr">
        <is>
          <t>29</t>
        </is>
      </c>
      <c r="BL109" s="2" t="inlineStr">
        <is>
          <t>0.3103</t>
        </is>
      </c>
      <c r="BM109" s="2" t="inlineStr">
        <is>
          <t>9</t>
        </is>
      </c>
      <c r="BN109" s="2" t="n">
        <v>56.03</v>
      </c>
      <c r="BO109" s="2" t="n">
        <v>1</v>
      </c>
      <c r="BP109" s="2" t="n">
        <v>32.69</v>
      </c>
      <c r="BQ109" s="2" t="n">
        <v>1</v>
      </c>
      <c r="BR109" s="2" t="n">
        <v>86.53</v>
      </c>
      <c r="BS109" s="2" t="n">
        <v>1</v>
      </c>
      <c r="BT109" s="2" t="n">
        <v>75</v>
      </c>
      <c r="BU109" s="2" t="n">
        <v>1</v>
      </c>
      <c r="BV109" s="2" t="n">
        <v>46.44</v>
      </c>
      <c r="BW109" s="2" t="n">
        <v>1</v>
      </c>
      <c r="BX109" s="2" t="n">
        <v>57.85</v>
      </c>
      <c r="BY109" s="2" t="n">
        <v>1</v>
      </c>
      <c r="BZ109" s="2" t="n">
        <v>75</v>
      </c>
      <c r="CA109" s="2" t="n">
        <v>1</v>
      </c>
      <c r="CB109" s="2" t="n">
        <v>17.86</v>
      </c>
      <c r="CC109" s="2" t="n">
        <v>1</v>
      </c>
      <c r="CD109" s="2" t="n">
        <v>31.03</v>
      </c>
      <c r="CE109" s="2" t="n">
        <v>1</v>
      </c>
      <c r="CF109" s="2" t="n">
        <v>31.82</v>
      </c>
      <c r="CG109" s="2" t="n">
        <v>1</v>
      </c>
      <c r="CH109" s="2" t="n">
        <v>58.62</v>
      </c>
      <c r="CI109" s="2" t="n">
        <v>1</v>
      </c>
      <c r="CJ109" s="2" t="n">
        <v>23.3</v>
      </c>
      <c r="CK109" s="2" t="n">
        <v>1</v>
      </c>
      <c r="CL109" s="2" t="n">
        <v>15.02</v>
      </c>
      <c r="CM109" s="2" t="n">
        <v>1</v>
      </c>
      <c r="CN109" s="2" t="n">
        <v>46.70692307692308</v>
      </c>
      <c r="CO109" s="2" t="n">
        <v>13</v>
      </c>
      <c r="CP109" s="2" t="n">
        <v>1</v>
      </c>
      <c r="CQ109" s="2" t="n">
        <v>46.70692307692308</v>
      </c>
      <c r="CR109" s="2" t="inlineStr"/>
      <c r="CS109" s="2" t="inlineStr"/>
      <c r="CT109" s="2" t="inlineStr"/>
      <c r="CU109" s="2" t="inlineStr"/>
    </row>
    <row r="110">
      <c r="A110" s="2" t="inlineStr">
        <is>
          <t>C4-109</t>
        </is>
      </c>
      <c r="B110" s="2" t="inlineStr">
        <is>
          <t>VIVO</t>
        </is>
      </c>
      <c r="C110" s="2" t="inlineStr">
        <is>
          <t>https://github.com/vivo-project/VIVO</t>
        </is>
      </c>
      <c r="D110" s="2" t="inlineStr">
        <is>
          <t>Ready -&gt; umbrella expanded to product set</t>
        </is>
      </c>
      <c r="E110" s="2" t="inlineStr">
        <is>
          <t>github</t>
        </is>
      </c>
      <c r="F110" s="2" t="inlineStr">
        <is>
          <t>vivo-project/VIVO;vivo-project/Vitro</t>
        </is>
      </c>
      <c r="G110" s="2" t="inlineStr"/>
      <c r="H110" s="2" t="inlineStr"/>
      <c r="I110" s="2" t="inlineStr">
        <is>
          <t>yes</t>
        </is>
      </c>
      <c r="J110" s="2" t="inlineStr">
        <is>
          <t>software</t>
        </is>
      </c>
      <c r="K110" s="2" t="inlineStr">
        <is>
          <t>GitHub (VIVO + Vitro)</t>
        </is>
      </c>
      <c r="L110" s="2" t="inlineStr">
        <is>
          <t>Umbrella repo; code lives in sub-repos, scored as a set</t>
        </is>
      </c>
      <c r="M110" s="2" t="inlineStr">
        <is>
          <t>vivo-project/VIVO</t>
        </is>
      </c>
      <c r="N110" s="2" t="inlineStr"/>
      <c r="O110" s="2" t="inlineStr"/>
      <c r="P110" s="2" t="inlineStr"/>
      <c r="Q110" s="2" t="inlineStr"/>
      <c r="R110" s="2" t="inlineStr"/>
      <c r="S110" s="2" t="inlineStr">
        <is>
          <t>vivo-project/VIVO;vivo-project/Vitro</t>
        </is>
      </c>
      <c r="T110" s="2" t="inlineStr">
        <is>
          <t>12</t>
        </is>
      </c>
      <c r="U110" s="2" t="inlineStr">
        <is>
          <t>34</t>
        </is>
      </c>
      <c r="V110" s="2" t="inlineStr">
        <is>
          <t>2</t>
        </is>
      </c>
      <c r="W110" s="2" t="inlineStr">
        <is>
          <t>3</t>
        </is>
      </c>
      <c r="X110" s="2" t="inlineStr">
        <is>
          <t>0</t>
        </is>
      </c>
      <c r="Y110" s="2" t="inlineStr">
        <is>
          <t>0.0</t>
        </is>
      </c>
      <c r="Z110" s="2" t="inlineStr">
        <is>
          <t>8</t>
        </is>
      </c>
      <c r="AA110" s="2" t="inlineStr">
        <is>
          <t>6.43</t>
        </is>
      </c>
      <c r="AB110" s="2" t="inlineStr">
        <is>
          <t>3.98</t>
        </is>
      </c>
      <c r="AC110" s="2" t="inlineStr">
        <is>
          <t>complete</t>
        </is>
      </c>
      <c r="AD110" s="2" t="inlineStr">
        <is>
          <t>105</t>
        </is>
      </c>
      <c r="AE110" s="2" t="inlineStr">
        <is>
          <t>2026-10-07</t>
        </is>
      </c>
      <c r="AF110" s="2" t="inlineStr">
        <is>
          <t>33</t>
        </is>
      </c>
      <c r="AG110" s="2" t="inlineStr">
        <is>
          <t>1</t>
        </is>
      </c>
      <c r="AH110" s="2" t="inlineStr">
        <is>
          <t>4</t>
        </is>
      </c>
      <c r="AI110" s="2" t="inlineStr">
        <is>
          <t>8</t>
        </is>
      </c>
      <c r="AJ110" s="2" t="inlineStr">
        <is>
          <t>38.1</t>
        </is>
      </c>
      <c r="AK110" s="2" t="inlineStr">
        <is>
          <t>95.56</t>
        </is>
      </c>
      <c r="AL110" s="2" t="inlineStr">
        <is>
          <t>1992.36</t>
        </is>
      </c>
      <c r="AM110" s="2" t="inlineStr">
        <is>
          <t>21</t>
        </is>
      </c>
      <c r="AN110" s="2" t="inlineStr">
        <is>
          <t>33</t>
        </is>
      </c>
      <c r="AO110" s="2" t="inlineStr">
        <is>
          <t>75</t>
        </is>
      </c>
      <c r="AP110" s="2" t="inlineStr">
        <is>
          <t>393</t>
        </is>
      </c>
      <c r="AQ110" s="2" t="inlineStr">
        <is>
          <t>215.2</t>
        </is>
      </c>
      <c r="AR110" s="2" t="inlineStr">
        <is>
          <t>62</t>
        </is>
      </c>
      <c r="AS110" s="2" t="inlineStr">
        <is>
          <t>2</t>
        </is>
      </c>
      <c r="AT110" s="2" t="inlineStr">
        <is>
          <t>67</t>
        </is>
      </c>
      <c r="AU110" s="2" t="inlineStr">
        <is>
          <t>43</t>
        </is>
      </c>
      <c r="AV110" s="2" t="inlineStr">
        <is>
          <t>22</t>
        </is>
      </c>
      <c r="AW110" s="2" t="inlineStr">
        <is>
          <t>0</t>
        </is>
      </c>
      <c r="AX110" s="2" t="inlineStr">
        <is>
          <t>complete</t>
        </is>
      </c>
      <c r="AY110" s="2" t="inlineStr">
        <is>
          <t>10</t>
        </is>
      </c>
      <c r="AZ110" s="2" t="inlineStr">
        <is>
          <t>0.1818</t>
        </is>
      </c>
      <c r="BA110" s="2" t="inlineStr">
        <is>
          <t>55</t>
        </is>
      </c>
      <c r="BB110" s="2" t="inlineStr">
        <is>
          <t>21</t>
        </is>
      </c>
      <c r="BC110" s="2" t="inlineStr">
        <is>
          <t>56</t>
        </is>
      </c>
      <c r="BD110" s="2" t="inlineStr">
        <is>
          <t>0.375</t>
        </is>
      </c>
      <c r="BE110" s="2" t="inlineStr">
        <is>
          <t>26</t>
        </is>
      </c>
      <c r="BF110" s="2" t="inlineStr">
        <is>
          <t>18</t>
        </is>
      </c>
      <c r="BG110" s="2" t="inlineStr">
        <is>
          <t>non-maintainer issues</t>
        </is>
      </c>
      <c r="BH110" s="2" t="inlineStr">
        <is>
          <t>0.1951</t>
        </is>
      </c>
      <c r="BI110" s="2" t="inlineStr">
        <is>
          <t>41</t>
        </is>
      </c>
      <c r="BJ110" s="2" t="inlineStr">
        <is>
          <t>8</t>
        </is>
      </c>
      <c r="BK110" s="2" t="inlineStr">
        <is>
          <t>66</t>
        </is>
      </c>
      <c r="BL110" s="2" t="inlineStr">
        <is>
          <t>0.4394</t>
        </is>
      </c>
      <c r="BM110" s="2" t="inlineStr">
        <is>
          <t>29</t>
        </is>
      </c>
      <c r="BN110" s="2" t="n">
        <v>67.5</v>
      </c>
      <c r="BO110" s="2" t="n">
        <v>1</v>
      </c>
      <c r="BP110" s="2" t="n">
        <v>65.38</v>
      </c>
      <c r="BQ110" s="2" t="n">
        <v>1</v>
      </c>
      <c r="BR110" s="2" t="n">
        <v>100</v>
      </c>
      <c r="BS110" s="2" t="n">
        <v>1</v>
      </c>
      <c r="BT110" s="2" t="n">
        <v>100</v>
      </c>
      <c r="BU110" s="2" t="n">
        <v>1</v>
      </c>
      <c r="BV110" s="2" t="n">
        <v>60</v>
      </c>
      <c r="BW110" s="2" t="n">
        <v>1</v>
      </c>
      <c r="BX110" s="2" t="n">
        <v>66.43000000000001</v>
      </c>
      <c r="BY110" s="2" t="n">
        <v>1</v>
      </c>
      <c r="BZ110" s="2" t="n">
        <v>75</v>
      </c>
      <c r="CA110" s="2" t="n">
        <v>1</v>
      </c>
      <c r="CB110" s="2" t="n">
        <v>19.51</v>
      </c>
      <c r="CC110" s="2" t="n">
        <v>1</v>
      </c>
      <c r="CD110" s="2" t="n">
        <v>43.94</v>
      </c>
      <c r="CE110" s="2" t="n">
        <v>1</v>
      </c>
      <c r="CF110" s="2" t="n">
        <v>18.18</v>
      </c>
      <c r="CG110" s="2" t="n">
        <v>1</v>
      </c>
      <c r="CH110" s="2" t="n">
        <v>37.5</v>
      </c>
      <c r="CI110" s="2" t="n">
        <v>1</v>
      </c>
      <c r="CJ110" s="2" t="n">
        <v>47.71</v>
      </c>
      <c r="CK110" s="2" t="n">
        <v>1</v>
      </c>
      <c r="CL110" s="2" t="n">
        <v>63.8</v>
      </c>
      <c r="CM110" s="2" t="n">
        <v>1</v>
      </c>
      <c r="CN110" s="2" t="n">
        <v>58.84230769230769</v>
      </c>
      <c r="CO110" s="2" t="n">
        <v>13</v>
      </c>
      <c r="CP110" s="2" t="n">
        <v>1</v>
      </c>
      <c r="CQ110" s="2" t="n">
        <v>58.84230769230769</v>
      </c>
      <c r="CR110" s="2" t="inlineStr"/>
      <c r="CS110" s="2" t="inlineStr"/>
      <c r="CT110" s="2" t="inlineStr"/>
      <c r="CU110" s="2" t="inlineStr"/>
    </row>
    <row r="111">
      <c r="A111" s="2" t="inlineStr">
        <is>
          <t>C4-110</t>
        </is>
      </c>
      <c r="B111" s="2" t="inlineStr">
        <is>
          <t>VuFind®</t>
        </is>
      </c>
      <c r="C111" s="2" t="inlineStr">
        <is>
          <t>https://github.com/vufind-org/vufind</t>
        </is>
      </c>
      <c r="D111" s="2" t="inlineStr">
        <is>
          <t>Ready</t>
        </is>
      </c>
      <c r="E111" s="2" t="inlineStr">
        <is>
          <t>github</t>
        </is>
      </c>
      <c r="F111" s="2" t="inlineStr">
        <is>
          <t>vufind-org/vufind</t>
        </is>
      </c>
      <c r="G111" s="2" t="inlineStr"/>
      <c r="H111" s="2" t="inlineStr"/>
      <c r="I111" s="2" t="inlineStr">
        <is>
          <t>yes</t>
        </is>
      </c>
      <c r="J111" s="2" t="inlineStr">
        <is>
          <t>software</t>
        </is>
      </c>
      <c r="K111" s="2" t="inlineStr">
        <is>
          <t>Jira (vufind.org/jira)</t>
        </is>
      </c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>
        <is>
          <t>vufind-org/vufind</t>
        </is>
      </c>
      <c r="T111" s="2" t="inlineStr">
        <is>
          <t>12</t>
        </is>
      </c>
      <c r="U111" s="2" t="inlineStr">
        <is>
          <t>52</t>
        </is>
      </c>
      <c r="V111" s="2" t="inlineStr">
        <is>
          <t>3</t>
        </is>
      </c>
      <c r="W111" s="2" t="inlineStr">
        <is>
          <t>7</t>
        </is>
      </c>
      <c r="X111" s="2" t="inlineStr">
        <is>
          <t>97</t>
        </is>
      </c>
      <c r="Y111" s="2" t="inlineStr">
        <is>
          <t>0.088</t>
        </is>
      </c>
      <c r="Z111" s="2" t="inlineStr">
        <is>
          <t>41</t>
        </is>
      </c>
      <c r="AA111" s="2" t="inlineStr">
        <is>
          <t>0.46</t>
        </is>
      </c>
      <c r="AB111" s="2" t="inlineStr">
        <is>
          <t>7.4</t>
        </is>
      </c>
      <c r="AC111" s="2" t="inlineStr">
        <is>
          <t>complete</t>
        </is>
      </c>
      <c r="AD111" s="2" t="inlineStr">
        <is>
          <t>1011</t>
        </is>
      </c>
      <c r="AE111" s="2" t="inlineStr">
        <is>
          <t>2026-10-12</t>
        </is>
      </c>
      <c r="AF111" s="2" t="inlineStr">
        <is>
          <t>243</t>
        </is>
      </c>
      <c r="AG111" s="2" t="inlineStr">
        <is>
          <t>2</t>
        </is>
      </c>
      <c r="AH111" s="2" t="inlineStr">
        <is>
          <t>15</t>
        </is>
      </c>
      <c r="AI111" s="2" t="inlineStr">
        <is>
          <t>8</t>
        </is>
      </c>
      <c r="AJ111" s="2" t="inlineStr">
        <is>
          <t>26.51</t>
        </is>
      </c>
      <c r="AK111" s="2" t="inlineStr">
        <is>
          <t>95.56</t>
        </is>
      </c>
      <c r="AL111" s="2" t="inlineStr"/>
      <c r="AM111" s="2" t="inlineStr"/>
      <c r="AN111" s="2" t="inlineStr"/>
      <c r="AO111" s="2" t="inlineStr"/>
      <c r="AP111" s="2" t="inlineStr"/>
      <c r="AQ111" s="2" t="inlineStr">
        <is>
          <t>4.07</t>
        </is>
      </c>
      <c r="AR111" s="2" t="inlineStr">
        <is>
          <t>949</t>
        </is>
      </c>
      <c r="AS111" s="2" t="inlineStr">
        <is>
          <t>42</t>
        </is>
      </c>
      <c r="AT111" s="2" t="inlineStr">
        <is>
          <t>1009</t>
        </is>
      </c>
      <c r="AU111" s="2" t="inlineStr">
        <is>
          <t>904</t>
        </is>
      </c>
      <c r="AV111" s="2" t="inlineStr">
        <is>
          <t>63</t>
        </is>
      </c>
      <c r="AW111" s="2" t="inlineStr">
        <is>
          <t>202</t>
        </is>
      </c>
      <c r="AX111" s="2" t="inlineStr">
        <is>
          <t>complete</t>
        </is>
      </c>
      <c r="AY111" s="2" t="inlineStr"/>
      <c r="AZ111" s="2" t="inlineStr"/>
      <c r="BA111" s="2" t="inlineStr"/>
      <c r="BB111" s="2" t="inlineStr">
        <is>
          <t>757</t>
        </is>
      </c>
      <c r="BC111" s="2" t="inlineStr">
        <is>
          <t>841</t>
        </is>
      </c>
      <c r="BD111" s="2" t="inlineStr">
        <is>
          <t>0.9001</t>
        </is>
      </c>
      <c r="BE111" s="2" t="inlineStr">
        <is>
          <t>22</t>
        </is>
      </c>
      <c r="BF111" s="2" t="inlineStr">
        <is>
          <t>32</t>
        </is>
      </c>
      <c r="BG111" s="2" t="inlineStr"/>
      <c r="BH111" s="2" t="inlineStr"/>
      <c r="BI111" s="2" t="inlineStr"/>
      <c r="BJ111" s="2" t="inlineStr"/>
      <c r="BK111" s="2" t="inlineStr">
        <is>
          <t>961</t>
        </is>
      </c>
      <c r="BL111" s="2" t="inlineStr">
        <is>
          <t>0.9313</t>
        </is>
      </c>
      <c r="BM111" s="2" t="inlineStr">
        <is>
          <t>895</t>
        </is>
      </c>
      <c r="BN111" s="2" t="n">
        <v>100</v>
      </c>
      <c r="BO111" s="2" t="n">
        <v>1</v>
      </c>
      <c r="BP111" s="2" t="n">
        <v>100</v>
      </c>
      <c r="BQ111" s="2" t="n">
        <v>1</v>
      </c>
      <c r="BR111" s="2" t="n">
        <v>100</v>
      </c>
      <c r="BS111" s="2" t="n">
        <v>1</v>
      </c>
      <c r="BT111" s="2" t="n">
        <v>100</v>
      </c>
      <c r="BU111" s="2" t="n">
        <v>1</v>
      </c>
      <c r="BV111" s="2" t="n">
        <v>100</v>
      </c>
      <c r="BW111" s="2" t="n">
        <v>1</v>
      </c>
      <c r="BX111" s="2" t="n">
        <v>96.25</v>
      </c>
      <c r="BY111" s="2" t="n">
        <v>1</v>
      </c>
      <c r="BZ111" s="2" t="n">
        <v>100</v>
      </c>
      <c r="CA111" s="2" t="n">
        <v>1</v>
      </c>
      <c r="CB111" s="2" t="n">
        <v>0</v>
      </c>
      <c r="CC111" s="2" t="n">
        <v>0</v>
      </c>
      <c r="CD111" s="2" t="n">
        <v>93.13</v>
      </c>
      <c r="CE111" s="2" t="n">
        <v>1</v>
      </c>
      <c r="CF111" s="2" t="n">
        <v>0</v>
      </c>
      <c r="CG111" s="2" t="n">
        <v>0</v>
      </c>
      <c r="CH111" s="2" t="n">
        <v>90.01000000000001</v>
      </c>
      <c r="CI111" s="2" t="n">
        <v>1</v>
      </c>
      <c r="CJ111" s="2" t="n">
        <v>45.38</v>
      </c>
      <c r="CK111" s="2" t="n">
        <v>1</v>
      </c>
      <c r="CL111" s="2" t="n">
        <v>75.76000000000001</v>
      </c>
      <c r="CM111" s="2" t="n">
        <v>1</v>
      </c>
      <c r="CN111" s="2" t="n">
        <v>76.96384615384615</v>
      </c>
      <c r="CO111" s="2" t="n">
        <v>11</v>
      </c>
      <c r="CP111" s="2" t="n">
        <v>0.8461538461538461</v>
      </c>
      <c r="CQ111" s="2" t="n">
        <v>90.95727272727272</v>
      </c>
      <c r="CR111" s="2" t="inlineStr">
        <is>
          <t>Jira (vufind.org/jira)</t>
        </is>
      </c>
      <c r="CS111" s="2" t="inlineStr"/>
      <c r="CT111" s="2" t="inlineStr"/>
      <c r="CU111" s="2" t="inlineStr">
        <is>
          <t>fill from external tracker or leave blank</t>
        </is>
      </c>
    </row>
    <row r="112">
      <c r="A112" s="2" t="inlineStr">
        <is>
          <t>C4-111</t>
        </is>
      </c>
      <c r="B112" s="2" t="inlineStr">
        <is>
          <t>Zenodo</t>
        </is>
      </c>
      <c r="C112" s="2" t="inlineStr">
        <is>
          <t>https://github.com/zenodo/zenodo-rdm</t>
        </is>
      </c>
      <c r="D112" s="2" t="inlineStr">
        <is>
          <t>Ready</t>
        </is>
      </c>
      <c r="E112" s="2" t="inlineStr">
        <is>
          <t>github</t>
        </is>
      </c>
      <c r="F112" s="2" t="inlineStr">
        <is>
          <t>zenodo/zenodo-rdm</t>
        </is>
      </c>
      <c r="G112" s="2" t="inlineStr"/>
      <c r="H112" s="2" t="inlineStr"/>
      <c r="I112" s="2" t="inlineStr">
        <is>
          <t>yes</t>
        </is>
      </c>
      <c r="J112" s="2" t="inlineStr">
        <is>
          <t>software</t>
        </is>
      </c>
      <c r="K112" s="2" t="inlineStr">
        <is>
          <t>GitHub (same repo)</t>
        </is>
      </c>
      <c r="L112" s="2" t="inlineStr"/>
      <c r="M112" s="2" t="inlineStr">
        <is>
          <t>zenodo/zenodo-rdm</t>
        </is>
      </c>
      <c r="N112" s="2" t="inlineStr"/>
      <c r="O112" s="2" t="inlineStr"/>
      <c r="P112" s="2" t="inlineStr"/>
      <c r="Q112" s="2" t="inlineStr"/>
      <c r="R112" s="2" t="inlineStr"/>
      <c r="S112" s="2" t="inlineStr">
        <is>
          <t>zenodo/zenodo-rdm</t>
        </is>
      </c>
      <c r="T112" s="2" t="inlineStr">
        <is>
          <t>12</t>
        </is>
      </c>
      <c r="U112" s="2" t="inlineStr">
        <is>
          <t>44</t>
        </is>
      </c>
      <c r="V112" s="2" t="inlineStr">
        <is>
          <t>1</t>
        </is>
      </c>
      <c r="W112" s="2" t="inlineStr">
        <is>
          <t>4</t>
        </is>
      </c>
      <c r="X112" s="2" t="inlineStr">
        <is>
          <t>0</t>
        </is>
      </c>
      <c r="Y112" s="2" t="inlineStr">
        <is>
          <t>0.0</t>
        </is>
      </c>
      <c r="Z112" s="2" t="inlineStr">
        <is>
          <t>14</t>
        </is>
      </c>
      <c r="AA112" s="2" t="inlineStr">
        <is>
          <t>1.34</t>
        </is>
      </c>
      <c r="AB112" s="2" t="inlineStr">
        <is>
          <t>3.35</t>
        </is>
      </c>
      <c r="AC112" s="2" t="inlineStr">
        <is>
          <t>complete</t>
        </is>
      </c>
      <c r="AD112" s="2" t="inlineStr">
        <is>
          <t>287</t>
        </is>
      </c>
      <c r="AE112" s="2" t="inlineStr">
        <is>
          <t>2026-10-12</t>
        </is>
      </c>
      <c r="AF112" s="2" t="inlineStr">
        <is>
          <t>0</t>
        </is>
      </c>
      <c r="AG112" s="2" t="inlineStr">
        <is>
          <t>2</t>
        </is>
      </c>
      <c r="AH112" s="2" t="inlineStr">
        <is>
          <t>6</t>
        </is>
      </c>
      <c r="AI112" s="2" t="inlineStr">
        <is>
          <t>82</t>
        </is>
      </c>
      <c r="AJ112" s="2" t="inlineStr">
        <is>
          <t>50.87</t>
        </is>
      </c>
      <c r="AK112" s="2" t="inlineStr">
        <is>
          <t>88.55</t>
        </is>
      </c>
      <c r="AL112" s="2" t="inlineStr">
        <is>
          <t>174.16</t>
        </is>
      </c>
      <c r="AM112" s="2" t="inlineStr">
        <is>
          <t>22</t>
        </is>
      </c>
      <c r="AN112" s="2" t="inlineStr">
        <is>
          <t>11</t>
        </is>
      </c>
      <c r="AO112" s="2" t="inlineStr">
        <is>
          <t>67</t>
        </is>
      </c>
      <c r="AP112" s="2" t="inlineStr">
        <is>
          <t>127</t>
        </is>
      </c>
      <c r="AQ112" s="2" t="inlineStr">
        <is>
          <t>23.5</t>
        </is>
      </c>
      <c r="AR112" s="2" t="inlineStr">
        <is>
          <t>75</t>
        </is>
      </c>
      <c r="AS112" s="2" t="inlineStr">
        <is>
          <t>15</t>
        </is>
      </c>
      <c r="AT112" s="2" t="inlineStr">
        <is>
          <t>140</t>
        </is>
      </c>
      <c r="AU112" s="2" t="inlineStr">
        <is>
          <t>116</t>
        </is>
      </c>
      <c r="AV112" s="2" t="inlineStr">
        <is>
          <t>9</t>
        </is>
      </c>
      <c r="AW112" s="2" t="inlineStr">
        <is>
          <t>82</t>
        </is>
      </c>
      <c r="AX112" s="2" t="inlineStr">
        <is>
          <t>complete</t>
        </is>
      </c>
      <c r="AY112" s="2" t="inlineStr">
        <is>
          <t>4</t>
        </is>
      </c>
      <c r="AZ112" s="2" t="inlineStr">
        <is>
          <t>0.1</t>
        </is>
      </c>
      <c r="BA112" s="2" t="inlineStr">
        <is>
          <t>40</t>
        </is>
      </c>
      <c r="BB112" s="2" t="inlineStr">
        <is>
          <t>103</t>
        </is>
      </c>
      <c r="BC112" s="2" t="inlineStr">
        <is>
          <t>126</t>
        </is>
      </c>
      <c r="BD112" s="2" t="inlineStr">
        <is>
          <t>0.8175</t>
        </is>
      </c>
      <c r="BE112" s="2" t="inlineStr">
        <is>
          <t>176</t>
        </is>
      </c>
      <c r="BF112" s="2" t="inlineStr">
        <is>
          <t>36</t>
        </is>
      </c>
      <c r="BG112" s="2" t="inlineStr">
        <is>
          <t>non-maintainer issues</t>
        </is>
      </c>
      <c r="BH112" s="2" t="inlineStr">
        <is>
          <t>0.2553</t>
        </is>
      </c>
      <c r="BI112" s="2" t="inlineStr">
        <is>
          <t>47</t>
        </is>
      </c>
      <c r="BJ112" s="2" t="inlineStr">
        <is>
          <t>12</t>
        </is>
      </c>
      <c r="BK112" s="2" t="inlineStr">
        <is>
          <t>135</t>
        </is>
      </c>
      <c r="BL112" s="2" t="inlineStr">
        <is>
          <t>0.4148</t>
        </is>
      </c>
      <c r="BM112" s="2" t="inlineStr">
        <is>
          <t>56</t>
        </is>
      </c>
      <c r="BN112" s="2" t="n">
        <v>81.97</v>
      </c>
      <c r="BO112" s="2" t="n">
        <v>1</v>
      </c>
      <c r="BP112" s="2" t="n">
        <v>84.62</v>
      </c>
      <c r="BQ112" s="2" t="n">
        <v>1</v>
      </c>
      <c r="BR112" s="2" t="n">
        <v>100</v>
      </c>
      <c r="BS112" s="2" t="n">
        <v>1</v>
      </c>
      <c r="BT112" s="2" t="n">
        <v>100</v>
      </c>
      <c r="BU112" s="2" t="n">
        <v>1</v>
      </c>
      <c r="BV112" s="2" t="n">
        <v>76.15000000000001</v>
      </c>
      <c r="BW112" s="2" t="n">
        <v>1</v>
      </c>
      <c r="BX112" s="2" t="n">
        <v>58.14</v>
      </c>
      <c r="BY112" s="2" t="n">
        <v>1</v>
      </c>
      <c r="BZ112" s="2" t="n">
        <v>100</v>
      </c>
      <c r="CA112" s="2" t="n">
        <v>1</v>
      </c>
      <c r="CB112" s="2" t="n">
        <v>25.53</v>
      </c>
      <c r="CC112" s="2" t="n">
        <v>1</v>
      </c>
      <c r="CD112" s="2" t="n">
        <v>41.48</v>
      </c>
      <c r="CE112" s="2" t="n">
        <v>1</v>
      </c>
      <c r="CF112" s="2" t="n">
        <v>10</v>
      </c>
      <c r="CG112" s="2" t="n">
        <v>1</v>
      </c>
      <c r="CH112" s="2" t="n">
        <v>81.75</v>
      </c>
      <c r="CI112" s="2" t="n">
        <v>1</v>
      </c>
      <c r="CJ112" s="2" t="n">
        <v>74.92</v>
      </c>
      <c r="CK112" s="2" t="n">
        <v>1</v>
      </c>
      <c r="CL112" s="2" t="n">
        <v>78.23999999999999</v>
      </c>
      <c r="CM112" s="2" t="n">
        <v>1</v>
      </c>
      <c r="CN112" s="2" t="n">
        <v>70.21538461538462</v>
      </c>
      <c r="CO112" s="2" t="n">
        <v>13</v>
      </c>
      <c r="CP112" s="2" t="n">
        <v>1</v>
      </c>
      <c r="CQ112" s="2" t="n">
        <v>70.21538461538462</v>
      </c>
      <c r="CR112" s="2" t="inlineStr"/>
      <c r="CS112" s="2" t="inlineStr"/>
      <c r="CT112" s="2" t="inlineStr"/>
      <c r="CU112" s="2" t="inlineStr"/>
    </row>
    <row r="113">
      <c r="A113" s="2" t="inlineStr">
        <is>
          <t>C4-112</t>
        </is>
      </c>
      <c r="B113" s="2" t="inlineStr">
        <is>
          <t>Zotero</t>
        </is>
      </c>
      <c r="C113" s="2" t="inlineStr">
        <is>
          <t>https://github.com/zotero/zotero</t>
        </is>
      </c>
      <c r="D113" s="2" t="inlineStr">
        <is>
          <t>Ready</t>
        </is>
      </c>
      <c r="E113" s="2" t="inlineStr">
        <is>
          <t>github</t>
        </is>
      </c>
      <c r="F113" s="2" t="inlineStr">
        <is>
          <t>zotero/zotero</t>
        </is>
      </c>
      <c r="G113" s="2" t="inlineStr"/>
      <c r="H113" s="2" t="inlineStr"/>
      <c r="I113" s="2" t="inlineStr">
        <is>
          <t>yes</t>
        </is>
      </c>
      <c r="J113" s="2" t="inlineStr">
        <is>
          <t>software</t>
        </is>
      </c>
      <c r="K113" s="2" t="inlineStr">
        <is>
          <t>GitHub + Zotero Forums (forums are the main support channel)</t>
        </is>
      </c>
      <c r="L113" s="2" t="inlineStr"/>
      <c r="M113" s="2" t="inlineStr">
        <is>
          <t>zotero/zotero</t>
        </is>
      </c>
      <c r="N113" s="2" t="inlineStr"/>
      <c r="O113" s="2" t="inlineStr"/>
      <c r="P113" s="2" t="inlineStr"/>
      <c r="Q113" s="2" t="inlineStr"/>
      <c r="R113" s="2" t="inlineStr"/>
      <c r="S113" s="2" t="inlineStr">
        <is>
          <t>zotero/zotero</t>
        </is>
      </c>
      <c r="T113" s="2" t="inlineStr">
        <is>
          <t>12</t>
        </is>
      </c>
      <c r="U113" s="2" t="inlineStr">
        <is>
          <t>51</t>
        </is>
      </c>
      <c r="V113" s="2" t="inlineStr">
        <is>
          <t>1</t>
        </is>
      </c>
      <c r="W113" s="2" t="inlineStr">
        <is>
          <t>3</t>
        </is>
      </c>
      <c r="X113" s="2" t="inlineStr">
        <is>
          <t>0</t>
        </is>
      </c>
      <c r="Y113" s="2" t="inlineStr">
        <is>
          <t>0.0</t>
        </is>
      </c>
      <c r="Z113" s="2" t="inlineStr">
        <is>
          <t>21</t>
        </is>
      </c>
      <c r="AA113" s="2" t="inlineStr">
        <is>
          <t>0.34</t>
        </is>
      </c>
      <c r="AB113" s="2" t="inlineStr">
        <is>
          <t>2.01</t>
        </is>
      </c>
      <c r="AC113" s="2" t="inlineStr">
        <is>
          <t>complete</t>
        </is>
      </c>
      <c r="AD113" s="2" t="inlineStr">
        <is>
          <t>1003</t>
        </is>
      </c>
      <c r="AE113" s="2" t="inlineStr">
        <is>
          <t>2026-10-13</t>
        </is>
      </c>
      <c r="AF113" s="2" t="inlineStr">
        <is>
          <t>0</t>
        </is>
      </c>
      <c r="AG113" s="2" t="inlineStr">
        <is>
          <t>1</t>
        </is>
      </c>
      <c r="AH113" s="2" t="inlineStr">
        <is>
          <t>8</t>
        </is>
      </c>
      <c r="AI113" s="2" t="inlineStr">
        <is>
          <t>24</t>
        </is>
      </c>
      <c r="AJ113" s="2" t="inlineStr">
        <is>
          <t>69.29</t>
        </is>
      </c>
      <c r="AK113" s="2" t="inlineStr">
        <is>
          <t>82.52</t>
        </is>
      </c>
      <c r="AL113" s="2" t="inlineStr">
        <is>
          <t>10.69</t>
        </is>
      </c>
      <c r="AM113" s="2" t="inlineStr">
        <is>
          <t>41</t>
        </is>
      </c>
      <c r="AN113" s="2" t="inlineStr">
        <is>
          <t>187</t>
        </is>
      </c>
      <c r="AO113" s="2" t="inlineStr">
        <is>
          <t>242</t>
        </is>
      </c>
      <c r="AP113" s="2" t="inlineStr">
        <is>
          <t>1380</t>
        </is>
      </c>
      <c r="AQ113" s="2" t="inlineStr">
        <is>
          <t>16.09</t>
        </is>
      </c>
      <c r="AR113" s="2" t="inlineStr">
        <is>
          <t>211</t>
        </is>
      </c>
      <c r="AS113" s="2" t="inlineStr">
        <is>
          <t>36</t>
        </is>
      </c>
      <c r="AT113" s="2" t="inlineStr">
        <is>
          <t>259</t>
        </is>
      </c>
      <c r="AU113" s="2" t="inlineStr">
        <is>
          <t>170</t>
        </is>
      </c>
      <c r="AV113" s="2" t="inlineStr">
        <is>
          <t>53</t>
        </is>
      </c>
      <c r="AW113" s="2" t="inlineStr">
        <is>
          <t>18</t>
        </is>
      </c>
      <c r="AX113" s="2" t="inlineStr">
        <is>
          <t>complete</t>
        </is>
      </c>
      <c r="AY113" s="2" t="inlineStr">
        <is>
          <t>136</t>
        </is>
      </c>
      <c r="AZ113" s="2" t="inlineStr">
        <is>
          <t>0.6355</t>
        </is>
      </c>
      <c r="BA113" s="2" t="inlineStr">
        <is>
          <t>214</t>
        </is>
      </c>
      <c r="BB113" s="2" t="inlineStr">
        <is>
          <t>174</t>
        </is>
      </c>
      <c r="BC113" s="2" t="inlineStr">
        <is>
          <t>241</t>
        </is>
      </c>
      <c r="BD113" s="2" t="inlineStr">
        <is>
          <t>0.722</t>
        </is>
      </c>
      <c r="BE113" s="2" t="inlineStr">
        <is>
          <t>3157</t>
        </is>
      </c>
      <c r="BF113" s="2" t="inlineStr">
        <is>
          <t>274</t>
        </is>
      </c>
      <c r="BG113" s="2" t="inlineStr">
        <is>
          <t>non-maintainer issues</t>
        </is>
      </c>
      <c r="BH113" s="2" t="inlineStr">
        <is>
          <t>0.7115</t>
        </is>
      </c>
      <c r="BI113" s="2" t="inlineStr">
        <is>
          <t>52</t>
        </is>
      </c>
      <c r="BJ113" s="2" t="inlineStr">
        <is>
          <t>37</t>
        </is>
      </c>
      <c r="BK113" s="2" t="inlineStr">
        <is>
          <t>253</t>
        </is>
      </c>
      <c r="BL113" s="2" t="inlineStr">
        <is>
          <t>0.6838</t>
        </is>
      </c>
      <c r="BM113" s="2" t="inlineStr">
        <is>
          <t>173</t>
        </is>
      </c>
      <c r="BN113" s="2" t="n">
        <v>100</v>
      </c>
      <c r="BO113" s="2" t="n">
        <v>1</v>
      </c>
      <c r="BP113" s="2" t="n">
        <v>98.08</v>
      </c>
      <c r="BQ113" s="2" t="n">
        <v>1</v>
      </c>
      <c r="BR113" s="2" t="n">
        <v>100</v>
      </c>
      <c r="BS113" s="2" t="n">
        <v>1</v>
      </c>
      <c r="BT113" s="2" t="n">
        <v>100</v>
      </c>
      <c r="BU113" s="2" t="n">
        <v>1</v>
      </c>
      <c r="BV113" s="2" t="n">
        <v>87.84999999999999</v>
      </c>
      <c r="BW113" s="2" t="n">
        <v>1</v>
      </c>
      <c r="BX113" s="2" t="n">
        <v>33.57</v>
      </c>
      <c r="BY113" s="2" t="n">
        <v>1</v>
      </c>
      <c r="BZ113" s="2" t="n">
        <v>100</v>
      </c>
      <c r="CA113" s="2" t="n">
        <v>1</v>
      </c>
      <c r="CB113" s="2" t="n">
        <v>71.15000000000001</v>
      </c>
      <c r="CC113" s="2" t="n">
        <v>1</v>
      </c>
      <c r="CD113" s="2" t="n">
        <v>68.38</v>
      </c>
      <c r="CE113" s="2" t="n">
        <v>1</v>
      </c>
      <c r="CF113" s="2" t="n">
        <v>63.55</v>
      </c>
      <c r="CG113" s="2" t="n">
        <v>1</v>
      </c>
      <c r="CH113" s="2" t="n">
        <v>72.2</v>
      </c>
      <c r="CI113" s="2" t="n">
        <v>1</v>
      </c>
      <c r="CJ113" s="2" t="n">
        <v>100</v>
      </c>
      <c r="CK113" s="2" t="n">
        <v>1</v>
      </c>
      <c r="CL113" s="2" t="n">
        <v>100</v>
      </c>
      <c r="CM113" s="2" t="n">
        <v>1</v>
      </c>
      <c r="CN113" s="2" t="n">
        <v>84.21384615384615</v>
      </c>
      <c r="CO113" s="2" t="n">
        <v>13</v>
      </c>
      <c r="CP113" s="2" t="n">
        <v>1</v>
      </c>
      <c r="CQ113" s="2" t="n">
        <v>84.21384615384615</v>
      </c>
      <c r="CR113" s="2" t="inlineStr"/>
      <c r="CS113" s="2" t="inlineStr"/>
      <c r="CT113" s="2" t="inlineStr"/>
      <c r="CU113" s="2" t="inlineStr"/>
    </row>
  </sheetData>
  <autoFilter ref="A1:CU1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EF1F2"/>
    <outlinePr summaryBelow="1" summaryRight="1"/>
    <pageSetUpPr/>
  </sheetPr>
  <dimension ref="A1:R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</cols>
  <sheetData>
    <row r="1" ht="34" customHeight="1">
      <c r="A1" s="1" t="inlineStr">
        <is>
          <t>oisi_id</t>
        </is>
      </c>
      <c r="B1" s="1" t="inlineStr">
        <is>
          <t>infrastructure</t>
        </is>
      </c>
      <c r="C1" s="1" t="inlineStr">
        <is>
          <t>original_url</t>
        </is>
      </c>
      <c r="D1" s="1" t="inlineStr">
        <is>
          <t>decision</t>
        </is>
      </c>
      <c r="E1" s="1" t="inlineStr">
        <is>
          <t>host</t>
        </is>
      </c>
      <c r="F1" s="1" t="inlineStr">
        <is>
          <t>repo</t>
        </is>
      </c>
      <c r="G1" s="1" t="inlineStr">
        <is>
          <t>branch</t>
        </is>
      </c>
      <c r="H1" s="1" t="inlineStr">
        <is>
          <t>upstream</t>
        </is>
      </c>
      <c r="I1" s="1" t="inlineStr">
        <is>
          <t>scored</t>
        </is>
      </c>
      <c r="J1" s="1" t="inlineStr">
        <is>
          <t>classification</t>
        </is>
      </c>
      <c r="K1" s="1" t="inlineStr">
        <is>
          <t>issue_tracker</t>
        </is>
      </c>
      <c r="L1" s="1" t="inlineStr">
        <is>
          <t>notes</t>
        </is>
      </c>
      <c r="M1" s="1" t="inlineStr">
        <is>
          <t>issue_repo</t>
        </is>
      </c>
      <c r="N1" s="1" t="inlineStr">
        <is>
          <t>resolved_url_marker</t>
        </is>
      </c>
      <c r="O1" s="1" t="inlineStr">
        <is>
          <t>resolved_url_candidate_repo</t>
        </is>
      </c>
      <c r="P1" s="1" t="inlineStr">
        <is>
          <t>resolved_url_platform</t>
        </is>
      </c>
      <c r="Q1" s="1" t="inlineStr">
        <is>
          <t>resolved_url_action</t>
        </is>
      </c>
      <c r="R1" s="1" t="inlineStr">
        <is>
          <t>resolved_url_note</t>
        </is>
      </c>
    </row>
    <row r="2">
      <c r="A2" s="2" t="inlineStr">
        <is>
          <t>C4-001</t>
        </is>
      </c>
      <c r="B2" s="2" t="inlineStr">
        <is>
          <t>2i2c</t>
        </is>
      </c>
      <c r="C2" s="2" t="inlineStr">
        <is>
          <t>https://github.com/2i2c-org/infrastructure</t>
        </is>
      </c>
      <c r="D2" s="2" t="inlineStr">
        <is>
          <t>Ready</t>
        </is>
      </c>
      <c r="E2" s="2" t="inlineStr">
        <is>
          <t>github</t>
        </is>
      </c>
      <c r="F2" s="2" t="inlineStr">
        <is>
          <t>2i2c-org/infrastructure</t>
        </is>
      </c>
      <c r="G2" s="2" t="inlineStr"/>
      <c r="H2" s="2" t="inlineStr"/>
      <c r="I2" s="2" t="inlineStr">
        <is>
          <t>yes</t>
        </is>
      </c>
      <c r="J2" s="2" t="inlineStr">
        <is>
          <t>software</t>
        </is>
      </c>
      <c r="K2" s="2" t="inlineStr">
        <is>
          <t>GitHub (same repo)</t>
        </is>
      </c>
      <c r="L2" s="2" t="inlineStr"/>
      <c r="M2" s="2" t="inlineStr">
        <is>
          <t>2i2c-org/infrastructure</t>
        </is>
      </c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C4-002</t>
        </is>
      </c>
      <c r="B3" s="2" t="inlineStr">
        <is>
          <t>Academic Preservation Trust (APTrust)</t>
        </is>
      </c>
      <c r="C3" s="2" t="inlineStr">
        <is>
          <t>https://github.com/APTrust/registry</t>
        </is>
      </c>
      <c r="D3" s="2" t="inlineStr">
        <is>
          <t>Ready</t>
        </is>
      </c>
      <c r="E3" s="2" t="inlineStr">
        <is>
          <t>github</t>
        </is>
      </c>
      <c r="F3" s="2" t="inlineStr">
        <is>
          <t>APTrust/registry</t>
        </is>
      </c>
      <c r="G3" s="2" t="inlineStr"/>
      <c r="H3" s="2" t="inlineStr"/>
      <c r="I3" s="2" t="inlineStr">
        <is>
          <t>yes</t>
        </is>
      </c>
      <c r="J3" s="2" t="inlineStr">
        <is>
          <t>software</t>
        </is>
      </c>
      <c r="K3" s="2" t="inlineStr">
        <is>
          <t>GitHub (same repo)</t>
        </is>
      </c>
      <c r="L3" s="2" t="inlineStr"/>
      <c r="M3" s="2" t="inlineStr">
        <is>
          <t>APTrust/registry</t>
        </is>
      </c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C4-003</t>
        </is>
      </c>
      <c r="B4" s="2" t="inlineStr">
        <is>
          <t>AfricArXiv</t>
        </is>
      </c>
      <c r="C4" s="2" t="inlineStr">
        <is>
          <t>https://github.com/AfricArxiv/AfricArXiv-overview</t>
        </is>
      </c>
      <c r="D4" s="2" t="inlineStr">
        <is>
          <t>Not assessable</t>
        </is>
      </c>
      <c r="E4" s="2" t="inlineStr"/>
      <c r="F4" s="2" t="inlineStr"/>
      <c r="G4" s="2" t="inlineStr"/>
      <c r="H4" s="2" t="inlineStr"/>
      <c r="I4" s="2" t="inlineStr">
        <is>
          <t>no</t>
        </is>
      </c>
      <c r="J4" s="2" t="inlineStr">
        <is>
          <t>not-assessable</t>
        </is>
      </c>
      <c r="K4" s="2" t="inlineStr"/>
      <c r="L4" s="2" t="inlineStr">
        <is>
          <t>Overview repo idle since 2021; service runs on hosted platforms</t>
        </is>
      </c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C4-004</t>
        </is>
      </c>
      <c r="B5" s="2" t="inlineStr">
        <is>
          <t>Arches Heritage Data Management Platform</t>
        </is>
      </c>
      <c r="C5" s="2" t="inlineStr">
        <is>
          <t>https://github.com/archesproject/arches</t>
        </is>
      </c>
      <c r="D5" s="2" t="inlineStr">
        <is>
          <t>Ready</t>
        </is>
      </c>
      <c r="E5" s="2" t="inlineStr">
        <is>
          <t>github</t>
        </is>
      </c>
      <c r="F5" s="2" t="inlineStr">
        <is>
          <t>archesproject/arches</t>
        </is>
      </c>
      <c r="G5" s="2" t="inlineStr"/>
      <c r="H5" s="2" t="inlineStr"/>
      <c r="I5" s="2" t="inlineStr">
        <is>
          <t>yes</t>
        </is>
      </c>
      <c r="J5" s="2" t="inlineStr">
        <is>
          <t>software</t>
        </is>
      </c>
      <c r="K5" s="2" t="inlineStr">
        <is>
          <t>GitHub (same repo)</t>
        </is>
      </c>
      <c r="L5" s="2" t="inlineStr"/>
      <c r="M5" s="2" t="inlineStr">
        <is>
          <t>archesproject/arches</t>
        </is>
      </c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C4-005</t>
        </is>
      </c>
      <c r="B6" s="2" t="inlineStr">
        <is>
          <t>Archipelago Commons</t>
        </is>
      </c>
      <c r="C6" s="2" t="inlineStr">
        <is>
          <t>https://github.com/esmero/</t>
        </is>
      </c>
      <c r="D6" s="2" t="inlineStr">
        <is>
          <t>Org URL -&gt; core module set</t>
        </is>
      </c>
      <c r="E6" s="2" t="inlineStr">
        <is>
          <t>github</t>
        </is>
      </c>
      <c r="F6" s="2" t="inlineStr">
        <is>
          <t>esmero/strawberryfield;esmero/format_strawberryfield;esmero/webform_strawberryfield;esmero/strawberry_runners;esmero/ami;esmero/archipelago-deployment</t>
        </is>
      </c>
      <c r="G6" s="2" t="inlineStr"/>
      <c r="H6" s="2" t="inlineStr"/>
      <c r="I6" s="2" t="inlineStr">
        <is>
          <t>yes</t>
        </is>
      </c>
      <c r="J6" s="2" t="inlineStr">
        <is>
          <t>software</t>
        </is>
      </c>
      <c r="K6" s="2" t="inlineStr">
        <is>
          <t>GitHub: esmero/archipelago-deployment (85 open)</t>
        </is>
      </c>
      <c r="L6" s="2" t="inlineStr">
        <is>
          <t>Modular Drupal system with no single main repo; scored on the core module set (commits de-duplicated)</t>
        </is>
      </c>
      <c r="M6" s="2" t="inlineStr">
        <is>
          <t>esmero/archipelago-deployment</t>
        </is>
      </c>
      <c r="N6" s="2" t="inlineStr">
        <is>
          <t>yes</t>
        </is>
      </c>
      <c r="O6" s="2" t="inlineStr">
        <is>
          <t>esmero/strawberryfield</t>
        </is>
      </c>
      <c r="P6" s="2" t="inlineStr">
        <is>
          <t>GitHub</t>
        </is>
      </c>
      <c r="Q6" s="2" t="inlineStr">
        <is>
          <t>marker_only</t>
        </is>
      </c>
      <c r="R6" s="2" t="inlineStr">
        <is>
          <t>Current scoring uses the Archipelago core module set; single repo recorded as candidate.</t>
        </is>
      </c>
    </row>
    <row r="7">
      <c r="A7" s="2" t="inlineStr">
        <is>
          <t>C4-006</t>
        </is>
      </c>
      <c r="B7" s="2" t="inlineStr">
        <is>
          <t>Archival Resource Key</t>
        </is>
      </c>
      <c r="C7" s="2" t="inlineStr">
        <is>
          <t>https://github.com/arks-org</t>
        </is>
      </c>
      <c r="D7" s="2" t="inlineStr">
        <is>
          <t>Resolved URL -&gt; scoreable standard repo</t>
        </is>
      </c>
      <c r="E7" s="2" t="inlineStr">
        <is>
          <t>github</t>
        </is>
      </c>
      <c r="F7" s="2" t="inlineStr">
        <is>
          <t>arks-org/arks.github.io</t>
        </is>
      </c>
      <c r="G7" s="2" t="inlineStr"/>
      <c r="H7" s="2" t="inlineStr"/>
      <c r="I7" s="2" t="inlineStr">
        <is>
          <t>yes</t>
        </is>
      </c>
      <c r="J7" s="2" t="inlineStr">
        <is>
          <t>standard</t>
        </is>
      </c>
      <c r="K7" s="2" t="inlineStr">
        <is>
          <t>GitHub (same repo)</t>
        </is>
      </c>
      <c r="L7" s="2" t="inlineStr">
        <is>
          <t>ARK is an identifier scheme; arkspec had 2 commits in window. Score standards separately, not against software | Restored as scoreable documentation/spec repository per resolved list; still marked as standard.</t>
        </is>
      </c>
      <c r="M7" s="2" t="inlineStr">
        <is>
          <t>arks-org/arks.github.io</t>
        </is>
      </c>
      <c r="N7" s="2" t="inlineStr">
        <is>
          <t>yes</t>
        </is>
      </c>
      <c r="O7" s="2" t="inlineStr">
        <is>
          <t>arks-org/arks.github.io</t>
        </is>
      </c>
      <c r="P7" s="2" t="inlineStr">
        <is>
          <t>GitHub</t>
        </is>
      </c>
      <c r="Q7" s="2" t="inlineStr">
        <is>
          <t>applied</t>
        </is>
      </c>
      <c r="R7" s="2" t="inlineStr">
        <is>
          <t>Restored as scoreable documentation/spec repository per resolved list; still marked as standard.</t>
        </is>
      </c>
    </row>
    <row r="8">
      <c r="A8" s="2" t="inlineStr">
        <is>
          <t>C4-007</t>
        </is>
      </c>
      <c r="B8" s="2" t="inlineStr">
        <is>
          <t>Archivematica</t>
        </is>
      </c>
      <c r="C8" s="2" t="inlineStr">
        <is>
          <t>https://github.com/artefactual/archivematica</t>
        </is>
      </c>
      <c r="D8" s="2" t="inlineStr">
        <is>
          <t>Ready</t>
        </is>
      </c>
      <c r="E8" s="2" t="inlineStr">
        <is>
          <t>github</t>
        </is>
      </c>
      <c r="F8" s="2" t="inlineStr">
        <is>
          <t>artefactual/archivematica</t>
        </is>
      </c>
      <c r="G8" s="2" t="inlineStr"/>
      <c r="H8" s="2" t="inlineStr"/>
      <c r="I8" s="2" t="inlineStr">
        <is>
          <t>yes</t>
        </is>
      </c>
      <c r="J8" s="2" t="inlineStr">
        <is>
          <t>software</t>
        </is>
      </c>
      <c r="K8" s="2" t="inlineStr">
        <is>
          <t>GitHub: archivematica/Issues</t>
        </is>
      </c>
      <c r="L8" s="2" t="inlineStr"/>
      <c r="M8" s="2" t="inlineStr">
        <is>
          <t>archivematica/Issues</t>
        </is>
      </c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C4-008</t>
        </is>
      </c>
      <c r="B9" s="2" t="inlineStr">
        <is>
          <t>ArchivesSpace</t>
        </is>
      </c>
      <c r="C9" s="2" t="inlineStr">
        <is>
          <t>https://github.com/archivesspace/archivesspace</t>
        </is>
      </c>
      <c r="D9" s="2" t="inlineStr">
        <is>
          <t>Ready</t>
        </is>
      </c>
      <c r="E9" s="2" t="inlineStr">
        <is>
          <t>github</t>
        </is>
      </c>
      <c r="F9" s="2" t="inlineStr">
        <is>
          <t>archivesspace/archivesspace</t>
        </is>
      </c>
      <c r="G9" s="2" t="inlineStr"/>
      <c r="H9" s="2" t="inlineStr"/>
      <c r="I9" s="2" t="inlineStr">
        <is>
          <t>yes</t>
        </is>
      </c>
      <c r="J9" s="2" t="inlineStr">
        <is>
          <t>software</t>
        </is>
      </c>
      <c r="K9" s="2" t="inlineStr">
        <is>
          <t>GitHub (same repo); also development.archivesspace.org</t>
        </is>
      </c>
      <c r="L9" s="2" t="inlineStr"/>
      <c r="M9" s="2" t="inlineStr">
        <is>
          <t>archivesspace/archivesspace</t>
        </is>
      </c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C4-009</t>
        </is>
      </c>
      <c r="B10" s="2" t="inlineStr">
        <is>
          <t>ARGOS</t>
        </is>
      </c>
      <c r="C10" s="2" t="inlineStr">
        <is>
          <t>https://github.com/OpenCDMP/OpenCDMP</t>
        </is>
      </c>
      <c r="D10" s="2" t="inlineStr">
        <is>
          <t>Keep (flag)</t>
        </is>
      </c>
      <c r="E10" s="2" t="inlineStr">
        <is>
          <t>github</t>
        </is>
      </c>
      <c r="F10" s="2" t="inlineStr">
        <is>
          <t>OpenCDMP/OpenCDMP</t>
        </is>
      </c>
      <c r="G10" s="2" t="inlineStr"/>
      <c r="H10" s="2" t="inlineStr"/>
      <c r="I10" s="2" t="inlineStr">
        <is>
          <t>yes</t>
        </is>
      </c>
      <c r="J10" s="2" t="inlineStr">
        <is>
          <t>software</t>
        </is>
      </c>
      <c r="K10" s="2" t="inlineStr">
        <is>
          <t>GitHub (same repo, 3 open)</t>
        </is>
      </c>
      <c r="L10" s="2" t="inlineStr">
        <is>
          <t>ARGOS is built on OpenCDMP; public repo receives periodic code drops (20 commits total)</t>
        </is>
      </c>
      <c r="M10" s="2" t="inlineStr">
        <is>
          <t>OpenCDMP/OpenCDMP</t>
        </is>
      </c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C4-010</t>
        </is>
      </c>
      <c r="B11" s="2" t="inlineStr">
        <is>
          <t>arXiv</t>
        </is>
      </c>
      <c r="C11" s="2" t="inlineStr">
        <is>
          <t>https://github.com/arXiv</t>
        </is>
      </c>
      <c r="D11" s="2" t="inlineStr">
        <is>
          <t>Org URL -&gt; primary repo</t>
        </is>
      </c>
      <c r="E11" s="2" t="inlineStr">
        <is>
          <t>github</t>
        </is>
      </c>
      <c r="F11" s="2" t="inlineStr">
        <is>
          <t>arXiv/arxiv-browse</t>
        </is>
      </c>
      <c r="G11" s="2" t="inlineStr"/>
      <c r="H11" s="2" t="inlineStr"/>
      <c r="I11" s="2" t="inlineStr">
        <is>
          <t>yes</t>
        </is>
      </c>
      <c r="J11" s="2" t="inlineStr">
        <is>
          <t>software</t>
        </is>
      </c>
      <c r="K11" s="2" t="inlineStr">
        <is>
          <t>GitHub (same repo)</t>
        </is>
      </c>
      <c r="L11" s="2" t="inlineStr">
        <is>
          <t>Main public web application (abstract and listing pages); 54 repos in org</t>
        </is>
      </c>
      <c r="M11" s="2" t="inlineStr">
        <is>
          <t>arXiv/arxiv-browse</t>
        </is>
      </c>
      <c r="N11" s="2" t="inlineStr">
        <is>
          <t>yes</t>
        </is>
      </c>
      <c r="O11" s="2" t="inlineStr">
        <is>
          <t>arXiv/arxiv-browse</t>
        </is>
      </c>
      <c r="P11" s="2" t="inlineStr">
        <is>
          <t>GitHub</t>
        </is>
      </c>
      <c r="Q11" s="2" t="inlineStr">
        <is>
          <t>already_current</t>
        </is>
      </c>
      <c r="R11" s="2" t="inlineStr">
        <is>
          <t>Current scoring target already matches resolved list.</t>
        </is>
      </c>
    </row>
    <row r="12">
      <c r="A12" s="2" t="inlineStr">
        <is>
          <t>C4-011</t>
        </is>
      </c>
      <c r="B12" s="2" t="inlineStr">
        <is>
          <t>AtoM</t>
        </is>
      </c>
      <c r="C12" s="2" t="inlineStr">
        <is>
          <t>https://github.com/artefactual/atom</t>
        </is>
      </c>
      <c r="D12" s="2" t="inlineStr">
        <is>
          <t>Ready</t>
        </is>
      </c>
      <c r="E12" s="2" t="inlineStr">
        <is>
          <t>github</t>
        </is>
      </c>
      <c r="F12" s="2" t="inlineStr">
        <is>
          <t>artefactual/atom</t>
        </is>
      </c>
      <c r="G12" s="2" t="inlineStr"/>
      <c r="H12" s="2" t="inlineStr"/>
      <c r="I12" s="2" t="inlineStr">
        <is>
          <t>yes</t>
        </is>
      </c>
      <c r="J12" s="2" t="inlineStr">
        <is>
          <t>software</t>
        </is>
      </c>
      <c r="K12" s="2" t="inlineStr">
        <is>
          <t>GitHub (same repo)</t>
        </is>
      </c>
      <c r="L12" s="2" t="inlineStr"/>
      <c r="M12" s="2" t="inlineStr">
        <is>
          <t>artefactual/atom</t>
        </is>
      </c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C4-012</t>
        </is>
      </c>
      <c r="B13" s="2" t="inlineStr">
        <is>
          <t>Avalon Media System</t>
        </is>
      </c>
      <c r="C13" s="2" t="inlineStr">
        <is>
          <t>https://github.com/avalonmediasystem/avalon</t>
        </is>
      </c>
      <c r="D13" s="2" t="inlineStr">
        <is>
          <t>Ready</t>
        </is>
      </c>
      <c r="E13" s="2" t="inlineStr">
        <is>
          <t>github</t>
        </is>
      </c>
      <c r="F13" s="2" t="inlineStr">
        <is>
          <t>avalonmediasystem/avalon</t>
        </is>
      </c>
      <c r="G13" s="2" t="inlineStr"/>
      <c r="H13" s="2" t="inlineStr"/>
      <c r="I13" s="2" t="inlineStr">
        <is>
          <t>yes</t>
        </is>
      </c>
      <c r="J13" s="2" t="inlineStr">
        <is>
          <t>software</t>
        </is>
      </c>
      <c r="K13" s="2" t="inlineStr">
        <is>
          <t>GitHub (same repo)</t>
        </is>
      </c>
      <c r="L13" s="2" t="inlineStr"/>
      <c r="M13" s="2" t="inlineStr">
        <is>
          <t>avalonmediasystem/avalon</t>
        </is>
      </c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C4-013</t>
        </is>
      </c>
      <c r="B14" s="2" t="inlineStr">
        <is>
          <t>Biodiversity Heritage Library</t>
        </is>
      </c>
      <c r="C14" s="2" t="inlineStr">
        <is>
          <t>https://github.com/gbhl/bhl-us</t>
        </is>
      </c>
      <c r="D14" s="2" t="inlineStr">
        <is>
          <t>Ready</t>
        </is>
      </c>
      <c r="E14" s="2" t="inlineStr">
        <is>
          <t>github</t>
        </is>
      </c>
      <c r="F14" s="2" t="inlineStr">
        <is>
          <t>gbhl/bhl-us</t>
        </is>
      </c>
      <c r="G14" s="2" t="inlineStr"/>
      <c r="H14" s="2" t="inlineStr"/>
      <c r="I14" s="2" t="inlineStr">
        <is>
          <t>yes</t>
        </is>
      </c>
      <c r="J14" s="2" t="inlineStr">
        <is>
          <t>software</t>
        </is>
      </c>
      <c r="K14" s="2" t="inlineStr">
        <is>
          <t>Internal tracker (Gemini) - not public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C4-014</t>
        </is>
      </c>
      <c r="B15" s="2" t="inlineStr">
        <is>
          <t>bioRxiv</t>
        </is>
      </c>
      <c r="C15" s="2" t="inlineStr">
        <is>
          <t>https://github.com/api-evangelist/biorxiv</t>
        </is>
      </c>
      <c r="D15" s="2" t="inlineStr">
        <is>
          <t>Not assessable</t>
        </is>
      </c>
      <c r="E15" s="2" t="inlineStr"/>
      <c r="F15" s="2" t="inlineStr"/>
      <c r="G15" s="2" t="inlineStr"/>
      <c r="H15" s="2" t="inlineStr"/>
      <c r="I15" s="2" t="inlineStr">
        <is>
          <t>no</t>
        </is>
      </c>
      <c r="J15" s="2" t="inlineStr">
        <is>
          <t>not-assessable</t>
        </is>
      </c>
      <c r="K15" s="2" t="inlineStr"/>
      <c r="L15" s="2" t="inlineStr">
        <is>
          <t>Listed repo is a third-party API description; bioRxiv platform code is not public</t>
        </is>
      </c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C4-015</t>
        </is>
      </c>
      <c r="B16" s="2" t="inlineStr">
        <is>
          <t>BitCurator Environment</t>
        </is>
      </c>
      <c r="C16" s="2" t="inlineStr">
        <is>
          <t>https://github.com/bitcurator/bitcurator-salt</t>
        </is>
      </c>
      <c r="D16" s="2" t="inlineStr">
        <is>
          <t>Ready</t>
        </is>
      </c>
      <c r="E16" s="2" t="inlineStr">
        <is>
          <t>github</t>
        </is>
      </c>
      <c r="F16" s="2" t="inlineStr">
        <is>
          <t>bitcurator/bitcurator-salt</t>
        </is>
      </c>
      <c r="G16" s="2" t="inlineStr"/>
      <c r="H16" s="2" t="inlineStr"/>
      <c r="I16" s="2" t="inlineStr">
        <is>
          <t>yes</t>
        </is>
      </c>
      <c r="J16" s="2" t="inlineStr">
        <is>
          <t>software</t>
        </is>
      </c>
      <c r="K16" s="2" t="inlineStr">
        <is>
          <t>NONE on this repo; BitCurator uses bitcurator-distro / Google group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C4-016</t>
        </is>
      </c>
      <c r="B17" s="2" t="inlineStr">
        <is>
          <t>Blacklight</t>
        </is>
      </c>
      <c r="C17" s="2" t="inlineStr">
        <is>
          <t>https://github.com/projectblacklight</t>
        </is>
      </c>
      <c r="D17" s="2" t="inlineStr">
        <is>
          <t>Org URL -&gt; primary repo</t>
        </is>
      </c>
      <c r="E17" s="2" t="inlineStr">
        <is>
          <t>github</t>
        </is>
      </c>
      <c r="F17" s="2" t="inlineStr">
        <is>
          <t>projectblacklight/blacklight</t>
        </is>
      </c>
      <c r="G17" s="2" t="inlineStr"/>
      <c r="H17" s="2" t="inlineStr"/>
      <c r="I17" s="2" t="inlineStr">
        <is>
          <t>yes</t>
        </is>
      </c>
      <c r="J17" s="2" t="inlineStr">
        <is>
          <t>software</t>
        </is>
      </c>
      <c r="K17" s="2" t="inlineStr">
        <is>
          <t>GitHub (same repo)</t>
        </is>
      </c>
      <c r="L17" s="2" t="inlineStr">
        <is>
          <t>Core Blacklight gem</t>
        </is>
      </c>
      <c r="M17" s="2" t="inlineStr">
        <is>
          <t>projectblacklight/blacklight</t>
        </is>
      </c>
      <c r="N17" s="2" t="inlineStr">
        <is>
          <t>yes</t>
        </is>
      </c>
      <c r="O17" s="2" t="inlineStr">
        <is>
          <t>projectblacklight/blacklight</t>
        </is>
      </c>
      <c r="P17" s="2" t="inlineStr">
        <is>
          <t>GitHub</t>
        </is>
      </c>
      <c r="Q17" s="2" t="inlineStr">
        <is>
          <t>already_current</t>
        </is>
      </c>
      <c r="R17" s="2" t="inlineStr">
        <is>
          <t>Current scoring target already matches resolved list.</t>
        </is>
      </c>
    </row>
    <row r="18">
      <c r="A18" s="2" t="inlineStr">
        <is>
          <t>C4-017</t>
        </is>
      </c>
      <c r="B18" s="2" t="inlineStr">
        <is>
          <t>BrCRIS</t>
        </is>
      </c>
      <c r="C18" s="2" t="inlineStr">
        <is>
          <t>https://github.com/projetos-codic-ibict</t>
        </is>
      </c>
      <c r="D18" s="2" t="inlineStr">
        <is>
          <t>Resolved URL</t>
        </is>
      </c>
      <c r="E18" s="2" t="inlineStr">
        <is>
          <t>github</t>
        </is>
      </c>
      <c r="F18" s="2" t="inlineStr">
        <is>
          <t>brcris-ibict/brcris-interface-busca</t>
        </is>
      </c>
      <c r="G18" s="2" t="inlineStr"/>
      <c r="H18" s="2" t="inlineStr"/>
      <c r="I18" s="2" t="inlineStr">
        <is>
          <t>yes</t>
        </is>
      </c>
      <c r="J18" s="2" t="inlineStr">
        <is>
          <t>software</t>
        </is>
      </c>
      <c r="K18" s="2" t="inlineStr">
        <is>
          <t>GitHub (same repo)</t>
        </is>
      </c>
      <c r="L18" s="2" t="inlineStr">
        <is>
          <t>InfraFinder lists only the Ibict GitHub org; none of its 45 repos is identifiable as BrCRIS | Restored from not-assessable using resolved GitHub repository.</t>
        </is>
      </c>
      <c r="M18" s="2" t="inlineStr">
        <is>
          <t>brcris-ibict/brcris-interface-busca</t>
        </is>
      </c>
      <c r="N18" s="2" t="inlineStr">
        <is>
          <t>yes</t>
        </is>
      </c>
      <c r="O18" s="2" t="inlineStr">
        <is>
          <t>brcris-ibict/brcris-interface-busca</t>
        </is>
      </c>
      <c r="P18" s="2" t="inlineStr">
        <is>
          <t>GitHub</t>
        </is>
      </c>
      <c r="Q18" s="2" t="inlineStr">
        <is>
          <t>applied</t>
        </is>
      </c>
      <c r="R18" s="2" t="inlineStr">
        <is>
          <t>Restored from not-assessable using resolved GitHub repository.</t>
        </is>
      </c>
    </row>
    <row r="19">
      <c r="A19" s="2" t="inlineStr">
        <is>
          <t>C4-018</t>
        </is>
      </c>
      <c r="B19" s="2" t="inlineStr">
        <is>
          <t>Browsertrix</t>
        </is>
      </c>
      <c r="C19" s="2" t="inlineStr">
        <is>
          <t>https://github.com/webrecorder/browsertrix</t>
        </is>
      </c>
      <c r="D19" s="2" t="inlineStr">
        <is>
          <t>Ready</t>
        </is>
      </c>
      <c r="E19" s="2" t="inlineStr">
        <is>
          <t>github</t>
        </is>
      </c>
      <c r="F19" s="2" t="inlineStr">
        <is>
          <t>webrecorder/browsertrix</t>
        </is>
      </c>
      <c r="G19" s="2" t="inlineStr"/>
      <c r="H19" s="2" t="inlineStr"/>
      <c r="I19" s="2" t="inlineStr">
        <is>
          <t>yes</t>
        </is>
      </c>
      <c r="J19" s="2" t="inlineStr">
        <is>
          <t>software</t>
        </is>
      </c>
      <c r="K19" s="2" t="inlineStr">
        <is>
          <t>GitHub (same repo)</t>
        </is>
      </c>
      <c r="L19" s="2" t="inlineStr"/>
      <c r="M19" s="2" t="inlineStr">
        <is>
          <t>webrecorder/browsertrix</t>
        </is>
      </c>
      <c r="N19" s="2" t="inlineStr"/>
      <c r="O19" s="2" t="inlineStr"/>
      <c r="P19" s="2" t="inlineStr"/>
      <c r="Q19" s="2" t="inlineStr"/>
      <c r="R19" s="2" t="inlineStr"/>
    </row>
    <row r="20">
      <c r="A20" s="2" t="inlineStr">
        <is>
          <t>C4-019</t>
        </is>
      </c>
      <c r="B20" s="2" t="inlineStr">
        <is>
          <t>CLOCKSS</t>
        </is>
      </c>
      <c r="C20" s="2" t="inlineStr">
        <is>
          <t>https://github.com/lockss</t>
        </is>
      </c>
      <c r="D20" s="2" t="inlineStr">
        <is>
          <t>Org URL -&gt; primary repo</t>
        </is>
      </c>
      <c r="E20" s="2" t="inlineStr">
        <is>
          <t>github</t>
        </is>
      </c>
      <c r="F20" s="2" t="inlineStr">
        <is>
          <t>lockss/lockss-daemon</t>
        </is>
      </c>
      <c r="G20" s="2" t="inlineStr"/>
      <c r="H20" s="2" t="inlineStr"/>
      <c r="I20" s="2" t="inlineStr">
        <is>
          <t>yes</t>
        </is>
      </c>
      <c r="J20" s="2" t="inlineStr">
        <is>
          <t>software</t>
        </is>
      </c>
      <c r="K20" s="2" t="inlineStr">
        <is>
          <t>GitHub (2 open) - likely internal tracker</t>
        </is>
      </c>
      <c r="L20" s="2" t="inlineStr">
        <is>
          <t>CLOCKSS runs on the LOCKSS daemon; lockss-core (LOCKSS 2.x) is a possible alternative</t>
        </is>
      </c>
      <c r="M20" s="2" t="inlineStr">
        <is>
          <t>lockss/lockss-daemon</t>
        </is>
      </c>
      <c r="N20" s="2" t="inlineStr">
        <is>
          <t>yes</t>
        </is>
      </c>
      <c r="O20" s="2" t="inlineStr">
        <is>
          <t>lockss/lockss-daemon</t>
        </is>
      </c>
      <c r="P20" s="2" t="inlineStr">
        <is>
          <t>GitHub</t>
        </is>
      </c>
      <c r="Q20" s="2" t="inlineStr">
        <is>
          <t>already_current</t>
        </is>
      </c>
      <c r="R20" s="2" t="inlineStr">
        <is>
          <t>Current scoring target already matches resolved list.</t>
        </is>
      </c>
    </row>
    <row r="21">
      <c r="A21" s="2" t="inlineStr">
        <is>
          <t>C4-020</t>
        </is>
      </c>
      <c r="B21" s="2" t="inlineStr">
        <is>
          <t>COAR International Repository Directory (IRD)</t>
        </is>
      </c>
      <c r="C21" s="2" t="inlineStr">
        <is>
          <t>https://github.com/antleaf/IRD</t>
        </is>
      </c>
      <c r="D21" s="2" t="inlineStr">
        <is>
          <t>Ready</t>
        </is>
      </c>
      <c r="E21" s="2" t="inlineStr">
        <is>
          <t>github</t>
        </is>
      </c>
      <c r="F21" s="2" t="inlineStr">
        <is>
          <t>antleaf/IRD</t>
        </is>
      </c>
      <c r="G21" s="2" t="inlineStr"/>
      <c r="H21" s="2" t="inlineStr"/>
      <c r="I21" s="2" t="inlineStr">
        <is>
          <t>yes</t>
        </is>
      </c>
      <c r="J21" s="2" t="inlineStr">
        <is>
          <t>software</t>
        </is>
      </c>
      <c r="K21" s="2" t="inlineStr">
        <is>
          <t>GitHub (same repo)</t>
        </is>
      </c>
      <c r="L21" s="2" t="inlineStr"/>
      <c r="M21" s="2" t="inlineStr">
        <is>
          <t>antleaf/IRD</t>
        </is>
      </c>
      <c r="N21" s="2" t="inlineStr"/>
      <c r="O21" s="2" t="inlineStr"/>
      <c r="P21" s="2" t="inlineStr"/>
      <c r="Q21" s="2" t="inlineStr"/>
      <c r="R21" s="2" t="inlineStr"/>
    </row>
    <row r="22">
      <c r="A22" s="2" t="inlineStr">
        <is>
          <t>C4-021</t>
        </is>
      </c>
      <c r="B22" s="2" t="inlineStr">
        <is>
          <t>COAR Notify</t>
        </is>
      </c>
      <c r="C22" s="2" t="inlineStr">
        <is>
          <t>https://github.com/coar-notify/coar-notify.net</t>
        </is>
      </c>
      <c r="D22" s="2" t="inlineStr">
        <is>
          <t>Ready</t>
        </is>
      </c>
      <c r="E22" s="2" t="inlineStr">
        <is>
          <t>github</t>
        </is>
      </c>
      <c r="F22" s="2" t="inlineStr">
        <is>
          <t>coar-notify/coar-notify.net</t>
        </is>
      </c>
      <c r="G22" s="2" t="inlineStr"/>
      <c r="H22" s="2" t="inlineStr"/>
      <c r="I22" s="2" t="inlineStr">
        <is>
          <t>yes</t>
        </is>
      </c>
      <c r="J22" s="2" t="inlineStr">
        <is>
          <t>software</t>
        </is>
      </c>
      <c r="K22" s="2" t="inlineStr">
        <is>
          <t>GitHub (same repo)</t>
        </is>
      </c>
      <c r="L22" s="2" t="inlineStr"/>
      <c r="M22" s="2" t="inlineStr">
        <is>
          <t>coar-notify/coar-notify.net</t>
        </is>
      </c>
      <c r="N22" s="2" t="inlineStr"/>
      <c r="O22" s="2" t="inlineStr"/>
      <c r="P22" s="2" t="inlineStr"/>
      <c r="Q22" s="2" t="inlineStr"/>
      <c r="R22" s="2" t="inlineStr"/>
    </row>
    <row r="23">
      <c r="A23" s="2" t="inlineStr">
        <is>
          <t>C4-022</t>
        </is>
      </c>
      <c r="B23" s="2" t="inlineStr">
        <is>
          <t>CollectiveAccess</t>
        </is>
      </c>
      <c r="C23" s="2" t="inlineStr">
        <is>
          <t>https://github.com/collectiveaccess</t>
        </is>
      </c>
      <c r="D23" s="2" t="inlineStr">
        <is>
          <t>Org URL -&gt; primary repo</t>
        </is>
      </c>
      <c r="E23" s="2" t="inlineStr">
        <is>
          <t>github</t>
        </is>
      </c>
      <c r="F23" s="2" t="inlineStr">
        <is>
          <t>collectiveaccess/providence</t>
        </is>
      </c>
      <c r="G23" s="2" t="inlineStr"/>
      <c r="H23" s="2" t="inlineStr"/>
      <c r="I23" s="2" t="inlineStr">
        <is>
          <t>yes</t>
        </is>
      </c>
      <c r="J23" s="2" t="inlineStr">
        <is>
          <t>software</t>
        </is>
      </c>
      <c r="K23" s="2" t="inlineStr">
        <is>
          <t>GitHub (same repo)</t>
        </is>
      </c>
      <c r="L23" s="2" t="inlineStr">
        <is>
          <t>Providence = cataloguing back-end; Pawtucket2 is the public front-end</t>
        </is>
      </c>
      <c r="M23" s="2" t="inlineStr">
        <is>
          <t>collectiveaccess/providence</t>
        </is>
      </c>
      <c r="N23" s="2" t="inlineStr">
        <is>
          <t>yes</t>
        </is>
      </c>
      <c r="O23" s="2" t="inlineStr">
        <is>
          <t>collectiveaccess/providence</t>
        </is>
      </c>
      <c r="P23" s="2" t="inlineStr">
        <is>
          <t>GitHub</t>
        </is>
      </c>
      <c r="Q23" s="2" t="inlineStr">
        <is>
          <t>already_current</t>
        </is>
      </c>
      <c r="R23" s="2" t="inlineStr">
        <is>
          <t>Current scoring target already matches resolved list.</t>
        </is>
      </c>
    </row>
    <row r="24">
      <c r="A24" s="2" t="inlineStr">
        <is>
          <t>C4-023</t>
        </is>
      </c>
      <c r="B24" s="2" t="inlineStr">
        <is>
          <t>CORE</t>
        </is>
      </c>
      <c r="C24" s="2" t="inlineStr">
        <is>
          <t>https://github.com/oacore</t>
        </is>
      </c>
      <c r="D24" s="2" t="inlineStr">
        <is>
          <t>Resolved URL</t>
        </is>
      </c>
      <c r="E24" s="2" t="inlineStr">
        <is>
          <t>github</t>
        </is>
      </c>
      <c r="F24" s="2" t="inlineStr">
        <is>
          <t>oacore/dashboard</t>
        </is>
      </c>
      <c r="G24" s="2" t="inlineStr"/>
      <c r="H24" s="2" t="inlineStr"/>
      <c r="I24" s="2" t="inlineStr">
        <is>
          <t>yes</t>
        </is>
      </c>
      <c r="J24" s="2" t="inlineStr">
        <is>
          <t>software</t>
        </is>
      </c>
      <c r="K24" s="2" t="inlineStr">
        <is>
          <t>GitHub (same repo)</t>
        </is>
      </c>
      <c r="L24" s="2" t="inlineStr">
        <is>
          <t>Public oacore repos are front-ends and API clients; the harvesting back-end (chars) has been idle since Jan 2025 | Restored from not-assessable using resolved GitHub repository.</t>
        </is>
      </c>
      <c r="M24" s="2" t="inlineStr">
        <is>
          <t>oacore/dashboard</t>
        </is>
      </c>
      <c r="N24" s="2" t="inlineStr">
        <is>
          <t>yes</t>
        </is>
      </c>
      <c r="O24" s="2" t="inlineStr">
        <is>
          <t>oacore/dashboard</t>
        </is>
      </c>
      <c r="P24" s="2" t="inlineStr">
        <is>
          <t>GitHub</t>
        </is>
      </c>
      <c r="Q24" s="2" t="inlineStr">
        <is>
          <t>applied</t>
        </is>
      </c>
      <c r="R24" s="2" t="inlineStr">
        <is>
          <t>Restored from not-assessable using resolved GitHub repository.</t>
        </is>
      </c>
    </row>
    <row r="25">
      <c r="A25" s="2" t="inlineStr">
        <is>
          <t>C4-024</t>
        </is>
      </c>
      <c r="B25" s="2" t="inlineStr">
        <is>
          <t>COUNTER Code of Practice</t>
        </is>
      </c>
      <c r="C25" s="2" t="inlineStr">
        <is>
          <t>https://cop5.countermetrics.org/en/5.1/index.html</t>
        </is>
      </c>
      <c r="D25" s="2" t="inlineStr">
        <is>
          <t>Resolved URL -&gt; scoreable standard repo</t>
        </is>
      </c>
      <c r="E25" s="2" t="inlineStr">
        <is>
          <t>github</t>
        </is>
      </c>
      <c r="F25" s="2" t="inlineStr">
        <is>
          <t>Project-Counter/cop5</t>
        </is>
      </c>
      <c r="G25" s="2" t="inlineStr"/>
      <c r="H25" s="2" t="inlineStr"/>
      <c r="I25" s="2" t="inlineStr">
        <is>
          <t>yes</t>
        </is>
      </c>
      <c r="J25" s="2" t="inlineStr">
        <is>
          <t>standard</t>
        </is>
      </c>
      <c r="K25" s="2" t="inlineStr">
        <is>
          <t>GitHub (same repo)</t>
        </is>
      </c>
      <c r="L25" s="2" t="inlineStr">
        <is>
          <t>Code of Practice (standard), not software | Restored as scoreable documentation/spec repository per resolved list; still marked as standard.</t>
        </is>
      </c>
      <c r="M25" s="2" t="inlineStr">
        <is>
          <t>Project-Counter/cop5</t>
        </is>
      </c>
      <c r="N25" s="2" t="inlineStr">
        <is>
          <t>yes</t>
        </is>
      </c>
      <c r="O25" s="2" t="inlineStr">
        <is>
          <t>Project-Counter/cop5</t>
        </is>
      </c>
      <c r="P25" s="2" t="inlineStr">
        <is>
          <t>GitHub</t>
        </is>
      </c>
      <c r="Q25" s="2" t="inlineStr">
        <is>
          <t>applied</t>
        </is>
      </c>
      <c r="R25" s="2" t="inlineStr">
        <is>
          <t>Restored as scoreable documentation/spec repository per resolved list; still marked as standard.</t>
        </is>
      </c>
    </row>
    <row r="26">
      <c r="A26" s="2" t="inlineStr">
        <is>
          <t>C4-025</t>
        </is>
      </c>
      <c r="B26" s="2" t="inlineStr">
        <is>
          <t>Creative Commons Licenses</t>
        </is>
      </c>
      <c r="C26" s="2" t="inlineStr">
        <is>
          <t>https://github.com/creativecommons</t>
        </is>
      </c>
      <c r="D26" s="2" t="inlineStr">
        <is>
          <t>Org URL -&gt; primary repo</t>
        </is>
      </c>
      <c r="E26" s="2" t="inlineStr">
        <is>
          <t>github</t>
        </is>
      </c>
      <c r="F26" s="2" t="inlineStr">
        <is>
          <t>creativecommons/cc-legal-tools-app</t>
        </is>
      </c>
      <c r="G26" s="2" t="inlineStr"/>
      <c r="H26" s="2" t="inlineStr"/>
      <c r="I26" s="2" t="inlineStr">
        <is>
          <t>yes</t>
        </is>
      </c>
      <c r="J26" s="2" t="inlineStr">
        <is>
          <t>software</t>
        </is>
      </c>
      <c r="K26" s="2" t="inlineStr">
        <is>
          <t>GitHub (same repo)</t>
        </is>
      </c>
      <c r="L26" s="2" t="inlineStr">
        <is>
          <t>Application that manages and publishes the licence legal code</t>
        </is>
      </c>
      <c r="M26" s="2" t="inlineStr">
        <is>
          <t>creativecommons/cc-legal-tools-app</t>
        </is>
      </c>
      <c r="N26" s="2" t="inlineStr">
        <is>
          <t>yes</t>
        </is>
      </c>
      <c r="O26" s="2" t="inlineStr">
        <is>
          <t>creativecommons/cc-legal-tools</t>
        </is>
      </c>
      <c r="P26" s="2" t="inlineStr">
        <is>
          <t>GitHub</t>
        </is>
      </c>
      <c r="Q26" s="2" t="inlineStr">
        <is>
          <t>marker_only</t>
        </is>
      </c>
      <c r="R26" s="2" t="inlineStr">
        <is>
          <t>Current scoring uses cc-legal-tools-app; resolved repo recorded as candidate.</t>
        </is>
      </c>
    </row>
    <row r="27">
      <c r="A27" s="2" t="inlineStr">
        <is>
          <t>C4-026</t>
        </is>
      </c>
      <c r="B27" s="2" t="inlineStr">
        <is>
          <t>Crossref Metadata Retrieval</t>
        </is>
      </c>
      <c r="C27" s="2" t="inlineStr">
        <is>
          <t>https://gitlab.com/crossref</t>
        </is>
      </c>
      <c r="D27" s="2" t="inlineStr">
        <is>
          <t>Non-GitHub (verify repo)</t>
        </is>
      </c>
      <c r="E27" s="2" t="inlineStr">
        <is>
          <t>gitlab</t>
        </is>
      </c>
      <c r="F27" s="2" t="inlineStr">
        <is>
          <t>https://gitlab.com/crossref/rest_api</t>
        </is>
      </c>
      <c r="G27" s="2" t="inlineStr"/>
      <c r="H27" s="2" t="inlineStr"/>
      <c r="I27" s="2" t="inlineStr">
        <is>
          <t>yes</t>
        </is>
      </c>
      <c r="J27" s="2" t="inlineStr">
        <is>
          <t>software</t>
        </is>
      </c>
      <c r="K27" s="2" t="inlineStr">
        <is>
          <t>GitLab (same project)</t>
        </is>
      </c>
      <c r="L27" s="2" t="inlineStr">
        <is>
          <t>GitLab group; REST API project path not verified from here (GitLab blocked)</t>
        </is>
      </c>
      <c r="M27" s="2" t="inlineStr"/>
      <c r="N27" s="2" t="inlineStr">
        <is>
          <t>yes</t>
        </is>
      </c>
      <c r="O27" s="2" t="inlineStr">
        <is>
          <t>https://gitlab.com/crossref/rest_api</t>
        </is>
      </c>
      <c r="P27" s="2" t="inlineStr">
        <is>
          <t>GitLab</t>
        </is>
      </c>
      <c r="Q27" s="2" t="inlineStr">
        <is>
          <t>already_current</t>
        </is>
      </c>
      <c r="R27" s="2" t="inlineStr">
        <is>
          <t>Current scoring target already matches resolved list.</t>
        </is>
      </c>
    </row>
    <row r="28">
      <c r="A28" s="2" t="inlineStr">
        <is>
          <t>C4-027</t>
        </is>
      </c>
      <c r="B28" s="2" t="inlineStr">
        <is>
          <t>D4Science Infrastructure</t>
        </is>
      </c>
      <c r="C28" s="2" t="inlineStr">
        <is>
          <t>https://code-repo.d4science.org/</t>
        </is>
      </c>
      <c r="D28" s="2" t="inlineStr">
        <is>
          <t>Non-GitHub: choose repo</t>
        </is>
      </c>
      <c r="E28" s="2" t="inlineStr">
        <is>
          <t>gitea</t>
        </is>
      </c>
      <c r="F28" s="2" t="inlineStr"/>
      <c r="G28" s="2" t="inlineStr"/>
      <c r="H28" s="2" t="inlineStr"/>
      <c r="I28" s="2" t="inlineStr">
        <is>
          <t>no</t>
        </is>
      </c>
      <c r="J28" s="2" t="inlineStr">
        <is>
          <t>needs-decision</t>
        </is>
      </c>
      <c r="K28" s="2" t="inlineStr"/>
      <c r="L28" s="2" t="inlineStr">
        <is>
          <t>Gitea root URL; D4Science is many gCube components. Pick a core repo or exclude</t>
        </is>
      </c>
      <c r="M28" s="2" t="inlineStr"/>
      <c r="N28" s="2" t="inlineStr">
        <is>
          <t>yes</t>
        </is>
      </c>
      <c r="O28" s="2" t="inlineStr">
        <is>
          <t>code-repo.d4science.org</t>
        </is>
      </c>
      <c r="P28" s="2" t="inlineStr">
        <is>
          <t>Gitea Instance</t>
        </is>
      </c>
      <c r="Q28" s="2" t="inlineStr">
        <is>
          <t>marker_only</t>
        </is>
      </c>
      <c r="R28" s="2" t="inlineStr">
        <is>
          <t>Resolved target is the host root, not a cloneable repository.</t>
        </is>
      </c>
    </row>
    <row r="29">
      <c r="A29" s="2" t="inlineStr">
        <is>
          <t>C4-028</t>
        </is>
      </c>
      <c r="B29" s="2" t="inlineStr">
        <is>
          <t>DART (Digital Archivist's Resource Tool)</t>
        </is>
      </c>
      <c r="C29" s="2" t="inlineStr">
        <is>
          <t>https://github.com/aptrust/dart/</t>
        </is>
      </c>
      <c r="D29" s="2" t="inlineStr">
        <is>
          <t>Ready</t>
        </is>
      </c>
      <c r="E29" s="2" t="inlineStr">
        <is>
          <t>github</t>
        </is>
      </c>
      <c r="F29" s="2" t="inlineStr">
        <is>
          <t>aptrust/dart</t>
        </is>
      </c>
      <c r="G29" s="2" t="inlineStr"/>
      <c r="H29" s="2" t="inlineStr"/>
      <c r="I29" s="2" t="inlineStr">
        <is>
          <t>yes</t>
        </is>
      </c>
      <c r="J29" s="2" t="inlineStr">
        <is>
          <t>software</t>
        </is>
      </c>
      <c r="K29" s="2" t="inlineStr">
        <is>
          <t>GitHub (same repo)</t>
        </is>
      </c>
      <c r="L29" s="2" t="inlineStr"/>
      <c r="M29" s="2" t="inlineStr">
        <is>
          <t>aptrust/dart</t>
        </is>
      </c>
      <c r="N29" s="2" t="inlineStr"/>
      <c r="O29" s="2" t="inlineStr"/>
      <c r="P29" s="2" t="inlineStr"/>
      <c r="Q29" s="2" t="inlineStr"/>
      <c r="R29" s="2" t="inlineStr"/>
    </row>
    <row r="30">
      <c r="A30" s="2" t="inlineStr">
        <is>
          <t>C4-029</t>
        </is>
      </c>
      <c r="B30" s="2" t="inlineStr">
        <is>
          <t>Database Information System</t>
        </is>
      </c>
      <c r="C30" s="2" t="inlineStr">
        <is>
          <t>https://github.com/ub-regensburg/dbis</t>
        </is>
      </c>
      <c r="D30" s="2" t="inlineStr">
        <is>
          <t>Keep (dormant/new)</t>
        </is>
      </c>
      <c r="E30" s="2" t="inlineStr">
        <is>
          <t>github</t>
        </is>
      </c>
      <c r="F30" s="2" t="inlineStr">
        <is>
          <t>ub-regensburg/dbis</t>
        </is>
      </c>
      <c r="G30" s="2" t="inlineStr"/>
      <c r="H30" s="2" t="inlineStr"/>
      <c r="I30" s="2" t="inlineStr">
        <is>
          <t>yes</t>
        </is>
      </c>
      <c r="J30" s="2" t="inlineStr">
        <is>
          <t>software</t>
        </is>
      </c>
      <c r="K30" s="2" t="inlineStr">
        <is>
          <t>GitHub (0 open)</t>
        </is>
      </c>
      <c r="L30" s="2" t="inlineStr">
        <is>
          <t>Only 3 commits ever; README says code is being published gradually</t>
        </is>
      </c>
      <c r="M30" s="2" t="inlineStr">
        <is>
          <t>ub-regensburg/dbis</t>
        </is>
      </c>
      <c r="N30" s="2" t="inlineStr"/>
      <c r="O30" s="2" t="inlineStr"/>
      <c r="P30" s="2" t="inlineStr"/>
      <c r="Q30" s="2" t="inlineStr"/>
      <c r="R30" s="2" t="inlineStr"/>
    </row>
    <row r="31">
      <c r="A31" s="2" t="inlineStr">
        <is>
          <t>C4-030</t>
        </is>
      </c>
      <c r="B31" s="2" t="inlineStr">
        <is>
          <t>Data Citation Corpus</t>
        </is>
      </c>
      <c r="C31" s="2" t="inlineStr">
        <is>
          <t>https://github.com/Make-Data-Count-Community/corpus-data-file</t>
        </is>
      </c>
      <c r="D31" s="2" t="inlineStr">
        <is>
          <t>Keep</t>
        </is>
      </c>
      <c r="E31" s="2" t="inlineStr">
        <is>
          <t>github</t>
        </is>
      </c>
      <c r="F31" s="2" t="inlineStr">
        <is>
          <t>Make-Data-Count-Community/corpus-data-file</t>
        </is>
      </c>
      <c r="G31" s="2" t="inlineStr"/>
      <c r="H31" s="2" t="inlineStr"/>
      <c r="I31" s="2" t="inlineStr">
        <is>
          <t>yes</t>
        </is>
      </c>
      <c r="J31" s="2" t="inlineStr">
        <is>
          <t>software</t>
        </is>
      </c>
      <c r="K31" s="2" t="inlineStr">
        <is>
          <t>GitHub (same repo)</t>
        </is>
      </c>
      <c r="L31" s="2" t="inlineStr">
        <is>
          <t>This repo is the corpus build code; low activity is a real result</t>
        </is>
      </c>
      <c r="M31" s="2" t="inlineStr">
        <is>
          <t>Make-Data-Count-Community/corpus-data-file</t>
        </is>
      </c>
      <c r="N31" s="2" t="inlineStr"/>
      <c r="O31" s="2" t="inlineStr"/>
      <c r="P31" s="2" t="inlineStr"/>
      <c r="Q31" s="2" t="inlineStr"/>
      <c r="R31" s="2" t="inlineStr"/>
    </row>
    <row r="32">
      <c r="A32" s="2" t="inlineStr">
        <is>
          <t>C4-031</t>
        </is>
      </c>
      <c r="B32" s="2" t="inlineStr">
        <is>
          <t>DataCite</t>
        </is>
      </c>
      <c r="C32" s="2" t="inlineStr">
        <is>
          <t>https://github.com/datacite</t>
        </is>
      </c>
      <c r="D32" s="2" t="inlineStr">
        <is>
          <t>Org URL -&gt; primary repo</t>
        </is>
      </c>
      <c r="E32" s="2" t="inlineStr">
        <is>
          <t>github</t>
        </is>
      </c>
      <c r="F32" s="2" t="inlineStr">
        <is>
          <t>datacite/lupo</t>
        </is>
      </c>
      <c r="G32" s="2" t="inlineStr"/>
      <c r="H32" s="2" t="inlineStr"/>
      <c r="I32" s="2" t="inlineStr">
        <is>
          <t>yes</t>
        </is>
      </c>
      <c r="J32" s="2" t="inlineStr">
        <is>
          <t>software</t>
        </is>
      </c>
      <c r="K32" s="2" t="inlineStr">
        <is>
          <t>GitHub (same repo); org-level datacite/datacite repo idle since 2024</t>
        </is>
      </c>
      <c r="L32" s="2" t="inlineStr">
        <is>
          <t>DataCite REST API</t>
        </is>
      </c>
      <c r="M32" s="2" t="inlineStr">
        <is>
          <t>datacite/lupo</t>
        </is>
      </c>
      <c r="N32" s="2" t="inlineStr">
        <is>
          <t>yes</t>
        </is>
      </c>
      <c r="O32" s="2" t="inlineStr">
        <is>
          <t>datacite/lupo</t>
        </is>
      </c>
      <c r="P32" s="2" t="inlineStr">
        <is>
          <t>GitHub</t>
        </is>
      </c>
      <c r="Q32" s="2" t="inlineStr">
        <is>
          <t>already_current</t>
        </is>
      </c>
      <c r="R32" s="2" t="inlineStr">
        <is>
          <t>Current scoring target already matches resolved list.</t>
        </is>
      </c>
    </row>
    <row r="33">
      <c r="A33" s="2" t="inlineStr">
        <is>
          <t>C4-032</t>
        </is>
      </c>
      <c r="B33" s="2" t="inlineStr">
        <is>
          <t>Data Stewardship Wizard</t>
        </is>
      </c>
      <c r="C33" s="2" t="inlineStr">
        <is>
          <t>https://github.com/ds-wizard</t>
        </is>
      </c>
      <c r="D33" s="2" t="inlineStr">
        <is>
          <t>Org URL -&gt; product set</t>
        </is>
      </c>
      <c r="E33" s="2" t="inlineStr">
        <is>
          <t>github</t>
        </is>
      </c>
      <c r="F33" s="2" t="inlineStr">
        <is>
          <t>ds-wizard/engine-backend;ds-wizard/engine-frontend</t>
        </is>
      </c>
      <c r="G33" s="2" t="inlineStr"/>
      <c r="H33" s="2" t="inlineStr"/>
      <c r="I33" s="2" t="inlineStr">
        <is>
          <t>yes</t>
        </is>
      </c>
      <c r="J33" s="2" t="inlineStr">
        <is>
          <t>software</t>
        </is>
      </c>
      <c r="K33" s="2" t="inlineStr">
        <is>
          <t>GitHub: ds-wizard/ds-wizard (bug reports); ideas.ds-wizard.org for features</t>
        </is>
      </c>
      <c r="L33" s="2" t="inlineStr">
        <is>
          <t>Application = backend + frontend</t>
        </is>
      </c>
      <c r="M33" s="2" t="inlineStr">
        <is>
          <t>ds-wizard/ds-wizard</t>
        </is>
      </c>
      <c r="N33" s="2" t="inlineStr">
        <is>
          <t>yes</t>
        </is>
      </c>
      <c r="O33" s="2" t="inlineStr">
        <is>
          <t>ds-wizard/wizard-server</t>
        </is>
      </c>
      <c r="P33" s="2" t="inlineStr">
        <is>
          <t>GitHub</t>
        </is>
      </c>
      <c r="Q33" s="2" t="inlineStr">
        <is>
          <t>marker_only</t>
        </is>
      </c>
      <c r="R33" s="2" t="inlineStr">
        <is>
          <t>Current scoring uses backend + frontend product set; single server repo recorded as candidate.</t>
        </is>
      </c>
    </row>
    <row r="34">
      <c r="A34" s="2" t="inlineStr">
        <is>
          <t>C4-033</t>
        </is>
      </c>
      <c r="B34" s="2" t="inlineStr">
        <is>
          <t>Dataverse</t>
        </is>
      </c>
      <c r="C34" s="2" t="inlineStr">
        <is>
          <t>https://github.com/IQSS/dataverse</t>
        </is>
      </c>
      <c r="D34" s="2" t="inlineStr">
        <is>
          <t>Ready</t>
        </is>
      </c>
      <c r="E34" s="2" t="inlineStr">
        <is>
          <t>github</t>
        </is>
      </c>
      <c r="F34" s="2" t="inlineStr">
        <is>
          <t>IQSS/dataverse</t>
        </is>
      </c>
      <c r="G34" s="2" t="inlineStr"/>
      <c r="H34" s="2" t="inlineStr"/>
      <c r="I34" s="2" t="inlineStr">
        <is>
          <t>yes</t>
        </is>
      </c>
      <c r="J34" s="2" t="inlineStr">
        <is>
          <t>software</t>
        </is>
      </c>
      <c r="K34" s="2" t="inlineStr">
        <is>
          <t>GitHub (same repo)</t>
        </is>
      </c>
      <c r="L34" s="2" t="inlineStr"/>
      <c r="M34" s="2" t="inlineStr">
        <is>
          <t>IQSS/dataverse</t>
        </is>
      </c>
      <c r="N34" s="2" t="inlineStr"/>
      <c r="O34" s="2" t="inlineStr"/>
      <c r="P34" s="2" t="inlineStr"/>
      <c r="Q34" s="2" t="inlineStr"/>
      <c r="R34" s="2" t="inlineStr"/>
    </row>
    <row r="35">
      <c r="A35" s="2" t="inlineStr">
        <is>
          <t>C4-034</t>
        </is>
      </c>
      <c r="B35" s="2" t="inlineStr">
        <is>
          <t>DLCM Backend</t>
        </is>
      </c>
      <c r="C35" s="2" t="inlineStr">
        <is>
          <t>https://gitlab.unige.ch/dlcm/community/dlcm-backend</t>
        </is>
      </c>
      <c r="D35" s="2" t="inlineStr">
        <is>
          <t>Non-GitHub</t>
        </is>
      </c>
      <c r="E35" s="2" t="inlineStr">
        <is>
          <t>gitlab</t>
        </is>
      </c>
      <c r="F35" s="2" t="inlineStr">
        <is>
          <t>https://gitlab.unige.ch/dlcm/community/dlcm-backend</t>
        </is>
      </c>
      <c r="G35" s="2" t="inlineStr"/>
      <c r="H35" s="2" t="inlineStr"/>
      <c r="I35" s="2" t="inlineStr">
        <is>
          <t>yes</t>
        </is>
      </c>
      <c r="J35" s="2" t="inlineStr">
        <is>
          <t>software</t>
        </is>
      </c>
      <c r="K35" s="2" t="inlineStr">
        <is>
          <t>GitLab (same project)</t>
        </is>
      </c>
      <c r="L35" s="2" t="inlineStr">
        <is>
          <t>GitLab</t>
        </is>
      </c>
      <c r="M35" s="2" t="inlineStr"/>
      <c r="N35" s="2" t="inlineStr">
        <is>
          <t>yes</t>
        </is>
      </c>
      <c r="O35" s="2" t="inlineStr">
        <is>
          <t>https://gitlab.unige.ch/dlcm/community/dlcm-backend</t>
        </is>
      </c>
      <c r="P35" s="2" t="inlineStr">
        <is>
          <t>GitLab (UNIGE)</t>
        </is>
      </c>
      <c r="Q35" s="2" t="inlineStr">
        <is>
          <t>already_current</t>
        </is>
      </c>
      <c r="R35" s="2" t="inlineStr">
        <is>
          <t>Current scoring target already matches resolved list.</t>
        </is>
      </c>
    </row>
    <row r="36">
      <c r="A36" s="2" t="inlineStr">
        <is>
          <t>C4-035</t>
        </is>
      </c>
      <c r="B36" s="2" t="inlineStr">
        <is>
          <t>DLCM Portal</t>
        </is>
      </c>
      <c r="C36" s="2" t="inlineStr">
        <is>
          <t>https://gitlab.unige.ch/dlcm/ui/dlcm-portal</t>
        </is>
      </c>
      <c r="D36" s="2" t="inlineStr">
        <is>
          <t>Non-GitHub</t>
        </is>
      </c>
      <c r="E36" s="2" t="inlineStr">
        <is>
          <t>gitlab</t>
        </is>
      </c>
      <c r="F36" s="2" t="inlineStr">
        <is>
          <t>https://gitlab.unige.ch/dlcm/ui/dlcm-portal</t>
        </is>
      </c>
      <c r="G36" s="2" t="inlineStr"/>
      <c r="H36" s="2" t="inlineStr"/>
      <c r="I36" s="2" t="inlineStr">
        <is>
          <t>yes</t>
        </is>
      </c>
      <c r="J36" s="2" t="inlineStr">
        <is>
          <t>software</t>
        </is>
      </c>
      <c r="K36" s="2" t="inlineStr">
        <is>
          <t>GitLab (same project)</t>
        </is>
      </c>
      <c r="L36" s="2" t="inlineStr">
        <is>
          <t>GitLab</t>
        </is>
      </c>
      <c r="M36" s="2" t="inlineStr"/>
      <c r="N36" s="2" t="inlineStr">
        <is>
          <t>yes</t>
        </is>
      </c>
      <c r="O36" s="2" t="inlineStr">
        <is>
          <t>https://gitlab.unige.ch/dlcm/ui/dlcm-portal</t>
        </is>
      </c>
      <c r="P36" s="2" t="inlineStr">
        <is>
          <t>GitLab (UNIGE)</t>
        </is>
      </c>
      <c r="Q36" s="2" t="inlineStr">
        <is>
          <t>already_current</t>
        </is>
      </c>
      <c r="R36" s="2" t="inlineStr">
        <is>
          <t>Current scoring target already matches resolved list.</t>
        </is>
      </c>
    </row>
    <row r="37">
      <c r="A37" s="2" t="inlineStr">
        <is>
          <t>C4-036</t>
        </is>
      </c>
      <c r="B37" s="2" t="inlineStr">
        <is>
          <t>DMP Tool</t>
        </is>
      </c>
      <c r="C37" s="2" t="inlineStr">
        <is>
          <t>https://github.com/cdluc3/dmptool/wiki</t>
        </is>
      </c>
      <c r="D37" s="2" t="inlineStr">
        <is>
          <t>Replace URL (verify)</t>
        </is>
      </c>
      <c r="E37" s="2" t="inlineStr">
        <is>
          <t>github</t>
        </is>
      </c>
      <c r="F37" s="2" t="inlineStr">
        <is>
          <t>CDLUC3/dmsp_frontend_prototype;CDLUC3/dmsp_backend_prototype</t>
        </is>
      </c>
      <c r="G37" s="2" t="inlineStr"/>
      <c r="H37" s="2" t="inlineStr"/>
      <c r="I37" s="2" t="inlineStr">
        <is>
          <t>yes</t>
        </is>
      </c>
      <c r="J37" s="2" t="inlineStr">
        <is>
          <t>software</t>
        </is>
      </c>
      <c r="K37" s="2" t="inlineStr">
        <is>
          <t>GitHub (frontend repo; backend issues filed there too)</t>
        </is>
      </c>
      <c r="L37" s="2" t="inlineStr">
        <is>
          <t>Rebuilt DMP Tool (front + back end, 1,223 human commits in window); legacy cdluc3/dmptool is near idle. Confirm with CDL that these are the production codebase</t>
        </is>
      </c>
      <c r="M37" s="2" t="inlineStr">
        <is>
          <t>CDLUC3/dmsp_frontend_prototype</t>
        </is>
      </c>
      <c r="N37" s="2" t="inlineStr"/>
      <c r="O37" s="2" t="inlineStr"/>
      <c r="P37" s="2" t="inlineStr"/>
      <c r="Q37" s="2" t="inlineStr"/>
      <c r="R37" s="2" t="inlineStr"/>
    </row>
    <row r="38">
      <c r="A38" s="2" t="inlineStr">
        <is>
          <t>C4-037</t>
        </is>
      </c>
      <c r="B38" s="2" t="inlineStr">
        <is>
          <t>DOAJ (Directory of Open Access Journals)</t>
        </is>
      </c>
      <c r="C38" s="2" t="inlineStr">
        <is>
          <t>https://github.com/DOAJ</t>
        </is>
      </c>
      <c r="D38" s="2" t="inlineStr">
        <is>
          <t>Org URL -&gt; primary repo</t>
        </is>
      </c>
      <c r="E38" s="2" t="inlineStr">
        <is>
          <t>github</t>
        </is>
      </c>
      <c r="F38" s="2" t="inlineStr">
        <is>
          <t>DOAJ/doaj</t>
        </is>
      </c>
      <c r="G38" s="2" t="inlineStr"/>
      <c r="H38" s="2" t="inlineStr"/>
      <c r="I38" s="2" t="inlineStr">
        <is>
          <t>yes</t>
        </is>
      </c>
      <c r="J38" s="2" t="inlineStr">
        <is>
          <t>software</t>
        </is>
      </c>
      <c r="K38" s="2" t="inlineStr">
        <is>
          <t>GitHub, barely used (1 open) - verify internal tracker</t>
        </is>
      </c>
      <c r="L38" s="2" t="inlineStr">
        <is>
          <t>DOAJ website and directory software</t>
        </is>
      </c>
      <c r="M38" s="2" t="inlineStr">
        <is>
          <t>DOAJ/doaj</t>
        </is>
      </c>
      <c r="N38" s="2" t="inlineStr">
        <is>
          <t>yes</t>
        </is>
      </c>
      <c r="O38" s="2" t="inlineStr">
        <is>
          <t>DOAJ/doaj</t>
        </is>
      </c>
      <c r="P38" s="2" t="inlineStr">
        <is>
          <t>GitHub</t>
        </is>
      </c>
      <c r="Q38" s="2" t="inlineStr">
        <is>
          <t>already_current</t>
        </is>
      </c>
      <c r="R38" s="2" t="inlineStr">
        <is>
          <t>Current scoring target already matches resolved list.</t>
        </is>
      </c>
    </row>
    <row r="39">
      <c r="A39" s="2" t="inlineStr">
        <is>
          <t>C4-038</t>
        </is>
      </c>
      <c r="B39" s="2" t="inlineStr">
        <is>
          <t>dokieli</t>
        </is>
      </c>
      <c r="C39" s="2" t="inlineStr">
        <is>
          <t>https://github.com/linkeddata/dokieli</t>
        </is>
      </c>
      <c r="D39" s="2" t="inlineStr">
        <is>
          <t>Ready</t>
        </is>
      </c>
      <c r="E39" s="2" t="inlineStr">
        <is>
          <t>github</t>
        </is>
      </c>
      <c r="F39" s="2" t="inlineStr">
        <is>
          <t>linkeddata/dokieli</t>
        </is>
      </c>
      <c r="G39" s="2" t="inlineStr"/>
      <c r="H39" s="2" t="inlineStr"/>
      <c r="I39" s="2" t="inlineStr">
        <is>
          <t>yes</t>
        </is>
      </c>
      <c r="J39" s="2" t="inlineStr">
        <is>
          <t>software</t>
        </is>
      </c>
      <c r="K39" s="2" t="inlineStr">
        <is>
          <t>GitHub (same repo)</t>
        </is>
      </c>
      <c r="L39" s="2" t="inlineStr"/>
      <c r="M39" s="2" t="inlineStr">
        <is>
          <t>linkeddata/dokieli</t>
        </is>
      </c>
      <c r="N39" s="2" t="inlineStr"/>
      <c r="O39" s="2" t="inlineStr"/>
      <c r="P39" s="2" t="inlineStr"/>
      <c r="Q39" s="2" t="inlineStr"/>
      <c r="R39" s="2" t="inlineStr"/>
    </row>
    <row r="40">
      <c r="A40" s="2" t="inlineStr">
        <is>
          <t>C4-039</t>
        </is>
      </c>
      <c r="B40" s="2" t="inlineStr">
        <is>
          <t>Dryad</t>
        </is>
      </c>
      <c r="C40" s="2" t="inlineStr">
        <is>
          <t>https://github.com/CDL-Dryad/dryad-app</t>
        </is>
      </c>
      <c r="D40" s="2" t="inlineStr">
        <is>
          <t>Replace URL</t>
        </is>
      </c>
      <c r="E40" s="2" t="inlineStr">
        <is>
          <t>github</t>
        </is>
      </c>
      <c r="F40" s="2" t="inlineStr">
        <is>
          <t>datadryad/dryad-app</t>
        </is>
      </c>
      <c r="G40" s="2" t="inlineStr"/>
      <c r="H40" s="2" t="inlineStr"/>
      <c r="I40" s="2" t="inlineStr">
        <is>
          <t>yes</t>
        </is>
      </c>
      <c r="J40" s="2" t="inlineStr">
        <is>
          <t>software</t>
        </is>
      </c>
      <c r="K40" s="2" t="inlineStr">
        <is>
          <t>GitHub Issues show 0 open - verify where Dryad tracks issues</t>
        </is>
      </c>
      <c r="L40" s="2" t="inlineStr">
        <is>
          <t>CDL-Dryad copy idle since Apr 2024; active repo is datadryad/dryad-app</t>
        </is>
      </c>
      <c r="M40" s="2" t="inlineStr">
        <is>
          <t>datadryad/dryad-app</t>
        </is>
      </c>
      <c r="N40" s="2" t="inlineStr"/>
      <c r="O40" s="2" t="inlineStr"/>
      <c r="P40" s="2" t="inlineStr"/>
      <c r="Q40" s="2" t="inlineStr"/>
      <c r="R40" s="2" t="inlineStr"/>
    </row>
    <row r="41">
      <c r="A41" s="2" t="inlineStr">
        <is>
          <t>C4-040</t>
        </is>
      </c>
      <c r="B41" s="2" t="inlineStr">
        <is>
          <t>DSpace</t>
        </is>
      </c>
      <c r="C41" s="2" t="inlineStr">
        <is>
          <t>https://github.com/DSpace/DSpace</t>
        </is>
      </c>
      <c r="D41" s="2" t="inlineStr">
        <is>
          <t>Ready</t>
        </is>
      </c>
      <c r="E41" s="2" t="inlineStr">
        <is>
          <t>github</t>
        </is>
      </c>
      <c r="F41" s="2" t="inlineStr">
        <is>
          <t>DSpace/DSpace</t>
        </is>
      </c>
      <c r="G41" s="2" t="inlineStr"/>
      <c r="H41" s="2" t="inlineStr"/>
      <c r="I41" s="2" t="inlineStr">
        <is>
          <t>yes</t>
        </is>
      </c>
      <c r="J41" s="2" t="inlineStr">
        <is>
          <t>software</t>
        </is>
      </c>
      <c r="K41" s="2" t="inlineStr">
        <is>
          <t>GitHub (DSpace/DSpace + DSpace/dspace-angular)</t>
        </is>
      </c>
      <c r="L41" s="2" t="inlineStr"/>
      <c r="M41" s="2" t="inlineStr">
        <is>
          <t>DSpace/DSpace</t>
        </is>
      </c>
      <c r="N41" s="2" t="inlineStr"/>
      <c r="O41" s="2" t="inlineStr"/>
      <c r="P41" s="2" t="inlineStr"/>
      <c r="Q41" s="2" t="inlineStr"/>
      <c r="R41" s="2" t="inlineStr"/>
    </row>
    <row r="42">
      <c r="A42" s="2" t="inlineStr">
        <is>
          <t>C4-041</t>
        </is>
      </c>
      <c r="B42" s="2" t="inlineStr">
        <is>
          <t>DuraCloud</t>
        </is>
      </c>
      <c r="C42" s="2" t="inlineStr">
        <is>
          <t>https://github.com/duracloud/duracloud</t>
        </is>
      </c>
      <c r="D42" s="2" t="inlineStr">
        <is>
          <t>Ready</t>
        </is>
      </c>
      <c r="E42" s="2" t="inlineStr">
        <is>
          <t>github</t>
        </is>
      </c>
      <c r="F42" s="2" t="inlineStr">
        <is>
          <t>duracloud/duracloud</t>
        </is>
      </c>
      <c r="G42" s="2" t="inlineStr"/>
      <c r="H42" s="2" t="inlineStr"/>
      <c r="I42" s="2" t="inlineStr">
        <is>
          <t>yes</t>
        </is>
      </c>
      <c r="J42" s="2" t="inlineStr">
        <is>
          <t>software</t>
        </is>
      </c>
      <c r="K42" s="2" t="inlineStr">
        <is>
          <t>GitHub (same repo)</t>
        </is>
      </c>
      <c r="L42" s="2" t="inlineStr"/>
      <c r="M42" s="2" t="inlineStr">
        <is>
          <t>duracloud/duracloud</t>
        </is>
      </c>
      <c r="N42" s="2" t="inlineStr"/>
      <c r="O42" s="2" t="inlineStr"/>
      <c r="P42" s="2" t="inlineStr"/>
      <c r="Q42" s="2" t="inlineStr"/>
      <c r="R42" s="2" t="inlineStr"/>
    </row>
    <row r="43">
      <c r="A43" s="2" t="inlineStr">
        <is>
          <t>C4-042</t>
        </is>
      </c>
      <c r="B43" s="2" t="inlineStr">
        <is>
          <t>Episciences</t>
        </is>
      </c>
      <c r="C43" s="2" t="inlineStr">
        <is>
          <t>https://github.com/CCSDForge/episciences</t>
        </is>
      </c>
      <c r="D43" s="2" t="inlineStr">
        <is>
          <t>Ready</t>
        </is>
      </c>
      <c r="E43" s="2" t="inlineStr">
        <is>
          <t>github</t>
        </is>
      </c>
      <c r="F43" s="2" t="inlineStr">
        <is>
          <t>CCSDForge/episciences</t>
        </is>
      </c>
      <c r="G43" s="2" t="inlineStr"/>
      <c r="H43" s="2" t="inlineStr"/>
      <c r="I43" s="2" t="inlineStr">
        <is>
          <t>yes</t>
        </is>
      </c>
      <c r="J43" s="2" t="inlineStr">
        <is>
          <t>software</t>
        </is>
      </c>
      <c r="K43" s="2" t="inlineStr">
        <is>
          <t>GitHub (same repo)</t>
        </is>
      </c>
      <c r="L43" s="2" t="inlineStr"/>
      <c r="M43" s="2" t="inlineStr">
        <is>
          <t>CCSDForge/episciences</t>
        </is>
      </c>
      <c r="N43" s="2" t="inlineStr"/>
      <c r="O43" s="2" t="inlineStr"/>
      <c r="P43" s="2" t="inlineStr"/>
      <c r="Q43" s="2" t="inlineStr"/>
      <c r="R43" s="2" t="inlineStr"/>
    </row>
    <row r="44">
      <c r="A44" s="2" t="inlineStr">
        <is>
          <t>C4-043</t>
        </is>
      </c>
      <c r="B44" s="2" t="inlineStr">
        <is>
          <t>EPrints</t>
        </is>
      </c>
      <c r="C44" s="2" t="inlineStr">
        <is>
          <t>https://github.com/eprints/eprints3.4</t>
        </is>
      </c>
      <c r="D44" s="2" t="inlineStr">
        <is>
          <t>Ready</t>
        </is>
      </c>
      <c r="E44" s="2" t="inlineStr">
        <is>
          <t>github</t>
        </is>
      </c>
      <c r="F44" s="2" t="inlineStr">
        <is>
          <t>eprints/eprints3.4</t>
        </is>
      </c>
      <c r="G44" s="2" t="inlineStr"/>
      <c r="H44" s="2" t="inlineStr"/>
      <c r="I44" s="2" t="inlineStr">
        <is>
          <t>yes</t>
        </is>
      </c>
      <c r="J44" s="2" t="inlineStr">
        <is>
          <t>software</t>
        </is>
      </c>
      <c r="K44" s="2" t="inlineStr">
        <is>
          <t>GitHub (same repo)</t>
        </is>
      </c>
      <c r="L44" s="2" t="inlineStr"/>
      <c r="M44" s="2" t="inlineStr">
        <is>
          <t>eprints/eprints3.4</t>
        </is>
      </c>
      <c r="N44" s="2" t="inlineStr"/>
      <c r="O44" s="2" t="inlineStr"/>
      <c r="P44" s="2" t="inlineStr"/>
      <c r="Q44" s="2" t="inlineStr"/>
      <c r="R44" s="2" t="inlineStr"/>
    </row>
    <row r="45">
      <c r="A45" s="2" t="inlineStr">
        <is>
          <t>C4-044</t>
        </is>
      </c>
      <c r="B45" s="2" t="inlineStr">
        <is>
          <t>Érudit</t>
        </is>
      </c>
      <c r="C45" s="2" t="inlineStr">
        <is>
          <t>https://github.com/erudit/eruditorg</t>
        </is>
      </c>
      <c r="D45" s="2" t="inlineStr">
        <is>
          <t>Replace URL (GitLab)</t>
        </is>
      </c>
      <c r="E45" s="2" t="inlineStr">
        <is>
          <t>gitlab</t>
        </is>
      </c>
      <c r="F45" s="2" t="inlineStr">
        <is>
          <t>https://gitlab.erudit.org/erudit/portail/eruditorg</t>
        </is>
      </c>
      <c r="G45" s="2" t="inlineStr"/>
      <c r="H45" s="2" t="inlineStr"/>
      <c r="I45" s="2" t="inlineStr">
        <is>
          <t>yes</t>
        </is>
      </c>
      <c r="J45" s="2" t="inlineStr">
        <is>
          <t>software</t>
        </is>
      </c>
      <c r="K45" s="2" t="inlineStr">
        <is>
          <t>GitLab (gitlab.erudit.org) - GitHub copy is a mirror</t>
        </is>
      </c>
      <c r="L45" s="2" t="inlineStr">
        <is>
          <t>GitHub copy is a stale mirror; development is on gitlab.erudit.org (activity not verifiable from here)</t>
        </is>
      </c>
      <c r="M45" s="2" t="inlineStr"/>
      <c r="N45" s="2" t="inlineStr"/>
      <c r="O45" s="2" t="inlineStr"/>
      <c r="P45" s="2" t="inlineStr"/>
      <c r="Q45" s="2" t="inlineStr"/>
      <c r="R45" s="2" t="inlineStr"/>
    </row>
    <row r="46">
      <c r="A46" s="2" t="inlineStr">
        <is>
          <t>C4-045</t>
        </is>
      </c>
      <c r="B46" s="2" t="inlineStr">
        <is>
          <t>Europe PMC</t>
        </is>
      </c>
      <c r="C46" s="2" t="inlineStr">
        <is>
          <t>https://github.com/EuropePMC/EuropePMC-Annotation-Validator</t>
        </is>
      </c>
      <c r="D46" s="2" t="inlineStr">
        <is>
          <t>Not assessable (verify)</t>
        </is>
      </c>
      <c r="E46" s="2" t="inlineStr"/>
      <c r="F46" s="2" t="inlineStr"/>
      <c r="G46" s="2" t="inlineStr"/>
      <c r="H46" s="2" t="inlineStr"/>
      <c r="I46" s="2" t="inlineStr">
        <is>
          <t>no</t>
        </is>
      </c>
      <c r="J46" s="2" t="inlineStr">
        <is>
          <t>not-assessable</t>
        </is>
      </c>
      <c r="K46" s="2" t="inlineStr"/>
      <c r="L46" s="2" t="inlineStr">
        <is>
          <t>Listed repo is a minor validator with no commits in window; no core platform repo found (not fully verified)</t>
        </is>
      </c>
      <c r="M46" s="2" t="inlineStr"/>
      <c r="N46" s="2" t="inlineStr"/>
      <c r="O46" s="2" t="inlineStr"/>
      <c r="P46" s="2" t="inlineStr"/>
      <c r="Q46" s="2" t="inlineStr"/>
      <c r="R46" s="2" t="inlineStr"/>
    </row>
    <row r="47">
      <c r="A47" s="2" t="inlineStr">
        <is>
          <t>C4-046</t>
        </is>
      </c>
      <c r="B47" s="2" t="inlineStr">
        <is>
          <t>FAIR Wizard</t>
        </is>
      </c>
      <c r="C47" s="2" t="inlineStr">
        <is>
          <t>https://github.com/fair-wizard</t>
        </is>
      </c>
      <c r="D47" s="2" t="inlineStr">
        <is>
          <t>Resolved URL</t>
        </is>
      </c>
      <c r="E47" s="2" t="inlineStr">
        <is>
          <t>github</t>
        </is>
      </c>
      <c r="F47" s="2" t="inlineStr">
        <is>
          <t>fair-wizard/fair-wizard-integration-sdk</t>
        </is>
      </c>
      <c r="G47" s="2" t="inlineStr"/>
      <c r="H47" s="2" t="inlineStr"/>
      <c r="I47" s="2" t="inlineStr">
        <is>
          <t>yes</t>
        </is>
      </c>
      <c r="J47" s="2" t="inlineStr">
        <is>
          <t>software</t>
        </is>
      </c>
      <c r="K47" s="2" t="inlineStr">
        <is>
          <t>GitHub (same repo)</t>
        </is>
      </c>
      <c r="L47" s="2" t="inlineStr">
        <is>
          <t>FAIR Wizard is a distribution of the DSW codebase; its own org has 3 small adapter repos. Report the DSW score | Restored from duplicate exclusion using resolved GitHub repository.</t>
        </is>
      </c>
      <c r="M47" s="2" t="inlineStr">
        <is>
          <t>fair-wizard/fair-wizard-integration-sdk</t>
        </is>
      </c>
      <c r="N47" s="2" t="inlineStr">
        <is>
          <t>yes</t>
        </is>
      </c>
      <c r="O47" s="2" t="inlineStr">
        <is>
          <t>fair-wizard/fair-wizard-integration-sdk</t>
        </is>
      </c>
      <c r="P47" s="2" t="inlineStr">
        <is>
          <t>GitHub</t>
        </is>
      </c>
      <c r="Q47" s="2" t="inlineStr">
        <is>
          <t>applied</t>
        </is>
      </c>
      <c r="R47" s="2" t="inlineStr">
        <is>
          <t>Restored from duplicate exclusion using resolved GitHub repository.</t>
        </is>
      </c>
    </row>
    <row r="48">
      <c r="A48" s="2" t="inlineStr">
        <is>
          <t>C4-047</t>
        </is>
      </c>
      <c r="B48" s="2" t="inlineStr">
        <is>
          <t>Fedora</t>
        </is>
      </c>
      <c r="C48" s="2" t="inlineStr">
        <is>
          <t>https://github.com/fcrepo/fcrepo</t>
        </is>
      </c>
      <c r="D48" s="2" t="inlineStr">
        <is>
          <t>Ready</t>
        </is>
      </c>
      <c r="E48" s="2" t="inlineStr">
        <is>
          <t>github</t>
        </is>
      </c>
      <c r="F48" s="2" t="inlineStr">
        <is>
          <t>fcrepo/fcrepo</t>
        </is>
      </c>
      <c r="G48" s="2" t="inlineStr"/>
      <c r="H48" s="2" t="inlineStr"/>
      <c r="I48" s="2" t="inlineStr">
        <is>
          <t>yes</t>
        </is>
      </c>
      <c r="J48" s="2" t="inlineStr">
        <is>
          <t>software</t>
        </is>
      </c>
      <c r="K48" s="2" t="inlineStr">
        <is>
          <t>GitHub (5 open) - Fedora historically used Jira; verify</t>
        </is>
      </c>
      <c r="L48" s="2" t="inlineStr"/>
      <c r="M48" s="2" t="inlineStr">
        <is>
          <t>fcrepo/fcrepo</t>
        </is>
      </c>
      <c r="N48" s="2" t="inlineStr"/>
      <c r="O48" s="2" t="inlineStr"/>
      <c r="P48" s="2" t="inlineStr"/>
      <c r="Q48" s="2" t="inlineStr"/>
      <c r="R48" s="2" t="inlineStr"/>
    </row>
    <row r="49">
      <c r="A49" s="2" t="inlineStr">
        <is>
          <t>C4-048</t>
        </is>
      </c>
      <c r="B49" s="2" t="inlineStr">
        <is>
          <t>fido</t>
        </is>
      </c>
      <c r="C49" s="2" t="inlineStr">
        <is>
          <t>https://github.com/openpreserve/fido</t>
        </is>
      </c>
      <c r="D49" s="2" t="inlineStr">
        <is>
          <t>Ready</t>
        </is>
      </c>
      <c r="E49" s="2" t="inlineStr">
        <is>
          <t>github</t>
        </is>
      </c>
      <c r="F49" s="2" t="inlineStr">
        <is>
          <t>openpreserve/fido</t>
        </is>
      </c>
      <c r="G49" s="2" t="inlineStr"/>
      <c r="H49" s="2" t="inlineStr"/>
      <c r="I49" s="2" t="inlineStr">
        <is>
          <t>yes</t>
        </is>
      </c>
      <c r="J49" s="2" t="inlineStr">
        <is>
          <t>software</t>
        </is>
      </c>
      <c r="K49" s="2" t="inlineStr">
        <is>
          <t>GitHub (same repo)</t>
        </is>
      </c>
      <c r="L49" s="2" t="inlineStr"/>
      <c r="M49" s="2" t="inlineStr">
        <is>
          <t>openpreserve/fido</t>
        </is>
      </c>
      <c r="N49" s="2" t="inlineStr"/>
      <c r="O49" s="2" t="inlineStr"/>
      <c r="P49" s="2" t="inlineStr"/>
      <c r="Q49" s="2" t="inlineStr"/>
      <c r="R49" s="2" t="inlineStr"/>
    </row>
    <row r="50">
      <c r="A50" s="2" t="inlineStr">
        <is>
          <t>C4-049</t>
        </is>
      </c>
      <c r="B50" s="2" t="inlineStr">
        <is>
          <t>Fulcrum</t>
        </is>
      </c>
      <c r="C50" s="2" t="inlineStr">
        <is>
          <t>https://github.com/mlibrary/heliotrope</t>
        </is>
      </c>
      <c r="D50" s="2" t="inlineStr">
        <is>
          <t>Ready</t>
        </is>
      </c>
      <c r="E50" s="2" t="inlineStr">
        <is>
          <t>github</t>
        </is>
      </c>
      <c r="F50" s="2" t="inlineStr">
        <is>
          <t>mlibrary/heliotrope</t>
        </is>
      </c>
      <c r="G50" s="2" t="inlineStr"/>
      <c r="H50" s="2" t="inlineStr"/>
      <c r="I50" s="2" t="inlineStr">
        <is>
          <t>yes</t>
        </is>
      </c>
      <c r="J50" s="2" t="inlineStr">
        <is>
          <t>software</t>
        </is>
      </c>
      <c r="K50" s="2" t="inlineStr">
        <is>
          <t>Jira (tools.lib.umich.edu/jira/projects/HELIO) + GitHub</t>
        </is>
      </c>
      <c r="L50" s="2" t="inlineStr"/>
      <c r="M50" s="2" t="inlineStr">
        <is>
          <t>mlibrary/heliotrope</t>
        </is>
      </c>
      <c r="N50" s="2" t="inlineStr"/>
      <c r="O50" s="2" t="inlineStr"/>
      <c r="P50" s="2" t="inlineStr"/>
      <c r="Q50" s="2" t="inlineStr"/>
      <c r="R50" s="2" t="inlineStr"/>
    </row>
    <row r="51">
      <c r="A51" s="2" t="inlineStr">
        <is>
          <t>C4-050</t>
        </is>
      </c>
      <c r="B51" s="2" t="inlineStr">
        <is>
          <t>Galaxy</t>
        </is>
      </c>
      <c r="C51" s="2" t="inlineStr">
        <is>
          <t>https://github.com/galaxyproject/galaxy</t>
        </is>
      </c>
      <c r="D51" s="2" t="inlineStr">
        <is>
          <t>Ready</t>
        </is>
      </c>
      <c r="E51" s="2" t="inlineStr">
        <is>
          <t>github</t>
        </is>
      </c>
      <c r="F51" s="2" t="inlineStr">
        <is>
          <t>galaxyproject/galaxy</t>
        </is>
      </c>
      <c r="G51" s="2" t="inlineStr"/>
      <c r="H51" s="2" t="inlineStr"/>
      <c r="I51" s="2" t="inlineStr">
        <is>
          <t>yes</t>
        </is>
      </c>
      <c r="J51" s="2" t="inlineStr">
        <is>
          <t>software</t>
        </is>
      </c>
      <c r="K51" s="2" t="inlineStr">
        <is>
          <t>GitHub (same repo)</t>
        </is>
      </c>
      <c r="L51" s="2" t="inlineStr"/>
      <c r="M51" s="2" t="inlineStr">
        <is>
          <t>galaxyproject/galaxy</t>
        </is>
      </c>
      <c r="N51" s="2" t="inlineStr"/>
      <c r="O51" s="2" t="inlineStr"/>
      <c r="P51" s="2" t="inlineStr"/>
      <c r="Q51" s="2" t="inlineStr"/>
      <c r="R51" s="2" t="inlineStr"/>
    </row>
    <row r="52">
      <c r="A52" s="2" t="inlineStr">
        <is>
          <t>C4-051</t>
        </is>
      </c>
      <c r="B52" s="2" t="inlineStr">
        <is>
          <t>GeoServer</t>
        </is>
      </c>
      <c r="C52" s="2" t="inlineStr">
        <is>
          <t>https://github.com/geoserver/geoserver</t>
        </is>
      </c>
      <c r="D52" s="2" t="inlineStr">
        <is>
          <t>Ready</t>
        </is>
      </c>
      <c r="E52" s="2" t="inlineStr">
        <is>
          <t>github</t>
        </is>
      </c>
      <c r="F52" s="2" t="inlineStr">
        <is>
          <t>geoserver/geoserver</t>
        </is>
      </c>
      <c r="G52" s="2" t="inlineStr"/>
      <c r="H52" s="2" t="inlineStr"/>
      <c r="I52" s="2" t="inlineStr">
        <is>
          <t>yes</t>
        </is>
      </c>
      <c r="J52" s="2" t="inlineStr">
        <is>
          <t>software</t>
        </is>
      </c>
      <c r="K52" s="2" t="inlineStr">
        <is>
          <t>Jira (osgeo-org.atlassian.net/projects/GEOS)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</row>
    <row r="53">
      <c r="A53" s="2" t="inlineStr">
        <is>
          <t>C4-052</t>
        </is>
      </c>
      <c r="B53" s="2" t="inlineStr">
        <is>
          <t>Hyku</t>
        </is>
      </c>
      <c r="C53" s="2" t="inlineStr">
        <is>
          <t>https://github.com/samvera/hyku</t>
        </is>
      </c>
      <c r="D53" s="2" t="inlineStr">
        <is>
          <t>Ready</t>
        </is>
      </c>
      <c r="E53" s="2" t="inlineStr">
        <is>
          <t>github</t>
        </is>
      </c>
      <c r="F53" s="2" t="inlineStr">
        <is>
          <t>samvera/hyku</t>
        </is>
      </c>
      <c r="G53" s="2" t="inlineStr"/>
      <c r="H53" s="2" t="inlineStr"/>
      <c r="I53" s="2" t="inlineStr">
        <is>
          <t>yes</t>
        </is>
      </c>
      <c r="J53" s="2" t="inlineStr">
        <is>
          <t>software</t>
        </is>
      </c>
      <c r="K53" s="2" t="inlineStr">
        <is>
          <t>GitHub (same repo)</t>
        </is>
      </c>
      <c r="L53" s="2" t="inlineStr"/>
      <c r="M53" s="2" t="inlineStr">
        <is>
          <t>samvera/hyku</t>
        </is>
      </c>
      <c r="N53" s="2" t="inlineStr"/>
      <c r="O53" s="2" t="inlineStr"/>
      <c r="P53" s="2" t="inlineStr"/>
      <c r="Q53" s="2" t="inlineStr"/>
      <c r="R53" s="2" t="inlineStr"/>
    </row>
    <row r="54">
      <c r="A54" s="2" t="inlineStr">
        <is>
          <t>C4-053</t>
        </is>
      </c>
      <c r="B54" s="2" t="inlineStr">
        <is>
          <t>Hyrax</t>
        </is>
      </c>
      <c r="C54" s="2" t="inlineStr">
        <is>
          <t>https://github.com/samvera/hyrax</t>
        </is>
      </c>
      <c r="D54" s="2" t="inlineStr">
        <is>
          <t>Ready</t>
        </is>
      </c>
      <c r="E54" s="2" t="inlineStr">
        <is>
          <t>github</t>
        </is>
      </c>
      <c r="F54" s="2" t="inlineStr">
        <is>
          <t>samvera/hyrax</t>
        </is>
      </c>
      <c r="G54" s="2" t="inlineStr"/>
      <c r="H54" s="2" t="inlineStr"/>
      <c r="I54" s="2" t="inlineStr">
        <is>
          <t>yes</t>
        </is>
      </c>
      <c r="J54" s="2" t="inlineStr">
        <is>
          <t>software</t>
        </is>
      </c>
      <c r="K54" s="2" t="inlineStr">
        <is>
          <t>GitHub (same repo)</t>
        </is>
      </c>
      <c r="L54" s="2" t="inlineStr"/>
      <c r="M54" s="2" t="inlineStr">
        <is>
          <t>samvera/hyrax</t>
        </is>
      </c>
      <c r="N54" s="2" t="inlineStr"/>
      <c r="O54" s="2" t="inlineStr"/>
      <c r="P54" s="2" t="inlineStr"/>
      <c r="Q54" s="2" t="inlineStr"/>
      <c r="R54" s="2" t="inlineStr"/>
    </row>
    <row r="55">
      <c r="A55" s="2" t="inlineStr">
        <is>
          <t>C4-054</t>
        </is>
      </c>
      <c r="B55" s="2" t="inlineStr">
        <is>
          <t>IIIF</t>
        </is>
      </c>
      <c r="C55" s="2" t="inlineStr">
        <is>
          <t>https://github.com/IIIF/awesome-iiif</t>
        </is>
      </c>
      <c r="D55" s="2" t="inlineStr">
        <is>
          <t>Exclude: standard</t>
        </is>
      </c>
      <c r="E55" s="2" t="inlineStr"/>
      <c r="F55" s="2" t="inlineStr"/>
      <c r="G55" s="2" t="inlineStr"/>
      <c r="H55" s="2" t="inlineStr"/>
      <c r="I55" s="2" t="inlineStr">
        <is>
          <t>no</t>
        </is>
      </c>
      <c r="J55" s="2" t="inlineStr">
        <is>
          <t>standard</t>
        </is>
      </c>
      <c r="K55" s="2" t="inlineStr"/>
      <c r="L55" s="2" t="inlineStr">
        <is>
          <t>IIIF is a set of API specifications; listed repo is a link list</t>
        </is>
      </c>
      <c r="M55" s="2" t="inlineStr"/>
      <c r="N55" s="2" t="inlineStr"/>
      <c r="O55" s="2" t="inlineStr"/>
      <c r="P55" s="2" t="inlineStr"/>
      <c r="Q55" s="2" t="inlineStr"/>
      <c r="R55" s="2" t="inlineStr"/>
    </row>
    <row r="56">
      <c r="A56" s="2" t="inlineStr">
        <is>
          <t>C4-055</t>
        </is>
      </c>
      <c r="B56" s="2" t="inlineStr">
        <is>
          <t>ImpactU</t>
        </is>
      </c>
      <c r="C56" s="2" t="inlineStr">
        <is>
          <t>https://github.com/colav/impactu</t>
        </is>
      </c>
      <c r="D56" s="2" t="inlineStr">
        <is>
          <t>Ready</t>
        </is>
      </c>
      <c r="E56" s="2" t="inlineStr">
        <is>
          <t>github</t>
        </is>
      </c>
      <c r="F56" s="2" t="inlineStr">
        <is>
          <t>colav/impactu</t>
        </is>
      </c>
      <c r="G56" s="2" t="inlineStr"/>
      <c r="H56" s="2" t="inlineStr"/>
      <c r="I56" s="2" t="inlineStr">
        <is>
          <t>yes</t>
        </is>
      </c>
      <c r="J56" s="2" t="inlineStr">
        <is>
          <t>software</t>
        </is>
      </c>
      <c r="K56" s="2" t="inlineStr">
        <is>
          <t>GitHub (same repo)</t>
        </is>
      </c>
      <c r="L56" s="2" t="inlineStr"/>
      <c r="M56" s="2" t="inlineStr">
        <is>
          <t>colav/impactu</t>
        </is>
      </c>
      <c r="N56" s="2" t="inlineStr"/>
      <c r="O56" s="2" t="inlineStr"/>
      <c r="P56" s="2" t="inlineStr"/>
      <c r="Q56" s="2" t="inlineStr"/>
      <c r="R56" s="2" t="inlineStr"/>
    </row>
    <row r="57">
      <c r="A57" s="2" t="inlineStr">
        <is>
          <t>C4-056</t>
        </is>
      </c>
      <c r="B57" s="2" t="inlineStr">
        <is>
          <t>International Generic Sample Number (IGSN)</t>
        </is>
      </c>
      <c r="C57" s="2" t="inlineStr">
        <is>
          <t>https://github.com/IGSN/igsn.github.io</t>
        </is>
      </c>
      <c r="D57" s="2" t="inlineStr">
        <is>
          <t>Exclude: standard</t>
        </is>
      </c>
      <c r="E57" s="2" t="inlineStr"/>
      <c r="F57" s="2" t="inlineStr"/>
      <c r="G57" s="2" t="inlineStr"/>
      <c r="H57" s="2" t="inlineStr"/>
      <c r="I57" s="2" t="inlineStr">
        <is>
          <t>no</t>
        </is>
      </c>
      <c r="J57" s="2" t="inlineStr">
        <is>
          <t>standard</t>
        </is>
      </c>
      <c r="K57" s="2" t="inlineStr"/>
      <c r="L57" s="2" t="inlineStr">
        <is>
          <t>Identifier standard/service; listed repo is a website</t>
        </is>
      </c>
      <c r="M57" s="2" t="inlineStr"/>
      <c r="N57" s="2" t="inlineStr"/>
      <c r="O57" s="2" t="inlineStr"/>
      <c r="P57" s="2" t="inlineStr"/>
      <c r="Q57" s="2" t="inlineStr"/>
      <c r="R57" s="2" t="inlineStr"/>
    </row>
    <row r="58">
      <c r="A58" s="2" t="inlineStr">
        <is>
          <t>C4-057</t>
        </is>
      </c>
      <c r="B58" s="2" t="inlineStr">
        <is>
          <t>InvenioRDM</t>
        </is>
      </c>
      <c r="C58" s="2" t="inlineStr">
        <is>
          <t>https://github.com/inveniosoftware/invenio-app-rdm</t>
        </is>
      </c>
      <c r="D58" s="2" t="inlineStr">
        <is>
          <t>Ready</t>
        </is>
      </c>
      <c r="E58" s="2" t="inlineStr">
        <is>
          <t>github</t>
        </is>
      </c>
      <c r="F58" s="2" t="inlineStr">
        <is>
          <t>inveniosoftware/invenio-app-rdm</t>
        </is>
      </c>
      <c r="G58" s="2" t="inlineStr"/>
      <c r="H58" s="2" t="inlineStr"/>
      <c r="I58" s="2" t="inlineStr">
        <is>
          <t>yes</t>
        </is>
      </c>
      <c r="J58" s="2" t="inlineStr">
        <is>
          <t>software</t>
        </is>
      </c>
      <c r="K58" s="2" t="inlineStr">
        <is>
          <t>GitHub (same repo)</t>
        </is>
      </c>
      <c r="L58" s="2" t="inlineStr"/>
      <c r="M58" s="2" t="inlineStr">
        <is>
          <t>inveniosoftware/invenio-app-rdm</t>
        </is>
      </c>
      <c r="N58" s="2" t="inlineStr"/>
      <c r="O58" s="2" t="inlineStr"/>
      <c r="P58" s="2" t="inlineStr"/>
      <c r="Q58" s="2" t="inlineStr"/>
      <c r="R58" s="2" t="inlineStr"/>
    </row>
    <row r="59">
      <c r="A59" s="2" t="inlineStr">
        <is>
          <t>C4-058</t>
        </is>
      </c>
      <c r="B59" s="2" t="inlineStr">
        <is>
          <t>iRODS</t>
        </is>
      </c>
      <c r="C59" s="2" t="inlineStr">
        <is>
          <t>https://github.com/irods/irods</t>
        </is>
      </c>
      <c r="D59" s="2" t="inlineStr">
        <is>
          <t>Ready</t>
        </is>
      </c>
      <c r="E59" s="2" t="inlineStr">
        <is>
          <t>github</t>
        </is>
      </c>
      <c r="F59" s="2" t="inlineStr">
        <is>
          <t>irods/irods</t>
        </is>
      </c>
      <c r="G59" s="2" t="inlineStr"/>
      <c r="H59" s="2" t="inlineStr"/>
      <c r="I59" s="2" t="inlineStr">
        <is>
          <t>yes</t>
        </is>
      </c>
      <c r="J59" s="2" t="inlineStr">
        <is>
          <t>software</t>
        </is>
      </c>
      <c r="K59" s="2" t="inlineStr">
        <is>
          <t>GitHub (same repo)</t>
        </is>
      </c>
      <c r="L59" s="2" t="inlineStr"/>
      <c r="M59" s="2" t="inlineStr">
        <is>
          <t>irods/irods</t>
        </is>
      </c>
      <c r="N59" s="2" t="inlineStr"/>
      <c r="O59" s="2" t="inlineStr"/>
      <c r="P59" s="2" t="inlineStr"/>
      <c r="Q59" s="2" t="inlineStr"/>
      <c r="R59" s="2" t="inlineStr"/>
    </row>
    <row r="60">
      <c r="A60" s="2" t="inlineStr">
        <is>
          <t>C4-059</t>
        </is>
      </c>
      <c r="B60" s="2" t="inlineStr">
        <is>
          <t>Islandora</t>
        </is>
      </c>
      <c r="C60" s="2" t="inlineStr">
        <is>
          <t>https://github.com/Islandora/islandora</t>
        </is>
      </c>
      <c r="D60" s="2" t="inlineStr">
        <is>
          <t>Ready</t>
        </is>
      </c>
      <c r="E60" s="2" t="inlineStr">
        <is>
          <t>github</t>
        </is>
      </c>
      <c r="F60" s="2" t="inlineStr">
        <is>
          <t>Islandora/islandora</t>
        </is>
      </c>
      <c r="G60" s="2" t="inlineStr"/>
      <c r="H60" s="2" t="inlineStr"/>
      <c r="I60" s="2" t="inlineStr">
        <is>
          <t>yes</t>
        </is>
      </c>
      <c r="J60" s="2" t="inlineStr">
        <is>
          <t>software</t>
        </is>
      </c>
      <c r="K60" s="2" t="inlineStr">
        <is>
          <t>GitHub: Islandora/documentation (central issue queue)</t>
        </is>
      </c>
      <c r="L60" s="2" t="inlineStr"/>
      <c r="M60" s="2" t="inlineStr">
        <is>
          <t>Islandora/documentation</t>
        </is>
      </c>
      <c r="N60" s="2" t="inlineStr"/>
      <c r="O60" s="2" t="inlineStr"/>
      <c r="P60" s="2" t="inlineStr"/>
      <c r="Q60" s="2" t="inlineStr"/>
      <c r="R60" s="2" t="inlineStr"/>
    </row>
    <row r="61">
      <c r="A61" s="2" t="inlineStr">
        <is>
          <t>C4-060</t>
        </is>
      </c>
      <c r="B61" s="2" t="inlineStr">
        <is>
          <t>Janeway</t>
        </is>
      </c>
      <c r="C61" s="2" t="inlineStr">
        <is>
          <t>https://github.com/openlibhums/janeway</t>
        </is>
      </c>
      <c r="D61" s="2" t="inlineStr">
        <is>
          <t>Ready</t>
        </is>
      </c>
      <c r="E61" s="2" t="inlineStr">
        <is>
          <t>github</t>
        </is>
      </c>
      <c r="F61" s="2" t="inlineStr">
        <is>
          <t>openlibhums/janeway</t>
        </is>
      </c>
      <c r="G61" s="2" t="inlineStr"/>
      <c r="H61" s="2" t="inlineStr"/>
      <c r="I61" s="2" t="inlineStr">
        <is>
          <t>yes</t>
        </is>
      </c>
      <c r="J61" s="2" t="inlineStr">
        <is>
          <t>software</t>
        </is>
      </c>
      <c r="K61" s="2" t="inlineStr">
        <is>
          <t>GitHub (same repo)</t>
        </is>
      </c>
      <c r="L61" s="2" t="inlineStr"/>
      <c r="M61" s="2" t="inlineStr">
        <is>
          <t>openlibhums/janeway</t>
        </is>
      </c>
      <c r="N61" s="2" t="inlineStr"/>
      <c r="O61" s="2" t="inlineStr"/>
      <c r="P61" s="2" t="inlineStr"/>
      <c r="Q61" s="2" t="inlineStr"/>
      <c r="R61" s="2" t="inlineStr"/>
    </row>
    <row r="62">
      <c r="A62" s="2" t="inlineStr">
        <is>
          <t>C4-061</t>
        </is>
      </c>
      <c r="B62" s="2" t="inlineStr">
        <is>
          <t>JHOVE</t>
        </is>
      </c>
      <c r="C62" s="2" t="inlineStr">
        <is>
          <t>https://github.com/openpreserve/jhove</t>
        </is>
      </c>
      <c r="D62" s="2" t="inlineStr">
        <is>
          <t>Ready</t>
        </is>
      </c>
      <c r="E62" s="2" t="inlineStr">
        <is>
          <t>github</t>
        </is>
      </c>
      <c r="F62" s="2" t="inlineStr">
        <is>
          <t>openpreserve/jhove</t>
        </is>
      </c>
      <c r="G62" s="2" t="inlineStr"/>
      <c r="H62" s="2" t="inlineStr"/>
      <c r="I62" s="2" t="inlineStr">
        <is>
          <t>yes</t>
        </is>
      </c>
      <c r="J62" s="2" t="inlineStr">
        <is>
          <t>software</t>
        </is>
      </c>
      <c r="K62" s="2" t="inlineStr">
        <is>
          <t>GitHub (same repo)</t>
        </is>
      </c>
      <c r="L62" s="2" t="inlineStr"/>
      <c r="M62" s="2" t="inlineStr">
        <is>
          <t>openpreserve/jhove</t>
        </is>
      </c>
      <c r="N62" s="2" t="inlineStr"/>
      <c r="O62" s="2" t="inlineStr"/>
      <c r="P62" s="2" t="inlineStr"/>
      <c r="Q62" s="2" t="inlineStr"/>
      <c r="R62" s="2" t="inlineStr"/>
    </row>
    <row r="63">
      <c r="A63" s="2" t="inlineStr">
        <is>
          <t>C4-062</t>
        </is>
      </c>
      <c r="B63" s="2" t="inlineStr">
        <is>
          <t>LA Referencia</t>
        </is>
      </c>
      <c r="C63" s="2" t="inlineStr">
        <is>
          <t>https://github.com/lareferencia/lareferencia-platform</t>
        </is>
      </c>
      <c r="D63" s="2" t="inlineStr">
        <is>
          <t>Ready</t>
        </is>
      </c>
      <c r="E63" s="2" t="inlineStr">
        <is>
          <t>github</t>
        </is>
      </c>
      <c r="F63" s="2" t="inlineStr">
        <is>
          <t>lareferencia/lareferencia-platform</t>
        </is>
      </c>
      <c r="G63" s="2" t="inlineStr"/>
      <c r="H63" s="2" t="inlineStr"/>
      <c r="I63" s="2" t="inlineStr">
        <is>
          <t>yes</t>
        </is>
      </c>
      <c r="J63" s="2" t="inlineStr">
        <is>
          <t>software</t>
        </is>
      </c>
      <c r="K63" s="2" t="inlineStr">
        <is>
          <t>GitHub (same repo)</t>
        </is>
      </c>
      <c r="L63" s="2" t="inlineStr"/>
      <c r="M63" s="2" t="inlineStr">
        <is>
          <t>lareferencia/lareferencia-platform</t>
        </is>
      </c>
      <c r="N63" s="2" t="inlineStr"/>
      <c r="O63" s="2" t="inlineStr"/>
      <c r="P63" s="2" t="inlineStr"/>
      <c r="Q63" s="2" t="inlineStr"/>
      <c r="R63" s="2" t="inlineStr"/>
    </row>
    <row r="64">
      <c r="A64" s="2" t="inlineStr">
        <is>
          <t>C4-063</t>
        </is>
      </c>
      <c r="B64" s="2" t="inlineStr">
        <is>
          <t>Manifold</t>
        </is>
      </c>
      <c r="C64" s="2" t="inlineStr">
        <is>
          <t>https://github.com/ManifoldScholar/manifold</t>
        </is>
      </c>
      <c r="D64" s="2" t="inlineStr">
        <is>
          <t>Ready</t>
        </is>
      </c>
      <c r="E64" s="2" t="inlineStr">
        <is>
          <t>github</t>
        </is>
      </c>
      <c r="F64" s="2" t="inlineStr">
        <is>
          <t>ManifoldScholar/manifold</t>
        </is>
      </c>
      <c r="G64" s="2" t="inlineStr"/>
      <c r="H64" s="2" t="inlineStr"/>
      <c r="I64" s="2" t="inlineStr">
        <is>
          <t>yes</t>
        </is>
      </c>
      <c r="J64" s="2" t="inlineStr">
        <is>
          <t>software</t>
        </is>
      </c>
      <c r="K64" s="2" t="inlineStr">
        <is>
          <t>GitHub (same repo)</t>
        </is>
      </c>
      <c r="L64" s="2" t="inlineStr"/>
      <c r="M64" s="2" t="inlineStr">
        <is>
          <t>ManifoldScholar/manifold</t>
        </is>
      </c>
      <c r="N64" s="2" t="inlineStr"/>
      <c r="O64" s="2" t="inlineStr"/>
      <c r="P64" s="2" t="inlineStr"/>
      <c r="Q64" s="2" t="inlineStr"/>
      <c r="R64" s="2" t="inlineStr"/>
    </row>
    <row r="65">
      <c r="A65" s="2" t="inlineStr">
        <is>
          <t>C4-064</t>
        </is>
      </c>
      <c r="B65" s="2" t="inlineStr">
        <is>
          <t>medRxiv</t>
        </is>
      </c>
      <c r="C65" s="2" t="inlineStr">
        <is>
          <t>https://github.com/ropensci/medrxivr/</t>
        </is>
      </c>
      <c r="D65" s="2" t="inlineStr">
        <is>
          <t>Not assessable</t>
        </is>
      </c>
      <c r="E65" s="2" t="inlineStr"/>
      <c r="F65" s="2" t="inlineStr"/>
      <c r="G65" s="2" t="inlineStr"/>
      <c r="H65" s="2" t="inlineStr"/>
      <c r="I65" s="2" t="inlineStr">
        <is>
          <t>no</t>
        </is>
      </c>
      <c r="J65" s="2" t="inlineStr">
        <is>
          <t>not-assessable</t>
        </is>
      </c>
      <c r="K65" s="2" t="inlineStr"/>
      <c r="L65" s="2" t="inlineStr">
        <is>
          <t>Listed repo is an rOpenSci R client; medRxiv platform code is not public</t>
        </is>
      </c>
      <c r="M65" s="2" t="inlineStr"/>
      <c r="N65" s="2" t="inlineStr"/>
      <c r="O65" s="2" t="inlineStr"/>
      <c r="P65" s="2" t="inlineStr"/>
      <c r="Q65" s="2" t="inlineStr"/>
      <c r="R65" s="2" t="inlineStr"/>
    </row>
    <row r="66">
      <c r="A66" s="2" t="inlineStr">
        <is>
          <t>C4-065</t>
        </is>
      </c>
      <c r="B66" s="2" t="inlineStr">
        <is>
          <t>Metadata Encoding and Transmission Standard (METS)</t>
        </is>
      </c>
      <c r="C66" s="2" t="inlineStr">
        <is>
          <t>https://github.com/mets</t>
        </is>
      </c>
      <c r="D66" s="2" t="inlineStr">
        <is>
          <t>Resolved URL -&gt; scoreable standard repo</t>
        </is>
      </c>
      <c r="E66" s="2" t="inlineStr">
        <is>
          <t>github</t>
        </is>
      </c>
      <c r="F66" s="2" t="inlineStr">
        <is>
          <t>mets/METS-schema</t>
        </is>
      </c>
      <c r="G66" s="2" t="inlineStr"/>
      <c r="H66" s="2" t="inlineStr"/>
      <c r="I66" s="2" t="inlineStr">
        <is>
          <t>yes</t>
        </is>
      </c>
      <c r="J66" s="2" t="inlineStr">
        <is>
          <t>standard</t>
        </is>
      </c>
      <c r="K66" s="2" t="inlineStr">
        <is>
          <t>GitHub (same repo)</t>
        </is>
      </c>
      <c r="L66" s="2" t="inlineStr">
        <is>
          <t>XML schema/standard; no schema commits in window | Restored as scoreable schema repository per resolved list; still marked as standard.</t>
        </is>
      </c>
      <c r="M66" s="2" t="inlineStr">
        <is>
          <t>mets/METS-schema</t>
        </is>
      </c>
      <c r="N66" s="2" t="inlineStr">
        <is>
          <t>yes</t>
        </is>
      </c>
      <c r="O66" s="2" t="inlineStr">
        <is>
          <t>mets/METS-schema</t>
        </is>
      </c>
      <c r="P66" s="2" t="inlineStr">
        <is>
          <t>GitHub</t>
        </is>
      </c>
      <c r="Q66" s="2" t="inlineStr">
        <is>
          <t>applied</t>
        </is>
      </c>
      <c r="R66" s="2" t="inlineStr">
        <is>
          <t>Restored as scoreable schema repository per resolved list; still marked as standard.</t>
        </is>
      </c>
    </row>
    <row r="67">
      <c r="A67" s="2" t="inlineStr">
        <is>
          <t>C4-066</t>
        </is>
      </c>
      <c r="B67" s="2" t="inlineStr">
        <is>
          <t>Mirador</t>
        </is>
      </c>
      <c r="C67" s="2" t="inlineStr">
        <is>
          <t>https://github.com/projectmirador/mirador</t>
        </is>
      </c>
      <c r="D67" s="2" t="inlineStr">
        <is>
          <t>Ready</t>
        </is>
      </c>
      <c r="E67" s="2" t="inlineStr">
        <is>
          <t>github</t>
        </is>
      </c>
      <c r="F67" s="2" t="inlineStr">
        <is>
          <t>projectmirador/mirador</t>
        </is>
      </c>
      <c r="G67" s="2" t="inlineStr"/>
      <c r="H67" s="2" t="inlineStr"/>
      <c r="I67" s="2" t="inlineStr">
        <is>
          <t>yes</t>
        </is>
      </c>
      <c r="J67" s="2" t="inlineStr">
        <is>
          <t>software</t>
        </is>
      </c>
      <c r="K67" s="2" t="inlineStr">
        <is>
          <t>GitHub (same repo)</t>
        </is>
      </c>
      <c r="L67" s="2" t="inlineStr"/>
      <c r="M67" s="2" t="inlineStr">
        <is>
          <t>projectmirador/mirador</t>
        </is>
      </c>
      <c r="N67" s="2" t="inlineStr"/>
      <c r="O67" s="2" t="inlineStr"/>
      <c r="P67" s="2" t="inlineStr"/>
      <c r="Q67" s="2" t="inlineStr"/>
      <c r="R67" s="2" t="inlineStr"/>
    </row>
    <row r="68">
      <c r="A68" s="2" t="inlineStr">
        <is>
          <t>C4-067</t>
        </is>
      </c>
      <c r="B68" s="2" t="inlineStr">
        <is>
          <t>Mukurtu CMS</t>
        </is>
      </c>
      <c r="C68" s="2" t="inlineStr">
        <is>
          <t>https://github.com/MukurtuCMS/mukurtucms</t>
        </is>
      </c>
      <c r="D68" s="2" t="inlineStr">
        <is>
          <t>Ready</t>
        </is>
      </c>
      <c r="E68" s="2" t="inlineStr">
        <is>
          <t>github</t>
        </is>
      </c>
      <c r="F68" s="2" t="inlineStr">
        <is>
          <t>MukurtuCMS/mukurtucms</t>
        </is>
      </c>
      <c r="G68" s="2" t="inlineStr"/>
      <c r="H68" s="2" t="inlineStr"/>
      <c r="I68" s="2" t="inlineStr">
        <is>
          <t>yes</t>
        </is>
      </c>
      <c r="J68" s="2" t="inlineStr">
        <is>
          <t>software</t>
        </is>
      </c>
      <c r="K68" s="2" t="inlineStr">
        <is>
          <t>GitHub (same repo)</t>
        </is>
      </c>
      <c r="L68" s="2" t="inlineStr"/>
      <c r="M68" s="2" t="inlineStr">
        <is>
          <t>MukurtuCMS/mukurtucms</t>
        </is>
      </c>
      <c r="N68" s="2" t="inlineStr"/>
      <c r="O68" s="2" t="inlineStr"/>
      <c r="P68" s="2" t="inlineStr"/>
      <c r="Q68" s="2" t="inlineStr"/>
      <c r="R68" s="2" t="inlineStr"/>
    </row>
    <row r="69">
      <c r="A69" s="2" t="inlineStr">
        <is>
          <t>C4-068</t>
        </is>
      </c>
      <c r="B69" s="2" t="inlineStr">
        <is>
          <t>MyCoRe</t>
        </is>
      </c>
      <c r="C69" s="2" t="inlineStr">
        <is>
          <t>https://github.com/MyCoRe-Org/mycore</t>
        </is>
      </c>
      <c r="D69" s="2" t="inlineStr">
        <is>
          <t>Ready</t>
        </is>
      </c>
      <c r="E69" s="2" t="inlineStr">
        <is>
          <t>github</t>
        </is>
      </c>
      <c r="F69" s="2" t="inlineStr">
        <is>
          <t>MyCoRe-Org/mycore</t>
        </is>
      </c>
      <c r="G69" s="2" t="inlineStr"/>
      <c r="H69" s="2" t="inlineStr"/>
      <c r="I69" s="2" t="inlineStr">
        <is>
          <t>yes</t>
        </is>
      </c>
      <c r="J69" s="2" t="inlineStr">
        <is>
          <t>software</t>
        </is>
      </c>
      <c r="K69" s="2" t="inlineStr">
        <is>
          <t>NONE on GitHub (no Issues tab) - external tracker not found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</row>
    <row r="70">
      <c r="A70" s="2" t="inlineStr">
        <is>
          <t>C4-069</t>
        </is>
      </c>
      <c r="B70" s="2" t="inlineStr">
        <is>
          <t>NumPy</t>
        </is>
      </c>
      <c r="C70" s="2" t="inlineStr">
        <is>
          <t>https://github.com/numpy/numpy</t>
        </is>
      </c>
      <c r="D70" s="2" t="inlineStr">
        <is>
          <t>Ready</t>
        </is>
      </c>
      <c r="E70" s="2" t="inlineStr">
        <is>
          <t>github</t>
        </is>
      </c>
      <c r="F70" s="2" t="inlineStr">
        <is>
          <t>numpy/numpy</t>
        </is>
      </c>
      <c r="G70" s="2" t="inlineStr"/>
      <c r="H70" s="2" t="inlineStr"/>
      <c r="I70" s="2" t="inlineStr">
        <is>
          <t>yes</t>
        </is>
      </c>
      <c r="J70" s="2" t="inlineStr">
        <is>
          <t>software</t>
        </is>
      </c>
      <c r="K70" s="2" t="inlineStr">
        <is>
          <t>GitHub (same repo)</t>
        </is>
      </c>
      <c r="L70" s="2" t="inlineStr"/>
      <c r="M70" s="2" t="inlineStr">
        <is>
          <t>numpy/numpy</t>
        </is>
      </c>
      <c r="N70" s="2" t="inlineStr"/>
      <c r="O70" s="2" t="inlineStr"/>
      <c r="P70" s="2" t="inlineStr"/>
      <c r="Q70" s="2" t="inlineStr"/>
      <c r="R70" s="2" t="inlineStr"/>
    </row>
    <row r="71">
      <c r="A71" s="2" t="inlineStr">
        <is>
          <t>C4-070</t>
        </is>
      </c>
      <c r="B71" s="2" t="inlineStr">
        <is>
          <t>OA.Report</t>
        </is>
      </c>
      <c r="C71" s="2" t="inlineStr">
        <is>
          <t>https://github.com/oaworks/oa-report</t>
        </is>
      </c>
      <c r="D71" s="2" t="inlineStr">
        <is>
          <t>Ready</t>
        </is>
      </c>
      <c r="E71" s="2" t="inlineStr">
        <is>
          <t>github</t>
        </is>
      </c>
      <c r="F71" s="2" t="inlineStr">
        <is>
          <t>oaworks/oa-report</t>
        </is>
      </c>
      <c r="G71" s="2" t="inlineStr"/>
      <c r="H71" s="2" t="inlineStr"/>
      <c r="I71" s="2" t="inlineStr">
        <is>
          <t>yes</t>
        </is>
      </c>
      <c r="J71" s="2" t="inlineStr">
        <is>
          <t>software</t>
        </is>
      </c>
      <c r="K71" s="2" t="inlineStr">
        <is>
          <t>NONE (Issues and PRs disabled)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</row>
    <row r="72">
      <c r="A72" s="2" t="inlineStr">
        <is>
          <t>C4-071</t>
        </is>
      </c>
      <c r="B72" s="2" t="inlineStr">
        <is>
          <t>OA Switchboard</t>
        </is>
      </c>
      <c r="C72" s="2" t="inlineStr">
        <is>
          <t>https://bitbucket.org/oaswitchboard/api/src/master/</t>
        </is>
      </c>
      <c r="D72" s="2" t="inlineStr">
        <is>
          <t>Non-GitHub</t>
        </is>
      </c>
      <c r="E72" s="2" t="inlineStr">
        <is>
          <t>bitbucket</t>
        </is>
      </c>
      <c r="F72" s="2" t="inlineStr">
        <is>
          <t>https://bitbucket.org/oaswitchboard/api</t>
        </is>
      </c>
      <c r="G72" s="2" t="inlineStr"/>
      <c r="H72" s="2" t="inlineStr"/>
      <c r="I72" s="2" t="inlineStr">
        <is>
          <t>yes</t>
        </is>
      </c>
      <c r="J72" s="2" t="inlineStr">
        <is>
          <t>software</t>
        </is>
      </c>
      <c r="K72" s="2" t="inlineStr">
        <is>
          <t>Bitbucket (verify issues enabled)</t>
        </is>
      </c>
      <c r="L72" s="2" t="inlineStr">
        <is>
          <t>Bitbucket; issue tracker likely disabled</t>
        </is>
      </c>
      <c r="M72" s="2" t="inlineStr"/>
      <c r="N72" s="2" t="inlineStr">
        <is>
          <t>yes</t>
        </is>
      </c>
      <c r="O72" s="2" t="inlineStr">
        <is>
          <t>https://bitbucket.org/oaswitchboard/api</t>
        </is>
      </c>
      <c r="P72" s="2" t="inlineStr">
        <is>
          <t>Bitbucket</t>
        </is>
      </c>
      <c r="Q72" s="2" t="inlineStr">
        <is>
          <t>already_current</t>
        </is>
      </c>
      <c r="R72" s="2" t="inlineStr">
        <is>
          <t>Current scoring target already matches resolved list.</t>
        </is>
      </c>
    </row>
    <row r="73">
      <c r="A73" s="2" t="inlineStr">
        <is>
          <t>C4-072</t>
        </is>
      </c>
      <c r="B73" s="2" t="inlineStr">
        <is>
          <t>Omeka</t>
        </is>
      </c>
      <c r="C73" s="2" t="inlineStr">
        <is>
          <t>https://github.com/omeka/Omeka</t>
        </is>
      </c>
      <c r="D73" s="2" t="inlineStr">
        <is>
          <t>Replace URL (Omeka S)</t>
        </is>
      </c>
      <c r="E73" s="2" t="inlineStr">
        <is>
          <t>github</t>
        </is>
      </c>
      <c r="F73" s="2" t="inlineStr">
        <is>
          <t>omeka/omeka-s</t>
        </is>
      </c>
      <c r="G73" s="2" t="inlineStr"/>
      <c r="H73" s="2" t="inlineStr"/>
      <c r="I73" s="2" t="inlineStr">
        <is>
          <t>yes</t>
        </is>
      </c>
      <c r="J73" s="2" t="inlineStr">
        <is>
          <t>software</t>
        </is>
      </c>
      <c r="K73" s="2" t="inlineStr">
        <is>
          <t>GitHub (same repo); Omeka forums</t>
        </is>
      </c>
      <c r="L73" s="2" t="inlineStr">
        <is>
          <t>Omeka S is the actively developed product (160 vs 66 human commits); Omeka Classic kept as diagnostic</t>
        </is>
      </c>
      <c r="M73" s="2" t="inlineStr">
        <is>
          <t>omeka/omeka-s</t>
        </is>
      </c>
      <c r="N73" s="2" t="inlineStr"/>
      <c r="O73" s="2" t="inlineStr"/>
      <c r="P73" s="2" t="inlineStr"/>
      <c r="Q73" s="2" t="inlineStr"/>
      <c r="R73" s="2" t="inlineStr"/>
    </row>
    <row r="74">
      <c r="A74" s="2" t="inlineStr">
        <is>
          <t>C4-073</t>
        </is>
      </c>
      <c r="B74" s="2" t="inlineStr">
        <is>
          <t>OpenAIRE Graph</t>
        </is>
      </c>
      <c r="C74" s="2" t="inlineStr">
        <is>
          <t>https://code-repo.d4science.org/D-Net/dnet-hadoop</t>
        </is>
      </c>
      <c r="D74" s="2" t="inlineStr">
        <is>
          <t>Non-GitHub</t>
        </is>
      </c>
      <c r="E74" s="2" t="inlineStr">
        <is>
          <t>gitea</t>
        </is>
      </c>
      <c r="F74" s="2" t="inlineStr">
        <is>
          <t>https://code-repo.d4science.org/D-Net/dnet-hadoop</t>
        </is>
      </c>
      <c r="G74" s="2" t="inlineStr"/>
      <c r="H74" s="2" t="inlineStr"/>
      <c r="I74" s="2" t="inlineStr">
        <is>
          <t>yes</t>
        </is>
      </c>
      <c r="J74" s="2" t="inlineStr">
        <is>
          <t>software</t>
        </is>
      </c>
      <c r="K74" s="2" t="inlineStr">
        <is>
          <t>Gitea (same repo)</t>
        </is>
      </c>
      <c r="L74" s="2" t="inlineStr">
        <is>
          <t>Gitea; issues may be tracked in OpenAIRE support systems</t>
        </is>
      </c>
      <c r="M74" s="2" t="inlineStr"/>
      <c r="N74" s="2" t="inlineStr">
        <is>
          <t>yes</t>
        </is>
      </c>
      <c r="O74" s="2" t="inlineStr">
        <is>
          <t>https://code-repo.d4science.org/D-Net/dnet-hadoop</t>
        </is>
      </c>
      <c r="P74" s="2" t="inlineStr">
        <is>
          <t>Gitea (D4Science)</t>
        </is>
      </c>
      <c r="Q74" s="2" t="inlineStr">
        <is>
          <t>already_current</t>
        </is>
      </c>
      <c r="R74" s="2" t="inlineStr">
        <is>
          <t>Current scoring target already matches resolved list.</t>
        </is>
      </c>
    </row>
    <row r="75">
      <c r="A75" s="2" t="inlineStr">
        <is>
          <t>C4-074</t>
        </is>
      </c>
      <c r="B75" s="2" t="inlineStr">
        <is>
          <t>OpenAlex</t>
        </is>
      </c>
      <c r="C75" s="2" t="inlineStr">
        <is>
          <t>https://github.com/ourresearch/openalex-official</t>
        </is>
      </c>
      <c r="D75" s="2" t="inlineStr">
        <is>
          <t>Replace URL -&gt; product set</t>
        </is>
      </c>
      <c r="E75" s="2" t="inlineStr">
        <is>
          <t>github</t>
        </is>
      </c>
      <c r="F75" s="2" t="inlineStr">
        <is>
          <t>ourresearch/openalex-walden;ourresearch/openalex-elastic-api</t>
        </is>
      </c>
      <c r="G75" s="2" t="inlineStr"/>
      <c r="H75" s="2" t="inlineStr"/>
      <c r="I75" s="2" t="inlineStr">
        <is>
          <t>yes</t>
        </is>
      </c>
      <c r="J75" s="2" t="inlineStr">
        <is>
          <t>software</t>
        </is>
      </c>
      <c r="K75" s="2" t="inlineStr">
        <is>
          <t>NONE on GitHub (elastic-api has no Issues tab); support via OpenAlex help desk</t>
        </is>
      </c>
      <c r="L75" s="2" t="inlineStr">
        <is>
          <t>openalex-official had 12 commits; walden = data pipelines, elastic-api = API</t>
        </is>
      </c>
      <c r="M75" s="2" t="inlineStr"/>
      <c r="N75" s="2" t="inlineStr"/>
      <c r="O75" s="2" t="inlineStr"/>
      <c r="P75" s="2" t="inlineStr"/>
      <c r="Q75" s="2" t="inlineStr"/>
      <c r="R75" s="2" t="inlineStr"/>
    </row>
    <row r="76">
      <c r="A76" s="2" t="inlineStr">
        <is>
          <t>C4-075</t>
        </is>
      </c>
      <c r="B76" s="2" t="inlineStr">
        <is>
          <t>OpenAPC</t>
        </is>
      </c>
      <c r="C76" s="2" t="inlineStr">
        <is>
          <t>https://github.com/OpenAPC/openapc-de</t>
        </is>
      </c>
      <c r="D76" s="2" t="inlineStr">
        <is>
          <t>Ready</t>
        </is>
      </c>
      <c r="E76" s="2" t="inlineStr">
        <is>
          <t>github</t>
        </is>
      </c>
      <c r="F76" s="2" t="inlineStr">
        <is>
          <t>OpenAPC/openapc-de</t>
        </is>
      </c>
      <c r="G76" s="2" t="inlineStr"/>
      <c r="H76" s="2" t="inlineStr"/>
      <c r="I76" s="2" t="inlineStr">
        <is>
          <t>yes</t>
        </is>
      </c>
      <c r="J76" s="2" t="inlineStr">
        <is>
          <t>software</t>
        </is>
      </c>
      <c r="K76" s="2" t="inlineStr">
        <is>
          <t>GitHub (same repo)</t>
        </is>
      </c>
      <c r="L76" s="2" t="inlineStr"/>
      <c r="M76" s="2" t="inlineStr">
        <is>
          <t>OpenAPC/openapc-de</t>
        </is>
      </c>
      <c r="N76" s="2" t="inlineStr"/>
      <c r="O76" s="2" t="inlineStr"/>
      <c r="P76" s="2" t="inlineStr"/>
      <c r="Q76" s="2" t="inlineStr"/>
      <c r="R76" s="2" t="inlineStr"/>
    </row>
    <row r="77">
      <c r="A77" s="2" t="inlineStr">
        <is>
          <t>C4-076</t>
        </is>
      </c>
      <c r="B77" s="2" t="inlineStr">
        <is>
          <t>OpenCitations</t>
        </is>
      </c>
      <c r="C77" s="2" t="inlineStr">
        <is>
          <t>https://github.com/opencitations/OpenCitationsCorpus</t>
        </is>
      </c>
      <c r="D77" s="2" t="inlineStr">
        <is>
          <t>Replace URL</t>
        </is>
      </c>
      <c r="E77" s="2" t="inlineStr">
        <is>
          <t>github</t>
        </is>
      </c>
      <c r="F77" s="2" t="inlineStr">
        <is>
          <t>opencitations/oc_meta</t>
        </is>
      </c>
      <c r="G77" s="2" t="inlineStr"/>
      <c r="H77" s="2" t="inlineStr"/>
      <c r="I77" s="2" t="inlineStr">
        <is>
          <t>yes</t>
        </is>
      </c>
      <c r="J77" s="2" t="inlineStr">
        <is>
          <t>software</t>
        </is>
      </c>
      <c r="K77" s="2" t="inlineStr">
        <is>
          <t>GitHub (same repo)</t>
        </is>
      </c>
      <c r="L77" s="2" t="inlineStr">
        <is>
          <t>OpenCitationsCorpus idle since 2014; oc_meta manages OpenCitations Meta</t>
        </is>
      </c>
      <c r="M77" s="2" t="inlineStr">
        <is>
          <t>opencitations/oc_meta</t>
        </is>
      </c>
      <c r="N77" s="2" t="inlineStr"/>
      <c r="O77" s="2" t="inlineStr"/>
      <c r="P77" s="2" t="inlineStr"/>
      <c r="Q77" s="2" t="inlineStr"/>
      <c r="R77" s="2" t="inlineStr"/>
    </row>
    <row r="78">
      <c r="A78" s="2" t="inlineStr">
        <is>
          <t>C4-077</t>
        </is>
      </c>
      <c r="B78" s="2" t="inlineStr">
        <is>
          <t>openCost</t>
        </is>
      </c>
      <c r="C78" s="2" t="inlineStr">
        <is>
          <t>https://github.com/opencost-de/opencost/tree/main/doc</t>
        </is>
      </c>
      <c r="D78" s="2" t="inlineStr">
        <is>
          <t>Fix URL (repo root)</t>
        </is>
      </c>
      <c r="E78" s="2" t="inlineStr">
        <is>
          <t>github</t>
        </is>
      </c>
      <c r="F78" s="2" t="inlineStr">
        <is>
          <t>opencost-de/opencost</t>
        </is>
      </c>
      <c r="G78" s="2" t="inlineStr"/>
      <c r="H78" s="2" t="inlineStr"/>
      <c r="I78" s="2" t="inlineStr">
        <is>
          <t>yes</t>
        </is>
      </c>
      <c r="J78" s="2" t="inlineStr">
        <is>
          <t>software</t>
        </is>
      </c>
      <c r="K78" s="2" t="inlineStr">
        <is>
          <t>GitHub (same repo)</t>
        </is>
      </c>
      <c r="L78" s="2" t="inlineStr">
        <is>
          <t>URL pointed to /doc subfolder</t>
        </is>
      </c>
      <c r="M78" s="2" t="inlineStr">
        <is>
          <t>opencost-de/opencost</t>
        </is>
      </c>
      <c r="N78" s="2" t="inlineStr"/>
      <c r="O78" s="2" t="inlineStr"/>
      <c r="P78" s="2" t="inlineStr"/>
      <c r="Q78" s="2" t="inlineStr"/>
      <c r="R78" s="2" t="inlineStr"/>
    </row>
    <row r="79">
      <c r="A79" s="2" t="inlineStr">
        <is>
          <t>C4-078</t>
        </is>
      </c>
      <c r="B79" s="2" t="inlineStr">
        <is>
          <t>Open Data Editor</t>
        </is>
      </c>
      <c r="C79" s="2" t="inlineStr">
        <is>
          <t>https://github.com/okfn/opendataeditor</t>
        </is>
      </c>
      <c r="D79" s="2" t="inlineStr">
        <is>
          <t>Ready</t>
        </is>
      </c>
      <c r="E79" s="2" t="inlineStr">
        <is>
          <t>github</t>
        </is>
      </c>
      <c r="F79" s="2" t="inlineStr">
        <is>
          <t>okfn/opendataeditor</t>
        </is>
      </c>
      <c r="G79" s="2" t="inlineStr"/>
      <c r="H79" s="2" t="inlineStr"/>
      <c r="I79" s="2" t="inlineStr">
        <is>
          <t>yes</t>
        </is>
      </c>
      <c r="J79" s="2" t="inlineStr">
        <is>
          <t>software</t>
        </is>
      </c>
      <c r="K79" s="2" t="inlineStr">
        <is>
          <t>GitHub (same repo)</t>
        </is>
      </c>
      <c r="L79" s="2" t="inlineStr"/>
      <c r="M79" s="2" t="inlineStr">
        <is>
          <t>okfn/opendataeditor</t>
        </is>
      </c>
      <c r="N79" s="2" t="inlineStr"/>
      <c r="O79" s="2" t="inlineStr"/>
      <c r="P79" s="2" t="inlineStr"/>
      <c r="Q79" s="2" t="inlineStr"/>
      <c r="R79" s="2" t="inlineStr"/>
    </row>
    <row r="80">
      <c r="A80" s="2" t="inlineStr">
        <is>
          <t>C4-079</t>
        </is>
      </c>
      <c r="B80" s="2" t="inlineStr">
        <is>
          <t>OpenEdition</t>
        </is>
      </c>
      <c r="C80" s="2" t="inlineStr">
        <is>
          <t>https://gitlab.openedition.org/public</t>
        </is>
      </c>
      <c r="D80" s="2" t="inlineStr">
        <is>
          <t>Replace URL</t>
        </is>
      </c>
      <c r="E80" s="2" t="inlineStr">
        <is>
          <t>github</t>
        </is>
      </c>
      <c r="F80" s="2" t="inlineStr">
        <is>
          <t>OpenEdition/lodel</t>
        </is>
      </c>
      <c r="G80" s="2" t="inlineStr"/>
      <c r="H80" s="2" t="inlineStr"/>
      <c r="I80" s="2" t="inlineStr">
        <is>
          <t>yes</t>
        </is>
      </c>
      <c r="J80" s="2" t="inlineStr">
        <is>
          <t>software</t>
        </is>
      </c>
      <c r="K80" s="2" t="inlineStr">
        <is>
          <t>GitHub (same repo)</t>
        </is>
      </c>
      <c r="L80" s="2" t="inlineStr">
        <is>
          <t>Lodel (OpenEdition publishing software) is on GitHub; gitlab.openedition.org group URL could not be listed</t>
        </is>
      </c>
      <c r="M80" s="2" t="inlineStr">
        <is>
          <t>OpenEdition/lodel</t>
        </is>
      </c>
      <c r="N80" s="2" t="inlineStr">
        <is>
          <t>yes</t>
        </is>
      </c>
      <c r="O80" s="2" t="inlineStr">
        <is>
          <t>https://gitlab.openedition.org/lodel2/lodel-skeleton</t>
        </is>
      </c>
      <c r="P80" s="2" t="inlineStr">
        <is>
          <t>GitLab (OpenEdition)</t>
        </is>
      </c>
      <c r="Q80" s="2" t="inlineStr">
        <is>
          <t>marker_only</t>
        </is>
      </c>
      <c r="R80" s="2" t="inlineStr">
        <is>
          <t>Current scoring uses OpenEdition/lodel GitHub mirror; GitLab repo recorded as candidate.</t>
        </is>
      </c>
    </row>
    <row r="81">
      <c r="A81" s="2" t="inlineStr">
        <is>
          <t>C4-080</t>
        </is>
      </c>
      <c r="B81" s="2" t="inlineStr">
        <is>
          <t>Open Journal Systems (OJS)</t>
        </is>
      </c>
      <c r="C81" s="2" t="inlineStr">
        <is>
          <t>https://github.com/pkp/ojs</t>
        </is>
      </c>
      <c r="D81" s="2" t="inlineStr">
        <is>
          <t>Ready</t>
        </is>
      </c>
      <c r="E81" s="2" t="inlineStr">
        <is>
          <t>github</t>
        </is>
      </c>
      <c r="F81" s="2" t="inlineStr">
        <is>
          <t>pkp/ojs</t>
        </is>
      </c>
      <c r="G81" s="2" t="inlineStr"/>
      <c r="H81" s="2" t="inlineStr"/>
      <c r="I81" s="2" t="inlineStr">
        <is>
          <t>yes</t>
        </is>
      </c>
      <c r="J81" s="2" t="inlineStr">
        <is>
          <t>software</t>
        </is>
      </c>
      <c r="K81" s="2" t="inlineStr">
        <is>
          <t>GitHub: pkp/pkp-lib</t>
        </is>
      </c>
      <c r="L81" s="2" t="inlineStr"/>
      <c r="M81" s="2" t="inlineStr">
        <is>
          <t>pkp/pkp-lib</t>
        </is>
      </c>
      <c r="N81" s="2" t="inlineStr"/>
      <c r="O81" s="2" t="inlineStr"/>
      <c r="P81" s="2" t="inlineStr"/>
      <c r="Q81" s="2" t="inlineStr"/>
      <c r="R81" s="2" t="inlineStr"/>
    </row>
    <row r="82">
      <c r="A82" s="2" t="inlineStr">
        <is>
          <t>C4-081</t>
        </is>
      </c>
      <c r="B82" s="2" t="inlineStr">
        <is>
          <t>Open Monograph Press (OMP)</t>
        </is>
      </c>
      <c r="C82" s="2" t="inlineStr">
        <is>
          <t>https://github.com/pkp/omp</t>
        </is>
      </c>
      <c r="D82" s="2" t="inlineStr">
        <is>
          <t>Ready</t>
        </is>
      </c>
      <c r="E82" s="2" t="inlineStr">
        <is>
          <t>github</t>
        </is>
      </c>
      <c r="F82" s="2" t="inlineStr">
        <is>
          <t>pkp/omp</t>
        </is>
      </c>
      <c r="G82" s="2" t="inlineStr"/>
      <c r="H82" s="2" t="inlineStr"/>
      <c r="I82" s="2" t="inlineStr">
        <is>
          <t>yes</t>
        </is>
      </c>
      <c r="J82" s="2" t="inlineStr">
        <is>
          <t>software</t>
        </is>
      </c>
      <c r="K82" s="2" t="inlineStr">
        <is>
          <t>GitHub: pkp/pkp-lib</t>
        </is>
      </c>
      <c r="L82" s="2" t="inlineStr"/>
      <c r="M82" s="2" t="inlineStr">
        <is>
          <t>pkp/pkp-lib</t>
        </is>
      </c>
      <c r="N82" s="2" t="inlineStr"/>
      <c r="O82" s="2" t="inlineStr"/>
      <c r="P82" s="2" t="inlineStr"/>
      <c r="Q82" s="2" t="inlineStr"/>
      <c r="R82" s="2" t="inlineStr"/>
    </row>
    <row r="83">
      <c r="A83" s="2" t="inlineStr">
        <is>
          <t>C4-082</t>
        </is>
      </c>
      <c r="B83" s="2" t="inlineStr">
        <is>
          <t>Open Preprint Systems (OPS)</t>
        </is>
      </c>
      <c r="C83" s="2" t="inlineStr">
        <is>
          <t>https://github.com/pkp/ops</t>
        </is>
      </c>
      <c r="D83" s="2" t="inlineStr">
        <is>
          <t>Ready</t>
        </is>
      </c>
      <c r="E83" s="2" t="inlineStr">
        <is>
          <t>github</t>
        </is>
      </c>
      <c r="F83" s="2" t="inlineStr">
        <is>
          <t>pkp/ops</t>
        </is>
      </c>
      <c r="G83" s="2" t="inlineStr"/>
      <c r="H83" s="2" t="inlineStr"/>
      <c r="I83" s="2" t="inlineStr">
        <is>
          <t>yes</t>
        </is>
      </c>
      <c r="J83" s="2" t="inlineStr">
        <is>
          <t>software</t>
        </is>
      </c>
      <c r="K83" s="2" t="inlineStr">
        <is>
          <t>GitHub: pkp/pkp-lib</t>
        </is>
      </c>
      <c r="L83" s="2" t="inlineStr"/>
      <c r="M83" s="2" t="inlineStr">
        <is>
          <t>pkp/pkp-lib</t>
        </is>
      </c>
      <c r="N83" s="2" t="inlineStr"/>
      <c r="O83" s="2" t="inlineStr"/>
      <c r="P83" s="2" t="inlineStr"/>
      <c r="Q83" s="2" t="inlineStr"/>
      <c r="R83" s="2" t="inlineStr"/>
    </row>
    <row r="84">
      <c r="A84" s="2" t="inlineStr">
        <is>
          <t>C4-083</t>
        </is>
      </c>
      <c r="B84" s="2" t="inlineStr">
        <is>
          <t>Openverse</t>
        </is>
      </c>
      <c r="C84" s="2" t="inlineStr">
        <is>
          <t>https://github.com/WordPress/openverse</t>
        </is>
      </c>
      <c r="D84" s="2" t="inlineStr">
        <is>
          <t>Ready</t>
        </is>
      </c>
      <c r="E84" s="2" t="inlineStr">
        <is>
          <t>github</t>
        </is>
      </c>
      <c r="F84" s="2" t="inlineStr">
        <is>
          <t>WordPress/openverse</t>
        </is>
      </c>
      <c r="G84" s="2" t="inlineStr"/>
      <c r="H84" s="2" t="inlineStr"/>
      <c r="I84" s="2" t="inlineStr">
        <is>
          <t>yes</t>
        </is>
      </c>
      <c r="J84" s="2" t="inlineStr">
        <is>
          <t>software</t>
        </is>
      </c>
      <c r="K84" s="2" t="inlineStr">
        <is>
          <t>GitHub (same repo)</t>
        </is>
      </c>
      <c r="L84" s="2" t="inlineStr"/>
      <c r="M84" s="2" t="inlineStr">
        <is>
          <t>WordPress/openverse</t>
        </is>
      </c>
      <c r="N84" s="2" t="inlineStr"/>
      <c r="O84" s="2" t="inlineStr"/>
      <c r="P84" s="2" t="inlineStr"/>
      <c r="Q84" s="2" t="inlineStr"/>
      <c r="R84" s="2" t="inlineStr"/>
    </row>
    <row r="85">
      <c r="A85" s="2" t="inlineStr">
        <is>
          <t>C4-084</t>
        </is>
      </c>
      <c r="B85" s="2" t="inlineStr">
        <is>
          <t>O Portal Brasileiro de Publicações e Dados Científicos em Acesso Aberto (The Brazilian Open Access Publications and Scientific Data Portal) (Oasisbr)</t>
        </is>
      </c>
      <c r="C85" s="2" t="inlineStr">
        <is>
          <t>https://github.com/projetos-codic-ibict/oasisbr-vufind</t>
        </is>
      </c>
      <c r="D85" s="2" t="inlineStr">
        <is>
          <t>Replace URL + fork rule (decide branch)</t>
        </is>
      </c>
      <c r="E85" s="2" t="inlineStr">
        <is>
          <t>github</t>
        </is>
      </c>
      <c r="F85" s="2" t="inlineStr">
        <is>
          <t>projetos-codic-ibict/vufind-oasisbr</t>
        </is>
      </c>
      <c r="G85" s="2" t="inlineStr"/>
      <c r="H85" s="2" t="inlineStr">
        <is>
          <t>vufind-org/vufind</t>
        </is>
      </c>
      <c r="I85" s="2" t="inlineStr">
        <is>
          <t>yes</t>
        </is>
      </c>
      <c r="J85" s="2" t="inlineStr">
        <is>
          <t>software</t>
        </is>
      </c>
      <c r="K85" s="2" t="inlineStr">
        <is>
          <t>NONE (no Issues tab)</t>
        </is>
      </c>
      <c r="L85" s="2" t="inlineStr">
        <is>
          <t>Fork of VuFind: upstream commits excluded. Default branch has 0 own commits in window; 88 own commits sit on feat/migration-vufind7-to-11. Decide whether to score that branch</t>
        </is>
      </c>
      <c r="M85" s="2" t="inlineStr"/>
      <c r="N85" s="2" t="inlineStr"/>
      <c r="O85" s="2" t="inlineStr"/>
      <c r="P85" s="2" t="inlineStr"/>
      <c r="Q85" s="2" t="inlineStr"/>
      <c r="R85" s="2" t="inlineStr"/>
    </row>
    <row r="86">
      <c r="A86" s="2" t="inlineStr">
        <is>
          <t>C4-085</t>
        </is>
      </c>
      <c r="B86" s="2" t="inlineStr">
        <is>
          <t>OSF (Open Science Framework)</t>
        </is>
      </c>
      <c r="C86" s="2" t="inlineStr">
        <is>
          <t>https://github.com/CenterForOpenScience/osf.io</t>
        </is>
      </c>
      <c r="D86" s="2" t="inlineStr">
        <is>
          <t>Ready</t>
        </is>
      </c>
      <c r="E86" s="2" t="inlineStr">
        <is>
          <t>github</t>
        </is>
      </c>
      <c r="F86" s="2" t="inlineStr">
        <is>
          <t>CenterForOpenScience/osf.io</t>
        </is>
      </c>
      <c r="G86" s="2" t="inlineStr"/>
      <c r="H86" s="2" t="inlineStr"/>
      <c r="I86" s="2" t="inlineStr">
        <is>
          <t>yes</t>
        </is>
      </c>
      <c r="J86" s="2" t="inlineStr">
        <is>
          <t>software</t>
        </is>
      </c>
      <c r="K86" s="2" t="inlineStr">
        <is>
          <t>GitHub (same repo)</t>
        </is>
      </c>
      <c r="L86" s="2" t="inlineStr"/>
      <c r="M86" s="2" t="inlineStr">
        <is>
          <t>CenterForOpenScience/osf.io</t>
        </is>
      </c>
      <c r="N86" s="2" t="inlineStr"/>
      <c r="O86" s="2" t="inlineStr"/>
      <c r="P86" s="2" t="inlineStr"/>
      <c r="Q86" s="2" t="inlineStr"/>
      <c r="R86" s="2" t="inlineStr"/>
    </row>
    <row r="87">
      <c r="A87" s="2" t="inlineStr">
        <is>
          <t>C4-086</t>
        </is>
      </c>
      <c r="B87" s="2" t="inlineStr">
        <is>
          <t>Oxford Common File Layout</t>
        </is>
      </c>
      <c r="C87" s="2" t="inlineStr">
        <is>
          <t>https://github.com/OCFL/spec</t>
        </is>
      </c>
      <c r="D87" s="2" t="inlineStr">
        <is>
          <t>Exclude: standard</t>
        </is>
      </c>
      <c r="E87" s="2" t="inlineStr">
        <is>
          <t>github</t>
        </is>
      </c>
      <c r="F87" s="2" t="inlineStr">
        <is>
          <t>OCFL/spec</t>
        </is>
      </c>
      <c r="G87" s="2" t="inlineStr"/>
      <c r="H87" s="2" t="inlineStr"/>
      <c r="I87" s="2" t="inlineStr">
        <is>
          <t>no</t>
        </is>
      </c>
      <c r="J87" s="2" t="inlineStr">
        <is>
          <t>standard</t>
        </is>
      </c>
      <c r="K87" s="2" t="inlineStr"/>
      <c r="L87" s="2" t="inlineStr">
        <is>
          <t>Specification</t>
        </is>
      </c>
      <c r="M87" s="2" t="inlineStr">
        <is>
          <t>OCFL/spec</t>
        </is>
      </c>
      <c r="N87" s="2" t="inlineStr"/>
      <c r="O87" s="2" t="inlineStr"/>
      <c r="P87" s="2" t="inlineStr"/>
      <c r="Q87" s="2" t="inlineStr"/>
      <c r="R87" s="2" t="inlineStr"/>
    </row>
    <row r="88">
      <c r="A88" s="2" t="inlineStr">
        <is>
          <t>C4-087</t>
        </is>
      </c>
      <c r="B88" s="2" t="inlineStr">
        <is>
          <t>Peer Community In</t>
        </is>
      </c>
      <c r="C88" s="2" t="inlineStr">
        <is>
          <t>https://github.com/pci-dev/pci</t>
        </is>
      </c>
      <c r="D88" s="2" t="inlineStr">
        <is>
          <t>Ready</t>
        </is>
      </c>
      <c r="E88" s="2" t="inlineStr">
        <is>
          <t>github</t>
        </is>
      </c>
      <c r="F88" s="2" t="inlineStr">
        <is>
          <t>pci-dev/pci</t>
        </is>
      </c>
      <c r="G88" s="2" t="inlineStr"/>
      <c r="H88" s="2" t="inlineStr"/>
      <c r="I88" s="2" t="inlineStr">
        <is>
          <t>yes</t>
        </is>
      </c>
      <c r="J88" s="2" t="inlineStr">
        <is>
          <t>software</t>
        </is>
      </c>
      <c r="K88" s="2" t="inlineStr">
        <is>
          <t>NONE (no Issues tab)</t>
        </is>
      </c>
      <c r="L88" s="2" t="inlineStr"/>
      <c r="M88" s="2" t="inlineStr"/>
      <c r="N88" s="2" t="inlineStr"/>
      <c r="O88" s="2" t="inlineStr"/>
      <c r="P88" s="2" t="inlineStr"/>
      <c r="Q88" s="2" t="inlineStr"/>
      <c r="R88" s="2" t="inlineStr"/>
    </row>
    <row r="89">
      <c r="A89" s="2" t="inlineStr">
        <is>
          <t>C4-088</t>
        </is>
      </c>
      <c r="B89" s="2" t="inlineStr">
        <is>
          <t>PKP Preservation Network</t>
        </is>
      </c>
      <c r="C89" s="2" t="inlineStr">
        <is>
          <t>https://github.com/pkp/pln</t>
        </is>
      </c>
      <c r="D89" s="2" t="inlineStr">
        <is>
          <t>Ready</t>
        </is>
      </c>
      <c r="E89" s="2" t="inlineStr">
        <is>
          <t>github</t>
        </is>
      </c>
      <c r="F89" s="2" t="inlineStr">
        <is>
          <t>pkp/pln</t>
        </is>
      </c>
      <c r="G89" s="2" t="inlineStr"/>
      <c r="H89" s="2" t="inlineStr"/>
      <c r="I89" s="2" t="inlineStr">
        <is>
          <t>yes</t>
        </is>
      </c>
      <c r="J89" s="2" t="inlineStr">
        <is>
          <t>software</t>
        </is>
      </c>
      <c r="K89" s="2" t="inlineStr">
        <is>
          <t>GitHub (same repo)</t>
        </is>
      </c>
      <c r="L89" s="2" t="inlineStr"/>
      <c r="M89" s="2" t="inlineStr">
        <is>
          <t>pkp/pln</t>
        </is>
      </c>
      <c r="N89" s="2" t="inlineStr"/>
      <c r="O89" s="2" t="inlineStr"/>
      <c r="P89" s="2" t="inlineStr"/>
      <c r="Q89" s="2" t="inlineStr"/>
      <c r="R89" s="2" t="inlineStr"/>
    </row>
    <row r="90">
      <c r="A90" s="2" t="inlineStr">
        <is>
          <t>C4-089</t>
        </is>
      </c>
      <c r="B90" s="2" t="inlineStr">
        <is>
          <t>PREreview</t>
        </is>
      </c>
      <c r="C90" s="2" t="inlineStr">
        <is>
          <t>https://github.com/PREreview/prereview.org</t>
        </is>
      </c>
      <c r="D90" s="2" t="inlineStr">
        <is>
          <t>Ready</t>
        </is>
      </c>
      <c r="E90" s="2" t="inlineStr">
        <is>
          <t>github</t>
        </is>
      </c>
      <c r="F90" s="2" t="inlineStr">
        <is>
          <t>PREreview/prereview.org</t>
        </is>
      </c>
      <c r="G90" s="2" t="inlineStr"/>
      <c r="H90" s="2" t="inlineStr"/>
      <c r="I90" s="2" t="inlineStr">
        <is>
          <t>yes</t>
        </is>
      </c>
      <c r="J90" s="2" t="inlineStr">
        <is>
          <t>software</t>
        </is>
      </c>
      <c r="K90" s="2" t="inlineStr">
        <is>
          <t>GitHub (same repo)</t>
        </is>
      </c>
      <c r="L90" s="2" t="inlineStr"/>
      <c r="M90" s="2" t="inlineStr">
        <is>
          <t>PREreview/prereview.org</t>
        </is>
      </c>
      <c r="N90" s="2" t="inlineStr"/>
      <c r="O90" s="2" t="inlineStr"/>
      <c r="P90" s="2" t="inlineStr"/>
      <c r="Q90" s="2" t="inlineStr"/>
      <c r="R90" s="2" t="inlineStr"/>
    </row>
    <row r="91">
      <c r="A91" s="2" t="inlineStr">
        <is>
          <t>C4-090</t>
        </is>
      </c>
      <c r="B91" s="2" t="inlineStr">
        <is>
          <t>Pressbooks</t>
        </is>
      </c>
      <c r="C91" s="2" t="inlineStr">
        <is>
          <t>https://github.com/pressbooks/pressbooks</t>
        </is>
      </c>
      <c r="D91" s="2" t="inlineStr">
        <is>
          <t>Ready</t>
        </is>
      </c>
      <c r="E91" s="2" t="inlineStr">
        <is>
          <t>github</t>
        </is>
      </c>
      <c r="F91" s="2" t="inlineStr">
        <is>
          <t>pressbooks/pressbooks</t>
        </is>
      </c>
      <c r="G91" s="2" t="inlineStr"/>
      <c r="H91" s="2" t="inlineStr"/>
      <c r="I91" s="2" t="inlineStr">
        <is>
          <t>yes</t>
        </is>
      </c>
      <c r="J91" s="2" t="inlineStr">
        <is>
          <t>software</t>
        </is>
      </c>
      <c r="K91" s="2" t="inlineStr">
        <is>
          <t>GitHub (same repo)</t>
        </is>
      </c>
      <c r="L91" s="2" t="inlineStr"/>
      <c r="M91" s="2" t="inlineStr">
        <is>
          <t>pressbooks/pressbooks</t>
        </is>
      </c>
      <c r="N91" s="2" t="inlineStr"/>
      <c r="O91" s="2" t="inlineStr"/>
      <c r="P91" s="2" t="inlineStr"/>
      <c r="Q91" s="2" t="inlineStr"/>
      <c r="R91" s="2" t="inlineStr"/>
    </row>
    <row r="92">
      <c r="A92" s="2" t="inlineStr">
        <is>
          <t>C4-091</t>
        </is>
      </c>
      <c r="B92" s="2" t="inlineStr">
        <is>
          <t>Public Access Submission System</t>
        </is>
      </c>
      <c r="C92" s="2" t="inlineStr">
        <is>
          <t>https://github.com/eclipse-pass/main</t>
        </is>
      </c>
      <c r="D92" s="2" t="inlineStr">
        <is>
          <t>Ready -&gt; umbrella expanded to product set</t>
        </is>
      </c>
      <c r="E92" s="2" t="inlineStr">
        <is>
          <t>github</t>
        </is>
      </c>
      <c r="F92" s="2" t="inlineStr">
        <is>
          <t>eclipse-pass/main;eclipse-pass/pass-core;eclipse-pass/pass-ui</t>
        </is>
      </c>
      <c r="G92" s="2" t="inlineStr"/>
      <c r="H92" s="2" t="inlineStr"/>
      <c r="I92" s="2" t="inlineStr">
        <is>
          <t>yes</t>
        </is>
      </c>
      <c r="J92" s="2" t="inlineStr">
        <is>
          <t>software</t>
        </is>
      </c>
      <c r="K92" s="2" t="inlineStr">
        <is>
          <t>GitHub (umbrella repo eclipse-pass/main)</t>
        </is>
      </c>
      <c r="L92" s="2" t="inlineStr">
        <is>
          <t>Umbrella repo; code lives in sub-repos, scored as a set</t>
        </is>
      </c>
      <c r="M92" s="2" t="inlineStr">
        <is>
          <t>eclipse-pass/main</t>
        </is>
      </c>
      <c r="N92" s="2" t="inlineStr"/>
      <c r="O92" s="2" t="inlineStr"/>
      <c r="P92" s="2" t="inlineStr"/>
      <c r="Q92" s="2" t="inlineStr"/>
      <c r="R92" s="2" t="inlineStr"/>
    </row>
    <row r="93">
      <c r="A93" s="2" t="inlineStr">
        <is>
          <t>C4-092</t>
        </is>
      </c>
      <c r="B93" s="2" t="inlineStr">
        <is>
          <t>Public Utility Data Liberation (PUDL)</t>
        </is>
      </c>
      <c r="C93" s="2" t="inlineStr">
        <is>
          <t>https://github.com/catalyst-cooperative/pudl/</t>
        </is>
      </c>
      <c r="D93" s="2" t="inlineStr">
        <is>
          <t>Ready</t>
        </is>
      </c>
      <c r="E93" s="2" t="inlineStr">
        <is>
          <t>github</t>
        </is>
      </c>
      <c r="F93" s="2" t="inlineStr">
        <is>
          <t>catalyst-cooperative/pudl</t>
        </is>
      </c>
      <c r="G93" s="2" t="inlineStr"/>
      <c r="H93" s="2" t="inlineStr"/>
      <c r="I93" s="2" t="inlineStr">
        <is>
          <t>yes</t>
        </is>
      </c>
      <c r="J93" s="2" t="inlineStr">
        <is>
          <t>software</t>
        </is>
      </c>
      <c r="K93" s="2" t="inlineStr">
        <is>
          <t>GitHub (same repo)</t>
        </is>
      </c>
      <c r="L93" s="2" t="inlineStr"/>
      <c r="M93" s="2" t="inlineStr">
        <is>
          <t>catalyst-cooperative/pudl</t>
        </is>
      </c>
      <c r="N93" s="2" t="inlineStr"/>
      <c r="O93" s="2" t="inlineStr"/>
      <c r="P93" s="2" t="inlineStr"/>
      <c r="Q93" s="2" t="inlineStr"/>
      <c r="R93" s="2" t="inlineStr"/>
    </row>
    <row r="94">
      <c r="A94" s="2" t="inlineStr">
        <is>
          <t>C4-093</t>
        </is>
      </c>
      <c r="B94" s="2" t="inlineStr">
        <is>
          <t>PubPub</t>
        </is>
      </c>
      <c r="C94" s="2" t="inlineStr">
        <is>
          <t>https://github.com/pubpub/pubpub-editor</t>
        </is>
      </c>
      <c r="D94" s="2" t="inlineStr">
        <is>
          <t>Replace URL</t>
        </is>
      </c>
      <c r="E94" s="2" t="inlineStr">
        <is>
          <t>github</t>
        </is>
      </c>
      <c r="F94" s="2" t="inlineStr">
        <is>
          <t>knowledgefutures/pubpub</t>
        </is>
      </c>
      <c r="G94" s="2" t="inlineStr"/>
      <c r="H94" s="2" t="inlineStr"/>
      <c r="I94" s="2" t="inlineStr">
        <is>
          <t>yes</t>
        </is>
      </c>
      <c r="J94" s="2" t="inlineStr">
        <is>
          <t>software</t>
        </is>
      </c>
      <c r="K94" s="2" t="inlineStr">
        <is>
          <t>GitHub: pubpub/pubpub (verify)</t>
        </is>
      </c>
      <c r="L94" s="2" t="inlineStr">
        <is>
          <t>pubpub-editor idle since 2020; knowledgefutures/pubpub is the active platform (pubpub/platform = v7, last commit Jun 2026)</t>
        </is>
      </c>
      <c r="M94" s="2" t="inlineStr">
        <is>
          <t>pubpub/pubpub</t>
        </is>
      </c>
      <c r="N94" s="2" t="inlineStr"/>
      <c r="O94" s="2" t="inlineStr"/>
      <c r="P94" s="2" t="inlineStr"/>
      <c r="Q94" s="2" t="inlineStr"/>
      <c r="R94" s="2" t="inlineStr"/>
    </row>
    <row r="95">
      <c r="A95" s="2" t="inlineStr">
        <is>
          <t>C4-094</t>
        </is>
      </c>
      <c r="B95" s="2" t="inlineStr">
        <is>
          <t>Pundit</t>
        </is>
      </c>
      <c r="C95" s="2" t="inlineStr">
        <is>
          <t>https://github.com/net7/pundit-client</t>
        </is>
      </c>
      <c r="D95" s="2" t="inlineStr">
        <is>
          <t>Ready</t>
        </is>
      </c>
      <c r="E95" s="2" t="inlineStr">
        <is>
          <t>github</t>
        </is>
      </c>
      <c r="F95" s="2" t="inlineStr">
        <is>
          <t>net7/pundit-client</t>
        </is>
      </c>
      <c r="G95" s="2" t="inlineStr"/>
      <c r="H95" s="2" t="inlineStr"/>
      <c r="I95" s="2" t="inlineStr">
        <is>
          <t>yes</t>
        </is>
      </c>
      <c r="J95" s="2" t="inlineStr">
        <is>
          <t>software</t>
        </is>
      </c>
      <c r="K95" s="2" t="inlineStr">
        <is>
          <t>GitHub (count not shown)</t>
        </is>
      </c>
      <c r="L95" s="2" t="inlineStr"/>
      <c r="M95" s="2" t="inlineStr">
        <is>
          <t>net7/pundit-client</t>
        </is>
      </c>
      <c r="N95" s="2" t="inlineStr"/>
      <c r="O95" s="2" t="inlineStr"/>
      <c r="P95" s="2" t="inlineStr"/>
      <c r="Q95" s="2" t="inlineStr"/>
      <c r="R95" s="2" t="inlineStr"/>
    </row>
    <row r="96">
      <c r="A96" s="2" t="inlineStr">
        <is>
          <t>C4-095</t>
        </is>
      </c>
      <c r="B96" s="2" t="inlineStr">
        <is>
          <t>pyOpenSci</t>
        </is>
      </c>
      <c r="C96" s="2" t="inlineStr">
        <is>
          <t>https://github.com/pyOpenSci/pyopensci.github.io</t>
        </is>
      </c>
      <c r="D96" s="2" t="inlineStr">
        <is>
          <t>Not assessable</t>
        </is>
      </c>
      <c r="E96" s="2" t="inlineStr"/>
      <c r="F96" s="2" t="inlineStr"/>
      <c r="G96" s="2" t="inlineStr"/>
      <c r="H96" s="2" t="inlineStr"/>
      <c r="I96" s="2" t="inlineStr">
        <is>
          <t>no</t>
        </is>
      </c>
      <c r="J96" s="2" t="inlineStr">
        <is>
          <t>not-assessable</t>
        </is>
      </c>
      <c r="K96" s="2" t="inlineStr"/>
      <c r="L96" s="2" t="inlineStr">
        <is>
          <t>Community organisation; listed repo is its website</t>
        </is>
      </c>
      <c r="M96" s="2" t="inlineStr"/>
      <c r="N96" s="2" t="inlineStr"/>
      <c r="O96" s="2" t="inlineStr"/>
      <c r="P96" s="2" t="inlineStr"/>
      <c r="Q96" s="2" t="inlineStr"/>
      <c r="R96" s="2" t="inlineStr"/>
    </row>
    <row r="97">
      <c r="A97" s="2" t="inlineStr">
        <is>
          <t>C4-096</t>
        </is>
      </c>
      <c r="B97" s="2" t="inlineStr">
        <is>
          <t>Renku</t>
        </is>
      </c>
      <c r="C97" s="2" t="inlineStr">
        <is>
          <t>https://github.com/SwissDataScienceCenter/renku</t>
        </is>
      </c>
      <c r="D97" s="2" t="inlineStr">
        <is>
          <t>Ready -&gt; umbrella expanded to product set</t>
        </is>
      </c>
      <c r="E97" s="2" t="inlineStr">
        <is>
          <t>github</t>
        </is>
      </c>
      <c r="F97" s="2" t="inlineStr">
        <is>
          <t>SwissDataScienceCenter/renku;SwissDataScienceCenter/renku-data-services;SwissDataScienceCenter/renku-ui</t>
        </is>
      </c>
      <c r="G97" s="2" t="inlineStr"/>
      <c r="H97" s="2" t="inlineStr"/>
      <c r="I97" s="2" t="inlineStr">
        <is>
          <t>yes</t>
        </is>
      </c>
      <c r="J97" s="2" t="inlineStr">
        <is>
          <t>software</t>
        </is>
      </c>
      <c r="K97" s="2" t="inlineStr">
        <is>
          <t>GitHub (umbrella repo renku)</t>
        </is>
      </c>
      <c r="L97" s="2" t="inlineStr">
        <is>
          <t>Umbrella repo; code lives in sub-repos, scored as a set</t>
        </is>
      </c>
      <c r="M97" s="2" t="inlineStr">
        <is>
          <t>SwissDataScienceCenter/renku</t>
        </is>
      </c>
      <c r="N97" s="2" t="inlineStr"/>
      <c r="O97" s="2" t="inlineStr"/>
      <c r="P97" s="2" t="inlineStr"/>
      <c r="Q97" s="2" t="inlineStr"/>
      <c r="R97" s="2" t="inlineStr"/>
    </row>
    <row r="98">
      <c r="A98" s="2" t="inlineStr">
        <is>
          <t>C4-097</t>
        </is>
      </c>
      <c r="B98" s="2" t="inlineStr">
        <is>
          <t>RePEc</t>
        </is>
      </c>
      <c r="C98" s="2" t="inlineStr">
        <is>
          <t>https://github.com/repec-org/Scripts</t>
        </is>
      </c>
      <c r="D98" s="2" t="inlineStr">
        <is>
          <t>Not assessable</t>
        </is>
      </c>
      <c r="E98" s="2" t="inlineStr"/>
      <c r="F98" s="2" t="inlineStr"/>
      <c r="G98" s="2" t="inlineStr"/>
      <c r="H98" s="2" t="inlineStr"/>
      <c r="I98" s="2" t="inlineStr">
        <is>
          <t>no</t>
        </is>
      </c>
      <c r="J98" s="2" t="inlineStr">
        <is>
          <t>not-assessable</t>
        </is>
      </c>
      <c r="K98" s="2" t="inlineStr"/>
      <c r="L98" s="2" t="inlineStr">
        <is>
          <t>Listed repo is helper scripts idle since 2017; core RePEc services are not on GitHub</t>
        </is>
      </c>
      <c r="M98" s="2" t="inlineStr"/>
      <c r="N98" s="2" t="inlineStr"/>
      <c r="O98" s="2" t="inlineStr"/>
      <c r="P98" s="2" t="inlineStr"/>
      <c r="Q98" s="2" t="inlineStr"/>
      <c r="R98" s="2" t="inlineStr"/>
    </row>
    <row r="99">
      <c r="A99" s="2" t="inlineStr">
        <is>
          <t>C4-098</t>
        </is>
      </c>
      <c r="B99" s="2" t="inlineStr">
        <is>
          <t>Research Organization Registry (ROR)</t>
        </is>
      </c>
      <c r="C99" s="2" t="inlineStr">
        <is>
          <t>https://github.com/ror-community/ror-site</t>
        </is>
      </c>
      <c r="D99" s="2" t="inlineStr">
        <is>
          <t>Replace URL</t>
        </is>
      </c>
      <c r="E99" s="2" t="inlineStr">
        <is>
          <t>github</t>
        </is>
      </c>
      <c r="F99" s="2" t="inlineStr">
        <is>
          <t>ror-community/ror-api</t>
        </is>
      </c>
      <c r="G99" s="2" t="inlineStr"/>
      <c r="H99" s="2" t="inlineStr"/>
      <c r="I99" s="2" t="inlineStr">
        <is>
          <t>yes</t>
        </is>
      </c>
      <c r="J99" s="2" t="inlineStr">
        <is>
          <t>software</t>
        </is>
      </c>
      <c r="K99" s="2" t="inlineStr">
        <is>
          <t>GitHub Issues show 0 open - ROR may track elsewhere; verify</t>
        </is>
      </c>
      <c r="L99" s="2" t="inlineStr">
        <is>
          <t>ror-site is the website; ror-api is the registry service</t>
        </is>
      </c>
      <c r="M99" s="2" t="inlineStr">
        <is>
          <t>ror-community/ror-api</t>
        </is>
      </c>
      <c r="N99" s="2" t="inlineStr"/>
      <c r="O99" s="2" t="inlineStr"/>
      <c r="P99" s="2" t="inlineStr"/>
      <c r="Q99" s="2" t="inlineStr"/>
      <c r="R99" s="2" t="inlineStr"/>
    </row>
    <row r="100">
      <c r="A100" s="2" t="inlineStr">
        <is>
          <t>C4-099</t>
        </is>
      </c>
      <c r="B100" s="2" t="inlineStr">
        <is>
          <t>Rogue Scholar</t>
        </is>
      </c>
      <c r="C100" s="2" t="inlineStr">
        <is>
          <t>https://github.com/front-matter/rogue-scholar</t>
        </is>
      </c>
      <c r="D100" s="2" t="inlineStr">
        <is>
          <t>Ready</t>
        </is>
      </c>
      <c r="E100" s="2" t="inlineStr">
        <is>
          <t>github</t>
        </is>
      </c>
      <c r="F100" s="2" t="inlineStr">
        <is>
          <t>front-matter/rogue-scholar</t>
        </is>
      </c>
      <c r="G100" s="2" t="inlineStr"/>
      <c r="H100" s="2" t="inlineStr"/>
      <c r="I100" s="2" t="inlineStr">
        <is>
          <t>yes</t>
        </is>
      </c>
      <c r="J100" s="2" t="inlineStr">
        <is>
          <t>software</t>
        </is>
      </c>
      <c r="K100" s="2" t="inlineStr">
        <is>
          <t>GitHub (same repo)</t>
        </is>
      </c>
      <c r="L100" s="2" t="inlineStr"/>
      <c r="M100" s="2" t="inlineStr">
        <is>
          <t>front-matter/rogue-scholar</t>
        </is>
      </c>
      <c r="N100" s="2" t="inlineStr"/>
      <c r="O100" s="2" t="inlineStr"/>
      <c r="P100" s="2" t="inlineStr"/>
      <c r="Q100" s="2" t="inlineStr"/>
      <c r="R100" s="2" t="inlineStr"/>
    </row>
    <row r="101">
      <c r="A101" s="2" t="inlineStr">
        <is>
          <t>C4-100</t>
        </is>
      </c>
      <c r="B101" s="2" t="inlineStr">
        <is>
          <t>RSpace</t>
        </is>
      </c>
      <c r="C101" s="2" t="inlineStr">
        <is>
          <t>https://github.com/rspace-os/rspace-web</t>
        </is>
      </c>
      <c r="D101" s="2" t="inlineStr">
        <is>
          <t>Ready</t>
        </is>
      </c>
      <c r="E101" s="2" t="inlineStr">
        <is>
          <t>github</t>
        </is>
      </c>
      <c r="F101" s="2" t="inlineStr">
        <is>
          <t>rspace-os/rspace-web</t>
        </is>
      </c>
      <c r="G101" s="2" t="inlineStr"/>
      <c r="H101" s="2" t="inlineStr"/>
      <c r="I101" s="2" t="inlineStr">
        <is>
          <t>yes</t>
        </is>
      </c>
      <c r="J101" s="2" t="inlineStr">
        <is>
          <t>software</t>
        </is>
      </c>
      <c r="K101" s="2" t="inlineStr">
        <is>
          <t>GitHub (same repo)</t>
        </is>
      </c>
      <c r="L101" s="2" t="inlineStr"/>
      <c r="M101" s="2" t="inlineStr">
        <is>
          <t>rspace-os/rspace-web</t>
        </is>
      </c>
      <c r="N101" s="2" t="inlineStr"/>
      <c r="O101" s="2" t="inlineStr"/>
      <c r="P101" s="2" t="inlineStr"/>
      <c r="Q101" s="2" t="inlineStr"/>
      <c r="R101" s="2" t="inlineStr"/>
    </row>
    <row r="102">
      <c r="A102" s="2" t="inlineStr">
        <is>
          <t>C4-101</t>
        </is>
      </c>
      <c r="B102" s="2" t="inlineStr">
        <is>
          <t>Sciety</t>
        </is>
      </c>
      <c r="C102" s="2" t="inlineStr">
        <is>
          <t>https://github.com/sciety/sciety</t>
        </is>
      </c>
      <c r="D102" s="2" t="inlineStr">
        <is>
          <t>Ready</t>
        </is>
      </c>
      <c r="E102" s="2" t="inlineStr">
        <is>
          <t>github</t>
        </is>
      </c>
      <c r="F102" s="2" t="inlineStr">
        <is>
          <t>sciety/sciety</t>
        </is>
      </c>
      <c r="G102" s="2" t="inlineStr"/>
      <c r="H102" s="2" t="inlineStr"/>
      <c r="I102" s="2" t="inlineStr">
        <is>
          <t>yes</t>
        </is>
      </c>
      <c r="J102" s="2" t="inlineStr">
        <is>
          <t>software</t>
        </is>
      </c>
      <c r="K102" s="2" t="inlineStr">
        <is>
          <t>GitHub, barely used (2 open)</t>
        </is>
      </c>
      <c r="L102" s="2" t="inlineStr"/>
      <c r="M102" s="2" t="inlineStr">
        <is>
          <t>sciety/sciety</t>
        </is>
      </c>
      <c r="N102" s="2" t="inlineStr"/>
      <c r="O102" s="2" t="inlineStr"/>
      <c r="P102" s="2" t="inlineStr"/>
      <c r="Q102" s="2" t="inlineStr"/>
      <c r="R102" s="2" t="inlineStr"/>
    </row>
    <row r="103">
      <c r="A103" s="2" t="inlineStr">
        <is>
          <t>C4-102</t>
        </is>
      </c>
      <c r="B103" s="2" t="inlineStr">
        <is>
          <t>Synapse</t>
        </is>
      </c>
      <c r="C103" s="2" t="inlineStr">
        <is>
          <t>https://github.com/Sage-Bionetworks/Synapse-Repository-Services</t>
        </is>
      </c>
      <c r="D103" s="2" t="inlineStr">
        <is>
          <t>Ready</t>
        </is>
      </c>
      <c r="E103" s="2" t="inlineStr">
        <is>
          <t>github</t>
        </is>
      </c>
      <c r="F103" s="2" t="inlineStr">
        <is>
          <t>Sage-Bionetworks/Synapse-Repository-Services</t>
        </is>
      </c>
      <c r="G103" s="2" t="inlineStr"/>
      <c r="H103" s="2" t="inlineStr"/>
      <c r="I103" s="2" t="inlineStr">
        <is>
          <t>yes</t>
        </is>
      </c>
      <c r="J103" s="2" t="inlineStr">
        <is>
          <t>software</t>
        </is>
      </c>
      <c r="K103" s="2" t="inlineStr">
        <is>
          <t>Jira (sagebionetworks.jira.com)</t>
        </is>
      </c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</row>
    <row r="104">
      <c r="A104" s="2" t="inlineStr">
        <is>
          <t>C4-103</t>
        </is>
      </c>
      <c r="B104" s="2" t="inlineStr">
        <is>
          <t>TagTeam</t>
        </is>
      </c>
      <c r="C104" s="2" t="inlineStr">
        <is>
          <t>https://github.com/berkmancenter/tagteam</t>
        </is>
      </c>
      <c r="D104" s="2" t="inlineStr">
        <is>
          <t>Keep (dormant)</t>
        </is>
      </c>
      <c r="E104" s="2" t="inlineStr">
        <is>
          <t>github</t>
        </is>
      </c>
      <c r="F104" s="2" t="inlineStr">
        <is>
          <t>berkmancenter/tagteam</t>
        </is>
      </c>
      <c r="G104" s="2" t="inlineStr"/>
      <c r="H104" s="2" t="inlineStr"/>
      <c r="I104" s="2" t="inlineStr">
        <is>
          <t>yes</t>
        </is>
      </c>
      <c r="J104" s="2" t="inlineStr">
        <is>
          <t>software</t>
        </is>
      </c>
      <c r="K104" s="2" t="inlineStr">
        <is>
          <t>GitHub (same repo)</t>
        </is>
      </c>
      <c r="L104" s="2" t="inlineStr">
        <is>
          <t>No commits since 2020</t>
        </is>
      </c>
      <c r="M104" s="2" t="inlineStr">
        <is>
          <t>berkmancenter/tagteam</t>
        </is>
      </c>
      <c r="N104" s="2" t="inlineStr"/>
      <c r="O104" s="2" t="inlineStr"/>
      <c r="P104" s="2" t="inlineStr"/>
      <c r="Q104" s="2" t="inlineStr"/>
      <c r="R104" s="2" t="inlineStr"/>
    </row>
    <row r="105">
      <c r="A105" s="2" t="inlineStr">
        <is>
          <t>C4-104</t>
        </is>
      </c>
      <c r="B105" s="2" t="inlineStr">
        <is>
          <t>Thoth Open Metadata</t>
        </is>
      </c>
      <c r="C105" s="2" t="inlineStr">
        <is>
          <t>https://github.com/thoth-pub/thoth</t>
        </is>
      </c>
      <c r="D105" s="2" t="inlineStr">
        <is>
          <t>Ready</t>
        </is>
      </c>
      <c r="E105" s="2" t="inlineStr">
        <is>
          <t>github</t>
        </is>
      </c>
      <c r="F105" s="2" t="inlineStr">
        <is>
          <t>thoth-pub/thoth</t>
        </is>
      </c>
      <c r="G105" s="2" t="inlineStr"/>
      <c r="H105" s="2" t="inlineStr"/>
      <c r="I105" s="2" t="inlineStr">
        <is>
          <t>yes</t>
        </is>
      </c>
      <c r="J105" s="2" t="inlineStr">
        <is>
          <t>software</t>
        </is>
      </c>
      <c r="K105" s="2" t="inlineStr">
        <is>
          <t>GitHub (same repo)</t>
        </is>
      </c>
      <c r="L105" s="2" t="inlineStr"/>
      <c r="M105" s="2" t="inlineStr">
        <is>
          <t>thoth-pub/thoth</t>
        </is>
      </c>
      <c r="N105" s="2" t="inlineStr"/>
      <c r="O105" s="2" t="inlineStr"/>
      <c r="P105" s="2" t="inlineStr"/>
      <c r="Q105" s="2" t="inlineStr"/>
      <c r="R105" s="2" t="inlineStr"/>
    </row>
    <row r="106">
      <c r="A106" s="2" t="inlineStr">
        <is>
          <t>C4-105</t>
        </is>
      </c>
      <c r="B106" s="2" t="inlineStr">
        <is>
          <t>Tropy</t>
        </is>
      </c>
      <c r="C106" s="2" t="inlineStr">
        <is>
          <t>https://github.com/tropy/tropy</t>
        </is>
      </c>
      <c r="D106" s="2" t="inlineStr">
        <is>
          <t>Ready</t>
        </is>
      </c>
      <c r="E106" s="2" t="inlineStr">
        <is>
          <t>github</t>
        </is>
      </c>
      <c r="F106" s="2" t="inlineStr">
        <is>
          <t>tropy/tropy</t>
        </is>
      </c>
      <c r="G106" s="2" t="inlineStr"/>
      <c r="H106" s="2" t="inlineStr"/>
      <c r="I106" s="2" t="inlineStr">
        <is>
          <t>yes</t>
        </is>
      </c>
      <c r="J106" s="2" t="inlineStr">
        <is>
          <t>software</t>
        </is>
      </c>
      <c r="K106" s="2" t="inlineStr">
        <is>
          <t>GitHub (same repo)</t>
        </is>
      </c>
      <c r="L106" s="2" t="inlineStr"/>
      <c r="M106" s="2" t="inlineStr">
        <is>
          <t>tropy/tropy</t>
        </is>
      </c>
      <c r="N106" s="2" t="inlineStr"/>
      <c r="O106" s="2" t="inlineStr"/>
      <c r="P106" s="2" t="inlineStr"/>
      <c r="Q106" s="2" t="inlineStr"/>
      <c r="R106" s="2" t="inlineStr"/>
    </row>
    <row r="107">
      <c r="A107" s="2" t="inlineStr">
        <is>
          <t>C4-106</t>
        </is>
      </c>
      <c r="B107" s="2" t="inlineStr">
        <is>
          <t>veraPDF</t>
        </is>
      </c>
      <c r="C107" s="2" t="inlineStr">
        <is>
          <t>https://github.com/veraPDF/veraPDF-library</t>
        </is>
      </c>
      <c r="D107" s="2" t="inlineStr">
        <is>
          <t>Ready</t>
        </is>
      </c>
      <c r="E107" s="2" t="inlineStr">
        <is>
          <t>github</t>
        </is>
      </c>
      <c r="F107" s="2" t="inlineStr">
        <is>
          <t>veraPDF/veraPDF-library</t>
        </is>
      </c>
      <c r="G107" s="2" t="inlineStr"/>
      <c r="H107" s="2" t="inlineStr"/>
      <c r="I107" s="2" t="inlineStr">
        <is>
          <t>yes</t>
        </is>
      </c>
      <c r="J107" s="2" t="inlineStr">
        <is>
          <t>software</t>
        </is>
      </c>
      <c r="K107" s="2" t="inlineStr">
        <is>
          <t>GitHub (same repo)</t>
        </is>
      </c>
      <c r="L107" s="2" t="inlineStr"/>
      <c r="M107" s="2" t="inlineStr">
        <is>
          <t>veraPDF/veraPDF-library</t>
        </is>
      </c>
      <c r="N107" s="2" t="inlineStr"/>
      <c r="O107" s="2" t="inlineStr"/>
      <c r="P107" s="2" t="inlineStr"/>
      <c r="Q107" s="2" t="inlineStr"/>
      <c r="R107" s="2" t="inlineStr"/>
    </row>
    <row r="108">
      <c r="A108" s="2" t="inlineStr">
        <is>
          <t>C4-107</t>
        </is>
      </c>
      <c r="B108" s="2" t="inlineStr">
        <is>
          <t>ViPER</t>
        </is>
      </c>
      <c r="C108" s="2" t="inlineStr">
        <is>
          <t>https://github.com/openpreserve/ViPER</t>
        </is>
      </c>
      <c r="D108" s="2" t="inlineStr">
        <is>
          <t>Ready</t>
        </is>
      </c>
      <c r="E108" s="2" t="inlineStr">
        <is>
          <t>github</t>
        </is>
      </c>
      <c r="F108" s="2" t="inlineStr">
        <is>
          <t>openpreserve/ViPER</t>
        </is>
      </c>
      <c r="G108" s="2" t="inlineStr"/>
      <c r="H108" s="2" t="inlineStr"/>
      <c r="I108" s="2" t="inlineStr">
        <is>
          <t>yes</t>
        </is>
      </c>
      <c r="J108" s="2" t="inlineStr">
        <is>
          <t>software</t>
        </is>
      </c>
      <c r="K108" s="2" t="inlineStr">
        <is>
          <t>GitHub (same repo)</t>
        </is>
      </c>
      <c r="L108" s="2" t="inlineStr"/>
      <c r="M108" s="2" t="inlineStr">
        <is>
          <t>openpreserve/ViPER</t>
        </is>
      </c>
      <c r="N108" s="2" t="inlineStr"/>
      <c r="O108" s="2" t="inlineStr"/>
      <c r="P108" s="2" t="inlineStr"/>
      <c r="Q108" s="2" t="inlineStr"/>
      <c r="R108" s="2" t="inlineStr"/>
    </row>
    <row r="109">
      <c r="A109" s="2" t="inlineStr">
        <is>
          <t>C4-108</t>
        </is>
      </c>
      <c r="B109" s="2" t="inlineStr">
        <is>
          <t>Vireo ETD</t>
        </is>
      </c>
      <c r="C109" s="2" t="inlineStr">
        <is>
          <t>https://github.com/TexasDigitalLibrary/Vireo</t>
        </is>
      </c>
      <c r="D109" s="2" t="inlineStr">
        <is>
          <t>Ready</t>
        </is>
      </c>
      <c r="E109" s="2" t="inlineStr">
        <is>
          <t>github</t>
        </is>
      </c>
      <c r="F109" s="2" t="inlineStr">
        <is>
          <t>TexasDigitalLibrary/Vireo</t>
        </is>
      </c>
      <c r="G109" s="2" t="inlineStr"/>
      <c r="H109" s="2" t="inlineStr"/>
      <c r="I109" s="2" t="inlineStr">
        <is>
          <t>yes</t>
        </is>
      </c>
      <c r="J109" s="2" t="inlineStr">
        <is>
          <t>software</t>
        </is>
      </c>
      <c r="K109" s="2" t="inlineStr">
        <is>
          <t>GitHub (same repo)</t>
        </is>
      </c>
      <c r="L109" s="2" t="inlineStr"/>
      <c r="M109" s="2" t="inlineStr">
        <is>
          <t>TexasDigitalLibrary/Vireo</t>
        </is>
      </c>
      <c r="N109" s="2" t="inlineStr"/>
      <c r="O109" s="2" t="inlineStr"/>
      <c r="P109" s="2" t="inlineStr"/>
      <c r="Q109" s="2" t="inlineStr"/>
      <c r="R109" s="2" t="inlineStr"/>
    </row>
    <row r="110">
      <c r="A110" s="2" t="inlineStr">
        <is>
          <t>C4-109</t>
        </is>
      </c>
      <c r="B110" s="2" t="inlineStr">
        <is>
          <t>VIVO</t>
        </is>
      </c>
      <c r="C110" s="2" t="inlineStr">
        <is>
          <t>https://github.com/vivo-project/VIVO</t>
        </is>
      </c>
      <c r="D110" s="2" t="inlineStr">
        <is>
          <t>Ready -&gt; umbrella expanded to product set</t>
        </is>
      </c>
      <c r="E110" s="2" t="inlineStr">
        <is>
          <t>github</t>
        </is>
      </c>
      <c r="F110" s="2" t="inlineStr">
        <is>
          <t>vivo-project/VIVO;vivo-project/Vitro</t>
        </is>
      </c>
      <c r="G110" s="2" t="inlineStr"/>
      <c r="H110" s="2" t="inlineStr"/>
      <c r="I110" s="2" t="inlineStr">
        <is>
          <t>yes</t>
        </is>
      </c>
      <c r="J110" s="2" t="inlineStr">
        <is>
          <t>software</t>
        </is>
      </c>
      <c r="K110" s="2" t="inlineStr">
        <is>
          <t>GitHub (VIVO + Vitro)</t>
        </is>
      </c>
      <c r="L110" s="2" t="inlineStr">
        <is>
          <t>Umbrella repo; code lives in sub-repos, scored as a set</t>
        </is>
      </c>
      <c r="M110" s="2" t="inlineStr">
        <is>
          <t>vivo-project/VIVO</t>
        </is>
      </c>
      <c r="N110" s="2" t="inlineStr"/>
      <c r="O110" s="2" t="inlineStr"/>
      <c r="P110" s="2" t="inlineStr"/>
      <c r="Q110" s="2" t="inlineStr"/>
      <c r="R110" s="2" t="inlineStr"/>
    </row>
    <row r="111">
      <c r="A111" s="2" t="inlineStr">
        <is>
          <t>C4-110</t>
        </is>
      </c>
      <c r="B111" s="2" t="inlineStr">
        <is>
          <t>VuFind®</t>
        </is>
      </c>
      <c r="C111" s="2" t="inlineStr">
        <is>
          <t>https://github.com/vufind-org/vufind</t>
        </is>
      </c>
      <c r="D111" s="2" t="inlineStr">
        <is>
          <t>Ready</t>
        </is>
      </c>
      <c r="E111" s="2" t="inlineStr">
        <is>
          <t>github</t>
        </is>
      </c>
      <c r="F111" s="2" t="inlineStr">
        <is>
          <t>vufind-org/vufind</t>
        </is>
      </c>
      <c r="G111" s="2" t="inlineStr"/>
      <c r="H111" s="2" t="inlineStr"/>
      <c r="I111" s="2" t="inlineStr">
        <is>
          <t>yes</t>
        </is>
      </c>
      <c r="J111" s="2" t="inlineStr">
        <is>
          <t>software</t>
        </is>
      </c>
      <c r="K111" s="2" t="inlineStr">
        <is>
          <t>Jira (vufind.org/jira)</t>
        </is>
      </c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</row>
    <row r="112">
      <c r="A112" s="2" t="inlineStr">
        <is>
          <t>C4-111</t>
        </is>
      </c>
      <c r="B112" s="2" t="inlineStr">
        <is>
          <t>Zenodo</t>
        </is>
      </c>
      <c r="C112" s="2" t="inlineStr">
        <is>
          <t>https://github.com/zenodo/zenodo-rdm</t>
        </is>
      </c>
      <c r="D112" s="2" t="inlineStr">
        <is>
          <t>Ready</t>
        </is>
      </c>
      <c r="E112" s="2" t="inlineStr">
        <is>
          <t>github</t>
        </is>
      </c>
      <c r="F112" s="2" t="inlineStr">
        <is>
          <t>zenodo/zenodo-rdm</t>
        </is>
      </c>
      <c r="G112" s="2" t="inlineStr"/>
      <c r="H112" s="2" t="inlineStr"/>
      <c r="I112" s="2" t="inlineStr">
        <is>
          <t>yes</t>
        </is>
      </c>
      <c r="J112" s="2" t="inlineStr">
        <is>
          <t>software</t>
        </is>
      </c>
      <c r="K112" s="2" t="inlineStr">
        <is>
          <t>GitHub (same repo)</t>
        </is>
      </c>
      <c r="L112" s="2" t="inlineStr"/>
      <c r="M112" s="2" t="inlineStr">
        <is>
          <t>zenodo/zenodo-rdm</t>
        </is>
      </c>
      <c r="N112" s="2" t="inlineStr"/>
      <c r="O112" s="2" t="inlineStr"/>
      <c r="P112" s="2" t="inlineStr"/>
      <c r="Q112" s="2" t="inlineStr"/>
      <c r="R112" s="2" t="inlineStr"/>
    </row>
    <row r="113">
      <c r="A113" s="2" t="inlineStr">
        <is>
          <t>C4-112</t>
        </is>
      </c>
      <c r="B113" s="2" t="inlineStr">
        <is>
          <t>Zotero</t>
        </is>
      </c>
      <c r="C113" s="2" t="inlineStr">
        <is>
          <t>https://github.com/zotero/zotero</t>
        </is>
      </c>
      <c r="D113" s="2" t="inlineStr">
        <is>
          <t>Ready</t>
        </is>
      </c>
      <c r="E113" s="2" t="inlineStr">
        <is>
          <t>github</t>
        </is>
      </c>
      <c r="F113" s="2" t="inlineStr">
        <is>
          <t>zotero/zotero</t>
        </is>
      </c>
      <c r="G113" s="2" t="inlineStr"/>
      <c r="H113" s="2" t="inlineStr"/>
      <c r="I113" s="2" t="inlineStr">
        <is>
          <t>yes</t>
        </is>
      </c>
      <c r="J113" s="2" t="inlineStr">
        <is>
          <t>software</t>
        </is>
      </c>
      <c r="K113" s="2" t="inlineStr">
        <is>
          <t>GitHub + Zotero Forums (forums are the main support channel)</t>
        </is>
      </c>
      <c r="L113" s="2" t="inlineStr"/>
      <c r="M113" s="2" t="inlineStr">
        <is>
          <t>zotero/zotero</t>
        </is>
      </c>
      <c r="N113" s="2" t="inlineStr"/>
      <c r="O113" s="2" t="inlineStr"/>
      <c r="P113" s="2" t="inlineStr"/>
      <c r="Q113" s="2" t="inlineStr"/>
      <c r="R113" s="2" t="inlineStr"/>
    </row>
  </sheetData>
  <autoFilter ref="A1:R1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315B70"/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8" customWidth="1" min="2" max="2"/>
    <col width="95" customWidth="1" min="3" max="3"/>
  </cols>
  <sheetData>
    <row r="1" ht="34" customHeight="1">
      <c r="A1" s="1" t="inlineStr">
        <is>
          <t>Rule</t>
        </is>
      </c>
      <c r="B1" s="1" t="inlineStr">
        <is>
          <t>Current pipeline setting</t>
        </is>
      </c>
      <c r="C1" s="1" t="inlineStr">
        <is>
          <t>Workbook treatment / caveat</t>
        </is>
      </c>
    </row>
    <row r="2">
      <c r="A2" s="2" t="inlineStr">
        <is>
          <t>Window start</t>
        </is>
      </c>
      <c r="B2" s="2" t="inlineStr">
        <is>
          <t>2025-10-01T00:00:00+00:00</t>
        </is>
      </c>
      <c r="C2" s="2" t="inlineStr">
        <is>
          <t>UTC inclusive.</t>
        </is>
      </c>
    </row>
    <row r="3">
      <c r="A3" s="2" t="inlineStr">
        <is>
          <t>Window end</t>
        </is>
      </c>
      <c r="B3" s="2" t="inlineStr">
        <is>
          <t>2026-10-01T00:00:00+00:00</t>
        </is>
      </c>
      <c r="C3" s="2" t="inlineStr">
        <is>
          <t>UTC exclusive.</t>
        </is>
      </c>
    </row>
    <row r="4">
      <c r="A4" s="2" t="inlineStr">
        <is>
          <t>Commit date</t>
        </is>
      </c>
      <c r="B4" s="2" t="inlineStr">
        <is>
          <t>author</t>
        </is>
      </c>
      <c r="C4" s="2" t="inlineStr">
        <is>
          <t>Commit authorship metrics use author date.</t>
        </is>
      </c>
    </row>
    <row r="5">
      <c r="A5" s="2" t="inlineStr">
        <is>
          <t>Branch</t>
        </is>
      </c>
      <c r="B5" s="2" t="inlineStr">
        <is>
          <t>Default branch unless repos.csv specifies branch</t>
        </is>
      </c>
      <c r="C5" s="2" t="inlineStr">
        <is>
          <t>Branch selection can change measured activity.</t>
        </is>
      </c>
    </row>
    <row r="6">
      <c r="A6" s="2" t="inlineStr">
        <is>
          <t>Authorship</t>
        </is>
      </c>
      <c r="B6" s="2" t="inlineStr">
        <is>
          <t>Merge commits excluded from human authorship counts</t>
        </is>
      </c>
      <c r="C6" s="2" t="inlineStr">
        <is>
          <t>Merge count remains available as a diagnostic in raw input.</t>
        </is>
      </c>
    </row>
    <row r="7">
      <c r="A7" s="2" t="inlineStr">
        <is>
          <t>Bot filtering</t>
        </is>
      </c>
      <c r="B7" s="2" t="inlineStr">
        <is>
          <t>Shared rules.py explicit accounts/patterns and GitHub Bot type</t>
        </is>
      </c>
      <c r="C7" s="2" t="inlineStr">
        <is>
          <t>Bot detection is imperfect; use bot_share as a diagnostic where available.</t>
        </is>
      </c>
    </row>
    <row r="8">
      <c r="A8" s="2" t="inlineStr">
        <is>
          <t>Identity resolution</t>
        </is>
      </c>
      <c r="B8" s="2" t="inlineStr">
        <is>
          <t>Repository-local .mailmap/email/login/name/manual map rules R1-R6</t>
        </is>
      </c>
      <c r="C8" s="2" t="inlineStr">
        <is>
          <t>Name-based matches are flagged and identity resolution affects contributor metrics.</t>
        </is>
      </c>
    </row>
    <row r="9">
      <c r="A9" s="2" t="inlineStr">
        <is>
          <t>Multiple repositories</t>
        </is>
      </c>
      <c r="B9" s="2" t="inlineStr">
        <is>
          <t>Semicolon-separated product repo sets; commit hashes de-duplicated</t>
        </is>
      </c>
      <c r="C9" s="2" t="inlineStr">
        <is>
          <t>Repository selection remains a substantive measurement decision.</t>
        </is>
      </c>
    </row>
    <row r="10">
      <c r="A10" s="2" t="inlineStr">
        <is>
          <t>Issue response cohort</t>
        </is>
      </c>
      <c r="B10" s="2" t="inlineStr">
        <is>
          <t>Full 14-day follow-up; minimum eligible n=10</t>
        </is>
      </c>
      <c r="C10" s="2" t="inlineStr">
        <is>
          <t>A low-volume tracker yields unavailable m8 and zero in final score.</t>
        </is>
      </c>
    </row>
    <row r="11">
      <c r="A11" s="2" t="inlineStr">
        <is>
          <t>PR response cohort</t>
        </is>
      </c>
      <c r="B11" s="2" t="inlineStr">
        <is>
          <t>Full 7-day follow-up; minimum eligible n=10</t>
        </is>
      </c>
      <c r="C11" s="2" t="inlineStr">
        <is>
          <t>A low-volume tracker yields unavailable m9 and zero in final score.</t>
        </is>
      </c>
    </row>
    <row r="12">
      <c r="A12" s="2" t="inlineStr">
        <is>
          <t>Issue closure cohort</t>
        </is>
      </c>
      <c r="B12" s="2" t="inlineStr">
        <is>
          <t>Full 90-day follow-up; minimum eligible n=10</t>
        </is>
      </c>
      <c r="C12" s="2" t="inlineStr">
        <is>
          <t>A low-volume tracker yields unavailable m10 and zero in final score.</t>
        </is>
      </c>
    </row>
    <row r="13">
      <c r="A13" s="2" t="inlineStr">
        <is>
          <t>PR decision cohort</t>
        </is>
      </c>
      <c r="B13" s="2" t="inlineStr">
        <is>
          <t>Full 30-day follow-up; minimum eligible n=10</t>
        </is>
      </c>
      <c r="C13" s="2" t="inlineStr">
        <is>
          <t>A low-volume tracker yields unavailable m11 and zero in final score.</t>
        </is>
      </c>
    </row>
    <row r="14">
      <c r="A14" s="2" t="inlineStr">
        <is>
          <t>Manual tracker values</t>
        </is>
      </c>
      <c r="B14" s="2" t="inlineStr">
        <is>
          <t>manual_metrics.csv has 16 rows; m8 and m10 are blank in the current file</t>
        </is>
      </c>
      <c r="C14" s="2" t="inlineStr">
        <is>
          <t>Manual data do not currently fill external trackers.</t>
        </is>
      </c>
    </row>
    <row r="15">
      <c r="A15" s="2" t="inlineStr">
        <is>
          <t>API scope</t>
        </is>
      </c>
      <c r="B15" s="2" t="inlineStr">
        <is>
          <t>GitHub GraphQL/REST and supported star-history endpoint</t>
        </is>
      </c>
      <c r="C15" s="2" t="inlineStr">
        <is>
          <t>Stars/forks and several response metrics are not platform-neutral.</t>
        </is>
      </c>
    </row>
  </sheetData>
  <autoFilter ref="A1:C1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EF1F2"/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3" customWidth="1" min="2" max="2"/>
    <col width="90" customWidth="1" min="3" max="3"/>
  </cols>
  <sheetData>
    <row r="1" ht="34" customHeight="1">
      <c r="A1" s="1" t="inlineStr">
        <is>
          <t>Field / group</t>
        </is>
      </c>
      <c r="B1" s="1" t="inlineStr">
        <is>
          <t>Meaning</t>
        </is>
      </c>
      <c r="C1" s="1" t="inlineStr">
        <is>
          <t>Use in workbook</t>
        </is>
      </c>
    </row>
    <row r="2">
      <c r="A2" s="2" t="inlineStr">
        <is>
          <t>oisi_id</t>
        </is>
      </c>
      <c r="B2" s="2" t="inlineStr">
        <is>
          <t>Stable identifier from the repository register.</t>
        </is>
      </c>
      <c r="C2" s="2" t="inlineStr">
        <is>
          <t>Join key across all inputs.</t>
        </is>
      </c>
    </row>
    <row r="3">
      <c r="A3" s="2" t="inlineStr">
        <is>
          <t>repos.csv</t>
        </is>
      </c>
      <c r="B3" s="2" t="inlineStr">
        <is>
          <t>Repository/platform decisions, classification, issue tracker, repo set, branch and upstream mapping.</t>
        </is>
      </c>
      <c r="C3" s="2" t="inlineStr">
        <is>
          <t>Defines which source is analyzed and why entries may be not assessable.</t>
        </is>
      </c>
    </row>
    <row r="4">
      <c r="A4" s="2" t="inlineStr">
        <is>
          <t>git_metrics.csv</t>
        </is>
      </c>
      <c r="B4" s="2" t="inlineStr">
        <is>
          <t>Git-history activity, contributor, release and extraction status fields.</t>
        </is>
      </c>
      <c r="C4" s="2" t="inlineStr">
        <is>
          <t>Source for m1-m7 and Git diagnostics.</t>
        </is>
      </c>
    </row>
    <row r="5">
      <c r="A5" s="2" t="inlineStr">
        <is>
          <t>gh_metrics.csv</t>
        </is>
      </c>
      <c r="B5" s="2" t="inlineStr">
        <is>
          <t>GitHub issue/PR response rates, sample sizes, stars/forks and API status.</t>
        </is>
      </c>
      <c r="C5" s="2" t="inlineStr">
        <is>
          <t>Source for m8-m13 and response diagnostics.</t>
        </is>
      </c>
    </row>
    <row r="6">
      <c r="A6" s="2" t="inlineStr">
        <is>
          <t>manual_metrics.csv</t>
        </is>
      </c>
      <c r="B6" s="2" t="inlineStr">
        <is>
          <t>Optional manual overrides for m8 and m10.</t>
        </is>
      </c>
      <c r="C6" s="2" t="inlineStr">
        <is>
          <t>Current rate fields are blank; included for provenance.</t>
        </is>
      </c>
    </row>
    <row r="7">
      <c r="A7" s="2" t="inlineStr">
        <is>
          <t>m1-m13</t>
        </is>
      </c>
      <c r="B7" s="2" t="inlineStr">
        <is>
          <t>Normalized metric scores on 0-100 scale.</t>
        </is>
      </c>
      <c r="C7" s="2" t="inlineStr">
        <is>
          <t>Each contributes 1/13 to the final score; unavailable values are zero-filled.</t>
        </is>
      </c>
    </row>
    <row r="8">
      <c r="A8" s="2" t="inlineStr">
        <is>
          <t>Observed flags</t>
        </is>
      </c>
      <c r="B8" s="2" t="inlineStr">
        <is>
          <t>1 where a metric has a usable value under its source/sample rules; otherwise 0.</t>
        </is>
      </c>
      <c r="C8" s="2" t="inlineStr">
        <is>
          <t>Used only for observed coverage and observed-only mean.</t>
        </is>
      </c>
    </row>
    <row r="9">
      <c r="A9" s="2" t="inlineStr">
        <is>
          <t>Not assessable</t>
        </is>
      </c>
      <c r="B9" s="2" t="inlineStr">
        <is>
          <t>Register decision indicates no suitable public primary repository, standard, or unresolved source.</t>
        </is>
      </c>
      <c r="C9" s="2" t="inlineStr">
        <is>
          <t>Still receives numeric zero per fixed denominator but must not be read as measured inactivity.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2026-10-15T12:03:27Z</dcterms:created>
  <dcterms:modified xsi:type="dcterms:W3CDTF">2026-10-15T12:03:28Z</dcterms:modified>
</cp:coreProperties>
</file>