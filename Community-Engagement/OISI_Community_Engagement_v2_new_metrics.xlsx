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ebook" sheetId="1" state="visible" r:id="rId3"/>
    <sheet name="Summary" sheetId="2" state="visible" r:id="rId4"/>
    <sheet name="Scoring" sheetId="3" state="visible" r:id="rId5"/>
    <sheet name="Verification" sheetId="4" state="visible" r:id="rId6"/>
    <sheet name="Coding" sheetId="5" state="visible" r:id="rId7"/>
    <sheet name="Calc" sheetId="6" state="visible" r:id="rId8"/>
    <sheet name="Sensitivity" sheetId="7" state="visible" r:id="rId9"/>
    <sheet name="Descriptive" sheetId="8" state="visible" r:id="rId10"/>
    <sheet name="Audit" sheetId="9" state="visible" r:id="rId11"/>
    <sheet name="Dictionary" sheetId="10" state="visible" r:id="rId12"/>
    <sheet name="Parameters" sheetId="11" state="visible" r:id="rId13"/>
    <sheet name="Data" sheetId="12" state="visible" r:id="rId14"/>
  </sheets>
  <definedNames>
    <definedName function="false" hidden="true" localSheetId="11" name="_xlnm._FilterDatabase" vbProcedure="false">Data!$A$1:$T$113</definedName>
    <definedName function="false" hidden="true" localSheetId="2" name="_xlnm._FilterDatabase" vbProcedure="false">Scoring!$A$1:$AA$113</definedName>
    <definedName function="false" hidden="true" localSheetId="3" name="_xlnm._FilterDatabase" vbProcedure="false">Verification!$A$1:$N$113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<sst xmlns="http://schemas.openxmlformats.org/spreadsheetml/2006/main" count="2414" uniqueCount="1477">
  <si>
    <t xml:space="preserve">OISI Component 1 — Community Engagement: codebook and method</t>
  </si>
  <si>
    <t xml:space="preserve">Dataset: Infra Finder data, Invest in Open Infrastructure, v3.0 (Zenodo record 18225266, 13 Jan 2026). 112 infrastructures. Variable values are self-reported and only as current as the snapshot.</t>
  </si>
  <si>
    <t xml:space="preserve">1. Score formula</t>
  </si>
  <si>
    <t xml:space="preserve">Community Engagement Score (0–100) = 100 × Σ(wᵢ × sᵢ) / Σ(wᵢ), summed only over metrics i that have a valid score sᵢ (0–1).</t>
  </si>
  <si>
    <t xml:space="preserve">Weights wᵢ are on the Parameters sheet (E1=8%, E2=22%, C1=18%, C2=12%, C3=5%, G1=15%, G2=20%). They sum to 100%, so the 30/35/35 sub-component weights are implied, not applied separately.</t>
  </si>
  <si>
    <t xml:space="preserve">Missing data rule: Unknown, blank and Not applicable are NA — excluded from both numerator and denominator, never counted as 0.</t>
  </si>
  <si>
    <t xml:space="preserve">Completeness rule: a repo is scored only if scored metrics carry ≥ 60% of the weight AND at least one metric is scored in each of the 3 sub-components. Otherwise the score is NA.</t>
  </si>
  <si>
    <t xml:space="preserve">Uncertainty rule: every score carries a range. Lower bound = score if all missing metrics were 0; upper bound = score if all missing metrics were 1. Result status: Reportable (≥85% of weight scored) can be ranked and cited; Provisional (60–85%) is cited only with its range.</t>
  </si>
  <si>
    <t xml:space="preserve">Overall OISI contribution: this component × 25% (OISI = 100 × [0.25 CE + 0.25 Governance + 0.25 Org. Capacity + 0.25 Dev. Activity]).</t>
  </si>
  <si>
    <t xml:space="preserve">2. Metric definitions</t>
  </si>
  <si>
    <t xml:space="preserve">Code</t>
  </si>
  <si>
    <t xml:space="preserve">Metric</t>
  </si>
  <si>
    <t xml:space="preserve">Sub-component</t>
  </si>
  <si>
    <t xml:space="preserve">Weight</t>
  </si>
  <si>
    <t xml:space="preserve">Source field type</t>
  </si>
  <si>
    <t xml:space="preserve">Scoring rule (automatic)</t>
  </si>
  <si>
    <t xml:space="preserve">NA / missing rule</t>
  </si>
  <si>
    <t xml:space="preserve">Verification guidance (override on Verification sheet)</t>
  </si>
  <si>
    <t xml:space="preserve">E1</t>
  </si>
  <si>
    <t xml:space="preserve">Engagement status (037)</t>
  </si>
  <si>
    <t xml:space="preserve">Engagement &amp; Participation</t>
  </si>
  <si>
    <t xml:space="preserve">Status list</t>
  </si>
  <si>
    <t xml:space="preserve">Ladder: Implemented 1.00; In progress 0.67; Considering 0.33; Not planning 0.</t>
  </si>
  <si>
    <t xml:space="preserve">Unknown / blank → NA</t>
  </si>
  <si>
    <t xml:space="preserve">Open 116_community_engagement_url; confirm a real programme exists. About 85% of scored repos are "Implemented", so weight is only 8%.</t>
  </si>
  <si>
    <t xml:space="preserve">E2</t>
  </si>
  <si>
    <t xml:space="preserve">Engagement breadth (038 + coded 938)</t>
  </si>
  <si>
    <t xml:space="preserve">Multi-select checklist + coded free text</t>
  </si>
  <si>
    <t xml:space="preserve">Score = min(n, 8) / 8, n = distinct categories in the UNION of the 038 checklist and categories coded from 938 text (Dictionary sheet). "Other" counts as 1 only with 938 text. Gate: if E1 ≤ Considering, E2 = 0 and flagged.</t>
  </si>
  <si>
    <t xml:space="preserve">No category from either source → NA (never 0)</t>
  </si>
  <si>
    <t xml:space="preserve">Coded text is strict (precision over recall) so it can understate breadth. Check the Audit sheet; override on Verification (E2 override) after reading the text. Sensitivity row "E2 checklist only" shows the effect of dropping 938.</t>
  </si>
  <si>
    <t xml:space="preserve">C1</t>
  </si>
  <si>
    <t xml:space="preserve">Contribution routes (040 + 940)</t>
  </si>
  <si>
    <t xml:space="preserve">Contribution Mechanisms</t>
  </si>
  <si>
    <t xml:space="preserve">Multi-select (8 categories) + free text</t>
  </si>
  <si>
    <t xml:space="preserve">Score = min(n, 6) / 6. "Contribute funds" counts (OISI draft). "Other" counts as 1 only with 940 text.</t>
  </si>
  <si>
    <t xml:space="preserve">Blank / "Not applicable" → NA</t>
  </si>
  <si>
    <t xml:space="preserve">Check the listed routes against the website and repo.</t>
  </si>
  <si>
    <t xml:space="preserve">C2</t>
  </si>
  <si>
    <t xml:space="preserve">Contribution guidance (041)</t>
  </si>
  <si>
    <t xml:space="preserve">URL (not a status)</t>
  </si>
  <si>
    <t xml:space="preserve">Tiers from the URL: dedicated guide 1.00; other get-involved page 0.50. Suspect URL → NA until verified.</t>
  </si>
  <si>
    <t xml:space="preserve">Blank → NA</t>
  </si>
  <si>
    <t xml:space="preserve">Open each URL. 1.00 = usable how-to; 0.50 = general invitation; 0 = verified absent. Check the repo for CONTRIBUTING.md.</t>
  </si>
  <si>
    <t xml:space="preserve">C3</t>
  </si>
  <si>
    <t xml:space="preserve">Open contribution infrastructure (019)</t>
  </si>
  <si>
    <t xml:space="preserve">URL host</t>
  </si>
  <si>
    <t xml:space="preserve">Public forge (GitHub, GitLab.com, Bitbucket, Codeberg, SourceHut) 1.00; other host 0.50. Replaces 039.</t>
  </si>
  <si>
    <t xml:space="preserve">Low weight (5%): 103 of 108 repos score 1.00, so it separates little until live checks are added (CONTRIBUTING file, issue tracker, recent commits, external contributors).</t>
  </si>
  <si>
    <t xml:space="preserve">G1</t>
  </si>
  <si>
    <t xml:space="preserve">Code of Conduct (042)</t>
  </si>
  <si>
    <t xml:space="preserve">Community Norms &amp; Governance</t>
  </si>
  <si>
    <t xml:space="preserve">Same ladder as E1.</t>
  </si>
  <si>
    <t xml:space="preserve">Unknown → NA</t>
  </si>
  <si>
    <t xml:space="preserve">Open 043 URL. An inherited parent-organisation Code counts only if it explicitly covers this community.</t>
  </si>
  <si>
    <t xml:space="preserve">G2</t>
  </si>
  <si>
    <t xml:space="preserve">Community governance (048)</t>
  </si>
  <si>
    <t xml:space="preserve">Formal 1.00; Ad hoc 0.50; None 0.</t>
  </si>
  <si>
    <t xml:space="preserve">Open 049 URL: bylaws, charter or governance page = Formal. Enter 0 only when absence is verified.</t>
  </si>
  <si>
    <t xml:space="preserve">039 (contribution pathways) is NOT scored: 68 of 112 values are Unknown. It is kept only as a consistency flag (Calc column R). 078, 107 are descriptive only. Supporting URLs (116, 043, 049) are evidence, not scored.</t>
  </si>
  <si>
    <t xml:space="preserve">3. Decision log</t>
  </si>
  <si>
    <t xml:space="preserve">#</t>
  </si>
  <si>
    <t xml:space="preserve">Decision</t>
  </si>
  <si>
    <t xml:space="preserve">Rationale</t>
  </si>
  <si>
    <t xml:space="preserve">D1</t>
  </si>
  <si>
    <t xml:space="preserve">Blank / Unknown / Not applicable = NA, never 0.</t>
  </si>
  <si>
    <t xml:space="preserve">Follows the OISI missing-data rule. The Zenodo dataset does not say whether a blank means "none" or "not answered", so assuming 0 would invent evidence and penalise skipped questions.</t>
  </si>
  <si>
    <t xml:space="preserve">D2</t>
  </si>
  <si>
    <t xml:space="preserve">A blank becomes 0 only through verification.</t>
  </si>
  <si>
    <t xml:space="preserve">Record the evidence on the Verification sheet; verified overrides replace auto scores.</t>
  </si>
  <si>
    <t xml:space="preserve">D3</t>
  </si>
  <si>
    <t xml:space="preserve">Flat weighted mean over available metrics, with a completeness threshold.</t>
  </si>
  <si>
    <t xml:space="preserve">Avoids inflating repos that were scored on one or two metrics. Threshold 60% of weight + all three sub-components; 50% and 70% shown in Sensitivity.</t>
  </si>
  <si>
    <t xml:space="preserve">D4</t>
  </si>
  <si>
    <t xml:space="preserve">Inherited Code of Conduct counts only if explicitly applicable and verified.</t>
  </si>
  <si>
    <t xml:space="preserve">Keeps the rule consistent without crediting a generic organisational page.</t>
  </si>
  <si>
    <t xml:space="preserve">D5</t>
  </si>
  <si>
    <t xml:space="preserve">"Contribute funds" counts in 040.</t>
  </si>
  <si>
    <t xml:space="preserve">The OISI draft lists funding as a contribution opportunity. Sensitivity sheet shows the effect of excluding it.</t>
  </si>
  <si>
    <t xml:space="preserve">D6</t>
  </si>
  <si>
    <t xml:space="preserve">041 is scored in tiers (1 / 0.5 / NA-or-0) from the URL.</t>
  </si>
  <si>
    <t xml:space="preserve">The field is a URL, not a status; only ~25 of 81 URLs are dedicated contribution documents and 6 are not guidance at all. Tiers are provisional until each URL is opened.</t>
  </si>
  <si>
    <t xml:space="preserve">D7</t>
  </si>
  <si>
    <t xml:space="preserve">"Other" counts as one category only with a free-text description.</t>
  </si>
  <si>
    <t xml:space="preserve">Prevents unverifiable credit.</t>
  </si>
  <si>
    <t xml:space="preserve">D8</t>
  </si>
  <si>
    <t xml:space="preserve">039 is removed from the score; replaced by C3 (019).</t>
  </si>
  <si>
    <t xml:space="preserve">68 of 112 are Unknown. Inferring a pathway from 040/041 would double-count the same evidence, so C3 uses a different, almost complete field (019). 039 stays only as a consistency flag.</t>
  </si>
  <si>
    <t xml:space="preserve">D9</t>
  </si>
  <si>
    <t xml:space="preserve">Engagement gate (037 ≤ Considering → 038 = 0).</t>
  </si>
  <si>
    <t xml:space="preserve">Two repos list activities while reporting no implemented engagement; flagged for verification.</t>
  </si>
  <si>
    <t xml:space="preserve">D10</t>
  </si>
  <si>
    <t xml:space="preserve">Every score is published with a lower and upper bound.</t>
  </si>
  <si>
    <t xml:space="preserve">Renormalising over available metrics lets a repo with 60% of the weight scored reach 100. The range (missing = 0 vs missing = 1) shows how much of the score rests on assumption; a repo is confidently high only if its lower bound is also high.</t>
  </si>
  <si>
    <t xml:space="preserve">D11</t>
  </si>
  <si>
    <t xml:space="preserve">Only Reportable repos (≥85% of weight scored) are ranked in the top/bottom lists and headline claims.</t>
  </si>
  <si>
    <t xml:space="preserve">Provisional scores stay visible but are labelled; they should not be named best or worst.</t>
  </si>
  <si>
    <t xml:space="preserve">D12</t>
  </si>
  <si>
    <t xml:space="preserve">Shrinkage toward the cohort median is a sensitivity scenario, not the base score.</t>
  </si>
  <si>
    <t xml:space="preserve">It assumes a value for missing data, which departs from the strict OISI rule; it is shown only as a robustness check.</t>
  </si>
  <si>
    <t xml:space="preserve">D13</t>
  </si>
  <si>
    <t xml:space="preserve">Require E2 or C1 scored (sensitivity only).</t>
  </si>
  <si>
    <t xml:space="preserve">037 is saturated (≈85% at 1.00), so a repo could reach 100 on non-discriminating metrics alone; the scenario shows how many scores depend on this.</t>
  </si>
  <si>
    <t xml:space="preserve">D14</t>
  </si>
  <si>
    <t xml:space="preserve">D14: 938 free text is coded onto the 12 categories and unioned with 038.</t>
  </si>
  <si>
    <t xml:space="preserve">038 and 938 are complementary (only 11 repos have both, none identical). Coder is a published keyword dictionary, strict by design, audited on 20 repos (Audit sheet) with a checklist-only sensitivity scenario.</t>
  </si>
  <si>
    <t xml:space="preserve">4. Verification workflow</t>
  </si>
  <si>
    <t xml:space="preserve">1) Go to the Verification sheet. Filter "Open flags" &gt; 0 first (flags are explained in the Action column).</t>
  </si>
  <si>
    <t xml:space="preserve">2) Open the evidence URL, decide the verified value, and type it in the yellow override cell for that metric (a number 0–1, or NA). Leave blank to keep the automatic score.</t>
  </si>
  <si>
    <t xml:space="preserve">3) Fill Verified by, Date, Evidence/notes, and set Verification status. Scoring, Summary and Sensitivity update automatically.</t>
  </si>
  <si>
    <t xml:space="preserve">Example row (illustrative format only): Service = Hyrax | 039 override = 1.00 | Verified by = initials | Date = 2026-02-01 | Notes = "Getting Started page lists code, docs and group routes" | Status = Verified.</t>
  </si>
  <si>
    <t xml:space="preserve">4) Re-check Sensitivity and the score ranges after verification: as NA cells are resolved, ranges narrow and Provisional repos become Reportable.</t>
  </si>
  <si>
    <t xml:space="preserve">5. Sheet guide and colour legend</t>
  </si>
  <si>
    <t xml:space="preserve">Summary</t>
  </si>
  <si>
    <t xml:space="preserve">Headline results, coverage, distribution, sensitivity, flags, top/bottom 10, charts.</t>
  </si>
  <si>
    <t xml:space="preserve">Scoring</t>
  </si>
  <si>
    <t xml:space="preserve">Final metric scores (override else auto), sub-scores, completeness, eligibility, component score, lower/upper bounds, result status (Reportable / Provisional / Not scored), rank.</t>
  </si>
  <si>
    <t xml:space="preserve">Verification</t>
  </si>
  <si>
    <t xml:space="preserve">Where you enter verified values and evidence. Only sheet (besides Parameters) with inputs.</t>
  </si>
  <si>
    <t xml:space="preserve">Calc</t>
  </si>
  <si>
    <t xml:space="preserve">Automatic parsing and scoring from Data; flags.</t>
  </si>
  <si>
    <t xml:space="preserve">Sensitivity</t>
  </si>
  <si>
    <t xml:space="preserve">Alternative thresholds, weights and rules vs base, including shrinkage toward median and the require-038/040 rule.</t>
  </si>
  <si>
    <t xml:space="preserve">Descriptive</t>
  </si>
  <si>
    <t xml:space="preserve">Membership variables, reported not scored.</t>
  </si>
  <si>
    <t xml:space="preserve">Parameters</t>
  </si>
  <si>
    <t xml:space="preserve">Weights, ladders, caps, tiers, thresholds.</t>
  </si>
  <si>
    <t xml:space="preserve">Data</t>
  </si>
  <si>
    <t xml:space="preserve">Source data (20 columns of the 112-row sheet; empty verification_status/notes columns moved to Verification).</t>
  </si>
  <si>
    <t xml:space="preserve">Blue text, yellow fill</t>
  </si>
  <si>
    <t xml:space="preserve">Editable input.</t>
  </si>
  <si>
    <t xml:space="preserve">Black text</t>
  </si>
  <si>
    <t xml:space="preserve">Formula — do not overwrite.</t>
  </si>
  <si>
    <t xml:space="preserve">6. Limitations</t>
  </si>
  <si>
    <t xml:space="preserve">Self-reported data; scores measure what the infrastructures reported (and what has been verified), not independently observed community health.</t>
  </si>
  <si>
    <t xml:space="preserve">Breadth caps (8 and 6), the 0.5 tier for 041, and the keyword dictionary are judgement calls; test them on Parameters and Dictionary. Coder precision is measured only on 11 repos with both fields, so the Audit sheet is needed before publication.</t>
  </si>
  <si>
    <t xml:space="preserve">038 and 037 are related (both describe engagement) and 040 overlaps with 048 ("Contribute to governance"); the weights were not changed for this, but it is worth stating in the paper.</t>
  </si>
  <si>
    <t xml:space="preserve">7. Changes in v2 (new metric set)</t>
  </si>
  <si>
    <t xml:space="preserve">New sheets: Dictionary (keywords per category), Coding (per-repo checklist and text flags, union count), Audit (20-repo sample for human review).</t>
  </si>
  <si>
    <t xml:space="preserve">Metric slots: Scoring columns D–J are now E1, E2, C1, C2, C3, G1, G2. Verification override columns follow the same order.</t>
  </si>
  <si>
    <t xml:space="preserve">Parameters: weights E1 8%, E2 22%, C1 18%, C2 12%, C3 5%, G1 15%, G2 20%; section G holds the C3 host rules.</t>
  </si>
  <si>
    <t xml:space="preserve">Sensitivity: the old "039 inferred" scenario is replaced by "E2 checklist only (938 not used)".</t>
  </si>
  <si>
    <t xml:space="preserve">OISI Component 1 — Community Engagement: results summary</t>
  </si>
  <si>
    <t xml:space="preserve">All figures are live formulas. Scores use the strict missing-data rule (Unknown / blank / Not applicable = NA, never 0). Metric set v2: E1, E2 (038 + coded 938), C1, C2, C3 (019), G1, G2. Component = 25% of overall OISI.</t>
  </si>
  <si>
    <t xml:space="preserve">1. Headline</t>
  </si>
  <si>
    <t xml:space="preserve">Repositories in dataset</t>
  </si>
  <si>
    <t xml:space="preserve">Primary completeness threshold</t>
  </si>
  <si>
    <t xml:space="preserve">Repositories with a score</t>
  </si>
  <si>
    <t xml:space="preserve">Share scored</t>
  </si>
  <si>
    <t xml:space="preserve">Median score</t>
  </si>
  <si>
    <t xml:space="preserve">Mean score</t>
  </si>
  <si>
    <t xml:space="preserve">25th percentile</t>
  </si>
  <si>
    <t xml:space="preserve">75th percentile</t>
  </si>
  <si>
    <t xml:space="preserve">Minimum</t>
  </si>
  <si>
    <t xml:space="preserve">Maximum</t>
  </si>
  <si>
    <t xml:space="preserve">Std. deviation</t>
  </si>
  <si>
    <t xml:space="preserve">Contribution to OISI (points) at median score</t>
  </si>
  <si>
    <t xml:space="preserve">Reportable repos (≥ 85% of weight scored)</t>
  </si>
  <si>
    <t xml:space="preserve">2. Metric coverage and level</t>
  </si>
  <si>
    <t xml:space="preserve">Scored (n)</t>
  </si>
  <si>
    <t xml:space="preserve">NA (n)</t>
  </si>
  <si>
    <t xml:space="preserve">NA %</t>
  </si>
  <si>
    <t xml:space="preserve">Mean (scored)</t>
  </si>
  <si>
    <t xml:space="preserve">Share at 1.00</t>
  </si>
  <si>
    <t xml:space="preserve">E1 Engagement status (037)</t>
  </si>
  <si>
    <t xml:space="preserve">E2 Engagement breadth (038 + coded 938)</t>
  </si>
  <si>
    <t xml:space="preserve">C1 Contribution routes (040)</t>
  </si>
  <si>
    <t xml:space="preserve">C2 Contribution guidance (041)</t>
  </si>
  <si>
    <t xml:space="preserve">C3 Open contribution infrastructure (019)</t>
  </si>
  <si>
    <t xml:space="preserve">G1 Code of Conduct (042)</t>
  </si>
  <si>
    <t xml:space="preserve">G2 Community governance (048)</t>
  </si>
  <si>
    <t xml:space="preserve">3. Sub-component medians (0–100, scored repos only)</t>
  </si>
  <si>
    <t xml:space="preserve">Engagement &amp; Participation (30%)</t>
  </si>
  <si>
    <t xml:space="preserve">Contribution Mechanisms (35%)</t>
  </si>
  <si>
    <t xml:space="preserve">Community Norms &amp; Governance (35%)</t>
  </si>
  <si>
    <t xml:space="preserve">4. Score distribution</t>
  </si>
  <si>
    <t xml:space="preserve">Band</t>
  </si>
  <si>
    <t xml:space="preserve">Repos</t>
  </si>
  <si>
    <t xml:space="preserve">0 – &lt;25</t>
  </si>
  <si>
    <t xml:space="preserve">25 – &lt;50</t>
  </si>
  <si>
    <t xml:space="preserve">50 – &lt;75</t>
  </si>
  <si>
    <t xml:space="preserve">75 – 100</t>
  </si>
  <si>
    <t xml:space="preserve">Not scored (below completeness threshold)</t>
  </si>
  <si>
    <t xml:space="preserve">5. Completeness bands</t>
  </si>
  <si>
    <t xml:space="preserve">High</t>
  </si>
  <si>
    <t xml:space="preserve">High ≥ 85% of weight scored; Medium ≥ primary threshold; Low below it (not scored).</t>
  </si>
  <si>
    <t xml:space="preserve">Medium</t>
  </si>
  <si>
    <t xml:space="preserve">Low</t>
  </si>
  <si>
    <t xml:space="preserve">Result status</t>
  </si>
  <si>
    <t xml:space="preserve">Reportable</t>
  </si>
  <si>
    <t xml:space="preserve">Reportable = ≥85% of weight scored: safe to rank and cite. Provisional = scored but incomplete: cite only with its range.</t>
  </si>
  <si>
    <t xml:space="preserve">Provisional</t>
  </si>
  <si>
    <t xml:space="preserve">Not scored</t>
  </si>
  <si>
    <t xml:space="preserve">Mean score range width, provisional repos (upper − lower)</t>
  </si>
  <si>
    <t xml:space="preserve">Mean score range width, reportable repos</t>
  </si>
  <si>
    <t xml:space="preserve">6. Sensitivity of results to rules</t>
  </si>
  <si>
    <t xml:space="preserve">Scenario</t>
  </si>
  <si>
    <t xml:space="preserve">Repos scored</t>
  </si>
  <si>
    <t xml:space="preserve">Median</t>
  </si>
  <si>
    <t xml:space="preserve">Mean</t>
  </si>
  <si>
    <t xml:space="preserve">Mean |Δ| vs base</t>
  </si>
  <si>
    <t xml:space="preserve">Max |Δ| vs base</t>
  </si>
  <si>
    <t xml:space="preserve">BASE (primary threshold)</t>
  </si>
  <si>
    <t xml:space="preserve">–</t>
  </si>
  <si>
    <t xml:space="preserve">Threshold – lower</t>
  </si>
  <si>
    <t xml:space="preserve">Threshold – higher</t>
  </si>
  <si>
    <t xml:space="preserve">E2 checklist only (938 not used)</t>
  </si>
  <si>
    <t xml:space="preserve">Equal metric weights</t>
  </si>
  <si>
    <t xml:space="preserve">C1 excl. "Contribute funds"</t>
  </si>
  <si>
    <t xml:space="preserve">Shrinkage toward median</t>
  </si>
  <si>
    <t xml:space="preserve">Require E2 or C1 scored</t>
  </si>
  <si>
    <t xml:space="preserve">7. Data-quality flags requiring verification (repos affected)</t>
  </si>
  <si>
    <t xml:space="preserve">037 vs 038 conflict</t>
  </si>
  <si>
    <t xml:space="preserve">Code of Conduct URL but status ≠ Implemented</t>
  </si>
  <si>
    <t xml:space="preserve">Governance "Formal" with no URL</t>
  </si>
  <si>
    <t xml:space="preserve">Governance blank but URL present</t>
  </si>
  <si>
    <t xml:space="preserve">Engagement text/URL given but no category coded</t>
  </si>
  <si>
    <t xml:space="preserve">041 suspect URL (not a guideline)</t>
  </si>
  <si>
    <t xml:space="preserve">039 contradicts contribution evidence (consistency check)</t>
  </si>
  <si>
    <t xml:space="preserve">No code-repository URL</t>
  </si>
  <si>
    <t xml:space="preserve">8. Top 10 and bottom 10 — reportable repos only (≥85% of weight scored)</t>
  </si>
  <si>
    <t xml:space="preserve">Top 10 (reportable)</t>
  </si>
  <si>
    <t xml:space="preserve">Score</t>
  </si>
  <si>
    <t xml:space="preserve">Range (low–high)</t>
  </si>
  <si>
    <t xml:space="preserve">Bottom 10 (reportable)</t>
  </si>
  <si>
    <t xml:space="preserve">Provisional repos (scored, &lt;85% of weight) are excluded from these lists. Filter Scoring → Result status to see them with their ranges.</t>
  </si>
  <si>
    <t xml:space="preserve">9. E2 coding quality (938 text coder vs 038 checklist, repos with both filled)</t>
  </si>
  <si>
    <t xml:space="preserve">Repos with both 038 and 938 filled</t>
  </si>
  <si>
    <t xml:space="preserve">Coded categories also in checklist</t>
  </si>
  <si>
    <t xml:space="preserve">Coded categories not in checklist</t>
  </si>
  <si>
    <t xml:space="preserve">Precision vs checklist</t>
  </si>
  <si>
    <t xml:space="preserve">Recall of checklist (share of checklist categories the coder found)</t>
  </si>
  <si>
    <t xml:space="preserve">Repos with ≥1 category from 038 alone</t>
  </si>
  <si>
    <t xml:space="preserve">Repos with ≥1 category from 038 + coded 938</t>
  </si>
  <si>
    <t xml:space="preserve">Categories added by 938 text only (all repos)</t>
  </si>
  <si>
    <t xml:space="preserve">Precision is measured against the checklist, which can itself be incomplete, so a "not in checklist" hit is not automatically wrong. See the Audit sheet.</t>
  </si>
  <si>
    <t xml:space="preserve">Service</t>
  </si>
  <si>
    <t xml:space="preserve">Provider</t>
  </si>
  <si>
    <t xml:space="preserve">Solution category</t>
  </si>
  <si>
    <t xml:space="preserve">G2 Governance (048)</t>
  </si>
  <si>
    <t xml:space="preserve">Engagement &amp; Participation (0–100)</t>
  </si>
  <si>
    <t xml:space="preserve">Contribution Mechanisms (0–100)</t>
  </si>
  <si>
    <t xml:space="preserve">Norms &amp; Governance (0–100)</t>
  </si>
  <si>
    <t xml:space="preserve">Weight scored (share)</t>
  </si>
  <si>
    <t xml:space="preserve">Weighted sum</t>
  </si>
  <si>
    <t xml:space="preserve">Metrics scored (of 7)</t>
  </si>
  <si>
    <t xml:space="preserve">Sub-components covered (of 3)</t>
  </si>
  <si>
    <t xml:space="preserve">Eligible for score?</t>
  </si>
  <si>
    <t xml:space="preserve">COMMUNITY ENGAGEMENT SCORE (0–100)</t>
  </si>
  <si>
    <t xml:space="preserve">Lower bound (missing metrics = 0)</t>
  </si>
  <si>
    <t xml:space="preserve">Upper bound (missing metrics = 1)</t>
  </si>
  <si>
    <t xml:space="preserve">Rank (all scored)</t>
  </si>
  <si>
    <t xml:space="preserve">Completeness band</t>
  </si>
  <si>
    <t xml:space="preserve">Data-quality flags</t>
  </si>
  <si>
    <t xml:space="preserve">Rank key – reportable only (helper)</t>
  </si>
  <si>
    <t xml:space="preserve">Rank – reportable only (helper)</t>
  </si>
  <si>
    <t xml:space="preserve">Verification status</t>
  </si>
  <si>
    <t xml:space="preserve">E1 override (037)</t>
  </si>
  <si>
    <t xml:space="preserve">E2 override (breadth)</t>
  </si>
  <si>
    <t xml:space="preserve">C1 override (040)</t>
  </si>
  <si>
    <t xml:space="preserve">C2 override (041)</t>
  </si>
  <si>
    <t xml:space="preserve">C3 override (019)</t>
  </si>
  <si>
    <t xml:space="preserve">G1 override (042)</t>
  </si>
  <si>
    <t xml:space="preserve">G2 override (048)</t>
  </si>
  <si>
    <t xml:space="preserve">Verified by</t>
  </si>
  <si>
    <t xml:space="preserve">Date verified</t>
  </si>
  <si>
    <t xml:space="preserve">Evidence / notes</t>
  </si>
  <si>
    <t xml:space="preserve">Open flags (count)</t>
  </si>
  <si>
    <t xml:space="preserve">Action required (auto)</t>
  </si>
  <si>
    <t xml:space="preserve">Not started</t>
  </si>
  <si>
    <t xml:space="preserve">038: Annual meetings</t>
  </si>
  <si>
    <t xml:space="preserve">038: Blogs</t>
  </si>
  <si>
    <t xml:space="preserve">038: Community calls</t>
  </si>
  <si>
    <t xml:space="preserve">038: Conference participation</t>
  </si>
  <si>
    <t xml:space="preserve">038: Development sprints</t>
  </si>
  <si>
    <t xml:space="preserve">038: Interest, working, user, or advisory groups</t>
  </si>
  <si>
    <t xml:space="preserve">038: Mailing lists and discussion forums (including Slack)</t>
  </si>
  <si>
    <t xml:space="preserve">038: Social media</t>
  </si>
  <si>
    <t xml:space="preserve">038: Staff roles with responsibility for community engagement</t>
  </si>
  <si>
    <t xml:space="preserve">038: User research</t>
  </si>
  <si>
    <t xml:space="preserve">038: Volunteer or ambassador network</t>
  </si>
  <si>
    <t xml:space="preserve">038: Webinars and training</t>
  </si>
  <si>
    <t xml:space="preserve">938: Annual meetings</t>
  </si>
  <si>
    <t xml:space="preserve">938: Blogs</t>
  </si>
  <si>
    <t xml:space="preserve">938: Community calls</t>
  </si>
  <si>
    <t xml:space="preserve">938: Conference participation</t>
  </si>
  <si>
    <t xml:space="preserve">938: Development sprints</t>
  </si>
  <si>
    <t xml:space="preserve">938: Interest, working, user, or advisory groups</t>
  </si>
  <si>
    <t xml:space="preserve">938: Mailing lists and discussion forums (including Slack)</t>
  </si>
  <si>
    <t xml:space="preserve">938: Social media</t>
  </si>
  <si>
    <t xml:space="preserve">938: Staff roles with responsibility for community engagement</t>
  </si>
  <si>
    <t xml:space="preserve">938: User research</t>
  </si>
  <si>
    <t xml:space="preserve">938: Volunteer or ambassador network</t>
  </si>
  <si>
    <t xml:space="preserve">938: Webinars and training</t>
  </si>
  <si>
    <t xml:space="preserve">038 has "Other"</t>
  </si>
  <si>
    <t xml:space="preserve">938 text given</t>
  </si>
  <si>
    <t xml:space="preserve">Checklist categories (n)</t>
  </si>
  <si>
    <t xml:space="preserve">Union categories (n)</t>
  </si>
  <si>
    <t xml:space="preserve">Added by 938 text only</t>
  </si>
  <si>
    <t xml:space="preserve">"Other" credit (needs 938 text)</t>
  </si>
  <si>
    <t xml:space="preserve">E2 category count (union)</t>
  </si>
  <si>
    <t xml:space="preserve">E2 count, checklist only (sensitivity)</t>
  </si>
  <si>
    <t xml:space="preserve">Both 038 and 938 filled</t>
  </si>
  <si>
    <t xml:space="preserve">Coded cats also in checklist</t>
  </si>
  <si>
    <t xml:space="preserve">Coded cats NOT in checklist</t>
  </si>
  <si>
    <t xml:space="preserve">Checklist cats (both-filled repos)</t>
  </si>
  <si>
    <t xml:space="preserve">037 score (auto)</t>
  </si>
  <si>
    <t xml:space="preserve">E2 category count (union 038 + coded 938)</t>
  </si>
  <si>
    <t xml:space="preserve">E2 score (auto, gated)</t>
  </si>
  <si>
    <t xml:space="preserve">C3 score (auto, from 019)</t>
  </si>
  <si>
    <t xml:space="preserve">040 category count</t>
  </si>
  <si>
    <t xml:space="preserve">C1 score (040, auto)</t>
  </si>
  <si>
    <t xml:space="preserve">041 URL class</t>
  </si>
  <si>
    <t xml:space="preserve">C2 score (041, auto)</t>
  </si>
  <si>
    <t xml:space="preserve">G1 score (042, auto)</t>
  </si>
  <si>
    <t xml:space="preserve">G2 score (048, auto)</t>
  </si>
  <si>
    <t xml:space="preserve">FLAG 037 vs 038 conflict</t>
  </si>
  <si>
    <t xml:space="preserve">FLAG CoC URL but status ≠ Implemented</t>
  </si>
  <si>
    <t xml:space="preserve">FLAG Governance Formal, no URL</t>
  </si>
  <si>
    <t xml:space="preserve">FLAG Governance blank but URL present</t>
  </si>
  <si>
    <t xml:space="preserve">FLAG engagement text/URL given but no category coded</t>
  </si>
  <si>
    <t xml:space="preserve">FLAG 041 suspect URL</t>
  </si>
  <si>
    <t xml:space="preserve">FLAG 039 contradicts contribution evidence</t>
  </si>
  <si>
    <t xml:space="preserve">FLAG no code-repo URL</t>
  </si>
  <si>
    <t xml:space="preserve">Flags (count)</t>
  </si>
  <si>
    <t xml:space="preserve">040 count excl. funds</t>
  </si>
  <si>
    <t xml:space="preserve">040 score excl. funds (sensitivity)</t>
  </si>
  <si>
    <t xml:space="preserve">Auto scores computed from Data + Parameters. Do not type here — enter verified values on the Verification sheet; Scoring uses them in preference to these auto values.</t>
  </si>
  <si>
    <t xml:space="preserve">BASE score (primary threshold)</t>
  </si>
  <si>
    <t xml:space="preserve">C1 excluding "Contribute funds"</t>
  </si>
  <si>
    <t xml:space="preserve">Shrinkage toward median (completeness-weighted)</t>
  </si>
  <si>
    <t xml:space="preserve">Require 038 or 040 to be scored</t>
  </si>
  <si>
    <t xml:space="preserve">|Δ| lower thr</t>
  </si>
  <si>
    <t xml:space="preserve">|Δ| higher thr</t>
  </si>
  <si>
    <t xml:space="preserve">|Δ| checklist only</t>
  </si>
  <si>
    <t xml:space="preserve">|Δ| equal weights</t>
  </si>
  <si>
    <t xml:space="preserve">|Δ| excl. funds</t>
  </si>
  <si>
    <t xml:space="preserve">|Δ| shrinkage</t>
  </si>
  <si>
    <t xml:space="preserve">|Δ| require 038/040</t>
  </si>
  <si>
    <t xml:space="preserve">Descriptive / contextual variables — reported, NOT scored (078 membership numbers, 107 membership programme URL)</t>
  </si>
  <si>
    <t xml:space="preserve">078 Membership numbers</t>
  </si>
  <si>
    <t xml:space="preserve">log10(membership)</t>
  </si>
  <si>
    <t xml:space="preserve">107 Membership programme URL given?</t>
  </si>
  <si>
    <t xml:space="preserve">Membership model evidence?</t>
  </si>
  <si>
    <t xml:space="preserve">Community Engagement score</t>
  </si>
  <si>
    <t xml:space="preserve">Repos with a membership number reported</t>
  </si>
  <si>
    <t xml:space="preserve">…of which equal to 0</t>
  </si>
  <si>
    <t xml:space="preserve">Median membership (all reported, incl. 0)</t>
  </si>
  <si>
    <t xml:space="preserve">Maximum membership</t>
  </si>
  <si>
    <t xml:space="preserve">Repos with membership programme URL</t>
  </si>
  <si>
    <t xml:space="preserve">Mean score – with membership evidence</t>
  </si>
  <si>
    <t xml:space="preserve">Mean score – without membership evidence</t>
  </si>
  <si>
    <t xml:space="preserve">n scored – with membership evidence</t>
  </si>
  <si>
    <t xml:space="preserve">n scored – without membership evidence</t>
  </si>
  <si>
    <t xml:space="preserve">Interpretation note: a membership "0" most plausibly means no membership model, not a small one. These variables describe community size/structure and are kept out of the score, as specified in the OISI draft.</t>
  </si>
  <si>
    <t xml:space="preserve">Audit of 938 text coding: random sample of 20 repos where the coder found at least one category (seed 42, drawn from 29 coded repos)</t>
  </si>
  <si>
    <t xml:space="preserve">Read the 938 text, check each coded category is supported, and record your verdict. Claude's first-pass check is a draft only; the human verdict column is yours to fill. Text is shown with HTML tags removed (extract only; Data holds the source).</t>
  </si>
  <si>
    <t xml:space="preserve">Data row</t>
  </si>
  <si>
    <t xml:space="preserve">938 text (HTML stripped, first 900 chars)</t>
  </si>
  <si>
    <t xml:space="preserve">Categories coded by the dictionary (live)</t>
  </si>
  <si>
    <t xml:space="preserve">In 038 checklist too?</t>
  </si>
  <si>
    <t xml:space="preserve">Claude first-pass check</t>
  </si>
  <si>
    <t xml:space="preserve">Human reviewer verdict</t>
  </si>
  <si>
    <t xml:space="preserve">Reviewer notes</t>
  </si>
  <si>
    <t xml:space="preserve">Questions, use cases, and ideas can be shared with the Archipelago Google Groups forum and on the Archipelago Commons Slack Channel. Stakeholders are also invited to visit, subscribe to, and participate in various active GitHub repositories.</t>
  </si>
  <si>
    <t xml:space="preserve">Correct: every coded category is supported by the text.</t>
  </si>
  <si>
    <t xml:space="preserve">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 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t>
  </si>
  <si>
    <t xml:space="preserve">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https://www.countermetrics.org/members/</t>
  </si>
  <si>
    <t xml:space="preserve">Dedicated Community Engagement Manager role, annual Global Summit for community members, periodic Community Conversations on emerging topics such as AI and Creative Commons, Community Spotlights on blog</t>
  </si>
  <si>
    <t xml:space="preserve">Crossref has a large community engagement program, with around 10 staff who have all taken the CSCCE Foundations course. Activities comprise: onboarding and education: https://www.crossref.org/members-area/ multilingual webinars and in-person events: https://www.crossref.org/events/ working and advisory groups: https://www.crossref.org/working-groups/ speaking at and participating in meetings and other infrastructures' working groups ambassador program (51 people in 37 countries): https://www.crossref.org/community/ambassadors/ sponsoring organisations (around 120, helping smaller organizations join for free and enrich metadata - a somewhat train-the-trainer activity): https://www.crossref.org/membership/about-sponsors/ Global Equitable Membership (GEM) program: https://www.crossref.org/gem/ The PLACE collaboration with COPE, OASPA, and DOAJ: https://theplace.discourse.group/ Community f</t>
  </si>
  <si>
    <t xml:space="preserve">DOAJ recomitted to the Principles of Open Scholarly Infrastructure in 2025: https://blog.doaj.org/2025/10/20/doaj-recommits-to-the-principles-of-open-scholarly-infrastructure/ and is an active member of the POSI Working Group. Members of the communnity contribute to the quality and accuracy of DOAJ metadata. DOAJ is a signatory and active proponent of the Helsinki Initiative on Multilingualism.</t>
  </si>
  <si>
    <t xml:space="preserve">Partly: "POSI Working Group" is an external group DOAJ joins, not its own engagement group.</t>
  </si>
  <si>
    <t xml:space="preserve">Workshops and presentations at conferences. There is a community chat answering users and developers questions since 2015. W3C TAG Ethical Web Principles: https://www.w3.org/TR/ethical-web-principles/</t>
  </si>
  <si>
    <t xml:space="preserve">There are many ways for the community to engage including becoming a member, contributing code, serving on governance, donating towards fundraising campaigns, working on documentation, participating in listservs and events and working groups. Dryad adopted the POSI Principles in 2020 and is a member of the POSI Adopters Group. Read our full self-audit at https://blog.datadryad.org/2020/12/08/dryads-commitment-to-the-principles-of-open-scholarly-infrastructure/ .</t>
  </si>
  <si>
    <t xml:space="preserve">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Samvera's wiki .</t>
  </si>
  <si>
    <t xml:space="preserve">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</si>
  <si>
    <t xml:space="preserve">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</si>
  <si>
    <t xml:space="preserve">Mirador's development, design, and maintenance is driven by community needs and ongoing feedback and discussion. Join us at our regularly scheduled community calls or review the call notes , on IIIF slack or the iiif-discuss mailing list. To suggest features, report bugs, and clarify usage, submit a GitHub issue. Slack channels within IIIF organization #mirador and #mirador-dev Github IIIF Google group discussion</t>
  </si>
  <si>
    <t xml:space="preserve">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 See: Governance Roadmap Get Involved The Advisory Group in more detail: The Advisory Group consists of individuals and representatives of stakeholder groups (primary and other) who will contribute by expertise to ensure community representation, involvement and input in product/service development. read about our Generic Code .</t>
  </si>
  <si>
    <t xml:space="preserve">Partly: "blogs" appears inside a commitment ("newsletters or blogs or otherwise"), not a stated practice. Advisory/working groups are correct.</t>
  </si>
  <si>
    <t xml:space="preserve">Webinars user group Twitter Mastodon POSI self-audit</t>
  </si>
  <si>
    <t xml:space="preserve">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 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t>
  </si>
  <si>
    <t xml:space="preserve">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 Champions. The Champions Program equips researchers to promote open preprint review globally. Each year, selected participants engage in activities to increase research community involvement in open peer review, supported by resources and training. 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t>
  </si>
  <si>
    <t xml:space="preserve">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present (and often sponsor) as many OER events/conferences as we can afford monthly open client / product meetings</t>
  </si>
  <si>
    <t xml:space="preserve">Partly: "monthly open client / product meetings" is a plausible community call, not named as one. Conferences correct.</t>
  </si>
  <si>
    <t xml:space="preserve">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KFG Statement of Principles based in part on C4DISC, Contributor Covenant</t>
  </si>
  <si>
    <t xml:space="preserve">ROR is community-supported, community-driven, community-funded open infrastructure. The community-based aspect of ROR sets it apart from similar efforts in this space. 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 ROR published an analysis of its alignment with the Principles of Open Scholarly Infrastructure in December 2020.</t>
  </si>
  <si>
    <t xml:space="preserve">Claude first-pass tally (draft, not a substitute for human review): 17 of 20 fully correct, 3 partly correct (weak support), 0 wrong.</t>
  </si>
  <si>
    <t xml:space="preserve">E2 text-coding dictionary: maps 938 free text onto the 12 standard engagement categories</t>
  </si>
  <si>
    <t xml:space="preserve">A category is coded from 938 when any of its keywords appears (case-insensitive substring match on the raw text, including URLs). Edit or add keywords in the blue cells; everything recalculates. Strict by design: precision over recall.</t>
  </si>
  <si>
    <t xml:space="preserve">Category (matches 038 label)</t>
  </si>
  <si>
    <t xml:space="preserve">Category</t>
  </si>
  <si>
    <t xml:space="preserve">Keyword (blue = editable)</t>
  </si>
  <si>
    <t xml:space="preserve">Annual meetings</t>
  </si>
  <si>
    <t xml:space="preserve">annual meeting</t>
  </si>
  <si>
    <t xml:space="preserve">Blogs</t>
  </si>
  <si>
    <t xml:space="preserve">annual general meeting</t>
  </si>
  <si>
    <t xml:space="preserve">Community calls</t>
  </si>
  <si>
    <t xml:space="preserve">annual community meeting</t>
  </si>
  <si>
    <t xml:space="preserve">Conference participation</t>
  </si>
  <si>
    <t xml:space="preserve">annual summit</t>
  </si>
  <si>
    <t xml:space="preserve">Development sprints</t>
  </si>
  <si>
    <t xml:space="preserve">global summit</t>
  </si>
  <si>
    <t xml:space="preserve">Interest, working, user, or advisory groups</t>
  </si>
  <si>
    <t xml:space="preserve">blogs</t>
  </si>
  <si>
    <t xml:space="preserve">Mailing lists and discussion forums (including Slack)</t>
  </si>
  <si>
    <t xml:space="preserve">blog post</t>
  </si>
  <si>
    <t xml:space="preserve">Social media</t>
  </si>
  <si>
    <t xml:space="preserve">our blog</t>
  </si>
  <si>
    <t xml:space="preserve">Staff roles with responsibility for community engagement</t>
  </si>
  <si>
    <t xml:space="preserve">on blog</t>
  </si>
  <si>
    <t xml:space="preserve">User research</t>
  </si>
  <si>
    <t xml:space="preserve">blog and</t>
  </si>
  <si>
    <t xml:space="preserve">Volunteer or ambassador network</t>
  </si>
  <si>
    <t xml:space="preserve">community call</t>
  </si>
  <si>
    <t xml:space="preserve">Webinars and training</t>
  </si>
  <si>
    <t xml:space="preserve">group call</t>
  </si>
  <si>
    <t xml:space="preserve">community conversation</t>
  </si>
  <si>
    <t xml:space="preserve">open tech meeting</t>
  </si>
  <si>
    <t xml:space="preserve">open client</t>
  </si>
  <si>
    <t xml:space="preserve">community meetings</t>
  </si>
  <si>
    <t xml:space="preserve">conference</t>
  </si>
  <si>
    <t xml:space="preserve">speaking at</t>
  </si>
  <si>
    <t xml:space="preserve">present (and often sponsor)</t>
  </si>
  <si>
    <t xml:space="preserve">sprint</t>
  </si>
  <si>
    <t xml:space="preserve">hackathon</t>
  </si>
  <si>
    <t xml:space="preserve">working group</t>
  </si>
  <si>
    <t xml:space="preserve">interest group</t>
  </si>
  <si>
    <t xml:space="preserve">user group</t>
  </si>
  <si>
    <t xml:space="preserve">advisory group</t>
  </si>
  <si>
    <t xml:space="preserve">advisory council</t>
  </si>
  <si>
    <t xml:space="preserve">advisory committee</t>
  </si>
  <si>
    <t xml:space="preserve">advisory board</t>
  </si>
  <si>
    <t xml:space="preserve">steering group</t>
  </si>
  <si>
    <t xml:space="preserve">task group</t>
  </si>
  <si>
    <t xml:space="preserve">community group</t>
  </si>
  <si>
    <t xml:space="preserve">mailing list</t>
  </si>
  <si>
    <t xml:space="preserve">listserv</t>
  </si>
  <si>
    <t xml:space="preserve">discussion forum</t>
  </si>
  <si>
    <t xml:space="preserve">community forum</t>
  </si>
  <si>
    <t xml:space="preserve">developer forum</t>
  </si>
  <si>
    <t xml:space="preserve">google group</t>
  </si>
  <si>
    <t xml:space="preserve">slack</t>
  </si>
  <si>
    <t xml:space="preserve">community chat</t>
  </si>
  <si>
    <t xml:space="preserve">discussion list</t>
  </si>
  <si>
    <t xml:space="preserve">discuss mailing</t>
  </si>
  <si>
    <t xml:space="preserve">social media</t>
  </si>
  <si>
    <t xml:space="preserve">twitter</t>
  </si>
  <si>
    <t xml:space="preserve">mastodon</t>
  </si>
  <si>
    <t xml:space="preserve">linkedin</t>
  </si>
  <si>
    <t xml:space="preserve">facebook</t>
  </si>
  <si>
    <t xml:space="preserve">bluesky</t>
  </si>
  <si>
    <t xml:space="preserve">instagram</t>
  </si>
  <si>
    <t xml:space="preserve">community manager</t>
  </si>
  <si>
    <t xml:space="preserve">engagement manager</t>
  </si>
  <si>
    <t xml:space="preserve">community engagement team</t>
  </si>
  <si>
    <t xml:space="preserve">dedicated staff</t>
  </si>
  <si>
    <t xml:space="preserve">dedicated community</t>
  </si>
  <si>
    <t xml:space="preserve">community team</t>
  </si>
  <si>
    <t xml:space="preserve">community coordinator</t>
  </si>
  <si>
    <t xml:space="preserve">outreach librarian</t>
  </si>
  <si>
    <t xml:space="preserve">staff dedicated</t>
  </si>
  <si>
    <t xml:space="preserve">engagement staff</t>
  </si>
  <si>
    <t xml:space="preserve">engagement role</t>
  </si>
  <si>
    <t xml:space="preserve">user research</t>
  </si>
  <si>
    <t xml:space="preserve">usability</t>
  </si>
  <si>
    <t xml:space="preserve">user testing</t>
  </si>
  <si>
    <t xml:space="preserve">user interview</t>
  </si>
  <si>
    <t xml:space="preserve">user survey</t>
  </si>
  <si>
    <t xml:space="preserve">ambassador</t>
  </si>
  <si>
    <t xml:space="preserve">champions program</t>
  </si>
  <si>
    <t xml:space="preserve">volunteer network</t>
  </si>
  <si>
    <t xml:space="preserve">volunteer program</t>
  </si>
  <si>
    <t xml:space="preserve">community champion</t>
  </si>
  <si>
    <t xml:space="preserve">webinar</t>
  </si>
  <si>
    <t xml:space="preserve">trainings</t>
  </si>
  <si>
    <t xml:space="preserve">training event</t>
  </si>
  <si>
    <t xml:space="preserve">training program</t>
  </si>
  <si>
    <t xml:space="preserve">training session</t>
  </si>
  <si>
    <t xml:space="preserve">online training</t>
  </si>
  <si>
    <t xml:space="preserve">workshop</t>
  </si>
  <si>
    <t xml:space="preserve">educational opportunities</t>
  </si>
  <si>
    <t xml:space="preserve">Parameters (all scoring inputs live here — blue cells are editable)</t>
  </si>
  <si>
    <t xml:space="preserve">Changing any blue value recalculates every score in the workbook. Source of weights: OISI Component 1 draft (01_Community_Engagement_OISI.docx).</t>
  </si>
  <si>
    <t xml:space="preserve">A. Metric weights (share of the Community Engagement component)</t>
  </si>
  <si>
    <t xml:space="preserve">Variable</t>
  </si>
  <si>
    <t xml:space="preserve">Weight in component</t>
  </si>
  <si>
    <t xml:space="preserve">Note</t>
  </si>
  <si>
    <t xml:space="preserve">Engagement status</t>
  </si>
  <si>
    <t xml:space="preserve">037_community_engagement_status</t>
  </si>
  <si>
    <t xml:space="preserve">Saturated (~85% score 1.00), so weight cut from 15%.</t>
  </si>
  <si>
    <t xml:space="preserve">Engagement breadth</t>
  </si>
  <si>
    <t xml:space="preserve">038 checklist ∪ coded 938 free text</t>
  </si>
  <si>
    <t xml:space="preserve">min(n,8)/8 on the union of categories; 938 coded via Dictionary sheet.</t>
  </si>
  <si>
    <t xml:space="preserve">Contribution routes</t>
  </si>
  <si>
    <t xml:space="preserve">040 + 940 (Other with text)</t>
  </si>
  <si>
    <t xml:space="preserve">min(n,6)/6.</t>
  </si>
  <si>
    <t xml:space="preserve">Contribution guidance</t>
  </si>
  <si>
    <t xml:space="preserve">041_contribution_guidelines</t>
  </si>
  <si>
    <t xml:space="preserve">URL tiers: guide 1, other page 0.5, suspect NA.</t>
  </si>
  <si>
    <t xml:space="preserve">Open contribution infrastructure (replaces 039)</t>
  </si>
  <si>
    <t xml:space="preserve">019_open_code_repository_url</t>
  </si>
  <si>
    <t xml:space="preserve">Public forge 1; other host 0.5; blank NA. Near-constant today, so low weight.</t>
  </si>
  <si>
    <t xml:space="preserve">Code of Conduct</t>
  </si>
  <si>
    <t xml:space="preserve">042_code_of_conduct_status</t>
  </si>
  <si>
    <t xml:space="preserve">Community governance</t>
  </si>
  <si>
    <t xml:space="preserve">048_community_governance_status</t>
  </si>
  <si>
    <t xml:space="preserve">Total (must be 100%)</t>
  </si>
  <si>
    <t xml:space="preserve">Sub-component weights (stated in OISI draft vs implied by metric weights)</t>
  </si>
  <si>
    <t xml:space="preserve">Stated weight</t>
  </si>
  <si>
    <t xml:space="preserve">Implied by metrics</t>
  </si>
  <si>
    <t xml:space="preserve">Check</t>
  </si>
  <si>
    <t xml:space="preserve">Sub-component weights are redundant with the metric weights (they match), so scores use one flat weighted mean over available metrics. Rows 17–19 are a consistency check only.</t>
  </si>
  <si>
    <t xml:space="preserve">Weight of this component in overall OISI</t>
  </si>
  <si>
    <t xml:space="preserve">B. Status ladder (E1 = 037, G1 = 042)</t>
  </si>
  <si>
    <t xml:space="preserve">Status label</t>
  </si>
  <si>
    <t xml:space="preserve">Implemented/available</t>
  </si>
  <si>
    <t xml:space="preserve">Unknown, Not applicable and blank are NOT in this table, so they return NA (missing), never 0. 039 is no longer scored.</t>
  </si>
  <si>
    <t xml:space="preserve">In progress</t>
  </si>
  <si>
    <t xml:space="preserve">Considering</t>
  </si>
  <si>
    <t xml:space="preserve">Not planning</t>
  </si>
  <si>
    <t xml:space="preserve">C. Governance map (048)</t>
  </si>
  <si>
    <t xml:space="preserve">Formal</t>
  </si>
  <si>
    <t xml:space="preserve">The dataset contains only Formal / Ad hoc / blank; "None" is kept for verified absence. Blank = NA.</t>
  </si>
  <si>
    <t xml:space="preserve">Ad hoc</t>
  </si>
  <si>
    <t xml:space="preserve">None</t>
  </si>
  <si>
    <t xml:space="preserve">D. Breadth scoring and gating (038, 040)</t>
  </si>
  <si>
    <t xml:space="preserve">Activity cap (038): categories that earn full marks</t>
  </si>
  <si>
    <t xml:space="preserve">Standard list has 12 categories (Other counts only with 938 text). 8 is about the median among repos with evidence.</t>
  </si>
  <si>
    <t xml:space="preserve">Opportunity cap (040): categories that earn full marks</t>
  </si>
  <si>
    <t xml:space="preserve">Standard list has 8 categories (+ Other, Peer reviews).</t>
  </si>
  <si>
    <t xml:space="preserve">Engagement gate on/off (1 = on)</t>
  </si>
  <si>
    <t xml:space="preserve">If 037 ≤ gate level, listed activities cannot raise 038 above 0; flagged for verification.</t>
  </si>
  <si>
    <t xml:space="preserve">Engagement gate level (037 score at or below)</t>
  </si>
  <si>
    <t xml:space="preserve">0.33 = "Considering".</t>
  </si>
  <si>
    <t xml:space="preserve">Reserved: 039 removed from the score (kept only as the consistency flag on Calc)</t>
  </si>
  <si>
    <t xml:space="preserve">Flag: 039 = Considering/Not planning but 040 or 041 evidence exists.</t>
  </si>
  <si>
    <t xml:space="preserve">E. Contribution guidelines tiers (041)</t>
  </si>
  <si>
    <t xml:space="preserve">Tier score: dedicated contribution guide</t>
  </si>
  <si>
    <t xml:space="preserve">URL contains the pattern below (CONTRIBUTING.md, "contribute", "contributors"…).</t>
  </si>
  <si>
    <t xml:space="preserve">Tier score: other contribution / get-involved page</t>
  </si>
  <si>
    <t xml:space="preserve">URL present but not a dedicated guide. Provisional until opened and checked.</t>
  </si>
  <si>
    <t xml:space="preserve">Dedicated-guide URL pattern (text match, not case-sensitive)</t>
  </si>
  <si>
    <t xml:space="preserve">contribut</t>
  </si>
  <si>
    <t xml:space="preserve">Provisional heuristic on the URL only — not content. Verification overrides it.</t>
  </si>
  <si>
    <t xml:space="preserve">Suspect 041 URL patterns (URL is not contribution guidance → score NA until verified). Keep all 5 cells filled.</t>
  </si>
  <si>
    <t xml:space="preserve">discord</t>
  </si>
  <si>
    <t xml:space="preserve">Catches: Discord invites (2), Terms of Use (OSF), account-types help page (Synapse), malformed link (AtoM), trailing ";" (EPrints).</t>
  </si>
  <si>
    <t xml:space="preserve">TERMS_OF_USE</t>
  </si>
  <si>
    <t xml:space="preserve">Account-Types</t>
  </si>
  <si>
    <t xml:space="preserve">bute_code</t>
  </si>
  <si>
    <t xml:space="preserve">;</t>
  </si>
  <si>
    <t xml:space="preserve">F. Completeness rules</t>
  </si>
  <si>
    <t xml:space="preserve">Primary completeness threshold (share of component weight that must be scored)</t>
  </si>
  <si>
    <t xml:space="preserve">A repo gets a score only if scored metrics carry at least this share of weight.</t>
  </si>
  <si>
    <t xml:space="preserve">Sensitivity threshold – lower</t>
  </si>
  <si>
    <t xml:space="preserve">Sensitivity threshold – higher</t>
  </si>
  <si>
    <t xml:space="preserve">Minimum sub-components with ≥1 scored metric</t>
  </si>
  <si>
    <t xml:space="preserve">Prevents scoring a repo on one sub-component only (max 3).</t>
  </si>
  <si>
    <t xml:space="preserve">"High completeness" band starts at</t>
  </si>
  <si>
    <t xml:space="preserve">Reporting band only.</t>
  </si>
  <si>
    <t xml:space="preserve">G. Open contribution infrastructure (C3, from 019)</t>
  </si>
  <si>
    <t xml:space="preserve">Score: public forge host</t>
  </si>
  <si>
    <t xml:space="preserve">URL contains one of the host patterns below.</t>
  </si>
  <si>
    <t xml:space="preserve">Score: other host (self-hosted forge, institutional)</t>
  </si>
  <si>
    <t xml:space="preserve">Can accept contributions but is not a public forge. Blank 019 = NA.</t>
  </si>
  <si>
    <t xml:space="preserve">Public forge host patterns (text match)</t>
  </si>
  <si>
    <t xml:space="preserve">github.com</t>
  </si>
  <si>
    <t xml:space="preserve">gitlab.com</t>
  </si>
  <si>
    <t xml:space="preserve">bitbucket.org</t>
  </si>
  <si>
    <t xml:space="preserve">codeberg.org</t>
  </si>
  <si>
    <t xml:space="preserve">sr.ht</t>
  </si>
  <si>
    <t xml:space="preserve">001_service_name</t>
  </si>
  <si>
    <t xml:space="preserve">008_provider_name</t>
  </si>
  <si>
    <t xml:space="preserve">010_website</t>
  </si>
  <si>
    <t xml:space="preserve">013_location</t>
  </si>
  <si>
    <t xml:space="preserve">014_solution_category</t>
  </si>
  <si>
    <t xml:space="preserve">038_community_engagement_activities</t>
  </si>
  <si>
    <t xml:space="preserve">938_community_engagement_activities_other</t>
  </si>
  <si>
    <t xml:space="preserve">116_community_engagement_url</t>
  </si>
  <si>
    <t xml:space="preserve">039_contribution_pathways</t>
  </si>
  <si>
    <t xml:space="preserve">040_contribution_opportunities</t>
  </si>
  <si>
    <t xml:space="preserve">940_contribution_opportunities_other</t>
  </si>
  <si>
    <t xml:space="preserve">043_code_of_conduct_url</t>
  </si>
  <si>
    <t xml:space="preserve">049_community_governance_url</t>
  </si>
  <si>
    <t xml:space="preserve">078_membership_numbers</t>
  </si>
  <si>
    <t xml:space="preserve">107_membership_program_url</t>
  </si>
  <si>
    <t xml:space="preserve">2i2c</t>
  </si>
  <si>
    <t xml:space="preserve">Code for Science and Society</t>
  </si>
  <si>
    <t xml:space="preserve">https://2i2c.org/</t>
  </si>
  <si>
    <t xml:space="preserve">US</t>
  </si>
  <si>
    <t xml:space="preserve">Authoring tool</t>
  </si>
  <si>
    <t xml:space="preserve">https://github.com/2i2c-org/infrastructure</t>
  </si>
  <si>
    <t xml:space="preserve">&lt;p&gt;There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</si>
  <si>
    <t xml:space="preserve">https://compass.2i2c.org/organization/mission/   https://docs.2i2c.org/about/service/ https://compass.2i2c.org/open-source/ https://compass.2i2c.org/reference/calendar/</t>
  </si>
  <si>
    <t xml:space="preserve">https://compass.2i2c.org/code-of-conduct/</t>
  </si>
  <si>
    <t xml:space="preserve">Academic Preservation Trust (APTrust)</t>
  </si>
  <si>
    <t xml:space="preserve">https://aptrust.org</t>
  </si>
  <si>
    <t xml:space="preserve">Digital preservation service</t>
  </si>
  <si>
    <t xml:space="preserve">https://github.com/APTrust/registry</t>
  </si>
  <si>
    <t xml:space="preserve">Annual meetings | Blogs | Community calls | Conference participation | Development sprints | Interest, working, user, or advisory groups | Mailing lists and discussion forums (including Slack) | Staff roles with responsibility for community engagement | User research | Webinars and training</t>
  </si>
  <si>
    <t xml:space="preserve">https://aptrust.org/resources/interest-groups/ https://aptrust.org/resources/user-groups/ https://aptrust.org/resources/working-groups/ https://aptrust.org/resources/member-meetings/ https://aptrust.org/governance/advisory-committee/</t>
  </si>
  <si>
    <t xml:space="preserve">Contribute funds | Contribute to code | Contribute to documentation | Contribute to education or training | Contribute to governance | Contribute to user research or user testing | Contribute to working groups or interest groups</t>
  </si>
  <si>
    <t xml:space="preserve">https://aptrust.org/resources/working-groups/</t>
  </si>
  <si>
    <t xml:space="preserve">https://www.diglib.org/about/code-of-conduct/</t>
  </si>
  <si>
    <t xml:space="preserve">https://aptrust.org/resources/policies/#governance-manual</t>
  </si>
  <si>
    <t xml:space="preserve">https://aptrust.org/members/</t>
  </si>
  <si>
    <t xml:space="preserve">AfricArXiv</t>
  </si>
  <si>
    <t xml:space="preserve">UbuntuNet Alliance</t>
  </si>
  <si>
    <t xml:space="preserve">https://africarxiv.org/</t>
  </si>
  <si>
    <t xml:space="preserve">MW</t>
  </si>
  <si>
    <t xml:space="preserve">Repository service</t>
  </si>
  <si>
    <t xml:space="preserve">Unknown</t>
  </si>
  <si>
    <t xml:space="preserve">https://access2perspectives.org/code-of-conduct/</t>
  </si>
  <si>
    <t xml:space="preserve">Arches Heritage Data Management Platform</t>
  </si>
  <si>
    <t xml:space="preserve">Getty Conservation Institute (GCI)</t>
  </si>
  <si>
    <t xml:space="preserve">https://archesproject.org</t>
  </si>
  <si>
    <t xml:space="preserve">Data management planning tool or service</t>
  </si>
  <si>
    <t xml:space="preserve">https://github.com/archesproject</t>
  </si>
  <si>
    <t xml:space="preserve">https://www.archesproject.org/community-participation/</t>
  </si>
  <si>
    <t xml:space="preserve">https://github.com/archesproject/arches/blob/master/CONTRIBUTING.md</t>
  </si>
  <si>
    <t xml:space="preserve">https://www.archesproject.org/code-of-conduct/</t>
  </si>
  <si>
    <t xml:space="preserve">https://www.archesproject.org/archesgovernance/</t>
  </si>
  <si>
    <t xml:space="preserve">Archipelago Commons</t>
  </si>
  <si>
    <t xml:space="preserve">Metropolitan New York Library Council</t>
  </si>
  <si>
    <t xml:space="preserve">https://docs.archipelago.nyc/</t>
  </si>
  <si>
    <t xml:space="preserve">Digital library, collection or exhibit platform | Repository software</t>
  </si>
  <si>
    <t xml:space="preserve">https://github.com/esmero/</t>
  </si>
  <si>
    <t xml:space="preserve">Community calls | Conference participation | Interest, working, user, or advisory groups | Mailing lists and discussion forums (including Slack) | Staff roles with responsibility for community engagement | Volunteer or ambassador network | Webinars and training</t>
  </si>
  <si>
    <t xml:space="preserve">&lt;p&gt;Questions, use cases, and ideas can be shared with the Archipelago Google Groups forum and  on the Archipelago Commons Slack Channel.&lt;/p&gt;
&lt;p&gt;Stakeholders are also invited to visit, subscribe to, and participate in various active GitHub repositories.&lt;/p&gt;</t>
  </si>
  <si>
    <t xml:space="preserve">https://metro.org/code-of-conduct</t>
  </si>
  <si>
    <t xml:space="preserve">Contribute to code | Contribute to documentation | Contribute to working groups or interest groups</t>
  </si>
  <si>
    <t xml:space="preserve">https://docs.archipelago.nyc/1.5.0/giveortake/</t>
  </si>
  <si>
    <t xml:space="preserve">https://docs.archipelago.nyc/1.5.0/CODE_OF_CONDUCT/</t>
  </si>
  <si>
    <t xml:space="preserve">https://metro.org/wp-content/uploads/2025/05/METROBylaws20242.pdf</t>
  </si>
  <si>
    <t xml:space="preserve">Archival Resource Key</t>
  </si>
  <si>
    <t xml:space="preserve">ARK Alliance</t>
  </si>
  <si>
    <t xml:space="preserve">https://arks.org/</t>
  </si>
  <si>
    <t xml:space="preserve">Standard, specification or protocol</t>
  </si>
  <si>
    <t xml:space="preserve">https://github.com/arks-org</t>
  </si>
  <si>
    <t xml:space="preserve">https://arks.org/community/</t>
  </si>
  <si>
    <t xml:space="preserve">Contribute funds | Contribute to code | Contribute to documentation | Contribute to education or training | Contribute to working groups or interest groups</t>
  </si>
  <si>
    <t xml:space="preserve">https://arks.org/about/ark-community-code-of-conduct/</t>
  </si>
  <si>
    <t xml:space="preserve">Archivematica</t>
  </si>
  <si>
    <t xml:space="preserve">Artefactual</t>
  </si>
  <si>
    <t xml:space="preserve">https://www.archivematica.org/</t>
  </si>
  <si>
    <t xml:space="preserve">CA</t>
  </si>
  <si>
    <t xml:space="preserve">Digital preservation system</t>
  </si>
  <si>
    <t xml:space="preserve">https://github.com/artefactual/archivematica</t>
  </si>
  <si>
    <t xml:space="preserve">https://groups.google.com/g/archivematica</t>
  </si>
  <si>
    <t xml:space="preserve">https://contributors.artefactual.com/</t>
  </si>
  <si>
    <t xml:space="preserve">https://github.com/artefactual/archivematica/blob/qa/1.x/CODE_OF_CONDUCT.md</t>
  </si>
  <si>
    <t xml:space="preserve">ArchivesSpace</t>
  </si>
  <si>
    <t xml:space="preserve">https://archivesspace.org/</t>
  </si>
  <si>
    <t xml:space="preserve">Archive information management system | Discovery system</t>
  </si>
  <si>
    <t xml:space="preserve">https://github.com/archivesspace/archivesspace</t>
  </si>
  <si>
    <t xml:space="preserve">Annual meetings | Blogs | Community calls | Conference participation | Interest, working, user, or advisory groups | Mailing lists and discussion forums (including Slack) | Social media | Staff roles with responsibility for community engagement | Webinars and training</t>
  </si>
  <si>
    <t xml:space="preserve">https://archivesspace.atlassian.net/wiki/spaces/ADC/pages/16449553/Contribute+to+ArchivesSpace</t>
  </si>
  <si>
    <t xml:space="preserve">https://archivesspace.org/archivesspace-code-of-conduct</t>
  </si>
  <si>
    <t xml:space="preserve">https://archivesspace.org/governance-board-and-councils</t>
  </si>
  <si>
    <t xml:space="preserve">https://archivesspace.org/membership/member-benefits</t>
  </si>
  <si>
    <t xml:space="preserve">ARGOS</t>
  </si>
  <si>
    <t xml:space="preserve">OpenAIRE</t>
  </si>
  <si>
    <t xml:space="preserve">https://argos.openaire.eu/</t>
  </si>
  <si>
    <t xml:space="preserve">https://github.com/OpenCDMP/OpenCDMP</t>
  </si>
  <si>
    <t xml:space="preserve">Blogs | Community calls | Conference participation | Development sprints | Interest, working, user, or advisory groups | Social media | Staff roles with responsibility for community engagement | Webinars and training</t>
  </si>
  <si>
    <t xml:space="preserve">https://catalogue.openaire.eu/service/openaire.argos/resourcesAndSupport</t>
  </si>
  <si>
    <t xml:space="preserve">https://openaire.flarum.cloud/p/2-guidelines</t>
  </si>
  <si>
    <t xml:space="preserve">https://www.openaire.eu/organisation-2</t>
  </si>
  <si>
    <t xml:space="preserve">https://www.openaire.eu/members</t>
  </si>
  <si>
    <t xml:space="preserve">arXiv</t>
  </si>
  <si>
    <t xml:space="preserve">Cornell University</t>
  </si>
  <si>
    <t xml:space="preserve">https://arxiv.org/</t>
  </si>
  <si>
    <t xml:space="preserve">https://github.com/arXiv</t>
  </si>
  <si>
    <t xml:space="preserve">&lt;p&gt;arXiv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</si>
  <si>
    <t xml:space="preserve">Contribute funds | Contribute to code | Contribute to working groups or interest groups</t>
  </si>
  <si>
    <t xml:space="preserve">https://info.arxiv.org/labs/index.html</t>
  </si>
  <si>
    <t xml:space="preserve">https://info.arxiv.org/help/policies/code_of_conduct.html</t>
  </si>
  <si>
    <t xml:space="preserve">https://info.arxiv.org/about/arXiv_bylaws.html</t>
  </si>
  <si>
    <t xml:space="preserve">AtoM</t>
  </si>
  <si>
    <t xml:space="preserve">https://www.accesstomemory.org/en/</t>
  </si>
  <si>
    <t xml:space="preserve">Archive information management system</t>
  </si>
  <si>
    <t xml:space="preserve">https://github.com/artefactual/atom</t>
  </si>
  <si>
    <t xml:space="preserve">https://contributors.artefactual.com/cheatsheet.htmlbute_code</t>
  </si>
  <si>
    <t xml:space="preserve">https://wiki.accesstomemory.org/wiki/Resources/User_forum#Code_of_conduct</t>
  </si>
  <si>
    <t xml:space="preserve">Avalon Media System</t>
  </si>
  <si>
    <t xml:space="preserve">Indiana University Libraries</t>
  </si>
  <si>
    <t xml:space="preserve">https://avalon.samvera.org/</t>
  </si>
  <si>
    <t xml:space="preserve">https://github.com/avalonmediasystem/avalon</t>
  </si>
  <si>
    <t xml:space="preserve">Annual meetings | Community calls | Conference participation | Interest, working, user, or advisory groups | Mailing lists and discussion forums (including Slack)</t>
  </si>
  <si>
    <t xml:space="preserve">https://avalon.samvera.org/contact</t>
  </si>
  <si>
    <t xml:space="preserve">Contribute funds | Contribute to code | Contribute to documentation | Contribute to education or training | Contribute to governance | Contribute to user research or user testing</t>
  </si>
  <si>
    <t xml:space="preserve">https://samvera.atlassian.net/wiki/x/KACfh</t>
  </si>
  <si>
    <t xml:space="preserve">https://samvera.atlassian.net/wiki/x/nAwnG</t>
  </si>
  <si>
    <t xml:space="preserve">https://samvera.atlassian.net/wiki/spaces/samvera/pages/1387986974/Samvera+Bylaws</t>
  </si>
  <si>
    <t xml:space="preserve">Biodiversity Heritage Library</t>
  </si>
  <si>
    <t xml:space="preserve">BHL Consortium</t>
  </si>
  <si>
    <t xml:space="preserve">https://www.biodiversitylibrary.org/</t>
  </si>
  <si>
    <t xml:space="preserve">Digital library, collection or exhibit platform | Open scholarly dataset | Repository service</t>
  </si>
  <si>
    <t xml:space="preserve">https://github.com/gbhl/bhl-us</t>
  </si>
  <si>
    <t xml:space="preserve">Annual meetings | Blogs | Conference participation | Mailing lists and discussion forums (including Slack) | Social media | Volunteer or ambassador network | Webinars and training</t>
  </si>
  <si>
    <t xml:space="preserve">https://about.biodiversitylibrary.org/get-involved/</t>
  </si>
  <si>
    <t xml:space="preserve">Contribute funds</t>
  </si>
  <si>
    <t xml:space="preserve">https://about.biodiversitylibrary.org/about/bhl-code-of-conduct/</t>
  </si>
  <si>
    <t xml:space="preserve">https://about.biodiversitylibrary.org/about/bylaws/</t>
  </si>
  <si>
    <t xml:space="preserve">https://about.biodiversitylibrary.org/about/bhl-consortium/</t>
  </si>
  <si>
    <t xml:space="preserve">bioRxiv</t>
  </si>
  <si>
    <t xml:space="preserve">Cold Spring Harbor Laboratory</t>
  </si>
  <si>
    <t xml:space="preserve">https://www.biorxiv.org/</t>
  </si>
  <si>
    <t xml:space="preserve">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</si>
  <si>
    <t xml:space="preserve">BitCurator Environment</t>
  </si>
  <si>
    <t xml:space="preserve">BitCurator Consortium</t>
  </si>
  <si>
    <t xml:space="preserve">https://bitcuratorconsortium.org/</t>
  </si>
  <si>
    <t xml:space="preserve">Digital preservation tool</t>
  </si>
  <si>
    <t xml:space="preserve">https://github.com/bitcurator/bitcurator-salt</t>
  </si>
  <si>
    <t xml:space="preserve">Annual meetings | Blogs | Community calls | Interest, working, user, or advisory groups | Mailing lists and discussion forums (including Slack) | Staff roles with responsibility for community engagement | Webinars and training</t>
  </si>
  <si>
    <t xml:space="preserve">https://bitcuratorconsortium.org/get-involved/</t>
  </si>
  <si>
    <t xml:space="preserve">Contribute to code | Contribute to documentation | Contribute to education or training | Contribute to governance | Contribute to working groups or interest groups</t>
  </si>
  <si>
    <t xml:space="preserve">https://bitcuratorconsortium.org/for-developers/</t>
  </si>
  <si>
    <t xml:space="preserve">https://bitcuratorconsortium.org/code-of-conduct/</t>
  </si>
  <si>
    <t xml:space="preserve">https://bitcuratorconsortium.org/bitcurator-consortium-charter/</t>
  </si>
  <si>
    <t xml:space="preserve">Blacklight</t>
  </si>
  <si>
    <t xml:space="preserve">https://projectblacklight.org/</t>
  </si>
  <si>
    <t xml:space="preserve">Discovery system | Integrated Library System (ILS) or Library Services Platform (LSP)</t>
  </si>
  <si>
    <t xml:space="preserve">https://github.com/projectblacklight</t>
  </si>
  <si>
    <t xml:space="preserve">Blogs | Community calls | Conference participation | Development sprints | Mailing lists and discussion forums (including Slack) | Social media | User research | Volunteer or ambassador network | Webinars and training</t>
  </si>
  <si>
    <t xml:space="preserve">https://github.com/projectblacklight/blacklight/wiki#support</t>
  </si>
  <si>
    <t xml:space="preserve">https://github.com/projectblacklight/blacklight/wiki#contributing-to-blacklight</t>
  </si>
  <si>
    <t xml:space="preserve">BrCRIS</t>
  </si>
  <si>
    <t xml:space="preserve">IBICT</t>
  </si>
  <si>
    <t xml:space="preserve">https://brcris.ibict.br/</t>
  </si>
  <si>
    <t xml:space="preserve">BR</t>
  </si>
  <si>
    <t xml:space="preserve">Discovery system | Research profiling system</t>
  </si>
  <si>
    <t xml:space="preserve">https://github.com/projetos-codic-ibict</t>
  </si>
  <si>
    <t xml:space="preserve">https://brcris.ibict.br/about</t>
  </si>
  <si>
    <t xml:space="preserve">Browsertrix</t>
  </si>
  <si>
    <t xml:space="preserve">Webrecorder</t>
  </si>
  <si>
    <t xml:space="preserve">https://webrecorder.net/browsertrix/</t>
  </si>
  <si>
    <t xml:space="preserve">Digital library, collection or exhibit platform | Web archiving system</t>
  </si>
  <si>
    <t xml:space="preserve">https://github.com/webrecorder/browsertrix</t>
  </si>
  <si>
    <t xml:space="preserve">https://forum.webrecorder.net/</t>
  </si>
  <si>
    <t xml:space="preserve">Contribute to code | Contribute to documentation</t>
  </si>
  <si>
    <t xml:space="preserve">https://github.com/webrecorder/browsertrix?tab=coc-ov-file</t>
  </si>
  <si>
    <t xml:space="preserve">CLOCKSS</t>
  </si>
  <si>
    <t xml:space="preserve">https://clockss.org</t>
  </si>
  <si>
    <t xml:space="preserve">https://github.com/lockss</t>
  </si>
  <si>
    <t xml:space="preserve">https://clockss.org/digital-archive-community/</t>
  </si>
  <si>
    <t xml:space="preserve">https://clockss.org/wp-content/uploads/2024/03/DIGITAL-DISTRIBUTED-COMMUNITY-ARCHIVE-ByLaws.pdf</t>
  </si>
  <si>
    <t xml:space="preserve">https://clockss.org/join-clockss/</t>
  </si>
  <si>
    <t xml:space="preserve">COAR International Repository Directory (IRD)</t>
  </si>
  <si>
    <t xml:space="preserve">COAR</t>
  </si>
  <si>
    <t xml:space="preserve">https://ird.coar-repositories.org/</t>
  </si>
  <si>
    <t xml:space="preserve">Index or directory</t>
  </si>
  <si>
    <t xml:space="preserve">https://github.com/antleaf/IRD</t>
  </si>
  <si>
    <t xml:space="preserve">Blogs | Community calls | Development sprints | Volunteer or ambassador network</t>
  </si>
  <si>
    <t xml:space="preserve">https://coar-repositories.org/wp-content/uploads/2025/07/COAR-IRD-Responsible-Organisation-Curation-Processes-website-July-2025.pdf</t>
  </si>
  <si>
    <t xml:space="preserve">Contribute to documentation | Contribute to user research or user testing</t>
  </si>
  <si>
    <t xml:space="preserve">https://coar-repositories.org/what-we-do/coar-international-repository-directory/</t>
  </si>
  <si>
    <t xml:space="preserve">COAR Notify</t>
  </si>
  <si>
    <t xml:space="preserve">https://coar-notify.net/</t>
  </si>
  <si>
    <t xml:space="preserve">https://github.com/coar-notify/coar-notify.net</t>
  </si>
  <si>
    <t xml:space="preserve">Blogs | Conference participation | Interest, working, user, or advisory groups | Mailing lists and discussion forums (including Slack) | Webinars and training</t>
  </si>
  <si>
    <t xml:space="preserve">https://coar-notify.net/2024/notify-developers-meeting-2024/</t>
  </si>
  <si>
    <t xml:space="preserve">Contribute to code | Contribute to documentation | Contribute to education or training | Contribute to user research or user testing | Contribute to working groups or interest groups</t>
  </si>
  <si>
    <t xml:space="preserve">https://coar-notify.net/guide/</t>
  </si>
  <si>
    <t xml:space="preserve">CollectiveAccess</t>
  </si>
  <si>
    <t xml:space="preserve">Whirl-i-Gig</t>
  </si>
  <si>
    <t xml:space="preserve">https://www.collectiveaccess.org/</t>
  </si>
  <si>
    <t xml:space="preserve">Archive information management system | Digital asset management system | Digital library, collection or exhibit platform</t>
  </si>
  <si>
    <t xml:space="preserve">https://github.com/collectiveaccess</t>
  </si>
  <si>
    <t xml:space="preserve">https://support.collectiveaccess.org</t>
  </si>
  <si>
    <t xml:space="preserve">https://collectiveaccess.org</t>
  </si>
  <si>
    <t xml:space="preserve">CORE</t>
  </si>
  <si>
    <t xml:space="preserve">The Open University</t>
  </si>
  <si>
    <t xml:space="preserve">https://core.ac.uk/</t>
  </si>
  <si>
    <t xml:space="preserve">GB</t>
  </si>
  <si>
    <t xml:space="preserve">Discovery system</t>
  </si>
  <si>
    <t xml:space="preserve">https://github.com/oacore</t>
  </si>
  <si>
    <t xml:space="preserve">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</si>
  <si>
    <t xml:space="preserve">https://blog.core.ac.uk/2022/05/23/core-our-commitment-to-the-principles-of-open-scholarly-infrastructure/</t>
  </si>
  <si>
    <t xml:space="preserve">Contribute funds | Contribute to code | Contribute to documentation | Other</t>
  </si>
  <si>
    <t xml:space="preserve">https://core.ac.uk/governance/supporters</t>
  </si>
  <si>
    <t xml:space="preserve">https://github.com/oacore/search/blob/master/CODE_OF_CONDUCT.md</t>
  </si>
  <si>
    <t xml:space="preserve">https://core.ac.uk/governance</t>
  </si>
  <si>
    <t xml:space="preserve">COUNTER Code of Practice</t>
  </si>
  <si>
    <t xml:space="preserve">COUNTER Metrics</t>
  </si>
  <si>
    <t xml:space="preserve">https://www.countermetrics.org/</t>
  </si>
  <si>
    <t xml:space="preserve">https://cop5.countermetrics.org/en/5.1/index.html</t>
  </si>
  <si>
    <t xml:space="preserve">Annual meetings | Blogs | Community calls | Conference participation | Interest, working, user, or advisory groups | Mailing lists and discussion forums (including Slack) | Social media | Webinars and training</t>
  </si>
  <si>
    <t xml:space="preserve">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</si>
  <si>
    <t xml:space="preserve">https://www.countermetrics.org/about/strategy/</t>
  </si>
  <si>
    <t xml:space="preserve">Contribute funds | Contribute to documentation | Contribute to education or training | Contribute to governance | Contribute to working groups or interest groups</t>
  </si>
  <si>
    <t xml:space="preserve">https://www.countermetrics.org/about/how-we-work/</t>
  </si>
  <si>
    <t xml:space="preserve">https://find-and-update.company-information.service.gov.uk/company/04865179/filing-history</t>
  </si>
  <si>
    <t xml:space="preserve">https://www.countermetrics.org/members/</t>
  </si>
  <si>
    <t xml:space="preserve">Creative Commons Licenses</t>
  </si>
  <si>
    <t xml:space="preserve">Creative Commons</t>
  </si>
  <si>
    <t xml:space="preserve">https://creativecommons.org/</t>
  </si>
  <si>
    <t xml:space="preserve">https://github.com/creativecommons</t>
  </si>
  <si>
    <t xml:space="preserve">https://network.creativecommons.org/get-involved/</t>
  </si>
  <si>
    <t xml:space="preserve">https://creativecommons.org/code-of-conduct/</t>
  </si>
  <si>
    <t xml:space="preserve">Crossref Metadata Retrieval</t>
  </si>
  <si>
    <t xml:space="preserve">Crossref</t>
  </si>
  <si>
    <t xml:space="preserve">http://www.crossref.org/services/metadata-retrieval</t>
  </si>
  <si>
    <t xml:space="preserve">Open scholarly dataset</t>
  </si>
  <si>
    <t xml:space="preserve">https://gitlab.com/crossref</t>
  </si>
  <si>
    <t xml:space="preserve">&lt;p&gt;Crossref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</si>
  <si>
    <t xml:space="preserve">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</si>
  <si>
    <t xml:space="preserve">https://www.crossref.org/community</t>
  </si>
  <si>
    <t xml:space="preserve">https://www.crossref.org/code-of-conduct/</t>
  </si>
  <si>
    <t xml:space="preserve">https://www.crossref.org/board-and-governance/bylaws/</t>
  </si>
  <si>
    <t xml:space="preserve">D4Science Infrastructure</t>
  </si>
  <si>
    <t xml:space="preserve">National Research Council of Italy</t>
  </si>
  <si>
    <t xml:space="preserve">https://www.d4science.org/</t>
  </si>
  <si>
    <t xml:space="preserve">IT</t>
  </si>
  <si>
    <t xml:space="preserve">Computing framework | Informal scholarly communications | Repository service</t>
  </si>
  <si>
    <t xml:space="preserve">https://code-repo.d4science.org/</t>
  </si>
  <si>
    <t xml:space="preserve">DART (Digital Archivist's Resource Tool)</t>
  </si>
  <si>
    <t xml:space="preserve">https://aptrust.github.io/dart-docs/</t>
  </si>
  <si>
    <t xml:space="preserve">https://github.com/aptrust/dart/</t>
  </si>
  <si>
    <t xml:space="preserve">https://aptrust.org/resources/user-groups/dart-user-group/</t>
  </si>
  <si>
    <t xml:space="preserve">https://aptrust.org/documentation-page/dart-digital-archivists-resource-tool/</t>
  </si>
  <si>
    <t xml:space="preserve">Database Information System</t>
  </si>
  <si>
    <t xml:space="preserve">University Library of Regensburg</t>
  </si>
  <si>
    <t xml:space="preserve">https://dbis.ur.de/?lang=en</t>
  </si>
  <si>
    <t xml:space="preserve">DE</t>
  </si>
  <si>
    <t xml:space="preserve">Discovery system | Index or directory</t>
  </si>
  <si>
    <t xml:space="preserve">https://github.com/ub-regensburg/dbis</t>
  </si>
  <si>
    <t xml:space="preserve">Annual meetings | Blogs | Conference participation | Mailing lists and discussion forums (including Slack) | Staff roles with responsibility for community engagement | User research | Webinars and training</t>
  </si>
  <si>
    <t xml:space="preserve">Contribute to working groups or interest groups</t>
  </si>
  <si>
    <t xml:space="preserve">Data Citation Corpus</t>
  </si>
  <si>
    <t xml:space="preserve">Make Data Count</t>
  </si>
  <si>
    <t xml:space="preserve">https://makedatacount.org/find-a-tool/#section-1</t>
  </si>
  <si>
    <t xml:space="preserve">Discovery system | Open scholarly dataset</t>
  </si>
  <si>
    <t xml:space="preserve">https://github.com/Make-Data-Count-Community/corpus-data-file</t>
  </si>
  <si>
    <t xml:space="preserve">Blogs | Conference participation | Interest, working, user, or advisory groups | Mailing lists and discussion forums (including Slack) | Social media | Webinars and training</t>
  </si>
  <si>
    <t xml:space="preserve">https://makedatacount.org/get-involved/</t>
  </si>
  <si>
    <t xml:space="preserve">Other</t>
  </si>
  <si>
    <t xml:space="preserve">Groups can contribute citations to the Corpus</t>
  </si>
  <si>
    <t xml:space="preserve">DataCite</t>
  </si>
  <si>
    <t xml:space="preserve">https://datacite.org/</t>
  </si>
  <si>
    <t xml:space="preserve">Discovery system | Persistent identifier service</t>
  </si>
  <si>
    <t xml:space="preserve">https://github.com/datacite</t>
  </si>
  <si>
    <t xml:space="preserve">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</si>
  <si>
    <t xml:space="preserve">https://datacite.org/cesg/  https://datacite.org/blog/our-commitment-to-posi/  https://datacite.org/what-we-do/</t>
  </si>
  <si>
    <t xml:space="preserve">Contribute funds | Contribute to documentation | Contribute to working groups or interest groups | Other</t>
  </si>
  <si>
    <t xml:space="preserve">https://datacite.org/roadmap/</t>
  </si>
  <si>
    <t xml:space="preserve">https://datacite.org/datacite-code-of-conduct</t>
  </si>
  <si>
    <t xml:space="preserve">https://datacite.org/wp-content/uploads/2023/06/Statutes_26April2022.pdf</t>
  </si>
  <si>
    <t xml:space="preserve">Data Stewardship Wizard</t>
  </si>
  <si>
    <t xml:space="preserve">DSW Team</t>
  </si>
  <si>
    <t xml:space="preserve">https://ds-wizard.org/</t>
  </si>
  <si>
    <t xml:space="preserve">CZ</t>
  </si>
  <si>
    <t xml:space="preserve">https://github.com/ds-wizard</t>
  </si>
  <si>
    <t xml:space="preserve">Annual meetings | Blogs | Community calls | Conference participation | Interest, working, user, or advisory groups | Mailing lists and discussion forums (including Slack) | Social media | User research | Volunteer or ambassador network | Webinars and training</t>
  </si>
  <si>
    <t xml:space="preserve">https://discord.gg/MW3H9tdMcT</t>
  </si>
  <si>
    <t xml:space="preserve">Contribute to code | Contribute to documentation | Contribute to education or training | Contribute to governance | Contribute to user research or user testing</t>
  </si>
  <si>
    <t xml:space="preserve">https://guide.ds-wizard.org/en/latest/more/development/contributing.html</t>
  </si>
  <si>
    <t xml:space="preserve">https://discord.com/channels/693010138302513174/1102900416783597620</t>
  </si>
  <si>
    <t xml:space="preserve">Dataverse</t>
  </si>
  <si>
    <t xml:space="preserve">Harvard University Institute for Quantitative Social Science (IQSS)</t>
  </si>
  <si>
    <t xml:space="preserve">https://dataverse.org/</t>
  </si>
  <si>
    <t xml:space="preserve">Repository software</t>
  </si>
  <si>
    <t xml:space="preserve">https://github.com/IQSS/dataverse</t>
  </si>
  <si>
    <t xml:space="preserve">&lt;p&gt;Dataverse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</si>
  <si>
    <t xml:space="preserve">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</si>
  <si>
    <t xml:space="preserve">Contribute to code | Contribute to documentation | Contribute to education or training | Contribute to working groups or interest groups</t>
  </si>
  <si>
    <t xml:space="preserve">https://dataverse.org/community-calls</t>
  </si>
  <si>
    <t xml:space="preserve">https://github.com/IQSS/dataverse/blob/develop/CODE_OF_CONDUCT.md</t>
  </si>
  <si>
    <t xml:space="preserve">DLCM Backend</t>
  </si>
  <si>
    <t xml:space="preserve">DLCM Technology</t>
  </si>
  <si>
    <t xml:space="preserve">https://gitlab.unige.ch/dlcm/community/dlcm-backend</t>
  </si>
  <si>
    <t xml:space="preserve">CH</t>
  </si>
  <si>
    <t xml:space="preserve">Archive information management system | Digital preservation system</t>
  </si>
  <si>
    <t xml:space="preserve">Community calls | Conference participation | Interest, working, user, or advisory groups | Webinars and training</t>
  </si>
  <si>
    <t xml:space="preserve">https://gitlab.unige.ch/dlcm/community/dlcm-backend/-/blob/master/CODE_OF_CONDUCT.adoc?ref_type=heads</t>
  </si>
  <si>
    <t xml:space="preserve">https://gitlab.unige.ch/dlcm/community/dlcm-backend/-/blob/master/CONTRIBUTING.adoc?ref_type=heads</t>
  </si>
  <si>
    <t xml:space="preserve">https://olos.swiss/pricing/memberships</t>
  </si>
  <si>
    <t xml:space="preserve">DLCM Portal</t>
  </si>
  <si>
    <t xml:space="preserve">https://gitlab.unige.ch/dlcm/ui/dlcm-portal</t>
  </si>
  <si>
    <t xml:space="preserve">Archive information management system | Digital preservation system | Software preservation service</t>
  </si>
  <si>
    <t xml:space="preserve">https://olos.swiss/events</t>
  </si>
  <si>
    <t xml:space="preserve">https://gitlab.unige.ch/dlcm/ui/dlcm-portal/-/blob/master/CONTRIBUTING.adoc?ref_type=heads</t>
  </si>
  <si>
    <t xml:space="preserve">https://gitlab.unige.ch/dlcm/ui/dlcm-portal/-/blob/master/CODE_OF_CONDUCT.adoc?ref_type=heads</t>
  </si>
  <si>
    <t xml:space="preserve">DMP Tool</t>
  </si>
  <si>
    <t xml:space="preserve">California Digital Library</t>
  </si>
  <si>
    <t xml:space="preserve">https://dmptool.org/</t>
  </si>
  <si>
    <t xml:space="preserve">https://github.com/cdluc3/dmptool/wiki</t>
  </si>
  <si>
    <t xml:space="preserve">Blogs | Community calls | Conference participation | Mailing lists and discussion forums (including Slack) | Social media | Staff roles with responsibility for community engagement | User research | Webinars and training</t>
  </si>
  <si>
    <t xml:space="preserve">https://dmptool.org/public_orgs</t>
  </si>
  <si>
    <t xml:space="preserve">DOAJ (Directory of Open Access Journals)</t>
  </si>
  <si>
    <t xml:space="preserve">DOAJ Foundation</t>
  </si>
  <si>
    <t xml:space="preserve">https://doaj.org/</t>
  </si>
  <si>
    <t xml:space="preserve">DK</t>
  </si>
  <si>
    <t xml:space="preserve">Discovery system | Index or directory | Open scholarly dataset</t>
  </si>
  <si>
    <t xml:space="preserve">https://github.com/DOAJ</t>
  </si>
  <si>
    <t xml:space="preserve">Blogs | Community calls | Conference participation | Interest, working, user, or advisory groups | Social media | User research | Volunteer or ambassador network | Webinars and training | Other</t>
  </si>
  <si>
    <t xml:space="preserve">&lt;li&gt;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</si>
  <si>
    <t xml:space="preserve">&lt;p&gt;We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</si>
  <si>
    <t xml:space="preserve">https://doaj.org/code-of-conduct/</t>
  </si>
  <si>
    <t xml:space="preserve">https://doaj.org/about/advisory-board-council/</t>
  </si>
  <si>
    <t xml:space="preserve">dokieli</t>
  </si>
  <si>
    <t xml:space="preserve">https://dokie.li/</t>
  </si>
  <si>
    <t xml:space="preserve">Annotations system | Authoring tool | Informal scholarly communications</t>
  </si>
  <si>
    <t xml:space="preserve">https://github.com/linkeddata/dokieli</t>
  </si>
  <si>
    <t xml:space="preserve">Workshops and presentations at conferences. There is a community chat answering users and developers questions since 2015.
W3C TAG Ethical Web Principles: &lt;a href="https://www.w3.org/TR/ethical-web-principles/" target="_blank"&gt;https://www.w3.org/TR/ethical-web-principles/&lt;/a&gt;</t>
  </si>
  <si>
    <t xml:space="preserve">https://www.w3.org/TR/ethical-web-principles/</t>
  </si>
  <si>
    <t xml:space="preserve">Contribute funds | Contribute to code | Contribute to documentation | Contribute to education or training</t>
  </si>
  <si>
    <t xml:space="preserve">https://github.com/linkeddata/dokieli/blob/main/CODE-OF-CONDUCT.md</t>
  </si>
  <si>
    <t xml:space="preserve">Dryad</t>
  </si>
  <si>
    <t xml:space="preserve">https://datadryad.org/</t>
  </si>
  <si>
    <t xml:space="preserve">https://github.com/CDL-Dryad/dryad-app</t>
  </si>
  <si>
    <t xml:space="preserve">&lt;p&gt;There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</si>
  <si>
    <t xml:space="preserve">https://blog.datadryad.org/2020/12/08/dryads-commitment-to-the-principles-of-open-scholarly-infrastructure/.</t>
  </si>
  <si>
    <t xml:space="preserve">Contribute funds | Contribute to education or training | Contribute to governance | Contribute to working groups or interest groups</t>
  </si>
  <si>
    <t xml:space="preserve">https://datadryad.org/stash/code_of_conduct</t>
  </si>
  <si>
    <t xml:space="preserve">https://datadryad.org/docs/DryadBylaws.pdf</t>
  </si>
  <si>
    <t xml:space="preserve">DSpace</t>
  </si>
  <si>
    <t xml:space="preserve">Lyrasis</t>
  </si>
  <si>
    <t xml:space="preserve">https://dspace.org/</t>
  </si>
  <si>
    <t xml:space="preserve">https://github.com/DSpace/DSpace</t>
  </si>
  <si>
    <t xml:space="preserve">Annual meetings | Conference participation | Development sprints | Interest, working, user, or advisory groups | Mailing lists and discussion forums (including Slack) | Staff roles with responsibility for community engagement | Webinars and training</t>
  </si>
  <si>
    <t xml:space="preserve">COAR Next Generation Repositories Principles &lt;a href="https://ngr.coar-repositories.org/principles/" target="_blank"&gt;https://ngr.coar-repositories.org/principles/&lt;/a&gt;</t>
  </si>
  <si>
    <t xml:space="preserve">https://dspace.org/join-the-community/</t>
  </si>
  <si>
    <t xml:space="preserve">Contribute funds | Contribute to code | Contribute to documentation | Contribute to education or training | Contribute to governance | Contribute to peer reviews | Contribute to working groups or interest groups</t>
  </si>
  <si>
    <t xml:space="preserve">https://dspace.org/community-contributors/</t>
  </si>
  <si>
    <t xml:space="preserve">https://www.lyrasis.org/about/Pages/Code-of-Conduct.aspx</t>
  </si>
  <si>
    <t xml:space="preserve">https://dspace.org/governance</t>
  </si>
  <si>
    <t xml:space="preserve">https://dspace.org/meet-our-members/</t>
  </si>
  <si>
    <t xml:space="preserve">DuraCloud</t>
  </si>
  <si>
    <t xml:space="preserve">https://lyrasis.org/duracloud/</t>
  </si>
  <si>
    <t xml:space="preserve">Digital preservation service | Digital preservation system | Digital preservation tool</t>
  </si>
  <si>
    <t xml:space="preserve">https://github.com/duracloud/duracloud</t>
  </si>
  <si>
    <t xml:space="preserve">https://github.com/duracloud/duracloud/blob/develop/CONTRIBUTING.md</t>
  </si>
  <si>
    <t xml:space="preserve">https://lyrasis.org/code-of-conduct/</t>
  </si>
  <si>
    <t xml:space="preserve">Episciences</t>
  </si>
  <si>
    <t xml:space="preserve">Center for Direct Scientific Communication (CCSD)</t>
  </si>
  <si>
    <t xml:space="preserve">https://www.episciences.org/</t>
  </si>
  <si>
    <t xml:space="preserve">FR</t>
  </si>
  <si>
    <t xml:space="preserve">Peer review system | Publishing system | Submissions system</t>
  </si>
  <si>
    <t xml:space="preserve">https://github.com/CCSDForge/episciences</t>
  </si>
  <si>
    <t xml:space="preserve">https://www.episciences.org/governance/</t>
  </si>
  <si>
    <t xml:space="preserve">EPrints</t>
  </si>
  <si>
    <t xml:space="preserve">EPrints Services</t>
  </si>
  <si>
    <t xml:space="preserve">https://www.eprints.org/</t>
  </si>
  <si>
    <t xml:space="preserve">https://github.com/eprints/eprints3.4</t>
  </si>
  <si>
    <t xml:space="preserve">https://community.eprints.org</t>
  </si>
  <si>
    <t xml:space="preserve">https://wiki.eprints.org/w/Main_Page#Contributing_to_the_Wiki;</t>
  </si>
  <si>
    <t xml:space="preserve">Érudit</t>
  </si>
  <si>
    <t xml:space="preserve">https://www.erudit.org/</t>
  </si>
  <si>
    <t xml:space="preserve">Discovery system | Publishing system | Repository software</t>
  </si>
  <si>
    <t xml:space="preserve">https://github.com/erudit/eruditorg</t>
  </si>
  <si>
    <t xml:space="preserve">DORA, Dimensions charter, Helsinki initiative</t>
  </si>
  <si>
    <t xml:space="preserve">https://www.coalition-publi.ca/community</t>
  </si>
  <si>
    <t xml:space="preserve">Contribute to education or training | Contribute to peer reviews</t>
  </si>
  <si>
    <t xml:space="preserve">https://www.erudit.org/public/documents/TOR_CoalitionPublica_Journal%20User%20Group.pdf</t>
  </si>
  <si>
    <t xml:space="preserve">https://www.erudit.org/public/documents/CoalitionPublica_bilingue.pdf</t>
  </si>
  <si>
    <t xml:space="preserve">https://apropos.erudit.org/direction-et-conseils/?lang=en</t>
  </si>
  <si>
    <t xml:space="preserve">Europe PMC</t>
  </si>
  <si>
    <t xml:space="preserve">EMBL European Bioinformatics Institute (EMBL-EBI)</t>
  </si>
  <si>
    <t xml:space="preserve">https://europepmc.org/</t>
  </si>
  <si>
    <t xml:space="preserve">Digital preservation system | Discovery system | Repository service</t>
  </si>
  <si>
    <t xml:space="preserve">https://github.com/EuropePMC</t>
  </si>
  <si>
    <t xml:space="preserve">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</si>
  <si>
    <t xml:space="preserve">https://europepmc.org/Outreach  http://blog.europepmc.org/2022/02/EPMC-adopts-POSI.html</t>
  </si>
  <si>
    <t xml:space="preserve">Contribute to code | Contribute to education or training | Contribute to user research or user testing</t>
  </si>
  <si>
    <t xml:space="preserve">https://europepmc.org/Outreach</t>
  </si>
  <si>
    <t xml:space="preserve">https://www.embl.org/about/info/course-and-conference-office/information-for-participants/code-of-conduct/</t>
  </si>
  <si>
    <t xml:space="preserve">https://europepmc.org/Governance</t>
  </si>
  <si>
    <t xml:space="preserve">FAIR Wizard</t>
  </si>
  <si>
    <t xml:space="preserve">Codevence Solution s.r.o.</t>
  </si>
  <si>
    <t xml:space="preserve">https://fair-wizard.com/</t>
  </si>
  <si>
    <t xml:space="preserve">Annual meetings | Blogs | Conference participation | Social media | User research | Webinars and training</t>
  </si>
  <si>
    <t xml:space="preserve">https://fair-wizard.com/blog</t>
  </si>
  <si>
    <t xml:space="preserve">Contribute to documentation | Contribute to education or training | Contribute to working groups or interest groups | Other</t>
  </si>
  <si>
    <t xml:space="preserve">Content creation</t>
  </si>
  <si>
    <t xml:space="preserve">Fedora</t>
  </si>
  <si>
    <t xml:space="preserve">https://fedorarepository.org/</t>
  </si>
  <si>
    <t xml:space="preserve">https://github.com/fcrepo/fcrepo</t>
  </si>
  <si>
    <t xml:space="preserve">Annual meetings | Blogs | Community calls | Conference participation | Development sprints | Interest, working, user, or advisory groups | Mailing lists and discussion forums (including Slack) | Social media | Staff roles with responsibility for community engagement | Webinars and training</t>
  </si>
  <si>
    <t xml:space="preserve">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</si>
  <si>
    <t xml:space="preserve">https://fedorarepository.org/join-the-community/</t>
  </si>
  <si>
    <t xml:space="preserve">Contribute funds | Contribute to code | Contribute to documentation | Contribute to education or training | Contribute to governance | Contribute to peer reviews | Contribute to user research or user testing | Contribute to working groups or interest groups</t>
  </si>
  <si>
    <t xml:space="preserve">https://wiki.lyrasis.org/display/FF/Developer+Resources</t>
  </si>
  <si>
    <t xml:space="preserve">https://wiki.lyrasis.org/display/FF/Project+Governance</t>
  </si>
  <si>
    <t xml:space="preserve">https://fedorarepository.org/meet-our-members/</t>
  </si>
  <si>
    <t xml:space="preserve">fido</t>
  </si>
  <si>
    <t xml:space="preserve">Open Preservation Foundation</t>
  </si>
  <si>
    <t xml:space="preserve">https://openpreservation.org/tools/fido</t>
  </si>
  <si>
    <t xml:space="preserve">https://github.com/openpreserve/fido</t>
  </si>
  <si>
    <t xml:space="preserve">Annual meetings | Conference participation | Interest, working, user, or advisory groups | Mailing lists and discussion forums (including Slack) | Social media | Staff roles with responsibility for community engagement | User research | Webinars and training</t>
  </si>
  <si>
    <t xml:space="preserve">https://openpreservation.org/resources/</t>
  </si>
  <si>
    <t xml:space="preserve">https://openpreservation.org/resources/member-groups/</t>
  </si>
  <si>
    <t xml:space="preserve">https://openpreservation.org/membership/why-join/</t>
  </si>
  <si>
    <t xml:space="preserve">Fulcrum</t>
  </si>
  <si>
    <t xml:space="preserve">Michigan Publishing</t>
  </si>
  <si>
    <t xml:space="preserve">https://www.fulcrum.org/</t>
  </si>
  <si>
    <t xml:space="preserve">Publishing system</t>
  </si>
  <si>
    <t xml:space="preserve">https://github.com/mlibrary/heliotrope</t>
  </si>
  <si>
    <t xml:space="preserve">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</si>
  <si>
    <t xml:space="preserve">Contribute to code | Contribute to working groups or interest groups</t>
  </si>
  <si>
    <t xml:space="preserve">https://www.fulcrum.org/terms/</t>
  </si>
  <si>
    <t xml:space="preserve">Galaxy</t>
  </si>
  <si>
    <t xml:space="preserve">The Galaxy community</t>
  </si>
  <si>
    <t xml:space="preserve">https://galaxyproject.org/</t>
  </si>
  <si>
    <t xml:space="preserve">Computing framework | Discovery system</t>
  </si>
  <si>
    <t xml:space="preserve">https://github.com/galaxyproject/</t>
  </si>
  <si>
    <t xml:space="preserve">https://galaxyproject.org/community/</t>
  </si>
  <si>
    <t xml:space="preserve">https://galaxyproject.org/community/contributing/</t>
  </si>
  <si>
    <t xml:space="preserve">https://galaxyproject.org/community/coc/</t>
  </si>
  <si>
    <t xml:space="preserve">https://galaxyproject.org/community/governance/</t>
  </si>
  <si>
    <t xml:space="preserve">GeoServer</t>
  </si>
  <si>
    <t xml:space="preserve">Open Source Geospatial Foundation</t>
  </si>
  <si>
    <t xml:space="preserve">https://geoserver.org</t>
  </si>
  <si>
    <t xml:space="preserve">Geospatial data tool or platform</t>
  </si>
  <si>
    <t xml:space="preserve">https://github.com/geoserver/geoserver</t>
  </si>
  <si>
    <t xml:space="preserve">Blogs | Community calls | Conference participation | Development sprints | Mailing lists and discussion forums (including Slack) | Social media</t>
  </si>
  <si>
    <t xml:space="preserve">https://geoserver.org/comm/</t>
  </si>
  <si>
    <t xml:space="preserve">Contribute to code</t>
  </si>
  <si>
    <t xml:space="preserve">https://github.com/geoserver/geoserver/blob/main/CONTRIBUTING.md</t>
  </si>
  <si>
    <t xml:space="preserve">https://geoserver.org/comm/userlist-guidelines.html</t>
  </si>
  <si>
    <t xml:space="preserve">https://docs.geoserver.org/latest/en/developer/policies/index.html</t>
  </si>
  <si>
    <t xml:space="preserve">https://geoserver.org/devel/</t>
  </si>
  <si>
    <t xml:space="preserve">Hyku</t>
  </si>
  <si>
    <t xml:space="preserve">Samvera</t>
  </si>
  <si>
    <t xml:space="preserve">https://hyku.samvera.org/</t>
  </si>
  <si>
    <t xml:space="preserve">https://github.com/samvera/hyku</t>
  </si>
  <si>
    <t xml:space="preserve">Annual meetings | Blogs | Community calls | Conference participation | Development sprints | Interest, working, user, or advisory groups | Mailing lists and discussion forums (including Slack) | Staff roles with responsibility for community engagement | Webinars and training</t>
  </si>
  <si>
    <t xml:space="preserve">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</si>
  <si>
    <t xml:space="preserve">Contribute funds | Contribute to code | Contribute to documentation | Contribute to education or training | Contribute to governance | Contribute to working groups or interest groups</t>
  </si>
  <si>
    <t xml:space="preserve">https://samvera.atlassian.net/wiki/spaces/samvera/pages/405211682/Getting+Started+in+the+Samvera+Community</t>
  </si>
  <si>
    <t xml:space="preserve">https://samvera.atlassian.net/wiki/spaces/samvera/pages/405212316/Samvera+Code+of+Conduct+and+Anti-Harassment+Policy</t>
  </si>
  <si>
    <t xml:space="preserve">Hyrax</t>
  </si>
  <si>
    <t xml:space="preserve">https://hyrax.samvera.org/</t>
  </si>
  <si>
    <t xml:space="preserve">https://github.com/samvera/hyrax</t>
  </si>
  <si>
    <t xml:space="preserve">https://samvera.atlassian.net/wiki/spaces/samvera/pages/405211658/Licensed+software+acceptance+procedure</t>
  </si>
  <si>
    <t xml:space="preserve">https://samvera.atlassian.net/wiki/spaces/samvera/pages/1947631640/Samvera+Community+Guidelines</t>
  </si>
  <si>
    <t xml:space="preserve">https://samvera.atlassian.net/wiki/spaces/samvera/pages/1872461833/About+Samvera+Partners</t>
  </si>
  <si>
    <t xml:space="preserve">IIIF</t>
  </si>
  <si>
    <t xml:space="preserve">IIIF Consortium</t>
  </si>
  <si>
    <t xml:space="preserve">https://iiif.io/</t>
  </si>
  <si>
    <t xml:space="preserve">https://github.com/IIIF</t>
  </si>
  <si>
    <t xml:space="preserve">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</si>
  <si>
    <t xml:space="preserve">https://www.go-fair.org/fair-principles/</t>
  </si>
  <si>
    <t xml:space="preserve">https://iiif.io/get-involved/</t>
  </si>
  <si>
    <t xml:space="preserve">https://iiif.io/event/conduct/</t>
  </si>
  <si>
    <t xml:space="preserve">https://iiif.io/community/coordinating-committee/</t>
  </si>
  <si>
    <t xml:space="preserve">ImpactU</t>
  </si>
  <si>
    <t xml:space="preserve">Universidad de Antioquia and other Colombian universities</t>
  </si>
  <si>
    <t xml:space="preserve">https://impactu.colav.co/</t>
  </si>
  <si>
    <t xml:space="preserve">CO</t>
  </si>
  <si>
    <t xml:space="preserve">Open scholarly dataset | Research profiling system</t>
  </si>
  <si>
    <t xml:space="preserve">https://github.com/colav/impactu</t>
  </si>
  <si>
    <t xml:space="preserve">Not applicable</t>
  </si>
  <si>
    <t xml:space="preserve">International Generic Sample Number (IGSN)</t>
  </si>
  <si>
    <t xml:space="preserve">International Generic Sample Number Organization e.V.</t>
  </si>
  <si>
    <t xml:space="preserve">https://ev.igsn.org</t>
  </si>
  <si>
    <t xml:space="preserve">Persistent identifier service</t>
  </si>
  <si>
    <t xml:space="preserve">https://github.com/IGSN</t>
  </si>
  <si>
    <t xml:space="preserve">https://ev.igsn.org/communities</t>
  </si>
  <si>
    <t xml:space="preserve">https://ev.igsn.org/membership/igsn-statutes-en</t>
  </si>
  <si>
    <t xml:space="preserve">https://ev.igsn.org/resources/igsn-agents-and-registration</t>
  </si>
  <si>
    <t xml:space="preserve">InvenioRDM</t>
  </si>
  <si>
    <t xml:space="preserve">CERN</t>
  </si>
  <si>
    <t xml:space="preserve">https://inveniosoftware.org/products/rdm/</t>
  </si>
  <si>
    <t xml:space="preserve">https://github.com/inveniosoftware</t>
  </si>
  <si>
    <t xml:space="preserve">https://inveniordm.docs.cern.ch/maintenance/newcomers/</t>
  </si>
  <si>
    <t xml:space="preserve">https://inveniosoftware.org/governance/</t>
  </si>
  <si>
    <t xml:space="preserve">iRODS</t>
  </si>
  <si>
    <t xml:space="preserve">Renaissance Computing Institute (RENCI)</t>
  </si>
  <si>
    <t xml:space="preserve">https://irods.org/</t>
  </si>
  <si>
    <t xml:space="preserve">Data management planning tool or service | Digital preservation system | Discovery system</t>
  </si>
  <si>
    <t xml:space="preserve">https://github.com/irods</t>
  </si>
  <si>
    <t xml:space="preserve">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</si>
  <si>
    <t xml:space="preserve">https://irods.org/events/</t>
  </si>
  <si>
    <t xml:space="preserve">https://docs.irods.org/5.0.1/developers/contributing/</t>
  </si>
  <si>
    <t xml:space="preserve">https://irods.org/code-of-conduct/</t>
  </si>
  <si>
    <t xml:space="preserve">https://irods.org/uploads/2014/09/bylaws_v113015.pdf</t>
  </si>
  <si>
    <t xml:space="preserve">https://irods.org/consortium-membership/</t>
  </si>
  <si>
    <t xml:space="preserve">Islandora</t>
  </si>
  <si>
    <t xml:space="preserve">Islandora Foundation</t>
  </si>
  <si>
    <t xml:space="preserve">https://www.islandora.ca/</t>
  </si>
  <si>
    <t xml:space="preserve">Authoring tool | Digital asset management system</t>
  </si>
  <si>
    <t xml:space="preserve">https://github.com/islandora</t>
  </si>
  <si>
    <t xml:space="preserve">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</si>
  <si>
    <t xml:space="preserve">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</si>
  <si>
    <t xml:space="preserve">https://www.islandora.ca/community</t>
  </si>
  <si>
    <t xml:space="preserve">https://www.islandora.ca/code-of-conduct</t>
  </si>
  <si>
    <t xml:space="preserve">Janeway</t>
  </si>
  <si>
    <t xml:space="preserve">Open Library of Humanities</t>
  </si>
  <si>
    <t xml:space="preserve">https://janeway.systems/</t>
  </si>
  <si>
    <t xml:space="preserve">https://github.com/birkbeckctp/</t>
  </si>
  <si>
    <t xml:space="preserve">We are planning to complete a POSI evaluation.</t>
  </si>
  <si>
    <t xml:space="preserve">https://discord.com/invite/MdPpd4cSTC</t>
  </si>
  <si>
    <t xml:space="preserve">https://github.com/BirkbeckCTP/janeway/blob/master/CODE_OF_CONDUCT.md</t>
  </si>
  <si>
    <t xml:space="preserve">JHOVE</t>
  </si>
  <si>
    <t xml:space="preserve">https://jhove.openpreservation.org/</t>
  </si>
  <si>
    <t xml:space="preserve">Computing library | Digital preservation tool</t>
  </si>
  <si>
    <t xml:space="preserve">https://github.com/openpreserve/jhove</t>
  </si>
  <si>
    <t xml:space="preserve">Annual meetings | Blogs | Community calls | Development sprints | Interest, working, user, or advisory groups | Mailing lists and discussion forums (including Slack) | Social media | Staff roles with responsibility for community engagement | Webinars and training</t>
  </si>
  <si>
    <t xml:space="preserve">https://jhove.openpreservation.org/about/</t>
  </si>
  <si>
    <t xml:space="preserve">https://openpreservation.org/membership/</t>
  </si>
  <si>
    <t xml:space="preserve">LA Referencia</t>
  </si>
  <si>
    <t xml:space="preserve">https://www.lareferencia.info</t>
  </si>
  <si>
    <t xml:space="preserve">UY</t>
  </si>
  <si>
    <t xml:space="preserve">https://github.com/lareferencia</t>
  </si>
  <si>
    <t xml:space="preserve">Manifold</t>
  </si>
  <si>
    <t xml:space="preserve">Manifold Digital Services</t>
  </si>
  <si>
    <t xml:space="preserve">https://manifoldapp.org/</t>
  </si>
  <si>
    <t xml:space="preserve">https://github.com/ManifoldScholar/manifold</t>
  </si>
  <si>
    <t xml:space="preserve">Multiple &lt;a href="https://manifoldapp.org/community" target="_blank"&gt;communication channels&lt;/a&gt;</t>
  </si>
  <si>
    <t xml:space="preserve">https://manifoldscholar.github.io/manifold-docusaurus/docs/developers/local_development</t>
  </si>
  <si>
    <t xml:space="preserve">medRxiv</t>
  </si>
  <si>
    <t xml:space="preserve">https://www.medrxiv.org/</t>
  </si>
  <si>
    <t xml:space="preserve">Blogs | Conference participation | Mailing lists and discussion forums (including Slack) | Social media | Staff roles with responsibility for community engagement | User research | Volunteer or ambassador network | Webinars and training | Other</t>
  </si>
  <si>
    <t xml:space="preserve">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</si>
  <si>
    <t xml:space="preserve">Contribute to documentation</t>
  </si>
  <si>
    <t xml:space="preserve">Metadata Encoding and Transmission Standard (METS)</t>
  </si>
  <si>
    <t xml:space="preserve">METS Editorial Board</t>
  </si>
  <si>
    <t xml:space="preserve">https://www.loc.gov/standards/mets/</t>
  </si>
  <si>
    <t xml:space="preserve">https://github.com/mets</t>
  </si>
  <si>
    <t xml:space="preserve">Conference participation | Mailing lists and discussion forums (including Slack)</t>
  </si>
  <si>
    <t xml:space="preserve">https://listserv.loc.gov/cgi-bin/wa?SUBED1=mets&amp;A=1</t>
  </si>
  <si>
    <t xml:space="preserve">Contribute to code | Contribute to documentation | Contribute to education or training | Contribute to user research or user testing</t>
  </si>
  <si>
    <t xml:space="preserve">https://github.com/mets/wiki/wiki/Board-Membership-Criteria-&amp;-Procedures</t>
  </si>
  <si>
    <t xml:space="preserve">https://www.loc.gov/standards/mets/mets-boardprocedures.html</t>
  </si>
  <si>
    <t xml:space="preserve">Mirador</t>
  </si>
  <si>
    <t xml:space="preserve">Project Mirador</t>
  </si>
  <si>
    <t xml:space="preserve">https://projectmirador.org/</t>
  </si>
  <si>
    <t xml:space="preserve">Annotations system | Media viewer/player</t>
  </si>
  <si>
    <t xml:space="preserve">https://github.com/projectmirador/mirador</t>
  </si>
  <si>
    <t xml:space="preserve">&lt;p&gt;Mirador's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</si>
  <si>
    <t xml:space="preserve">https://github.com/ProjectMirador/mirador/discussions</t>
  </si>
  <si>
    <t xml:space="preserve">https://github.com/ProjectMirador/mirador/blob/master/CODE_OF_CONDUCT.md</t>
  </si>
  <si>
    <t xml:space="preserve">Mukurtu CMS</t>
  </si>
  <si>
    <t xml:space="preserve">Center for Digital Scholarship and Curation</t>
  </si>
  <si>
    <t xml:space="preserve">https://mukurtu.org/</t>
  </si>
  <si>
    <t xml:space="preserve">Archive information management system | Digital asset management system</t>
  </si>
  <si>
    <t xml:space="preserve">https://github.com/MukurtuCMS/mukurtucms</t>
  </si>
  <si>
    <t xml:space="preserve">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</si>
  <si>
    <t xml:space="preserve">https://github.com/MukurtuCMS/mukurtucms#developers</t>
  </si>
  <si>
    <t xml:space="preserve">MyCoRe</t>
  </si>
  <si>
    <t xml:space="preserve">MyCoRe Community</t>
  </si>
  <si>
    <t xml:space="preserve">https://www.mycore.de</t>
  </si>
  <si>
    <t xml:space="preserve">Digital asset management system | Digital library, collection or exhibit platform | Repository software</t>
  </si>
  <si>
    <t xml:space="preserve">https://github.com/MyCoRe-Org/mycore</t>
  </si>
  <si>
    <t xml:space="preserve">https://github.com/MyCoRe-Org/mycore/blob/main/CONTRIBUTING.md</t>
  </si>
  <si>
    <t xml:space="preserve">https://www.mycore.de/site/community/</t>
  </si>
  <si>
    <t xml:space="preserve">NumPy</t>
  </si>
  <si>
    <t xml:space="preserve">NumPy Community</t>
  </si>
  <si>
    <t xml:space="preserve">https://numpy.org/</t>
  </si>
  <si>
    <t xml:space="preserve">Computing library | Standard, specification or protocol</t>
  </si>
  <si>
    <t xml:space="preserve">https://github.com/numpy/numpy</t>
  </si>
  <si>
    <t xml:space="preserve">https://scientific-python.org/calendars/</t>
  </si>
  <si>
    <t xml:space="preserve">https://numpy.org/contribute/</t>
  </si>
  <si>
    <t xml:space="preserve">https://numpy.org/code-of-conduct/</t>
  </si>
  <si>
    <t xml:space="preserve">https://numpy.org/devdocs/dev/governance/index.html</t>
  </si>
  <si>
    <t xml:space="preserve">OA.Report</t>
  </si>
  <si>
    <t xml:space="preserve">OA.Works</t>
  </si>
  <si>
    <t xml:space="preserve">https://oa.report/</t>
  </si>
  <si>
    <t xml:space="preserve">Open access or subscription management tool | Research profiling system</t>
  </si>
  <si>
    <t xml:space="preserve">https://github.com/oaworks/oa-report</t>
  </si>
  <si>
    <t xml:space="preserve">https://oa.works/newsletter/</t>
  </si>
  <si>
    <t xml:space="preserve">https://oa.works/about/governance/articles-of-governance/</t>
  </si>
  <si>
    <t xml:space="preserve">OA Switchboard</t>
  </si>
  <si>
    <t xml:space="preserve">Stichting OA Switchboard</t>
  </si>
  <si>
    <t xml:space="preserve">https://www.oaswitchboard.org/</t>
  </si>
  <si>
    <t xml:space="preserve">NL</t>
  </si>
  <si>
    <t xml:space="preserve">Open access or subscription management tool</t>
  </si>
  <si>
    <t xml:space="preserve">https://bitbucket.org/oaswitchboard/api/src/master/</t>
  </si>
  <si>
    <t xml:space="preserve">&lt;p&gt;This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</si>
  <si>
    <t xml:space="preserve">https://www.oaswitchboard.org/get-involved</t>
  </si>
  <si>
    <t xml:space="preserve">https://www.oaswitchboard.org/governance</t>
  </si>
  <si>
    <t xml:space="preserve">Omeka</t>
  </si>
  <si>
    <t xml:space="preserve">Digital Scholar</t>
  </si>
  <si>
    <t xml:space="preserve">https://omeka.org/</t>
  </si>
  <si>
    <t xml:space="preserve">Digital library, collection or exhibit platform</t>
  </si>
  <si>
    <t xml:space="preserve">https://github.com/omeka</t>
  </si>
  <si>
    <t xml:space="preserve">&lt;p&gt;The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</si>
  <si>
    <t xml:space="preserve">https://forum.omeka.org/faq</t>
  </si>
  <si>
    <t xml:space="preserve">https://digitalscholar.org/assets/downloads/Corporation%20for%20Digital%20Scholarship%20%E2%80%93%20Articles%20of%20Incorporation.pdf</t>
  </si>
  <si>
    <t xml:space="preserve">OpenAIRE Graph</t>
  </si>
  <si>
    <t xml:space="preserve">https://graph.openaire.eu/</t>
  </si>
  <si>
    <t xml:space="preserve">https://code-repo.d4science.org/D-Net/dnet-hadoop</t>
  </si>
  <si>
    <t xml:space="preserve">Blogs | Community calls | Conference participation | Interest, working, user, or advisory groups | Mailing lists and discussion forums (including Slack) | Social media | Staff roles with responsibility for community engagement | User research | Webinars and training</t>
  </si>
  <si>
    <t xml:space="preserve">https://graph.openaire.eu/community-calls</t>
  </si>
  <si>
    <t xml:space="preserve">OpenAlex</t>
  </si>
  <si>
    <t xml:space="preserve">OurResearch</t>
  </si>
  <si>
    <t xml:space="preserve">https://openalex.org/</t>
  </si>
  <si>
    <t xml:space="preserve">https://github.com/ourresearch</t>
  </si>
  <si>
    <t xml:space="preserve">&lt;li&gt;&lt;a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</si>
  <si>
    <t xml:space="preserve">https://groups.google.com/g/openalex-users?pli=1</t>
  </si>
  <si>
    <t xml:space="preserve">OpenAPC</t>
  </si>
  <si>
    <t xml:space="preserve">Bielefeld University</t>
  </si>
  <si>
    <t xml:space="preserve">https://openapc.net/</t>
  </si>
  <si>
    <t xml:space="preserve">https://github.com/OpenAPC/openapc-de</t>
  </si>
  <si>
    <t xml:space="preserve">Blogs | Conference participation | Social media | Webinars and training</t>
  </si>
  <si>
    <t xml:space="preserve">https://openapc.github.io/</t>
  </si>
  <si>
    <t xml:space="preserve">https://github.com/OpenAPC/openapc-de/wiki/Data-Submission-Handout</t>
  </si>
  <si>
    <t xml:space="preserve">https://github.com/OpenAPC/openapc-de/blob/master/CONDUCT.md</t>
  </si>
  <si>
    <t xml:space="preserve">OpenCitations</t>
  </si>
  <si>
    <t xml:space="preserve">Research Centre for Open Scholarly Metadata, University of Bologna</t>
  </si>
  <si>
    <t xml:space="preserve">https://opencitations.net/</t>
  </si>
  <si>
    <t xml:space="preserve">https://github.com/opencitations</t>
  </si>
  <si>
    <t xml:space="preserve">Annual meetings | Blogs | Conference participation | Interest, working, user, or advisory groups | Social media | Staff roles with responsibility for community engagement | Webinars and training</t>
  </si>
  <si>
    <t xml:space="preserve">https://opencitations.net/wp-content/uploads/pdf/membership.pdf</t>
  </si>
  <si>
    <t xml:space="preserve">https://opencitations.net/wp-content/uploads/pdf/oc_bodies.pdf</t>
  </si>
  <si>
    <t xml:space="preserve">https://opencitations.net/members-and-donors/</t>
  </si>
  <si>
    <t xml:space="preserve">openCost</t>
  </si>
  <si>
    <t xml:space="preserve">https://www.opencost.de</t>
  </si>
  <si>
    <t xml:space="preserve">Open scholarly dataset | Standard, specification or protocol</t>
  </si>
  <si>
    <t xml:space="preserve">https://github.com/opencost-de/opencost/tree/main/doc</t>
  </si>
  <si>
    <t xml:space="preserve">Blogs | Community calls | Conference participation | Mailing lists and discussion forums (including Slack) | Webinars and training</t>
  </si>
  <si>
    <t xml:space="preserve">https://www.opencost.de/mailingliste/</t>
  </si>
  <si>
    <t xml:space="preserve">https://github.com/opencost-de/opencost/tree/main</t>
  </si>
  <si>
    <t xml:space="preserve">Open Data Editor</t>
  </si>
  <si>
    <t xml:space="preserve">Open Knowledge Foundation</t>
  </si>
  <si>
    <t xml:space="preserve">https://okfn.org/en/projects/open-data-editor/</t>
  </si>
  <si>
    <t xml:space="preserve">Data collection or management tool</t>
  </si>
  <si>
    <t xml:space="preserve">https://github.com/okfn/opendataeditor</t>
  </si>
  <si>
    <t xml:space="preserve">Blogs | Community calls | Social media | Webinars and training | Other</t>
  </si>
  <si>
    <t xml:space="preserve">https://blog.okfn.org/2025/03/13/meet-the-organisations-selected-to-pilot-the-open-data-editor/</t>
  </si>
  <si>
    <t xml:space="preserve">Contribute to user research or user testing</t>
  </si>
  <si>
    <t xml:space="preserve">https://opendataeditor.okfn.org/contributing/contribution-guidelines</t>
  </si>
  <si>
    <t xml:space="preserve">https://okfn.org/en/code-of-conduct/</t>
  </si>
  <si>
    <t xml:space="preserve">https://okfn.org/en/who-we-are/governance/</t>
  </si>
  <si>
    <t xml:space="preserve">OpenEdition</t>
  </si>
  <si>
    <t xml:space="preserve">OpenEdition Center, Aix-Marseille University, the EHESS and Avignon University</t>
  </si>
  <si>
    <t xml:space="preserve">https://www.openedition.org/</t>
  </si>
  <si>
    <t xml:space="preserve">https://github.com/OpenEdition</t>
  </si>
  <si>
    <t xml:space="preserve">&lt;p&gt;Annual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</si>
  <si>
    <t xml:space="preserve">https://www.openedition.org/19221</t>
  </si>
  <si>
    <t xml:space="preserve">Open Journal Systems (OJS)</t>
  </si>
  <si>
    <t xml:space="preserve">Public Knowledge Project (PKP)</t>
  </si>
  <si>
    <t xml:space="preserve">https://pkp.sfu.ca</t>
  </si>
  <si>
    <t xml:space="preserve">https://github.com/pkp</t>
  </si>
  <si>
    <t xml:space="preserve">&lt;p&gt;PKP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</si>
  <si>
    <t xml:space="preserve">https://pkp.sfu.ca/community/members/contribute/</t>
  </si>
  <si>
    <t xml:space="preserve">https://pkp.sfu.ca/code/</t>
  </si>
  <si>
    <t xml:space="preserve">http://www.sfu.ca/policies/gazette/board.html</t>
  </si>
  <si>
    <t xml:space="preserve">Open Monograph Press (OMP)</t>
  </si>
  <si>
    <t xml:space="preserve">https://pkp.sfu.ca/</t>
  </si>
  <si>
    <t xml:space="preserve">https://github.com/pkp/</t>
  </si>
  <si>
    <t xml:space="preserve">Open Preprint Systems (OPS)</t>
  </si>
  <si>
    <t xml:space="preserve">https://pkp.sfu.ca/software/ops/</t>
  </si>
  <si>
    <t xml:space="preserve">https://github.com/pkp/https://github.com/pkp/ops</t>
  </si>
  <si>
    <t xml:space="preserve">https://pkp.sfu.ca/about/governance/advisory/</t>
  </si>
  <si>
    <t xml:space="preserve">Openverse</t>
  </si>
  <si>
    <t xml:space="preserve">WordPress Foundation</t>
  </si>
  <si>
    <t xml:space="preserve">https://openverse.org</t>
  </si>
  <si>
    <t xml:space="preserve">https://github.com/WordPress/openverse</t>
  </si>
  <si>
    <t xml:space="preserve">https://make.wordpress.org/openverse/</t>
  </si>
  <si>
    <t xml:space="preserve">https://docs.openverse.org/general/contributing.html</t>
  </si>
  <si>
    <t xml:space="preserve">https://github.com/WordPress/openverse?tab=coc-ov-file</t>
  </si>
  <si>
    <t xml:space="preserve">https://docs.openverse.org/meta/decision_making/index.html</t>
  </si>
  <si>
    <t xml:space="preserve">O Portal Brasileiro de Publicações e Dados Científicos em Acesso Aberto (The Brazilian Open Access Publications and Scientific Data Portal) (Oasisbr)</t>
  </si>
  <si>
    <t xml:space="preserve">Instituto Brasileiro de Informação em Ciência e Tecnologia (Brazilian Institute of Information in Science and Technology) (Ibict)</t>
  </si>
  <si>
    <t xml:space="preserve">https://oasisbr.ibict.br/</t>
  </si>
  <si>
    <t xml:space="preserve">https://github.com/projetos-codic-ibict/oasisbr-vufind</t>
  </si>
  <si>
    <t xml:space="preserve">OSF (Open Science Framework)</t>
  </si>
  <si>
    <t xml:space="preserve">Center for Open Science, Inc.</t>
  </si>
  <si>
    <t xml:space="preserve">https://osf.io</t>
  </si>
  <si>
    <t xml:space="preserve">Repository service | Repository software</t>
  </si>
  <si>
    <t xml:space="preserve">https://github.com/CenterForOpenScience/osf.io</t>
  </si>
  <si>
    <t xml:space="preserve">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</si>
  <si>
    <t xml:space="preserve">Contribute funds | Contribute to code | Contribute to documentation | Contribute to education or training | Contribute to working groups or interest groups | Other</t>
  </si>
  <si>
    <t xml:space="preserve">https://github.com/CenterForOpenScience/cos.io/blob/master/TERMS_OF_USE.md</t>
  </si>
  <si>
    <t xml:space="preserve">https://osf.io/pjnse</t>
  </si>
  <si>
    <t xml:space="preserve">Oxford Common File Layout</t>
  </si>
  <si>
    <t xml:space="preserve">Oxford Common File Layout (OCFL)</t>
  </si>
  <si>
    <t xml:space="preserve">https://ocfl.io/</t>
  </si>
  <si>
    <t xml:space="preserve">https://github.com/OCFL/spec</t>
  </si>
  <si>
    <t xml:space="preserve">Contribute to code | Contribute to documentation | Contribute to education or training</t>
  </si>
  <si>
    <t xml:space="preserve">https://github.com/OCFL/spec/wiki/Change-Suggestion-and-Resolution-Process</t>
  </si>
  <si>
    <t xml:space="preserve">Peer Community In</t>
  </si>
  <si>
    <t xml:space="preserve">PCI, Peer Community In</t>
  </si>
  <si>
    <t xml:space="preserve">https://peercommunityin.org/</t>
  </si>
  <si>
    <t xml:space="preserve">Peer review system</t>
  </si>
  <si>
    <t xml:space="preserve">https://github.com/pci-dev</t>
  </si>
  <si>
    <t xml:space="preserve">&lt;p&gt;PCI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</si>
  <si>
    <t xml:space="preserve">https://peercommunityin.org/2022/12/21/pci-code-of-conduct/</t>
  </si>
  <si>
    <t xml:space="preserve">PKP Preservation Network</t>
  </si>
  <si>
    <t xml:space="preserve">https://pkp.sfu.ca/pkp-pn/</t>
  </si>
  <si>
    <t xml:space="preserve">https://github.com/pkp/pln</t>
  </si>
  <si>
    <t xml:space="preserve">https://pkp.sfu.ca/community/</t>
  </si>
  <si>
    <t xml:space="preserve">https://pkp.sfu.ca/community/members/</t>
  </si>
  <si>
    <t xml:space="preserve">PREreview</t>
  </si>
  <si>
    <t xml:space="preserve">https://prereview.org</t>
  </si>
  <si>
    <t xml:space="preserve">Discovery system | Peer review system</t>
  </si>
  <si>
    <t xml:space="preserve">https://github.com/PREreview/prereview.org</t>
  </si>
  <si>
    <t xml:space="preserve">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</si>
  <si>
    <t xml:space="preserve">&lt;p&gt;Trainings.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</si>
  <si>
    <t xml:space="preserve">https://prereview.org/trainings</t>
  </si>
  <si>
    <t xml:space="preserve">Contribute funds | Contribute to documentation | Contribute to education or training | Contribute to peer reviews | Contribute to user research or user testing | Contribute to working groups or interest groups | Other</t>
  </si>
  <si>
    <t xml:space="preserve">PREreview runs an annual Champions Program, more information here: https://prereview.org/trainings#prereview-champions-program</t>
  </si>
  <si>
    <t xml:space="preserve">https://prereview.org/how-to-use</t>
  </si>
  <si>
    <t xml:space="preserve">https://prereview.org/code-of-conduct</t>
  </si>
  <si>
    <t xml:space="preserve">Pressbooks</t>
  </si>
  <si>
    <t xml:space="preserve">Book Oven, Inc.</t>
  </si>
  <si>
    <t xml:space="preserve">https://pressbooks.com/</t>
  </si>
  <si>
    <t xml:space="preserve">https://github.com/pressbooks</t>
  </si>
  <si>
    <t xml:space="preserve">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</si>
  <si>
    <t xml:space="preserve">Public Access Submission System</t>
  </si>
  <si>
    <t xml:space="preserve">Eclipse Foundation</t>
  </si>
  <si>
    <t xml:space="preserve">https://eclipse-pass.org/</t>
  </si>
  <si>
    <t xml:space="preserve">Submissions system</t>
  </si>
  <si>
    <t xml:space="preserve">https://github.com/eclipse-pass</t>
  </si>
  <si>
    <t xml:space="preserve">Contribute funds | Contribute to code | Contribute to documentation | Contribute to working groups or interest groups</t>
  </si>
  <si>
    <t xml:space="preserve">https://github.com/eclipse-pass/main/blob/main/CONTRIBUTING.md</t>
  </si>
  <si>
    <t xml:space="preserve">https://www.eclipse.org/org/documents/Community_Code_of_Conduct.php</t>
  </si>
  <si>
    <t xml:space="preserve">https://www.eclipse.org/org/workinggroups/about.php</t>
  </si>
  <si>
    <t xml:space="preserve">Public Utility Data Liberation (PUDL)</t>
  </si>
  <si>
    <t xml:space="preserve">Catalyst Cooperative</t>
  </si>
  <si>
    <t xml:space="preserve">https://github.com/catalyst-cooperative/pudl</t>
  </si>
  <si>
    <t xml:space="preserve">Open scholarly dataset | Web archiving system</t>
  </si>
  <si>
    <t xml:space="preserve">https://github.com/catalyst-cooperative/pudl/</t>
  </si>
  <si>
    <t xml:space="preserve">Blogs | Conference participation | Development sprints | Mailing lists and discussion forums (including Slack) | Social media | Staff roles with responsibility for community engagement | User research | Webinars and training</t>
  </si>
  <si>
    <t xml:space="preserve">https://catalyst.coop/events/</t>
  </si>
  <si>
    <t xml:space="preserve">https://catalystcoop-pudl.readthedocs.io/en/latest/CONTRIBUTING.html</t>
  </si>
  <si>
    <t xml:space="preserve">https://catalystcoop-pudl.readthedocs.io/en/latest/code_of_conduct.html</t>
  </si>
  <si>
    <t xml:space="preserve">https://catalystcoop-handbook.readthedocs.io/en/latest/bylaws.html</t>
  </si>
  <si>
    <t xml:space="preserve">https://opencollective.com/catalyst-cooperative/projects/pudl</t>
  </si>
  <si>
    <t xml:space="preserve">PubPub</t>
  </si>
  <si>
    <t xml:space="preserve">Knowledge Futures</t>
  </si>
  <si>
    <t xml:space="preserve">https://www.pubpub.org/</t>
  </si>
  <si>
    <t xml:space="preserve">https://github.com/pubpub</t>
  </si>
  <si>
    <t xml:space="preserve">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</si>
  <si>
    <t xml:space="preserve">https://github.com/pubpub/pubpub/discussions</t>
  </si>
  <si>
    <t xml:space="preserve">https://www.pubpub.org/legal/aup</t>
  </si>
  <si>
    <t xml:space="preserve">Pundit</t>
  </si>
  <si>
    <t xml:space="preserve">Net7 Srl</t>
  </si>
  <si>
    <t xml:space="preserve">https://thepund.it</t>
  </si>
  <si>
    <t xml:space="preserve">Annotations system</t>
  </si>
  <si>
    <t xml:space="preserve">https://github.com/net7/pundit-client</t>
  </si>
  <si>
    <t xml:space="preserve">Blogs | Conference participation | Social media</t>
  </si>
  <si>
    <t xml:space="preserve">pyOpenSci</t>
  </si>
  <si>
    <t xml:space="preserve">Community Initiatives</t>
  </si>
  <si>
    <t xml:space="preserve">https://www.pyopensci.org/</t>
  </si>
  <si>
    <t xml:space="preserve">Research software community</t>
  </si>
  <si>
    <t xml:space="preserve">https://github.com/pyOpenSci</t>
  </si>
  <si>
    <t xml:space="preserve">https://www.pyopensci.org/handbook/CONTRIBUTING.html</t>
  </si>
  <si>
    <t xml:space="preserve">https://www.pyopensci.org/handbook/CODE_OF_CONDUCT.html</t>
  </si>
  <si>
    <t xml:space="preserve">https://www.pyopensci.org/handbook/governance/index.html</t>
  </si>
  <si>
    <t xml:space="preserve">Renku</t>
  </si>
  <si>
    <t xml:space="preserve">Swiss Data Science Center</t>
  </si>
  <si>
    <t xml:space="preserve">https://renkulab.io</t>
  </si>
  <si>
    <t xml:space="preserve">Data management planning tool or service | Discovery system | Research software community</t>
  </si>
  <si>
    <t xml:space="preserve">https://github.com/SwissDataScienceCenter/renku</t>
  </si>
  <si>
    <t xml:space="preserve">Annual meetings | Blogs | Community calls | Conference participation | Mailing lists and discussion forums (including Slack) | User research | Webinars and training</t>
  </si>
  <si>
    <t xml:space="preserve">https://renku.notion.site/f9caf41b579f474b8007803b007e3999?v=58b6d0870a8f42c5bfc64e3c640d7b4a</t>
  </si>
  <si>
    <t xml:space="preserve">https://github.com/SwissDataScienceCenter/renku/blob/master/CONTRIBUTING.rst</t>
  </si>
  <si>
    <t xml:space="preserve">RePEc</t>
  </si>
  <si>
    <t xml:space="preserve">http://repec.org</t>
  </si>
  <si>
    <t xml:space="preserve">https://github.com/repec-org</t>
  </si>
  <si>
    <t xml:space="preserve">Blogs | Mailing lists and discussion forums (including Slack) | Staff roles with responsibility for community engagement | Volunteer or ambassador network</t>
  </si>
  <si>
    <t xml:space="preserve">https://ideas.repec.org/volunteers.html</t>
  </si>
  <si>
    <t xml:space="preserve">Contribute funds | Contribute to code | Contribute to user research or user testing | Other</t>
  </si>
  <si>
    <t xml:space="preserve">Sponsor hardware, editor for alert service, contribute metadata</t>
  </si>
  <si>
    <t xml:space="preserve">https://governance.repec.org/rules.html</t>
  </si>
  <si>
    <t xml:space="preserve">Research Organization Registry (ROR)</t>
  </si>
  <si>
    <t xml:space="preserve">California Digital Library, Crossref, DataCite</t>
  </si>
  <si>
    <t xml:space="preserve">https://ror.org</t>
  </si>
  <si>
    <t xml:space="preserve">https://github.com/ror-community</t>
  </si>
  <si>
    <t xml:space="preserve">Annual meetings | Blogs | Community calls | Conference participation | Interest, working, user, or advisory groups | Mailing lists and discussion forums (including Slack) | Social media | Staff roles with responsibility for community engagement | Webinars and training | Other</t>
  </si>
  <si>
    <t xml:space="preserve">&lt;p&gt;ROR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</si>
  <si>
    <t xml:space="preserve">https://ror.org/community</t>
  </si>
  <si>
    <t xml:space="preserve">https://ror.readme.io/docs/get-involved</t>
  </si>
  <si>
    <t xml:space="preserve">https://ror.org/community/code-of-conduct/</t>
  </si>
  <si>
    <t xml:space="preserve">https://ror.org/community/#steering-group</t>
  </si>
  <si>
    <t xml:space="preserve">Rogue Scholar</t>
  </si>
  <si>
    <t xml:space="preserve">The Rogue Scholar</t>
  </si>
  <si>
    <t xml:space="preserve">https://rogue-scholar.org/</t>
  </si>
  <si>
    <t xml:space="preserve">Digital preservation system | Discovery system</t>
  </si>
  <si>
    <t xml:space="preserve">https://github.com/front-matter/rogue-scholar</t>
  </si>
  <si>
    <t xml:space="preserve">Contribute funds | Contribute to code | Contribute to education or training</t>
  </si>
  <si>
    <t xml:space="preserve">https://discord.gg/HvbD4dNPFh</t>
  </si>
  <si>
    <t xml:space="preserve">RSpace</t>
  </si>
  <si>
    <t xml:space="preserve">Research Innovations Ltd (trading as Research Space)</t>
  </si>
  <si>
    <t xml:space="preserve">https://www.researchspace.com/</t>
  </si>
  <si>
    <t xml:space="preserve">https://github.com/rspace-os</t>
  </si>
  <si>
    <t xml:space="preserve">Annual meetings | Blogs | Conference participation | Mailing lists and discussion forums (including Slack) | Social media | User research</t>
  </si>
  <si>
    <t xml:space="preserve">https://www.researchspace.com/community</t>
  </si>
  <si>
    <t xml:space="preserve">Contribute to code | Contribute to user research or user testing</t>
  </si>
  <si>
    <t xml:space="preserve">https://github.com/rspace-os/rspace-web?tab=coc-ov-file</t>
  </si>
  <si>
    <t xml:space="preserve">Sciety</t>
  </si>
  <si>
    <t xml:space="preserve">eLife</t>
  </si>
  <si>
    <t xml:space="preserve">https://sciety.org</t>
  </si>
  <si>
    <t xml:space="preserve">https://github.com/sciety/sciety</t>
  </si>
  <si>
    <t xml:space="preserve">https://blog.sciety.org/get-involved/</t>
  </si>
  <si>
    <t xml:space="preserve">https://sciety.org/groups</t>
  </si>
  <si>
    <t xml:space="preserve">Synapse</t>
  </si>
  <si>
    <t xml:space="preserve">Sage Bionetworks</t>
  </si>
  <si>
    <t xml:space="preserve">https://www.synapse.org/</t>
  </si>
  <si>
    <t xml:space="preserve">Annotations system | Repository service</t>
  </si>
  <si>
    <t xml:space="preserve">https://github.com/Sage-Bionetworks</t>
  </si>
  <si>
    <t xml:space="preserve">Blogs | Social media | Staff roles with responsibility for community engagement | User research</t>
  </si>
  <si>
    <t xml:space="preserve">https://youtu.be/GOC1_iHG8tM?feature=shared</t>
  </si>
  <si>
    <t xml:space="preserve">https://help.synapse.org/docs/Synapse-User-Account-Types.2007072795.html</t>
  </si>
  <si>
    <t xml:space="preserve">https://help.synapse.org/docs/Synapse-Governance.2004255211.html</t>
  </si>
  <si>
    <t xml:space="preserve">TagTeam</t>
  </si>
  <si>
    <t xml:space="preserve">Harvard University</t>
  </si>
  <si>
    <t xml:space="preserve">https://cyber.harvard.edu/hoap/TagTeam</t>
  </si>
  <si>
    <t xml:space="preserve">Annotations system | Discovery system</t>
  </si>
  <si>
    <t xml:space="preserve">https://github.com/berkmancenter/tagteam</t>
  </si>
  <si>
    <t xml:space="preserve">https://cyber.harvard.edu/hoap/Get_started_as_a_tagger</t>
  </si>
  <si>
    <t xml:space="preserve">https://cyber.harvard.edu/hoap/TagTeam_terms_of_service</t>
  </si>
  <si>
    <t xml:space="preserve">https://cyber.harvard.edu/hoap/TagTeam_FAQ#How_do_I_get_a_TagTeam_account?</t>
  </si>
  <si>
    <t xml:space="preserve">Thoth Open Metadata</t>
  </si>
  <si>
    <t xml:space="preserve">https://thoth.pub/</t>
  </si>
  <si>
    <t xml:space="preserve">Digital preservation service | Format conversion tool or service | Open scholarly dataset</t>
  </si>
  <si>
    <t xml:space="preserve">https://github.com/thoth-pub/thoth</t>
  </si>
  <si>
    <t xml:space="preserve">Annual meetings | Blogs | Community calls | Conference participation | Interest, working, user, or advisory groups | Social media | User research | Webinars and training</t>
  </si>
  <si>
    <t xml:space="preserve">https://thoth.pub/about/about-us#our-governance</t>
  </si>
  <si>
    <t xml:space="preserve">Contribute funds | Contribute to code | Contribute to documentation | Contribute to governance | Contribute to user research or user testing | Contribute to working groups or interest groups</t>
  </si>
  <si>
    <t xml:space="preserve">https://thoth.pub/policies/code-of-conduct</t>
  </si>
  <si>
    <t xml:space="preserve">https://find-and-update.company-information.service.gov.uk/company/14549556/filing-history</t>
  </si>
  <si>
    <t xml:space="preserve">https://thoth.pub/support-us</t>
  </si>
  <si>
    <t xml:space="preserve">Tropy</t>
  </si>
  <si>
    <t xml:space="preserve">https://tropy.org/</t>
  </si>
  <si>
    <t xml:space="preserve">Digital asset management system</t>
  </si>
  <si>
    <t xml:space="preserve">https://github.com/tropy/tropy</t>
  </si>
  <si>
    <t xml:space="preserve">Blogs | Mailing lists and discussion forums (including Slack) | Social media</t>
  </si>
  <si>
    <t xml:space="preserve">https://tropy.org/blog/</t>
  </si>
  <si>
    <t xml:space="preserve">https://github.com/tropy/tropy/blob/main/res/plugins/README.md</t>
  </si>
  <si>
    <t xml:space="preserve">https://digitalscholar.org/assets/downloads/Corporation%20for%20Digital%20Scholarship%20%E2%80%93%20Bylaws.pdf</t>
  </si>
  <si>
    <t xml:space="preserve">veraPDF</t>
  </si>
  <si>
    <t xml:space="preserve">veraPDF Consortium</t>
  </si>
  <si>
    <t xml:space="preserve">https://verapdf.org</t>
  </si>
  <si>
    <t xml:space="preserve">Digital preservation tool | Standard, specification or protocol</t>
  </si>
  <si>
    <t xml:space="preserve">https://github.com/verapdf</t>
  </si>
  <si>
    <t xml:space="preserve">Development sprints | Interest, working, user, or advisory groups | Mailing lists and discussion forums (including Slack) | Staff roles with responsibility for community engagement | User research</t>
  </si>
  <si>
    <t xml:space="preserve">https://verapdf.org/community/</t>
  </si>
  <si>
    <t xml:space="preserve">https://verapdf.org/donate/</t>
  </si>
  <si>
    <t xml:space="preserve">ViPER</t>
  </si>
  <si>
    <t xml:space="preserve">https://openpreservation.org/tools/viper</t>
  </si>
  <si>
    <t xml:space="preserve">https://github.com/openpreserve/ViPER</t>
  </si>
  <si>
    <t xml:space="preserve">Contribute to code | Contribute to documentation | Contribute to user research or user testing | Contribute to working groups or interest groups</t>
  </si>
  <si>
    <t xml:space="preserve">Vireo ETD</t>
  </si>
  <si>
    <t xml:space="preserve">Texas Digital Library</t>
  </si>
  <si>
    <t xml:space="preserve">https://texasdigitallibrary.atlassian.net/wiki/spaces/VUG/pages/87490642/About</t>
  </si>
  <si>
    <t xml:space="preserve">Publishing system | Repository software | Submissions system</t>
  </si>
  <si>
    <t xml:space="preserve">https://github.com/TexasDigitalLibrary/Vireo</t>
  </si>
  <si>
    <t xml:space="preserve">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</si>
  <si>
    <t xml:space="preserve">https://texasdigitallibrary.atlassian.net/wiki/spaces/VUG/pages/2233303049/Contact+Us</t>
  </si>
  <si>
    <t xml:space="preserve">https://texasdigitallibrary.atlassian.net/wiki/x/9YBuOw</t>
  </si>
  <si>
    <t xml:space="preserve">https://www.tdl.org/community/members/membership/</t>
  </si>
  <si>
    <t xml:space="preserve">VIVO</t>
  </si>
  <si>
    <t xml:space="preserve">https://vivoweb.org/</t>
  </si>
  <si>
    <t xml:space="preserve">Discovery system | Research profiling system | Standard, specification or protocol</t>
  </si>
  <si>
    <t xml:space="preserve">https://github.com/vivo-project</t>
  </si>
  <si>
    <t xml:space="preserve">Annual meetings | Blogs | Community calls | Conference participation | Development sprints | Mailing lists and discussion forums (including Slack) | Social media | Staff roles with responsibility for community engagement | Volunteer or ambassador network | Webinars and training</t>
  </si>
  <si>
    <t xml:space="preserve">https://vivoweb.org/community/</t>
  </si>
  <si>
    <t xml:space="preserve">https://vivoweb.org/develop-for-vivo/</t>
  </si>
  <si>
    <t xml:space="preserve">https://wiki.lyrasis.org/display/VIVO/VIVO+Project+Charter+v+1.1</t>
  </si>
  <si>
    <t xml:space="preserve">https://vivoweb.org/meet-our-members/</t>
  </si>
  <si>
    <t xml:space="preserve">VuFind®</t>
  </si>
  <si>
    <t xml:space="preserve">Open Library Foundation</t>
  </si>
  <si>
    <t xml:space="preserve">https://vufind.org/</t>
  </si>
  <si>
    <t xml:space="preserve">https://github.com/vufind-org</t>
  </si>
  <si>
    <t xml:space="preserve">Annual meetings | Community calls | Conference participation | Mailing lists and discussion forums (including Slack) | Social media | Webinars and training</t>
  </si>
  <si>
    <t xml:space="preserve">&lt;p&gt;The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</si>
  <si>
    <t xml:space="preserve">https://github.com/vufind-org/vufind/blob/dev/CONTRIBUTING.md</t>
  </si>
  <si>
    <t xml:space="preserve">https://github.com/vufind-org/vufind/blob/dev/CODE_OF_CONDUCT.md</t>
  </si>
  <si>
    <t xml:space="preserve">https://github.com/vufind-org/vufind/blob/dev/GOVERNANCE.md</t>
  </si>
  <si>
    <t xml:space="preserve">https://vufind.org/wiki/community:membership_levels_and_benefits</t>
  </si>
  <si>
    <t xml:space="preserve">Zenodo</t>
  </si>
  <si>
    <t xml:space="preserve">https://zenodo.org/</t>
  </si>
  <si>
    <t xml:space="preserve">https://github.com/zenodo/zenodo-rdm</t>
  </si>
  <si>
    <t xml:space="preserve">https://inveniordm.docs.cern.ch/contribute/code-of-conduct/</t>
  </si>
  <si>
    <t xml:space="preserve">Zotero</t>
  </si>
  <si>
    <t xml:space="preserve">https://www.zotero.org/</t>
  </si>
  <si>
    <t xml:space="preserve">https://github.com/zotero</t>
  </si>
  <si>
    <t xml:space="preserve">Blogs | Mailing lists and discussion forums (including Slack) | Social media | Staff roles with responsibility for community engagement</t>
  </si>
  <si>
    <t xml:space="preserve">https://www.zotero.org/getinvolved</t>
  </si>
  <si>
    <t xml:space="preserve">Contribute funds | Contribute to code | Contribute to documentation</t>
  </si>
  <si>
    <t xml:space="preserve">https://www.zotero.org/support/dev/start</t>
  </si>
  <si>
    <t xml:space="preserve">https://www.zotero.org/support/forum_guidelines</t>
  </si>
</sst>
</file>

<file path=xl/styles.xml><?xml version="1.0" encoding="utf-8"?>
<styleSheet xmlns="http://schemas.openxmlformats.org/spreadsheetml/2006/main">
  <numFmts count="11">
    <numFmt numFmtId="164" formatCode="General"/>
    <numFmt numFmtId="165" formatCode="0%"/>
    <numFmt numFmtId="166" formatCode="0"/>
    <numFmt numFmtId="167" formatCode="0.0"/>
    <numFmt numFmtId="168" formatCode="0.00"/>
    <numFmt numFmtId="169" formatCode="0.000"/>
    <numFmt numFmtId="170" formatCode="General"/>
    <numFmt numFmtId="171" formatCode="yyyy\-mm\-dd"/>
    <numFmt numFmtId="172" formatCode="#,##0"/>
    <numFmt numFmtId="173" formatCode="#,##0.0"/>
    <numFmt numFmtId="174" formatCode="@"/>
  </numFmts>
  <fonts count="1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b val="true"/>
      <sz val="11"/>
      <name val="Arial"/>
      <family val="0"/>
      <charset val="1"/>
    </font>
    <font>
      <b val="true"/>
      <sz val="12"/>
      <name val="Arial"/>
      <family val="0"/>
      <charset val="1"/>
    </font>
    <font>
      <i val="true"/>
      <sz val="10"/>
      <name val="Arial"/>
      <family val="0"/>
      <charset val="1"/>
    </font>
    <font>
      <b val="true"/>
      <sz val="18"/>
      <color rgb="FF000000"/>
      <name val="Calibri"/>
      <family val="2"/>
    </font>
    <font>
      <sz val="10"/>
      <color rgb="FF000000"/>
      <name val="Calibri"/>
      <family val="2"/>
    </font>
    <font>
      <sz val="9"/>
      <color rgb="FF808080"/>
      <name val="Arial"/>
      <family val="0"/>
      <charset val="1"/>
    </font>
    <font>
      <sz val="10"/>
      <color rgb="FF0000FF"/>
      <name val="Arial"/>
      <family val="0"/>
      <charset val="1"/>
    </font>
  </fonts>
  <fills count="7">
    <fill>
      <patternFill patternType="none"/>
    </fill>
    <fill>
      <patternFill patternType="gray125"/>
    </fill>
    <fill>
      <patternFill patternType="solid">
        <fgColor rgb="FFD9E2F3"/>
        <bgColor rgb="FFD9D9D9"/>
      </patternFill>
    </fill>
    <fill>
      <patternFill patternType="solid">
        <fgColor rgb="FF1F3864"/>
        <bgColor rgb="FF333333"/>
      </patternFill>
    </fill>
    <fill>
      <patternFill patternType="solid">
        <fgColor rgb="FFE2EFDA"/>
        <bgColor rgb="FFD9E2F3"/>
      </patternFill>
    </fill>
    <fill>
      <patternFill patternType="solid">
        <fgColor rgb="FFFFF2CC"/>
        <bgColor rgb="FFF9F9F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9" fontId="7" fillId="0" borderId="0" xfId="0" applyFont="true" applyBorder="false" applyAlignment="true" applyProtection="false">
      <alignment horizontal="center"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7" fontId="9" fillId="4"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8" fontId="16" fillId="5" borderId="0" xfId="0" applyFont="true" applyBorder="false" applyAlignment="true" applyProtection="false">
      <alignment horizontal="center" vertical="bottom" textRotation="0" wrapText="false" indent="0" shrinkToFit="false"/>
      <protection locked="true" hidden="false"/>
    </xf>
    <xf numFmtId="171" fontId="16" fillId="5"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72" fontId="7" fillId="0" borderId="0" xfId="0" applyFont="true" applyBorder="false" applyAlignment="true" applyProtection="false">
      <alignment horizontal="center" vertical="bottom" textRotation="0" wrapText="false" indent="0" shrinkToFit="false"/>
      <protection locked="true" hidden="false"/>
    </xf>
    <xf numFmtId="173"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6" fillId="6"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5" fontId="16" fillId="5" borderId="1" xfId="0" applyFont="true" applyBorder="tru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16" fillId="5" borderId="0" xfId="0" applyFont="true" applyBorder="false" applyAlignment="true" applyProtection="false">
      <alignment horizontal="general" vertical="bottom" textRotation="0" wrapText="false" indent="0" shrinkToFit="false"/>
      <protection locked="true" hidden="false"/>
    </xf>
    <xf numFmtId="168" fontId="16" fillId="5" borderId="1" xfId="0" applyFont="true" applyBorder="true" applyAlignment="true" applyProtection="false">
      <alignment horizontal="general" vertical="bottom" textRotation="0" wrapText="false" indent="0" shrinkToFit="false"/>
      <protection locked="true" hidden="false"/>
    </xf>
    <xf numFmtId="166" fontId="16" fillId="5" borderId="1" xfId="0" applyFont="true" applyBorder="true" applyAlignment="true" applyProtection="false">
      <alignment horizontal="general" vertical="bottom" textRotation="0" wrapText="false" indent="0" shrinkToFit="false"/>
      <protection locked="true" hidden="false"/>
    </xf>
    <xf numFmtId="174" fontId="16" fillId="5" borderId="1"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D7D9B1"/>
          <bgColor rgb="FF000000"/>
        </patternFill>
      </fill>
    </dxf>
    <dxf>
      <fill>
        <patternFill patternType="solid">
          <fgColor rgb="FFE8D1AF"/>
          <bgColor rgb="FF000000"/>
        </patternFill>
      </fill>
    </dxf>
    <dxf>
      <fill>
        <patternFill patternType="solid">
          <fgColor rgb="FFF8CBAD"/>
          <bgColor rgb="FF000000"/>
        </patternFill>
      </fill>
    </dxf>
    <dxf>
      <fill>
        <patternFill patternType="solid">
          <fgColor rgb="FFA6A6A6"/>
          <bgColor rgb="FF000000"/>
        </patternFill>
      </fill>
    </dxf>
    <dxf>
      <fill>
        <patternFill patternType="solid">
          <fgColor rgb="FFCDDDB3"/>
          <bgColor rgb="FF000000"/>
        </patternFill>
      </fill>
    </dxf>
    <dxf>
      <fill>
        <patternFill patternType="solid">
          <fgColor rgb="FFD3DAB2"/>
          <bgColor rgb="FF000000"/>
        </patternFill>
      </fill>
    </dxf>
    <dxf>
      <fill>
        <patternFill patternType="solid">
          <fgColor rgb="FFD9D8B1"/>
          <bgColor rgb="FF000000"/>
        </patternFill>
      </fill>
    </dxf>
    <dxf>
      <fill>
        <patternFill patternType="solid">
          <fgColor rgb="FFDFD5B0"/>
          <bgColor rgb="FF000000"/>
        </patternFill>
      </fill>
    </dxf>
    <dxf>
      <fill>
        <patternFill patternType="solid">
          <fgColor rgb="FFE6D2AF"/>
          <bgColor rgb="FF000000"/>
        </patternFill>
      </fill>
    </dxf>
    <dxf>
      <fill>
        <patternFill patternType="solid">
          <fgColor rgb="FFECD0AE"/>
          <bgColor rgb="FF000000"/>
        </patternFill>
      </fill>
    </dxf>
    <dxf>
      <fill>
        <patternFill patternType="solid">
          <fgColor rgb="FFF2CDAD"/>
          <bgColor rgb="FF000000"/>
        </patternFill>
      </fill>
    </dxf>
    <dxf>
      <fill>
        <patternFill patternType="solid">
          <fgColor rgb="FFCFDCB2"/>
          <bgColor rgb="FF000000"/>
        </patternFill>
      </fill>
    </dxf>
    <dxf>
      <fill>
        <patternFill patternType="solid">
          <fgColor rgb="FFE8D2AF"/>
          <bgColor rgb="FF000000"/>
        </patternFill>
      </fill>
    </dxf>
    <dxf>
      <fill>
        <patternFill patternType="solid">
          <fgColor rgb="FFF0CEAE"/>
          <bgColor rgb="FF000000"/>
        </patternFill>
      </fill>
    </dxf>
    <dxf>
      <fill>
        <patternFill patternType="solid">
          <fgColor rgb="FF63BE7B"/>
          <bgColor rgb="FF000000"/>
        </patternFill>
      </fill>
    </dxf>
    <dxf>
      <fill>
        <patternFill patternType="solid">
          <fgColor rgb="FF6EC27C"/>
          <bgColor rgb="FF000000"/>
        </patternFill>
      </fill>
    </dxf>
    <dxf>
      <fill>
        <patternFill patternType="solid">
          <fgColor rgb="FF71C27C"/>
          <bgColor rgb="FF000000"/>
        </patternFill>
      </fill>
    </dxf>
    <dxf>
      <fill>
        <patternFill patternType="solid">
          <fgColor rgb="FF71C37C"/>
          <bgColor rgb="FF000000"/>
        </patternFill>
      </fill>
    </dxf>
    <dxf>
      <fill>
        <patternFill patternType="solid">
          <fgColor rgb="FF75C47D"/>
          <bgColor rgb="FF000000"/>
        </patternFill>
      </fill>
    </dxf>
    <dxf>
      <fill>
        <patternFill patternType="solid">
          <fgColor rgb="FF79C57D"/>
          <bgColor rgb="FF000000"/>
        </patternFill>
      </fill>
    </dxf>
    <dxf>
      <fill>
        <patternFill patternType="solid">
          <fgColor rgb="FF7BC57D"/>
          <bgColor rgb="FF000000"/>
        </patternFill>
      </fill>
    </dxf>
    <dxf>
      <fill>
        <patternFill patternType="solid">
          <fgColor rgb="FF81C77D"/>
          <bgColor rgb="FF000000"/>
        </patternFill>
      </fill>
    </dxf>
    <dxf>
      <fill>
        <patternFill patternType="solid">
          <fgColor rgb="FF87C97E"/>
          <bgColor rgb="FF000000"/>
        </patternFill>
      </fill>
    </dxf>
    <dxf>
      <fill>
        <patternFill patternType="solid">
          <fgColor rgb="FF8ACA7E"/>
          <bgColor rgb="FF000000"/>
        </patternFill>
      </fill>
    </dxf>
    <dxf>
      <fill>
        <patternFill patternType="solid">
          <fgColor rgb="FF8FCB7E"/>
          <bgColor rgb="FF000000"/>
        </patternFill>
      </fill>
    </dxf>
    <dxf>
      <fill>
        <patternFill patternType="solid">
          <fgColor rgb="FF90CB7E"/>
          <bgColor rgb="FF000000"/>
        </patternFill>
      </fill>
    </dxf>
    <dxf>
      <fill>
        <patternFill patternType="solid">
          <fgColor rgb="FF91CC7E"/>
          <bgColor rgb="FF000000"/>
        </patternFill>
      </fill>
    </dxf>
    <dxf>
      <fill>
        <patternFill patternType="solid">
          <fgColor rgb="FF93CC7E"/>
          <bgColor rgb="FF000000"/>
        </patternFill>
      </fill>
    </dxf>
    <dxf>
      <fill>
        <patternFill patternType="solid">
          <fgColor rgb="FF96CD7E"/>
          <bgColor rgb="FF000000"/>
        </patternFill>
      </fill>
    </dxf>
    <dxf>
      <fill>
        <patternFill patternType="solid">
          <fgColor rgb="FF9BCF7F"/>
          <bgColor rgb="FF000000"/>
        </patternFill>
      </fill>
    </dxf>
    <dxf>
      <fill>
        <patternFill patternType="solid">
          <fgColor rgb="FF9ECF7F"/>
          <bgColor rgb="FF000000"/>
        </patternFill>
      </fill>
    </dxf>
    <dxf>
      <fill>
        <patternFill patternType="solid">
          <fgColor rgb="FFA2D07F"/>
          <bgColor rgb="FF000000"/>
        </patternFill>
      </fill>
    </dxf>
    <dxf>
      <fill>
        <patternFill patternType="solid">
          <fgColor rgb="FFA2D17F"/>
          <bgColor rgb="FF000000"/>
        </patternFill>
      </fill>
    </dxf>
    <dxf>
      <fill>
        <patternFill patternType="solid">
          <fgColor rgb="FFA5D17F"/>
          <bgColor rgb="FF000000"/>
        </patternFill>
      </fill>
    </dxf>
    <dxf>
      <fill>
        <patternFill patternType="solid">
          <fgColor rgb="FFA6D27F"/>
          <bgColor rgb="FF000000"/>
        </patternFill>
      </fill>
    </dxf>
    <dxf>
      <fill>
        <patternFill patternType="solid">
          <fgColor rgb="FFA7D27F"/>
          <bgColor rgb="FF000000"/>
        </patternFill>
      </fill>
    </dxf>
    <dxf>
      <fill>
        <patternFill patternType="solid">
          <fgColor rgb="FFA9D27F"/>
          <bgColor rgb="FF000000"/>
        </patternFill>
      </fill>
    </dxf>
    <dxf>
      <fill>
        <patternFill patternType="solid">
          <fgColor rgb="FFADD480"/>
          <bgColor rgb="FF000000"/>
        </patternFill>
      </fill>
    </dxf>
    <dxf>
      <fill>
        <patternFill patternType="solid">
          <fgColor rgb="FFAFD480"/>
          <bgColor rgb="FF000000"/>
        </patternFill>
      </fill>
    </dxf>
    <dxf>
      <fill>
        <patternFill patternType="solid">
          <fgColor rgb="FFB3D680"/>
          <bgColor rgb="FF000000"/>
        </patternFill>
      </fill>
    </dxf>
    <dxf>
      <fill>
        <patternFill patternType="solid">
          <fgColor rgb="FFB4D680"/>
          <bgColor rgb="FF000000"/>
        </patternFill>
      </fill>
    </dxf>
    <dxf>
      <fill>
        <patternFill patternType="solid">
          <fgColor rgb="FFB6D680"/>
          <bgColor rgb="FF000000"/>
        </patternFill>
      </fill>
    </dxf>
    <dxf>
      <fill>
        <patternFill patternType="solid">
          <fgColor rgb="FFB8D780"/>
          <bgColor rgb="FF000000"/>
        </patternFill>
      </fill>
    </dxf>
    <dxf>
      <fill>
        <patternFill patternType="solid">
          <fgColor rgb="FFBDD881"/>
          <bgColor rgb="FF000000"/>
        </patternFill>
      </fill>
    </dxf>
    <dxf>
      <fill>
        <patternFill patternType="solid">
          <fgColor rgb="FFBFD981"/>
          <bgColor rgb="FF000000"/>
        </patternFill>
      </fill>
    </dxf>
    <dxf>
      <fill>
        <patternFill patternType="solid">
          <fgColor rgb="FFC0D981"/>
          <bgColor rgb="FF000000"/>
        </patternFill>
      </fill>
    </dxf>
    <dxf>
      <fill>
        <patternFill patternType="solid">
          <fgColor rgb="FFC3DA81"/>
          <bgColor rgb="FF000000"/>
        </patternFill>
      </fill>
    </dxf>
    <dxf>
      <fill>
        <patternFill patternType="solid">
          <fgColor rgb="FFC5DB81"/>
          <bgColor rgb="FF000000"/>
        </patternFill>
      </fill>
    </dxf>
    <dxf>
      <fill>
        <patternFill patternType="solid">
          <fgColor rgb="FFC7DB81"/>
          <bgColor rgb="FF000000"/>
        </patternFill>
      </fill>
    </dxf>
    <dxf>
      <fill>
        <patternFill patternType="solid">
          <fgColor rgb="FFC9DC81"/>
          <bgColor rgb="FF000000"/>
        </patternFill>
      </fill>
    </dxf>
    <dxf>
      <fill>
        <patternFill patternType="solid">
          <fgColor rgb="FFCEDD82"/>
          <bgColor rgb="FF000000"/>
        </patternFill>
      </fill>
    </dxf>
    <dxf>
      <fill>
        <patternFill patternType="solid">
          <fgColor rgb="FFD2DE82"/>
          <bgColor rgb="FF000000"/>
        </patternFill>
      </fill>
    </dxf>
    <dxf>
      <fill>
        <patternFill patternType="solid">
          <fgColor rgb="FFD6E082"/>
          <bgColor rgb="FF000000"/>
        </patternFill>
      </fill>
    </dxf>
    <dxf>
      <fill>
        <patternFill patternType="solid">
          <fgColor rgb="FFDEE283"/>
          <bgColor rgb="FF000000"/>
        </patternFill>
      </fill>
    </dxf>
    <dxf>
      <fill>
        <patternFill patternType="solid">
          <fgColor rgb="FFE1E383"/>
          <bgColor rgb="FF000000"/>
        </patternFill>
      </fill>
    </dxf>
    <dxf>
      <fill>
        <patternFill patternType="solid">
          <fgColor rgb="FFE2E383"/>
          <bgColor rgb="FF000000"/>
        </patternFill>
      </fill>
    </dxf>
    <dxf>
      <fill>
        <patternFill patternType="solid">
          <fgColor rgb="FFE2EFDA"/>
          <bgColor rgb="FF000000"/>
        </patternFill>
      </fill>
    </dxf>
    <dxf>
      <fill>
        <patternFill patternType="solid">
          <fgColor rgb="FFE9E583"/>
          <bgColor rgb="FF000000"/>
        </patternFill>
      </fill>
    </dxf>
    <dxf>
      <fill>
        <patternFill patternType="solid">
          <fgColor rgb="FFEFE784"/>
          <bgColor rgb="FF000000"/>
        </patternFill>
      </fill>
    </dxf>
    <dxf>
      <fill>
        <patternFill patternType="solid">
          <fgColor rgb="FFF0E784"/>
          <bgColor rgb="FF000000"/>
        </patternFill>
      </fill>
    </dxf>
    <dxf>
      <fill>
        <patternFill patternType="solid">
          <fgColor rgb="FFF1E784"/>
          <bgColor rgb="FF000000"/>
        </patternFill>
      </fill>
    </dxf>
    <dxf>
      <fill>
        <patternFill patternType="solid">
          <fgColor rgb="FFF5E884"/>
          <bgColor rgb="FF000000"/>
        </patternFill>
      </fill>
    </dxf>
    <dxf>
      <fill>
        <patternFill patternType="solid">
          <fgColor rgb="FFF8E984"/>
          <bgColor rgb="FF000000"/>
        </patternFill>
      </fill>
    </dxf>
    <dxf>
      <fill>
        <patternFill patternType="solid">
          <fgColor rgb="FFFAEA84"/>
          <bgColor rgb="FF000000"/>
        </patternFill>
      </fill>
    </dxf>
    <dxf>
      <fill>
        <patternFill patternType="solid">
          <fgColor rgb="FFFCBA7A"/>
          <bgColor rgb="FF000000"/>
        </patternFill>
      </fill>
    </dxf>
    <dxf>
      <fill>
        <patternFill patternType="solid">
          <fgColor rgb="FFFDCA7D"/>
          <bgColor rgb="FF000000"/>
        </patternFill>
      </fill>
    </dxf>
    <dxf>
      <fill>
        <patternFill patternType="solid">
          <fgColor rgb="FFFDCD7E"/>
          <bgColor rgb="FF000000"/>
        </patternFill>
      </fill>
    </dxf>
    <dxf>
      <fill>
        <patternFill patternType="solid">
          <fgColor rgb="FFFDD07E"/>
          <bgColor rgb="FF000000"/>
        </patternFill>
      </fill>
    </dxf>
    <dxf>
      <fill>
        <patternFill patternType="solid">
          <fgColor rgb="FFFDD27F"/>
          <bgColor rgb="FF000000"/>
        </patternFill>
      </fill>
    </dxf>
    <dxf>
      <fill>
        <patternFill patternType="solid">
          <fgColor rgb="FFFDD57F"/>
          <bgColor rgb="FF000000"/>
        </patternFill>
      </fill>
    </dxf>
    <dxf>
      <fill>
        <patternFill patternType="solid">
          <fgColor rgb="FFFDEB84"/>
          <bgColor rgb="FF000000"/>
        </patternFill>
      </fill>
    </dxf>
    <dxf>
      <fill>
        <patternFill patternType="solid">
          <fgColor rgb="FFFED980"/>
          <bgColor rgb="FF000000"/>
        </patternFill>
      </fill>
    </dxf>
    <dxf>
      <fill>
        <patternFill patternType="solid">
          <fgColor rgb="FFFEDA80"/>
          <bgColor rgb="FF000000"/>
        </patternFill>
      </fill>
    </dxf>
    <dxf>
      <fill>
        <patternFill patternType="solid">
          <fgColor rgb="FFFEDB80"/>
          <bgColor rgb="FF000000"/>
        </patternFill>
      </fill>
    </dxf>
    <dxf>
      <fill>
        <patternFill patternType="solid">
          <fgColor rgb="FFFEDB81"/>
          <bgColor rgb="FF000000"/>
        </patternFill>
      </fill>
    </dxf>
    <dxf>
      <fill>
        <patternFill patternType="solid">
          <fgColor rgb="FFFEDE81"/>
          <bgColor rgb="FF000000"/>
        </patternFill>
      </fill>
    </dxf>
    <dxf>
      <fill>
        <patternFill patternType="solid">
          <fgColor rgb="FFFEE282"/>
          <bgColor rgb="FF000000"/>
        </patternFill>
      </fill>
    </dxf>
    <dxf>
      <fill>
        <patternFill patternType="solid">
          <fgColor rgb="FFFEE482"/>
          <bgColor rgb="FF000000"/>
        </patternFill>
      </fill>
    </dxf>
    <dxf>
      <fill>
        <patternFill patternType="solid">
          <fgColor rgb="FFFEE683"/>
          <bgColor rgb="FF000000"/>
        </patternFill>
      </fill>
    </dxf>
    <dxf>
      <fill>
        <patternFill patternType="solid">
          <fgColor rgb="FFFFE699"/>
          <bgColor rgb="FF000000"/>
        </patternFill>
      </fill>
    </dxf>
    <dxf>
      <fill>
        <patternFill patternType="solid">
          <fgColor rgb="FF808080"/>
          <bgColor rgb="FF000000"/>
        </patternFill>
      </fill>
    </dxf>
    <dxf>
      <fill>
        <patternFill>
          <bgColor rgb="FFFFE699"/>
        </patternFill>
      </fill>
    </dxf>
    <dxf>
      <fill>
        <patternFill>
          <bgColor rgb="FFC6E0B4"/>
        </patternFill>
      </fill>
    </dxf>
    <dxf>
      <font>
        <name val="Arial"/>
        <charset val="1"/>
        <family val="0"/>
        <color rgb="FFA6A6A6"/>
        <sz val="10"/>
      </font>
    </dxf>
    <dxf>
      <fill>
        <patternFill patternType="solid">
          <fgColor rgb="FFFFF2CC"/>
          <bgColor rgb="FF000000"/>
        </patternFill>
      </fill>
    </dxf>
    <dxf>
      <fill>
        <patternFill patternType="solid">
          <fgColor rgb="FF0000FF"/>
          <bgColor rgb="FF000000"/>
        </patternFill>
      </fill>
    </dxf>
    <dxf>
      <fill>
        <patternFill>
          <bgColor rgb="FFF8CBAD"/>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A6A6A6"/>
      <rgbColor rgb="FF993366"/>
      <rgbColor rgb="FFFFF2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EFDA"/>
      <rgbColor rgb="FFFFE699"/>
      <rgbColor rgb="FFC6E0B4"/>
      <rgbColor rgb="FFFF99CC"/>
      <rgbColor rgb="FFCC99FF"/>
      <rgbColor rgb="FFF8CBAD"/>
      <rgbColor rgb="FF4F81BD"/>
      <rgbColor rgb="FF33CCCC"/>
      <rgbColor rgb="FF99CC00"/>
      <rgbColor rgb="FFFFCC00"/>
      <rgbColor rgb="FFBF8F00"/>
      <rgbColor rgb="FFFF6600"/>
      <rgbColor rgb="FF595959"/>
      <rgbColor rgb="FF878787"/>
      <rgbColor rgb="FF1F3864"/>
      <rgbColor rgb="FF7F7F7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Score distribution (repos)</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Summary!$A$38:$A$42</c:f>
              <c:strCache>
                <c:ptCount val="5"/>
                <c:pt idx="0">
                  <c:v>0 – &lt;25</c:v>
                </c:pt>
                <c:pt idx="1">
                  <c:v>25 – &lt;50</c:v>
                </c:pt>
                <c:pt idx="2">
                  <c:v>50 – &lt;75</c:v>
                </c:pt>
                <c:pt idx="3">
                  <c:v>75 – 100</c:v>
                </c:pt>
                <c:pt idx="4">
                  <c:v>Not scored (below completeness threshold)</c:v>
                </c:pt>
              </c:strCache>
            </c:strRef>
          </c:cat>
          <c:val>
            <c:numRef>
              <c:f>Summary!$B$38:$B$42</c:f>
              <c:numCache>
                <c:formatCode>General</c:formatCode>
                <c:ptCount val="5"/>
                <c:pt idx="0">
                  <c:v>0</c:v>
                </c:pt>
                <c:pt idx="1">
                  <c:v>6</c:v>
                </c:pt>
                <c:pt idx="2">
                  <c:v>33</c:v>
                </c:pt>
                <c:pt idx="3">
                  <c:v>48</c:v>
                </c:pt>
                <c:pt idx="4">
                  <c:v>25</c:v>
                </c:pt>
              </c:numCache>
            </c:numRef>
          </c:val>
        </c:ser>
        <c:gapWidth val="150"/>
        <c:overlap val="0"/>
        <c:axId val="4292677"/>
        <c:axId val="39319562"/>
      </c:barChart>
      <c:catAx>
        <c:axId val="429267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319562"/>
        <c:crosses val="autoZero"/>
        <c:auto val="1"/>
        <c:lblAlgn val="ctr"/>
        <c:lblOffset val="100"/>
        <c:noMultiLvlLbl val="0"/>
      </c:catAx>
      <c:valAx>
        <c:axId val="39319562"/>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926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Missing data (NA %) by metric</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Summary!$A$21:$A$27</c:f>
              <c:strCache>
                <c:ptCount val="7"/>
                <c:pt idx="0">
                  <c:v>E1 Engagement status (037)</c:v>
                </c:pt>
                <c:pt idx="1">
                  <c:v>E2 Engagement breadth (038 + coded 938)</c:v>
                </c:pt>
                <c:pt idx="2">
                  <c:v>C1 Contribution routes (040)</c:v>
                </c:pt>
                <c:pt idx="3">
                  <c:v>C2 Contribution guidance (041)</c:v>
                </c:pt>
                <c:pt idx="4">
                  <c:v>C3 Open contribution infrastructure (019)</c:v>
                </c:pt>
                <c:pt idx="5">
                  <c:v>G1 Code of Conduct (042)</c:v>
                </c:pt>
                <c:pt idx="6">
                  <c:v>G2 Community governance (048)</c:v>
                </c:pt>
              </c:strCache>
            </c:strRef>
          </c:cat>
          <c:val>
            <c:numRef>
              <c:f>Summary!$E$21:$E$27</c:f>
              <c:numCache>
                <c:formatCode>0%</c:formatCode>
                <c:ptCount val="7"/>
                <c:pt idx="0">
                  <c:v>0.00892857142857143</c:v>
                </c:pt>
                <c:pt idx="1">
                  <c:v>0.348214285714286</c:v>
                </c:pt>
                <c:pt idx="2">
                  <c:v>0.348214285714286</c:v>
                </c:pt>
                <c:pt idx="3">
                  <c:v>0.330357142857143</c:v>
                </c:pt>
                <c:pt idx="4">
                  <c:v>0.0357142857142857</c:v>
                </c:pt>
                <c:pt idx="5">
                  <c:v>0.0625</c:v>
                </c:pt>
                <c:pt idx="6">
                  <c:v>0.223214285714286</c:v>
                </c:pt>
              </c:numCache>
            </c:numRef>
          </c:val>
        </c:ser>
        <c:gapWidth val="150"/>
        <c:overlap val="0"/>
        <c:axId val="80029819"/>
        <c:axId val="1520814"/>
      </c:barChart>
      <c:catAx>
        <c:axId val="8002981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20814"/>
        <c:crosses val="autoZero"/>
        <c:auto val="1"/>
        <c:lblAlgn val="ctr"/>
        <c:lblOffset val="100"/>
        <c:noMultiLvlLbl val="0"/>
      </c:catAx>
      <c:valAx>
        <c:axId val="152081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02981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16</xdr:col>
      <xdr:colOff>506520</xdr:colOff>
      <xdr:row>17</xdr:row>
      <xdr:rowOff>1800</xdr:rowOff>
    </xdr:to>
    <xdr:graphicFrame>
      <xdr:nvGraphicFramePr>
        <xdr:cNvPr id="0" name="Chart 1"/>
        <xdr:cNvGraphicFramePr/>
      </xdr:nvGraphicFramePr>
      <xdr:xfrm>
        <a:off x="12875760" y="570600"/>
        <a:ext cx="5398560" cy="26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18</xdr:row>
      <xdr:rowOff>160560</xdr:rowOff>
    </xdr:from>
    <xdr:to>
      <xdr:col>16</xdr:col>
      <xdr:colOff>506520</xdr:colOff>
      <xdr:row>33</xdr:row>
      <xdr:rowOff>171000</xdr:rowOff>
    </xdr:to>
    <xdr:graphicFrame>
      <xdr:nvGraphicFramePr>
        <xdr:cNvPr id="1" name="Chart 2"/>
        <xdr:cNvGraphicFramePr/>
      </xdr:nvGraphicFramePr>
      <xdr:xfrm>
        <a:off x="12875760" y="3618000"/>
        <a:ext cx="5398560" cy="305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12.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26"/>
    <col collapsed="false" customWidth="true" hidden="false" outlineLevel="0" max="4" min="4" style="1" width="32"/>
    <col collapsed="false" customWidth="true" hidden="false" outlineLevel="0" max="5" min="5" style="1" width="24"/>
    <col collapsed="false" customWidth="true" hidden="false" outlineLevel="0" max="6" min="6" style="1" width="46"/>
    <col collapsed="false" customWidth="true" hidden="false" outlineLevel="0" max="7" min="7" style="1" width="28"/>
    <col collapsed="false" customWidth="true" hidden="false" outlineLevel="0" max="8" min="8" style="1" width="52"/>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c r="C4" s="5"/>
      <c r="D4" s="5"/>
      <c r="E4" s="5"/>
      <c r="F4" s="5"/>
      <c r="G4" s="5"/>
      <c r="H4" s="5"/>
    </row>
    <row r="5" customFormat="false" ht="30" hidden="false" customHeight="true" outlineLevel="0" collapsed="false">
      <c r="A5" s="6" t="s">
        <v>3</v>
      </c>
      <c r="B5" s="6"/>
      <c r="C5" s="6"/>
      <c r="D5" s="6"/>
      <c r="E5" s="6"/>
      <c r="F5" s="6"/>
      <c r="G5" s="6"/>
      <c r="H5" s="6"/>
    </row>
    <row r="6" customFormat="false" ht="30" hidden="false" customHeight="true" outlineLevel="0" collapsed="false">
      <c r="A6" s="6" t="s">
        <v>4</v>
      </c>
      <c r="B6" s="6"/>
      <c r="C6" s="6"/>
      <c r="D6" s="6"/>
      <c r="E6" s="6"/>
      <c r="F6" s="6"/>
      <c r="G6" s="6"/>
      <c r="H6" s="6"/>
    </row>
    <row r="7" customFormat="false" ht="30" hidden="false" customHeight="true" outlineLevel="0" collapsed="false">
      <c r="A7" s="6" t="s">
        <v>5</v>
      </c>
      <c r="B7" s="6"/>
      <c r="C7" s="6"/>
      <c r="D7" s="6"/>
      <c r="E7" s="6"/>
      <c r="F7" s="6"/>
      <c r="G7" s="6"/>
      <c r="H7" s="6"/>
    </row>
    <row r="8" customFormat="false" ht="30" hidden="false" customHeight="true" outlineLevel="0" collapsed="false">
      <c r="A8" s="6" t="s">
        <v>6</v>
      </c>
      <c r="B8" s="6"/>
      <c r="C8" s="6"/>
      <c r="D8" s="6"/>
      <c r="E8" s="6"/>
      <c r="F8" s="6"/>
      <c r="G8" s="6"/>
      <c r="H8" s="6"/>
    </row>
    <row r="9" customFormat="false" ht="30" hidden="false" customHeight="true" outlineLevel="0" collapsed="false">
      <c r="A9" s="6" t="s">
        <v>7</v>
      </c>
      <c r="B9" s="6"/>
      <c r="C9" s="6"/>
      <c r="D9" s="6"/>
      <c r="E9" s="6"/>
      <c r="F9" s="6"/>
      <c r="G9" s="6"/>
      <c r="H9" s="6"/>
    </row>
    <row r="10" customFormat="false" ht="30" hidden="false" customHeight="true" outlineLevel="0" collapsed="false">
      <c r="A10" s="6" t="s">
        <v>8</v>
      </c>
      <c r="B10" s="6"/>
      <c r="C10" s="6"/>
      <c r="D10" s="6"/>
      <c r="E10" s="6"/>
      <c r="F10" s="6"/>
      <c r="G10" s="6"/>
      <c r="H10" s="6"/>
    </row>
    <row r="12" customFormat="false" ht="15" hidden="false" customHeight="true" outlineLevel="0" collapsed="false">
      <c r="A12" s="4" t="s">
        <v>9</v>
      </c>
      <c r="B12" s="5"/>
      <c r="C12" s="5"/>
      <c r="D12" s="5"/>
      <c r="E12" s="5"/>
      <c r="F12" s="5"/>
      <c r="G12" s="5"/>
      <c r="H12" s="5"/>
    </row>
    <row r="13" customFormat="false" ht="31.5" hidden="false" customHeight="true" outlineLevel="0" collapsed="false">
      <c r="A13" s="7" t="s">
        <v>10</v>
      </c>
      <c r="B13" s="7" t="s">
        <v>11</v>
      </c>
      <c r="C13" s="7" t="s">
        <v>12</v>
      </c>
      <c r="D13" s="7" t="s">
        <v>13</v>
      </c>
      <c r="E13" s="7" t="s">
        <v>14</v>
      </c>
      <c r="F13" s="7" t="s">
        <v>15</v>
      </c>
      <c r="G13" s="7" t="s">
        <v>16</v>
      </c>
      <c r="H13" s="7" t="s">
        <v>17</v>
      </c>
    </row>
    <row r="14" customFormat="false" ht="117.75" hidden="false" customHeight="true" outlineLevel="0" collapsed="false">
      <c r="A14" s="8" t="s">
        <v>18</v>
      </c>
      <c r="B14" s="8" t="s">
        <v>19</v>
      </c>
      <c r="C14" s="8" t="s">
        <v>20</v>
      </c>
      <c r="D14" s="9" t="n">
        <f aca="false">Parameters!$E$6</f>
        <v>0.08</v>
      </c>
      <c r="E14" s="8" t="s">
        <v>21</v>
      </c>
      <c r="F14" s="8" t="s">
        <v>22</v>
      </c>
      <c r="G14" s="8" t="s">
        <v>23</v>
      </c>
      <c r="H14" s="8" t="s">
        <v>24</v>
      </c>
    </row>
    <row r="15" customFormat="false" ht="117.75" hidden="false" customHeight="true" outlineLevel="0" collapsed="false">
      <c r="A15" s="8" t="s">
        <v>25</v>
      </c>
      <c r="B15" s="8" t="s">
        <v>26</v>
      </c>
      <c r="C15" s="8" t="s">
        <v>20</v>
      </c>
      <c r="D15" s="9" t="n">
        <f aca="false">Parameters!$E$7</f>
        <v>0.22</v>
      </c>
      <c r="E15" s="8" t="s">
        <v>27</v>
      </c>
      <c r="F15" s="8" t="s">
        <v>28</v>
      </c>
      <c r="G15" s="8" t="s">
        <v>29</v>
      </c>
      <c r="H15" s="8" t="s">
        <v>30</v>
      </c>
    </row>
    <row r="16" customFormat="false" ht="117.75" hidden="false" customHeight="true" outlineLevel="0" collapsed="false">
      <c r="A16" s="8" t="s">
        <v>31</v>
      </c>
      <c r="B16" s="8" t="s">
        <v>32</v>
      </c>
      <c r="C16" s="8" t="s">
        <v>33</v>
      </c>
      <c r="D16" s="9" t="n">
        <f aca="false">Parameters!$E$8</f>
        <v>0.18</v>
      </c>
      <c r="E16" s="8" t="s">
        <v>34</v>
      </c>
      <c r="F16" s="8" t="s">
        <v>35</v>
      </c>
      <c r="G16" s="8" t="s">
        <v>36</v>
      </c>
      <c r="H16" s="8" t="s">
        <v>37</v>
      </c>
    </row>
    <row r="17" customFormat="false" ht="117.75" hidden="false" customHeight="true" outlineLevel="0" collapsed="false">
      <c r="A17" s="8" t="s">
        <v>38</v>
      </c>
      <c r="B17" s="8" t="s">
        <v>39</v>
      </c>
      <c r="C17" s="8" t="s">
        <v>33</v>
      </c>
      <c r="D17" s="9" t="n">
        <f aca="false">Parameters!$E$9</f>
        <v>0.12</v>
      </c>
      <c r="E17" s="8" t="s">
        <v>40</v>
      </c>
      <c r="F17" s="8" t="s">
        <v>41</v>
      </c>
      <c r="G17" s="8" t="s">
        <v>42</v>
      </c>
      <c r="H17" s="8" t="s">
        <v>43</v>
      </c>
    </row>
    <row r="18" customFormat="false" ht="117.75" hidden="false" customHeight="true" outlineLevel="0" collapsed="false">
      <c r="A18" s="8" t="s">
        <v>44</v>
      </c>
      <c r="B18" s="8" t="s">
        <v>45</v>
      </c>
      <c r="C18" s="8" t="s">
        <v>33</v>
      </c>
      <c r="D18" s="9" t="n">
        <f aca="false">Parameters!$E$10</f>
        <v>0.05</v>
      </c>
      <c r="E18" s="8" t="s">
        <v>46</v>
      </c>
      <c r="F18" s="8" t="s">
        <v>47</v>
      </c>
      <c r="G18" s="8" t="s">
        <v>42</v>
      </c>
      <c r="H18" s="8" t="s">
        <v>48</v>
      </c>
    </row>
    <row r="19" customFormat="false" ht="117.75" hidden="false" customHeight="true" outlineLevel="0" collapsed="false">
      <c r="A19" s="8" t="s">
        <v>49</v>
      </c>
      <c r="B19" s="8" t="s">
        <v>50</v>
      </c>
      <c r="C19" s="8" t="s">
        <v>51</v>
      </c>
      <c r="D19" s="9" t="n">
        <f aca="false">Parameters!$E$11</f>
        <v>0.15</v>
      </c>
      <c r="E19" s="8" t="s">
        <v>21</v>
      </c>
      <c r="F19" s="8" t="s">
        <v>52</v>
      </c>
      <c r="G19" s="8" t="s">
        <v>53</v>
      </c>
      <c r="H19" s="8" t="s">
        <v>54</v>
      </c>
    </row>
    <row r="20" customFormat="false" ht="117.75" hidden="false" customHeight="true" outlineLevel="0" collapsed="false">
      <c r="A20" s="8" t="s">
        <v>55</v>
      </c>
      <c r="B20" s="8" t="s">
        <v>56</v>
      </c>
      <c r="C20" s="8" t="s">
        <v>51</v>
      </c>
      <c r="D20" s="9" t="n">
        <f aca="false">Parameters!$E$12</f>
        <v>0.2</v>
      </c>
      <c r="E20" s="8" t="s">
        <v>21</v>
      </c>
      <c r="F20" s="8" t="s">
        <v>57</v>
      </c>
      <c r="G20" s="8" t="s">
        <v>42</v>
      </c>
      <c r="H20" s="8" t="s">
        <v>58</v>
      </c>
    </row>
    <row r="21" customFormat="false" ht="15" hidden="false" customHeight="true" outlineLevel="0" collapsed="false">
      <c r="A21" s="10" t="s">
        <v>59</v>
      </c>
      <c r="B21" s="10"/>
      <c r="C21" s="10"/>
      <c r="D21" s="10"/>
      <c r="E21" s="10"/>
      <c r="F21" s="10"/>
      <c r="G21" s="10"/>
      <c r="H21" s="10"/>
    </row>
    <row r="23" customFormat="false" ht="15" hidden="false" customHeight="true" outlineLevel="0" collapsed="false">
      <c r="A23" s="4" t="s">
        <v>60</v>
      </c>
      <c r="B23" s="5"/>
      <c r="C23" s="5"/>
      <c r="D23" s="5"/>
      <c r="E23" s="5"/>
      <c r="F23" s="5"/>
      <c r="G23" s="5"/>
      <c r="H23" s="5"/>
    </row>
    <row r="24" customFormat="false" ht="21.75" hidden="false" customHeight="true" outlineLevel="0" collapsed="false">
      <c r="A24" s="7" t="s">
        <v>61</v>
      </c>
      <c r="B24" s="7" t="s">
        <v>62</v>
      </c>
      <c r="C24" s="7" t="s">
        <v>63</v>
      </c>
      <c r="D24" s="7"/>
      <c r="E24" s="7"/>
      <c r="F24" s="7"/>
      <c r="G24" s="7"/>
      <c r="H24" s="7"/>
    </row>
    <row r="25" customFormat="false" ht="43.5" hidden="false" customHeight="true" outlineLevel="0" collapsed="false">
      <c r="A25" s="11" t="s">
        <v>64</v>
      </c>
      <c r="B25" s="12" t="s">
        <v>65</v>
      </c>
      <c r="C25" s="6" t="s">
        <v>66</v>
      </c>
      <c r="D25" s="6"/>
      <c r="E25" s="6"/>
      <c r="F25" s="6"/>
      <c r="G25" s="6"/>
      <c r="H25" s="6"/>
    </row>
    <row r="26" customFormat="false" ht="43.5" hidden="false" customHeight="true" outlineLevel="0" collapsed="false">
      <c r="A26" s="11" t="s">
        <v>67</v>
      </c>
      <c r="B26" s="12" t="s">
        <v>68</v>
      </c>
      <c r="C26" s="6" t="s">
        <v>69</v>
      </c>
      <c r="D26" s="6"/>
      <c r="E26" s="6"/>
      <c r="F26" s="6"/>
      <c r="G26" s="6"/>
      <c r="H26" s="6"/>
    </row>
    <row r="27" customFormat="false" ht="43.5" hidden="false" customHeight="true" outlineLevel="0" collapsed="false">
      <c r="A27" s="11" t="s">
        <v>70</v>
      </c>
      <c r="B27" s="12" t="s">
        <v>71</v>
      </c>
      <c r="C27" s="6" t="s">
        <v>72</v>
      </c>
      <c r="D27" s="6"/>
      <c r="E27" s="6"/>
      <c r="F27" s="6"/>
      <c r="G27" s="6"/>
      <c r="H27" s="6"/>
    </row>
    <row r="28" customFormat="false" ht="43.5" hidden="false" customHeight="true" outlineLevel="0" collapsed="false">
      <c r="A28" s="11" t="s">
        <v>73</v>
      </c>
      <c r="B28" s="12" t="s">
        <v>74</v>
      </c>
      <c r="C28" s="6" t="s">
        <v>75</v>
      </c>
      <c r="D28" s="6"/>
      <c r="E28" s="6"/>
      <c r="F28" s="6"/>
      <c r="G28" s="6"/>
      <c r="H28" s="6"/>
    </row>
    <row r="29" customFormat="false" ht="43.5" hidden="false" customHeight="true" outlineLevel="0" collapsed="false">
      <c r="A29" s="11" t="s">
        <v>76</v>
      </c>
      <c r="B29" s="12" t="s">
        <v>77</v>
      </c>
      <c r="C29" s="6" t="s">
        <v>78</v>
      </c>
      <c r="D29" s="6"/>
      <c r="E29" s="6"/>
      <c r="F29" s="6"/>
      <c r="G29" s="6"/>
      <c r="H29" s="6"/>
    </row>
    <row r="30" customFormat="false" ht="43.5" hidden="false" customHeight="true" outlineLevel="0" collapsed="false">
      <c r="A30" s="11" t="s">
        <v>79</v>
      </c>
      <c r="B30" s="12" t="s">
        <v>80</v>
      </c>
      <c r="C30" s="6" t="s">
        <v>81</v>
      </c>
      <c r="D30" s="6"/>
      <c r="E30" s="6"/>
      <c r="F30" s="6"/>
      <c r="G30" s="6"/>
      <c r="H30" s="6"/>
    </row>
    <row r="31" customFormat="false" ht="43.5" hidden="false" customHeight="true" outlineLevel="0" collapsed="false">
      <c r="A31" s="11" t="s">
        <v>82</v>
      </c>
      <c r="B31" s="12" t="s">
        <v>83</v>
      </c>
      <c r="C31" s="6" t="s">
        <v>84</v>
      </c>
      <c r="D31" s="6"/>
      <c r="E31" s="6"/>
      <c r="F31" s="6"/>
      <c r="G31" s="6"/>
      <c r="H31" s="6"/>
    </row>
    <row r="32" customFormat="false" ht="43.5" hidden="false" customHeight="true" outlineLevel="0" collapsed="false">
      <c r="A32" s="11" t="s">
        <v>85</v>
      </c>
      <c r="B32" s="12" t="s">
        <v>86</v>
      </c>
      <c r="C32" s="6" t="s">
        <v>87</v>
      </c>
      <c r="D32" s="6"/>
      <c r="E32" s="6"/>
      <c r="F32" s="6"/>
      <c r="G32" s="6"/>
      <c r="H32" s="6"/>
    </row>
    <row r="33" customFormat="false" ht="43.5" hidden="false" customHeight="true" outlineLevel="0" collapsed="false">
      <c r="A33" s="11" t="s">
        <v>88</v>
      </c>
      <c r="B33" s="12" t="s">
        <v>89</v>
      </c>
      <c r="C33" s="6" t="s">
        <v>90</v>
      </c>
      <c r="D33" s="6"/>
      <c r="E33" s="6"/>
      <c r="F33" s="6"/>
      <c r="G33" s="6"/>
      <c r="H33" s="6"/>
    </row>
    <row r="34" customFormat="false" ht="43.5" hidden="false" customHeight="true" outlineLevel="0" collapsed="false">
      <c r="A34" s="11" t="s">
        <v>91</v>
      </c>
      <c r="B34" s="12" t="s">
        <v>92</v>
      </c>
      <c r="C34" s="6" t="s">
        <v>93</v>
      </c>
      <c r="D34" s="6"/>
      <c r="E34" s="6"/>
      <c r="F34" s="6"/>
      <c r="G34" s="6"/>
      <c r="H34" s="6"/>
    </row>
    <row r="35" customFormat="false" ht="43.5" hidden="false" customHeight="true" outlineLevel="0" collapsed="false">
      <c r="A35" s="11" t="s">
        <v>94</v>
      </c>
      <c r="B35" s="12" t="s">
        <v>95</v>
      </c>
      <c r="C35" s="6" t="s">
        <v>96</v>
      </c>
      <c r="D35" s="6"/>
      <c r="E35" s="6"/>
      <c r="F35" s="6"/>
      <c r="G35" s="6"/>
      <c r="H35" s="6"/>
    </row>
    <row r="36" customFormat="false" ht="43.5" hidden="false" customHeight="true" outlineLevel="0" collapsed="false">
      <c r="A36" s="11" t="s">
        <v>97</v>
      </c>
      <c r="B36" s="12" t="s">
        <v>98</v>
      </c>
      <c r="C36" s="6" t="s">
        <v>99</v>
      </c>
      <c r="D36" s="6"/>
      <c r="E36" s="6"/>
      <c r="F36" s="6"/>
      <c r="G36" s="6"/>
      <c r="H36" s="6"/>
    </row>
    <row r="37" customFormat="false" ht="43.5" hidden="false" customHeight="true" outlineLevel="0" collapsed="false">
      <c r="A37" s="11" t="s">
        <v>100</v>
      </c>
      <c r="B37" s="12" t="s">
        <v>101</v>
      </c>
      <c r="C37" s="6" t="s">
        <v>102</v>
      </c>
      <c r="D37" s="6"/>
      <c r="E37" s="6"/>
      <c r="F37" s="6"/>
      <c r="G37" s="6"/>
      <c r="H37" s="6"/>
    </row>
    <row r="38" customFormat="false" ht="15" hidden="false" customHeight="true" outlineLevel="0" collapsed="false">
      <c r="A38" s="1" t="s">
        <v>103</v>
      </c>
      <c r="B38" s="1" t="s">
        <v>104</v>
      </c>
      <c r="C38" s="1" t="s">
        <v>105</v>
      </c>
    </row>
    <row r="39" customFormat="false" ht="15" hidden="false" customHeight="true" outlineLevel="0" collapsed="false">
      <c r="A39" s="4" t="s">
        <v>106</v>
      </c>
      <c r="B39" s="5"/>
      <c r="C39" s="5"/>
      <c r="D39" s="5"/>
      <c r="E39" s="5"/>
      <c r="F39" s="5"/>
      <c r="G39" s="5"/>
      <c r="H39" s="5"/>
    </row>
    <row r="40" customFormat="false" ht="30" hidden="false" customHeight="true" outlineLevel="0" collapsed="false">
      <c r="A40" s="6" t="s">
        <v>107</v>
      </c>
      <c r="B40" s="6"/>
      <c r="C40" s="6"/>
      <c r="D40" s="6"/>
      <c r="E40" s="6"/>
      <c r="F40" s="6"/>
      <c r="G40" s="6"/>
      <c r="H40" s="6"/>
    </row>
    <row r="41" customFormat="false" ht="30" hidden="false" customHeight="true" outlineLevel="0" collapsed="false">
      <c r="A41" s="6" t="s">
        <v>108</v>
      </c>
      <c r="B41" s="6"/>
      <c r="C41" s="6"/>
      <c r="D41" s="6"/>
      <c r="E41" s="6"/>
      <c r="F41" s="6"/>
      <c r="G41" s="6"/>
      <c r="H41" s="6"/>
    </row>
    <row r="42" customFormat="false" ht="30" hidden="false" customHeight="true" outlineLevel="0" collapsed="false">
      <c r="A42" s="6" t="s">
        <v>109</v>
      </c>
      <c r="B42" s="6"/>
      <c r="C42" s="6"/>
      <c r="D42" s="6"/>
      <c r="E42" s="6"/>
      <c r="F42" s="6"/>
      <c r="G42" s="6"/>
      <c r="H42" s="6"/>
    </row>
    <row r="43" customFormat="false" ht="30" hidden="false" customHeight="true" outlineLevel="0" collapsed="false">
      <c r="A43" s="6" t="s">
        <v>110</v>
      </c>
      <c r="B43" s="6"/>
      <c r="C43" s="6"/>
      <c r="D43" s="6"/>
      <c r="E43" s="6"/>
      <c r="F43" s="6"/>
      <c r="G43" s="6"/>
      <c r="H43" s="6"/>
    </row>
    <row r="44" customFormat="false" ht="30" hidden="false" customHeight="true" outlineLevel="0" collapsed="false">
      <c r="A44" s="6" t="s">
        <v>111</v>
      </c>
      <c r="B44" s="6"/>
      <c r="C44" s="6"/>
      <c r="D44" s="6"/>
      <c r="E44" s="6"/>
      <c r="F44" s="6"/>
      <c r="G44" s="6"/>
      <c r="H44" s="6"/>
    </row>
    <row r="46" customFormat="false" ht="15" hidden="false" customHeight="true" outlineLevel="0" collapsed="false">
      <c r="A46" s="4" t="s">
        <v>112</v>
      </c>
      <c r="B46" s="5"/>
      <c r="C46" s="5"/>
      <c r="D46" s="5"/>
      <c r="E46" s="5"/>
      <c r="F46" s="5"/>
      <c r="G46" s="5"/>
      <c r="H46" s="5"/>
    </row>
    <row r="47" customFormat="false" ht="15" hidden="false" customHeight="true" outlineLevel="0" collapsed="false">
      <c r="A47" s="11" t="s">
        <v>113</v>
      </c>
      <c r="B47" s="13" t="s">
        <v>114</v>
      </c>
      <c r="C47" s="13"/>
      <c r="D47" s="13"/>
      <c r="E47" s="13"/>
      <c r="F47" s="13"/>
      <c r="G47" s="13"/>
      <c r="H47" s="13"/>
    </row>
    <row r="48" customFormat="false" ht="15" hidden="false" customHeight="true" outlineLevel="0" collapsed="false">
      <c r="A48" s="11" t="s">
        <v>115</v>
      </c>
      <c r="B48" s="13" t="s">
        <v>116</v>
      </c>
      <c r="C48" s="13"/>
      <c r="D48" s="13"/>
      <c r="E48" s="13"/>
      <c r="F48" s="13"/>
      <c r="G48" s="13"/>
      <c r="H48" s="13"/>
    </row>
    <row r="49" customFormat="false" ht="15" hidden="false" customHeight="true" outlineLevel="0" collapsed="false">
      <c r="A49" s="11" t="s">
        <v>117</v>
      </c>
      <c r="B49" s="13" t="s">
        <v>118</v>
      </c>
      <c r="C49" s="13"/>
      <c r="D49" s="13"/>
      <c r="E49" s="13"/>
      <c r="F49" s="13"/>
      <c r="G49" s="13"/>
      <c r="H49" s="13"/>
    </row>
    <row r="50" customFormat="false" ht="15" hidden="false" customHeight="true" outlineLevel="0" collapsed="false">
      <c r="A50" s="11" t="s">
        <v>119</v>
      </c>
      <c r="B50" s="13" t="s">
        <v>120</v>
      </c>
      <c r="C50" s="13"/>
      <c r="D50" s="13"/>
      <c r="E50" s="13"/>
      <c r="F50" s="13"/>
      <c r="G50" s="13"/>
      <c r="H50" s="13"/>
    </row>
    <row r="51" customFormat="false" ht="15" hidden="false" customHeight="true" outlineLevel="0" collapsed="false">
      <c r="A51" s="11" t="s">
        <v>121</v>
      </c>
      <c r="B51" s="13" t="s">
        <v>122</v>
      </c>
      <c r="C51" s="13"/>
      <c r="D51" s="13"/>
      <c r="E51" s="13"/>
      <c r="F51" s="13"/>
      <c r="G51" s="13"/>
      <c r="H51" s="13"/>
    </row>
    <row r="52" customFormat="false" ht="15" hidden="false" customHeight="true" outlineLevel="0" collapsed="false">
      <c r="A52" s="11" t="s">
        <v>123</v>
      </c>
      <c r="B52" s="13" t="s">
        <v>124</v>
      </c>
      <c r="C52" s="13"/>
      <c r="D52" s="13"/>
      <c r="E52" s="13"/>
      <c r="F52" s="13"/>
      <c r="G52" s="13"/>
      <c r="H52" s="13"/>
    </row>
    <row r="53" customFormat="false" ht="15" hidden="false" customHeight="true" outlineLevel="0" collapsed="false">
      <c r="A53" s="11" t="s">
        <v>125</v>
      </c>
      <c r="B53" s="13" t="s">
        <v>126</v>
      </c>
      <c r="C53" s="13"/>
      <c r="D53" s="13"/>
      <c r="E53" s="13"/>
      <c r="F53" s="13"/>
      <c r="G53" s="13"/>
      <c r="H53" s="13"/>
    </row>
    <row r="54" customFormat="false" ht="15" hidden="false" customHeight="true" outlineLevel="0" collapsed="false">
      <c r="A54" s="11" t="s">
        <v>127</v>
      </c>
      <c r="B54" s="13" t="s">
        <v>128</v>
      </c>
      <c r="C54" s="13"/>
      <c r="D54" s="13"/>
      <c r="E54" s="13"/>
      <c r="F54" s="13"/>
      <c r="G54" s="13"/>
      <c r="H54" s="13"/>
    </row>
    <row r="55" customFormat="false" ht="15" hidden="false" customHeight="true" outlineLevel="0" collapsed="false">
      <c r="A55" s="11" t="s">
        <v>129</v>
      </c>
      <c r="B55" s="13" t="s">
        <v>130</v>
      </c>
      <c r="C55" s="13"/>
      <c r="D55" s="13"/>
      <c r="E55" s="13"/>
      <c r="F55" s="13"/>
      <c r="G55" s="13"/>
      <c r="H55" s="13"/>
    </row>
    <row r="56" customFormat="false" ht="15" hidden="false" customHeight="true" outlineLevel="0" collapsed="false">
      <c r="A56" s="11" t="s">
        <v>131</v>
      </c>
      <c r="B56" s="13" t="s">
        <v>132</v>
      </c>
      <c r="C56" s="13"/>
      <c r="D56" s="13"/>
      <c r="E56" s="13"/>
      <c r="F56" s="13"/>
      <c r="G56" s="13"/>
      <c r="H56" s="13"/>
    </row>
    <row r="58" customFormat="false" ht="15" hidden="false" customHeight="true" outlineLevel="0" collapsed="false">
      <c r="A58" s="4" t="s">
        <v>133</v>
      </c>
      <c r="B58" s="5"/>
      <c r="C58" s="5"/>
      <c r="D58" s="5"/>
      <c r="E58" s="5"/>
      <c r="F58" s="5"/>
      <c r="G58" s="5"/>
      <c r="H58" s="5"/>
    </row>
    <row r="59" customFormat="false" ht="30" hidden="false" customHeight="true" outlineLevel="0" collapsed="false">
      <c r="A59" s="6" t="s">
        <v>134</v>
      </c>
      <c r="B59" s="6"/>
      <c r="C59" s="6"/>
      <c r="D59" s="6"/>
      <c r="E59" s="6"/>
      <c r="F59" s="6"/>
      <c r="G59" s="6"/>
      <c r="H59" s="6"/>
    </row>
    <row r="60" customFormat="false" ht="30" hidden="false" customHeight="true" outlineLevel="0" collapsed="false">
      <c r="A60" s="6" t="s">
        <v>135</v>
      </c>
      <c r="B60" s="6"/>
      <c r="C60" s="6"/>
      <c r="D60" s="6"/>
      <c r="E60" s="6"/>
      <c r="F60" s="6"/>
      <c r="G60" s="6"/>
      <c r="H60" s="6"/>
    </row>
    <row r="61" customFormat="false" ht="30" hidden="false" customHeight="true" outlineLevel="0" collapsed="false">
      <c r="A61" s="6" t="s">
        <v>136</v>
      </c>
      <c r="B61" s="6"/>
      <c r="C61" s="6"/>
      <c r="D61" s="6"/>
      <c r="E61" s="6"/>
      <c r="F61" s="6"/>
      <c r="G61" s="6"/>
      <c r="H61" s="6"/>
    </row>
    <row r="63" customFormat="false" ht="15" hidden="false" customHeight="true" outlineLevel="0" collapsed="false">
      <c r="A63" s="14" t="s">
        <v>137</v>
      </c>
    </row>
    <row r="64" customFormat="false" ht="15" hidden="false" customHeight="true" outlineLevel="0" collapsed="false">
      <c r="A64" s="15" t="s">
        <v>138</v>
      </c>
    </row>
    <row r="65" customFormat="false" ht="15" hidden="false" customHeight="true" outlineLevel="0" collapsed="false">
      <c r="A65" s="15" t="s">
        <v>139</v>
      </c>
    </row>
    <row r="66" customFormat="false" ht="15" hidden="false" customHeight="true" outlineLevel="0" collapsed="false">
      <c r="A66" s="15" t="s">
        <v>140</v>
      </c>
    </row>
    <row r="67" customFormat="false" ht="15" hidden="false" customHeight="true" outlineLevel="0" collapsed="false">
      <c r="A67" s="15" t="s">
        <v>141</v>
      </c>
    </row>
  </sheetData>
  <mergeCells count="38">
    <mergeCell ref="A5:H5"/>
    <mergeCell ref="A6:H6"/>
    <mergeCell ref="A7:H7"/>
    <mergeCell ref="A8:H8"/>
    <mergeCell ref="A9:H9"/>
    <mergeCell ref="A10:H10"/>
    <mergeCell ref="A21:H21"/>
    <mergeCell ref="C25:H25"/>
    <mergeCell ref="C26:H26"/>
    <mergeCell ref="C27:H27"/>
    <mergeCell ref="C28:H28"/>
    <mergeCell ref="C29:H29"/>
    <mergeCell ref="C30:H30"/>
    <mergeCell ref="C31:H31"/>
    <mergeCell ref="C32:H32"/>
    <mergeCell ref="C33:H33"/>
    <mergeCell ref="C34:H34"/>
    <mergeCell ref="C35:H35"/>
    <mergeCell ref="C36:H36"/>
    <mergeCell ref="C37:H37"/>
    <mergeCell ref="A40:H40"/>
    <mergeCell ref="A41:H41"/>
    <mergeCell ref="A42:H42"/>
    <mergeCell ref="A43:H43"/>
    <mergeCell ref="A44:H44"/>
    <mergeCell ref="B47:H47"/>
    <mergeCell ref="B48:H48"/>
    <mergeCell ref="B49:H49"/>
    <mergeCell ref="B50:H50"/>
    <mergeCell ref="B51:H51"/>
    <mergeCell ref="B52:H52"/>
    <mergeCell ref="B53:H53"/>
    <mergeCell ref="B54:H54"/>
    <mergeCell ref="B55:H55"/>
    <mergeCell ref="B56:H56"/>
    <mergeCell ref="A59:H59"/>
    <mergeCell ref="A60:H60"/>
    <mergeCell ref="A61:H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3" min="3" style="1" width="18"/>
    <col collapsed="false" customWidth="true" hidden="false" outlineLevel="0" max="4" min="4" style="1" width="44"/>
    <col collapsed="false" customWidth="true" hidden="false" outlineLevel="0" max="5" min="5" style="1" width="14"/>
    <col collapsed="false" customWidth="true" hidden="false" outlineLevel="0" max="6" min="6" style="1" width="18"/>
    <col collapsed="false" customWidth="true" hidden="false" outlineLevel="0" max="7" min="7" style="1" width="14"/>
  </cols>
  <sheetData>
    <row r="1" customFormat="false" ht="17.25" hidden="false" customHeight="true" outlineLevel="0" collapsed="false">
      <c r="A1" s="2" t="s">
        <v>142</v>
      </c>
    </row>
    <row r="2" customFormat="false" ht="15" hidden="false" customHeight="true" outlineLevel="0" collapsed="false">
      <c r="A2" s="3" t="s">
        <v>143</v>
      </c>
    </row>
    <row r="4" customFormat="false" ht="15" hidden="false" customHeight="true" outlineLevel="0" collapsed="false">
      <c r="A4" s="16" t="s">
        <v>144</v>
      </c>
    </row>
    <row r="5" customFormat="false" ht="15" hidden="false" customHeight="true" outlineLevel="0" collapsed="false">
      <c r="A5" s="17" t="s">
        <v>145</v>
      </c>
      <c r="B5" s="18" t="n">
        <f aca="false">COUNTA(Scoring!$A$2:$A$113)</f>
        <v>112</v>
      </c>
    </row>
    <row r="6" customFormat="false" ht="15" hidden="false" customHeight="true" outlineLevel="0" collapsed="false">
      <c r="A6" s="17" t="s">
        <v>146</v>
      </c>
      <c r="B6" s="19" t="n">
        <f aca="false">Parameters!$C$56</f>
        <v>0.6</v>
      </c>
    </row>
    <row r="7" customFormat="false" ht="15" hidden="false" customHeight="true" outlineLevel="0" collapsed="false">
      <c r="A7" s="17" t="s">
        <v>147</v>
      </c>
      <c r="B7" s="18" t="n">
        <f aca="false">COUNT(Scoring!$S$2:$S$113)</f>
        <v>87</v>
      </c>
    </row>
    <row r="8" customFormat="false" ht="15" hidden="false" customHeight="true" outlineLevel="0" collapsed="false">
      <c r="A8" s="17" t="s">
        <v>148</v>
      </c>
      <c r="B8" s="19" t="n">
        <f aca="false">B7/B5</f>
        <v>0.776785714285714</v>
      </c>
    </row>
    <row r="9" customFormat="false" ht="15" hidden="false" customHeight="true" outlineLevel="0" collapsed="false">
      <c r="A9" s="17" t="s">
        <v>149</v>
      </c>
      <c r="B9" s="20" t="n">
        <f aca="false">IFERROR(MEDIAN(Scoring!$S$2:$S$113),"n/a")</f>
        <v>78.2258064516129</v>
      </c>
    </row>
    <row r="10" customFormat="false" ht="15" hidden="false" customHeight="true" outlineLevel="0" collapsed="false">
      <c r="A10" s="17" t="s">
        <v>150</v>
      </c>
      <c r="B10" s="20" t="n">
        <f aca="false">IFERROR(AVERAGE(Scoring!$S$2:$S$113),"n/a")</f>
        <v>75.9066397630474</v>
      </c>
    </row>
    <row r="11" customFormat="false" ht="15" hidden="false" customHeight="true" outlineLevel="0" collapsed="false">
      <c r="A11" s="17" t="s">
        <v>151</v>
      </c>
      <c r="B11" s="20" t="n">
        <f aca="false">IFERROR(QUARTILE(Scoring!$S$2:$S$113,1),"n/a")</f>
        <v>62.6833333333333</v>
      </c>
    </row>
    <row r="12" customFormat="false" ht="15" hidden="false" customHeight="true" outlineLevel="0" collapsed="false">
      <c r="A12" s="17" t="s">
        <v>152</v>
      </c>
      <c r="B12" s="20" t="n">
        <f aca="false">IFERROR(QUARTILE(Scoring!$S$2:$S$113,3),"n/a")</f>
        <v>88.75</v>
      </c>
    </row>
    <row r="13" customFormat="false" ht="15" hidden="false" customHeight="true" outlineLevel="0" collapsed="false">
      <c r="A13" s="17" t="s">
        <v>153</v>
      </c>
      <c r="B13" s="20" t="n">
        <f aca="false">IFERROR(MIN(Scoring!$S$2:$S$113),"n/a")</f>
        <v>37.7058823529412</v>
      </c>
    </row>
    <row r="14" customFormat="false" ht="15" hidden="false" customHeight="true" outlineLevel="0" collapsed="false">
      <c r="A14" s="17" t="s">
        <v>154</v>
      </c>
      <c r="B14" s="20" t="n">
        <f aca="false">IFERROR(MAX(Scoring!$S$2:$S$113),"n/a")</f>
        <v>100</v>
      </c>
    </row>
    <row r="15" customFormat="false" ht="15" hidden="false" customHeight="true" outlineLevel="0" collapsed="false">
      <c r="A15" s="17" t="s">
        <v>155</v>
      </c>
      <c r="B15" s="20" t="n">
        <f aca="false">IFERROR(STDEV(Scoring!$S$2:$S$113),"n/a")</f>
        <v>16.2238257447742</v>
      </c>
    </row>
    <row r="16" customFormat="false" ht="15" hidden="false" customHeight="true" outlineLevel="0" collapsed="false">
      <c r="A16" s="17" t="s">
        <v>156</v>
      </c>
      <c r="B16" s="20" t="n">
        <f aca="false">IFERROR(B9*Parameters!$C$21,"n/a")</f>
        <v>19.5564516129032</v>
      </c>
    </row>
    <row r="17" customFormat="false" ht="15" hidden="false" customHeight="true" outlineLevel="0" collapsed="false">
      <c r="A17" s="17" t="s">
        <v>157</v>
      </c>
      <c r="B17" s="18" t="n">
        <f aca="false">COUNTIF(Scoring!$V$2:$V$113,"Reportable")</f>
        <v>51</v>
      </c>
    </row>
    <row r="19" customFormat="false" ht="15" hidden="false" customHeight="true" outlineLevel="0" collapsed="false">
      <c r="A19" s="16" t="s">
        <v>158</v>
      </c>
    </row>
    <row r="20" customFormat="false" ht="30" hidden="false" customHeight="true" outlineLevel="0" collapsed="false">
      <c r="A20" s="7" t="s">
        <v>11</v>
      </c>
      <c r="B20" s="7" t="s">
        <v>13</v>
      </c>
      <c r="C20" s="7" t="s">
        <v>159</v>
      </c>
      <c r="D20" s="7" t="s">
        <v>160</v>
      </c>
      <c r="E20" s="7" t="s">
        <v>161</v>
      </c>
      <c r="F20" s="7" t="s">
        <v>162</v>
      </c>
      <c r="G20" s="7" t="s">
        <v>163</v>
      </c>
    </row>
    <row r="21" customFormat="false" ht="15" hidden="false" customHeight="true" outlineLevel="0" collapsed="false">
      <c r="A21" s="17" t="s">
        <v>164</v>
      </c>
      <c r="B21" s="21" t="n">
        <f aca="false">Parameters!$E$6</f>
        <v>0.08</v>
      </c>
      <c r="C21" s="17" t="n">
        <f aca="false">COUNT(Scoring!$D$2:$D$113)</f>
        <v>111</v>
      </c>
      <c r="D21" s="17" t="n">
        <f aca="false">$B$5-C21</f>
        <v>1</v>
      </c>
      <c r="E21" s="21" t="n">
        <f aca="false">D21/$B$5</f>
        <v>0.00892857142857143</v>
      </c>
      <c r="F21" s="22" t="n">
        <f aca="false">IFERROR(AVERAGE(Scoring!$D$2:$D$113),"n/a")</f>
        <v>0.912972972972973</v>
      </c>
      <c r="G21" s="21" t="n">
        <f aca="false">IFERROR(COUNTIF(Scoring!$D$2:$D$113,1)/C21,"n/a")</f>
        <v>0.846846846846847</v>
      </c>
    </row>
    <row r="22" customFormat="false" ht="15" hidden="false" customHeight="true" outlineLevel="0" collapsed="false">
      <c r="A22" s="17" t="s">
        <v>165</v>
      </c>
      <c r="B22" s="21" t="n">
        <f aca="false">Parameters!$E$7</f>
        <v>0.22</v>
      </c>
      <c r="C22" s="17" t="n">
        <f aca="false">COUNT(Scoring!$E$2:$E$113)</f>
        <v>73</v>
      </c>
      <c r="D22" s="17" t="n">
        <f aca="false">$B$5-C22</f>
        <v>39</v>
      </c>
      <c r="E22" s="21" t="n">
        <f aca="false">D22/$B$5</f>
        <v>0.348214285714286</v>
      </c>
      <c r="F22" s="22" t="n">
        <f aca="false">IFERROR(AVERAGE(Scoring!$E$2:$E$113),"n/a")</f>
        <v>0.655821917808219</v>
      </c>
      <c r="G22" s="21" t="n">
        <f aca="false">IFERROR(COUNTIF(Scoring!$E$2:$E$113,1)/C22,"n/a")</f>
        <v>0.328767123287671</v>
      </c>
    </row>
    <row r="23" customFormat="false" ht="15" hidden="false" customHeight="true" outlineLevel="0" collapsed="false">
      <c r="A23" s="17" t="s">
        <v>166</v>
      </c>
      <c r="B23" s="21" t="n">
        <f aca="false">Parameters!$E$8</f>
        <v>0.18</v>
      </c>
      <c r="C23" s="17" t="n">
        <f aca="false">COUNT(Scoring!$F$2:$F$113)</f>
        <v>73</v>
      </c>
      <c r="D23" s="17" t="n">
        <f aca="false">$B$5-C23</f>
        <v>39</v>
      </c>
      <c r="E23" s="21" t="n">
        <f aca="false">D23/$B$5</f>
        <v>0.348214285714286</v>
      </c>
      <c r="F23" s="22" t="n">
        <f aca="false">IFERROR(AVERAGE(Scoring!$F$2:$F$113),"n/a")</f>
        <v>0.646118721461187</v>
      </c>
      <c r="G23" s="21" t="n">
        <f aca="false">IFERROR(COUNTIF(Scoring!$F$2:$F$113,1)/C23,"n/a")</f>
        <v>0.219178082191781</v>
      </c>
    </row>
    <row r="24" customFormat="false" ht="15" hidden="false" customHeight="true" outlineLevel="0" collapsed="false">
      <c r="A24" s="17" t="s">
        <v>167</v>
      </c>
      <c r="B24" s="21" t="n">
        <f aca="false">Parameters!$E$9</f>
        <v>0.12</v>
      </c>
      <c r="C24" s="17" t="n">
        <f aca="false">COUNT(Scoring!$G$2:$G$113)</f>
        <v>75</v>
      </c>
      <c r="D24" s="17" t="n">
        <f aca="false">$B$5-C24</f>
        <v>37</v>
      </c>
      <c r="E24" s="21" t="n">
        <f aca="false">D24/$B$5</f>
        <v>0.330357142857143</v>
      </c>
      <c r="F24" s="22" t="n">
        <f aca="false">IFERROR(AVERAGE(Scoring!$G$2:$G$113),"n/a")</f>
        <v>0.666666666666667</v>
      </c>
      <c r="G24" s="21" t="n">
        <f aca="false">IFERROR(COUNTIF(Scoring!$G$2:$G$113,1)/C24,"n/a")</f>
        <v>0.333333333333333</v>
      </c>
    </row>
    <row r="25" customFormat="false" ht="15" hidden="false" customHeight="true" outlineLevel="0" collapsed="false">
      <c r="A25" s="17" t="s">
        <v>168</v>
      </c>
      <c r="B25" s="21" t="n">
        <f aca="false">Parameters!$E$10</f>
        <v>0.05</v>
      </c>
      <c r="C25" s="17" t="n">
        <f aca="false">COUNT(Scoring!$H$2:$H$113)</f>
        <v>108</v>
      </c>
      <c r="D25" s="17" t="n">
        <f aca="false">$B$5-C25</f>
        <v>4</v>
      </c>
      <c r="E25" s="21" t="n">
        <f aca="false">D25/$B$5</f>
        <v>0.0357142857142857</v>
      </c>
      <c r="F25" s="22" t="n">
        <f aca="false">IFERROR(AVERAGE(Scoring!$H$2:$H$113),"n/a")</f>
        <v>0.976851851851852</v>
      </c>
      <c r="G25" s="21" t="n">
        <f aca="false">IFERROR(COUNTIF(Scoring!$H$2:$H$113,1)/C25,"n/a")</f>
        <v>0.953703703703704</v>
      </c>
    </row>
    <row r="26" customFormat="false" ht="15" hidden="false" customHeight="true" outlineLevel="0" collapsed="false">
      <c r="A26" s="17" t="s">
        <v>169</v>
      </c>
      <c r="B26" s="21" t="n">
        <f aca="false">Parameters!$E$11</f>
        <v>0.15</v>
      </c>
      <c r="C26" s="17" t="n">
        <f aca="false">COUNT(Scoring!$I$2:$I$113)</f>
        <v>105</v>
      </c>
      <c r="D26" s="17" t="n">
        <f aca="false">$B$5-C26</f>
        <v>7</v>
      </c>
      <c r="E26" s="21" t="n">
        <f aca="false">D26/$B$5</f>
        <v>0.0625</v>
      </c>
      <c r="F26" s="22" t="n">
        <f aca="false">IFERROR(AVERAGE(Scoring!$I$2:$I$113),"n/a")</f>
        <v>0.76152380952381</v>
      </c>
      <c r="G26" s="21" t="n">
        <f aca="false">IFERROR(COUNTIF(Scoring!$I$2:$I$113,1)/C26,"n/a")</f>
        <v>0.647619047619048</v>
      </c>
    </row>
    <row r="27" customFormat="false" ht="15" hidden="false" customHeight="true" outlineLevel="0" collapsed="false">
      <c r="A27" s="17" t="s">
        <v>170</v>
      </c>
      <c r="B27" s="21" t="n">
        <f aca="false">Parameters!$E$12</f>
        <v>0.2</v>
      </c>
      <c r="C27" s="17" t="n">
        <f aca="false">COUNT(Scoring!$J$2:$J$113)</f>
        <v>87</v>
      </c>
      <c r="D27" s="17" t="n">
        <f aca="false">$B$5-C27</f>
        <v>25</v>
      </c>
      <c r="E27" s="21" t="n">
        <f aca="false">D27/$B$5</f>
        <v>0.223214285714286</v>
      </c>
      <c r="F27" s="22" t="n">
        <f aca="false">IFERROR(AVERAGE(Scoring!$J$2:$J$113),"n/a")</f>
        <v>0.798850574712644</v>
      </c>
      <c r="G27" s="21" t="n">
        <f aca="false">IFERROR(COUNTIF(Scoring!$J$2:$J$113,1)/C27,"n/a")</f>
        <v>0.597701149425287</v>
      </c>
    </row>
    <row r="30" customFormat="false" ht="15" hidden="false" customHeight="true" outlineLevel="0" collapsed="false">
      <c r="A30" s="16" t="s">
        <v>171</v>
      </c>
    </row>
    <row r="31" customFormat="false" ht="15" hidden="false" customHeight="true" outlineLevel="0" collapsed="false">
      <c r="A31" s="17" t="s">
        <v>172</v>
      </c>
      <c r="B31" s="23" t="n">
        <f aca="false">IFERROR(MEDIAN(Scoring!$K$2:$K$113),"n/a")</f>
        <v>81.6666666666667</v>
      </c>
    </row>
    <row r="32" customFormat="false" ht="15" hidden="false" customHeight="true" outlineLevel="0" collapsed="false">
      <c r="A32" s="17" t="s">
        <v>173</v>
      </c>
      <c r="B32" s="23" t="n">
        <f aca="false">IFERROR(MEDIAN(Scoring!$L$2:$L$113),"n/a")</f>
        <v>74.2857142857143</v>
      </c>
    </row>
    <row r="33" customFormat="false" ht="15" hidden="false" customHeight="true" outlineLevel="0" collapsed="false">
      <c r="A33" s="17" t="s">
        <v>174</v>
      </c>
      <c r="B33" s="23" t="n">
        <f aca="false">IFERROR(MEDIAN(Scoring!$M$2:$M$113),"n/a")</f>
        <v>78.6428571428571</v>
      </c>
    </row>
    <row r="36" customFormat="false" ht="15" hidden="false" customHeight="true" outlineLevel="0" collapsed="false">
      <c r="A36" s="16" t="s">
        <v>175</v>
      </c>
    </row>
    <row r="37" customFormat="false" ht="21.75" hidden="false" customHeight="true" outlineLevel="0" collapsed="false">
      <c r="A37" s="7" t="s">
        <v>176</v>
      </c>
      <c r="B37" s="7" t="s">
        <v>177</v>
      </c>
    </row>
    <row r="38" customFormat="false" ht="15" hidden="false" customHeight="true" outlineLevel="0" collapsed="false">
      <c r="A38" s="17" t="s">
        <v>178</v>
      </c>
      <c r="B38" s="17" t="n">
        <f aca="false">COUNTIFS(Scoring!$S$2:$S$113,"&gt;=0",Scoring!$S$2:$S$113,"&lt;25")</f>
        <v>0</v>
      </c>
    </row>
    <row r="39" customFormat="false" ht="15" hidden="false" customHeight="true" outlineLevel="0" collapsed="false">
      <c r="A39" s="17" t="s">
        <v>179</v>
      </c>
      <c r="B39" s="17" t="n">
        <f aca="false">COUNTIFS(Scoring!$S$2:$S$113,"&gt;=25",Scoring!$S$2:$S$113,"&lt;50")</f>
        <v>6</v>
      </c>
    </row>
    <row r="40" customFormat="false" ht="15" hidden="false" customHeight="true" outlineLevel="0" collapsed="false">
      <c r="A40" s="17" t="s">
        <v>180</v>
      </c>
      <c r="B40" s="17" t="n">
        <f aca="false">COUNTIFS(Scoring!$S$2:$S$113,"&gt;=50",Scoring!$S$2:$S$113,"&lt;75")</f>
        <v>33</v>
      </c>
    </row>
    <row r="41" customFormat="false" ht="15" hidden="false" customHeight="true" outlineLevel="0" collapsed="false">
      <c r="A41" s="17" t="s">
        <v>181</v>
      </c>
      <c r="B41" s="17" t="n">
        <f aca="false">COUNTIFS(Scoring!$S$2:$S$113,"&gt;=75",Scoring!$S$2:$S$113,"&lt;100.0001")</f>
        <v>48</v>
      </c>
    </row>
    <row r="42" customFormat="false" ht="15" hidden="false" customHeight="true" outlineLevel="0" collapsed="false">
      <c r="A42" s="17" t="s">
        <v>182</v>
      </c>
      <c r="B42" s="17" t="n">
        <f aca="false">$B$5-$B$7</f>
        <v>25</v>
      </c>
    </row>
    <row r="45" customFormat="false" ht="15" hidden="false" customHeight="true" outlineLevel="0" collapsed="false">
      <c r="A45" s="16" t="s">
        <v>183</v>
      </c>
    </row>
    <row r="46" customFormat="false" ht="15" hidden="false" customHeight="true" outlineLevel="0" collapsed="false">
      <c r="A46" s="17" t="s">
        <v>184</v>
      </c>
      <c r="B46" s="17" t="n">
        <f aca="false">COUNTIF(Scoring!$X$2:$X$113,"High")</f>
        <v>51</v>
      </c>
      <c r="C46" s="3" t="s">
        <v>185</v>
      </c>
    </row>
    <row r="47" customFormat="false" ht="15" hidden="false" customHeight="true" outlineLevel="0" collapsed="false">
      <c r="A47" s="17" t="s">
        <v>186</v>
      </c>
      <c r="B47" s="17" t="n">
        <f aca="false">COUNTIF(Scoring!$X$2:$X$113,"Medium")</f>
        <v>36</v>
      </c>
    </row>
    <row r="48" customFormat="false" ht="15" hidden="false" customHeight="true" outlineLevel="0" collapsed="false">
      <c r="A48" s="17" t="s">
        <v>187</v>
      </c>
      <c r="B48" s="17" t="n">
        <f aca="false">COUNTIF(Scoring!$X$2:$X$113,"Low")</f>
        <v>25</v>
      </c>
    </row>
    <row r="49" customFormat="false" ht="15" hidden="false" customHeight="true" outlineLevel="0" collapsed="false">
      <c r="A49" s="11" t="s">
        <v>188</v>
      </c>
    </row>
    <row r="50" customFormat="false" ht="15" hidden="false" customHeight="true" outlineLevel="0" collapsed="false">
      <c r="A50" s="17" t="s">
        <v>189</v>
      </c>
      <c r="B50" s="17" t="n">
        <f aca="false">COUNTIF(Scoring!$V$2:$V$113,"Reportable")</f>
        <v>51</v>
      </c>
      <c r="C50" s="3" t="s">
        <v>190</v>
      </c>
    </row>
    <row r="51" customFormat="false" ht="15" hidden="false" customHeight="true" outlineLevel="0" collapsed="false">
      <c r="A51" s="17" t="s">
        <v>191</v>
      </c>
      <c r="B51" s="17" t="n">
        <f aca="false">COUNTIF(Scoring!$V$2:$V$113,"Provisional")</f>
        <v>36</v>
      </c>
    </row>
    <row r="52" customFormat="false" ht="15" hidden="false" customHeight="true" outlineLevel="0" collapsed="false">
      <c r="A52" s="17" t="s">
        <v>192</v>
      </c>
      <c r="B52" s="17" t="n">
        <f aca="false">COUNTIF(Scoring!$V$2:$V$113,"Not scored")</f>
        <v>25</v>
      </c>
    </row>
    <row r="53" customFormat="false" ht="15" hidden="false" customHeight="true" outlineLevel="0" collapsed="false">
      <c r="A53" s="17" t="s">
        <v>193</v>
      </c>
      <c r="B53" s="23" t="n">
        <f aca="false">IFERROR(AVERAGEIFS(Scoring!$U$2:$U$113,Scoring!$V$2:$V$113,"Provisional")-AVERAGEIFS(Scoring!$T$2:$T$113,Scoring!$V$2:$V$113,"Provisional"),"n/a")</f>
        <v>28.3888888888889</v>
      </c>
    </row>
    <row r="54" customFormat="false" ht="15" hidden="false" customHeight="true" outlineLevel="0" collapsed="false">
      <c r="A54" s="17" t="s">
        <v>194</v>
      </c>
      <c r="B54" s="23" t="n">
        <f aca="false">IFERROR(AVERAGEIFS(Scoring!$U$2:$U$113,Scoring!$V$2:$V$113,"Reportable")-AVERAGEIFS(Scoring!$T$2:$T$113,Scoring!$V$2:$V$113,"Reportable"),"n/a")</f>
        <v>1.88235294117646</v>
      </c>
    </row>
    <row r="57" customFormat="false" ht="15" hidden="false" customHeight="true" outlineLevel="0" collapsed="false">
      <c r="A57" s="16" t="s">
        <v>195</v>
      </c>
    </row>
    <row r="58" customFormat="false" ht="30" hidden="false" customHeight="true" outlineLevel="0" collapsed="false">
      <c r="A58" s="7" t="s">
        <v>196</v>
      </c>
      <c r="B58" s="7" t="s">
        <v>197</v>
      </c>
      <c r="C58" s="7" t="s">
        <v>198</v>
      </c>
      <c r="D58" s="7" t="s">
        <v>199</v>
      </c>
      <c r="E58" s="7" t="s">
        <v>200</v>
      </c>
      <c r="F58" s="7" t="s">
        <v>201</v>
      </c>
    </row>
    <row r="59" customFormat="false" ht="15" hidden="false" customHeight="true" outlineLevel="0" collapsed="false">
      <c r="A59" s="17" t="s">
        <v>202</v>
      </c>
      <c r="B59" s="17" t="n">
        <f aca="false">COUNT(Sensitivity!$B$2:$B$113)</f>
        <v>87</v>
      </c>
      <c r="C59" s="23" t="n">
        <f aca="false">IFERROR(MEDIAN(Sensitivity!$B$2:$B$113),"n/a")</f>
        <v>78.2258064516129</v>
      </c>
      <c r="D59" s="23" t="n">
        <f aca="false">IFERROR(AVERAGE(Sensitivity!$B$2:$B$113),"n/a")</f>
        <v>75.9066397630474</v>
      </c>
      <c r="E59" s="23" t="s">
        <v>203</v>
      </c>
      <c r="F59" s="23" t="s">
        <v>203</v>
      </c>
    </row>
    <row r="60" customFormat="false" ht="15" hidden="false" customHeight="true" outlineLevel="0" collapsed="false">
      <c r="A60" s="17" t="s">
        <v>204</v>
      </c>
      <c r="B60" s="17" t="n">
        <f aca="false">COUNT(Sensitivity!$C$2:$C$113)</f>
        <v>90</v>
      </c>
      <c r="C60" s="23" t="n">
        <f aca="false">IFERROR(MEDIAN(Sensitivity!$C$2:$C$113),"n/a")</f>
        <v>77.4615384615385</v>
      </c>
      <c r="D60" s="23" t="n">
        <f aca="false">IFERROR(AVERAGE(Sensitivity!$C$2:$C$113),"n/a")</f>
        <v>75.404004644509</v>
      </c>
      <c r="E60" s="23" t="n">
        <f aca="false">IFERROR(AVERAGE(Sensitivity!$J$2:$J$113),"n/a")</f>
        <v>0</v>
      </c>
      <c r="F60" s="23" t="n">
        <f aca="false">IFERROR(MAX(Sensitivity!$J$2:$J$113),"n/a")</f>
        <v>0</v>
      </c>
    </row>
    <row r="61" customFormat="false" ht="15" hidden="false" customHeight="true" outlineLevel="0" collapsed="false">
      <c r="A61" s="17" t="s">
        <v>205</v>
      </c>
      <c r="B61" s="17" t="n">
        <f aca="false">COUNT(Sensitivity!$D$2:$D$113)</f>
        <v>71</v>
      </c>
      <c r="C61" s="23" t="n">
        <f aca="false">IFERROR(MEDIAN(Sensitivity!$D$2:$D$113),"n/a")</f>
        <v>76.9230769230769</v>
      </c>
      <c r="D61" s="23" t="n">
        <f aca="false">IFERROR(AVERAGE(Sensitivity!$D$2:$D$113),"n/a")</f>
        <v>76.1997113403863</v>
      </c>
      <c r="E61" s="23" t="n">
        <f aca="false">IFERROR(AVERAGE(Sensitivity!$K$2:$K$113),"n/a")</f>
        <v>0</v>
      </c>
      <c r="F61" s="23" t="n">
        <f aca="false">IFERROR(MAX(Sensitivity!$K$2:$K$113),"n/a")</f>
        <v>0</v>
      </c>
    </row>
    <row r="62" customFormat="false" ht="15" hidden="false" customHeight="true" outlineLevel="0" collapsed="false">
      <c r="A62" s="17" t="s">
        <v>206</v>
      </c>
      <c r="B62" s="17" t="n">
        <f aca="false">COUNT(Sensitivity!$E$2:$E$113)</f>
        <v>84</v>
      </c>
      <c r="C62" s="23" t="n">
        <f aca="false">IFERROR(MEDIAN(Sensitivity!$E$2:$E$113),"n/a")</f>
        <v>80.7692307692308</v>
      </c>
      <c r="D62" s="23" t="n">
        <f aca="false">IFERROR(AVERAGE(Sensitivity!$E$2:$E$113),"n/a")</f>
        <v>78.5363385509845</v>
      </c>
      <c r="E62" s="23" t="n">
        <f aca="false">IFERROR(AVERAGE(Sensitivity!$L$2:$L$113),"n/a")</f>
        <v>2.0977127039627</v>
      </c>
      <c r="F62" s="23" t="n">
        <f aca="false">IFERROR(MAX(Sensitivity!$L$2:$L$113),"n/a")</f>
        <v>16.7115384615385</v>
      </c>
    </row>
    <row r="63" customFormat="false" ht="15" hidden="false" customHeight="true" outlineLevel="0" collapsed="false">
      <c r="A63" s="17" t="s">
        <v>207</v>
      </c>
      <c r="B63" s="17" t="n">
        <f aca="false">COUNT(Sensitivity!$F$2:$F$113)</f>
        <v>87</v>
      </c>
      <c r="C63" s="23" t="n">
        <f aca="false">IFERROR(MEDIAN(Sensitivity!$F$2:$F$113),"n/a")</f>
        <v>80.952380952381</v>
      </c>
      <c r="D63" s="23" t="n">
        <f aca="false">IFERROR(AVERAGE(Sensitivity!$F$2:$F$113),"n/a")</f>
        <v>79.9307699324941</v>
      </c>
      <c r="E63" s="23" t="n">
        <f aca="false">IFERROR(AVERAGE(Sensitivity!$M$2:$M$113),"n/a")</f>
        <v>4.45207144911208</v>
      </c>
      <c r="F63" s="23" t="n">
        <f aca="false">IFERROR(MAX(Sensitivity!$M$2:$M$113),"n/a")</f>
        <v>15.1225490196079</v>
      </c>
    </row>
    <row r="64" customFormat="false" ht="15" hidden="false" customHeight="true" outlineLevel="0" collapsed="false">
      <c r="A64" s="17" t="s">
        <v>208</v>
      </c>
      <c r="B64" s="17" t="n">
        <f aca="false">COUNT(Sensitivity!$G$2:$G$113)</f>
        <v>89</v>
      </c>
      <c r="C64" s="23" t="n">
        <f aca="false">IFERROR(MEDIAN(Sensitivity!$G$2:$G$113),"n/a")</f>
        <v>76.9230769230769</v>
      </c>
      <c r="D64" s="23" t="n">
        <f aca="false">IFERROR(AVERAGE(Sensitivity!$G$2:$G$113),"n/a")</f>
        <v>74.5154238555606</v>
      </c>
      <c r="E64" s="23" t="n">
        <f aca="false">IFERROR(AVERAGE(Sensitivity!$N$2:$N$113),"n/a")</f>
        <v>1.10577927819307</v>
      </c>
      <c r="F64" s="23" t="n">
        <f aca="false">IFERROR(MAX(Sensitivity!$N$2:$N$113),"n/a")</f>
        <v>4.54545454545456</v>
      </c>
    </row>
    <row r="65" customFormat="false" ht="15" hidden="false" customHeight="true" outlineLevel="0" collapsed="false">
      <c r="A65" s="17" t="s">
        <v>209</v>
      </c>
      <c r="B65" s="17" t="n">
        <f aca="false">COUNT(Sensitivity!$H$2:$H$113)</f>
        <v>87</v>
      </c>
      <c r="C65" s="23" t="n">
        <f aca="false">IFERROR(MEDIAN(Sensitivity!$H$2:$H$113),"n/a")</f>
        <v>78.2258064516129</v>
      </c>
      <c r="D65" s="23" t="n">
        <f aca="false">IFERROR(AVERAGE(Sensitivity!$H$2:$H$113),"n/a")</f>
        <v>76.098787541713</v>
      </c>
      <c r="E65" s="23" t="n">
        <f aca="false">IFERROR(AVERAGE(Sensitivity!$O$2:$O$113),"n/a")</f>
        <v>1.86915118613322</v>
      </c>
      <c r="F65" s="23" t="n">
        <f aca="false">IFERROR(MAX(Sensitivity!$O$2:$O$113),"n/a")</f>
        <v>12.9663757115749</v>
      </c>
    </row>
    <row r="66" customFormat="false" ht="15" hidden="false" customHeight="true" outlineLevel="0" collapsed="false">
      <c r="A66" s="17" t="s">
        <v>210</v>
      </c>
      <c r="B66" s="17" t="n">
        <f aca="false">COUNT(Sensitivity!$I$2:$I$113)</f>
        <v>81</v>
      </c>
      <c r="C66" s="23" t="n">
        <f aca="false">IFERROR(MEDIAN(Sensitivity!$I$2:$I$113),"n/a")</f>
        <v>76.25</v>
      </c>
      <c r="D66" s="23" t="n">
        <f aca="false">IFERROR(AVERAGE(Sensitivity!$I$2:$I$113),"n/a")</f>
        <v>74.5877900335612</v>
      </c>
      <c r="E66" s="23" t="n">
        <f aca="false">IFERROR(AVERAGE(Sensitivity!$P$2:$P$113),"n/a")</f>
        <v>0</v>
      </c>
      <c r="F66" s="23" t="n">
        <f aca="false">IFERROR(MAX(Sensitivity!$P$2:$P$113),"n/a")</f>
        <v>0</v>
      </c>
    </row>
    <row r="69" customFormat="false" ht="15" hidden="false" customHeight="true" outlineLevel="0" collapsed="false">
      <c r="A69" s="16" t="s">
        <v>211</v>
      </c>
    </row>
    <row r="70" customFormat="false" ht="15" hidden="false" customHeight="true" outlineLevel="0" collapsed="false">
      <c r="A70" s="17" t="s">
        <v>212</v>
      </c>
      <c r="B70" s="17" t="n">
        <f aca="false">SUM(Calc!$L$2:$L$113)</f>
        <v>2</v>
      </c>
    </row>
    <row r="71" customFormat="false" ht="15" hidden="false" customHeight="true" outlineLevel="0" collapsed="false">
      <c r="A71" s="17" t="s">
        <v>213</v>
      </c>
      <c r="B71" s="17" t="n">
        <f aca="false">SUM(Calc!$M$2:$M$113)</f>
        <v>5</v>
      </c>
    </row>
    <row r="72" customFormat="false" ht="15" hidden="false" customHeight="true" outlineLevel="0" collapsed="false">
      <c r="A72" s="17" t="s">
        <v>214</v>
      </c>
      <c r="B72" s="17" t="n">
        <f aca="false">SUM(Calc!$N$2:$N$113)</f>
        <v>7</v>
      </c>
    </row>
    <row r="73" customFormat="false" ht="15" hidden="false" customHeight="true" outlineLevel="0" collapsed="false">
      <c r="A73" s="17" t="s">
        <v>215</v>
      </c>
      <c r="B73" s="17" t="n">
        <f aca="false">SUM(Calc!$O$2:$O$113)</f>
        <v>1</v>
      </c>
    </row>
    <row r="74" customFormat="false" ht="15" hidden="false" customHeight="true" outlineLevel="0" collapsed="false">
      <c r="A74" s="17" t="s">
        <v>216</v>
      </c>
      <c r="B74" s="17" t="n">
        <f aca="false">SUM(Calc!$P$2:$P$113)</f>
        <v>21</v>
      </c>
    </row>
    <row r="75" customFormat="false" ht="15" hidden="false" customHeight="true" outlineLevel="0" collapsed="false">
      <c r="A75" s="17" t="s">
        <v>217</v>
      </c>
      <c r="B75" s="17" t="n">
        <f aca="false">SUM(Calc!$Q$2:$Q$113)</f>
        <v>6</v>
      </c>
    </row>
    <row r="76" customFormat="false" ht="15" hidden="false" customHeight="true" outlineLevel="0" collapsed="false">
      <c r="A76" s="17" t="s">
        <v>218</v>
      </c>
      <c r="B76" s="17" t="n">
        <f aca="false">SUM(Calc!$R$2:$R$113)</f>
        <v>4</v>
      </c>
    </row>
    <row r="77" customFormat="false" ht="15" hidden="false" customHeight="true" outlineLevel="0" collapsed="false">
      <c r="A77" s="17" t="s">
        <v>219</v>
      </c>
      <c r="B77" s="17" t="n">
        <f aca="false">SUM(Calc!$S$2:$S$113)</f>
        <v>4</v>
      </c>
    </row>
    <row r="80" customFormat="false" ht="15" hidden="false" customHeight="true" outlineLevel="0" collapsed="false">
      <c r="A80" s="16" t="s">
        <v>220</v>
      </c>
    </row>
    <row r="81" customFormat="false" ht="30" hidden="false" customHeight="true" outlineLevel="0" collapsed="false">
      <c r="A81" s="7" t="s">
        <v>221</v>
      </c>
      <c r="B81" s="7" t="s">
        <v>222</v>
      </c>
      <c r="C81" s="7" t="s">
        <v>223</v>
      </c>
      <c r="D81" s="7" t="s">
        <v>224</v>
      </c>
      <c r="E81" s="7" t="s">
        <v>222</v>
      </c>
      <c r="F81" s="7" t="s">
        <v>223</v>
      </c>
    </row>
    <row r="82" customFormat="false" ht="15" hidden="false" customHeight="true" outlineLevel="0" collapsed="false">
      <c r="A82" s="17" t="str">
        <f aca="false">IFERROR(INDEX(Scoring!$A$2:$A$113,MATCH(1,Scoring!$AA$2:$AA$113,0)),"")</f>
        <v>Thoth Open Metadata</v>
      </c>
      <c r="B82" s="23" t="n">
        <f aca="false">IFERROR(INDEX(Scoring!$S$2:$S$113,MATCH(1,Scoring!$AA$2:$AA$113,0)),"")</f>
        <v>100</v>
      </c>
      <c r="C82" s="24" t="str">
        <f aca="false">IFERROR(TEXT(INDEX(Scoring!$T$2:$T$113,MATCH(1,Scoring!$AA$2:$AA$113,0)),"0")&amp;" – "&amp;TEXT(INDEX(Scoring!$U$2:$U$113,MATCH(1,Scoring!$AA$2:$AA$113,0)),"0"),"")</f>
        <v>88 – 100</v>
      </c>
      <c r="D82" s="17" t="str">
        <f aca="false">IFERROR(INDEX(Scoring!$A$2:$A$113,MATCH($B$50-0,Scoring!$AA$2:$AA$113,0)),"")</f>
        <v>Tropy</v>
      </c>
      <c r="E82" s="23" t="n">
        <f aca="false">IFERROR(INDEX(Scoring!$S$2:$S$113,MATCH($B$50-0,Scoring!$AA$2:$AA$113,0)),"")</f>
        <v>45.2</v>
      </c>
      <c r="F82" s="24" t="str">
        <f aca="false">IFERROR(TEXT(INDEX(Scoring!$T$2:$T$113,MATCH($B$50-0,Scoring!$AA$2:$AA$113,0)),"0")&amp;" – "&amp;TEXT(INDEX(Scoring!$U$2:$U$113,MATCH($B$50-0,Scoring!$AA$2:$AA$113,0)),"0"),"")</f>
        <v>45 – 45</v>
      </c>
    </row>
    <row r="83" customFormat="false" ht="15" hidden="false" customHeight="true" outlineLevel="0" collapsed="false">
      <c r="A83" s="17" t="str">
        <f aca="false">IFERROR(INDEX(Scoring!$A$2:$A$113,MATCH(2,Scoring!$AA$2:$AA$113,0)),"")</f>
        <v>DSpace</v>
      </c>
      <c r="B83" s="23" t="n">
        <f aca="false">IFERROR(INDEX(Scoring!$S$2:$S$113,MATCH(2,Scoring!$AA$2:$AA$113,0)),"")</f>
        <v>97.25</v>
      </c>
      <c r="C83" s="24" t="str">
        <f aca="false">IFERROR(TEXT(INDEX(Scoring!$T$2:$T$113,MATCH(2,Scoring!$AA$2:$AA$113,0)),"0")&amp;" – "&amp;TEXT(INDEX(Scoring!$U$2:$U$113,MATCH(2,Scoring!$AA$2:$AA$113,0)),"0"),"")</f>
        <v>97 – 97</v>
      </c>
      <c r="D83" s="17" t="str">
        <f aca="false">IFERROR(INDEX(Scoring!$A$2:$A$113,MATCH($B$50-1,Scoring!$AA$2:$AA$113,0)),"")</f>
        <v>Metadata Encoding and Transmission Standard (METS)</v>
      </c>
      <c r="E83" s="23" t="n">
        <f aca="false">IFERROR(INDEX(Scoring!$S$2:$S$113,MATCH($B$50-1,Scoring!$AA$2:$AA$113,0)),"")</f>
        <v>46.5</v>
      </c>
      <c r="F83" s="24" t="str">
        <f aca="false">IFERROR(TEXT(INDEX(Scoring!$T$2:$T$113,MATCH($B$50-1,Scoring!$AA$2:$AA$113,0)),"0")&amp;" – "&amp;TEXT(INDEX(Scoring!$U$2:$U$113,MATCH($B$50-1,Scoring!$AA$2:$AA$113,0)),"0"),"")</f>
        <v>47 – 47</v>
      </c>
    </row>
    <row r="84" customFormat="false" ht="15" hidden="false" customHeight="true" outlineLevel="0" collapsed="false">
      <c r="A84" s="17" t="str">
        <f aca="false">IFERROR(INDEX(Scoring!$A$2:$A$113,MATCH(3,Scoring!$AA$2:$AA$113,0)),"")</f>
        <v>DOAJ (Directory of Open Access Journals)</v>
      </c>
      <c r="B84" s="23" t="n">
        <f aca="false">IFERROR(INDEX(Scoring!$S$2:$S$113,MATCH(3,Scoring!$AA$2:$AA$113,0)),"")</f>
        <v>96.5909090909091</v>
      </c>
      <c r="C84" s="24" t="str">
        <f aca="false">IFERROR(TEXT(INDEX(Scoring!$T$2:$T$113,MATCH(3,Scoring!$AA$2:$AA$113,0)),"0")&amp;" – "&amp;TEXT(INDEX(Scoring!$U$2:$U$113,MATCH(3,Scoring!$AA$2:$AA$113,0)),"0"),"")</f>
        <v>85 – 97</v>
      </c>
      <c r="D84" s="17" t="str">
        <f aca="false">IFERROR(INDEX(Scoring!$A$2:$A$113,MATCH($B$50-2,Scoring!$AA$2:$AA$113,0)),"")</f>
        <v>Mukurtu CMS</v>
      </c>
      <c r="E84" s="23" t="n">
        <f aca="false">IFERROR(INDEX(Scoring!$S$2:$S$113,MATCH($B$50-2,Scoring!$AA$2:$AA$113,0)),"")</f>
        <v>47.8</v>
      </c>
      <c r="F84" s="24" t="str">
        <f aca="false">IFERROR(TEXT(INDEX(Scoring!$T$2:$T$113,MATCH($B$50-2,Scoring!$AA$2:$AA$113,0)),"0")&amp;" – "&amp;TEXT(INDEX(Scoring!$U$2:$U$113,MATCH($B$50-2,Scoring!$AA$2:$AA$113,0)),"0"),"")</f>
        <v>48 – 48</v>
      </c>
    </row>
    <row r="85" customFormat="false" ht="15" hidden="false" customHeight="true" outlineLevel="0" collapsed="false">
      <c r="A85" s="17" t="str">
        <f aca="false">IFERROR(INDEX(Scoring!$A$2:$A$113,MATCH(4,Scoring!$AA$2:$AA$113,0)),"")</f>
        <v>VuFind®</v>
      </c>
      <c r="B85" s="23" t="n">
        <f aca="false">IFERROR(INDEX(Scoring!$S$2:$S$113,MATCH(4,Scoring!$AA$2:$AA$113,0)),"")</f>
        <v>94.5</v>
      </c>
      <c r="C85" s="24" t="str">
        <f aca="false">IFERROR(TEXT(INDEX(Scoring!$T$2:$T$113,MATCH(4,Scoring!$AA$2:$AA$113,0)),"0")&amp;" – "&amp;TEXT(INDEX(Scoring!$U$2:$U$113,MATCH(4,Scoring!$AA$2:$AA$113,0)),"0"),"")</f>
        <v>95 – 95</v>
      </c>
      <c r="D85" s="17" t="str">
        <f aca="false">IFERROR(INDEX(Scoring!$A$2:$A$113,MATCH($B$50-3,Scoring!$AA$2:$AA$113,0)),"")</f>
        <v>Data Citation Corpus</v>
      </c>
      <c r="E85" s="23" t="n">
        <f aca="false">IFERROR(INDEX(Scoring!$S$2:$S$113,MATCH($B$50-3,Scoring!$AA$2:$AA$113,0)),"")</f>
        <v>48.5</v>
      </c>
      <c r="F85" s="24" t="str">
        <f aca="false">IFERROR(TEXT(INDEX(Scoring!$T$2:$T$113,MATCH($B$50-3,Scoring!$AA$2:$AA$113,0)),"0")&amp;" – "&amp;TEXT(INDEX(Scoring!$U$2:$U$113,MATCH($B$50-3,Scoring!$AA$2:$AA$113,0)),"0"),"")</f>
        <v>49 – 49</v>
      </c>
    </row>
    <row r="86" customFormat="false" ht="15" hidden="false" customHeight="true" outlineLevel="0" collapsed="false">
      <c r="A86" s="17" t="str">
        <f aca="false">IFERROR(INDEX(Scoring!$A$2:$A$113,MATCH(5,Scoring!$AA$2:$AA$113,0)),"")</f>
        <v>Academic Preservation Trust (APTrust)</v>
      </c>
      <c r="B86" s="23" t="n">
        <f aca="false">IFERROR(INDEX(Scoring!$S$2:$S$113,MATCH(5,Scoring!$AA$2:$AA$113,0)),"")</f>
        <v>94</v>
      </c>
      <c r="C86" s="24" t="str">
        <f aca="false">IFERROR(TEXT(INDEX(Scoring!$T$2:$T$113,MATCH(5,Scoring!$AA$2:$AA$113,0)),"0")&amp;" – "&amp;TEXT(INDEX(Scoring!$U$2:$U$113,MATCH(5,Scoring!$AA$2:$AA$113,0)),"0"),"")</f>
        <v>94 – 94</v>
      </c>
      <c r="D86" s="17" t="str">
        <f aca="false">IFERROR(INDEX(Scoring!$A$2:$A$113,MATCH($B$50-4,Scoring!$AA$2:$AA$113,0)),"")</f>
        <v>OpenAlex</v>
      </c>
      <c r="E86" s="23" t="n">
        <f aca="false">IFERROR(INDEX(Scoring!$S$2:$S$113,MATCH($B$50-4,Scoring!$AA$2:$AA$113,0)),"")</f>
        <v>50.25</v>
      </c>
      <c r="F86" s="24" t="str">
        <f aca="false">IFERROR(TEXT(INDEX(Scoring!$T$2:$T$113,MATCH($B$50-4,Scoring!$AA$2:$AA$113,0)),"0")&amp;" – "&amp;TEXT(INDEX(Scoring!$U$2:$U$113,MATCH($B$50-4,Scoring!$AA$2:$AA$113,0)),"0"),"")</f>
        <v>50 – 50</v>
      </c>
    </row>
    <row r="87" customFormat="false" ht="15" hidden="false" customHeight="true" outlineLevel="0" collapsed="false">
      <c r="A87" s="17" t="str">
        <f aca="false">IFERROR(INDEX(Scoring!$A$2:$A$113,MATCH(6,Scoring!$AA$2:$AA$113,0)),"")</f>
        <v>Fedora</v>
      </c>
      <c r="B87" s="23" t="n">
        <f aca="false">IFERROR(INDEX(Scoring!$S$2:$S$113,MATCH(6,Scoring!$AA$2:$AA$113,0)),"")</f>
        <v>94</v>
      </c>
      <c r="C87" s="24" t="str">
        <f aca="false">IFERROR(TEXT(INDEX(Scoring!$T$2:$T$113,MATCH(6,Scoring!$AA$2:$AA$113,0)),"0")&amp;" – "&amp;TEXT(INDEX(Scoring!$U$2:$U$113,MATCH(6,Scoring!$AA$2:$AA$113,0)),"0"),"")</f>
        <v>94 – 94</v>
      </c>
      <c r="D87" s="17" t="str">
        <f aca="false">IFERROR(INDEX(Scoring!$A$2:$A$113,MATCH($B$50-5,Scoring!$AA$2:$AA$113,0)),"")</f>
        <v>RePEc</v>
      </c>
      <c r="E87" s="23" t="n">
        <f aca="false">IFERROR(INDEX(Scoring!$S$2:$S$113,MATCH($B$50-5,Scoring!$AA$2:$AA$113,0)),"")</f>
        <v>52.2727272727273</v>
      </c>
      <c r="F87" s="24" t="str">
        <f aca="false">IFERROR(TEXT(INDEX(Scoring!$T$2:$T$113,MATCH($B$50-5,Scoring!$AA$2:$AA$113,0)),"0")&amp;" – "&amp;TEXT(INDEX(Scoring!$U$2:$U$113,MATCH($B$50-5,Scoring!$AA$2:$AA$113,0)),"0"),"")</f>
        <v>46 – 58</v>
      </c>
    </row>
    <row r="88" customFormat="false" ht="15" hidden="false" customHeight="true" outlineLevel="0" collapsed="false">
      <c r="A88" s="17" t="str">
        <f aca="false">IFERROR(INDEX(Scoring!$A$2:$A$113,MATCH(7,Scoring!$AA$2:$AA$113,0)),"")</f>
        <v>Hyku</v>
      </c>
      <c r="B88" s="23" t="n">
        <f aca="false">IFERROR(INDEX(Scoring!$S$2:$S$113,MATCH(7,Scoring!$AA$2:$AA$113,0)),"")</f>
        <v>94</v>
      </c>
      <c r="C88" s="24" t="str">
        <f aca="false">IFERROR(TEXT(INDEX(Scoring!$T$2:$T$113,MATCH(7,Scoring!$AA$2:$AA$113,0)),"0")&amp;" – "&amp;TEXT(INDEX(Scoring!$U$2:$U$113,MATCH(7,Scoring!$AA$2:$AA$113,0)),"0"),"")</f>
        <v>94 – 94</v>
      </c>
      <c r="D88" s="17" t="str">
        <f aca="false">IFERROR(INDEX(Scoring!$A$2:$A$113,MATCH($B$50-6,Scoring!$AA$2:$AA$113,0)),"")</f>
        <v>OpenEdition</v>
      </c>
      <c r="E88" s="23" t="n">
        <f aca="false">IFERROR(INDEX(Scoring!$S$2:$S$113,MATCH($B$50-6,Scoring!$AA$2:$AA$113,0)),"")</f>
        <v>52.7840909090909</v>
      </c>
      <c r="F88" s="24" t="str">
        <f aca="false">IFERROR(TEXT(INDEX(Scoring!$T$2:$T$113,MATCH($B$50-6,Scoring!$AA$2:$AA$113,0)),"0")&amp;" – "&amp;TEXT(INDEX(Scoring!$U$2:$U$113,MATCH($B$50-6,Scoring!$AA$2:$AA$113,0)),"0"),"")</f>
        <v>46 – 58</v>
      </c>
    </row>
    <row r="89" customFormat="false" ht="15" hidden="false" customHeight="true" outlineLevel="0" collapsed="false">
      <c r="A89" s="17" t="str">
        <f aca="false">IFERROR(INDEX(Scoring!$A$2:$A$113,MATCH(8,Scoring!$AA$2:$AA$113,0)),"")</f>
        <v>Hyrax</v>
      </c>
      <c r="B89" s="23" t="n">
        <f aca="false">IFERROR(INDEX(Scoring!$S$2:$S$113,MATCH(8,Scoring!$AA$2:$AA$113,0)),"")</f>
        <v>94</v>
      </c>
      <c r="C89" s="24" t="str">
        <f aca="false">IFERROR(TEXT(INDEX(Scoring!$T$2:$T$113,MATCH(8,Scoring!$AA$2:$AA$113,0)),"0")&amp;" – "&amp;TEXT(INDEX(Scoring!$U$2:$U$113,MATCH(8,Scoring!$AA$2:$AA$113,0)),"0"),"")</f>
        <v>94 – 94</v>
      </c>
      <c r="D89" s="17" t="str">
        <f aca="false">IFERROR(INDEX(Scoring!$A$2:$A$113,MATCH($B$50-7,Scoring!$AA$2:$AA$113,0)),"")</f>
        <v>COAR International Repository Directory (IRD)</v>
      </c>
      <c r="E89" s="23" t="n">
        <f aca="false">IFERROR(INDEX(Scoring!$S$2:$S$113,MATCH($B$50-7,Scoring!$AA$2:$AA$113,0)),"")</f>
        <v>56.05</v>
      </c>
      <c r="F89" s="24" t="str">
        <f aca="false">IFERROR(TEXT(INDEX(Scoring!$T$2:$T$113,MATCH($B$50-7,Scoring!$AA$2:$AA$113,0)),"0")&amp;" – "&amp;TEXT(INDEX(Scoring!$U$2:$U$113,MATCH($B$50-7,Scoring!$AA$2:$AA$113,0)),"0"),"")</f>
        <v>56 – 56</v>
      </c>
    </row>
    <row r="90" customFormat="false" ht="15" hidden="false" customHeight="true" outlineLevel="0" collapsed="false">
      <c r="A90" s="17" t="str">
        <f aca="false">IFERROR(INDEX(Scoring!$A$2:$A$113,MATCH(9,Scoring!$AA$2:$AA$113,0)),"")</f>
        <v>Research Organization Registry (ROR)</v>
      </c>
      <c r="B90" s="23" t="n">
        <f aca="false">IFERROR(INDEX(Scoring!$S$2:$S$113,MATCH(9,Scoring!$AA$2:$AA$113,0)),"")</f>
        <v>91</v>
      </c>
      <c r="C90" s="24" t="str">
        <f aca="false">IFERROR(TEXT(INDEX(Scoring!$T$2:$T$113,MATCH(9,Scoring!$AA$2:$AA$113,0)),"0")&amp;" – "&amp;TEXT(INDEX(Scoring!$U$2:$U$113,MATCH(9,Scoring!$AA$2:$AA$113,0)),"0"),"")</f>
        <v>91 – 91</v>
      </c>
      <c r="D90" s="17" t="str">
        <f aca="false">IFERROR(INDEX(Scoring!$A$2:$A$113,MATCH($B$50-8,Scoring!$AA$2:$AA$113,0)),"")</f>
        <v>Fulcrum</v>
      </c>
      <c r="E90" s="23" t="n">
        <f aca="false">IFERROR(INDEX(Scoring!$S$2:$S$113,MATCH($B$50-8,Scoring!$AA$2:$AA$113,0)),"")</f>
        <v>56.25</v>
      </c>
      <c r="F90" s="24" t="str">
        <f aca="false">IFERROR(TEXT(INDEX(Scoring!$T$2:$T$113,MATCH($B$50-8,Scoring!$AA$2:$AA$113,0)),"0")&amp;" – "&amp;TEXT(INDEX(Scoring!$U$2:$U$113,MATCH($B$50-8,Scoring!$AA$2:$AA$113,0)),"0"),"")</f>
        <v>50 – 61</v>
      </c>
    </row>
    <row r="91" customFormat="false" ht="15" hidden="false" customHeight="true" outlineLevel="0" collapsed="false">
      <c r="A91" s="17" t="str">
        <f aca="false">IFERROR(INDEX(Scoring!$A$2:$A$113,MATCH(10,Scoring!$AA$2:$AA$113,0)),"")</f>
        <v>iRODS</v>
      </c>
      <c r="B91" s="23" t="n">
        <f aca="false">IFERROR(INDEX(Scoring!$S$2:$S$113,MATCH(10,Scoring!$AA$2:$AA$113,0)),"")</f>
        <v>90</v>
      </c>
      <c r="C91" s="24" t="str">
        <f aca="false">IFERROR(TEXT(INDEX(Scoring!$T$2:$T$113,MATCH(10,Scoring!$AA$2:$AA$113,0)),"0")&amp;" – "&amp;TEXT(INDEX(Scoring!$U$2:$U$113,MATCH(10,Scoring!$AA$2:$AA$113,0)),"0"),"")</f>
        <v>90 – 90</v>
      </c>
      <c r="D91" s="17" t="str">
        <f aca="false">IFERROR(INDEX(Scoring!$A$2:$A$113,MATCH($B$50-9,Scoring!$AA$2:$AA$113,0)),"")</f>
        <v>Database Information System</v>
      </c>
      <c r="E91" s="23" t="n">
        <f aca="false">IFERROR(INDEX(Scoring!$S$2:$S$113,MATCH($B$50-9,Scoring!$AA$2:$AA$113,0)),"")</f>
        <v>57.0454545454546</v>
      </c>
      <c r="F91" s="24" t="str">
        <f aca="false">IFERROR(TEXT(INDEX(Scoring!$T$2:$T$113,MATCH($B$50-9,Scoring!$AA$2:$AA$113,0)),"0")&amp;" – "&amp;TEXT(INDEX(Scoring!$U$2:$U$113,MATCH($B$50-9,Scoring!$AA$2:$AA$113,0)),"0"),"")</f>
        <v>50 – 62</v>
      </c>
    </row>
    <row r="93" customFormat="false" ht="15" hidden="false" customHeight="true" outlineLevel="0" collapsed="false">
      <c r="A93" s="3" t="s">
        <v>225</v>
      </c>
    </row>
    <row r="96" customFormat="false" ht="15" hidden="false" customHeight="true" outlineLevel="0" collapsed="false">
      <c r="A96" s="25" t="s">
        <v>226</v>
      </c>
    </row>
    <row r="97" customFormat="false" ht="15" hidden="false" customHeight="true" outlineLevel="0" collapsed="false">
      <c r="A97" s="15" t="s">
        <v>227</v>
      </c>
      <c r="B97" s="15" t="n">
        <f aca="false">SUM(Coding!AH2:AH113)</f>
        <v>11</v>
      </c>
    </row>
    <row r="98" customFormat="false" ht="15" hidden="false" customHeight="true" outlineLevel="0" collapsed="false">
      <c r="A98" s="15" t="s">
        <v>228</v>
      </c>
      <c r="B98" s="15" t="n">
        <f aca="false">SUM(Coding!AI2:AI113)</f>
        <v>14</v>
      </c>
    </row>
    <row r="99" customFormat="false" ht="15" hidden="false" customHeight="true" outlineLevel="0" collapsed="false">
      <c r="A99" s="15" t="s">
        <v>229</v>
      </c>
      <c r="B99" s="15" t="n">
        <f aca="false">SUM(Coding!AJ2:AJ113)</f>
        <v>0</v>
      </c>
    </row>
    <row r="100" customFormat="false" ht="15" hidden="false" customHeight="true" outlineLevel="0" collapsed="false">
      <c r="A100" s="15" t="s">
        <v>230</v>
      </c>
      <c r="B100" s="26" t="n">
        <f aca="false">IFERROR(B98/(B98+B99),"n/a")</f>
        <v>1</v>
      </c>
    </row>
    <row r="101" customFormat="false" ht="15" hidden="false" customHeight="true" outlineLevel="0" collapsed="false">
      <c r="A101" s="15" t="s">
        <v>231</v>
      </c>
      <c r="B101" s="26" t="n">
        <f aca="false">IFERROR(B98/SUM(Coding!AK2:AK113),"n/a")</f>
        <v>0.148936170212766</v>
      </c>
    </row>
    <row r="102" customFormat="false" ht="15" hidden="false" customHeight="true" outlineLevel="0" collapsed="false">
      <c r="A102" s="15" t="s">
        <v>232</v>
      </c>
      <c r="B102" s="15" t="n">
        <f aca="false">COUNTIF(Coding!AG2:AG113,"&gt;0")</f>
        <v>52</v>
      </c>
    </row>
    <row r="103" customFormat="false" ht="15" hidden="false" customHeight="true" outlineLevel="0" collapsed="false">
      <c r="A103" s="15" t="s">
        <v>233</v>
      </c>
      <c r="B103" s="15" t="n">
        <f aca="false">COUNTIF(Coding!AF2:AF113,"&gt;0")</f>
        <v>73</v>
      </c>
    </row>
    <row r="104" customFormat="false" ht="15" hidden="false" customHeight="true" outlineLevel="0" collapsed="false">
      <c r="A104" s="15" t="s">
        <v>234</v>
      </c>
      <c r="B104" s="15" t="n">
        <f aca="false">SUM(Coding!AD2:AD113)</f>
        <v>61</v>
      </c>
    </row>
    <row r="106" customFormat="false" ht="15" hidden="false" customHeight="true" outlineLevel="0" collapsed="false">
      <c r="A106" s="27" t="s">
        <v>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A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30"/>
    <col collapsed="false" customWidth="true" hidden="false" outlineLevel="0" max="18" min="4" style="1" width="14"/>
    <col collapsed="false" customWidth="true" hidden="false" outlineLevel="0" max="19" min="19" style="1" width="20"/>
    <col collapsed="false" customWidth="true" hidden="false" outlineLevel="0" max="21" min="20" style="1" width="14"/>
    <col collapsed="false" customWidth="true" hidden="false" outlineLevel="0" max="22" min="22" style="1" width="16"/>
    <col collapsed="false" customWidth="true" hidden="false" outlineLevel="0" max="27" min="23" style="1" width="14"/>
  </cols>
  <sheetData>
    <row r="1" customFormat="false" ht="61.5" hidden="false" customHeight="true" outlineLevel="0" collapsed="false">
      <c r="A1" s="7" t="s">
        <v>236</v>
      </c>
      <c r="B1" s="7" t="s">
        <v>237</v>
      </c>
      <c r="C1" s="7" t="s">
        <v>238</v>
      </c>
      <c r="D1" s="7" t="s">
        <v>164</v>
      </c>
      <c r="E1" s="7" t="s">
        <v>165</v>
      </c>
      <c r="F1" s="7" t="s">
        <v>166</v>
      </c>
      <c r="G1" s="7" t="s">
        <v>167</v>
      </c>
      <c r="H1" s="7" t="s">
        <v>168</v>
      </c>
      <c r="I1" s="7" t="s">
        <v>169</v>
      </c>
      <c r="J1" s="7" t="s">
        <v>239</v>
      </c>
      <c r="K1" s="7" t="s">
        <v>240</v>
      </c>
      <c r="L1" s="7" t="s">
        <v>241</v>
      </c>
      <c r="M1" s="7" t="s">
        <v>242</v>
      </c>
      <c r="N1" s="7" t="s">
        <v>243</v>
      </c>
      <c r="O1" s="7" t="s">
        <v>244</v>
      </c>
      <c r="P1" s="7" t="s">
        <v>245</v>
      </c>
      <c r="Q1" s="7" t="s">
        <v>246</v>
      </c>
      <c r="R1" s="7" t="s">
        <v>247</v>
      </c>
      <c r="S1" s="7" t="s">
        <v>248</v>
      </c>
      <c r="T1" s="7" t="s">
        <v>249</v>
      </c>
      <c r="U1" s="7" t="s">
        <v>250</v>
      </c>
      <c r="V1" s="7" t="s">
        <v>188</v>
      </c>
      <c r="W1" s="7" t="s">
        <v>251</v>
      </c>
      <c r="X1" s="7" t="s">
        <v>252</v>
      </c>
      <c r="Y1" s="7" t="s">
        <v>253</v>
      </c>
      <c r="Z1" s="7" t="s">
        <v>254</v>
      </c>
      <c r="AA1" s="7" t="s">
        <v>255</v>
      </c>
    </row>
    <row r="2" customFormat="false" ht="15" hidden="false" customHeight="true" outlineLevel="0" collapsed="false">
      <c r="A2" s="15" t="str">
        <f aca="false">Data!$A2</f>
        <v>2i2c</v>
      </c>
      <c r="B2" s="15" t="str">
        <f aca="false">Data!$B2</f>
        <v>Code for Science and Society</v>
      </c>
      <c r="C2" s="15" t="str">
        <f aca="false">Data!$E2</f>
        <v>Authoring tool</v>
      </c>
      <c r="D2" s="28" t="n">
        <f aca="false">IF(Verification!C2="",Calc!B2,Verification!C2)</f>
        <v>1</v>
      </c>
      <c r="E2" s="28" t="str">
        <f aca="false">IF(Verification!D2="",Calc!D2,Verification!D2)</f>
        <v>NA</v>
      </c>
      <c r="F2" s="28" t="str">
        <f aca="false">IF(Verification!E2="",Calc!G2,Verification!E2)</f>
        <v>NA</v>
      </c>
      <c r="G2" s="28" t="str">
        <f aca="false">IF(Verification!F2="",Calc!I2,Verification!F2)</f>
        <v>NA</v>
      </c>
      <c r="H2" s="28" t="n">
        <f aca="false">IF(Verification!G2="",Calc!E2,Verification!G2)</f>
        <v>1</v>
      </c>
      <c r="I2" s="28" t="n">
        <f aca="false">IF(Verification!H2="",Calc!J2,Verification!H2)</f>
        <v>1</v>
      </c>
      <c r="J2" s="28" t="str">
        <f aca="false">IF(Verification!I2="",Calc!K2,Verification!I2)</f>
        <v>NA</v>
      </c>
      <c r="K2" s="29" t="n">
        <f aca="false">IF(COUNT(D2:E2)=0,"NA",(IF(ISNUMBER(D2),D2*Parameters!$E$6,0)+IF(ISNUMBER(E2),E2*Parameters!$E$7,0))/(IF(ISNUMBER(D2),Parameters!$E$6,0)+IF(ISNUMBER(E2),Parameters!$E$7,0))*100)</f>
        <v>100</v>
      </c>
      <c r="L2" s="29" t="n">
        <f aca="false">IF(COUNT(F2:H2)=0,"NA",(IF(ISNUMBER(F2),F2*Parameters!$E$8,0)+IF(ISNUMBER(G2),G2*Parameters!$E$9,0)+IF(ISNUMBER(H2),H2*Parameters!$E$10,0))/(IF(ISNUMBER(F2),Parameters!$E$8,0)+IF(ISNUMBER(G2),Parameters!$E$9,0)+IF(ISNUMBER(H2),Parameters!$E$10,0))*100)</f>
        <v>100</v>
      </c>
      <c r="M2" s="29" t="n">
        <f aca="false">IF(COUNT(I2:J2)=0,"NA",(IF(ISNUMBER(I2),I2*Parameters!$E$11,0)+IF(ISNUMBER(J2),J2*Parameters!$E$12,0))/(IF(ISNUMBER(I2),Parameters!$E$11,0)+IF(ISNUMBER(J2),Parameters!$E$12,0))*100)</f>
        <v>100</v>
      </c>
      <c r="N2" s="30" t="n">
        <f aca="false">IF(ISNUMBER(D2),Parameters!$E$6,0)+IF(ISNUMBER(E2),Parameters!$E$7,0)+IF(ISNUMBER(F2),Parameters!$E$8,0)+IF(ISNUMBER(G2),Parameters!$E$9,0)+IF(ISNUMBER(H2),Parameters!$E$10,0)+IF(ISNUMBER(I2),Parameters!$E$11,0)+IF(ISNUMBER(J2),Parameters!$E$12,0)</f>
        <v>0.28</v>
      </c>
      <c r="O2" s="31" t="n">
        <f aca="false">IF(ISNUMBER(D2),D2*Parameters!$E$6,0)+IF(ISNUMBER(E2),E2*Parameters!$E$7,0)+IF(ISNUMBER(F2),F2*Parameters!$E$8,0)+IF(ISNUMBER(G2),G2*Parameters!$E$9,0)+IF(ISNUMBER(H2),H2*Parameters!$E$10,0)+IF(ISNUMBER(I2),I2*Parameters!$E$11,0)+IF(ISNUMBER(J2),J2*Parameters!$E$12,0)</f>
        <v>0.28</v>
      </c>
      <c r="P2" s="32" t="n">
        <f aca="false">COUNT(D2:J2)</f>
        <v>3</v>
      </c>
      <c r="Q2" s="32" t="n">
        <f aca="false">(COUNT(D2:E2)&gt;0)+(COUNT(F2:H2)&gt;0)+(COUNT(I2:J2)&gt;0)</f>
        <v>3</v>
      </c>
      <c r="R2" s="32" t="str">
        <f aca="false">IF(AND(N2&gt;=Parameters!$C$56,Q2&gt;=Parameters!$C$59),"Yes","No")</f>
        <v>No</v>
      </c>
      <c r="S2" s="33" t="str">
        <f aca="false">IF(R2="Yes",O2/N2*100,"NA")</f>
        <v>NA</v>
      </c>
      <c r="T2" s="29" t="str">
        <f aca="false">IF(R2="Yes",O2/Parameters!$E$13*100,"NA")</f>
        <v>NA</v>
      </c>
      <c r="U2" s="29" t="str">
        <f aca="false">IF(R2="Yes",(O2+(Parameters!$E$13-N2))/Parameters!$E$13*100,"NA")</f>
        <v>NA</v>
      </c>
      <c r="V2" s="34" t="str">
        <f aca="false">IF(R2&lt;&gt;"Yes","Not scored",IF(N2&gt;=Parameters!$C$60,"Reportable","Provisional"))</f>
        <v>Not scored</v>
      </c>
      <c r="W2" s="32" t="str">
        <f aca="false">IF(ISNUMBER(S2),RANK(S2,$S$2:$S$113,0),"NA")</f>
        <v>NA</v>
      </c>
      <c r="X2" s="32" t="str">
        <f aca="false">IF(N2&gt;=Parameters!$C$60,"High",IF(N2&gt;=Parameters!$C$56,"Medium","Low"))</f>
        <v>Low</v>
      </c>
      <c r="Y2" s="32" t="n">
        <f aca="false">Calc!T2</f>
        <v>1</v>
      </c>
      <c r="Z2" s="35" t="str">
        <f aca="false">IF(V2="Reportable",S2-ROW()*0.000000001,"")</f>
        <v/>
      </c>
      <c r="AA2" s="35" t="str">
        <f aca="false">IF(ISNUMBER(Z2),RANK(Z2,$Z$2:$Z$113,0),"NA")</f>
        <v>NA</v>
      </c>
    </row>
    <row r="3" customFormat="false" ht="15" hidden="false" customHeight="true" outlineLevel="0" collapsed="false">
      <c r="A3" s="15" t="str">
        <f aca="false">Data!$A3</f>
        <v>Academic Preservation Trust (APTrust)</v>
      </c>
      <c r="B3" s="15" t="str">
        <f aca="false">Data!$B3</f>
        <v>Academic Preservation Trust (APTrust)</v>
      </c>
      <c r="C3" s="15" t="str">
        <f aca="false">Data!$E3</f>
        <v>Digital preservation service</v>
      </c>
      <c r="D3" s="28" t="n">
        <f aca="false">IF(Verification!C3="",Calc!B3,Verification!C3)</f>
        <v>1</v>
      </c>
      <c r="E3" s="28" t="n">
        <f aca="false">IF(Verification!D3="",Calc!D3,Verification!D3)</f>
        <v>1</v>
      </c>
      <c r="F3" s="28" t="n">
        <f aca="false">IF(Verification!E3="",Calc!G3,Verification!E3)</f>
        <v>1</v>
      </c>
      <c r="G3" s="28" t="n">
        <f aca="false">IF(Verification!F3="",Calc!I3,Verification!F3)</f>
        <v>0.5</v>
      </c>
      <c r="H3" s="28" t="n">
        <f aca="false">IF(Verification!G3="",Calc!E3,Verification!G3)</f>
        <v>1</v>
      </c>
      <c r="I3" s="28" t="n">
        <f aca="false">IF(Verification!H3="",Calc!J3,Verification!H3)</f>
        <v>1</v>
      </c>
      <c r="J3" s="28" t="n">
        <f aca="false">IF(Verification!I3="",Calc!K3,Verification!I3)</f>
        <v>1</v>
      </c>
      <c r="K3" s="29" t="n">
        <f aca="false">IF(COUNT(D3:E3)=0,"NA",(IF(ISNUMBER(D3),D3*Parameters!$E$6,0)+IF(ISNUMBER(E3),E3*Parameters!$E$7,0))/(IF(ISNUMBER(D3),Parameters!$E$6,0)+IF(ISNUMBER(E3),Parameters!$E$7,0))*100)</f>
        <v>100</v>
      </c>
      <c r="L3" s="29" t="n">
        <f aca="false">IF(COUNT(F3:H3)=0,"NA",(IF(ISNUMBER(F3),F3*Parameters!$E$8,0)+IF(ISNUMBER(G3),G3*Parameters!$E$9,0)+IF(ISNUMBER(H3),H3*Parameters!$E$10,0))/(IF(ISNUMBER(F3),Parameters!$E$8,0)+IF(ISNUMBER(G3),Parameters!$E$9,0)+IF(ISNUMBER(H3),Parameters!$E$10,0))*100)</f>
        <v>82.8571428571429</v>
      </c>
      <c r="M3" s="29" t="n">
        <f aca="false">IF(COUNT(I3:J3)=0,"NA",(IF(ISNUMBER(I3),I3*Parameters!$E$11,0)+IF(ISNUMBER(J3),J3*Parameters!$E$12,0))/(IF(ISNUMBER(I3),Parameters!$E$11,0)+IF(ISNUMBER(J3),Parameters!$E$12,0))*100)</f>
        <v>100</v>
      </c>
      <c r="N3" s="30" t="n">
        <f aca="false">IF(ISNUMBER(D3),Parameters!$E$6,0)+IF(ISNUMBER(E3),Parameters!$E$7,0)+IF(ISNUMBER(F3),Parameters!$E$8,0)+IF(ISNUMBER(G3),Parameters!$E$9,0)+IF(ISNUMBER(H3),Parameters!$E$10,0)+IF(ISNUMBER(I3),Parameters!$E$11,0)+IF(ISNUMBER(J3),Parameters!$E$12,0)</f>
        <v>1</v>
      </c>
      <c r="O3" s="31" t="n">
        <f aca="false">IF(ISNUMBER(D3),D3*Parameters!$E$6,0)+IF(ISNUMBER(E3),E3*Parameters!$E$7,0)+IF(ISNUMBER(F3),F3*Parameters!$E$8,0)+IF(ISNUMBER(G3),G3*Parameters!$E$9,0)+IF(ISNUMBER(H3),H3*Parameters!$E$10,0)+IF(ISNUMBER(I3),I3*Parameters!$E$11,0)+IF(ISNUMBER(J3),J3*Parameters!$E$12,0)</f>
        <v>0.94</v>
      </c>
      <c r="P3" s="32" t="n">
        <f aca="false">COUNT(D3:J3)</f>
        <v>7</v>
      </c>
      <c r="Q3" s="32" t="n">
        <f aca="false">(COUNT(D3:E3)&gt;0)+(COUNT(F3:H3)&gt;0)+(COUNT(I3:J3)&gt;0)</f>
        <v>3</v>
      </c>
      <c r="R3" s="32" t="str">
        <f aca="false">IF(AND(N3&gt;=Parameters!$C$56,Q3&gt;=Parameters!$C$59),"Yes","No")</f>
        <v>Yes</v>
      </c>
      <c r="S3" s="33" t="n">
        <f aca="false">IF(R3="Yes",O3/N3*100,"NA")</f>
        <v>94</v>
      </c>
      <c r="T3" s="29" t="n">
        <f aca="false">IF(R3="Yes",O3/Parameters!$E$13*100,"NA")</f>
        <v>94</v>
      </c>
      <c r="U3" s="29" t="n">
        <f aca="false">IF(R3="Yes",(O3+(Parameters!$E$13-N3))/Parameters!$E$13*100,"NA")</f>
        <v>94</v>
      </c>
      <c r="V3" s="34" t="str">
        <f aca="false">IF(R3&lt;&gt;"Yes","Not scored",IF(N3&gt;=Parameters!$C$60,"Reportable","Provisional"))</f>
        <v>Reportable</v>
      </c>
      <c r="W3" s="32" t="n">
        <f aca="false">IF(ISNUMBER(S3),RANK(S3,$S$2:$S$113,0),"NA")</f>
        <v>13</v>
      </c>
      <c r="X3" s="32" t="str">
        <f aca="false">IF(N3&gt;=Parameters!$C$60,"High",IF(N3&gt;=Parameters!$C$56,"Medium","Low"))</f>
        <v>High</v>
      </c>
      <c r="Y3" s="32" t="n">
        <f aca="false">Calc!T3</f>
        <v>0</v>
      </c>
      <c r="Z3" s="35" t="n">
        <f aca="false">IF(V3="Reportable",S3-ROW()*0.000000001,"")</f>
        <v>93.999999997</v>
      </c>
      <c r="AA3" s="35" t="n">
        <f aca="false">IF(ISNUMBER(Z3),RANK(Z3,$Z$2:$Z$113,0),"NA")</f>
        <v>5</v>
      </c>
    </row>
    <row r="4" customFormat="false" ht="15" hidden="false" customHeight="true" outlineLevel="0" collapsed="false">
      <c r="A4" s="15" t="str">
        <f aca="false">Data!$A4</f>
        <v>AfricArXiv</v>
      </c>
      <c r="B4" s="15" t="str">
        <f aca="false">Data!$B4</f>
        <v>UbuntuNet Alliance</v>
      </c>
      <c r="C4" s="15" t="str">
        <f aca="false">Data!$E4</f>
        <v>Repository service</v>
      </c>
      <c r="D4" s="28" t="n">
        <f aca="false">IF(Verification!C4="",Calc!B4,Verification!C4)</f>
        <v>0.33</v>
      </c>
      <c r="E4" s="28" t="str">
        <f aca="false">IF(Verification!D4="",Calc!D4,Verification!D4)</f>
        <v>NA</v>
      </c>
      <c r="F4" s="28" t="str">
        <f aca="false">IF(Verification!E4="",Calc!G4,Verification!E4)</f>
        <v>NA</v>
      </c>
      <c r="G4" s="28" t="str">
        <f aca="false">IF(Verification!F4="",Calc!I4,Verification!F4)</f>
        <v>NA</v>
      </c>
      <c r="H4" s="28" t="str">
        <f aca="false">IF(Verification!G4="",Calc!E4,Verification!G4)</f>
        <v>NA</v>
      </c>
      <c r="I4" s="28" t="n">
        <f aca="false">IF(Verification!H4="",Calc!J4,Verification!H4)</f>
        <v>1</v>
      </c>
      <c r="J4" s="28" t="n">
        <f aca="false">IF(Verification!I4="",Calc!K4,Verification!I4)</f>
        <v>0.5</v>
      </c>
      <c r="K4" s="29" t="n">
        <f aca="false">IF(COUNT(D4:E4)=0,"NA",(IF(ISNUMBER(D4),D4*Parameters!$E$6,0)+IF(ISNUMBER(E4),E4*Parameters!$E$7,0))/(IF(ISNUMBER(D4),Parameters!$E$6,0)+IF(ISNUMBER(E4),Parameters!$E$7,0))*100)</f>
        <v>33</v>
      </c>
      <c r="L4" s="29" t="str">
        <f aca="false">IF(COUNT(F4:H4)=0,"NA",(IF(ISNUMBER(F4),F4*Parameters!$E$8,0)+IF(ISNUMBER(G4),G4*Parameters!$E$9,0)+IF(ISNUMBER(H4),H4*Parameters!$E$10,0))/(IF(ISNUMBER(F4),Parameters!$E$8,0)+IF(ISNUMBER(G4),Parameters!$E$9,0)+IF(ISNUMBER(H4),Parameters!$E$10,0))*100)</f>
        <v>NA</v>
      </c>
      <c r="M4" s="29" t="n">
        <f aca="false">IF(COUNT(I4:J4)=0,"NA",(IF(ISNUMBER(I4),I4*Parameters!$E$11,0)+IF(ISNUMBER(J4),J4*Parameters!$E$12,0))/(IF(ISNUMBER(I4),Parameters!$E$11,0)+IF(ISNUMBER(J4),Parameters!$E$12,0))*100)</f>
        <v>71.4285714285714</v>
      </c>
      <c r="N4" s="30" t="n">
        <f aca="false">IF(ISNUMBER(D4),Parameters!$E$6,0)+IF(ISNUMBER(E4),Parameters!$E$7,0)+IF(ISNUMBER(F4),Parameters!$E$8,0)+IF(ISNUMBER(G4),Parameters!$E$9,0)+IF(ISNUMBER(H4),Parameters!$E$10,0)+IF(ISNUMBER(I4),Parameters!$E$11,0)+IF(ISNUMBER(J4),Parameters!$E$12,0)</f>
        <v>0.43</v>
      </c>
      <c r="O4" s="31" t="n">
        <f aca="false">IF(ISNUMBER(D4),D4*Parameters!$E$6,0)+IF(ISNUMBER(E4),E4*Parameters!$E$7,0)+IF(ISNUMBER(F4),F4*Parameters!$E$8,0)+IF(ISNUMBER(G4),G4*Parameters!$E$9,0)+IF(ISNUMBER(H4),H4*Parameters!$E$10,0)+IF(ISNUMBER(I4),I4*Parameters!$E$11,0)+IF(ISNUMBER(J4),J4*Parameters!$E$12,0)</f>
        <v>0.2764</v>
      </c>
      <c r="P4" s="32" t="n">
        <f aca="false">COUNT(D4:J4)</f>
        <v>3</v>
      </c>
      <c r="Q4" s="32" t="n">
        <f aca="false">(COUNT(D4:E4)&gt;0)+(COUNT(F4:H4)&gt;0)+(COUNT(I4:J4)&gt;0)</f>
        <v>2</v>
      </c>
      <c r="R4" s="32" t="str">
        <f aca="false">IF(AND(N4&gt;=Parameters!$C$56,Q4&gt;=Parameters!$C$59),"Yes","No")</f>
        <v>No</v>
      </c>
      <c r="S4" s="33" t="str">
        <f aca="false">IF(R4="Yes",O4/N4*100,"NA")</f>
        <v>NA</v>
      </c>
      <c r="T4" s="29" t="str">
        <f aca="false">IF(R4="Yes",O4/Parameters!$E$13*100,"NA")</f>
        <v>NA</v>
      </c>
      <c r="U4" s="29" t="str">
        <f aca="false">IF(R4="Yes",(O4+(Parameters!$E$13-N4))/Parameters!$E$13*100,"NA")</f>
        <v>NA</v>
      </c>
      <c r="V4" s="34" t="str">
        <f aca="false">IF(R4&lt;&gt;"Yes","Not scored",IF(N4&gt;=Parameters!$C$60,"Reportable","Provisional"))</f>
        <v>Not scored</v>
      </c>
      <c r="W4" s="32" t="str">
        <f aca="false">IF(ISNUMBER(S4),RANK(S4,$S$2:$S$113,0),"NA")</f>
        <v>NA</v>
      </c>
      <c r="X4" s="32" t="str">
        <f aca="false">IF(N4&gt;=Parameters!$C$60,"High",IF(N4&gt;=Parameters!$C$56,"Medium","Low"))</f>
        <v>Low</v>
      </c>
      <c r="Y4" s="32" t="n">
        <f aca="false">Calc!T4</f>
        <v>1</v>
      </c>
      <c r="Z4" s="35" t="str">
        <f aca="false">IF(V4="Reportable",S4-ROW()*0.000000001,"")</f>
        <v/>
      </c>
      <c r="AA4" s="35" t="str">
        <f aca="false">IF(ISNUMBER(Z4),RANK(Z4,$Z$2:$Z$113,0),"NA")</f>
        <v>NA</v>
      </c>
    </row>
    <row r="5" customFormat="false" ht="15" hidden="false" customHeight="true" outlineLevel="0" collapsed="false">
      <c r="A5" s="15" t="str">
        <f aca="false">Data!$A5</f>
        <v>Arches Heritage Data Management Platform</v>
      </c>
      <c r="B5" s="15" t="str">
        <f aca="false">Data!$B5</f>
        <v>Getty Conservation Institute (GCI)</v>
      </c>
      <c r="C5" s="15" t="str">
        <f aca="false">Data!$E5</f>
        <v>Data management planning tool or service</v>
      </c>
      <c r="D5" s="28" t="n">
        <f aca="false">IF(Verification!C5="",Calc!B5,Verification!C5)</f>
        <v>1</v>
      </c>
      <c r="E5" s="28" t="str">
        <f aca="false">IF(Verification!D5="",Calc!D5,Verification!D5)</f>
        <v>NA</v>
      </c>
      <c r="F5" s="28" t="str">
        <f aca="false">IF(Verification!E5="",Calc!G5,Verification!E5)</f>
        <v>NA</v>
      </c>
      <c r="G5" s="28" t="n">
        <f aca="false">IF(Verification!F5="",Calc!I5,Verification!F5)</f>
        <v>1</v>
      </c>
      <c r="H5" s="28" t="n">
        <f aca="false">IF(Verification!G5="",Calc!E5,Verification!G5)</f>
        <v>1</v>
      </c>
      <c r="I5" s="28" t="n">
        <f aca="false">IF(Verification!H5="",Calc!J5,Verification!H5)</f>
        <v>1</v>
      </c>
      <c r="J5" s="28" t="n">
        <f aca="false">IF(Verification!I5="",Calc!K5,Verification!I5)</f>
        <v>1</v>
      </c>
      <c r="K5" s="29" t="n">
        <f aca="false">IF(COUNT(D5:E5)=0,"NA",(IF(ISNUMBER(D5),D5*Parameters!$E$6,0)+IF(ISNUMBER(E5),E5*Parameters!$E$7,0))/(IF(ISNUMBER(D5),Parameters!$E$6,0)+IF(ISNUMBER(E5),Parameters!$E$7,0))*100)</f>
        <v>100</v>
      </c>
      <c r="L5" s="29" t="n">
        <f aca="false">IF(COUNT(F5:H5)=0,"NA",(IF(ISNUMBER(F5),F5*Parameters!$E$8,0)+IF(ISNUMBER(G5),G5*Parameters!$E$9,0)+IF(ISNUMBER(H5),H5*Parameters!$E$10,0))/(IF(ISNUMBER(F5),Parameters!$E$8,0)+IF(ISNUMBER(G5),Parameters!$E$9,0)+IF(ISNUMBER(H5),Parameters!$E$10,0))*100)</f>
        <v>100</v>
      </c>
      <c r="M5" s="29" t="n">
        <f aca="false">IF(COUNT(I5:J5)=0,"NA",(IF(ISNUMBER(I5),I5*Parameters!$E$11,0)+IF(ISNUMBER(J5),J5*Parameters!$E$12,0))/(IF(ISNUMBER(I5),Parameters!$E$11,0)+IF(ISNUMBER(J5),Parameters!$E$12,0))*100)</f>
        <v>100</v>
      </c>
      <c r="N5" s="30" t="n">
        <f aca="false">IF(ISNUMBER(D5),Parameters!$E$6,0)+IF(ISNUMBER(E5),Parameters!$E$7,0)+IF(ISNUMBER(F5),Parameters!$E$8,0)+IF(ISNUMBER(G5),Parameters!$E$9,0)+IF(ISNUMBER(H5),Parameters!$E$10,0)+IF(ISNUMBER(I5),Parameters!$E$11,0)+IF(ISNUMBER(J5),Parameters!$E$12,0)</f>
        <v>0.6</v>
      </c>
      <c r="O5" s="31" t="n">
        <f aca="false">IF(ISNUMBER(D5),D5*Parameters!$E$6,0)+IF(ISNUMBER(E5),E5*Parameters!$E$7,0)+IF(ISNUMBER(F5),F5*Parameters!$E$8,0)+IF(ISNUMBER(G5),G5*Parameters!$E$9,0)+IF(ISNUMBER(H5),H5*Parameters!$E$10,0)+IF(ISNUMBER(I5),I5*Parameters!$E$11,0)+IF(ISNUMBER(J5),J5*Parameters!$E$12,0)</f>
        <v>0.6</v>
      </c>
      <c r="P5" s="32" t="n">
        <f aca="false">COUNT(D5:J5)</f>
        <v>5</v>
      </c>
      <c r="Q5" s="32" t="n">
        <f aca="false">(COUNT(D5:E5)&gt;0)+(COUNT(F5:H5)&gt;0)+(COUNT(I5:J5)&gt;0)</f>
        <v>3</v>
      </c>
      <c r="R5" s="32" t="str">
        <f aca="false">IF(AND(N5&gt;=Parameters!$C$56,Q5&gt;=Parameters!$C$59),"Yes","No")</f>
        <v>Yes</v>
      </c>
      <c r="S5" s="33" t="n">
        <f aca="false">IF(R5="Yes",O5/N5*100,"NA")</f>
        <v>100</v>
      </c>
      <c r="T5" s="29" t="n">
        <f aca="false">IF(R5="Yes",O5/Parameters!$E$13*100,"NA")</f>
        <v>60</v>
      </c>
      <c r="U5" s="29" t="n">
        <f aca="false">IF(R5="Yes",(O5+(Parameters!$E$13-N5))/Parameters!$E$13*100,"NA")</f>
        <v>100</v>
      </c>
      <c r="V5" s="34" t="str">
        <f aca="false">IF(R5&lt;&gt;"Yes","Not scored",IF(N5&gt;=Parameters!$C$60,"Reportable","Provisional"))</f>
        <v>Provisional</v>
      </c>
      <c r="W5" s="32" t="n">
        <f aca="false">IF(ISNUMBER(S5),RANK(S5,$S$2:$S$113,0),"NA")</f>
        <v>1</v>
      </c>
      <c r="X5" s="32" t="str">
        <f aca="false">IF(N5&gt;=Parameters!$C$60,"High",IF(N5&gt;=Parameters!$C$56,"Medium","Low"))</f>
        <v>Medium</v>
      </c>
      <c r="Y5" s="32" t="n">
        <f aca="false">Calc!T5</f>
        <v>1</v>
      </c>
      <c r="Z5" s="35" t="str">
        <f aca="false">IF(V5="Reportable",S5-ROW()*0.000000001,"")</f>
        <v/>
      </c>
      <c r="AA5" s="35" t="str">
        <f aca="false">IF(ISNUMBER(Z5),RANK(Z5,$Z$2:$Z$113,0),"NA")</f>
        <v>NA</v>
      </c>
    </row>
    <row r="6" customFormat="false" ht="15" hidden="false" customHeight="true" outlineLevel="0" collapsed="false">
      <c r="A6" s="15" t="str">
        <f aca="false">Data!$A6</f>
        <v>Archipelago Commons</v>
      </c>
      <c r="B6" s="15" t="str">
        <f aca="false">Data!$B6</f>
        <v>Metropolitan New York Library Council</v>
      </c>
      <c r="C6" s="15" t="str">
        <f aca="false">Data!$E6</f>
        <v>Digital library, collection or exhibit platform | Repository software</v>
      </c>
      <c r="D6" s="28" t="n">
        <f aca="false">IF(Verification!C6="",Calc!B6,Verification!C6)</f>
        <v>1</v>
      </c>
      <c r="E6" s="28" t="n">
        <f aca="false">IF(Verification!D6="",Calc!D6,Verification!D6)</f>
        <v>0.875</v>
      </c>
      <c r="F6" s="28" t="n">
        <f aca="false">IF(Verification!E6="",Calc!G6,Verification!E6)</f>
        <v>0.5</v>
      </c>
      <c r="G6" s="28" t="n">
        <f aca="false">IF(Verification!F6="",Calc!I6,Verification!F6)</f>
        <v>0.5</v>
      </c>
      <c r="H6" s="28" t="n">
        <f aca="false">IF(Verification!G6="",Calc!E6,Verification!G6)</f>
        <v>1</v>
      </c>
      <c r="I6" s="28" t="n">
        <f aca="false">IF(Verification!H6="",Calc!J6,Verification!H6)</f>
        <v>1</v>
      </c>
      <c r="J6" s="28" t="n">
        <f aca="false">IF(Verification!I6="",Calc!K6,Verification!I6)</f>
        <v>1</v>
      </c>
      <c r="K6" s="29" t="n">
        <f aca="false">IF(COUNT(D6:E6)=0,"NA",(IF(ISNUMBER(D6),D6*Parameters!$E$6,0)+IF(ISNUMBER(E6),E6*Parameters!$E$7,0))/(IF(ISNUMBER(D6),Parameters!$E$6,0)+IF(ISNUMBER(E6),Parameters!$E$7,0))*100)</f>
        <v>90.8333333333333</v>
      </c>
      <c r="L6" s="29" t="n">
        <f aca="false">IF(COUNT(F6:H6)=0,"NA",(IF(ISNUMBER(F6),F6*Parameters!$E$8,0)+IF(ISNUMBER(G6),G6*Parameters!$E$9,0)+IF(ISNUMBER(H6),H6*Parameters!$E$10,0))/(IF(ISNUMBER(F6),Parameters!$E$8,0)+IF(ISNUMBER(G6),Parameters!$E$9,0)+IF(ISNUMBER(H6),Parameters!$E$10,0))*100)</f>
        <v>57.1428571428572</v>
      </c>
      <c r="M6" s="29" t="n">
        <f aca="false">IF(COUNT(I6:J6)=0,"NA",(IF(ISNUMBER(I6),I6*Parameters!$E$11,0)+IF(ISNUMBER(J6),J6*Parameters!$E$12,0))/(IF(ISNUMBER(I6),Parameters!$E$11,0)+IF(ISNUMBER(J6),Parameters!$E$12,0))*100)</f>
        <v>100</v>
      </c>
      <c r="N6" s="30" t="n">
        <f aca="false">IF(ISNUMBER(D6),Parameters!$E$6,0)+IF(ISNUMBER(E6),Parameters!$E$7,0)+IF(ISNUMBER(F6),Parameters!$E$8,0)+IF(ISNUMBER(G6),Parameters!$E$9,0)+IF(ISNUMBER(H6),Parameters!$E$10,0)+IF(ISNUMBER(I6),Parameters!$E$11,0)+IF(ISNUMBER(J6),Parameters!$E$12,0)</f>
        <v>1</v>
      </c>
      <c r="O6" s="31" t="n">
        <f aca="false">IF(ISNUMBER(D6),D6*Parameters!$E$6,0)+IF(ISNUMBER(E6),E6*Parameters!$E$7,0)+IF(ISNUMBER(F6),F6*Parameters!$E$8,0)+IF(ISNUMBER(G6),G6*Parameters!$E$9,0)+IF(ISNUMBER(H6),H6*Parameters!$E$10,0)+IF(ISNUMBER(I6),I6*Parameters!$E$11,0)+IF(ISNUMBER(J6),J6*Parameters!$E$12,0)</f>
        <v>0.8225</v>
      </c>
      <c r="P6" s="32" t="n">
        <f aca="false">COUNT(D6:J6)</f>
        <v>7</v>
      </c>
      <c r="Q6" s="32" t="n">
        <f aca="false">(COUNT(D6:E6)&gt;0)+(COUNT(F6:H6)&gt;0)+(COUNT(I6:J6)&gt;0)</f>
        <v>3</v>
      </c>
      <c r="R6" s="32" t="str">
        <f aca="false">IF(AND(N6&gt;=Parameters!$C$56,Q6&gt;=Parameters!$C$59),"Yes","No")</f>
        <v>Yes</v>
      </c>
      <c r="S6" s="33" t="n">
        <f aca="false">IF(R6="Yes",O6/N6*100,"NA")</f>
        <v>82.25</v>
      </c>
      <c r="T6" s="29" t="n">
        <f aca="false">IF(R6="Yes",O6/Parameters!$E$13*100,"NA")</f>
        <v>82.25</v>
      </c>
      <c r="U6" s="29" t="n">
        <f aca="false">IF(R6="Yes",(O6+(Parameters!$E$13-N6))/Parameters!$E$13*100,"NA")</f>
        <v>82.25</v>
      </c>
      <c r="V6" s="34" t="str">
        <f aca="false">IF(R6&lt;&gt;"Yes","Not scored",IF(N6&gt;=Parameters!$C$60,"Reportable","Provisional"))</f>
        <v>Reportable</v>
      </c>
      <c r="W6" s="32" t="n">
        <f aca="false">IF(ISNUMBER(S6),RANK(S6,$S$2:$S$113,0),"NA")</f>
        <v>37</v>
      </c>
      <c r="X6" s="32" t="str">
        <f aca="false">IF(N6&gt;=Parameters!$C$60,"High",IF(N6&gt;=Parameters!$C$56,"Medium","Low"))</f>
        <v>High</v>
      </c>
      <c r="Y6" s="32" t="n">
        <f aca="false">Calc!T6</f>
        <v>0</v>
      </c>
      <c r="Z6" s="35" t="n">
        <f aca="false">IF(V6="Reportable",S6-ROW()*0.000000001,"")</f>
        <v>82.249999994</v>
      </c>
      <c r="AA6" s="35" t="n">
        <f aca="false">IF(ISNUMBER(Z6),RANK(Z6,$Z$2:$Z$113,0),"NA")</f>
        <v>25</v>
      </c>
    </row>
    <row r="7" customFormat="false" ht="15" hidden="false" customHeight="true" outlineLevel="0" collapsed="false">
      <c r="A7" s="15" t="str">
        <f aca="false">Data!$A7</f>
        <v>Archival Resource Key</v>
      </c>
      <c r="B7" s="15" t="str">
        <f aca="false">Data!$B7</f>
        <v>ARK Alliance</v>
      </c>
      <c r="C7" s="15" t="str">
        <f aca="false">Data!$E7</f>
        <v>Standard, specification or protocol</v>
      </c>
      <c r="D7" s="28" t="n">
        <f aca="false">IF(Verification!C7="",Calc!B7,Verification!C7)</f>
        <v>1</v>
      </c>
      <c r="E7" s="28" t="str">
        <f aca="false">IF(Verification!D7="",Calc!D7,Verification!D7)</f>
        <v>NA</v>
      </c>
      <c r="F7" s="28" t="n">
        <f aca="false">IF(Verification!E7="",Calc!G7,Verification!E7)</f>
        <v>0.833333333333333</v>
      </c>
      <c r="G7" s="28" t="n">
        <f aca="false">IF(Verification!F7="",Calc!I7,Verification!F7)</f>
        <v>0.5</v>
      </c>
      <c r="H7" s="28" t="n">
        <f aca="false">IF(Verification!G7="",Calc!E7,Verification!G7)</f>
        <v>1</v>
      </c>
      <c r="I7" s="28" t="n">
        <f aca="false">IF(Verification!H7="",Calc!J7,Verification!H7)</f>
        <v>1</v>
      </c>
      <c r="J7" s="28" t="n">
        <f aca="false">IF(Verification!I7="",Calc!K7,Verification!I7)</f>
        <v>0.5</v>
      </c>
      <c r="K7" s="29" t="n">
        <f aca="false">IF(COUNT(D7:E7)=0,"NA",(IF(ISNUMBER(D7),D7*Parameters!$E$6,0)+IF(ISNUMBER(E7),E7*Parameters!$E$7,0))/(IF(ISNUMBER(D7),Parameters!$E$6,0)+IF(ISNUMBER(E7),Parameters!$E$7,0))*100)</f>
        <v>100</v>
      </c>
      <c r="L7" s="29" t="n">
        <f aca="false">IF(COUNT(F7:H7)=0,"NA",(IF(ISNUMBER(F7),F7*Parameters!$E$8,0)+IF(ISNUMBER(G7),G7*Parameters!$E$9,0)+IF(ISNUMBER(H7),H7*Parameters!$E$10,0))/(IF(ISNUMBER(F7),Parameters!$E$8,0)+IF(ISNUMBER(G7),Parameters!$E$9,0)+IF(ISNUMBER(H7),Parameters!$E$10,0))*100)</f>
        <v>74.2857142857143</v>
      </c>
      <c r="M7" s="29" t="n">
        <f aca="false">IF(COUNT(I7:J7)=0,"NA",(IF(ISNUMBER(I7),I7*Parameters!$E$11,0)+IF(ISNUMBER(J7),J7*Parameters!$E$12,0))/(IF(ISNUMBER(I7),Parameters!$E$11,0)+IF(ISNUMBER(J7),Parameters!$E$12,0))*100)</f>
        <v>71.4285714285714</v>
      </c>
      <c r="N7" s="30" t="n">
        <f aca="false">IF(ISNUMBER(D7),Parameters!$E$6,0)+IF(ISNUMBER(E7),Parameters!$E$7,0)+IF(ISNUMBER(F7),Parameters!$E$8,0)+IF(ISNUMBER(G7),Parameters!$E$9,0)+IF(ISNUMBER(H7),Parameters!$E$10,0)+IF(ISNUMBER(I7),Parameters!$E$11,0)+IF(ISNUMBER(J7),Parameters!$E$12,0)</f>
        <v>0.78</v>
      </c>
      <c r="O7" s="31" t="n">
        <f aca="false">IF(ISNUMBER(D7),D7*Parameters!$E$6,0)+IF(ISNUMBER(E7),E7*Parameters!$E$7,0)+IF(ISNUMBER(F7),F7*Parameters!$E$8,0)+IF(ISNUMBER(G7),G7*Parameters!$E$9,0)+IF(ISNUMBER(H7),H7*Parameters!$E$10,0)+IF(ISNUMBER(I7),I7*Parameters!$E$11,0)+IF(ISNUMBER(J7),J7*Parameters!$E$12,0)</f>
        <v>0.59</v>
      </c>
      <c r="P7" s="32" t="n">
        <f aca="false">COUNT(D7:J7)</f>
        <v>6</v>
      </c>
      <c r="Q7" s="32" t="n">
        <f aca="false">(COUNT(D7:E7)&gt;0)+(COUNT(F7:H7)&gt;0)+(COUNT(I7:J7)&gt;0)</f>
        <v>3</v>
      </c>
      <c r="R7" s="32" t="str">
        <f aca="false">IF(AND(N7&gt;=Parameters!$C$56,Q7&gt;=Parameters!$C$59),"Yes","No")</f>
        <v>Yes</v>
      </c>
      <c r="S7" s="33" t="n">
        <f aca="false">IF(R7="Yes",O7/N7*100,"NA")</f>
        <v>75.6410256410256</v>
      </c>
      <c r="T7" s="29" t="n">
        <f aca="false">IF(R7="Yes",O7/Parameters!$E$13*100,"NA")</f>
        <v>59</v>
      </c>
      <c r="U7" s="29" t="n">
        <f aca="false">IF(R7="Yes",(O7+(Parameters!$E$13-N7))/Parameters!$E$13*100,"NA")</f>
        <v>81</v>
      </c>
      <c r="V7" s="34" t="str">
        <f aca="false">IF(R7&lt;&gt;"Yes","Not scored",IF(N7&gt;=Parameters!$C$60,"Reportable","Provisional"))</f>
        <v>Provisional</v>
      </c>
      <c r="W7" s="32" t="n">
        <f aca="false">IF(ISNUMBER(S7),RANK(S7,$S$2:$S$113,0),"NA")</f>
        <v>48</v>
      </c>
      <c r="X7" s="32" t="str">
        <f aca="false">IF(N7&gt;=Parameters!$C$60,"High",IF(N7&gt;=Parameters!$C$56,"Medium","Low"))</f>
        <v>Medium</v>
      </c>
      <c r="Y7" s="32" t="n">
        <f aca="false">Calc!T7</f>
        <v>1</v>
      </c>
      <c r="Z7" s="35" t="str">
        <f aca="false">IF(V7="Reportable",S7-ROW()*0.000000001,"")</f>
        <v/>
      </c>
      <c r="AA7" s="35" t="str">
        <f aca="false">IF(ISNUMBER(Z7),RANK(Z7,$Z$2:$Z$113,0),"NA")</f>
        <v>NA</v>
      </c>
    </row>
    <row r="8" customFormat="false" ht="15" hidden="false" customHeight="true" outlineLevel="0" collapsed="false">
      <c r="A8" s="15" t="str">
        <f aca="false">Data!$A8</f>
        <v>Archivematica</v>
      </c>
      <c r="B8" s="15" t="str">
        <f aca="false">Data!$B8</f>
        <v>Artefactual</v>
      </c>
      <c r="C8" s="15" t="str">
        <f aca="false">Data!$E8</f>
        <v>Digital preservation system</v>
      </c>
      <c r="D8" s="28" t="n">
        <f aca="false">IF(Verification!C8="",Calc!B8,Verification!C8)</f>
        <v>1</v>
      </c>
      <c r="E8" s="28" t="str">
        <f aca="false">IF(Verification!D8="",Calc!D8,Verification!D8)</f>
        <v>NA</v>
      </c>
      <c r="F8" s="28" t="str">
        <f aca="false">IF(Verification!E8="",Calc!G8,Verification!E8)</f>
        <v>NA</v>
      </c>
      <c r="G8" s="28" t="n">
        <f aca="false">IF(Verification!F8="",Calc!I8,Verification!F8)</f>
        <v>1</v>
      </c>
      <c r="H8" s="28" t="n">
        <f aca="false">IF(Verification!G8="",Calc!E8,Verification!G8)</f>
        <v>1</v>
      </c>
      <c r="I8" s="28" t="str">
        <f aca="false">IF(Verification!H8="",Calc!J8,Verification!H8)</f>
        <v>NA</v>
      </c>
      <c r="J8" s="28" t="str">
        <f aca="false">IF(Verification!I8="",Calc!K8,Verification!I8)</f>
        <v>NA</v>
      </c>
      <c r="K8" s="29" t="n">
        <f aca="false">IF(COUNT(D8:E8)=0,"NA",(IF(ISNUMBER(D8),D8*Parameters!$E$6,0)+IF(ISNUMBER(E8),E8*Parameters!$E$7,0))/(IF(ISNUMBER(D8),Parameters!$E$6,0)+IF(ISNUMBER(E8),Parameters!$E$7,0))*100)</f>
        <v>100</v>
      </c>
      <c r="L8" s="29" t="n">
        <f aca="false">IF(COUNT(F8:H8)=0,"NA",(IF(ISNUMBER(F8),F8*Parameters!$E$8,0)+IF(ISNUMBER(G8),G8*Parameters!$E$9,0)+IF(ISNUMBER(H8),H8*Parameters!$E$10,0))/(IF(ISNUMBER(F8),Parameters!$E$8,0)+IF(ISNUMBER(G8),Parameters!$E$9,0)+IF(ISNUMBER(H8),Parameters!$E$10,0))*100)</f>
        <v>100</v>
      </c>
      <c r="M8" s="29" t="str">
        <f aca="false">IF(COUNT(I8:J8)=0,"NA",(IF(ISNUMBER(I8),I8*Parameters!$E$11,0)+IF(ISNUMBER(J8),J8*Parameters!$E$12,0))/(IF(ISNUMBER(I8),Parameters!$E$11,0)+IF(ISNUMBER(J8),Parameters!$E$12,0))*100)</f>
        <v>NA</v>
      </c>
      <c r="N8" s="30" t="n">
        <f aca="false">IF(ISNUMBER(D8),Parameters!$E$6,0)+IF(ISNUMBER(E8),Parameters!$E$7,0)+IF(ISNUMBER(F8),Parameters!$E$8,0)+IF(ISNUMBER(G8),Parameters!$E$9,0)+IF(ISNUMBER(H8),Parameters!$E$10,0)+IF(ISNUMBER(I8),Parameters!$E$11,0)+IF(ISNUMBER(J8),Parameters!$E$12,0)</f>
        <v>0.25</v>
      </c>
      <c r="O8" s="31" t="n">
        <f aca="false">IF(ISNUMBER(D8),D8*Parameters!$E$6,0)+IF(ISNUMBER(E8),E8*Parameters!$E$7,0)+IF(ISNUMBER(F8),F8*Parameters!$E$8,0)+IF(ISNUMBER(G8),G8*Parameters!$E$9,0)+IF(ISNUMBER(H8),H8*Parameters!$E$10,0)+IF(ISNUMBER(I8),I8*Parameters!$E$11,0)+IF(ISNUMBER(J8),J8*Parameters!$E$12,0)</f>
        <v>0.25</v>
      </c>
      <c r="P8" s="32" t="n">
        <f aca="false">COUNT(D8:J8)</f>
        <v>3</v>
      </c>
      <c r="Q8" s="32" t="n">
        <f aca="false">(COUNT(D8:E8)&gt;0)+(COUNT(F8:H8)&gt;0)+(COUNT(I8:J8)&gt;0)</f>
        <v>2</v>
      </c>
      <c r="R8" s="32" t="str">
        <f aca="false">IF(AND(N8&gt;=Parameters!$C$56,Q8&gt;=Parameters!$C$59),"Yes","No")</f>
        <v>No</v>
      </c>
      <c r="S8" s="33" t="str">
        <f aca="false">IF(R8="Yes",O8/N8*100,"NA")</f>
        <v>NA</v>
      </c>
      <c r="T8" s="29" t="str">
        <f aca="false">IF(R8="Yes",O8/Parameters!$E$13*100,"NA")</f>
        <v>NA</v>
      </c>
      <c r="U8" s="29" t="str">
        <f aca="false">IF(R8="Yes",(O8+(Parameters!$E$13-N8))/Parameters!$E$13*100,"NA")</f>
        <v>NA</v>
      </c>
      <c r="V8" s="34" t="str">
        <f aca="false">IF(R8&lt;&gt;"Yes","Not scored",IF(N8&gt;=Parameters!$C$60,"Reportable","Provisional"))</f>
        <v>Not scored</v>
      </c>
      <c r="W8" s="32" t="str">
        <f aca="false">IF(ISNUMBER(S8),RANK(S8,$S$2:$S$113,0),"NA")</f>
        <v>NA</v>
      </c>
      <c r="X8" s="32" t="str">
        <f aca="false">IF(N8&gt;=Parameters!$C$60,"High",IF(N8&gt;=Parameters!$C$56,"Medium","Low"))</f>
        <v>Low</v>
      </c>
      <c r="Y8" s="32" t="n">
        <f aca="false">Calc!T8</f>
        <v>2</v>
      </c>
      <c r="Z8" s="35" t="str">
        <f aca="false">IF(V8="Reportable",S8-ROW()*0.000000001,"")</f>
        <v/>
      </c>
      <c r="AA8" s="35" t="str">
        <f aca="false">IF(ISNUMBER(Z8),RANK(Z8,$Z$2:$Z$113,0),"NA")</f>
        <v>NA</v>
      </c>
    </row>
    <row r="9" customFormat="false" ht="15" hidden="false" customHeight="true" outlineLevel="0" collapsed="false">
      <c r="A9" s="15" t="str">
        <f aca="false">Data!$A9</f>
        <v>ArchivesSpace</v>
      </c>
      <c r="B9" s="15" t="str">
        <f aca="false">Data!$B9</f>
        <v>ArchivesSpace</v>
      </c>
      <c r="C9" s="15" t="str">
        <f aca="false">Data!$E9</f>
        <v>Archive information management system | Discovery system</v>
      </c>
      <c r="D9" s="28" t="n">
        <f aca="false">IF(Verification!C9="",Calc!B9,Verification!C9)</f>
        <v>1</v>
      </c>
      <c r="E9" s="28" t="n">
        <f aca="false">IF(Verification!D9="",Calc!D9,Verification!D9)</f>
        <v>1</v>
      </c>
      <c r="F9" s="28" t="str">
        <f aca="false">IF(Verification!E9="",Calc!G9,Verification!E9)</f>
        <v>NA</v>
      </c>
      <c r="G9" s="28" t="n">
        <f aca="false">IF(Verification!F9="",Calc!I9,Verification!F9)</f>
        <v>1</v>
      </c>
      <c r="H9" s="28" t="n">
        <f aca="false">IF(Verification!G9="",Calc!E9,Verification!G9)</f>
        <v>1</v>
      </c>
      <c r="I9" s="28" t="n">
        <f aca="false">IF(Verification!H9="",Calc!J9,Verification!H9)</f>
        <v>1</v>
      </c>
      <c r="J9" s="28" t="n">
        <f aca="false">IF(Verification!I9="",Calc!K9,Verification!I9)</f>
        <v>1</v>
      </c>
      <c r="K9" s="29" t="n">
        <f aca="false">IF(COUNT(D9:E9)=0,"NA",(IF(ISNUMBER(D9),D9*Parameters!$E$6,0)+IF(ISNUMBER(E9),E9*Parameters!$E$7,0))/(IF(ISNUMBER(D9),Parameters!$E$6,0)+IF(ISNUMBER(E9),Parameters!$E$7,0))*100)</f>
        <v>100</v>
      </c>
      <c r="L9" s="29" t="n">
        <f aca="false">IF(COUNT(F9:H9)=0,"NA",(IF(ISNUMBER(F9),F9*Parameters!$E$8,0)+IF(ISNUMBER(G9),G9*Parameters!$E$9,0)+IF(ISNUMBER(H9),H9*Parameters!$E$10,0))/(IF(ISNUMBER(F9),Parameters!$E$8,0)+IF(ISNUMBER(G9),Parameters!$E$9,0)+IF(ISNUMBER(H9),Parameters!$E$10,0))*100)</f>
        <v>100</v>
      </c>
      <c r="M9" s="29" t="n">
        <f aca="false">IF(COUNT(I9:J9)=0,"NA",(IF(ISNUMBER(I9),I9*Parameters!$E$11,0)+IF(ISNUMBER(J9),J9*Parameters!$E$12,0))/(IF(ISNUMBER(I9),Parameters!$E$11,0)+IF(ISNUMBER(J9),Parameters!$E$12,0))*100)</f>
        <v>100</v>
      </c>
      <c r="N9" s="30" t="n">
        <f aca="false">IF(ISNUMBER(D9),Parameters!$E$6,0)+IF(ISNUMBER(E9),Parameters!$E$7,0)+IF(ISNUMBER(F9),Parameters!$E$8,0)+IF(ISNUMBER(G9),Parameters!$E$9,0)+IF(ISNUMBER(H9),Parameters!$E$10,0)+IF(ISNUMBER(I9),Parameters!$E$11,0)+IF(ISNUMBER(J9),Parameters!$E$12,0)</f>
        <v>0.82</v>
      </c>
      <c r="O9" s="31" t="n">
        <f aca="false">IF(ISNUMBER(D9),D9*Parameters!$E$6,0)+IF(ISNUMBER(E9),E9*Parameters!$E$7,0)+IF(ISNUMBER(F9),F9*Parameters!$E$8,0)+IF(ISNUMBER(G9),G9*Parameters!$E$9,0)+IF(ISNUMBER(H9),H9*Parameters!$E$10,0)+IF(ISNUMBER(I9),I9*Parameters!$E$11,0)+IF(ISNUMBER(J9),J9*Parameters!$E$12,0)</f>
        <v>0.82</v>
      </c>
      <c r="P9" s="32" t="n">
        <f aca="false">COUNT(D9:J9)</f>
        <v>6</v>
      </c>
      <c r="Q9" s="32" t="n">
        <f aca="false">(COUNT(D9:E9)&gt;0)+(COUNT(F9:H9)&gt;0)+(COUNT(I9:J9)&gt;0)</f>
        <v>3</v>
      </c>
      <c r="R9" s="32" t="str">
        <f aca="false">IF(AND(N9&gt;=Parameters!$C$56,Q9&gt;=Parameters!$C$59),"Yes","No")</f>
        <v>Yes</v>
      </c>
      <c r="S9" s="33" t="n">
        <f aca="false">IF(R9="Yes",O9/N9*100,"NA")</f>
        <v>100</v>
      </c>
      <c r="T9" s="29" t="n">
        <f aca="false">IF(R9="Yes",O9/Parameters!$E$13*100,"NA")</f>
        <v>82</v>
      </c>
      <c r="U9" s="29" t="n">
        <f aca="false">IF(R9="Yes",(O9+(Parameters!$E$13-N9))/Parameters!$E$13*100,"NA")</f>
        <v>100</v>
      </c>
      <c r="V9" s="34" t="str">
        <f aca="false">IF(R9&lt;&gt;"Yes","Not scored",IF(N9&gt;=Parameters!$C$60,"Reportable","Provisional"))</f>
        <v>Provisional</v>
      </c>
      <c r="W9" s="32" t="n">
        <f aca="false">IF(ISNUMBER(S9),RANK(S9,$S$2:$S$113,0),"NA")</f>
        <v>1</v>
      </c>
      <c r="X9" s="32" t="str">
        <f aca="false">IF(N9&gt;=Parameters!$C$60,"High",IF(N9&gt;=Parameters!$C$56,"Medium","Low"))</f>
        <v>Medium</v>
      </c>
      <c r="Y9" s="32" t="n">
        <f aca="false">Calc!T9</f>
        <v>0</v>
      </c>
      <c r="Z9" s="35" t="str">
        <f aca="false">IF(V9="Reportable",S9-ROW()*0.000000001,"")</f>
        <v/>
      </c>
      <c r="AA9" s="35" t="str">
        <f aca="false">IF(ISNUMBER(Z9),RANK(Z9,$Z$2:$Z$113,0),"NA")</f>
        <v>NA</v>
      </c>
    </row>
    <row r="10" customFormat="false" ht="15" hidden="false" customHeight="true" outlineLevel="0" collapsed="false">
      <c r="A10" s="15" t="str">
        <f aca="false">Data!$A10</f>
        <v>ARGOS</v>
      </c>
      <c r="B10" s="15" t="str">
        <f aca="false">Data!$B10</f>
        <v>OpenAIRE</v>
      </c>
      <c r="C10" s="15" t="str">
        <f aca="false">Data!$E10</f>
        <v>Data management planning tool or service</v>
      </c>
      <c r="D10" s="28" t="n">
        <f aca="false">IF(Verification!C10="",Calc!B10,Verification!C10)</f>
        <v>1</v>
      </c>
      <c r="E10" s="28" t="n">
        <f aca="false">IF(Verification!D10="",Calc!D10,Verification!D10)</f>
        <v>1</v>
      </c>
      <c r="F10" s="28" t="str">
        <f aca="false">IF(Verification!E10="",Calc!G10,Verification!E10)</f>
        <v>NA</v>
      </c>
      <c r="G10" s="28" t="str">
        <f aca="false">IF(Verification!F10="",Calc!I10,Verification!F10)</f>
        <v>NA</v>
      </c>
      <c r="H10" s="28" t="n">
        <f aca="false">IF(Verification!G10="",Calc!E10,Verification!G10)</f>
        <v>1</v>
      </c>
      <c r="I10" s="28" t="n">
        <f aca="false">IF(Verification!H10="",Calc!J10,Verification!H10)</f>
        <v>1</v>
      </c>
      <c r="J10" s="28" t="n">
        <f aca="false">IF(Verification!I10="",Calc!K10,Verification!I10)</f>
        <v>1</v>
      </c>
      <c r="K10" s="29" t="n">
        <f aca="false">IF(COUNT(D10:E10)=0,"NA",(IF(ISNUMBER(D10),D10*Parameters!$E$6,0)+IF(ISNUMBER(E10),E10*Parameters!$E$7,0))/(IF(ISNUMBER(D10),Parameters!$E$6,0)+IF(ISNUMBER(E10),Parameters!$E$7,0))*100)</f>
        <v>100</v>
      </c>
      <c r="L10" s="29" t="n">
        <f aca="false">IF(COUNT(F10:H10)=0,"NA",(IF(ISNUMBER(F10),F10*Parameters!$E$8,0)+IF(ISNUMBER(G10),G10*Parameters!$E$9,0)+IF(ISNUMBER(H10),H10*Parameters!$E$10,0))/(IF(ISNUMBER(F10),Parameters!$E$8,0)+IF(ISNUMBER(G10),Parameters!$E$9,0)+IF(ISNUMBER(H10),Parameters!$E$10,0))*100)</f>
        <v>100</v>
      </c>
      <c r="M10" s="29" t="n">
        <f aca="false">IF(COUNT(I10:J10)=0,"NA",(IF(ISNUMBER(I10),I10*Parameters!$E$11,0)+IF(ISNUMBER(J10),J10*Parameters!$E$12,0))/(IF(ISNUMBER(I10),Parameters!$E$11,0)+IF(ISNUMBER(J10),Parameters!$E$12,0))*100)</f>
        <v>100</v>
      </c>
      <c r="N10" s="30" t="n">
        <f aca="false">IF(ISNUMBER(D10),Parameters!$E$6,0)+IF(ISNUMBER(E10),Parameters!$E$7,0)+IF(ISNUMBER(F10),Parameters!$E$8,0)+IF(ISNUMBER(G10),Parameters!$E$9,0)+IF(ISNUMBER(H10),Parameters!$E$10,0)+IF(ISNUMBER(I10),Parameters!$E$11,0)+IF(ISNUMBER(J10),Parameters!$E$12,0)</f>
        <v>0.7</v>
      </c>
      <c r="O10" s="31" t="n">
        <f aca="false">IF(ISNUMBER(D10),D10*Parameters!$E$6,0)+IF(ISNUMBER(E10),E10*Parameters!$E$7,0)+IF(ISNUMBER(F10),F10*Parameters!$E$8,0)+IF(ISNUMBER(G10),G10*Parameters!$E$9,0)+IF(ISNUMBER(H10),H10*Parameters!$E$10,0)+IF(ISNUMBER(I10),I10*Parameters!$E$11,0)+IF(ISNUMBER(J10),J10*Parameters!$E$12,0)</f>
        <v>0.7</v>
      </c>
      <c r="P10" s="32" t="n">
        <f aca="false">COUNT(D10:J10)</f>
        <v>5</v>
      </c>
      <c r="Q10" s="32" t="n">
        <f aca="false">(COUNT(D10:E10)&gt;0)+(COUNT(F10:H10)&gt;0)+(COUNT(I10:J10)&gt;0)</f>
        <v>3</v>
      </c>
      <c r="R10" s="32" t="str">
        <f aca="false">IF(AND(N10&gt;=Parameters!$C$56,Q10&gt;=Parameters!$C$59),"Yes","No")</f>
        <v>Yes</v>
      </c>
      <c r="S10" s="33" t="n">
        <f aca="false">IF(R10="Yes",O10/N10*100,"NA")</f>
        <v>100</v>
      </c>
      <c r="T10" s="29" t="n">
        <f aca="false">IF(R10="Yes",O10/Parameters!$E$13*100,"NA")</f>
        <v>70</v>
      </c>
      <c r="U10" s="29" t="n">
        <f aca="false">IF(R10="Yes",(O10+(Parameters!$E$13-N10))/Parameters!$E$13*100,"NA")</f>
        <v>100</v>
      </c>
      <c r="V10" s="34" t="str">
        <f aca="false">IF(R10&lt;&gt;"Yes","Not scored",IF(N10&gt;=Parameters!$C$60,"Reportable","Provisional"))</f>
        <v>Provisional</v>
      </c>
      <c r="W10" s="32" t="n">
        <f aca="false">IF(ISNUMBER(S10),RANK(S10,$S$2:$S$113,0),"NA")</f>
        <v>1</v>
      </c>
      <c r="X10" s="32" t="str">
        <f aca="false">IF(N10&gt;=Parameters!$C$60,"High",IF(N10&gt;=Parameters!$C$56,"Medium","Low"))</f>
        <v>Medium</v>
      </c>
      <c r="Y10" s="32" t="n">
        <f aca="false">Calc!T10</f>
        <v>0</v>
      </c>
      <c r="Z10" s="35" t="str">
        <f aca="false">IF(V10="Reportable",S10-ROW()*0.000000001,"")</f>
        <v/>
      </c>
      <c r="AA10" s="35" t="str">
        <f aca="false">IF(ISNUMBER(Z10),RANK(Z10,$Z$2:$Z$113,0),"NA")</f>
        <v>NA</v>
      </c>
    </row>
    <row r="11" customFormat="false" ht="15" hidden="false" customHeight="true" outlineLevel="0" collapsed="false">
      <c r="A11" s="15" t="str">
        <f aca="false">Data!$A11</f>
        <v>arXiv</v>
      </c>
      <c r="B11" s="15" t="str">
        <f aca="false">Data!$B11</f>
        <v>Cornell University</v>
      </c>
      <c r="C11" s="15" t="str">
        <f aca="false">Data!$E11</f>
        <v>Repository service</v>
      </c>
      <c r="D11" s="28" t="n">
        <f aca="false">IF(Verification!C11="",Calc!B11,Verification!C11)</f>
        <v>1</v>
      </c>
      <c r="E11" s="28" t="n">
        <f aca="false">IF(Verification!D11="",Calc!D11,Verification!D11)</f>
        <v>0.125</v>
      </c>
      <c r="F11" s="28" t="n">
        <f aca="false">IF(Verification!E11="",Calc!G11,Verification!E11)</f>
        <v>0.5</v>
      </c>
      <c r="G11" s="28" t="n">
        <f aca="false">IF(Verification!F11="",Calc!I11,Verification!F11)</f>
        <v>0.5</v>
      </c>
      <c r="H11" s="28" t="n">
        <f aca="false">IF(Verification!G11="",Calc!E11,Verification!G11)</f>
        <v>1</v>
      </c>
      <c r="I11" s="28" t="n">
        <f aca="false">IF(Verification!H11="",Calc!J11,Verification!H11)</f>
        <v>1</v>
      </c>
      <c r="J11" s="28" t="n">
        <f aca="false">IF(Verification!I11="",Calc!K11,Verification!I11)</f>
        <v>1</v>
      </c>
      <c r="K11" s="29" t="n">
        <f aca="false">IF(COUNT(D11:E11)=0,"NA",(IF(ISNUMBER(D11),D11*Parameters!$E$6,0)+IF(ISNUMBER(E11),E11*Parameters!$E$7,0))/(IF(ISNUMBER(D11),Parameters!$E$6,0)+IF(ISNUMBER(E11),Parameters!$E$7,0))*100)</f>
        <v>35.8333333333333</v>
      </c>
      <c r="L11" s="29" t="n">
        <f aca="false">IF(COUNT(F11:H11)=0,"NA",(IF(ISNUMBER(F11),F11*Parameters!$E$8,0)+IF(ISNUMBER(G11),G11*Parameters!$E$9,0)+IF(ISNUMBER(H11),H11*Parameters!$E$10,0))/(IF(ISNUMBER(F11),Parameters!$E$8,0)+IF(ISNUMBER(G11),Parameters!$E$9,0)+IF(ISNUMBER(H11),Parameters!$E$10,0))*100)</f>
        <v>57.1428571428572</v>
      </c>
      <c r="M11" s="29" t="n">
        <f aca="false">IF(COUNT(I11:J11)=0,"NA",(IF(ISNUMBER(I11),I11*Parameters!$E$11,0)+IF(ISNUMBER(J11),J11*Parameters!$E$12,0))/(IF(ISNUMBER(I11),Parameters!$E$11,0)+IF(ISNUMBER(J11),Parameters!$E$12,0))*100)</f>
        <v>100</v>
      </c>
      <c r="N11" s="30" t="n">
        <f aca="false">IF(ISNUMBER(D11),Parameters!$E$6,0)+IF(ISNUMBER(E11),Parameters!$E$7,0)+IF(ISNUMBER(F11),Parameters!$E$8,0)+IF(ISNUMBER(G11),Parameters!$E$9,0)+IF(ISNUMBER(H11),Parameters!$E$10,0)+IF(ISNUMBER(I11),Parameters!$E$11,0)+IF(ISNUMBER(J11),Parameters!$E$12,0)</f>
        <v>1</v>
      </c>
      <c r="O11" s="31" t="n">
        <f aca="false">IF(ISNUMBER(D11),D11*Parameters!$E$6,0)+IF(ISNUMBER(E11),E11*Parameters!$E$7,0)+IF(ISNUMBER(F11),F11*Parameters!$E$8,0)+IF(ISNUMBER(G11),G11*Parameters!$E$9,0)+IF(ISNUMBER(H11),H11*Parameters!$E$10,0)+IF(ISNUMBER(I11),I11*Parameters!$E$11,0)+IF(ISNUMBER(J11),J11*Parameters!$E$12,0)</f>
        <v>0.6575</v>
      </c>
      <c r="P11" s="32" t="n">
        <f aca="false">COUNT(D11:J11)</f>
        <v>7</v>
      </c>
      <c r="Q11" s="32" t="n">
        <f aca="false">(COUNT(D11:E11)&gt;0)+(COUNT(F11:H11)&gt;0)+(COUNT(I11:J11)&gt;0)</f>
        <v>3</v>
      </c>
      <c r="R11" s="32" t="str">
        <f aca="false">IF(AND(N11&gt;=Parameters!$C$56,Q11&gt;=Parameters!$C$59),"Yes","No")</f>
        <v>Yes</v>
      </c>
      <c r="S11" s="33" t="n">
        <f aca="false">IF(R11="Yes",O11/N11*100,"NA")</f>
        <v>65.75</v>
      </c>
      <c r="T11" s="29" t="n">
        <f aca="false">IF(R11="Yes",O11/Parameters!$E$13*100,"NA")</f>
        <v>65.75</v>
      </c>
      <c r="U11" s="29" t="n">
        <f aca="false">IF(R11="Yes",(O11+(Parameters!$E$13-N11))/Parameters!$E$13*100,"NA")</f>
        <v>65.75</v>
      </c>
      <c r="V11" s="34" t="str">
        <f aca="false">IF(R11&lt;&gt;"Yes","Not scored",IF(N11&gt;=Parameters!$C$60,"Reportable","Provisional"))</f>
        <v>Reportable</v>
      </c>
      <c r="W11" s="32" t="n">
        <f aca="false">IF(ISNUMBER(S11),RANK(S11,$S$2:$S$113,0),"NA")</f>
        <v>61</v>
      </c>
      <c r="X11" s="32" t="str">
        <f aca="false">IF(N11&gt;=Parameters!$C$60,"High",IF(N11&gt;=Parameters!$C$56,"Medium","Low"))</f>
        <v>High</v>
      </c>
      <c r="Y11" s="32" t="n">
        <f aca="false">Calc!T11</f>
        <v>0</v>
      </c>
      <c r="Z11" s="35" t="n">
        <f aca="false">IF(V11="Reportable",S11-ROW()*0.000000001,"")</f>
        <v>65.749999989</v>
      </c>
      <c r="AA11" s="35" t="n">
        <f aca="false">IF(ISNUMBER(Z11),RANK(Z11,$Z$2:$Z$113,0),"NA")</f>
        <v>35</v>
      </c>
    </row>
    <row r="12" customFormat="false" ht="15" hidden="false" customHeight="true" outlineLevel="0" collapsed="false">
      <c r="A12" s="15" t="str">
        <f aca="false">Data!$A12</f>
        <v>AtoM</v>
      </c>
      <c r="B12" s="15" t="str">
        <f aca="false">Data!$B12</f>
        <v>Artefactual</v>
      </c>
      <c r="C12" s="15" t="str">
        <f aca="false">Data!$E12</f>
        <v>Archive information management system</v>
      </c>
      <c r="D12" s="28" t="n">
        <f aca="false">IF(Verification!C12="",Calc!B12,Verification!C12)</f>
        <v>0.67</v>
      </c>
      <c r="E12" s="28" t="str">
        <f aca="false">IF(Verification!D12="",Calc!D12,Verification!D12)</f>
        <v>NA</v>
      </c>
      <c r="F12" s="28" t="str">
        <f aca="false">IF(Verification!E12="",Calc!G12,Verification!E12)</f>
        <v>NA</v>
      </c>
      <c r="G12" s="28" t="str">
        <f aca="false">IF(Verification!F12="",Calc!I12,Verification!F12)</f>
        <v>NA</v>
      </c>
      <c r="H12" s="28" t="n">
        <f aca="false">IF(Verification!G12="",Calc!E12,Verification!G12)</f>
        <v>1</v>
      </c>
      <c r="I12" s="28" t="str">
        <f aca="false">IF(Verification!H12="",Calc!J12,Verification!H12)</f>
        <v>NA</v>
      </c>
      <c r="J12" s="28" t="str">
        <f aca="false">IF(Verification!I12="",Calc!K12,Verification!I12)</f>
        <v>NA</v>
      </c>
      <c r="K12" s="29" t="n">
        <f aca="false">IF(COUNT(D12:E12)=0,"NA",(IF(ISNUMBER(D12),D12*Parameters!$E$6,0)+IF(ISNUMBER(E12),E12*Parameters!$E$7,0))/(IF(ISNUMBER(D12),Parameters!$E$6,0)+IF(ISNUMBER(E12),Parameters!$E$7,0))*100)</f>
        <v>67</v>
      </c>
      <c r="L12" s="29" t="n">
        <f aca="false">IF(COUNT(F12:H12)=0,"NA",(IF(ISNUMBER(F12),F12*Parameters!$E$8,0)+IF(ISNUMBER(G12),G12*Parameters!$E$9,0)+IF(ISNUMBER(H12),H12*Parameters!$E$10,0))/(IF(ISNUMBER(F12),Parameters!$E$8,0)+IF(ISNUMBER(G12),Parameters!$E$9,0)+IF(ISNUMBER(H12),Parameters!$E$10,0))*100)</f>
        <v>100</v>
      </c>
      <c r="M12" s="29" t="str">
        <f aca="false">IF(COUNT(I12:J12)=0,"NA",(IF(ISNUMBER(I12),I12*Parameters!$E$11,0)+IF(ISNUMBER(J12),J12*Parameters!$E$12,0))/(IF(ISNUMBER(I12),Parameters!$E$11,0)+IF(ISNUMBER(J12),Parameters!$E$12,0))*100)</f>
        <v>NA</v>
      </c>
      <c r="N12" s="30" t="n">
        <f aca="false">IF(ISNUMBER(D12),Parameters!$E$6,0)+IF(ISNUMBER(E12),Parameters!$E$7,0)+IF(ISNUMBER(F12),Parameters!$E$8,0)+IF(ISNUMBER(G12),Parameters!$E$9,0)+IF(ISNUMBER(H12),Parameters!$E$10,0)+IF(ISNUMBER(I12),Parameters!$E$11,0)+IF(ISNUMBER(J12),Parameters!$E$12,0)</f>
        <v>0.13</v>
      </c>
      <c r="O12" s="31" t="n">
        <f aca="false">IF(ISNUMBER(D12),D12*Parameters!$E$6,0)+IF(ISNUMBER(E12),E12*Parameters!$E$7,0)+IF(ISNUMBER(F12),F12*Parameters!$E$8,0)+IF(ISNUMBER(G12),G12*Parameters!$E$9,0)+IF(ISNUMBER(H12),H12*Parameters!$E$10,0)+IF(ISNUMBER(I12),I12*Parameters!$E$11,0)+IF(ISNUMBER(J12),J12*Parameters!$E$12,0)</f>
        <v>0.1036</v>
      </c>
      <c r="P12" s="32" t="n">
        <f aca="false">COUNT(D12:J12)</f>
        <v>2</v>
      </c>
      <c r="Q12" s="32" t="n">
        <f aca="false">(COUNT(D12:E12)&gt;0)+(COUNT(F12:H12)&gt;0)+(COUNT(I12:J12)&gt;0)</f>
        <v>2</v>
      </c>
      <c r="R12" s="32" t="str">
        <f aca="false">IF(AND(N12&gt;=Parameters!$C$56,Q12&gt;=Parameters!$C$59),"Yes","No")</f>
        <v>No</v>
      </c>
      <c r="S12" s="33" t="str">
        <f aca="false">IF(R12="Yes",O12/N12*100,"NA")</f>
        <v>NA</v>
      </c>
      <c r="T12" s="29" t="str">
        <f aca="false">IF(R12="Yes",O12/Parameters!$E$13*100,"NA")</f>
        <v>NA</v>
      </c>
      <c r="U12" s="29" t="str">
        <f aca="false">IF(R12="Yes",(O12+(Parameters!$E$13-N12))/Parameters!$E$13*100,"NA")</f>
        <v>NA</v>
      </c>
      <c r="V12" s="34" t="str">
        <f aca="false">IF(R12&lt;&gt;"Yes","Not scored",IF(N12&gt;=Parameters!$C$60,"Reportable","Provisional"))</f>
        <v>Not scored</v>
      </c>
      <c r="W12" s="32" t="str">
        <f aca="false">IF(ISNUMBER(S12),RANK(S12,$S$2:$S$113,0),"NA")</f>
        <v>NA</v>
      </c>
      <c r="X12" s="32" t="str">
        <f aca="false">IF(N12&gt;=Parameters!$C$60,"High",IF(N12&gt;=Parameters!$C$56,"Medium","Low"))</f>
        <v>Low</v>
      </c>
      <c r="Y12" s="32" t="n">
        <f aca="false">Calc!T12</f>
        <v>2</v>
      </c>
      <c r="Z12" s="35" t="str">
        <f aca="false">IF(V12="Reportable",S12-ROW()*0.000000001,"")</f>
        <v/>
      </c>
      <c r="AA12" s="35" t="str">
        <f aca="false">IF(ISNUMBER(Z12),RANK(Z12,$Z$2:$Z$113,0),"NA")</f>
        <v>NA</v>
      </c>
    </row>
    <row r="13" customFormat="false" ht="15" hidden="false" customHeight="true" outlineLevel="0" collapsed="false">
      <c r="A13" s="15" t="str">
        <f aca="false">Data!$A13</f>
        <v>Avalon Media System</v>
      </c>
      <c r="B13" s="15" t="str">
        <f aca="false">Data!$B13</f>
        <v>Indiana University Libraries</v>
      </c>
      <c r="C13" s="15" t="str">
        <f aca="false">Data!$E13</f>
        <v>Digital library, collection or exhibit platform | Repository software</v>
      </c>
      <c r="D13" s="28" t="n">
        <f aca="false">IF(Verification!C13="",Calc!B13,Verification!C13)</f>
        <v>1</v>
      </c>
      <c r="E13" s="28" t="n">
        <f aca="false">IF(Verification!D13="",Calc!D13,Verification!D13)</f>
        <v>0.625</v>
      </c>
      <c r="F13" s="28" t="n">
        <f aca="false">IF(Verification!E13="",Calc!G13,Verification!E13)</f>
        <v>1</v>
      </c>
      <c r="G13" s="28" t="n">
        <f aca="false">IF(Verification!F13="",Calc!I13,Verification!F13)</f>
        <v>0.5</v>
      </c>
      <c r="H13" s="28" t="n">
        <f aca="false">IF(Verification!G13="",Calc!E13,Verification!G13)</f>
        <v>1</v>
      </c>
      <c r="I13" s="28" t="n">
        <f aca="false">IF(Verification!H13="",Calc!J13,Verification!H13)</f>
        <v>1</v>
      </c>
      <c r="J13" s="28" t="n">
        <f aca="false">IF(Verification!I13="",Calc!K13,Verification!I13)</f>
        <v>1</v>
      </c>
      <c r="K13" s="29" t="n">
        <f aca="false">IF(COUNT(D13:E13)=0,"NA",(IF(ISNUMBER(D13),D13*Parameters!$E$6,0)+IF(ISNUMBER(E13),E13*Parameters!$E$7,0))/(IF(ISNUMBER(D13),Parameters!$E$6,0)+IF(ISNUMBER(E13),Parameters!$E$7,0))*100)</f>
        <v>72.5</v>
      </c>
      <c r="L13" s="29" t="n">
        <f aca="false">IF(COUNT(F13:H13)=0,"NA",(IF(ISNUMBER(F13),F13*Parameters!$E$8,0)+IF(ISNUMBER(G13),G13*Parameters!$E$9,0)+IF(ISNUMBER(H13),H13*Parameters!$E$10,0))/(IF(ISNUMBER(F13),Parameters!$E$8,0)+IF(ISNUMBER(G13),Parameters!$E$9,0)+IF(ISNUMBER(H13),Parameters!$E$10,0))*100)</f>
        <v>82.8571428571429</v>
      </c>
      <c r="M13" s="29" t="n">
        <f aca="false">IF(COUNT(I13:J13)=0,"NA",(IF(ISNUMBER(I13),I13*Parameters!$E$11,0)+IF(ISNUMBER(J13),J13*Parameters!$E$12,0))/(IF(ISNUMBER(I13),Parameters!$E$11,0)+IF(ISNUMBER(J13),Parameters!$E$12,0))*100)</f>
        <v>100</v>
      </c>
      <c r="N13" s="30" t="n">
        <f aca="false">IF(ISNUMBER(D13),Parameters!$E$6,0)+IF(ISNUMBER(E13),Parameters!$E$7,0)+IF(ISNUMBER(F13),Parameters!$E$8,0)+IF(ISNUMBER(G13),Parameters!$E$9,0)+IF(ISNUMBER(H13),Parameters!$E$10,0)+IF(ISNUMBER(I13),Parameters!$E$11,0)+IF(ISNUMBER(J13),Parameters!$E$12,0)</f>
        <v>1</v>
      </c>
      <c r="O13" s="31" t="n">
        <f aca="false">IF(ISNUMBER(D13),D13*Parameters!$E$6,0)+IF(ISNUMBER(E13),E13*Parameters!$E$7,0)+IF(ISNUMBER(F13),F13*Parameters!$E$8,0)+IF(ISNUMBER(G13),G13*Parameters!$E$9,0)+IF(ISNUMBER(H13),H13*Parameters!$E$10,0)+IF(ISNUMBER(I13),I13*Parameters!$E$11,0)+IF(ISNUMBER(J13),J13*Parameters!$E$12,0)</f>
        <v>0.8575</v>
      </c>
      <c r="P13" s="32" t="n">
        <f aca="false">COUNT(D13:J13)</f>
        <v>7</v>
      </c>
      <c r="Q13" s="32" t="n">
        <f aca="false">(COUNT(D13:E13)&gt;0)+(COUNT(F13:H13)&gt;0)+(COUNT(I13:J13)&gt;0)</f>
        <v>3</v>
      </c>
      <c r="R13" s="32" t="str">
        <f aca="false">IF(AND(N13&gt;=Parameters!$C$56,Q13&gt;=Parameters!$C$59),"Yes","No")</f>
        <v>Yes</v>
      </c>
      <c r="S13" s="33" t="n">
        <f aca="false">IF(R13="Yes",O13/N13*100,"NA")</f>
        <v>85.75</v>
      </c>
      <c r="T13" s="29" t="n">
        <f aca="false">IF(R13="Yes",O13/Parameters!$E$13*100,"NA")</f>
        <v>85.75</v>
      </c>
      <c r="U13" s="29" t="n">
        <f aca="false">IF(R13="Yes",(O13+(Parameters!$E$13-N13))/Parameters!$E$13*100,"NA")</f>
        <v>85.75</v>
      </c>
      <c r="V13" s="34" t="str">
        <f aca="false">IF(R13&lt;&gt;"Yes","Not scored",IF(N13&gt;=Parameters!$C$60,"Reportable","Provisional"))</f>
        <v>Reportable</v>
      </c>
      <c r="W13" s="32" t="n">
        <f aca="false">IF(ISNUMBER(S13),RANK(S13,$S$2:$S$113,0),"NA")</f>
        <v>28</v>
      </c>
      <c r="X13" s="32" t="str">
        <f aca="false">IF(N13&gt;=Parameters!$C$60,"High",IF(N13&gt;=Parameters!$C$56,"Medium","Low"))</f>
        <v>High</v>
      </c>
      <c r="Y13" s="32" t="n">
        <f aca="false">Calc!T13</f>
        <v>0</v>
      </c>
      <c r="Z13" s="35" t="n">
        <f aca="false">IF(V13="Reportable",S13-ROW()*0.000000001,"")</f>
        <v>85.749999987</v>
      </c>
      <c r="AA13" s="35" t="n">
        <f aca="false">IF(ISNUMBER(Z13),RANK(Z13,$Z$2:$Z$113,0),"NA")</f>
        <v>17</v>
      </c>
    </row>
    <row r="14" customFormat="false" ht="15" hidden="false" customHeight="true" outlineLevel="0" collapsed="false">
      <c r="A14" s="15" t="str">
        <f aca="false">Data!$A14</f>
        <v>Biodiversity Heritage Library</v>
      </c>
      <c r="B14" s="15" t="str">
        <f aca="false">Data!$B14</f>
        <v>BHL Consortium</v>
      </c>
      <c r="C14" s="15" t="str">
        <f aca="false">Data!$E14</f>
        <v>Digital library, collection or exhibit platform | Open scholarly dataset | Repository service</v>
      </c>
      <c r="D14" s="28" t="n">
        <f aca="false">IF(Verification!C14="",Calc!B14,Verification!C14)</f>
        <v>1</v>
      </c>
      <c r="E14" s="28" t="n">
        <f aca="false">IF(Verification!D14="",Calc!D14,Verification!D14)</f>
        <v>0.875</v>
      </c>
      <c r="F14" s="28" t="n">
        <f aca="false">IF(Verification!E14="",Calc!G14,Verification!E14)</f>
        <v>0.166666666666667</v>
      </c>
      <c r="G14" s="28" t="n">
        <f aca="false">IF(Verification!F14="",Calc!I14,Verification!F14)</f>
        <v>0.5</v>
      </c>
      <c r="H14" s="28" t="n">
        <f aca="false">IF(Verification!G14="",Calc!E14,Verification!G14)</f>
        <v>1</v>
      </c>
      <c r="I14" s="28" t="n">
        <f aca="false">IF(Verification!H14="",Calc!J14,Verification!H14)</f>
        <v>1</v>
      </c>
      <c r="J14" s="28" t="n">
        <f aca="false">IF(Verification!I14="",Calc!K14,Verification!I14)</f>
        <v>1</v>
      </c>
      <c r="K14" s="29" t="n">
        <f aca="false">IF(COUNT(D14:E14)=0,"NA",(IF(ISNUMBER(D14),D14*Parameters!$E$6,0)+IF(ISNUMBER(E14),E14*Parameters!$E$7,0))/(IF(ISNUMBER(D14),Parameters!$E$6,0)+IF(ISNUMBER(E14),Parameters!$E$7,0))*100)</f>
        <v>90.8333333333333</v>
      </c>
      <c r="L14" s="29" t="n">
        <f aca="false">IF(COUNT(F14:H14)=0,"NA",(IF(ISNUMBER(F14),F14*Parameters!$E$8,0)+IF(ISNUMBER(G14),G14*Parameters!$E$9,0)+IF(ISNUMBER(H14),H14*Parameters!$E$10,0))/(IF(ISNUMBER(F14),Parameters!$E$8,0)+IF(ISNUMBER(G14),Parameters!$E$9,0)+IF(ISNUMBER(H14),Parameters!$E$10,0))*100)</f>
        <v>40</v>
      </c>
      <c r="M14" s="29" t="n">
        <f aca="false">IF(COUNT(I14:J14)=0,"NA",(IF(ISNUMBER(I14),I14*Parameters!$E$11,0)+IF(ISNUMBER(J14),J14*Parameters!$E$12,0))/(IF(ISNUMBER(I14),Parameters!$E$11,0)+IF(ISNUMBER(J14),Parameters!$E$12,0))*100)</f>
        <v>100</v>
      </c>
      <c r="N14" s="30" t="n">
        <f aca="false">IF(ISNUMBER(D14),Parameters!$E$6,0)+IF(ISNUMBER(E14),Parameters!$E$7,0)+IF(ISNUMBER(F14),Parameters!$E$8,0)+IF(ISNUMBER(G14),Parameters!$E$9,0)+IF(ISNUMBER(H14),Parameters!$E$10,0)+IF(ISNUMBER(I14),Parameters!$E$11,0)+IF(ISNUMBER(J14),Parameters!$E$12,0)</f>
        <v>1</v>
      </c>
      <c r="O14" s="31" t="n">
        <f aca="false">IF(ISNUMBER(D14),D14*Parameters!$E$6,0)+IF(ISNUMBER(E14),E14*Parameters!$E$7,0)+IF(ISNUMBER(F14),F14*Parameters!$E$8,0)+IF(ISNUMBER(G14),G14*Parameters!$E$9,0)+IF(ISNUMBER(H14),H14*Parameters!$E$10,0)+IF(ISNUMBER(I14),I14*Parameters!$E$11,0)+IF(ISNUMBER(J14),J14*Parameters!$E$12,0)</f>
        <v>0.7625</v>
      </c>
      <c r="P14" s="32" t="n">
        <f aca="false">COUNT(D14:J14)</f>
        <v>7</v>
      </c>
      <c r="Q14" s="32" t="n">
        <f aca="false">(COUNT(D14:E14)&gt;0)+(COUNT(F14:H14)&gt;0)+(COUNT(I14:J14)&gt;0)</f>
        <v>3</v>
      </c>
      <c r="R14" s="32" t="str">
        <f aca="false">IF(AND(N14&gt;=Parameters!$C$56,Q14&gt;=Parameters!$C$59),"Yes","No")</f>
        <v>Yes</v>
      </c>
      <c r="S14" s="33" t="n">
        <f aca="false">IF(R14="Yes",O14/N14*100,"NA")</f>
        <v>76.25</v>
      </c>
      <c r="T14" s="29" t="n">
        <f aca="false">IF(R14="Yes",O14/Parameters!$E$13*100,"NA")</f>
        <v>76.25</v>
      </c>
      <c r="U14" s="29" t="n">
        <f aca="false">IF(R14="Yes",(O14+(Parameters!$E$13-N14))/Parameters!$E$13*100,"NA")</f>
        <v>76.25</v>
      </c>
      <c r="V14" s="34" t="str">
        <f aca="false">IF(R14&lt;&gt;"Yes","Not scored",IF(N14&gt;=Parameters!$C$60,"Reportable","Provisional"))</f>
        <v>Reportable</v>
      </c>
      <c r="W14" s="32" t="n">
        <f aca="false">IF(ISNUMBER(S14),RANK(S14,$S$2:$S$113,0),"NA")</f>
        <v>47</v>
      </c>
      <c r="X14" s="32" t="str">
        <f aca="false">IF(N14&gt;=Parameters!$C$60,"High",IF(N14&gt;=Parameters!$C$56,"Medium","Low"))</f>
        <v>High</v>
      </c>
      <c r="Y14" s="32" t="n">
        <f aca="false">Calc!T14</f>
        <v>0</v>
      </c>
      <c r="Z14" s="35" t="n">
        <f aca="false">IF(V14="Reportable",S14-ROW()*0.000000001,"")</f>
        <v>76.249999986</v>
      </c>
      <c r="AA14" s="35" t="n">
        <f aca="false">IF(ISNUMBER(Z14),RANK(Z14,$Z$2:$Z$113,0),"NA")</f>
        <v>27</v>
      </c>
    </row>
    <row r="15" customFormat="false" ht="15" hidden="false" customHeight="true" outlineLevel="0" collapsed="false">
      <c r="A15" s="15" t="str">
        <f aca="false">Data!$A15</f>
        <v>bioRxiv</v>
      </c>
      <c r="B15" s="15" t="str">
        <f aca="false">Data!$B15</f>
        <v>Cold Spring Harbor Laboratory</v>
      </c>
      <c r="C15" s="15" t="str">
        <f aca="false">Data!$E15</f>
        <v>Repository service</v>
      </c>
      <c r="D15" s="28" t="n">
        <f aca="false">IF(Verification!C15="",Calc!B15,Verification!C15)</f>
        <v>1</v>
      </c>
      <c r="E15" s="28" t="str">
        <f aca="false">IF(Verification!D15="",Calc!D15,Verification!D15)</f>
        <v>NA</v>
      </c>
      <c r="F15" s="28" t="str">
        <f aca="false">IF(Verification!E15="",Calc!G15,Verification!E15)</f>
        <v>NA</v>
      </c>
      <c r="G15" s="28" t="str">
        <f aca="false">IF(Verification!F15="",Calc!I15,Verification!F15)</f>
        <v>NA</v>
      </c>
      <c r="H15" s="28" t="str">
        <f aca="false">IF(Verification!G15="",Calc!E15,Verification!G15)</f>
        <v>NA</v>
      </c>
      <c r="I15" s="28" t="n">
        <f aca="false">IF(Verification!H15="",Calc!J15,Verification!H15)</f>
        <v>0.33</v>
      </c>
      <c r="J15" s="28" t="n">
        <f aca="false">IF(Verification!I15="",Calc!K15,Verification!I15)</f>
        <v>0.5</v>
      </c>
      <c r="K15" s="29" t="n">
        <f aca="false">IF(COUNT(D15:E15)=0,"NA",(IF(ISNUMBER(D15),D15*Parameters!$E$6,0)+IF(ISNUMBER(E15),E15*Parameters!$E$7,0))/(IF(ISNUMBER(D15),Parameters!$E$6,0)+IF(ISNUMBER(E15),Parameters!$E$7,0))*100)</f>
        <v>100</v>
      </c>
      <c r="L15" s="29" t="str">
        <f aca="false">IF(COUNT(F15:H15)=0,"NA",(IF(ISNUMBER(F15),F15*Parameters!$E$8,0)+IF(ISNUMBER(G15),G15*Parameters!$E$9,0)+IF(ISNUMBER(H15),H15*Parameters!$E$10,0))/(IF(ISNUMBER(F15),Parameters!$E$8,0)+IF(ISNUMBER(G15),Parameters!$E$9,0)+IF(ISNUMBER(H15),Parameters!$E$10,0))*100)</f>
        <v>NA</v>
      </c>
      <c r="M15" s="29" t="n">
        <f aca="false">IF(COUNT(I15:J15)=0,"NA",(IF(ISNUMBER(I15),I15*Parameters!$E$11,0)+IF(ISNUMBER(J15),J15*Parameters!$E$12,0))/(IF(ISNUMBER(I15),Parameters!$E$11,0)+IF(ISNUMBER(J15),Parameters!$E$12,0))*100)</f>
        <v>42.7142857142857</v>
      </c>
      <c r="N15" s="30" t="n">
        <f aca="false">IF(ISNUMBER(D15),Parameters!$E$6,0)+IF(ISNUMBER(E15),Parameters!$E$7,0)+IF(ISNUMBER(F15),Parameters!$E$8,0)+IF(ISNUMBER(G15),Parameters!$E$9,0)+IF(ISNUMBER(H15),Parameters!$E$10,0)+IF(ISNUMBER(I15),Parameters!$E$11,0)+IF(ISNUMBER(J15),Parameters!$E$12,0)</f>
        <v>0.43</v>
      </c>
      <c r="O15" s="31" t="n">
        <f aca="false">IF(ISNUMBER(D15),D15*Parameters!$E$6,0)+IF(ISNUMBER(E15),E15*Parameters!$E$7,0)+IF(ISNUMBER(F15),F15*Parameters!$E$8,0)+IF(ISNUMBER(G15),G15*Parameters!$E$9,0)+IF(ISNUMBER(H15),H15*Parameters!$E$10,0)+IF(ISNUMBER(I15),I15*Parameters!$E$11,0)+IF(ISNUMBER(J15),J15*Parameters!$E$12,0)</f>
        <v>0.2295</v>
      </c>
      <c r="P15" s="32" t="n">
        <f aca="false">COUNT(D15:J15)</f>
        <v>3</v>
      </c>
      <c r="Q15" s="32" t="n">
        <f aca="false">(COUNT(D15:E15)&gt;0)+(COUNT(F15:H15)&gt;0)+(COUNT(I15:J15)&gt;0)</f>
        <v>2</v>
      </c>
      <c r="R15" s="32" t="str">
        <f aca="false">IF(AND(N15&gt;=Parameters!$C$56,Q15&gt;=Parameters!$C$59),"Yes","No")</f>
        <v>No</v>
      </c>
      <c r="S15" s="33" t="str">
        <f aca="false">IF(R15="Yes",O15/N15*100,"NA")</f>
        <v>NA</v>
      </c>
      <c r="T15" s="29" t="str">
        <f aca="false">IF(R15="Yes",O15/Parameters!$E$13*100,"NA")</f>
        <v>NA</v>
      </c>
      <c r="U15" s="29" t="str">
        <f aca="false">IF(R15="Yes",(O15+(Parameters!$E$13-N15))/Parameters!$E$13*100,"NA")</f>
        <v>NA</v>
      </c>
      <c r="V15" s="34" t="str">
        <f aca="false">IF(R15&lt;&gt;"Yes","Not scored",IF(N15&gt;=Parameters!$C$60,"Reportable","Provisional"))</f>
        <v>Not scored</v>
      </c>
      <c r="W15" s="32" t="str">
        <f aca="false">IF(ISNUMBER(S15),RANK(S15,$S$2:$S$113,0),"NA")</f>
        <v>NA</v>
      </c>
      <c r="X15" s="32" t="str">
        <f aca="false">IF(N15&gt;=Parameters!$C$60,"High",IF(N15&gt;=Parameters!$C$56,"Medium","Low"))</f>
        <v>Low</v>
      </c>
      <c r="Y15" s="32" t="n">
        <f aca="false">Calc!T15</f>
        <v>2</v>
      </c>
      <c r="Z15" s="35" t="str">
        <f aca="false">IF(V15="Reportable",S15-ROW()*0.000000001,"")</f>
        <v/>
      </c>
      <c r="AA15" s="35" t="str">
        <f aca="false">IF(ISNUMBER(Z15),RANK(Z15,$Z$2:$Z$113,0),"NA")</f>
        <v>NA</v>
      </c>
    </row>
    <row r="16" customFormat="false" ht="15" hidden="false" customHeight="true" outlineLevel="0" collapsed="false">
      <c r="A16" s="15" t="str">
        <f aca="false">Data!$A16</f>
        <v>BitCurator Environment</v>
      </c>
      <c r="B16" s="15" t="str">
        <f aca="false">Data!$B16</f>
        <v>BitCurator Consortium</v>
      </c>
      <c r="C16" s="15" t="str">
        <f aca="false">Data!$E16</f>
        <v>Digital preservation tool</v>
      </c>
      <c r="D16" s="28" t="n">
        <f aca="false">IF(Verification!C16="",Calc!B16,Verification!C16)</f>
        <v>1</v>
      </c>
      <c r="E16" s="28" t="n">
        <f aca="false">IF(Verification!D16="",Calc!D16,Verification!D16)</f>
        <v>0.875</v>
      </c>
      <c r="F16" s="28" t="n">
        <f aca="false">IF(Verification!E16="",Calc!G16,Verification!E16)</f>
        <v>0.833333333333333</v>
      </c>
      <c r="G16" s="28" t="n">
        <f aca="false">IF(Verification!F16="",Calc!I16,Verification!F16)</f>
        <v>0.5</v>
      </c>
      <c r="H16" s="28" t="n">
        <f aca="false">IF(Verification!G16="",Calc!E16,Verification!G16)</f>
        <v>1</v>
      </c>
      <c r="I16" s="28" t="n">
        <f aca="false">IF(Verification!H16="",Calc!J16,Verification!H16)</f>
        <v>1</v>
      </c>
      <c r="J16" s="28" t="n">
        <f aca="false">IF(Verification!I16="",Calc!K16,Verification!I16)</f>
        <v>1</v>
      </c>
      <c r="K16" s="29" t="n">
        <f aca="false">IF(COUNT(D16:E16)=0,"NA",(IF(ISNUMBER(D16),D16*Parameters!$E$6,0)+IF(ISNUMBER(E16),E16*Parameters!$E$7,0))/(IF(ISNUMBER(D16),Parameters!$E$6,0)+IF(ISNUMBER(E16),Parameters!$E$7,0))*100)</f>
        <v>90.8333333333333</v>
      </c>
      <c r="L16" s="29" t="n">
        <f aca="false">IF(COUNT(F16:H16)=0,"NA",(IF(ISNUMBER(F16),F16*Parameters!$E$8,0)+IF(ISNUMBER(G16),G16*Parameters!$E$9,0)+IF(ISNUMBER(H16),H16*Parameters!$E$10,0))/(IF(ISNUMBER(F16),Parameters!$E$8,0)+IF(ISNUMBER(G16),Parameters!$E$9,0)+IF(ISNUMBER(H16),Parameters!$E$10,0))*100)</f>
        <v>74.2857142857143</v>
      </c>
      <c r="M16" s="29" t="n">
        <f aca="false">IF(COUNT(I16:J16)=0,"NA",(IF(ISNUMBER(I16),I16*Parameters!$E$11,0)+IF(ISNUMBER(J16),J16*Parameters!$E$12,0))/(IF(ISNUMBER(I16),Parameters!$E$11,0)+IF(ISNUMBER(J16),Parameters!$E$12,0))*100)</f>
        <v>100</v>
      </c>
      <c r="N16" s="30" t="n">
        <f aca="false">IF(ISNUMBER(D16),Parameters!$E$6,0)+IF(ISNUMBER(E16),Parameters!$E$7,0)+IF(ISNUMBER(F16),Parameters!$E$8,0)+IF(ISNUMBER(G16),Parameters!$E$9,0)+IF(ISNUMBER(H16),Parameters!$E$10,0)+IF(ISNUMBER(I16),Parameters!$E$11,0)+IF(ISNUMBER(J16),Parameters!$E$12,0)</f>
        <v>1</v>
      </c>
      <c r="O16" s="31" t="n">
        <f aca="false">IF(ISNUMBER(D16),D16*Parameters!$E$6,0)+IF(ISNUMBER(E16),E16*Parameters!$E$7,0)+IF(ISNUMBER(F16),F16*Parameters!$E$8,0)+IF(ISNUMBER(G16),G16*Parameters!$E$9,0)+IF(ISNUMBER(H16),H16*Parameters!$E$10,0)+IF(ISNUMBER(I16),I16*Parameters!$E$11,0)+IF(ISNUMBER(J16),J16*Parameters!$E$12,0)</f>
        <v>0.8825</v>
      </c>
      <c r="P16" s="32" t="n">
        <f aca="false">COUNT(D16:J16)</f>
        <v>7</v>
      </c>
      <c r="Q16" s="32" t="n">
        <f aca="false">(COUNT(D16:E16)&gt;0)+(COUNT(F16:H16)&gt;0)+(COUNT(I16:J16)&gt;0)</f>
        <v>3</v>
      </c>
      <c r="R16" s="32" t="str">
        <f aca="false">IF(AND(N16&gt;=Parameters!$C$56,Q16&gt;=Parameters!$C$59),"Yes","No")</f>
        <v>Yes</v>
      </c>
      <c r="S16" s="33" t="n">
        <f aca="false">IF(R16="Yes",O16/N16*100,"NA")</f>
        <v>88.25</v>
      </c>
      <c r="T16" s="29" t="n">
        <f aca="false">IF(R16="Yes",O16/Parameters!$E$13*100,"NA")</f>
        <v>88.25</v>
      </c>
      <c r="U16" s="29" t="n">
        <f aca="false">IF(R16="Yes",(O16+(Parameters!$E$13-N16))/Parameters!$E$13*100,"NA")</f>
        <v>88.25</v>
      </c>
      <c r="V16" s="34" t="str">
        <f aca="false">IF(R16&lt;&gt;"Yes","Not scored",IF(N16&gt;=Parameters!$C$60,"Reportable","Provisional"))</f>
        <v>Reportable</v>
      </c>
      <c r="W16" s="32" t="n">
        <f aca="false">IF(ISNUMBER(S16),RANK(S16,$S$2:$S$113,0),"NA")</f>
        <v>25</v>
      </c>
      <c r="X16" s="32" t="str">
        <f aca="false">IF(N16&gt;=Parameters!$C$60,"High",IF(N16&gt;=Parameters!$C$56,"Medium","Low"))</f>
        <v>High</v>
      </c>
      <c r="Y16" s="32" t="n">
        <f aca="false">Calc!T16</f>
        <v>0</v>
      </c>
      <c r="Z16" s="35" t="n">
        <f aca="false">IF(V16="Reportable",S16-ROW()*0.000000001,"")</f>
        <v>88.249999984</v>
      </c>
      <c r="AA16" s="35" t="n">
        <f aca="false">IF(ISNUMBER(Z16),RANK(Z16,$Z$2:$Z$113,0),"NA")</f>
        <v>15</v>
      </c>
    </row>
    <row r="17" customFormat="false" ht="15" hidden="false" customHeight="true" outlineLevel="0" collapsed="false">
      <c r="A17" s="15" t="str">
        <f aca="false">Data!$A17</f>
        <v>Blacklight</v>
      </c>
      <c r="B17" s="15" t="str">
        <f aca="false">Data!$B17</f>
        <v>Blacklight</v>
      </c>
      <c r="C17" s="15" t="str">
        <f aca="false">Data!$E17</f>
        <v>Discovery system | Integrated Library System (ILS) or Library Services Platform (LSP)</v>
      </c>
      <c r="D17" s="28" t="n">
        <f aca="false">IF(Verification!C17="",Calc!B17,Verification!C17)</f>
        <v>1</v>
      </c>
      <c r="E17" s="28" t="n">
        <f aca="false">IF(Verification!D17="",Calc!D17,Verification!D17)</f>
        <v>1</v>
      </c>
      <c r="F17" s="28" t="n">
        <f aca="false">IF(Verification!E17="",Calc!G17,Verification!E17)</f>
        <v>1</v>
      </c>
      <c r="G17" s="28" t="n">
        <f aca="false">IF(Verification!F17="",Calc!I17,Verification!F17)</f>
        <v>1</v>
      </c>
      <c r="H17" s="28" t="n">
        <f aca="false">IF(Verification!G17="",Calc!E17,Verification!G17)</f>
        <v>1</v>
      </c>
      <c r="I17" s="28" t="n">
        <f aca="false">IF(Verification!H17="",Calc!J17,Verification!H17)</f>
        <v>0.67</v>
      </c>
      <c r="J17" s="28" t="n">
        <f aca="false">IF(Verification!I17="",Calc!K17,Verification!I17)</f>
        <v>0.5</v>
      </c>
      <c r="K17" s="29" t="n">
        <f aca="false">IF(COUNT(D17:E17)=0,"NA",(IF(ISNUMBER(D17),D17*Parameters!$E$6,0)+IF(ISNUMBER(E17),E17*Parameters!$E$7,0))/(IF(ISNUMBER(D17),Parameters!$E$6,0)+IF(ISNUMBER(E17),Parameters!$E$7,0))*100)</f>
        <v>100</v>
      </c>
      <c r="L17" s="29" t="n">
        <f aca="false">IF(COUNT(F17:H17)=0,"NA",(IF(ISNUMBER(F17),F17*Parameters!$E$8,0)+IF(ISNUMBER(G17),G17*Parameters!$E$9,0)+IF(ISNUMBER(H17),H17*Parameters!$E$10,0))/(IF(ISNUMBER(F17),Parameters!$E$8,0)+IF(ISNUMBER(G17),Parameters!$E$9,0)+IF(ISNUMBER(H17),Parameters!$E$10,0))*100)</f>
        <v>100</v>
      </c>
      <c r="M17" s="29" t="n">
        <f aca="false">IF(COUNT(I17:J17)=0,"NA",(IF(ISNUMBER(I17),I17*Parameters!$E$11,0)+IF(ISNUMBER(J17),J17*Parameters!$E$12,0))/(IF(ISNUMBER(I17),Parameters!$E$11,0)+IF(ISNUMBER(J17),Parameters!$E$12,0))*100)</f>
        <v>57.2857142857143</v>
      </c>
      <c r="N17" s="30" t="n">
        <f aca="false">IF(ISNUMBER(D17),Parameters!$E$6,0)+IF(ISNUMBER(E17),Parameters!$E$7,0)+IF(ISNUMBER(F17),Parameters!$E$8,0)+IF(ISNUMBER(G17),Parameters!$E$9,0)+IF(ISNUMBER(H17),Parameters!$E$10,0)+IF(ISNUMBER(I17),Parameters!$E$11,0)+IF(ISNUMBER(J17),Parameters!$E$12,0)</f>
        <v>1</v>
      </c>
      <c r="O17" s="31" t="n">
        <f aca="false">IF(ISNUMBER(D17),D17*Parameters!$E$6,0)+IF(ISNUMBER(E17),E17*Parameters!$E$7,0)+IF(ISNUMBER(F17),F17*Parameters!$E$8,0)+IF(ISNUMBER(G17),G17*Parameters!$E$9,0)+IF(ISNUMBER(H17),H17*Parameters!$E$10,0)+IF(ISNUMBER(I17),I17*Parameters!$E$11,0)+IF(ISNUMBER(J17),J17*Parameters!$E$12,0)</f>
        <v>0.8505</v>
      </c>
      <c r="P17" s="32" t="n">
        <f aca="false">COUNT(D17:J17)</f>
        <v>7</v>
      </c>
      <c r="Q17" s="32" t="n">
        <f aca="false">(COUNT(D17:E17)&gt;0)+(COUNT(F17:H17)&gt;0)+(COUNT(I17:J17)&gt;0)</f>
        <v>3</v>
      </c>
      <c r="R17" s="32" t="str">
        <f aca="false">IF(AND(N17&gt;=Parameters!$C$56,Q17&gt;=Parameters!$C$59),"Yes","No")</f>
        <v>Yes</v>
      </c>
      <c r="S17" s="33" t="n">
        <f aca="false">IF(R17="Yes",O17/N17*100,"NA")</f>
        <v>85.05</v>
      </c>
      <c r="T17" s="29" t="n">
        <f aca="false">IF(R17="Yes",O17/Parameters!$E$13*100,"NA")</f>
        <v>85.05</v>
      </c>
      <c r="U17" s="29" t="n">
        <f aca="false">IF(R17="Yes",(O17+(Parameters!$E$13-N17))/Parameters!$E$13*100,"NA")</f>
        <v>85.05</v>
      </c>
      <c r="V17" s="34" t="str">
        <f aca="false">IF(R17&lt;&gt;"Yes","Not scored",IF(N17&gt;=Parameters!$C$60,"Reportable","Provisional"))</f>
        <v>Reportable</v>
      </c>
      <c r="W17" s="32" t="n">
        <f aca="false">IF(ISNUMBER(S17),RANK(S17,$S$2:$S$113,0),"NA")</f>
        <v>29</v>
      </c>
      <c r="X17" s="32" t="str">
        <f aca="false">IF(N17&gt;=Parameters!$C$60,"High",IF(N17&gt;=Parameters!$C$56,"Medium","Low"))</f>
        <v>High</v>
      </c>
      <c r="Y17" s="32" t="n">
        <f aca="false">Calc!T17</f>
        <v>0</v>
      </c>
      <c r="Z17" s="35" t="n">
        <f aca="false">IF(V17="Reportable",S17-ROW()*0.000000001,"")</f>
        <v>85.049999983</v>
      </c>
      <c r="AA17" s="35" t="n">
        <f aca="false">IF(ISNUMBER(Z17),RANK(Z17,$Z$2:$Z$113,0),"NA")</f>
        <v>18</v>
      </c>
    </row>
    <row r="18" customFormat="false" ht="15" hidden="false" customHeight="true" outlineLevel="0" collapsed="false">
      <c r="A18" s="15" t="str">
        <f aca="false">Data!$A18</f>
        <v>BrCRIS</v>
      </c>
      <c r="B18" s="15" t="str">
        <f aca="false">Data!$B18</f>
        <v>IBICT</v>
      </c>
      <c r="C18" s="15" t="str">
        <f aca="false">Data!$E18</f>
        <v>Discovery system | Research profiling system</v>
      </c>
      <c r="D18" s="28" t="n">
        <f aca="false">IF(Verification!C18="",Calc!B18,Verification!C18)</f>
        <v>0.67</v>
      </c>
      <c r="E18" s="28" t="str">
        <f aca="false">IF(Verification!D18="",Calc!D18,Verification!D18)</f>
        <v>NA</v>
      </c>
      <c r="F18" s="28" t="str">
        <f aca="false">IF(Verification!E18="",Calc!G18,Verification!E18)</f>
        <v>NA</v>
      </c>
      <c r="G18" s="28" t="str">
        <f aca="false">IF(Verification!F18="",Calc!I18,Verification!F18)</f>
        <v>NA</v>
      </c>
      <c r="H18" s="28" t="n">
        <f aca="false">IF(Verification!G18="",Calc!E18,Verification!G18)</f>
        <v>1</v>
      </c>
      <c r="I18" s="28" t="n">
        <f aca="false">IF(Verification!H18="",Calc!J18,Verification!H18)</f>
        <v>1</v>
      </c>
      <c r="J18" s="28" t="n">
        <f aca="false">IF(Verification!I18="",Calc!K18,Verification!I18)</f>
        <v>0.5</v>
      </c>
      <c r="K18" s="29" t="n">
        <f aca="false">IF(COUNT(D18:E18)=0,"NA",(IF(ISNUMBER(D18),D18*Parameters!$E$6,0)+IF(ISNUMBER(E18),E18*Parameters!$E$7,0))/(IF(ISNUMBER(D18),Parameters!$E$6,0)+IF(ISNUMBER(E18),Parameters!$E$7,0))*100)</f>
        <v>67</v>
      </c>
      <c r="L18" s="29" t="n">
        <f aca="false">IF(COUNT(F18:H18)=0,"NA",(IF(ISNUMBER(F18),F18*Parameters!$E$8,0)+IF(ISNUMBER(G18),G18*Parameters!$E$9,0)+IF(ISNUMBER(H18),H18*Parameters!$E$10,0))/(IF(ISNUMBER(F18),Parameters!$E$8,0)+IF(ISNUMBER(G18),Parameters!$E$9,0)+IF(ISNUMBER(H18),Parameters!$E$10,0))*100)</f>
        <v>100</v>
      </c>
      <c r="M18" s="29" t="n">
        <f aca="false">IF(COUNT(I18:J18)=0,"NA",(IF(ISNUMBER(I18),I18*Parameters!$E$11,0)+IF(ISNUMBER(J18),J18*Parameters!$E$12,0))/(IF(ISNUMBER(I18),Parameters!$E$11,0)+IF(ISNUMBER(J18),Parameters!$E$12,0))*100)</f>
        <v>71.4285714285714</v>
      </c>
      <c r="N18" s="30" t="n">
        <f aca="false">IF(ISNUMBER(D18),Parameters!$E$6,0)+IF(ISNUMBER(E18),Parameters!$E$7,0)+IF(ISNUMBER(F18),Parameters!$E$8,0)+IF(ISNUMBER(G18),Parameters!$E$9,0)+IF(ISNUMBER(H18),Parameters!$E$10,0)+IF(ISNUMBER(I18),Parameters!$E$11,0)+IF(ISNUMBER(J18),Parameters!$E$12,0)</f>
        <v>0.48</v>
      </c>
      <c r="O18" s="31" t="n">
        <f aca="false">IF(ISNUMBER(D18),D18*Parameters!$E$6,0)+IF(ISNUMBER(E18),E18*Parameters!$E$7,0)+IF(ISNUMBER(F18),F18*Parameters!$E$8,0)+IF(ISNUMBER(G18),G18*Parameters!$E$9,0)+IF(ISNUMBER(H18),H18*Parameters!$E$10,0)+IF(ISNUMBER(I18),I18*Parameters!$E$11,0)+IF(ISNUMBER(J18),J18*Parameters!$E$12,0)</f>
        <v>0.3536</v>
      </c>
      <c r="P18" s="32" t="n">
        <f aca="false">COUNT(D18:J18)</f>
        <v>4</v>
      </c>
      <c r="Q18" s="32" t="n">
        <f aca="false">(COUNT(D18:E18)&gt;0)+(COUNT(F18:H18)&gt;0)+(COUNT(I18:J18)&gt;0)</f>
        <v>3</v>
      </c>
      <c r="R18" s="32" t="str">
        <f aca="false">IF(AND(N18&gt;=Parameters!$C$56,Q18&gt;=Parameters!$C$59),"Yes","No")</f>
        <v>No</v>
      </c>
      <c r="S18" s="33" t="str">
        <f aca="false">IF(R18="Yes",O18/N18*100,"NA")</f>
        <v>NA</v>
      </c>
      <c r="T18" s="29" t="str">
        <f aca="false">IF(R18="Yes",O18/Parameters!$E$13*100,"NA")</f>
        <v>NA</v>
      </c>
      <c r="U18" s="29" t="str">
        <f aca="false">IF(R18="Yes",(O18+(Parameters!$E$13-N18))/Parameters!$E$13*100,"NA")</f>
        <v>NA</v>
      </c>
      <c r="V18" s="34" t="str">
        <f aca="false">IF(R18&lt;&gt;"Yes","Not scored",IF(N18&gt;=Parameters!$C$60,"Reportable","Provisional"))</f>
        <v>Not scored</v>
      </c>
      <c r="W18" s="32" t="str">
        <f aca="false">IF(ISNUMBER(S18),RANK(S18,$S$2:$S$113,0),"NA")</f>
        <v>NA</v>
      </c>
      <c r="X18" s="32" t="str">
        <f aca="false">IF(N18&gt;=Parameters!$C$60,"High",IF(N18&gt;=Parameters!$C$56,"Medium","Low"))</f>
        <v>Low</v>
      </c>
      <c r="Y18" s="32" t="n">
        <f aca="false">Calc!T18</f>
        <v>0</v>
      </c>
      <c r="Z18" s="35" t="str">
        <f aca="false">IF(V18="Reportable",S18-ROW()*0.000000001,"")</f>
        <v/>
      </c>
      <c r="AA18" s="35" t="str">
        <f aca="false">IF(ISNUMBER(Z18),RANK(Z18,$Z$2:$Z$113,0),"NA")</f>
        <v>NA</v>
      </c>
    </row>
    <row r="19" customFormat="false" ht="15" hidden="false" customHeight="true" outlineLevel="0" collapsed="false">
      <c r="A19" s="15" t="str">
        <f aca="false">Data!$A19</f>
        <v>Browsertrix</v>
      </c>
      <c r="B19" s="15" t="str">
        <f aca="false">Data!$B19</f>
        <v>Webrecorder</v>
      </c>
      <c r="C19" s="15" t="str">
        <f aca="false">Data!$E19</f>
        <v>Digital library, collection or exhibit platform | Web archiving system</v>
      </c>
      <c r="D19" s="28" t="n">
        <f aca="false">IF(Verification!C19="",Calc!B19,Verification!C19)</f>
        <v>1</v>
      </c>
      <c r="E19" s="28" t="n">
        <f aca="false">IF(Verification!D19="",Calc!D19,Verification!D19)</f>
        <v>0.125</v>
      </c>
      <c r="F19" s="28" t="n">
        <f aca="false">IF(Verification!E19="",Calc!G19,Verification!E19)</f>
        <v>0.333333333333333</v>
      </c>
      <c r="G19" s="28" t="str">
        <f aca="false">IF(Verification!F19="",Calc!I19,Verification!F19)</f>
        <v>NA</v>
      </c>
      <c r="H19" s="28" t="n">
        <f aca="false">IF(Verification!G19="",Calc!E19,Verification!G19)</f>
        <v>1</v>
      </c>
      <c r="I19" s="28" t="n">
        <f aca="false">IF(Verification!H19="",Calc!J19,Verification!H19)</f>
        <v>1</v>
      </c>
      <c r="J19" s="28" t="str">
        <f aca="false">IF(Verification!I19="",Calc!K19,Verification!I19)</f>
        <v>NA</v>
      </c>
      <c r="K19" s="29" t="n">
        <f aca="false">IF(COUNT(D19:E19)=0,"NA",(IF(ISNUMBER(D19),D19*Parameters!$E$6,0)+IF(ISNUMBER(E19),E19*Parameters!$E$7,0))/(IF(ISNUMBER(D19),Parameters!$E$6,0)+IF(ISNUMBER(E19),Parameters!$E$7,0))*100)</f>
        <v>35.8333333333333</v>
      </c>
      <c r="L19" s="29" t="n">
        <f aca="false">IF(COUNT(F19:H19)=0,"NA",(IF(ISNUMBER(F19),F19*Parameters!$E$8,0)+IF(ISNUMBER(G19),G19*Parameters!$E$9,0)+IF(ISNUMBER(H19),H19*Parameters!$E$10,0))/(IF(ISNUMBER(F19),Parameters!$E$8,0)+IF(ISNUMBER(G19),Parameters!$E$9,0)+IF(ISNUMBER(H19),Parameters!$E$10,0))*100)</f>
        <v>47.8260869565217</v>
      </c>
      <c r="M19" s="29" t="n">
        <f aca="false">IF(COUNT(I19:J19)=0,"NA",(IF(ISNUMBER(I19),I19*Parameters!$E$11,0)+IF(ISNUMBER(J19),J19*Parameters!$E$12,0))/(IF(ISNUMBER(I19),Parameters!$E$11,0)+IF(ISNUMBER(J19),Parameters!$E$12,0))*100)</f>
        <v>100</v>
      </c>
      <c r="N19" s="30" t="n">
        <f aca="false">IF(ISNUMBER(D19),Parameters!$E$6,0)+IF(ISNUMBER(E19),Parameters!$E$7,0)+IF(ISNUMBER(F19),Parameters!$E$8,0)+IF(ISNUMBER(G19),Parameters!$E$9,0)+IF(ISNUMBER(H19),Parameters!$E$10,0)+IF(ISNUMBER(I19),Parameters!$E$11,0)+IF(ISNUMBER(J19),Parameters!$E$12,0)</f>
        <v>0.68</v>
      </c>
      <c r="O19" s="31" t="n">
        <f aca="false">IF(ISNUMBER(D19),D19*Parameters!$E$6,0)+IF(ISNUMBER(E19),E19*Parameters!$E$7,0)+IF(ISNUMBER(F19),F19*Parameters!$E$8,0)+IF(ISNUMBER(G19),G19*Parameters!$E$9,0)+IF(ISNUMBER(H19),H19*Parameters!$E$10,0)+IF(ISNUMBER(I19),I19*Parameters!$E$11,0)+IF(ISNUMBER(J19),J19*Parameters!$E$12,0)</f>
        <v>0.3675</v>
      </c>
      <c r="P19" s="32" t="n">
        <f aca="false">COUNT(D19:J19)</f>
        <v>5</v>
      </c>
      <c r="Q19" s="32" t="n">
        <f aca="false">(COUNT(D19:E19)&gt;0)+(COUNT(F19:H19)&gt;0)+(COUNT(I19:J19)&gt;0)</f>
        <v>3</v>
      </c>
      <c r="R19" s="32" t="str">
        <f aca="false">IF(AND(N19&gt;=Parameters!$C$56,Q19&gt;=Parameters!$C$59),"Yes","No")</f>
        <v>Yes</v>
      </c>
      <c r="S19" s="33" t="n">
        <f aca="false">IF(R19="Yes",O19/N19*100,"NA")</f>
        <v>54.0441176470588</v>
      </c>
      <c r="T19" s="29" t="n">
        <f aca="false">IF(R19="Yes",O19/Parameters!$E$13*100,"NA")</f>
        <v>36.75</v>
      </c>
      <c r="U19" s="29" t="n">
        <f aca="false">IF(R19="Yes",(O19+(Parameters!$E$13-N19))/Parameters!$E$13*100,"NA")</f>
        <v>68.75</v>
      </c>
      <c r="V19" s="34" t="str">
        <f aca="false">IF(R19&lt;&gt;"Yes","Not scored",IF(N19&gt;=Parameters!$C$60,"Reportable","Provisional"))</f>
        <v>Provisional</v>
      </c>
      <c r="W19" s="32" t="n">
        <f aca="false">IF(ISNUMBER(S19),RANK(S19,$S$2:$S$113,0),"NA")</f>
        <v>76</v>
      </c>
      <c r="X19" s="32" t="str">
        <f aca="false">IF(N19&gt;=Parameters!$C$60,"High",IF(N19&gt;=Parameters!$C$56,"Medium","Low"))</f>
        <v>Medium</v>
      </c>
      <c r="Y19" s="32" t="n">
        <f aca="false">Calc!T19</f>
        <v>0</v>
      </c>
      <c r="Z19" s="35" t="str">
        <f aca="false">IF(V19="Reportable",S19-ROW()*0.000000001,"")</f>
        <v/>
      </c>
      <c r="AA19" s="35" t="str">
        <f aca="false">IF(ISNUMBER(Z19),RANK(Z19,$Z$2:$Z$113,0),"NA")</f>
        <v>NA</v>
      </c>
    </row>
    <row r="20" customFormat="false" ht="15" hidden="false" customHeight="true" outlineLevel="0" collapsed="false">
      <c r="A20" s="15" t="str">
        <f aca="false">Data!$A20</f>
        <v>CLOCKSS</v>
      </c>
      <c r="B20" s="15" t="str">
        <f aca="false">Data!$B20</f>
        <v>CLOCKSS</v>
      </c>
      <c r="C20" s="15" t="str">
        <f aca="false">Data!$E20</f>
        <v>Digital preservation service</v>
      </c>
      <c r="D20" s="28" t="n">
        <f aca="false">IF(Verification!C20="",Calc!B20,Verification!C20)</f>
        <v>1</v>
      </c>
      <c r="E20" s="28" t="str">
        <f aca="false">IF(Verification!D20="",Calc!D20,Verification!D20)</f>
        <v>NA</v>
      </c>
      <c r="F20" s="28" t="str">
        <f aca="false">IF(Verification!E20="",Calc!G20,Verification!E20)</f>
        <v>NA</v>
      </c>
      <c r="G20" s="28" t="str">
        <f aca="false">IF(Verification!F20="",Calc!I20,Verification!F20)</f>
        <v>NA</v>
      </c>
      <c r="H20" s="28" t="n">
        <f aca="false">IF(Verification!G20="",Calc!E20,Verification!G20)</f>
        <v>1</v>
      </c>
      <c r="I20" s="28" t="n">
        <f aca="false">IF(Verification!H20="",Calc!J20,Verification!H20)</f>
        <v>0.33</v>
      </c>
      <c r="J20" s="28" t="n">
        <f aca="false">IF(Verification!I20="",Calc!K20,Verification!I20)</f>
        <v>1</v>
      </c>
      <c r="K20" s="29" t="n">
        <f aca="false">IF(COUNT(D20:E20)=0,"NA",(IF(ISNUMBER(D20),D20*Parameters!$E$6,0)+IF(ISNUMBER(E20),E20*Parameters!$E$7,0))/(IF(ISNUMBER(D20),Parameters!$E$6,0)+IF(ISNUMBER(E20),Parameters!$E$7,0))*100)</f>
        <v>100</v>
      </c>
      <c r="L20" s="29" t="n">
        <f aca="false">IF(COUNT(F20:H20)=0,"NA",(IF(ISNUMBER(F20),F20*Parameters!$E$8,0)+IF(ISNUMBER(G20),G20*Parameters!$E$9,0)+IF(ISNUMBER(H20),H20*Parameters!$E$10,0))/(IF(ISNUMBER(F20),Parameters!$E$8,0)+IF(ISNUMBER(G20),Parameters!$E$9,0)+IF(ISNUMBER(H20),Parameters!$E$10,0))*100)</f>
        <v>100</v>
      </c>
      <c r="M20" s="29" t="n">
        <f aca="false">IF(COUNT(I20:J20)=0,"NA",(IF(ISNUMBER(I20),I20*Parameters!$E$11,0)+IF(ISNUMBER(J20),J20*Parameters!$E$12,0))/(IF(ISNUMBER(I20),Parameters!$E$11,0)+IF(ISNUMBER(J20),Parameters!$E$12,0))*100)</f>
        <v>71.2857142857143</v>
      </c>
      <c r="N20" s="30" t="n">
        <f aca="false">IF(ISNUMBER(D20),Parameters!$E$6,0)+IF(ISNUMBER(E20),Parameters!$E$7,0)+IF(ISNUMBER(F20),Parameters!$E$8,0)+IF(ISNUMBER(G20),Parameters!$E$9,0)+IF(ISNUMBER(H20),Parameters!$E$10,0)+IF(ISNUMBER(I20),Parameters!$E$11,0)+IF(ISNUMBER(J20),Parameters!$E$12,0)</f>
        <v>0.48</v>
      </c>
      <c r="O20" s="31" t="n">
        <f aca="false">IF(ISNUMBER(D20),D20*Parameters!$E$6,0)+IF(ISNUMBER(E20),E20*Parameters!$E$7,0)+IF(ISNUMBER(F20),F20*Parameters!$E$8,0)+IF(ISNUMBER(G20),G20*Parameters!$E$9,0)+IF(ISNUMBER(H20),H20*Parameters!$E$10,0)+IF(ISNUMBER(I20),I20*Parameters!$E$11,0)+IF(ISNUMBER(J20),J20*Parameters!$E$12,0)</f>
        <v>0.3795</v>
      </c>
      <c r="P20" s="32" t="n">
        <f aca="false">COUNT(D20:J20)</f>
        <v>4</v>
      </c>
      <c r="Q20" s="32" t="n">
        <f aca="false">(COUNT(D20:E20)&gt;0)+(COUNT(F20:H20)&gt;0)+(COUNT(I20:J20)&gt;0)</f>
        <v>3</v>
      </c>
      <c r="R20" s="32" t="str">
        <f aca="false">IF(AND(N20&gt;=Parameters!$C$56,Q20&gt;=Parameters!$C$59),"Yes","No")</f>
        <v>No</v>
      </c>
      <c r="S20" s="33" t="str">
        <f aca="false">IF(R20="Yes",O20/N20*100,"NA")</f>
        <v>NA</v>
      </c>
      <c r="T20" s="29" t="str">
        <f aca="false">IF(R20="Yes",O20/Parameters!$E$13*100,"NA")</f>
        <v>NA</v>
      </c>
      <c r="U20" s="29" t="str">
        <f aca="false">IF(R20="Yes",(O20+(Parameters!$E$13-N20))/Parameters!$E$13*100,"NA")</f>
        <v>NA</v>
      </c>
      <c r="V20" s="34" t="str">
        <f aca="false">IF(R20&lt;&gt;"Yes","Not scored",IF(N20&gt;=Parameters!$C$60,"Reportable","Provisional"))</f>
        <v>Not scored</v>
      </c>
      <c r="W20" s="32" t="str">
        <f aca="false">IF(ISNUMBER(S20),RANK(S20,$S$2:$S$113,0),"NA")</f>
        <v>NA</v>
      </c>
      <c r="X20" s="32" t="str">
        <f aca="false">IF(N20&gt;=Parameters!$C$60,"High",IF(N20&gt;=Parameters!$C$56,"Medium","Low"))</f>
        <v>Low</v>
      </c>
      <c r="Y20" s="32" t="n">
        <f aca="false">Calc!T20</f>
        <v>1</v>
      </c>
      <c r="Z20" s="35" t="str">
        <f aca="false">IF(V20="Reportable",S20-ROW()*0.000000001,"")</f>
        <v/>
      </c>
      <c r="AA20" s="35" t="str">
        <f aca="false">IF(ISNUMBER(Z20),RANK(Z20,$Z$2:$Z$113,0),"NA")</f>
        <v>NA</v>
      </c>
    </row>
    <row r="21" customFormat="false" ht="15" hidden="false" customHeight="true" outlineLevel="0" collapsed="false">
      <c r="A21" s="15" t="str">
        <f aca="false">Data!$A21</f>
        <v>COAR International Repository Directory (IRD)</v>
      </c>
      <c r="B21" s="15" t="str">
        <f aca="false">Data!$B21</f>
        <v>COAR</v>
      </c>
      <c r="C21" s="15" t="str">
        <f aca="false">Data!$E21</f>
        <v>Index or directory</v>
      </c>
      <c r="D21" s="28" t="n">
        <f aca="false">IF(Verification!C21="",Calc!B21,Verification!C21)</f>
        <v>1</v>
      </c>
      <c r="E21" s="28" t="n">
        <f aca="false">IF(Verification!D21="",Calc!D21,Verification!D21)</f>
        <v>0.5</v>
      </c>
      <c r="F21" s="28" t="n">
        <f aca="false">IF(Verification!E21="",Calc!G21,Verification!E21)</f>
        <v>0.333333333333333</v>
      </c>
      <c r="G21" s="28" t="n">
        <f aca="false">IF(Verification!F21="",Calc!I21,Verification!F21)</f>
        <v>0.5</v>
      </c>
      <c r="H21" s="28" t="n">
        <f aca="false">IF(Verification!G21="",Calc!E21,Verification!G21)</f>
        <v>1</v>
      </c>
      <c r="I21" s="28" t="n">
        <f aca="false">IF(Verification!H21="",Calc!J21,Verification!H21)</f>
        <v>0.67</v>
      </c>
      <c r="J21" s="28" t="n">
        <f aca="false">IF(Verification!I21="",Calc!K21,Verification!I21)</f>
        <v>0.5</v>
      </c>
      <c r="K21" s="29" t="n">
        <f aca="false">IF(COUNT(D21:E21)=0,"NA",(IF(ISNUMBER(D21),D21*Parameters!$E$6,0)+IF(ISNUMBER(E21),E21*Parameters!$E$7,0))/(IF(ISNUMBER(D21),Parameters!$E$6,0)+IF(ISNUMBER(E21),Parameters!$E$7,0))*100)</f>
        <v>63.3333333333333</v>
      </c>
      <c r="L21" s="29" t="n">
        <f aca="false">IF(COUNT(F21:H21)=0,"NA",(IF(ISNUMBER(F21),F21*Parameters!$E$8,0)+IF(ISNUMBER(G21),G21*Parameters!$E$9,0)+IF(ISNUMBER(H21),H21*Parameters!$E$10,0))/(IF(ISNUMBER(F21),Parameters!$E$8,0)+IF(ISNUMBER(G21),Parameters!$E$9,0)+IF(ISNUMBER(H21),Parameters!$E$10,0))*100)</f>
        <v>48.5714285714286</v>
      </c>
      <c r="M21" s="29" t="n">
        <f aca="false">IF(COUNT(I21:J21)=0,"NA",(IF(ISNUMBER(I21),I21*Parameters!$E$11,0)+IF(ISNUMBER(J21),J21*Parameters!$E$12,0))/(IF(ISNUMBER(I21),Parameters!$E$11,0)+IF(ISNUMBER(J21),Parameters!$E$12,0))*100)</f>
        <v>57.2857142857143</v>
      </c>
      <c r="N21" s="30" t="n">
        <f aca="false">IF(ISNUMBER(D21),Parameters!$E$6,0)+IF(ISNUMBER(E21),Parameters!$E$7,0)+IF(ISNUMBER(F21),Parameters!$E$8,0)+IF(ISNUMBER(G21),Parameters!$E$9,0)+IF(ISNUMBER(H21),Parameters!$E$10,0)+IF(ISNUMBER(I21),Parameters!$E$11,0)+IF(ISNUMBER(J21),Parameters!$E$12,0)</f>
        <v>1</v>
      </c>
      <c r="O21" s="31" t="n">
        <f aca="false">IF(ISNUMBER(D21),D21*Parameters!$E$6,0)+IF(ISNUMBER(E21),E21*Parameters!$E$7,0)+IF(ISNUMBER(F21),F21*Parameters!$E$8,0)+IF(ISNUMBER(G21),G21*Parameters!$E$9,0)+IF(ISNUMBER(H21),H21*Parameters!$E$10,0)+IF(ISNUMBER(I21),I21*Parameters!$E$11,0)+IF(ISNUMBER(J21),J21*Parameters!$E$12,0)</f>
        <v>0.5605</v>
      </c>
      <c r="P21" s="32" t="n">
        <f aca="false">COUNT(D21:J21)</f>
        <v>7</v>
      </c>
      <c r="Q21" s="32" t="n">
        <f aca="false">(COUNT(D21:E21)&gt;0)+(COUNT(F21:H21)&gt;0)+(COUNT(I21:J21)&gt;0)</f>
        <v>3</v>
      </c>
      <c r="R21" s="32" t="str">
        <f aca="false">IF(AND(N21&gt;=Parameters!$C$56,Q21&gt;=Parameters!$C$59),"Yes","No")</f>
        <v>Yes</v>
      </c>
      <c r="S21" s="33" t="n">
        <f aca="false">IF(R21="Yes",O21/N21*100,"NA")</f>
        <v>56.05</v>
      </c>
      <c r="T21" s="29" t="n">
        <f aca="false">IF(R21="Yes",O21/Parameters!$E$13*100,"NA")</f>
        <v>56.05</v>
      </c>
      <c r="U21" s="29" t="n">
        <f aca="false">IF(R21="Yes",(O21+(Parameters!$E$13-N21))/Parameters!$E$13*100,"NA")</f>
        <v>56.05</v>
      </c>
      <c r="V21" s="34" t="str">
        <f aca="false">IF(R21&lt;&gt;"Yes","Not scored",IF(N21&gt;=Parameters!$C$60,"Reportable","Provisional"))</f>
        <v>Reportable</v>
      </c>
      <c r="W21" s="32" t="n">
        <f aca="false">IF(ISNUMBER(S21),RANK(S21,$S$2:$S$113,0),"NA")</f>
        <v>75</v>
      </c>
      <c r="X21" s="32" t="str">
        <f aca="false">IF(N21&gt;=Parameters!$C$60,"High",IF(N21&gt;=Parameters!$C$56,"Medium","Low"))</f>
        <v>High</v>
      </c>
      <c r="Y21" s="32" t="n">
        <f aca="false">Calc!T21</f>
        <v>0</v>
      </c>
      <c r="Z21" s="35" t="n">
        <f aca="false">IF(V21="Reportable",S21-ROW()*0.000000001,"")</f>
        <v>56.049999979</v>
      </c>
      <c r="AA21" s="35" t="n">
        <f aca="false">IF(ISNUMBER(Z21),RANK(Z21,$Z$2:$Z$113,0),"NA")</f>
        <v>44</v>
      </c>
    </row>
    <row r="22" customFormat="false" ht="15" hidden="false" customHeight="true" outlineLevel="0" collapsed="false">
      <c r="A22" s="15" t="str">
        <f aca="false">Data!$A22</f>
        <v>COAR Notify</v>
      </c>
      <c r="B22" s="15" t="str">
        <f aca="false">Data!$B22</f>
        <v>COAR</v>
      </c>
      <c r="C22" s="15" t="str">
        <f aca="false">Data!$E22</f>
        <v>Standard, specification or protocol</v>
      </c>
      <c r="D22" s="28" t="n">
        <f aca="false">IF(Verification!C22="",Calc!B22,Verification!C22)</f>
        <v>1</v>
      </c>
      <c r="E22" s="28" t="n">
        <f aca="false">IF(Verification!D22="",Calc!D22,Verification!D22)</f>
        <v>0.625</v>
      </c>
      <c r="F22" s="28" t="n">
        <f aca="false">IF(Verification!E22="",Calc!G22,Verification!E22)</f>
        <v>0.833333333333333</v>
      </c>
      <c r="G22" s="28" t="n">
        <f aca="false">IF(Verification!F22="",Calc!I22,Verification!F22)</f>
        <v>0.5</v>
      </c>
      <c r="H22" s="28" t="n">
        <f aca="false">IF(Verification!G22="",Calc!E22,Verification!G22)</f>
        <v>1</v>
      </c>
      <c r="I22" s="28" t="n">
        <f aca="false">IF(Verification!H22="",Calc!J22,Verification!H22)</f>
        <v>0.33</v>
      </c>
      <c r="J22" s="28" t="n">
        <f aca="false">IF(Verification!I22="",Calc!K22,Verification!I22)</f>
        <v>0.5</v>
      </c>
      <c r="K22" s="29" t="n">
        <f aca="false">IF(COUNT(D22:E22)=0,"NA",(IF(ISNUMBER(D22),D22*Parameters!$E$6,0)+IF(ISNUMBER(E22),E22*Parameters!$E$7,0))/(IF(ISNUMBER(D22),Parameters!$E$6,0)+IF(ISNUMBER(E22),Parameters!$E$7,0))*100)</f>
        <v>72.5</v>
      </c>
      <c r="L22" s="29" t="n">
        <f aca="false">IF(COUNT(F22:H22)=0,"NA",(IF(ISNUMBER(F22),F22*Parameters!$E$8,0)+IF(ISNUMBER(G22),G22*Parameters!$E$9,0)+IF(ISNUMBER(H22),H22*Parameters!$E$10,0))/(IF(ISNUMBER(F22),Parameters!$E$8,0)+IF(ISNUMBER(G22),Parameters!$E$9,0)+IF(ISNUMBER(H22),Parameters!$E$10,0))*100)</f>
        <v>74.2857142857143</v>
      </c>
      <c r="M22" s="29" t="n">
        <f aca="false">IF(COUNT(I22:J22)=0,"NA",(IF(ISNUMBER(I22),I22*Parameters!$E$11,0)+IF(ISNUMBER(J22),J22*Parameters!$E$12,0))/(IF(ISNUMBER(I22),Parameters!$E$11,0)+IF(ISNUMBER(J22),Parameters!$E$12,0))*100)</f>
        <v>42.7142857142857</v>
      </c>
      <c r="N22" s="30" t="n">
        <f aca="false">IF(ISNUMBER(D22),Parameters!$E$6,0)+IF(ISNUMBER(E22),Parameters!$E$7,0)+IF(ISNUMBER(F22),Parameters!$E$8,0)+IF(ISNUMBER(G22),Parameters!$E$9,0)+IF(ISNUMBER(H22),Parameters!$E$10,0)+IF(ISNUMBER(I22),Parameters!$E$11,0)+IF(ISNUMBER(J22),Parameters!$E$12,0)</f>
        <v>1</v>
      </c>
      <c r="O22" s="31" t="n">
        <f aca="false">IF(ISNUMBER(D22),D22*Parameters!$E$6,0)+IF(ISNUMBER(E22),E22*Parameters!$E$7,0)+IF(ISNUMBER(F22),F22*Parameters!$E$8,0)+IF(ISNUMBER(G22),G22*Parameters!$E$9,0)+IF(ISNUMBER(H22),H22*Parameters!$E$10,0)+IF(ISNUMBER(I22),I22*Parameters!$E$11,0)+IF(ISNUMBER(J22),J22*Parameters!$E$12,0)</f>
        <v>0.627</v>
      </c>
      <c r="P22" s="32" t="n">
        <f aca="false">COUNT(D22:J22)</f>
        <v>7</v>
      </c>
      <c r="Q22" s="32" t="n">
        <f aca="false">(COUNT(D22:E22)&gt;0)+(COUNT(F22:H22)&gt;0)+(COUNT(I22:J22)&gt;0)</f>
        <v>3</v>
      </c>
      <c r="R22" s="32" t="str">
        <f aca="false">IF(AND(N22&gt;=Parameters!$C$56,Q22&gt;=Parameters!$C$59),"Yes","No")</f>
        <v>Yes</v>
      </c>
      <c r="S22" s="33" t="n">
        <f aca="false">IF(R22="Yes",O22/N22*100,"NA")</f>
        <v>62.7</v>
      </c>
      <c r="T22" s="29" t="n">
        <f aca="false">IF(R22="Yes",O22/Parameters!$E$13*100,"NA")</f>
        <v>62.7</v>
      </c>
      <c r="U22" s="29" t="n">
        <f aca="false">IF(R22="Yes",(O22+(Parameters!$E$13-N22))/Parameters!$E$13*100,"NA")</f>
        <v>62.7</v>
      </c>
      <c r="V22" s="34" t="str">
        <f aca="false">IF(R22&lt;&gt;"Yes","Not scored",IF(N22&gt;=Parameters!$C$60,"Reportable","Provisional"))</f>
        <v>Reportable</v>
      </c>
      <c r="W22" s="32" t="n">
        <f aca="false">IF(ISNUMBER(S22),RANK(S22,$S$2:$S$113,0),"NA")</f>
        <v>65</v>
      </c>
      <c r="X22" s="32" t="str">
        <f aca="false">IF(N22&gt;=Parameters!$C$60,"High",IF(N22&gt;=Parameters!$C$56,"Medium","Low"))</f>
        <v>High</v>
      </c>
      <c r="Y22" s="32" t="n">
        <f aca="false">Calc!T22</f>
        <v>0</v>
      </c>
      <c r="Z22" s="35" t="n">
        <f aca="false">IF(V22="Reportable",S22-ROW()*0.000000001,"")</f>
        <v>62.699999978</v>
      </c>
      <c r="AA22" s="35" t="n">
        <f aca="false">IF(ISNUMBER(Z22),RANK(Z22,$Z$2:$Z$113,0),"NA")</f>
        <v>39</v>
      </c>
    </row>
    <row r="23" customFormat="false" ht="15" hidden="false" customHeight="true" outlineLevel="0" collapsed="false">
      <c r="A23" s="15" t="str">
        <f aca="false">Data!$A23</f>
        <v>CollectiveAccess</v>
      </c>
      <c r="B23" s="15" t="str">
        <f aca="false">Data!$B23</f>
        <v>Whirl-i-Gig</v>
      </c>
      <c r="C23" s="15" t="str">
        <f aca="false">Data!$E23</f>
        <v>Archive information management system | Digital asset management system | Digital library, collection or exhibit platform</v>
      </c>
      <c r="D23" s="28" t="n">
        <f aca="false">IF(Verification!C23="",Calc!B23,Verification!C23)</f>
        <v>1</v>
      </c>
      <c r="E23" s="28" t="str">
        <f aca="false">IF(Verification!D23="",Calc!D23,Verification!D23)</f>
        <v>NA</v>
      </c>
      <c r="F23" s="28" t="str">
        <f aca="false">IF(Verification!E23="",Calc!G23,Verification!E23)</f>
        <v>NA</v>
      </c>
      <c r="G23" s="28" t="n">
        <f aca="false">IF(Verification!F23="",Calc!I23,Verification!F23)</f>
        <v>0.5</v>
      </c>
      <c r="H23" s="28" t="n">
        <f aca="false">IF(Verification!G23="",Calc!E23,Verification!G23)</f>
        <v>1</v>
      </c>
      <c r="I23" s="28" t="str">
        <f aca="false">IF(Verification!H23="",Calc!J23,Verification!H23)</f>
        <v>NA</v>
      </c>
      <c r="J23" s="28" t="n">
        <f aca="false">IF(Verification!I23="",Calc!K23,Verification!I23)</f>
        <v>0.5</v>
      </c>
      <c r="K23" s="29" t="n">
        <f aca="false">IF(COUNT(D23:E23)=0,"NA",(IF(ISNUMBER(D23),D23*Parameters!$E$6,0)+IF(ISNUMBER(E23),E23*Parameters!$E$7,0))/(IF(ISNUMBER(D23),Parameters!$E$6,0)+IF(ISNUMBER(E23),Parameters!$E$7,0))*100)</f>
        <v>100</v>
      </c>
      <c r="L23" s="29" t="n">
        <f aca="false">IF(COUNT(F23:H23)=0,"NA",(IF(ISNUMBER(F23),F23*Parameters!$E$8,0)+IF(ISNUMBER(G23),G23*Parameters!$E$9,0)+IF(ISNUMBER(H23),H23*Parameters!$E$10,0))/(IF(ISNUMBER(F23),Parameters!$E$8,0)+IF(ISNUMBER(G23),Parameters!$E$9,0)+IF(ISNUMBER(H23),Parameters!$E$10,0))*100)</f>
        <v>64.7058823529412</v>
      </c>
      <c r="M23" s="29" t="n">
        <f aca="false">IF(COUNT(I23:J23)=0,"NA",(IF(ISNUMBER(I23),I23*Parameters!$E$11,0)+IF(ISNUMBER(J23),J23*Parameters!$E$12,0))/(IF(ISNUMBER(I23),Parameters!$E$11,0)+IF(ISNUMBER(J23),Parameters!$E$12,0))*100)</f>
        <v>50</v>
      </c>
      <c r="N23" s="30" t="n">
        <f aca="false">IF(ISNUMBER(D23),Parameters!$E$6,0)+IF(ISNUMBER(E23),Parameters!$E$7,0)+IF(ISNUMBER(F23),Parameters!$E$8,0)+IF(ISNUMBER(G23),Parameters!$E$9,0)+IF(ISNUMBER(H23),Parameters!$E$10,0)+IF(ISNUMBER(I23),Parameters!$E$11,0)+IF(ISNUMBER(J23),Parameters!$E$12,0)</f>
        <v>0.45</v>
      </c>
      <c r="O23" s="31" t="n">
        <f aca="false">IF(ISNUMBER(D23),D23*Parameters!$E$6,0)+IF(ISNUMBER(E23),E23*Parameters!$E$7,0)+IF(ISNUMBER(F23),F23*Parameters!$E$8,0)+IF(ISNUMBER(G23),G23*Parameters!$E$9,0)+IF(ISNUMBER(H23),H23*Parameters!$E$10,0)+IF(ISNUMBER(I23),I23*Parameters!$E$11,0)+IF(ISNUMBER(J23),J23*Parameters!$E$12,0)</f>
        <v>0.29</v>
      </c>
      <c r="P23" s="32" t="n">
        <f aca="false">COUNT(D23:J23)</f>
        <v>4</v>
      </c>
      <c r="Q23" s="32" t="n">
        <f aca="false">(COUNT(D23:E23)&gt;0)+(COUNT(F23:H23)&gt;0)+(COUNT(I23:J23)&gt;0)</f>
        <v>3</v>
      </c>
      <c r="R23" s="32" t="str">
        <f aca="false">IF(AND(N23&gt;=Parameters!$C$56,Q23&gt;=Parameters!$C$59),"Yes","No")</f>
        <v>No</v>
      </c>
      <c r="S23" s="33" t="str">
        <f aca="false">IF(R23="Yes",O23/N23*100,"NA")</f>
        <v>NA</v>
      </c>
      <c r="T23" s="29" t="str">
        <f aca="false">IF(R23="Yes",O23/Parameters!$E$13*100,"NA")</f>
        <v>NA</v>
      </c>
      <c r="U23" s="29" t="str">
        <f aca="false">IF(R23="Yes",(O23+(Parameters!$E$13-N23))/Parameters!$E$13*100,"NA")</f>
        <v>NA</v>
      </c>
      <c r="V23" s="34" t="str">
        <f aca="false">IF(R23&lt;&gt;"Yes","Not scored",IF(N23&gt;=Parameters!$C$60,"Reportable","Provisional"))</f>
        <v>Not scored</v>
      </c>
      <c r="W23" s="32" t="str">
        <f aca="false">IF(ISNUMBER(S23),RANK(S23,$S$2:$S$113,0),"NA")</f>
        <v>NA</v>
      </c>
      <c r="X23" s="32" t="str">
        <f aca="false">IF(N23&gt;=Parameters!$C$60,"High",IF(N23&gt;=Parameters!$C$56,"Medium","Low"))</f>
        <v>Low</v>
      </c>
      <c r="Y23" s="32" t="n">
        <f aca="false">Calc!T23</f>
        <v>2</v>
      </c>
      <c r="Z23" s="35" t="str">
        <f aca="false">IF(V23="Reportable",S23-ROW()*0.000000001,"")</f>
        <v/>
      </c>
      <c r="AA23" s="35" t="str">
        <f aca="false">IF(ISNUMBER(Z23),RANK(Z23,$Z$2:$Z$113,0),"NA")</f>
        <v>NA</v>
      </c>
    </row>
    <row r="24" customFormat="false" ht="15" hidden="false" customHeight="true" outlineLevel="0" collapsed="false">
      <c r="A24" s="15" t="str">
        <f aca="false">Data!$A24</f>
        <v>CORE</v>
      </c>
      <c r="B24" s="15" t="str">
        <f aca="false">Data!$B24</f>
        <v>The Open University</v>
      </c>
      <c r="C24" s="15" t="str">
        <f aca="false">Data!$E24</f>
        <v>Discovery system</v>
      </c>
      <c r="D24" s="28" t="n">
        <f aca="false">IF(Verification!C24="",Calc!B24,Verification!C24)</f>
        <v>1</v>
      </c>
      <c r="E24" s="28" t="str">
        <f aca="false">IF(Verification!D24="",Calc!D24,Verification!D24)</f>
        <v>NA</v>
      </c>
      <c r="F24" s="28" t="n">
        <f aca="false">IF(Verification!E24="",Calc!G24,Verification!E24)</f>
        <v>0.5</v>
      </c>
      <c r="G24" s="28" t="n">
        <f aca="false">IF(Verification!F24="",Calc!I24,Verification!F24)</f>
        <v>0.5</v>
      </c>
      <c r="H24" s="28" t="n">
        <f aca="false">IF(Verification!G24="",Calc!E24,Verification!G24)</f>
        <v>1</v>
      </c>
      <c r="I24" s="28" t="n">
        <f aca="false">IF(Verification!H24="",Calc!J24,Verification!H24)</f>
        <v>1</v>
      </c>
      <c r="J24" s="28" t="n">
        <f aca="false">IF(Verification!I24="",Calc!K24,Verification!I24)</f>
        <v>1</v>
      </c>
      <c r="K24" s="29" t="n">
        <f aca="false">IF(COUNT(D24:E24)=0,"NA",(IF(ISNUMBER(D24),D24*Parameters!$E$6,0)+IF(ISNUMBER(E24),E24*Parameters!$E$7,0))/(IF(ISNUMBER(D24),Parameters!$E$6,0)+IF(ISNUMBER(E24),Parameters!$E$7,0))*100)</f>
        <v>100</v>
      </c>
      <c r="L24" s="29" t="n">
        <f aca="false">IF(COUNT(F24:H24)=0,"NA",(IF(ISNUMBER(F24),F24*Parameters!$E$8,0)+IF(ISNUMBER(G24),G24*Parameters!$E$9,0)+IF(ISNUMBER(H24),H24*Parameters!$E$10,0))/(IF(ISNUMBER(F24),Parameters!$E$8,0)+IF(ISNUMBER(G24),Parameters!$E$9,0)+IF(ISNUMBER(H24),Parameters!$E$10,0))*100)</f>
        <v>57.1428571428572</v>
      </c>
      <c r="M24" s="29" t="n">
        <f aca="false">IF(COUNT(I24:J24)=0,"NA",(IF(ISNUMBER(I24),I24*Parameters!$E$11,0)+IF(ISNUMBER(J24),J24*Parameters!$E$12,0))/(IF(ISNUMBER(I24),Parameters!$E$11,0)+IF(ISNUMBER(J24),Parameters!$E$12,0))*100)</f>
        <v>100</v>
      </c>
      <c r="N24" s="30" t="n">
        <f aca="false">IF(ISNUMBER(D24),Parameters!$E$6,0)+IF(ISNUMBER(E24),Parameters!$E$7,0)+IF(ISNUMBER(F24),Parameters!$E$8,0)+IF(ISNUMBER(G24),Parameters!$E$9,0)+IF(ISNUMBER(H24),Parameters!$E$10,0)+IF(ISNUMBER(I24),Parameters!$E$11,0)+IF(ISNUMBER(J24),Parameters!$E$12,0)</f>
        <v>0.78</v>
      </c>
      <c r="O24" s="31" t="n">
        <f aca="false">IF(ISNUMBER(D24),D24*Parameters!$E$6,0)+IF(ISNUMBER(E24),E24*Parameters!$E$7,0)+IF(ISNUMBER(F24),F24*Parameters!$E$8,0)+IF(ISNUMBER(G24),G24*Parameters!$E$9,0)+IF(ISNUMBER(H24),H24*Parameters!$E$10,0)+IF(ISNUMBER(I24),I24*Parameters!$E$11,0)+IF(ISNUMBER(J24),J24*Parameters!$E$12,0)</f>
        <v>0.63</v>
      </c>
      <c r="P24" s="32" t="n">
        <f aca="false">COUNT(D24:J24)</f>
        <v>6</v>
      </c>
      <c r="Q24" s="32" t="n">
        <f aca="false">(COUNT(D24:E24)&gt;0)+(COUNT(F24:H24)&gt;0)+(COUNT(I24:J24)&gt;0)</f>
        <v>3</v>
      </c>
      <c r="R24" s="32" t="str">
        <f aca="false">IF(AND(N24&gt;=Parameters!$C$56,Q24&gt;=Parameters!$C$59),"Yes","No")</f>
        <v>Yes</v>
      </c>
      <c r="S24" s="33" t="n">
        <f aca="false">IF(R24="Yes",O24/N24*100,"NA")</f>
        <v>80.7692307692308</v>
      </c>
      <c r="T24" s="29" t="n">
        <f aca="false">IF(R24="Yes",O24/Parameters!$E$13*100,"NA")</f>
        <v>63</v>
      </c>
      <c r="U24" s="29" t="n">
        <f aca="false">IF(R24="Yes",(O24+(Parameters!$E$13-N24))/Parameters!$E$13*100,"NA")</f>
        <v>85</v>
      </c>
      <c r="V24" s="34" t="str">
        <f aca="false">IF(R24&lt;&gt;"Yes","Not scored",IF(N24&gt;=Parameters!$C$60,"Reportable","Provisional"))</f>
        <v>Provisional</v>
      </c>
      <c r="W24" s="32" t="n">
        <f aca="false">IF(ISNUMBER(S24),RANK(S24,$S$2:$S$113,0),"NA")</f>
        <v>39</v>
      </c>
      <c r="X24" s="32" t="str">
        <f aca="false">IF(N24&gt;=Parameters!$C$60,"High",IF(N24&gt;=Parameters!$C$56,"Medium","Low"))</f>
        <v>Medium</v>
      </c>
      <c r="Y24" s="32" t="n">
        <f aca="false">Calc!T24</f>
        <v>1</v>
      </c>
      <c r="Z24" s="35" t="str">
        <f aca="false">IF(V24="Reportable",S24-ROW()*0.000000001,"")</f>
        <v/>
      </c>
      <c r="AA24" s="35" t="str">
        <f aca="false">IF(ISNUMBER(Z24),RANK(Z24,$Z$2:$Z$113,0),"NA")</f>
        <v>NA</v>
      </c>
    </row>
    <row r="25" customFormat="false" ht="15" hidden="false" customHeight="true" outlineLevel="0" collapsed="false">
      <c r="A25" s="15" t="str">
        <f aca="false">Data!$A25</f>
        <v>COUNTER Code of Practice</v>
      </c>
      <c r="B25" s="15" t="str">
        <f aca="false">Data!$B25</f>
        <v>COUNTER Metrics</v>
      </c>
      <c r="C25" s="15" t="str">
        <f aca="false">Data!$E25</f>
        <v>Standard, specification or protocol</v>
      </c>
      <c r="D25" s="28" t="n">
        <f aca="false">IF(Verification!C25="",Calc!B25,Verification!C25)</f>
        <v>1</v>
      </c>
      <c r="E25" s="28" t="n">
        <f aca="false">IF(Verification!D25="",Calc!D25,Verification!D25)</f>
        <v>1</v>
      </c>
      <c r="F25" s="28" t="n">
        <f aca="false">IF(Verification!E25="",Calc!G25,Verification!E25)</f>
        <v>0.833333333333333</v>
      </c>
      <c r="G25" s="28" t="n">
        <f aca="false">IF(Verification!F25="",Calc!I25,Verification!F25)</f>
        <v>0.5</v>
      </c>
      <c r="H25" s="28" t="n">
        <f aca="false">IF(Verification!G25="",Calc!E25,Verification!G25)</f>
        <v>0.5</v>
      </c>
      <c r="I25" s="28" t="n">
        <f aca="false">IF(Verification!H25="",Calc!J25,Verification!H25)</f>
        <v>1</v>
      </c>
      <c r="J25" s="28" t="n">
        <f aca="false">IF(Verification!I25="",Calc!K25,Verification!I25)</f>
        <v>1</v>
      </c>
      <c r="K25" s="29" t="n">
        <f aca="false">IF(COUNT(D25:E25)=0,"NA",(IF(ISNUMBER(D25),D25*Parameters!$E$6,0)+IF(ISNUMBER(E25),E25*Parameters!$E$7,0))/(IF(ISNUMBER(D25),Parameters!$E$6,0)+IF(ISNUMBER(E25),Parameters!$E$7,0))*100)</f>
        <v>100</v>
      </c>
      <c r="L25" s="29" t="n">
        <f aca="false">IF(COUNT(F25:H25)=0,"NA",(IF(ISNUMBER(F25),F25*Parameters!$E$8,0)+IF(ISNUMBER(G25),G25*Parameters!$E$9,0)+IF(ISNUMBER(H25),H25*Parameters!$E$10,0))/(IF(ISNUMBER(F25),Parameters!$E$8,0)+IF(ISNUMBER(G25),Parameters!$E$9,0)+IF(ISNUMBER(H25),Parameters!$E$10,0))*100)</f>
        <v>67.1428571428572</v>
      </c>
      <c r="M25" s="29" t="n">
        <f aca="false">IF(COUNT(I25:J25)=0,"NA",(IF(ISNUMBER(I25),I25*Parameters!$E$11,0)+IF(ISNUMBER(J25),J25*Parameters!$E$12,0))/(IF(ISNUMBER(I25),Parameters!$E$11,0)+IF(ISNUMBER(J25),Parameters!$E$12,0))*100)</f>
        <v>100</v>
      </c>
      <c r="N25" s="30" t="n">
        <f aca="false">IF(ISNUMBER(D25),Parameters!$E$6,0)+IF(ISNUMBER(E25),Parameters!$E$7,0)+IF(ISNUMBER(F25),Parameters!$E$8,0)+IF(ISNUMBER(G25),Parameters!$E$9,0)+IF(ISNUMBER(H25),Parameters!$E$10,0)+IF(ISNUMBER(I25),Parameters!$E$11,0)+IF(ISNUMBER(J25),Parameters!$E$12,0)</f>
        <v>1</v>
      </c>
      <c r="O25" s="31" t="n">
        <f aca="false">IF(ISNUMBER(D25),D25*Parameters!$E$6,0)+IF(ISNUMBER(E25),E25*Parameters!$E$7,0)+IF(ISNUMBER(F25),F25*Parameters!$E$8,0)+IF(ISNUMBER(G25),G25*Parameters!$E$9,0)+IF(ISNUMBER(H25),H25*Parameters!$E$10,0)+IF(ISNUMBER(I25),I25*Parameters!$E$11,0)+IF(ISNUMBER(J25),J25*Parameters!$E$12,0)</f>
        <v>0.885</v>
      </c>
      <c r="P25" s="32" t="n">
        <f aca="false">COUNT(D25:J25)</f>
        <v>7</v>
      </c>
      <c r="Q25" s="32" t="n">
        <f aca="false">(COUNT(D25:E25)&gt;0)+(COUNT(F25:H25)&gt;0)+(COUNT(I25:J25)&gt;0)</f>
        <v>3</v>
      </c>
      <c r="R25" s="32" t="str">
        <f aca="false">IF(AND(N25&gt;=Parameters!$C$56,Q25&gt;=Parameters!$C$59),"Yes","No")</f>
        <v>Yes</v>
      </c>
      <c r="S25" s="33" t="n">
        <f aca="false">IF(R25="Yes",O25/N25*100,"NA")</f>
        <v>88.5</v>
      </c>
      <c r="T25" s="29" t="n">
        <f aca="false">IF(R25="Yes",O25/Parameters!$E$13*100,"NA")</f>
        <v>88.5</v>
      </c>
      <c r="U25" s="29" t="n">
        <f aca="false">IF(R25="Yes",(O25+(Parameters!$E$13-N25))/Parameters!$E$13*100,"NA")</f>
        <v>88.5</v>
      </c>
      <c r="V25" s="34" t="str">
        <f aca="false">IF(R25&lt;&gt;"Yes","Not scored",IF(N25&gt;=Parameters!$C$60,"Reportable","Provisional"))</f>
        <v>Reportable</v>
      </c>
      <c r="W25" s="32" t="n">
        <f aca="false">IF(ISNUMBER(S25),RANK(S25,$S$2:$S$113,0),"NA")</f>
        <v>24</v>
      </c>
      <c r="X25" s="32" t="str">
        <f aca="false">IF(N25&gt;=Parameters!$C$60,"High",IF(N25&gt;=Parameters!$C$56,"Medium","Low"))</f>
        <v>High</v>
      </c>
      <c r="Y25" s="32" t="n">
        <f aca="false">Calc!T25</f>
        <v>0</v>
      </c>
      <c r="Z25" s="35" t="n">
        <f aca="false">IF(V25="Reportable",S25-ROW()*0.000000001,"")</f>
        <v>88.499999975</v>
      </c>
      <c r="AA25" s="35" t="n">
        <f aca="false">IF(ISNUMBER(Z25),RANK(Z25,$Z$2:$Z$113,0),"NA")</f>
        <v>14</v>
      </c>
    </row>
    <row r="26" customFormat="false" ht="15" hidden="false" customHeight="true" outlineLevel="0" collapsed="false">
      <c r="A26" s="15" t="str">
        <f aca="false">Data!$A26</f>
        <v>Creative Commons Licenses</v>
      </c>
      <c r="B26" s="15" t="str">
        <f aca="false">Data!$B26</f>
        <v>Creative Commons</v>
      </c>
      <c r="C26" s="15" t="str">
        <f aca="false">Data!$E26</f>
        <v>Standard, specification or protocol</v>
      </c>
      <c r="D26" s="28" t="n">
        <f aca="false">IF(Verification!C26="",Calc!B26,Verification!C26)</f>
        <v>1</v>
      </c>
      <c r="E26" s="28" t="n">
        <f aca="false">IF(Verification!D26="",Calc!D26,Verification!D26)</f>
        <v>0.5</v>
      </c>
      <c r="F26" s="28" t="n">
        <f aca="false">IF(Verification!E26="",Calc!G26,Verification!E26)</f>
        <v>0.5</v>
      </c>
      <c r="G26" s="28" t="n">
        <f aca="false">IF(Verification!F26="",Calc!I26,Verification!F26)</f>
        <v>0.5</v>
      </c>
      <c r="H26" s="28" t="n">
        <f aca="false">IF(Verification!G26="",Calc!E26,Verification!G26)</f>
        <v>1</v>
      </c>
      <c r="I26" s="28" t="n">
        <f aca="false">IF(Verification!H26="",Calc!J26,Verification!H26)</f>
        <v>1</v>
      </c>
      <c r="J26" s="28" t="str">
        <f aca="false">IF(Verification!I26="",Calc!K26,Verification!I26)</f>
        <v>NA</v>
      </c>
      <c r="K26" s="29" t="n">
        <f aca="false">IF(COUNT(D26:E26)=0,"NA",(IF(ISNUMBER(D26),D26*Parameters!$E$6,0)+IF(ISNUMBER(E26),E26*Parameters!$E$7,0))/(IF(ISNUMBER(D26),Parameters!$E$6,0)+IF(ISNUMBER(E26),Parameters!$E$7,0))*100)</f>
        <v>63.3333333333333</v>
      </c>
      <c r="L26" s="29" t="n">
        <f aca="false">IF(COUNT(F26:H26)=0,"NA",(IF(ISNUMBER(F26),F26*Parameters!$E$8,0)+IF(ISNUMBER(G26),G26*Parameters!$E$9,0)+IF(ISNUMBER(H26),H26*Parameters!$E$10,0))/(IF(ISNUMBER(F26),Parameters!$E$8,0)+IF(ISNUMBER(G26),Parameters!$E$9,0)+IF(ISNUMBER(H26),Parameters!$E$10,0))*100)</f>
        <v>57.1428571428572</v>
      </c>
      <c r="M26" s="29" t="n">
        <f aca="false">IF(COUNT(I26:J26)=0,"NA",(IF(ISNUMBER(I26),I26*Parameters!$E$11,0)+IF(ISNUMBER(J26),J26*Parameters!$E$12,0))/(IF(ISNUMBER(I26),Parameters!$E$11,0)+IF(ISNUMBER(J26),Parameters!$E$12,0))*100)</f>
        <v>100</v>
      </c>
      <c r="N26" s="30" t="n">
        <f aca="false">IF(ISNUMBER(D26),Parameters!$E$6,0)+IF(ISNUMBER(E26),Parameters!$E$7,0)+IF(ISNUMBER(F26),Parameters!$E$8,0)+IF(ISNUMBER(G26),Parameters!$E$9,0)+IF(ISNUMBER(H26),Parameters!$E$10,0)+IF(ISNUMBER(I26),Parameters!$E$11,0)+IF(ISNUMBER(J26),Parameters!$E$12,0)</f>
        <v>0.8</v>
      </c>
      <c r="O26" s="31" t="n">
        <f aca="false">IF(ISNUMBER(D26),D26*Parameters!$E$6,0)+IF(ISNUMBER(E26),E26*Parameters!$E$7,0)+IF(ISNUMBER(F26),F26*Parameters!$E$8,0)+IF(ISNUMBER(G26),G26*Parameters!$E$9,0)+IF(ISNUMBER(H26),H26*Parameters!$E$10,0)+IF(ISNUMBER(I26),I26*Parameters!$E$11,0)+IF(ISNUMBER(J26),J26*Parameters!$E$12,0)</f>
        <v>0.54</v>
      </c>
      <c r="P26" s="32" t="n">
        <f aca="false">COUNT(D26:J26)</f>
        <v>6</v>
      </c>
      <c r="Q26" s="32" t="n">
        <f aca="false">(COUNT(D26:E26)&gt;0)+(COUNT(F26:H26)&gt;0)+(COUNT(I26:J26)&gt;0)</f>
        <v>3</v>
      </c>
      <c r="R26" s="32" t="str">
        <f aca="false">IF(AND(N26&gt;=Parameters!$C$56,Q26&gt;=Parameters!$C$59),"Yes","No")</f>
        <v>Yes</v>
      </c>
      <c r="S26" s="33" t="n">
        <f aca="false">IF(R26="Yes",O26/N26*100,"NA")</f>
        <v>67.5</v>
      </c>
      <c r="T26" s="29" t="n">
        <f aca="false">IF(R26="Yes",O26/Parameters!$E$13*100,"NA")</f>
        <v>54</v>
      </c>
      <c r="U26" s="29" t="n">
        <f aca="false">IF(R26="Yes",(O26+(Parameters!$E$13-N26))/Parameters!$E$13*100,"NA")</f>
        <v>74</v>
      </c>
      <c r="V26" s="34" t="str">
        <f aca="false">IF(R26&lt;&gt;"Yes","Not scored",IF(N26&gt;=Parameters!$C$60,"Reportable","Provisional"))</f>
        <v>Provisional</v>
      </c>
      <c r="W26" s="32" t="n">
        <f aca="false">IF(ISNUMBER(S26),RANK(S26,$S$2:$S$113,0),"NA")</f>
        <v>60</v>
      </c>
      <c r="X26" s="32" t="str">
        <f aca="false">IF(N26&gt;=Parameters!$C$60,"High",IF(N26&gt;=Parameters!$C$56,"Medium","Low"))</f>
        <v>Medium</v>
      </c>
      <c r="Y26" s="32" t="n">
        <f aca="false">Calc!T26</f>
        <v>0</v>
      </c>
      <c r="Z26" s="35" t="str">
        <f aca="false">IF(V26="Reportable",S26-ROW()*0.000000001,"")</f>
        <v/>
      </c>
      <c r="AA26" s="35" t="str">
        <f aca="false">IF(ISNUMBER(Z26),RANK(Z26,$Z$2:$Z$113,0),"NA")</f>
        <v>NA</v>
      </c>
    </row>
    <row r="27" customFormat="false" ht="15" hidden="false" customHeight="true" outlineLevel="0" collapsed="false">
      <c r="A27" s="15" t="str">
        <f aca="false">Data!$A27</f>
        <v>Crossref Metadata Retrieval</v>
      </c>
      <c r="B27" s="15" t="str">
        <f aca="false">Data!$B27</f>
        <v>Crossref</v>
      </c>
      <c r="C27" s="15" t="str">
        <f aca="false">Data!$E27</f>
        <v>Open scholarly dataset</v>
      </c>
      <c r="D27" s="28" t="n">
        <f aca="false">IF(Verification!C27="",Calc!B27,Verification!C27)</f>
        <v>1</v>
      </c>
      <c r="E27" s="28" t="n">
        <f aca="false">IF(Verification!D27="",Calc!D27,Verification!D27)</f>
        <v>0.625</v>
      </c>
      <c r="F27" s="28" t="n">
        <f aca="false">IF(Verification!E27="",Calc!G27,Verification!E27)</f>
        <v>0.833333333333333</v>
      </c>
      <c r="G27" s="28" t="n">
        <f aca="false">IF(Verification!F27="",Calc!I27,Verification!F27)</f>
        <v>0.5</v>
      </c>
      <c r="H27" s="28" t="n">
        <f aca="false">IF(Verification!G27="",Calc!E27,Verification!G27)</f>
        <v>1</v>
      </c>
      <c r="I27" s="28" t="n">
        <f aca="false">IF(Verification!H27="",Calc!J27,Verification!H27)</f>
        <v>1</v>
      </c>
      <c r="J27" s="28" t="n">
        <f aca="false">IF(Verification!I27="",Calc!K27,Verification!I27)</f>
        <v>1</v>
      </c>
      <c r="K27" s="29" t="n">
        <f aca="false">IF(COUNT(D27:E27)=0,"NA",(IF(ISNUMBER(D27),D27*Parameters!$E$6,0)+IF(ISNUMBER(E27),E27*Parameters!$E$7,0))/(IF(ISNUMBER(D27),Parameters!$E$6,0)+IF(ISNUMBER(E27),Parameters!$E$7,0))*100)</f>
        <v>72.5</v>
      </c>
      <c r="L27" s="29" t="n">
        <f aca="false">IF(COUNT(F27:H27)=0,"NA",(IF(ISNUMBER(F27),F27*Parameters!$E$8,0)+IF(ISNUMBER(G27),G27*Parameters!$E$9,0)+IF(ISNUMBER(H27),H27*Parameters!$E$10,0))/(IF(ISNUMBER(F27),Parameters!$E$8,0)+IF(ISNUMBER(G27),Parameters!$E$9,0)+IF(ISNUMBER(H27),Parameters!$E$10,0))*100)</f>
        <v>74.2857142857143</v>
      </c>
      <c r="M27" s="29" t="n">
        <f aca="false">IF(COUNT(I27:J27)=0,"NA",(IF(ISNUMBER(I27),I27*Parameters!$E$11,0)+IF(ISNUMBER(J27),J27*Parameters!$E$12,0))/(IF(ISNUMBER(I27),Parameters!$E$11,0)+IF(ISNUMBER(J27),Parameters!$E$12,0))*100)</f>
        <v>100</v>
      </c>
      <c r="N27" s="30" t="n">
        <f aca="false">IF(ISNUMBER(D27),Parameters!$E$6,0)+IF(ISNUMBER(E27),Parameters!$E$7,0)+IF(ISNUMBER(F27),Parameters!$E$8,0)+IF(ISNUMBER(G27),Parameters!$E$9,0)+IF(ISNUMBER(H27),Parameters!$E$10,0)+IF(ISNUMBER(I27),Parameters!$E$11,0)+IF(ISNUMBER(J27),Parameters!$E$12,0)</f>
        <v>1</v>
      </c>
      <c r="O27" s="31" t="n">
        <f aca="false">IF(ISNUMBER(D27),D27*Parameters!$E$6,0)+IF(ISNUMBER(E27),E27*Parameters!$E$7,0)+IF(ISNUMBER(F27),F27*Parameters!$E$8,0)+IF(ISNUMBER(G27),G27*Parameters!$E$9,0)+IF(ISNUMBER(H27),H27*Parameters!$E$10,0)+IF(ISNUMBER(I27),I27*Parameters!$E$11,0)+IF(ISNUMBER(J27),J27*Parameters!$E$12,0)</f>
        <v>0.8275</v>
      </c>
      <c r="P27" s="32" t="n">
        <f aca="false">COUNT(D27:J27)</f>
        <v>7</v>
      </c>
      <c r="Q27" s="32" t="n">
        <f aca="false">(COUNT(D27:E27)&gt;0)+(COUNT(F27:H27)&gt;0)+(COUNT(I27:J27)&gt;0)</f>
        <v>3</v>
      </c>
      <c r="R27" s="32" t="str">
        <f aca="false">IF(AND(N27&gt;=Parameters!$C$56,Q27&gt;=Parameters!$C$59),"Yes","No")</f>
        <v>Yes</v>
      </c>
      <c r="S27" s="33" t="n">
        <f aca="false">IF(R27="Yes",O27/N27*100,"NA")</f>
        <v>82.75</v>
      </c>
      <c r="T27" s="29" t="n">
        <f aca="false">IF(R27="Yes",O27/Parameters!$E$13*100,"NA")</f>
        <v>82.75</v>
      </c>
      <c r="U27" s="29" t="n">
        <f aca="false">IF(R27="Yes",(O27+(Parameters!$E$13-N27))/Parameters!$E$13*100,"NA")</f>
        <v>82.75</v>
      </c>
      <c r="V27" s="34" t="str">
        <f aca="false">IF(R27&lt;&gt;"Yes","Not scored",IF(N27&gt;=Parameters!$C$60,"Reportable","Provisional"))</f>
        <v>Reportable</v>
      </c>
      <c r="W27" s="32" t="n">
        <f aca="false">IF(ISNUMBER(S27),RANK(S27,$S$2:$S$113,0),"NA")</f>
        <v>35</v>
      </c>
      <c r="X27" s="32" t="str">
        <f aca="false">IF(N27&gt;=Parameters!$C$60,"High",IF(N27&gt;=Parameters!$C$56,"Medium","Low"))</f>
        <v>High</v>
      </c>
      <c r="Y27" s="32" t="n">
        <f aca="false">Calc!T27</f>
        <v>0</v>
      </c>
      <c r="Z27" s="35" t="n">
        <f aca="false">IF(V27="Reportable",S27-ROW()*0.000000001,"")</f>
        <v>82.749999973</v>
      </c>
      <c r="AA27" s="35" t="n">
        <f aca="false">IF(ISNUMBER(Z27),RANK(Z27,$Z$2:$Z$113,0),"NA")</f>
        <v>23</v>
      </c>
    </row>
    <row r="28" customFormat="false" ht="15" hidden="false" customHeight="true" outlineLevel="0" collapsed="false">
      <c r="A28" s="15" t="str">
        <f aca="false">Data!$A28</f>
        <v>D4Science Infrastructure</v>
      </c>
      <c r="B28" s="15" t="str">
        <f aca="false">Data!$B28</f>
        <v>National Research Council of Italy</v>
      </c>
      <c r="C28" s="15" t="str">
        <f aca="false">Data!$E28</f>
        <v>Computing framework | Informal scholarly communications | Repository service</v>
      </c>
      <c r="D28" s="28" t="n">
        <f aca="false">IF(Verification!C28="",Calc!B28,Verification!C28)</f>
        <v>0.33</v>
      </c>
      <c r="E28" s="28" t="str">
        <f aca="false">IF(Verification!D28="",Calc!D28,Verification!D28)</f>
        <v>NA</v>
      </c>
      <c r="F28" s="28" t="str">
        <f aca="false">IF(Verification!E28="",Calc!G28,Verification!E28)</f>
        <v>NA</v>
      </c>
      <c r="G28" s="28" t="str">
        <f aca="false">IF(Verification!F28="",Calc!I28,Verification!F28)</f>
        <v>NA</v>
      </c>
      <c r="H28" s="28" t="n">
        <f aca="false">IF(Verification!G28="",Calc!E28,Verification!G28)</f>
        <v>0.5</v>
      </c>
      <c r="I28" s="28" t="n">
        <f aca="false">IF(Verification!H28="",Calc!J28,Verification!H28)</f>
        <v>0.33</v>
      </c>
      <c r="J28" s="28" t="str">
        <f aca="false">IF(Verification!I28="",Calc!K28,Verification!I28)</f>
        <v>NA</v>
      </c>
      <c r="K28" s="29" t="n">
        <f aca="false">IF(COUNT(D28:E28)=0,"NA",(IF(ISNUMBER(D28),D28*Parameters!$E$6,0)+IF(ISNUMBER(E28),E28*Parameters!$E$7,0))/(IF(ISNUMBER(D28),Parameters!$E$6,0)+IF(ISNUMBER(E28),Parameters!$E$7,0))*100)</f>
        <v>33</v>
      </c>
      <c r="L28" s="29" t="n">
        <f aca="false">IF(COUNT(F28:H28)=0,"NA",(IF(ISNUMBER(F28),F28*Parameters!$E$8,0)+IF(ISNUMBER(G28),G28*Parameters!$E$9,0)+IF(ISNUMBER(H28),H28*Parameters!$E$10,0))/(IF(ISNUMBER(F28),Parameters!$E$8,0)+IF(ISNUMBER(G28),Parameters!$E$9,0)+IF(ISNUMBER(H28),Parameters!$E$10,0))*100)</f>
        <v>50</v>
      </c>
      <c r="M28" s="29" t="n">
        <f aca="false">IF(COUNT(I28:J28)=0,"NA",(IF(ISNUMBER(I28),I28*Parameters!$E$11,0)+IF(ISNUMBER(J28),J28*Parameters!$E$12,0))/(IF(ISNUMBER(I28),Parameters!$E$11,0)+IF(ISNUMBER(J28),Parameters!$E$12,0))*100)</f>
        <v>33</v>
      </c>
      <c r="N28" s="30" t="n">
        <f aca="false">IF(ISNUMBER(D28),Parameters!$E$6,0)+IF(ISNUMBER(E28),Parameters!$E$7,0)+IF(ISNUMBER(F28),Parameters!$E$8,0)+IF(ISNUMBER(G28),Parameters!$E$9,0)+IF(ISNUMBER(H28),Parameters!$E$10,0)+IF(ISNUMBER(I28),Parameters!$E$11,0)+IF(ISNUMBER(J28),Parameters!$E$12,0)</f>
        <v>0.28</v>
      </c>
      <c r="O28" s="31" t="n">
        <f aca="false">IF(ISNUMBER(D28),D28*Parameters!$E$6,0)+IF(ISNUMBER(E28),E28*Parameters!$E$7,0)+IF(ISNUMBER(F28),F28*Parameters!$E$8,0)+IF(ISNUMBER(G28),G28*Parameters!$E$9,0)+IF(ISNUMBER(H28),H28*Parameters!$E$10,0)+IF(ISNUMBER(I28),I28*Parameters!$E$11,0)+IF(ISNUMBER(J28),J28*Parameters!$E$12,0)</f>
        <v>0.1009</v>
      </c>
      <c r="P28" s="32" t="n">
        <f aca="false">COUNT(D28:J28)</f>
        <v>3</v>
      </c>
      <c r="Q28" s="32" t="n">
        <f aca="false">(COUNT(D28:E28)&gt;0)+(COUNT(F28:H28)&gt;0)+(COUNT(I28:J28)&gt;0)</f>
        <v>3</v>
      </c>
      <c r="R28" s="32" t="str">
        <f aca="false">IF(AND(N28&gt;=Parameters!$C$56,Q28&gt;=Parameters!$C$59),"Yes","No")</f>
        <v>No</v>
      </c>
      <c r="S28" s="33" t="str">
        <f aca="false">IF(R28="Yes",O28/N28*100,"NA")</f>
        <v>NA</v>
      </c>
      <c r="T28" s="29" t="str">
        <f aca="false">IF(R28="Yes",O28/Parameters!$E$13*100,"NA")</f>
        <v>NA</v>
      </c>
      <c r="U28" s="29" t="str">
        <f aca="false">IF(R28="Yes",(O28+(Parameters!$E$13-N28))/Parameters!$E$13*100,"NA")</f>
        <v>NA</v>
      </c>
      <c r="V28" s="34" t="str">
        <f aca="false">IF(R28&lt;&gt;"Yes","Not scored",IF(N28&gt;=Parameters!$C$60,"Reportable","Provisional"))</f>
        <v>Not scored</v>
      </c>
      <c r="W28" s="32" t="str">
        <f aca="false">IF(ISNUMBER(S28),RANK(S28,$S$2:$S$113,0),"NA")</f>
        <v>NA</v>
      </c>
      <c r="X28" s="32" t="str">
        <f aca="false">IF(N28&gt;=Parameters!$C$60,"High",IF(N28&gt;=Parameters!$C$56,"Medium","Low"))</f>
        <v>Low</v>
      </c>
      <c r="Y28" s="32" t="n">
        <f aca="false">Calc!T28</f>
        <v>0</v>
      </c>
      <c r="Z28" s="35" t="str">
        <f aca="false">IF(V28="Reportable",S28-ROW()*0.000000001,"")</f>
        <v/>
      </c>
      <c r="AA28" s="35" t="str">
        <f aca="false">IF(ISNUMBER(Z28),RANK(Z28,$Z$2:$Z$113,0),"NA")</f>
        <v>NA</v>
      </c>
    </row>
    <row r="29" customFormat="false" ht="15" hidden="false" customHeight="true" outlineLevel="0" collapsed="false">
      <c r="A29" s="15" t="str">
        <f aca="false">Data!$A29</f>
        <v>DART (Digital Archivist's Resource Tool)</v>
      </c>
      <c r="B29" s="15" t="str">
        <f aca="false">Data!$B29</f>
        <v>Academic Preservation Trust (APTrust)</v>
      </c>
      <c r="C29" s="15" t="str">
        <f aca="false">Data!$E29</f>
        <v>Digital preservation tool</v>
      </c>
      <c r="D29" s="28" t="n">
        <f aca="false">IF(Verification!C29="",Calc!B29,Verification!C29)</f>
        <v>1</v>
      </c>
      <c r="E29" s="28" t="str">
        <f aca="false">IF(Verification!D29="",Calc!D29,Verification!D29)</f>
        <v>NA</v>
      </c>
      <c r="F29" s="28" t="n">
        <f aca="false">IF(Verification!E29="",Calc!G29,Verification!E29)</f>
        <v>1</v>
      </c>
      <c r="G29" s="28" t="n">
        <f aca="false">IF(Verification!F29="",Calc!I29,Verification!F29)</f>
        <v>0.5</v>
      </c>
      <c r="H29" s="28" t="n">
        <f aca="false">IF(Verification!G29="",Calc!E29,Verification!G29)</f>
        <v>1</v>
      </c>
      <c r="I29" s="28" t="n">
        <f aca="false">IF(Verification!H29="",Calc!J29,Verification!H29)</f>
        <v>0.33</v>
      </c>
      <c r="J29" s="28" t="n">
        <f aca="false">IF(Verification!I29="",Calc!K29,Verification!I29)</f>
        <v>1</v>
      </c>
      <c r="K29" s="29" t="n">
        <f aca="false">IF(COUNT(D29:E29)=0,"NA",(IF(ISNUMBER(D29),D29*Parameters!$E$6,0)+IF(ISNUMBER(E29),E29*Parameters!$E$7,0))/(IF(ISNUMBER(D29),Parameters!$E$6,0)+IF(ISNUMBER(E29),Parameters!$E$7,0))*100)</f>
        <v>100</v>
      </c>
      <c r="L29" s="29" t="n">
        <f aca="false">IF(COUNT(F29:H29)=0,"NA",(IF(ISNUMBER(F29),F29*Parameters!$E$8,0)+IF(ISNUMBER(G29),G29*Parameters!$E$9,0)+IF(ISNUMBER(H29),H29*Parameters!$E$10,0))/(IF(ISNUMBER(F29),Parameters!$E$8,0)+IF(ISNUMBER(G29),Parameters!$E$9,0)+IF(ISNUMBER(H29),Parameters!$E$10,0))*100)</f>
        <v>82.8571428571429</v>
      </c>
      <c r="M29" s="29" t="n">
        <f aca="false">IF(COUNT(I29:J29)=0,"NA",(IF(ISNUMBER(I29),I29*Parameters!$E$11,0)+IF(ISNUMBER(J29),J29*Parameters!$E$12,0))/(IF(ISNUMBER(I29),Parameters!$E$11,0)+IF(ISNUMBER(J29),Parameters!$E$12,0))*100)</f>
        <v>71.2857142857143</v>
      </c>
      <c r="N29" s="30" t="n">
        <f aca="false">IF(ISNUMBER(D29),Parameters!$E$6,0)+IF(ISNUMBER(E29),Parameters!$E$7,0)+IF(ISNUMBER(F29),Parameters!$E$8,0)+IF(ISNUMBER(G29),Parameters!$E$9,0)+IF(ISNUMBER(H29),Parameters!$E$10,0)+IF(ISNUMBER(I29),Parameters!$E$11,0)+IF(ISNUMBER(J29),Parameters!$E$12,0)</f>
        <v>0.78</v>
      </c>
      <c r="O29" s="31" t="n">
        <f aca="false">IF(ISNUMBER(D29),D29*Parameters!$E$6,0)+IF(ISNUMBER(E29),E29*Parameters!$E$7,0)+IF(ISNUMBER(F29),F29*Parameters!$E$8,0)+IF(ISNUMBER(G29),G29*Parameters!$E$9,0)+IF(ISNUMBER(H29),H29*Parameters!$E$10,0)+IF(ISNUMBER(I29),I29*Parameters!$E$11,0)+IF(ISNUMBER(J29),J29*Parameters!$E$12,0)</f>
        <v>0.6195</v>
      </c>
      <c r="P29" s="32" t="n">
        <f aca="false">COUNT(D29:J29)</f>
        <v>6</v>
      </c>
      <c r="Q29" s="32" t="n">
        <f aca="false">(COUNT(D29:E29)&gt;0)+(COUNT(F29:H29)&gt;0)+(COUNT(I29:J29)&gt;0)</f>
        <v>3</v>
      </c>
      <c r="R29" s="32" t="str">
        <f aca="false">IF(AND(N29&gt;=Parameters!$C$56,Q29&gt;=Parameters!$C$59),"Yes","No")</f>
        <v>Yes</v>
      </c>
      <c r="S29" s="33" t="n">
        <f aca="false">IF(R29="Yes",O29/N29*100,"NA")</f>
        <v>79.4230769230769</v>
      </c>
      <c r="T29" s="29" t="n">
        <f aca="false">IF(R29="Yes",O29/Parameters!$E$13*100,"NA")</f>
        <v>61.95</v>
      </c>
      <c r="U29" s="29" t="n">
        <f aca="false">IF(R29="Yes",(O29+(Parameters!$E$13-N29))/Parameters!$E$13*100,"NA")</f>
        <v>83.95</v>
      </c>
      <c r="V29" s="34" t="str">
        <f aca="false">IF(R29&lt;&gt;"Yes","Not scored",IF(N29&gt;=Parameters!$C$60,"Reportable","Provisional"))</f>
        <v>Provisional</v>
      </c>
      <c r="W29" s="32" t="n">
        <f aca="false">IF(ISNUMBER(S29),RANK(S29,$S$2:$S$113,0),"NA")</f>
        <v>41</v>
      </c>
      <c r="X29" s="32" t="str">
        <f aca="false">IF(N29&gt;=Parameters!$C$60,"High",IF(N29&gt;=Parameters!$C$56,"Medium","Low"))</f>
        <v>Medium</v>
      </c>
      <c r="Y29" s="32" t="n">
        <f aca="false">Calc!T29</f>
        <v>1</v>
      </c>
      <c r="Z29" s="35" t="str">
        <f aca="false">IF(V29="Reportable",S29-ROW()*0.000000001,"")</f>
        <v/>
      </c>
      <c r="AA29" s="35" t="str">
        <f aca="false">IF(ISNUMBER(Z29),RANK(Z29,$Z$2:$Z$113,0),"NA")</f>
        <v>NA</v>
      </c>
    </row>
    <row r="30" customFormat="false" ht="15" hidden="false" customHeight="true" outlineLevel="0" collapsed="false">
      <c r="A30" s="15" t="str">
        <f aca="false">Data!$A30</f>
        <v>Database Information System</v>
      </c>
      <c r="B30" s="15" t="str">
        <f aca="false">Data!$B30</f>
        <v>University Library of Regensburg</v>
      </c>
      <c r="C30" s="15" t="str">
        <f aca="false">Data!$E30</f>
        <v>Discovery system | Index or directory</v>
      </c>
      <c r="D30" s="28" t="n">
        <f aca="false">IF(Verification!C30="",Calc!B30,Verification!C30)</f>
        <v>1</v>
      </c>
      <c r="E30" s="28" t="n">
        <f aca="false">IF(Verification!D30="",Calc!D30,Verification!D30)</f>
        <v>0.875</v>
      </c>
      <c r="F30" s="28" t="n">
        <f aca="false">IF(Verification!E30="",Calc!G30,Verification!E30)</f>
        <v>0.166666666666667</v>
      </c>
      <c r="G30" s="28" t="str">
        <f aca="false">IF(Verification!F30="",Calc!I30,Verification!F30)</f>
        <v>NA</v>
      </c>
      <c r="H30" s="28" t="n">
        <f aca="false">IF(Verification!G30="",Calc!E30,Verification!G30)</f>
        <v>1</v>
      </c>
      <c r="I30" s="28" t="n">
        <f aca="false">IF(Verification!H30="",Calc!J30,Verification!H30)</f>
        <v>0.33</v>
      </c>
      <c r="J30" s="28" t="n">
        <f aca="false">IF(Verification!I30="",Calc!K30,Verification!I30)</f>
        <v>0.5</v>
      </c>
      <c r="K30" s="29" t="n">
        <f aca="false">IF(COUNT(D30:E30)=0,"NA",(IF(ISNUMBER(D30),D30*Parameters!$E$6,0)+IF(ISNUMBER(E30),E30*Parameters!$E$7,0))/(IF(ISNUMBER(D30),Parameters!$E$6,0)+IF(ISNUMBER(E30),Parameters!$E$7,0))*100)</f>
        <v>90.8333333333333</v>
      </c>
      <c r="L30" s="29" t="n">
        <f aca="false">IF(COUNT(F30:H30)=0,"NA",(IF(ISNUMBER(F30),F30*Parameters!$E$8,0)+IF(ISNUMBER(G30),G30*Parameters!$E$9,0)+IF(ISNUMBER(H30),H30*Parameters!$E$10,0))/(IF(ISNUMBER(F30),Parameters!$E$8,0)+IF(ISNUMBER(G30),Parameters!$E$9,0)+IF(ISNUMBER(H30),Parameters!$E$10,0))*100)</f>
        <v>34.7826086956522</v>
      </c>
      <c r="M30" s="29" t="n">
        <f aca="false">IF(COUNT(I30:J30)=0,"NA",(IF(ISNUMBER(I30),I30*Parameters!$E$11,0)+IF(ISNUMBER(J30),J30*Parameters!$E$12,0))/(IF(ISNUMBER(I30),Parameters!$E$11,0)+IF(ISNUMBER(J30),Parameters!$E$12,0))*100)</f>
        <v>42.7142857142857</v>
      </c>
      <c r="N30" s="30" t="n">
        <f aca="false">IF(ISNUMBER(D30),Parameters!$E$6,0)+IF(ISNUMBER(E30),Parameters!$E$7,0)+IF(ISNUMBER(F30),Parameters!$E$8,0)+IF(ISNUMBER(G30),Parameters!$E$9,0)+IF(ISNUMBER(H30),Parameters!$E$10,0)+IF(ISNUMBER(I30),Parameters!$E$11,0)+IF(ISNUMBER(J30),Parameters!$E$12,0)</f>
        <v>0.88</v>
      </c>
      <c r="O30" s="31" t="n">
        <f aca="false">IF(ISNUMBER(D30),D30*Parameters!$E$6,0)+IF(ISNUMBER(E30),E30*Parameters!$E$7,0)+IF(ISNUMBER(F30),F30*Parameters!$E$8,0)+IF(ISNUMBER(G30),G30*Parameters!$E$9,0)+IF(ISNUMBER(H30),H30*Parameters!$E$10,0)+IF(ISNUMBER(I30),I30*Parameters!$E$11,0)+IF(ISNUMBER(J30),J30*Parameters!$E$12,0)</f>
        <v>0.502</v>
      </c>
      <c r="P30" s="32" t="n">
        <f aca="false">COUNT(D30:J30)</f>
        <v>6</v>
      </c>
      <c r="Q30" s="32" t="n">
        <f aca="false">(COUNT(D30:E30)&gt;0)+(COUNT(F30:H30)&gt;0)+(COUNT(I30:J30)&gt;0)</f>
        <v>3</v>
      </c>
      <c r="R30" s="32" t="str">
        <f aca="false">IF(AND(N30&gt;=Parameters!$C$56,Q30&gt;=Parameters!$C$59),"Yes","No")</f>
        <v>Yes</v>
      </c>
      <c r="S30" s="33" t="n">
        <f aca="false">IF(R30="Yes",O30/N30*100,"NA")</f>
        <v>57.0454545454546</v>
      </c>
      <c r="T30" s="29" t="n">
        <f aca="false">IF(R30="Yes",O30/Parameters!$E$13*100,"NA")</f>
        <v>50.2</v>
      </c>
      <c r="U30" s="29" t="n">
        <f aca="false">IF(R30="Yes",(O30+(Parameters!$E$13-N30))/Parameters!$E$13*100,"NA")</f>
        <v>62.2</v>
      </c>
      <c r="V30" s="34" t="str">
        <f aca="false">IF(R30&lt;&gt;"Yes","Not scored",IF(N30&gt;=Parameters!$C$60,"Reportable","Provisional"))</f>
        <v>Reportable</v>
      </c>
      <c r="W30" s="32" t="n">
        <f aca="false">IF(ISNUMBER(S30),RANK(S30,$S$2:$S$113,0),"NA")</f>
        <v>73</v>
      </c>
      <c r="X30" s="32" t="str">
        <f aca="false">IF(N30&gt;=Parameters!$C$60,"High",IF(N30&gt;=Parameters!$C$56,"Medium","Low"))</f>
        <v>High</v>
      </c>
      <c r="Y30" s="32" t="n">
        <f aca="false">Calc!T30</f>
        <v>0</v>
      </c>
      <c r="Z30" s="35" t="n">
        <f aca="false">IF(V30="Reportable",S30-ROW()*0.000000001,"")</f>
        <v>57.0454545154545</v>
      </c>
      <c r="AA30" s="35" t="n">
        <f aca="false">IF(ISNUMBER(Z30),RANK(Z30,$Z$2:$Z$113,0),"NA")</f>
        <v>42</v>
      </c>
    </row>
    <row r="31" customFormat="false" ht="15" hidden="false" customHeight="true" outlineLevel="0" collapsed="false">
      <c r="A31" s="15" t="str">
        <f aca="false">Data!$A31</f>
        <v>Data Citation Corpus</v>
      </c>
      <c r="B31" s="15" t="str">
        <f aca="false">Data!$B31</f>
        <v>Make Data Count</v>
      </c>
      <c r="C31" s="15" t="str">
        <f aca="false">Data!$E31</f>
        <v>Discovery system | Open scholarly dataset</v>
      </c>
      <c r="D31" s="28" t="n">
        <f aca="false">IF(Verification!C31="",Calc!B31,Verification!C31)</f>
        <v>1</v>
      </c>
      <c r="E31" s="28" t="n">
        <f aca="false">IF(Verification!D31="",Calc!D31,Verification!D31)</f>
        <v>0.75</v>
      </c>
      <c r="F31" s="28" t="n">
        <f aca="false">IF(Verification!E31="",Calc!G31,Verification!E31)</f>
        <v>0.166666666666667</v>
      </c>
      <c r="G31" s="28" t="n">
        <f aca="false">IF(Verification!F31="",Calc!I31,Verification!F31)</f>
        <v>0.5</v>
      </c>
      <c r="H31" s="28" t="n">
        <f aca="false">IF(Verification!G31="",Calc!E31,Verification!G31)</f>
        <v>1</v>
      </c>
      <c r="I31" s="28" t="n">
        <f aca="false">IF(Verification!H31="",Calc!J31,Verification!H31)</f>
        <v>0</v>
      </c>
      <c r="J31" s="28" t="n">
        <f aca="false">IF(Verification!I31="",Calc!K31,Verification!I31)</f>
        <v>0.5</v>
      </c>
      <c r="K31" s="29" t="n">
        <f aca="false">IF(COUNT(D31:E31)=0,"NA",(IF(ISNUMBER(D31),D31*Parameters!$E$6,0)+IF(ISNUMBER(E31),E31*Parameters!$E$7,0))/(IF(ISNUMBER(D31),Parameters!$E$6,0)+IF(ISNUMBER(E31),Parameters!$E$7,0))*100)</f>
        <v>81.6666666666667</v>
      </c>
      <c r="L31" s="29" t="n">
        <f aca="false">IF(COUNT(F31:H31)=0,"NA",(IF(ISNUMBER(F31),F31*Parameters!$E$8,0)+IF(ISNUMBER(G31),G31*Parameters!$E$9,0)+IF(ISNUMBER(H31),H31*Parameters!$E$10,0))/(IF(ISNUMBER(F31),Parameters!$E$8,0)+IF(ISNUMBER(G31),Parameters!$E$9,0)+IF(ISNUMBER(H31),Parameters!$E$10,0))*100)</f>
        <v>40</v>
      </c>
      <c r="M31" s="29" t="n">
        <f aca="false">IF(COUNT(I31:J31)=0,"NA",(IF(ISNUMBER(I31),I31*Parameters!$E$11,0)+IF(ISNUMBER(J31),J31*Parameters!$E$12,0))/(IF(ISNUMBER(I31),Parameters!$E$11,0)+IF(ISNUMBER(J31),Parameters!$E$12,0))*100)</f>
        <v>28.5714285714286</v>
      </c>
      <c r="N31" s="30" t="n">
        <f aca="false">IF(ISNUMBER(D31),Parameters!$E$6,0)+IF(ISNUMBER(E31),Parameters!$E$7,0)+IF(ISNUMBER(F31),Parameters!$E$8,0)+IF(ISNUMBER(G31),Parameters!$E$9,0)+IF(ISNUMBER(H31),Parameters!$E$10,0)+IF(ISNUMBER(I31),Parameters!$E$11,0)+IF(ISNUMBER(J31),Parameters!$E$12,0)</f>
        <v>1</v>
      </c>
      <c r="O31" s="31" t="n">
        <f aca="false">IF(ISNUMBER(D31),D31*Parameters!$E$6,0)+IF(ISNUMBER(E31),E31*Parameters!$E$7,0)+IF(ISNUMBER(F31),F31*Parameters!$E$8,0)+IF(ISNUMBER(G31),G31*Parameters!$E$9,0)+IF(ISNUMBER(H31),H31*Parameters!$E$10,0)+IF(ISNUMBER(I31),I31*Parameters!$E$11,0)+IF(ISNUMBER(J31),J31*Parameters!$E$12,0)</f>
        <v>0.485</v>
      </c>
      <c r="P31" s="32" t="n">
        <f aca="false">COUNT(D31:J31)</f>
        <v>7</v>
      </c>
      <c r="Q31" s="32" t="n">
        <f aca="false">(COUNT(D31:E31)&gt;0)+(COUNT(F31:H31)&gt;0)+(COUNT(I31:J31)&gt;0)</f>
        <v>3</v>
      </c>
      <c r="R31" s="32" t="str">
        <f aca="false">IF(AND(N31&gt;=Parameters!$C$56,Q31&gt;=Parameters!$C$59),"Yes","No")</f>
        <v>Yes</v>
      </c>
      <c r="S31" s="33" t="n">
        <f aca="false">IF(R31="Yes",O31/N31*100,"NA")</f>
        <v>48.5</v>
      </c>
      <c r="T31" s="29" t="n">
        <f aca="false">IF(R31="Yes",O31/Parameters!$E$13*100,"NA")</f>
        <v>48.5</v>
      </c>
      <c r="U31" s="29" t="n">
        <f aca="false">IF(R31="Yes",(O31+(Parameters!$E$13-N31))/Parameters!$E$13*100,"NA")</f>
        <v>48.5</v>
      </c>
      <c r="V31" s="34" t="str">
        <f aca="false">IF(R31&lt;&gt;"Yes","Not scored",IF(N31&gt;=Parameters!$C$60,"Reportable","Provisional"))</f>
        <v>Reportable</v>
      </c>
      <c r="W31" s="32" t="n">
        <f aca="false">IF(ISNUMBER(S31),RANK(S31,$S$2:$S$113,0),"NA")</f>
        <v>82</v>
      </c>
      <c r="X31" s="32" t="str">
        <f aca="false">IF(N31&gt;=Parameters!$C$60,"High",IF(N31&gt;=Parameters!$C$56,"Medium","Low"))</f>
        <v>High</v>
      </c>
      <c r="Y31" s="32" t="n">
        <f aca="false">Calc!T31</f>
        <v>0</v>
      </c>
      <c r="Z31" s="35" t="n">
        <f aca="false">IF(V31="Reportable",S31-ROW()*0.000000001,"")</f>
        <v>48.499999969</v>
      </c>
      <c r="AA31" s="35" t="n">
        <f aca="false">IF(ISNUMBER(Z31),RANK(Z31,$Z$2:$Z$113,0),"NA")</f>
        <v>48</v>
      </c>
    </row>
    <row r="32" customFormat="false" ht="15" hidden="false" customHeight="true" outlineLevel="0" collapsed="false">
      <c r="A32" s="15" t="str">
        <f aca="false">Data!$A32</f>
        <v>DataCite</v>
      </c>
      <c r="B32" s="15" t="str">
        <f aca="false">Data!$B32</f>
        <v>DataCite</v>
      </c>
      <c r="C32" s="15" t="str">
        <f aca="false">Data!$E32</f>
        <v>Discovery system | Persistent identifier service</v>
      </c>
      <c r="D32" s="28" t="n">
        <f aca="false">IF(Verification!C32="",Calc!B32,Verification!C32)</f>
        <v>1</v>
      </c>
      <c r="E32" s="28" t="n">
        <f aca="false">IF(Verification!D32="",Calc!D32,Verification!D32)</f>
        <v>0.25</v>
      </c>
      <c r="F32" s="28" t="n">
        <f aca="false">IF(Verification!E32="",Calc!G32,Verification!E32)</f>
        <v>0.5</v>
      </c>
      <c r="G32" s="28" t="n">
        <f aca="false">IF(Verification!F32="",Calc!I32,Verification!F32)</f>
        <v>0.5</v>
      </c>
      <c r="H32" s="28" t="n">
        <f aca="false">IF(Verification!G32="",Calc!E32,Verification!G32)</f>
        <v>1</v>
      </c>
      <c r="I32" s="28" t="n">
        <f aca="false">IF(Verification!H32="",Calc!J32,Verification!H32)</f>
        <v>1</v>
      </c>
      <c r="J32" s="28" t="n">
        <f aca="false">IF(Verification!I32="",Calc!K32,Verification!I32)</f>
        <v>1</v>
      </c>
      <c r="K32" s="29" t="n">
        <f aca="false">IF(COUNT(D32:E32)=0,"NA",(IF(ISNUMBER(D32),D32*Parameters!$E$6,0)+IF(ISNUMBER(E32),E32*Parameters!$E$7,0))/(IF(ISNUMBER(D32),Parameters!$E$6,0)+IF(ISNUMBER(E32),Parameters!$E$7,0))*100)</f>
        <v>45</v>
      </c>
      <c r="L32" s="29" t="n">
        <f aca="false">IF(COUNT(F32:H32)=0,"NA",(IF(ISNUMBER(F32),F32*Parameters!$E$8,0)+IF(ISNUMBER(G32),G32*Parameters!$E$9,0)+IF(ISNUMBER(H32),H32*Parameters!$E$10,0))/(IF(ISNUMBER(F32),Parameters!$E$8,0)+IF(ISNUMBER(G32),Parameters!$E$9,0)+IF(ISNUMBER(H32),Parameters!$E$10,0))*100)</f>
        <v>57.1428571428572</v>
      </c>
      <c r="M32" s="29" t="n">
        <f aca="false">IF(COUNT(I32:J32)=0,"NA",(IF(ISNUMBER(I32),I32*Parameters!$E$11,0)+IF(ISNUMBER(J32),J32*Parameters!$E$12,0))/(IF(ISNUMBER(I32),Parameters!$E$11,0)+IF(ISNUMBER(J32),Parameters!$E$12,0))*100)</f>
        <v>100</v>
      </c>
      <c r="N32" s="30" t="n">
        <f aca="false">IF(ISNUMBER(D32),Parameters!$E$6,0)+IF(ISNUMBER(E32),Parameters!$E$7,0)+IF(ISNUMBER(F32),Parameters!$E$8,0)+IF(ISNUMBER(G32),Parameters!$E$9,0)+IF(ISNUMBER(H32),Parameters!$E$10,0)+IF(ISNUMBER(I32),Parameters!$E$11,0)+IF(ISNUMBER(J32),Parameters!$E$12,0)</f>
        <v>1</v>
      </c>
      <c r="O32" s="31" t="n">
        <f aca="false">IF(ISNUMBER(D32),D32*Parameters!$E$6,0)+IF(ISNUMBER(E32),E32*Parameters!$E$7,0)+IF(ISNUMBER(F32),F32*Parameters!$E$8,0)+IF(ISNUMBER(G32),G32*Parameters!$E$9,0)+IF(ISNUMBER(H32),H32*Parameters!$E$10,0)+IF(ISNUMBER(I32),I32*Parameters!$E$11,0)+IF(ISNUMBER(J32),J32*Parameters!$E$12,0)</f>
        <v>0.685</v>
      </c>
      <c r="P32" s="32" t="n">
        <f aca="false">COUNT(D32:J32)</f>
        <v>7</v>
      </c>
      <c r="Q32" s="32" t="n">
        <f aca="false">(COUNT(D32:E32)&gt;0)+(COUNT(F32:H32)&gt;0)+(COUNT(I32:J32)&gt;0)</f>
        <v>3</v>
      </c>
      <c r="R32" s="32" t="str">
        <f aca="false">IF(AND(N32&gt;=Parameters!$C$56,Q32&gt;=Parameters!$C$59),"Yes","No")</f>
        <v>Yes</v>
      </c>
      <c r="S32" s="33" t="n">
        <f aca="false">IF(R32="Yes",O32/N32*100,"NA")</f>
        <v>68.5</v>
      </c>
      <c r="T32" s="29" t="n">
        <f aca="false">IF(R32="Yes",O32/Parameters!$E$13*100,"NA")</f>
        <v>68.5</v>
      </c>
      <c r="U32" s="29" t="n">
        <f aca="false">IF(R32="Yes",(O32+(Parameters!$E$13-N32))/Parameters!$E$13*100,"NA")</f>
        <v>68.5</v>
      </c>
      <c r="V32" s="34" t="str">
        <f aca="false">IF(R32&lt;&gt;"Yes","Not scored",IF(N32&gt;=Parameters!$C$60,"Reportable","Provisional"))</f>
        <v>Reportable</v>
      </c>
      <c r="W32" s="32" t="n">
        <f aca="false">IF(ISNUMBER(S32),RANK(S32,$S$2:$S$113,0),"NA")</f>
        <v>58</v>
      </c>
      <c r="X32" s="32" t="str">
        <f aca="false">IF(N32&gt;=Parameters!$C$60,"High",IF(N32&gt;=Parameters!$C$56,"Medium","Low"))</f>
        <v>High</v>
      </c>
      <c r="Y32" s="32" t="n">
        <f aca="false">Calc!T32</f>
        <v>1</v>
      </c>
      <c r="Z32" s="35" t="n">
        <f aca="false">IF(V32="Reportable",S32-ROW()*0.000000001,"")</f>
        <v>68.499999968</v>
      </c>
      <c r="AA32" s="35" t="n">
        <f aca="false">IF(ISNUMBER(Z32),RANK(Z32,$Z$2:$Z$113,0),"NA")</f>
        <v>34</v>
      </c>
    </row>
    <row r="33" customFormat="false" ht="15" hidden="false" customHeight="true" outlineLevel="0" collapsed="false">
      <c r="A33" s="15" t="str">
        <f aca="false">Data!$A33</f>
        <v>Data Stewardship Wizard</v>
      </c>
      <c r="B33" s="15" t="str">
        <f aca="false">Data!$B33</f>
        <v>DSW Team</v>
      </c>
      <c r="C33" s="15" t="str">
        <f aca="false">Data!$E33</f>
        <v>Data management planning tool or service</v>
      </c>
      <c r="D33" s="28" t="n">
        <f aca="false">IF(Verification!C33="",Calc!B33,Verification!C33)</f>
        <v>1</v>
      </c>
      <c r="E33" s="28" t="n">
        <f aca="false">IF(Verification!D33="",Calc!D33,Verification!D33)</f>
        <v>1</v>
      </c>
      <c r="F33" s="28" t="n">
        <f aca="false">IF(Verification!E33="",Calc!G33,Verification!E33)</f>
        <v>0.833333333333333</v>
      </c>
      <c r="G33" s="28" t="n">
        <f aca="false">IF(Verification!F33="",Calc!I33,Verification!F33)</f>
        <v>1</v>
      </c>
      <c r="H33" s="28" t="n">
        <f aca="false">IF(Verification!G33="",Calc!E33,Verification!G33)</f>
        <v>1</v>
      </c>
      <c r="I33" s="28" t="n">
        <f aca="false">IF(Verification!H33="",Calc!J33,Verification!H33)</f>
        <v>1</v>
      </c>
      <c r="J33" s="28" t="n">
        <f aca="false">IF(Verification!I33="",Calc!K33,Verification!I33)</f>
        <v>0.5</v>
      </c>
      <c r="K33" s="29" t="n">
        <f aca="false">IF(COUNT(D33:E33)=0,"NA",(IF(ISNUMBER(D33),D33*Parameters!$E$6,0)+IF(ISNUMBER(E33),E33*Parameters!$E$7,0))/(IF(ISNUMBER(D33),Parameters!$E$6,0)+IF(ISNUMBER(E33),Parameters!$E$7,0))*100)</f>
        <v>100</v>
      </c>
      <c r="L33" s="29" t="n">
        <f aca="false">IF(COUNT(F33:H33)=0,"NA",(IF(ISNUMBER(F33),F33*Parameters!$E$8,0)+IF(ISNUMBER(G33),G33*Parameters!$E$9,0)+IF(ISNUMBER(H33),H33*Parameters!$E$10,0))/(IF(ISNUMBER(F33),Parameters!$E$8,0)+IF(ISNUMBER(G33),Parameters!$E$9,0)+IF(ISNUMBER(H33),Parameters!$E$10,0))*100)</f>
        <v>91.4285714285714</v>
      </c>
      <c r="M33" s="29" t="n">
        <f aca="false">IF(COUNT(I33:J33)=0,"NA",(IF(ISNUMBER(I33),I33*Parameters!$E$11,0)+IF(ISNUMBER(J33),J33*Parameters!$E$12,0))/(IF(ISNUMBER(I33),Parameters!$E$11,0)+IF(ISNUMBER(J33),Parameters!$E$12,0))*100)</f>
        <v>71.4285714285714</v>
      </c>
      <c r="N33" s="30" t="n">
        <f aca="false">IF(ISNUMBER(D33),Parameters!$E$6,0)+IF(ISNUMBER(E33),Parameters!$E$7,0)+IF(ISNUMBER(F33),Parameters!$E$8,0)+IF(ISNUMBER(G33),Parameters!$E$9,0)+IF(ISNUMBER(H33),Parameters!$E$10,0)+IF(ISNUMBER(I33),Parameters!$E$11,0)+IF(ISNUMBER(J33),Parameters!$E$12,0)</f>
        <v>1</v>
      </c>
      <c r="O33" s="31" t="n">
        <f aca="false">IF(ISNUMBER(D33),D33*Parameters!$E$6,0)+IF(ISNUMBER(E33),E33*Parameters!$E$7,0)+IF(ISNUMBER(F33),F33*Parameters!$E$8,0)+IF(ISNUMBER(G33),G33*Parameters!$E$9,0)+IF(ISNUMBER(H33),H33*Parameters!$E$10,0)+IF(ISNUMBER(I33),I33*Parameters!$E$11,0)+IF(ISNUMBER(J33),J33*Parameters!$E$12,0)</f>
        <v>0.87</v>
      </c>
      <c r="P33" s="32" t="n">
        <f aca="false">COUNT(D33:J33)</f>
        <v>7</v>
      </c>
      <c r="Q33" s="32" t="n">
        <f aca="false">(COUNT(D33:E33)&gt;0)+(COUNT(F33:H33)&gt;0)+(COUNT(I33:J33)&gt;0)</f>
        <v>3</v>
      </c>
      <c r="R33" s="32" t="str">
        <f aca="false">IF(AND(N33&gt;=Parameters!$C$56,Q33&gt;=Parameters!$C$59),"Yes","No")</f>
        <v>Yes</v>
      </c>
      <c r="S33" s="33" t="n">
        <f aca="false">IF(R33="Yes",O33/N33*100,"NA")</f>
        <v>87</v>
      </c>
      <c r="T33" s="29" t="n">
        <f aca="false">IF(R33="Yes",O33/Parameters!$E$13*100,"NA")</f>
        <v>87</v>
      </c>
      <c r="U33" s="29" t="n">
        <f aca="false">IF(R33="Yes",(O33+(Parameters!$E$13-N33))/Parameters!$E$13*100,"NA")</f>
        <v>87</v>
      </c>
      <c r="V33" s="34" t="str">
        <f aca="false">IF(R33&lt;&gt;"Yes","Not scored",IF(N33&gt;=Parameters!$C$60,"Reportable","Provisional"))</f>
        <v>Reportable</v>
      </c>
      <c r="W33" s="32" t="n">
        <f aca="false">IF(ISNUMBER(S33),RANK(S33,$S$2:$S$113,0),"NA")</f>
        <v>27</v>
      </c>
      <c r="X33" s="32" t="str">
        <f aca="false">IF(N33&gt;=Parameters!$C$60,"High",IF(N33&gt;=Parameters!$C$56,"Medium","Low"))</f>
        <v>High</v>
      </c>
      <c r="Y33" s="32" t="n">
        <f aca="false">Calc!T33</f>
        <v>0</v>
      </c>
      <c r="Z33" s="35" t="n">
        <f aca="false">IF(V33="Reportable",S33-ROW()*0.000000001,"")</f>
        <v>86.999999967</v>
      </c>
      <c r="AA33" s="35" t="n">
        <f aca="false">IF(ISNUMBER(Z33),RANK(Z33,$Z$2:$Z$113,0),"NA")</f>
        <v>16</v>
      </c>
    </row>
    <row r="34" customFormat="false" ht="15" hidden="false" customHeight="true" outlineLevel="0" collapsed="false">
      <c r="A34" s="15" t="str">
        <f aca="false">Data!$A34</f>
        <v>Dataverse</v>
      </c>
      <c r="B34" s="15" t="str">
        <f aca="false">Data!$B34</f>
        <v>Harvard University Institute for Quantitative Social Science (IQSS)</v>
      </c>
      <c r="C34" s="15" t="str">
        <f aca="false">Data!$E34</f>
        <v>Repository software</v>
      </c>
      <c r="D34" s="28" t="n">
        <f aca="false">IF(Verification!C34="",Calc!B34,Verification!C34)</f>
        <v>1</v>
      </c>
      <c r="E34" s="28" t="n">
        <f aca="false">IF(Verification!D34="",Calc!D34,Verification!D34)</f>
        <v>0.375</v>
      </c>
      <c r="F34" s="28" t="n">
        <f aca="false">IF(Verification!E34="",Calc!G34,Verification!E34)</f>
        <v>0.666666666666667</v>
      </c>
      <c r="G34" s="28" t="n">
        <f aca="false">IF(Verification!F34="",Calc!I34,Verification!F34)</f>
        <v>0.5</v>
      </c>
      <c r="H34" s="28" t="n">
        <f aca="false">IF(Verification!G34="",Calc!E34,Verification!G34)</f>
        <v>1</v>
      </c>
      <c r="I34" s="28" t="n">
        <f aca="false">IF(Verification!H34="",Calc!J34,Verification!H34)</f>
        <v>1</v>
      </c>
      <c r="J34" s="28" t="n">
        <f aca="false">IF(Verification!I34="",Calc!K34,Verification!I34)</f>
        <v>0.5</v>
      </c>
      <c r="K34" s="29" t="n">
        <f aca="false">IF(COUNT(D34:E34)=0,"NA",(IF(ISNUMBER(D34),D34*Parameters!$E$6,0)+IF(ISNUMBER(E34),E34*Parameters!$E$7,0))/(IF(ISNUMBER(D34),Parameters!$E$6,0)+IF(ISNUMBER(E34),Parameters!$E$7,0))*100)</f>
        <v>54.1666666666667</v>
      </c>
      <c r="L34" s="29" t="n">
        <f aca="false">IF(COUNT(F34:H34)=0,"NA",(IF(ISNUMBER(F34),F34*Parameters!$E$8,0)+IF(ISNUMBER(G34),G34*Parameters!$E$9,0)+IF(ISNUMBER(H34),H34*Parameters!$E$10,0))/(IF(ISNUMBER(F34),Parameters!$E$8,0)+IF(ISNUMBER(G34),Parameters!$E$9,0)+IF(ISNUMBER(H34),Parameters!$E$10,0))*100)</f>
        <v>65.7142857142857</v>
      </c>
      <c r="M34" s="29" t="n">
        <f aca="false">IF(COUNT(I34:J34)=0,"NA",(IF(ISNUMBER(I34),I34*Parameters!$E$11,0)+IF(ISNUMBER(J34),J34*Parameters!$E$12,0))/(IF(ISNUMBER(I34),Parameters!$E$11,0)+IF(ISNUMBER(J34),Parameters!$E$12,0))*100)</f>
        <v>71.4285714285714</v>
      </c>
      <c r="N34" s="30" t="n">
        <f aca="false">IF(ISNUMBER(D34),Parameters!$E$6,0)+IF(ISNUMBER(E34),Parameters!$E$7,0)+IF(ISNUMBER(F34),Parameters!$E$8,0)+IF(ISNUMBER(G34),Parameters!$E$9,0)+IF(ISNUMBER(H34),Parameters!$E$10,0)+IF(ISNUMBER(I34),Parameters!$E$11,0)+IF(ISNUMBER(J34),Parameters!$E$12,0)</f>
        <v>1</v>
      </c>
      <c r="O34" s="31" t="n">
        <f aca="false">IF(ISNUMBER(D34),D34*Parameters!$E$6,0)+IF(ISNUMBER(E34),E34*Parameters!$E$7,0)+IF(ISNUMBER(F34),F34*Parameters!$E$8,0)+IF(ISNUMBER(G34),G34*Parameters!$E$9,0)+IF(ISNUMBER(H34),H34*Parameters!$E$10,0)+IF(ISNUMBER(I34),I34*Parameters!$E$11,0)+IF(ISNUMBER(J34),J34*Parameters!$E$12,0)</f>
        <v>0.6425</v>
      </c>
      <c r="P34" s="32" t="n">
        <f aca="false">COUNT(D34:J34)</f>
        <v>7</v>
      </c>
      <c r="Q34" s="32" t="n">
        <f aca="false">(COUNT(D34:E34)&gt;0)+(COUNT(F34:H34)&gt;0)+(COUNT(I34:J34)&gt;0)</f>
        <v>3</v>
      </c>
      <c r="R34" s="32" t="str">
        <f aca="false">IF(AND(N34&gt;=Parameters!$C$56,Q34&gt;=Parameters!$C$59),"Yes","No")</f>
        <v>Yes</v>
      </c>
      <c r="S34" s="33" t="n">
        <f aca="false">IF(R34="Yes",O34/N34*100,"NA")</f>
        <v>64.25</v>
      </c>
      <c r="T34" s="29" t="n">
        <f aca="false">IF(R34="Yes",O34/Parameters!$E$13*100,"NA")</f>
        <v>64.25</v>
      </c>
      <c r="U34" s="29" t="n">
        <f aca="false">IF(R34="Yes",(O34+(Parameters!$E$13-N34))/Parameters!$E$13*100,"NA")</f>
        <v>64.25</v>
      </c>
      <c r="V34" s="34" t="str">
        <f aca="false">IF(R34&lt;&gt;"Yes","Not scored",IF(N34&gt;=Parameters!$C$60,"Reportable","Provisional"))</f>
        <v>Reportable</v>
      </c>
      <c r="W34" s="32" t="n">
        <f aca="false">IF(ISNUMBER(S34),RANK(S34,$S$2:$S$113,0),"NA")</f>
        <v>62</v>
      </c>
      <c r="X34" s="32" t="str">
        <f aca="false">IF(N34&gt;=Parameters!$C$60,"High",IF(N34&gt;=Parameters!$C$56,"Medium","Low"))</f>
        <v>High</v>
      </c>
      <c r="Y34" s="32" t="n">
        <f aca="false">Calc!T34</f>
        <v>0</v>
      </c>
      <c r="Z34" s="35" t="n">
        <f aca="false">IF(V34="Reportable",S34-ROW()*0.000000001,"")</f>
        <v>64.249999966</v>
      </c>
      <c r="AA34" s="35" t="n">
        <f aca="false">IF(ISNUMBER(Z34),RANK(Z34,$Z$2:$Z$113,0),"NA")</f>
        <v>36</v>
      </c>
    </row>
    <row r="35" customFormat="false" ht="15" hidden="false" customHeight="true" outlineLevel="0" collapsed="false">
      <c r="A35" s="15" t="str">
        <f aca="false">Data!$A35</f>
        <v>DLCM Backend</v>
      </c>
      <c r="B35" s="15" t="str">
        <f aca="false">Data!$B35</f>
        <v>DLCM Technology</v>
      </c>
      <c r="C35" s="15" t="str">
        <f aca="false">Data!$E35</f>
        <v>Archive information management system | Digital preservation system</v>
      </c>
      <c r="D35" s="28" t="n">
        <f aca="false">IF(Verification!C35="",Calc!B35,Verification!C35)</f>
        <v>1</v>
      </c>
      <c r="E35" s="28" t="n">
        <f aca="false">IF(Verification!D35="",Calc!D35,Verification!D35)</f>
        <v>0.5</v>
      </c>
      <c r="F35" s="28" t="str">
        <f aca="false">IF(Verification!E35="",Calc!G35,Verification!E35)</f>
        <v>NA</v>
      </c>
      <c r="G35" s="28" t="n">
        <f aca="false">IF(Verification!F35="",Calc!I35,Verification!F35)</f>
        <v>1</v>
      </c>
      <c r="H35" s="28" t="n">
        <f aca="false">IF(Verification!G35="",Calc!E35,Verification!G35)</f>
        <v>0.5</v>
      </c>
      <c r="I35" s="28" t="n">
        <f aca="false">IF(Verification!H35="",Calc!J35,Verification!H35)</f>
        <v>1</v>
      </c>
      <c r="J35" s="28" t="str">
        <f aca="false">IF(Verification!I35="",Calc!K35,Verification!I35)</f>
        <v>NA</v>
      </c>
      <c r="K35" s="29" t="n">
        <f aca="false">IF(COUNT(D35:E35)=0,"NA",(IF(ISNUMBER(D35),D35*Parameters!$E$6,0)+IF(ISNUMBER(E35),E35*Parameters!$E$7,0))/(IF(ISNUMBER(D35),Parameters!$E$6,0)+IF(ISNUMBER(E35),Parameters!$E$7,0))*100)</f>
        <v>63.3333333333333</v>
      </c>
      <c r="L35" s="29" t="n">
        <f aca="false">IF(COUNT(F35:H35)=0,"NA",(IF(ISNUMBER(F35),F35*Parameters!$E$8,0)+IF(ISNUMBER(G35),G35*Parameters!$E$9,0)+IF(ISNUMBER(H35),H35*Parameters!$E$10,0))/(IF(ISNUMBER(F35),Parameters!$E$8,0)+IF(ISNUMBER(G35),Parameters!$E$9,0)+IF(ISNUMBER(H35),Parameters!$E$10,0))*100)</f>
        <v>85.2941176470588</v>
      </c>
      <c r="M35" s="29" t="n">
        <f aca="false">IF(COUNT(I35:J35)=0,"NA",(IF(ISNUMBER(I35),I35*Parameters!$E$11,0)+IF(ISNUMBER(J35),J35*Parameters!$E$12,0))/(IF(ISNUMBER(I35),Parameters!$E$11,0)+IF(ISNUMBER(J35),Parameters!$E$12,0))*100)</f>
        <v>100</v>
      </c>
      <c r="N35" s="30" t="n">
        <f aca="false">IF(ISNUMBER(D35),Parameters!$E$6,0)+IF(ISNUMBER(E35),Parameters!$E$7,0)+IF(ISNUMBER(F35),Parameters!$E$8,0)+IF(ISNUMBER(G35),Parameters!$E$9,0)+IF(ISNUMBER(H35),Parameters!$E$10,0)+IF(ISNUMBER(I35),Parameters!$E$11,0)+IF(ISNUMBER(J35),Parameters!$E$12,0)</f>
        <v>0.62</v>
      </c>
      <c r="O35" s="31" t="n">
        <f aca="false">IF(ISNUMBER(D35),D35*Parameters!$E$6,0)+IF(ISNUMBER(E35),E35*Parameters!$E$7,0)+IF(ISNUMBER(F35),F35*Parameters!$E$8,0)+IF(ISNUMBER(G35),G35*Parameters!$E$9,0)+IF(ISNUMBER(H35),H35*Parameters!$E$10,0)+IF(ISNUMBER(I35),I35*Parameters!$E$11,0)+IF(ISNUMBER(J35),J35*Parameters!$E$12,0)</f>
        <v>0.485</v>
      </c>
      <c r="P35" s="32" t="n">
        <f aca="false">COUNT(D35:J35)</f>
        <v>5</v>
      </c>
      <c r="Q35" s="32" t="n">
        <f aca="false">(COUNT(D35:E35)&gt;0)+(COUNT(F35:H35)&gt;0)+(COUNT(I35:J35)&gt;0)</f>
        <v>3</v>
      </c>
      <c r="R35" s="32" t="str">
        <f aca="false">IF(AND(N35&gt;=Parameters!$C$56,Q35&gt;=Parameters!$C$59),"Yes","No")</f>
        <v>Yes</v>
      </c>
      <c r="S35" s="33" t="n">
        <f aca="false">IF(R35="Yes",O35/N35*100,"NA")</f>
        <v>78.2258064516129</v>
      </c>
      <c r="T35" s="29" t="n">
        <f aca="false">IF(R35="Yes",O35/Parameters!$E$13*100,"NA")</f>
        <v>48.5</v>
      </c>
      <c r="U35" s="29" t="n">
        <f aca="false">IF(R35="Yes",(O35+(Parameters!$E$13-N35))/Parameters!$E$13*100,"NA")</f>
        <v>86.5</v>
      </c>
      <c r="V35" s="34" t="str">
        <f aca="false">IF(R35&lt;&gt;"Yes","Not scored",IF(N35&gt;=Parameters!$C$60,"Reportable","Provisional"))</f>
        <v>Provisional</v>
      </c>
      <c r="W35" s="32" t="n">
        <f aca="false">IF(ISNUMBER(S35),RANK(S35,$S$2:$S$113,0),"NA")</f>
        <v>43</v>
      </c>
      <c r="X35" s="32" t="str">
        <f aca="false">IF(N35&gt;=Parameters!$C$60,"High",IF(N35&gt;=Parameters!$C$56,"Medium","Low"))</f>
        <v>Medium</v>
      </c>
      <c r="Y35" s="32" t="n">
        <f aca="false">Calc!T35</f>
        <v>0</v>
      </c>
      <c r="Z35" s="35" t="str">
        <f aca="false">IF(V35="Reportable",S35-ROW()*0.000000001,"")</f>
        <v/>
      </c>
      <c r="AA35" s="35" t="str">
        <f aca="false">IF(ISNUMBER(Z35),RANK(Z35,$Z$2:$Z$113,0),"NA")</f>
        <v>NA</v>
      </c>
    </row>
    <row r="36" customFormat="false" ht="15" hidden="false" customHeight="true" outlineLevel="0" collapsed="false">
      <c r="A36" s="15" t="str">
        <f aca="false">Data!$A36</f>
        <v>DLCM Portal</v>
      </c>
      <c r="B36" s="15" t="str">
        <f aca="false">Data!$B36</f>
        <v>DLCM Technology</v>
      </c>
      <c r="C36" s="15" t="str">
        <f aca="false">Data!$E36</f>
        <v>Archive information management system | Digital preservation system | Software preservation service</v>
      </c>
      <c r="D36" s="28" t="n">
        <f aca="false">IF(Verification!C36="",Calc!B36,Verification!C36)</f>
        <v>1</v>
      </c>
      <c r="E36" s="28" t="n">
        <f aca="false">IF(Verification!D36="",Calc!D36,Verification!D36)</f>
        <v>0.5</v>
      </c>
      <c r="F36" s="28" t="str">
        <f aca="false">IF(Verification!E36="",Calc!G36,Verification!E36)</f>
        <v>NA</v>
      </c>
      <c r="G36" s="28" t="n">
        <f aca="false">IF(Verification!F36="",Calc!I36,Verification!F36)</f>
        <v>1</v>
      </c>
      <c r="H36" s="28" t="n">
        <f aca="false">IF(Verification!G36="",Calc!E36,Verification!G36)</f>
        <v>0.5</v>
      </c>
      <c r="I36" s="28" t="n">
        <f aca="false">IF(Verification!H36="",Calc!J36,Verification!H36)</f>
        <v>1</v>
      </c>
      <c r="J36" s="28" t="str">
        <f aca="false">IF(Verification!I36="",Calc!K36,Verification!I36)</f>
        <v>NA</v>
      </c>
      <c r="K36" s="29" t="n">
        <f aca="false">IF(COUNT(D36:E36)=0,"NA",(IF(ISNUMBER(D36),D36*Parameters!$E$6,0)+IF(ISNUMBER(E36),E36*Parameters!$E$7,0))/(IF(ISNUMBER(D36),Parameters!$E$6,0)+IF(ISNUMBER(E36),Parameters!$E$7,0))*100)</f>
        <v>63.3333333333333</v>
      </c>
      <c r="L36" s="29" t="n">
        <f aca="false">IF(COUNT(F36:H36)=0,"NA",(IF(ISNUMBER(F36),F36*Parameters!$E$8,0)+IF(ISNUMBER(G36),G36*Parameters!$E$9,0)+IF(ISNUMBER(H36),H36*Parameters!$E$10,0))/(IF(ISNUMBER(F36),Parameters!$E$8,0)+IF(ISNUMBER(G36),Parameters!$E$9,0)+IF(ISNUMBER(H36),Parameters!$E$10,0))*100)</f>
        <v>85.2941176470588</v>
      </c>
      <c r="M36" s="29" t="n">
        <f aca="false">IF(COUNT(I36:J36)=0,"NA",(IF(ISNUMBER(I36),I36*Parameters!$E$11,0)+IF(ISNUMBER(J36),J36*Parameters!$E$12,0))/(IF(ISNUMBER(I36),Parameters!$E$11,0)+IF(ISNUMBER(J36),Parameters!$E$12,0))*100)</f>
        <v>100</v>
      </c>
      <c r="N36" s="30" t="n">
        <f aca="false">IF(ISNUMBER(D36),Parameters!$E$6,0)+IF(ISNUMBER(E36),Parameters!$E$7,0)+IF(ISNUMBER(F36),Parameters!$E$8,0)+IF(ISNUMBER(G36),Parameters!$E$9,0)+IF(ISNUMBER(H36),Parameters!$E$10,0)+IF(ISNUMBER(I36),Parameters!$E$11,0)+IF(ISNUMBER(J36),Parameters!$E$12,0)</f>
        <v>0.62</v>
      </c>
      <c r="O36" s="31" t="n">
        <f aca="false">IF(ISNUMBER(D36),D36*Parameters!$E$6,0)+IF(ISNUMBER(E36),E36*Parameters!$E$7,0)+IF(ISNUMBER(F36),F36*Parameters!$E$8,0)+IF(ISNUMBER(G36),G36*Parameters!$E$9,0)+IF(ISNUMBER(H36),H36*Parameters!$E$10,0)+IF(ISNUMBER(I36),I36*Parameters!$E$11,0)+IF(ISNUMBER(J36),J36*Parameters!$E$12,0)</f>
        <v>0.485</v>
      </c>
      <c r="P36" s="32" t="n">
        <f aca="false">COUNT(D36:J36)</f>
        <v>5</v>
      </c>
      <c r="Q36" s="32" t="n">
        <f aca="false">(COUNT(D36:E36)&gt;0)+(COUNT(F36:H36)&gt;0)+(COUNT(I36:J36)&gt;0)</f>
        <v>3</v>
      </c>
      <c r="R36" s="32" t="str">
        <f aca="false">IF(AND(N36&gt;=Parameters!$C$56,Q36&gt;=Parameters!$C$59),"Yes","No")</f>
        <v>Yes</v>
      </c>
      <c r="S36" s="33" t="n">
        <f aca="false">IF(R36="Yes",O36/N36*100,"NA")</f>
        <v>78.2258064516129</v>
      </c>
      <c r="T36" s="29" t="n">
        <f aca="false">IF(R36="Yes",O36/Parameters!$E$13*100,"NA")</f>
        <v>48.5</v>
      </c>
      <c r="U36" s="29" t="n">
        <f aca="false">IF(R36="Yes",(O36+(Parameters!$E$13-N36))/Parameters!$E$13*100,"NA")</f>
        <v>86.5</v>
      </c>
      <c r="V36" s="34" t="str">
        <f aca="false">IF(R36&lt;&gt;"Yes","Not scored",IF(N36&gt;=Parameters!$C$60,"Reportable","Provisional"))</f>
        <v>Provisional</v>
      </c>
      <c r="W36" s="32" t="n">
        <f aca="false">IF(ISNUMBER(S36),RANK(S36,$S$2:$S$113,0),"NA")</f>
        <v>43</v>
      </c>
      <c r="X36" s="32" t="str">
        <f aca="false">IF(N36&gt;=Parameters!$C$60,"High",IF(N36&gt;=Parameters!$C$56,"Medium","Low"))</f>
        <v>Medium</v>
      </c>
      <c r="Y36" s="32" t="n">
        <f aca="false">Calc!T36</f>
        <v>0</v>
      </c>
      <c r="Z36" s="35" t="str">
        <f aca="false">IF(V36="Reportable",S36-ROW()*0.000000001,"")</f>
        <v/>
      </c>
      <c r="AA36" s="35" t="str">
        <f aca="false">IF(ISNUMBER(Z36),RANK(Z36,$Z$2:$Z$113,0),"NA")</f>
        <v>NA</v>
      </c>
    </row>
    <row r="37" customFormat="false" ht="15" hidden="false" customHeight="true" outlineLevel="0" collapsed="false">
      <c r="A37" s="15" t="str">
        <f aca="false">Data!$A37</f>
        <v>DMP Tool</v>
      </c>
      <c r="B37" s="15" t="str">
        <f aca="false">Data!$B37</f>
        <v>California Digital Library</v>
      </c>
      <c r="C37" s="15" t="str">
        <f aca="false">Data!$E37</f>
        <v>Data management planning tool or service</v>
      </c>
      <c r="D37" s="28" t="n">
        <f aca="false">IF(Verification!C37="",Calc!B37,Verification!C37)</f>
        <v>1</v>
      </c>
      <c r="E37" s="28" t="n">
        <f aca="false">IF(Verification!D37="",Calc!D37,Verification!D37)</f>
        <v>1</v>
      </c>
      <c r="F37" s="28" t="str">
        <f aca="false">IF(Verification!E37="",Calc!G37,Verification!E37)</f>
        <v>NA</v>
      </c>
      <c r="G37" s="28" t="str">
        <f aca="false">IF(Verification!F37="",Calc!I37,Verification!F37)</f>
        <v>NA</v>
      </c>
      <c r="H37" s="28" t="n">
        <f aca="false">IF(Verification!G37="",Calc!E37,Verification!G37)</f>
        <v>1</v>
      </c>
      <c r="I37" s="28" t="n">
        <f aca="false">IF(Verification!H37="",Calc!J37,Verification!H37)</f>
        <v>0</v>
      </c>
      <c r="J37" s="28" t="str">
        <f aca="false">IF(Verification!I37="",Calc!K37,Verification!I37)</f>
        <v>NA</v>
      </c>
      <c r="K37" s="29" t="n">
        <f aca="false">IF(COUNT(D37:E37)=0,"NA",(IF(ISNUMBER(D37),D37*Parameters!$E$6,0)+IF(ISNUMBER(E37),E37*Parameters!$E$7,0))/(IF(ISNUMBER(D37),Parameters!$E$6,0)+IF(ISNUMBER(E37),Parameters!$E$7,0))*100)</f>
        <v>100</v>
      </c>
      <c r="L37" s="29" t="n">
        <f aca="false">IF(COUNT(F37:H37)=0,"NA",(IF(ISNUMBER(F37),F37*Parameters!$E$8,0)+IF(ISNUMBER(G37),G37*Parameters!$E$9,0)+IF(ISNUMBER(H37),H37*Parameters!$E$10,0))/(IF(ISNUMBER(F37),Parameters!$E$8,0)+IF(ISNUMBER(G37),Parameters!$E$9,0)+IF(ISNUMBER(H37),Parameters!$E$10,0))*100)</f>
        <v>100</v>
      </c>
      <c r="M37" s="29" t="n">
        <f aca="false">IF(COUNT(I37:J37)=0,"NA",(IF(ISNUMBER(I37),I37*Parameters!$E$11,0)+IF(ISNUMBER(J37),J37*Parameters!$E$12,0))/(IF(ISNUMBER(I37),Parameters!$E$11,0)+IF(ISNUMBER(J37),Parameters!$E$12,0))*100)</f>
        <v>0</v>
      </c>
      <c r="N37" s="30" t="n">
        <f aca="false">IF(ISNUMBER(D37),Parameters!$E$6,0)+IF(ISNUMBER(E37),Parameters!$E$7,0)+IF(ISNUMBER(F37),Parameters!$E$8,0)+IF(ISNUMBER(G37),Parameters!$E$9,0)+IF(ISNUMBER(H37),Parameters!$E$10,0)+IF(ISNUMBER(I37),Parameters!$E$11,0)+IF(ISNUMBER(J37),Parameters!$E$12,0)</f>
        <v>0.5</v>
      </c>
      <c r="O37" s="31" t="n">
        <f aca="false">IF(ISNUMBER(D37),D37*Parameters!$E$6,0)+IF(ISNUMBER(E37),E37*Parameters!$E$7,0)+IF(ISNUMBER(F37),F37*Parameters!$E$8,0)+IF(ISNUMBER(G37),G37*Parameters!$E$9,0)+IF(ISNUMBER(H37),H37*Parameters!$E$10,0)+IF(ISNUMBER(I37),I37*Parameters!$E$11,0)+IF(ISNUMBER(J37),J37*Parameters!$E$12,0)</f>
        <v>0.35</v>
      </c>
      <c r="P37" s="32" t="n">
        <f aca="false">COUNT(D37:J37)</f>
        <v>4</v>
      </c>
      <c r="Q37" s="32" t="n">
        <f aca="false">(COUNT(D37:E37)&gt;0)+(COUNT(F37:H37)&gt;0)+(COUNT(I37:J37)&gt;0)</f>
        <v>3</v>
      </c>
      <c r="R37" s="32" t="str">
        <f aca="false">IF(AND(N37&gt;=Parameters!$C$56,Q37&gt;=Parameters!$C$59),"Yes","No")</f>
        <v>No</v>
      </c>
      <c r="S37" s="33" t="str">
        <f aca="false">IF(R37="Yes",O37/N37*100,"NA")</f>
        <v>NA</v>
      </c>
      <c r="T37" s="29" t="str">
        <f aca="false">IF(R37="Yes",O37/Parameters!$E$13*100,"NA")</f>
        <v>NA</v>
      </c>
      <c r="U37" s="29" t="str">
        <f aca="false">IF(R37="Yes",(O37+(Parameters!$E$13-N37))/Parameters!$E$13*100,"NA")</f>
        <v>NA</v>
      </c>
      <c r="V37" s="34" t="str">
        <f aca="false">IF(R37&lt;&gt;"Yes","Not scored",IF(N37&gt;=Parameters!$C$60,"Reportable","Provisional"))</f>
        <v>Not scored</v>
      </c>
      <c r="W37" s="32" t="str">
        <f aca="false">IF(ISNUMBER(S37),RANK(S37,$S$2:$S$113,0),"NA")</f>
        <v>NA</v>
      </c>
      <c r="X37" s="32" t="str">
        <f aca="false">IF(N37&gt;=Parameters!$C$60,"High",IF(N37&gt;=Parameters!$C$56,"Medium","Low"))</f>
        <v>Low</v>
      </c>
      <c r="Y37" s="32" t="n">
        <f aca="false">Calc!T37</f>
        <v>0</v>
      </c>
      <c r="Z37" s="35" t="str">
        <f aca="false">IF(V37="Reportable",S37-ROW()*0.000000001,"")</f>
        <v/>
      </c>
      <c r="AA37" s="35" t="str">
        <f aca="false">IF(ISNUMBER(Z37),RANK(Z37,$Z$2:$Z$113,0),"NA")</f>
        <v>NA</v>
      </c>
    </row>
    <row r="38" customFormat="false" ht="15" hidden="false" customHeight="true" outlineLevel="0" collapsed="false">
      <c r="A38" s="15" t="str">
        <f aca="false">Data!$A38</f>
        <v>DOAJ (Directory of Open Access Journals)</v>
      </c>
      <c r="B38" s="15" t="str">
        <f aca="false">Data!$B38</f>
        <v>DOAJ Foundation</v>
      </c>
      <c r="C38" s="15" t="str">
        <f aca="false">Data!$E38</f>
        <v>Discovery system | Index or directory | Open scholarly dataset</v>
      </c>
      <c r="D38" s="28" t="n">
        <f aca="false">IF(Verification!C38="",Calc!B38,Verification!C38)</f>
        <v>1</v>
      </c>
      <c r="E38" s="28" t="n">
        <f aca="false">IF(Verification!D38="",Calc!D38,Verification!D38)</f>
        <v>1</v>
      </c>
      <c r="F38" s="28" t="n">
        <f aca="false">IF(Verification!E38="",Calc!G38,Verification!E38)</f>
        <v>0.833333333333333</v>
      </c>
      <c r="G38" s="28" t="str">
        <f aca="false">IF(Verification!F38="",Calc!I38,Verification!F38)</f>
        <v>NA</v>
      </c>
      <c r="H38" s="28" t="n">
        <f aca="false">IF(Verification!G38="",Calc!E38,Verification!G38)</f>
        <v>1</v>
      </c>
      <c r="I38" s="28" t="n">
        <f aca="false">IF(Verification!H38="",Calc!J38,Verification!H38)</f>
        <v>1</v>
      </c>
      <c r="J38" s="28" t="n">
        <f aca="false">IF(Verification!I38="",Calc!K38,Verification!I38)</f>
        <v>1</v>
      </c>
      <c r="K38" s="29" t="n">
        <f aca="false">IF(COUNT(D38:E38)=0,"NA",(IF(ISNUMBER(D38),D38*Parameters!$E$6,0)+IF(ISNUMBER(E38),E38*Parameters!$E$7,0))/(IF(ISNUMBER(D38),Parameters!$E$6,0)+IF(ISNUMBER(E38),Parameters!$E$7,0))*100)</f>
        <v>100</v>
      </c>
      <c r="L38" s="29" t="n">
        <f aca="false">IF(COUNT(F38:H38)=0,"NA",(IF(ISNUMBER(F38),F38*Parameters!$E$8,0)+IF(ISNUMBER(G38),G38*Parameters!$E$9,0)+IF(ISNUMBER(H38),H38*Parameters!$E$10,0))/(IF(ISNUMBER(F38),Parameters!$E$8,0)+IF(ISNUMBER(G38),Parameters!$E$9,0)+IF(ISNUMBER(H38),Parameters!$E$10,0))*100)</f>
        <v>86.9565217391304</v>
      </c>
      <c r="M38" s="29" t="n">
        <f aca="false">IF(COUNT(I38:J38)=0,"NA",(IF(ISNUMBER(I38),I38*Parameters!$E$11,0)+IF(ISNUMBER(J38),J38*Parameters!$E$12,0))/(IF(ISNUMBER(I38),Parameters!$E$11,0)+IF(ISNUMBER(J38),Parameters!$E$12,0))*100)</f>
        <v>100</v>
      </c>
      <c r="N38" s="30" t="n">
        <f aca="false">IF(ISNUMBER(D38),Parameters!$E$6,0)+IF(ISNUMBER(E38),Parameters!$E$7,0)+IF(ISNUMBER(F38),Parameters!$E$8,0)+IF(ISNUMBER(G38),Parameters!$E$9,0)+IF(ISNUMBER(H38),Parameters!$E$10,0)+IF(ISNUMBER(I38),Parameters!$E$11,0)+IF(ISNUMBER(J38),Parameters!$E$12,0)</f>
        <v>0.88</v>
      </c>
      <c r="O38" s="31" t="n">
        <f aca="false">IF(ISNUMBER(D38),D38*Parameters!$E$6,0)+IF(ISNUMBER(E38),E38*Parameters!$E$7,0)+IF(ISNUMBER(F38),F38*Parameters!$E$8,0)+IF(ISNUMBER(G38),G38*Parameters!$E$9,0)+IF(ISNUMBER(H38),H38*Parameters!$E$10,0)+IF(ISNUMBER(I38),I38*Parameters!$E$11,0)+IF(ISNUMBER(J38),J38*Parameters!$E$12,0)</f>
        <v>0.85</v>
      </c>
      <c r="P38" s="32" t="n">
        <f aca="false">COUNT(D38:J38)</f>
        <v>6</v>
      </c>
      <c r="Q38" s="32" t="n">
        <f aca="false">(COUNT(D38:E38)&gt;0)+(COUNT(F38:H38)&gt;0)+(COUNT(I38:J38)&gt;0)</f>
        <v>3</v>
      </c>
      <c r="R38" s="32" t="str">
        <f aca="false">IF(AND(N38&gt;=Parameters!$C$56,Q38&gt;=Parameters!$C$59),"Yes","No")</f>
        <v>Yes</v>
      </c>
      <c r="S38" s="33" t="n">
        <f aca="false">IF(R38="Yes",O38/N38*100,"NA")</f>
        <v>96.5909090909091</v>
      </c>
      <c r="T38" s="29" t="n">
        <f aca="false">IF(R38="Yes",O38/Parameters!$E$13*100,"NA")</f>
        <v>85</v>
      </c>
      <c r="U38" s="29" t="n">
        <f aca="false">IF(R38="Yes",(O38+(Parameters!$E$13-N38))/Parameters!$E$13*100,"NA")</f>
        <v>97</v>
      </c>
      <c r="V38" s="34" t="str">
        <f aca="false">IF(R38&lt;&gt;"Yes","Not scored",IF(N38&gt;=Parameters!$C$60,"Reportable","Provisional"))</f>
        <v>Reportable</v>
      </c>
      <c r="W38" s="32" t="n">
        <f aca="false">IF(ISNUMBER(S38),RANK(S38,$S$2:$S$113,0),"NA")</f>
        <v>9</v>
      </c>
      <c r="X38" s="32" t="str">
        <f aca="false">IF(N38&gt;=Parameters!$C$60,"High",IF(N38&gt;=Parameters!$C$56,"Medium","Low"))</f>
        <v>High</v>
      </c>
      <c r="Y38" s="32" t="n">
        <f aca="false">Calc!T38</f>
        <v>0</v>
      </c>
      <c r="Z38" s="35" t="n">
        <f aca="false">IF(V38="Reportable",S38-ROW()*0.000000001,"")</f>
        <v>96.5909090529091</v>
      </c>
      <c r="AA38" s="35" t="n">
        <f aca="false">IF(ISNUMBER(Z38),RANK(Z38,$Z$2:$Z$113,0),"NA")</f>
        <v>3</v>
      </c>
    </row>
    <row r="39" customFormat="false" ht="15" hidden="false" customHeight="true" outlineLevel="0" collapsed="false">
      <c r="A39" s="15" t="str">
        <f aca="false">Data!$A39</f>
        <v>dokieli</v>
      </c>
      <c r="B39" s="15" t="str">
        <f aca="false">Data!$B39</f>
        <v>dokieli</v>
      </c>
      <c r="C39" s="15" t="str">
        <f aca="false">Data!$E39</f>
        <v>Annotations system | Authoring tool | Informal scholarly communications</v>
      </c>
      <c r="D39" s="28" t="n">
        <f aca="false">IF(Verification!C39="",Calc!B39,Verification!C39)</f>
        <v>1</v>
      </c>
      <c r="E39" s="28" t="n">
        <f aca="false">IF(Verification!D39="",Calc!D39,Verification!D39)</f>
        <v>0.375</v>
      </c>
      <c r="F39" s="28" t="n">
        <f aca="false">IF(Verification!E39="",Calc!G39,Verification!E39)</f>
        <v>0.666666666666667</v>
      </c>
      <c r="G39" s="28" t="n">
        <f aca="false">IF(Verification!F39="",Calc!I39,Verification!F39)</f>
        <v>0.5</v>
      </c>
      <c r="H39" s="28" t="n">
        <f aca="false">IF(Verification!G39="",Calc!E39,Verification!G39)</f>
        <v>1</v>
      </c>
      <c r="I39" s="28" t="n">
        <f aca="false">IF(Verification!H39="",Calc!J39,Verification!H39)</f>
        <v>1</v>
      </c>
      <c r="J39" s="28" t="str">
        <f aca="false">IF(Verification!I39="",Calc!K39,Verification!I39)</f>
        <v>NA</v>
      </c>
      <c r="K39" s="29" t="n">
        <f aca="false">IF(COUNT(D39:E39)=0,"NA",(IF(ISNUMBER(D39),D39*Parameters!$E$6,0)+IF(ISNUMBER(E39),E39*Parameters!$E$7,0))/(IF(ISNUMBER(D39),Parameters!$E$6,0)+IF(ISNUMBER(E39),Parameters!$E$7,0))*100)</f>
        <v>54.1666666666667</v>
      </c>
      <c r="L39" s="29" t="n">
        <f aca="false">IF(COUNT(F39:H39)=0,"NA",(IF(ISNUMBER(F39),F39*Parameters!$E$8,0)+IF(ISNUMBER(G39),G39*Parameters!$E$9,0)+IF(ISNUMBER(H39),H39*Parameters!$E$10,0))/(IF(ISNUMBER(F39),Parameters!$E$8,0)+IF(ISNUMBER(G39),Parameters!$E$9,0)+IF(ISNUMBER(H39),Parameters!$E$10,0))*100)</f>
        <v>65.7142857142857</v>
      </c>
      <c r="M39" s="29" t="n">
        <f aca="false">IF(COUNT(I39:J39)=0,"NA",(IF(ISNUMBER(I39),I39*Parameters!$E$11,0)+IF(ISNUMBER(J39),J39*Parameters!$E$12,0))/(IF(ISNUMBER(I39),Parameters!$E$11,0)+IF(ISNUMBER(J39),Parameters!$E$12,0))*100)</f>
        <v>100</v>
      </c>
      <c r="N39" s="30" t="n">
        <f aca="false">IF(ISNUMBER(D39),Parameters!$E$6,0)+IF(ISNUMBER(E39),Parameters!$E$7,0)+IF(ISNUMBER(F39),Parameters!$E$8,0)+IF(ISNUMBER(G39),Parameters!$E$9,0)+IF(ISNUMBER(H39),Parameters!$E$10,0)+IF(ISNUMBER(I39),Parameters!$E$11,0)+IF(ISNUMBER(J39),Parameters!$E$12,0)</f>
        <v>0.8</v>
      </c>
      <c r="O39" s="31" t="n">
        <f aca="false">IF(ISNUMBER(D39),D39*Parameters!$E$6,0)+IF(ISNUMBER(E39),E39*Parameters!$E$7,0)+IF(ISNUMBER(F39),F39*Parameters!$E$8,0)+IF(ISNUMBER(G39),G39*Parameters!$E$9,0)+IF(ISNUMBER(H39),H39*Parameters!$E$10,0)+IF(ISNUMBER(I39),I39*Parameters!$E$11,0)+IF(ISNUMBER(J39),J39*Parameters!$E$12,0)</f>
        <v>0.5425</v>
      </c>
      <c r="P39" s="32" t="n">
        <f aca="false">COUNT(D39:J39)</f>
        <v>6</v>
      </c>
      <c r="Q39" s="32" t="n">
        <f aca="false">(COUNT(D39:E39)&gt;0)+(COUNT(F39:H39)&gt;0)+(COUNT(I39:J39)&gt;0)</f>
        <v>3</v>
      </c>
      <c r="R39" s="32" t="str">
        <f aca="false">IF(AND(N39&gt;=Parameters!$C$56,Q39&gt;=Parameters!$C$59),"Yes","No")</f>
        <v>Yes</v>
      </c>
      <c r="S39" s="33" t="n">
        <f aca="false">IF(R39="Yes",O39/N39*100,"NA")</f>
        <v>67.8125</v>
      </c>
      <c r="T39" s="29" t="n">
        <f aca="false">IF(R39="Yes",O39/Parameters!$E$13*100,"NA")</f>
        <v>54.25</v>
      </c>
      <c r="U39" s="29" t="n">
        <f aca="false">IF(R39="Yes",(O39+(Parameters!$E$13-N39))/Parameters!$E$13*100,"NA")</f>
        <v>74.25</v>
      </c>
      <c r="V39" s="34" t="str">
        <f aca="false">IF(R39&lt;&gt;"Yes","Not scored",IF(N39&gt;=Parameters!$C$60,"Reportable","Provisional"))</f>
        <v>Provisional</v>
      </c>
      <c r="W39" s="32" t="n">
        <f aca="false">IF(ISNUMBER(S39),RANK(S39,$S$2:$S$113,0),"NA")</f>
        <v>59</v>
      </c>
      <c r="X39" s="32" t="str">
        <f aca="false">IF(N39&gt;=Parameters!$C$60,"High",IF(N39&gt;=Parameters!$C$56,"Medium","Low"))</f>
        <v>Medium</v>
      </c>
      <c r="Y39" s="32" t="n">
        <f aca="false">Calc!T39</f>
        <v>0</v>
      </c>
      <c r="Z39" s="35" t="str">
        <f aca="false">IF(V39="Reportable",S39-ROW()*0.000000001,"")</f>
        <v/>
      </c>
      <c r="AA39" s="35" t="str">
        <f aca="false">IF(ISNUMBER(Z39),RANK(Z39,$Z$2:$Z$113,0),"NA")</f>
        <v>NA</v>
      </c>
    </row>
    <row r="40" customFormat="false" ht="15" hidden="false" customHeight="true" outlineLevel="0" collapsed="false">
      <c r="A40" s="15" t="str">
        <f aca="false">Data!$A40</f>
        <v>Dryad</v>
      </c>
      <c r="B40" s="15" t="str">
        <f aca="false">Data!$B40</f>
        <v>Dryad</v>
      </c>
      <c r="C40" s="15" t="str">
        <f aca="false">Data!$E40</f>
        <v>Repository service</v>
      </c>
      <c r="D40" s="28" t="n">
        <f aca="false">IF(Verification!C40="",Calc!B40,Verification!C40)</f>
        <v>1</v>
      </c>
      <c r="E40" s="28" t="n">
        <f aca="false">IF(Verification!D40="",Calc!D40,Verification!D40)</f>
        <v>0.25</v>
      </c>
      <c r="F40" s="28" t="n">
        <f aca="false">IF(Verification!E40="",Calc!G40,Verification!E40)</f>
        <v>0.666666666666667</v>
      </c>
      <c r="G40" s="28" t="str">
        <f aca="false">IF(Verification!F40="",Calc!I40,Verification!F40)</f>
        <v>NA</v>
      </c>
      <c r="H40" s="28" t="n">
        <f aca="false">IF(Verification!G40="",Calc!E40,Verification!G40)</f>
        <v>1</v>
      </c>
      <c r="I40" s="28" t="n">
        <f aca="false">IF(Verification!H40="",Calc!J40,Verification!H40)</f>
        <v>1</v>
      </c>
      <c r="J40" s="28" t="n">
        <f aca="false">IF(Verification!I40="",Calc!K40,Verification!I40)</f>
        <v>1</v>
      </c>
      <c r="K40" s="29" t="n">
        <f aca="false">IF(COUNT(D40:E40)=0,"NA",(IF(ISNUMBER(D40),D40*Parameters!$E$6,0)+IF(ISNUMBER(E40),E40*Parameters!$E$7,0))/(IF(ISNUMBER(D40),Parameters!$E$6,0)+IF(ISNUMBER(E40),Parameters!$E$7,0))*100)</f>
        <v>45</v>
      </c>
      <c r="L40" s="29" t="n">
        <f aca="false">IF(COUNT(F40:H40)=0,"NA",(IF(ISNUMBER(F40),F40*Parameters!$E$8,0)+IF(ISNUMBER(G40),G40*Parameters!$E$9,0)+IF(ISNUMBER(H40),H40*Parameters!$E$10,0))/(IF(ISNUMBER(F40),Parameters!$E$8,0)+IF(ISNUMBER(G40),Parameters!$E$9,0)+IF(ISNUMBER(H40),Parameters!$E$10,0))*100)</f>
        <v>73.9130434782609</v>
      </c>
      <c r="M40" s="29" t="n">
        <f aca="false">IF(COUNT(I40:J40)=0,"NA",(IF(ISNUMBER(I40),I40*Parameters!$E$11,0)+IF(ISNUMBER(J40),J40*Parameters!$E$12,0))/(IF(ISNUMBER(I40),Parameters!$E$11,0)+IF(ISNUMBER(J40),Parameters!$E$12,0))*100)</f>
        <v>100</v>
      </c>
      <c r="N40" s="30" t="n">
        <f aca="false">IF(ISNUMBER(D40),Parameters!$E$6,0)+IF(ISNUMBER(E40),Parameters!$E$7,0)+IF(ISNUMBER(F40),Parameters!$E$8,0)+IF(ISNUMBER(G40),Parameters!$E$9,0)+IF(ISNUMBER(H40),Parameters!$E$10,0)+IF(ISNUMBER(I40),Parameters!$E$11,0)+IF(ISNUMBER(J40),Parameters!$E$12,0)</f>
        <v>0.88</v>
      </c>
      <c r="O40" s="31" t="n">
        <f aca="false">IF(ISNUMBER(D40),D40*Parameters!$E$6,0)+IF(ISNUMBER(E40),E40*Parameters!$E$7,0)+IF(ISNUMBER(F40),F40*Parameters!$E$8,0)+IF(ISNUMBER(G40),G40*Parameters!$E$9,0)+IF(ISNUMBER(H40),H40*Parameters!$E$10,0)+IF(ISNUMBER(I40),I40*Parameters!$E$11,0)+IF(ISNUMBER(J40),J40*Parameters!$E$12,0)</f>
        <v>0.655</v>
      </c>
      <c r="P40" s="32" t="n">
        <f aca="false">COUNT(D40:J40)</f>
        <v>6</v>
      </c>
      <c r="Q40" s="32" t="n">
        <f aca="false">(COUNT(D40:E40)&gt;0)+(COUNT(F40:H40)&gt;0)+(COUNT(I40:J40)&gt;0)</f>
        <v>3</v>
      </c>
      <c r="R40" s="32" t="str">
        <f aca="false">IF(AND(N40&gt;=Parameters!$C$56,Q40&gt;=Parameters!$C$59),"Yes","No")</f>
        <v>Yes</v>
      </c>
      <c r="S40" s="33" t="n">
        <f aca="false">IF(R40="Yes",O40/N40*100,"NA")</f>
        <v>74.4318181818182</v>
      </c>
      <c r="T40" s="29" t="n">
        <f aca="false">IF(R40="Yes",O40/Parameters!$E$13*100,"NA")</f>
        <v>65.5</v>
      </c>
      <c r="U40" s="29" t="n">
        <f aca="false">IF(R40="Yes",(O40+(Parameters!$E$13-N40))/Parameters!$E$13*100,"NA")</f>
        <v>77.5</v>
      </c>
      <c r="V40" s="34" t="str">
        <f aca="false">IF(R40&lt;&gt;"Yes","Not scored",IF(N40&gt;=Parameters!$C$60,"Reportable","Provisional"))</f>
        <v>Reportable</v>
      </c>
      <c r="W40" s="32" t="n">
        <f aca="false">IF(ISNUMBER(S40),RANK(S40,$S$2:$S$113,0),"NA")</f>
        <v>52</v>
      </c>
      <c r="X40" s="32" t="str">
        <f aca="false">IF(N40&gt;=Parameters!$C$60,"High",IF(N40&gt;=Parameters!$C$56,"Medium","Low"))</f>
        <v>High</v>
      </c>
      <c r="Y40" s="32" t="n">
        <f aca="false">Calc!T40</f>
        <v>0</v>
      </c>
      <c r="Z40" s="35" t="n">
        <f aca="false">IF(V40="Reportable",S40-ROW()*0.000000001,"")</f>
        <v>74.4318181418182</v>
      </c>
      <c r="AA40" s="35" t="n">
        <f aca="false">IF(ISNUMBER(Z40),RANK(Z40,$Z$2:$Z$113,0),"NA")</f>
        <v>30</v>
      </c>
    </row>
    <row r="41" customFormat="false" ht="15" hidden="false" customHeight="true" outlineLevel="0" collapsed="false">
      <c r="A41" s="15" t="str">
        <f aca="false">Data!$A41</f>
        <v>DSpace</v>
      </c>
      <c r="B41" s="15" t="str">
        <f aca="false">Data!$B41</f>
        <v>Lyrasis</v>
      </c>
      <c r="C41" s="15" t="str">
        <f aca="false">Data!$E41</f>
        <v>Repository software</v>
      </c>
      <c r="D41" s="28" t="n">
        <f aca="false">IF(Verification!C41="",Calc!B41,Verification!C41)</f>
        <v>1</v>
      </c>
      <c r="E41" s="28" t="n">
        <f aca="false">IF(Verification!D41="",Calc!D41,Verification!D41)</f>
        <v>0.875</v>
      </c>
      <c r="F41" s="28" t="n">
        <f aca="false">IF(Verification!E41="",Calc!G41,Verification!E41)</f>
        <v>1</v>
      </c>
      <c r="G41" s="28" t="n">
        <f aca="false">IF(Verification!F41="",Calc!I41,Verification!F41)</f>
        <v>1</v>
      </c>
      <c r="H41" s="28" t="n">
        <f aca="false">IF(Verification!G41="",Calc!E41,Verification!G41)</f>
        <v>1</v>
      </c>
      <c r="I41" s="28" t="n">
        <f aca="false">IF(Verification!H41="",Calc!J41,Verification!H41)</f>
        <v>1</v>
      </c>
      <c r="J41" s="28" t="n">
        <f aca="false">IF(Verification!I41="",Calc!K41,Verification!I41)</f>
        <v>1</v>
      </c>
      <c r="K41" s="29" t="n">
        <f aca="false">IF(COUNT(D41:E41)=0,"NA",(IF(ISNUMBER(D41),D41*Parameters!$E$6,0)+IF(ISNUMBER(E41),E41*Parameters!$E$7,0))/(IF(ISNUMBER(D41),Parameters!$E$6,0)+IF(ISNUMBER(E41),Parameters!$E$7,0))*100)</f>
        <v>90.8333333333333</v>
      </c>
      <c r="L41" s="29" t="n">
        <f aca="false">IF(COUNT(F41:H41)=0,"NA",(IF(ISNUMBER(F41),F41*Parameters!$E$8,0)+IF(ISNUMBER(G41),G41*Parameters!$E$9,0)+IF(ISNUMBER(H41),H41*Parameters!$E$10,0))/(IF(ISNUMBER(F41),Parameters!$E$8,0)+IF(ISNUMBER(G41),Parameters!$E$9,0)+IF(ISNUMBER(H41),Parameters!$E$10,0))*100)</f>
        <v>100</v>
      </c>
      <c r="M41" s="29" t="n">
        <f aca="false">IF(COUNT(I41:J41)=0,"NA",(IF(ISNUMBER(I41),I41*Parameters!$E$11,0)+IF(ISNUMBER(J41),J41*Parameters!$E$12,0))/(IF(ISNUMBER(I41),Parameters!$E$11,0)+IF(ISNUMBER(J41),Parameters!$E$12,0))*100)</f>
        <v>100</v>
      </c>
      <c r="N41" s="30" t="n">
        <f aca="false">IF(ISNUMBER(D41),Parameters!$E$6,0)+IF(ISNUMBER(E41),Parameters!$E$7,0)+IF(ISNUMBER(F41),Parameters!$E$8,0)+IF(ISNUMBER(G41),Parameters!$E$9,0)+IF(ISNUMBER(H41),Parameters!$E$10,0)+IF(ISNUMBER(I41),Parameters!$E$11,0)+IF(ISNUMBER(J41),Parameters!$E$12,0)</f>
        <v>1</v>
      </c>
      <c r="O41" s="31" t="n">
        <f aca="false">IF(ISNUMBER(D41),D41*Parameters!$E$6,0)+IF(ISNUMBER(E41),E41*Parameters!$E$7,0)+IF(ISNUMBER(F41),F41*Parameters!$E$8,0)+IF(ISNUMBER(G41),G41*Parameters!$E$9,0)+IF(ISNUMBER(H41),H41*Parameters!$E$10,0)+IF(ISNUMBER(I41),I41*Parameters!$E$11,0)+IF(ISNUMBER(J41),J41*Parameters!$E$12,0)</f>
        <v>0.9725</v>
      </c>
      <c r="P41" s="32" t="n">
        <f aca="false">COUNT(D41:J41)</f>
        <v>7</v>
      </c>
      <c r="Q41" s="32" t="n">
        <f aca="false">(COUNT(D41:E41)&gt;0)+(COUNT(F41:H41)&gt;0)+(COUNT(I41:J41)&gt;0)</f>
        <v>3</v>
      </c>
      <c r="R41" s="32" t="str">
        <f aca="false">IF(AND(N41&gt;=Parameters!$C$56,Q41&gt;=Parameters!$C$59),"Yes","No")</f>
        <v>Yes</v>
      </c>
      <c r="S41" s="33" t="n">
        <f aca="false">IF(R41="Yes",O41/N41*100,"NA")</f>
        <v>97.25</v>
      </c>
      <c r="T41" s="29" t="n">
        <f aca="false">IF(R41="Yes",O41/Parameters!$E$13*100,"NA")</f>
        <v>97.25</v>
      </c>
      <c r="U41" s="29" t="n">
        <f aca="false">IF(R41="Yes",(O41+(Parameters!$E$13-N41))/Parameters!$E$13*100,"NA")</f>
        <v>97.25</v>
      </c>
      <c r="V41" s="34" t="str">
        <f aca="false">IF(R41&lt;&gt;"Yes","Not scored",IF(N41&gt;=Parameters!$C$60,"Reportable","Provisional"))</f>
        <v>Reportable</v>
      </c>
      <c r="W41" s="32" t="n">
        <f aca="false">IF(ISNUMBER(S41),RANK(S41,$S$2:$S$113,0),"NA")</f>
        <v>8</v>
      </c>
      <c r="X41" s="32" t="str">
        <f aca="false">IF(N41&gt;=Parameters!$C$60,"High",IF(N41&gt;=Parameters!$C$56,"Medium","Low"))</f>
        <v>High</v>
      </c>
      <c r="Y41" s="32" t="n">
        <f aca="false">Calc!T41</f>
        <v>0</v>
      </c>
      <c r="Z41" s="35" t="n">
        <f aca="false">IF(V41="Reportable",S41-ROW()*0.000000001,"")</f>
        <v>97.249999959</v>
      </c>
      <c r="AA41" s="35" t="n">
        <f aca="false">IF(ISNUMBER(Z41),RANK(Z41,$Z$2:$Z$113,0),"NA")</f>
        <v>2</v>
      </c>
    </row>
    <row r="42" customFormat="false" ht="15" hidden="false" customHeight="true" outlineLevel="0" collapsed="false">
      <c r="A42" s="15" t="str">
        <f aca="false">Data!$A42</f>
        <v>DuraCloud</v>
      </c>
      <c r="B42" s="15" t="str">
        <f aca="false">Data!$B42</f>
        <v>Lyrasis</v>
      </c>
      <c r="C42" s="15" t="str">
        <f aca="false">Data!$E42</f>
        <v>Digital preservation service | Digital preservation system | Digital preservation tool</v>
      </c>
      <c r="D42" s="28" t="n">
        <f aca="false">IF(Verification!C42="",Calc!B42,Verification!C42)</f>
        <v>1</v>
      </c>
      <c r="E42" s="28" t="str">
        <f aca="false">IF(Verification!D42="",Calc!D42,Verification!D42)</f>
        <v>NA</v>
      </c>
      <c r="F42" s="28" t="str">
        <f aca="false">IF(Verification!E42="",Calc!G42,Verification!E42)</f>
        <v>NA</v>
      </c>
      <c r="G42" s="28" t="n">
        <f aca="false">IF(Verification!F42="",Calc!I42,Verification!F42)</f>
        <v>1</v>
      </c>
      <c r="H42" s="28" t="n">
        <f aca="false">IF(Verification!G42="",Calc!E42,Verification!G42)</f>
        <v>1</v>
      </c>
      <c r="I42" s="28" t="n">
        <f aca="false">IF(Verification!H42="",Calc!J42,Verification!H42)</f>
        <v>1</v>
      </c>
      <c r="J42" s="28" t="str">
        <f aca="false">IF(Verification!I42="",Calc!K42,Verification!I42)</f>
        <v>NA</v>
      </c>
      <c r="K42" s="29" t="n">
        <f aca="false">IF(COUNT(D42:E42)=0,"NA",(IF(ISNUMBER(D42),D42*Parameters!$E$6,0)+IF(ISNUMBER(E42),E42*Parameters!$E$7,0))/(IF(ISNUMBER(D42),Parameters!$E$6,0)+IF(ISNUMBER(E42),Parameters!$E$7,0))*100)</f>
        <v>100</v>
      </c>
      <c r="L42" s="29" t="n">
        <f aca="false">IF(COUNT(F42:H42)=0,"NA",(IF(ISNUMBER(F42),F42*Parameters!$E$8,0)+IF(ISNUMBER(G42),G42*Parameters!$E$9,0)+IF(ISNUMBER(H42),H42*Parameters!$E$10,0))/(IF(ISNUMBER(F42),Parameters!$E$8,0)+IF(ISNUMBER(G42),Parameters!$E$9,0)+IF(ISNUMBER(H42),Parameters!$E$10,0))*100)</f>
        <v>100</v>
      </c>
      <c r="M42" s="29" t="n">
        <f aca="false">IF(COUNT(I42:J42)=0,"NA",(IF(ISNUMBER(I42),I42*Parameters!$E$11,0)+IF(ISNUMBER(J42),J42*Parameters!$E$12,0))/(IF(ISNUMBER(I42),Parameters!$E$11,0)+IF(ISNUMBER(J42),Parameters!$E$12,0))*100)</f>
        <v>100</v>
      </c>
      <c r="N42" s="30" t="n">
        <f aca="false">IF(ISNUMBER(D42),Parameters!$E$6,0)+IF(ISNUMBER(E42),Parameters!$E$7,0)+IF(ISNUMBER(F42),Parameters!$E$8,0)+IF(ISNUMBER(G42),Parameters!$E$9,0)+IF(ISNUMBER(H42),Parameters!$E$10,0)+IF(ISNUMBER(I42),Parameters!$E$11,0)+IF(ISNUMBER(J42),Parameters!$E$12,0)</f>
        <v>0.4</v>
      </c>
      <c r="O42" s="31" t="n">
        <f aca="false">IF(ISNUMBER(D42),D42*Parameters!$E$6,0)+IF(ISNUMBER(E42),E42*Parameters!$E$7,0)+IF(ISNUMBER(F42),F42*Parameters!$E$8,0)+IF(ISNUMBER(G42),G42*Parameters!$E$9,0)+IF(ISNUMBER(H42),H42*Parameters!$E$10,0)+IF(ISNUMBER(I42),I42*Parameters!$E$11,0)+IF(ISNUMBER(J42),J42*Parameters!$E$12,0)</f>
        <v>0.4</v>
      </c>
      <c r="P42" s="32" t="n">
        <f aca="false">COUNT(D42:J42)</f>
        <v>4</v>
      </c>
      <c r="Q42" s="32" t="n">
        <f aca="false">(COUNT(D42:E42)&gt;0)+(COUNT(F42:H42)&gt;0)+(COUNT(I42:J42)&gt;0)</f>
        <v>3</v>
      </c>
      <c r="R42" s="32" t="str">
        <f aca="false">IF(AND(N42&gt;=Parameters!$C$56,Q42&gt;=Parameters!$C$59),"Yes","No")</f>
        <v>No</v>
      </c>
      <c r="S42" s="33" t="str">
        <f aca="false">IF(R42="Yes",O42/N42*100,"NA")</f>
        <v>NA</v>
      </c>
      <c r="T42" s="29" t="str">
        <f aca="false">IF(R42="Yes",O42/Parameters!$E$13*100,"NA")</f>
        <v>NA</v>
      </c>
      <c r="U42" s="29" t="str">
        <f aca="false">IF(R42="Yes",(O42+(Parameters!$E$13-N42))/Parameters!$E$13*100,"NA")</f>
        <v>NA</v>
      </c>
      <c r="V42" s="34" t="str">
        <f aca="false">IF(R42&lt;&gt;"Yes","Not scored",IF(N42&gt;=Parameters!$C$60,"Reportable","Provisional"))</f>
        <v>Not scored</v>
      </c>
      <c r="W42" s="32" t="str">
        <f aca="false">IF(ISNUMBER(S42),RANK(S42,$S$2:$S$113,0),"NA")</f>
        <v>NA</v>
      </c>
      <c r="X42" s="32" t="str">
        <f aca="false">IF(N42&gt;=Parameters!$C$60,"High",IF(N42&gt;=Parameters!$C$56,"Medium","Low"))</f>
        <v>Low</v>
      </c>
      <c r="Y42" s="32" t="n">
        <f aca="false">Calc!T42</f>
        <v>0</v>
      </c>
      <c r="Z42" s="35" t="str">
        <f aca="false">IF(V42="Reportable",S42-ROW()*0.000000001,"")</f>
        <v/>
      </c>
      <c r="AA42" s="35" t="str">
        <f aca="false">IF(ISNUMBER(Z42),RANK(Z42,$Z$2:$Z$113,0),"NA")</f>
        <v>NA</v>
      </c>
    </row>
    <row r="43" customFormat="false" ht="15" hidden="false" customHeight="true" outlineLevel="0" collapsed="false">
      <c r="A43" s="15" t="str">
        <f aca="false">Data!$A43</f>
        <v>Episciences</v>
      </c>
      <c r="B43" s="15" t="str">
        <f aca="false">Data!$B43</f>
        <v>Center for Direct Scientific Communication (CCSD)</v>
      </c>
      <c r="C43" s="15" t="str">
        <f aca="false">Data!$E43</f>
        <v>Peer review system | Publishing system | Submissions system</v>
      </c>
      <c r="D43" s="28" t="n">
        <f aca="false">IF(Verification!C43="",Calc!B43,Verification!C43)</f>
        <v>0.67</v>
      </c>
      <c r="E43" s="28" t="str">
        <f aca="false">IF(Verification!D43="",Calc!D43,Verification!D43)</f>
        <v>NA</v>
      </c>
      <c r="F43" s="28" t="str">
        <f aca="false">IF(Verification!E43="",Calc!G43,Verification!E43)</f>
        <v>NA</v>
      </c>
      <c r="G43" s="28" t="str">
        <f aca="false">IF(Verification!F43="",Calc!I43,Verification!F43)</f>
        <v>NA</v>
      </c>
      <c r="H43" s="28" t="n">
        <f aca="false">IF(Verification!G43="",Calc!E43,Verification!G43)</f>
        <v>1</v>
      </c>
      <c r="I43" s="28" t="n">
        <f aca="false">IF(Verification!H43="",Calc!J43,Verification!H43)</f>
        <v>0.33</v>
      </c>
      <c r="J43" s="28" t="n">
        <f aca="false">IF(Verification!I43="",Calc!K43,Verification!I43)</f>
        <v>0.5</v>
      </c>
      <c r="K43" s="29" t="n">
        <f aca="false">IF(COUNT(D43:E43)=0,"NA",(IF(ISNUMBER(D43),D43*Parameters!$E$6,0)+IF(ISNUMBER(E43),E43*Parameters!$E$7,0))/(IF(ISNUMBER(D43),Parameters!$E$6,0)+IF(ISNUMBER(E43),Parameters!$E$7,0))*100)</f>
        <v>67</v>
      </c>
      <c r="L43" s="29" t="n">
        <f aca="false">IF(COUNT(F43:H43)=0,"NA",(IF(ISNUMBER(F43),F43*Parameters!$E$8,0)+IF(ISNUMBER(G43),G43*Parameters!$E$9,0)+IF(ISNUMBER(H43),H43*Parameters!$E$10,0))/(IF(ISNUMBER(F43),Parameters!$E$8,0)+IF(ISNUMBER(G43),Parameters!$E$9,0)+IF(ISNUMBER(H43),Parameters!$E$10,0))*100)</f>
        <v>100</v>
      </c>
      <c r="M43" s="29" t="n">
        <f aca="false">IF(COUNT(I43:J43)=0,"NA",(IF(ISNUMBER(I43),I43*Parameters!$E$11,0)+IF(ISNUMBER(J43),J43*Parameters!$E$12,0))/(IF(ISNUMBER(I43),Parameters!$E$11,0)+IF(ISNUMBER(J43),Parameters!$E$12,0))*100)</f>
        <v>42.7142857142857</v>
      </c>
      <c r="N43" s="30" t="n">
        <f aca="false">IF(ISNUMBER(D43),Parameters!$E$6,0)+IF(ISNUMBER(E43),Parameters!$E$7,0)+IF(ISNUMBER(F43),Parameters!$E$8,0)+IF(ISNUMBER(G43),Parameters!$E$9,0)+IF(ISNUMBER(H43),Parameters!$E$10,0)+IF(ISNUMBER(I43),Parameters!$E$11,0)+IF(ISNUMBER(J43),Parameters!$E$12,0)</f>
        <v>0.48</v>
      </c>
      <c r="O43" s="31" t="n">
        <f aca="false">IF(ISNUMBER(D43),D43*Parameters!$E$6,0)+IF(ISNUMBER(E43),E43*Parameters!$E$7,0)+IF(ISNUMBER(F43),F43*Parameters!$E$8,0)+IF(ISNUMBER(G43),G43*Parameters!$E$9,0)+IF(ISNUMBER(H43),H43*Parameters!$E$10,0)+IF(ISNUMBER(I43),I43*Parameters!$E$11,0)+IF(ISNUMBER(J43),J43*Parameters!$E$12,0)</f>
        <v>0.2531</v>
      </c>
      <c r="P43" s="32" t="n">
        <f aca="false">COUNT(D43:J43)</f>
        <v>4</v>
      </c>
      <c r="Q43" s="32" t="n">
        <f aca="false">(COUNT(D43:E43)&gt;0)+(COUNT(F43:H43)&gt;0)+(COUNT(I43:J43)&gt;0)</f>
        <v>3</v>
      </c>
      <c r="R43" s="32" t="str">
        <f aca="false">IF(AND(N43&gt;=Parameters!$C$56,Q43&gt;=Parameters!$C$59),"Yes","No")</f>
        <v>No</v>
      </c>
      <c r="S43" s="33" t="str">
        <f aca="false">IF(R43="Yes",O43/N43*100,"NA")</f>
        <v>NA</v>
      </c>
      <c r="T43" s="29" t="str">
        <f aca="false">IF(R43="Yes",O43/Parameters!$E$13*100,"NA")</f>
        <v>NA</v>
      </c>
      <c r="U43" s="29" t="str">
        <f aca="false">IF(R43="Yes",(O43+(Parameters!$E$13-N43))/Parameters!$E$13*100,"NA")</f>
        <v>NA</v>
      </c>
      <c r="V43" s="34" t="str">
        <f aca="false">IF(R43&lt;&gt;"Yes","Not scored",IF(N43&gt;=Parameters!$C$60,"Reportable","Provisional"))</f>
        <v>Not scored</v>
      </c>
      <c r="W43" s="32" t="str">
        <f aca="false">IF(ISNUMBER(S43),RANK(S43,$S$2:$S$113,0),"NA")</f>
        <v>NA</v>
      </c>
      <c r="X43" s="32" t="str">
        <f aca="false">IF(N43&gt;=Parameters!$C$60,"High",IF(N43&gt;=Parameters!$C$56,"Medium","Low"))</f>
        <v>Low</v>
      </c>
      <c r="Y43" s="32" t="n">
        <f aca="false">Calc!T43</f>
        <v>0</v>
      </c>
      <c r="Z43" s="35" t="str">
        <f aca="false">IF(V43="Reportable",S43-ROW()*0.000000001,"")</f>
        <v/>
      </c>
      <c r="AA43" s="35" t="str">
        <f aca="false">IF(ISNUMBER(Z43),RANK(Z43,$Z$2:$Z$113,0),"NA")</f>
        <v>NA</v>
      </c>
    </row>
    <row r="44" customFormat="false" ht="15" hidden="false" customHeight="true" outlineLevel="0" collapsed="false">
      <c r="A44" s="15" t="str">
        <f aca="false">Data!$A44</f>
        <v>EPrints</v>
      </c>
      <c r="B44" s="15" t="str">
        <f aca="false">Data!$B44</f>
        <v>EPrints Services</v>
      </c>
      <c r="C44" s="15" t="str">
        <f aca="false">Data!$E44</f>
        <v>Repository software</v>
      </c>
      <c r="D44" s="28" t="n">
        <f aca="false">IF(Verification!C44="",Calc!B44,Verification!C44)</f>
        <v>1</v>
      </c>
      <c r="E44" s="28" t="str">
        <f aca="false">IF(Verification!D44="",Calc!D44,Verification!D44)</f>
        <v>NA</v>
      </c>
      <c r="F44" s="28" t="str">
        <f aca="false">IF(Verification!E44="",Calc!G44,Verification!E44)</f>
        <v>NA</v>
      </c>
      <c r="G44" s="28" t="str">
        <f aca="false">IF(Verification!F44="",Calc!I44,Verification!F44)</f>
        <v>NA</v>
      </c>
      <c r="H44" s="28" t="n">
        <f aca="false">IF(Verification!G44="",Calc!E44,Verification!G44)</f>
        <v>1</v>
      </c>
      <c r="I44" s="28" t="n">
        <f aca="false">IF(Verification!H44="",Calc!J44,Verification!H44)</f>
        <v>0.67</v>
      </c>
      <c r="J44" s="28" t="str">
        <f aca="false">IF(Verification!I44="",Calc!K44,Verification!I44)</f>
        <v>NA</v>
      </c>
      <c r="K44" s="29" t="n">
        <f aca="false">IF(COUNT(D44:E44)=0,"NA",(IF(ISNUMBER(D44),D44*Parameters!$E$6,0)+IF(ISNUMBER(E44),E44*Parameters!$E$7,0))/(IF(ISNUMBER(D44),Parameters!$E$6,0)+IF(ISNUMBER(E44),Parameters!$E$7,0))*100)</f>
        <v>100</v>
      </c>
      <c r="L44" s="29" t="n">
        <f aca="false">IF(COUNT(F44:H44)=0,"NA",(IF(ISNUMBER(F44),F44*Parameters!$E$8,0)+IF(ISNUMBER(G44),G44*Parameters!$E$9,0)+IF(ISNUMBER(H44),H44*Parameters!$E$10,0))/(IF(ISNUMBER(F44),Parameters!$E$8,0)+IF(ISNUMBER(G44),Parameters!$E$9,0)+IF(ISNUMBER(H44),Parameters!$E$10,0))*100)</f>
        <v>100</v>
      </c>
      <c r="M44" s="29" t="n">
        <f aca="false">IF(COUNT(I44:J44)=0,"NA",(IF(ISNUMBER(I44),I44*Parameters!$E$11,0)+IF(ISNUMBER(J44),J44*Parameters!$E$12,0))/(IF(ISNUMBER(I44),Parameters!$E$11,0)+IF(ISNUMBER(J44),Parameters!$E$12,0))*100)</f>
        <v>67</v>
      </c>
      <c r="N44" s="30" t="n">
        <f aca="false">IF(ISNUMBER(D44),Parameters!$E$6,0)+IF(ISNUMBER(E44),Parameters!$E$7,0)+IF(ISNUMBER(F44),Parameters!$E$8,0)+IF(ISNUMBER(G44),Parameters!$E$9,0)+IF(ISNUMBER(H44),Parameters!$E$10,0)+IF(ISNUMBER(I44),Parameters!$E$11,0)+IF(ISNUMBER(J44),Parameters!$E$12,0)</f>
        <v>0.28</v>
      </c>
      <c r="O44" s="31" t="n">
        <f aca="false">IF(ISNUMBER(D44),D44*Parameters!$E$6,0)+IF(ISNUMBER(E44),E44*Parameters!$E$7,0)+IF(ISNUMBER(F44),F44*Parameters!$E$8,0)+IF(ISNUMBER(G44),G44*Parameters!$E$9,0)+IF(ISNUMBER(H44),H44*Parameters!$E$10,0)+IF(ISNUMBER(I44),I44*Parameters!$E$11,0)+IF(ISNUMBER(J44),J44*Parameters!$E$12,0)</f>
        <v>0.2305</v>
      </c>
      <c r="P44" s="32" t="n">
        <f aca="false">COUNT(D44:J44)</f>
        <v>3</v>
      </c>
      <c r="Q44" s="32" t="n">
        <f aca="false">(COUNT(D44:E44)&gt;0)+(COUNT(F44:H44)&gt;0)+(COUNT(I44:J44)&gt;0)</f>
        <v>3</v>
      </c>
      <c r="R44" s="32" t="str">
        <f aca="false">IF(AND(N44&gt;=Parameters!$C$56,Q44&gt;=Parameters!$C$59),"Yes","No")</f>
        <v>No</v>
      </c>
      <c r="S44" s="33" t="str">
        <f aca="false">IF(R44="Yes",O44/N44*100,"NA")</f>
        <v>NA</v>
      </c>
      <c r="T44" s="29" t="str">
        <f aca="false">IF(R44="Yes",O44/Parameters!$E$13*100,"NA")</f>
        <v>NA</v>
      </c>
      <c r="U44" s="29" t="str">
        <f aca="false">IF(R44="Yes",(O44+(Parameters!$E$13-N44))/Parameters!$E$13*100,"NA")</f>
        <v>NA</v>
      </c>
      <c r="V44" s="34" t="str">
        <f aca="false">IF(R44&lt;&gt;"Yes","Not scored",IF(N44&gt;=Parameters!$C$60,"Reportable","Provisional"))</f>
        <v>Not scored</v>
      </c>
      <c r="W44" s="32" t="str">
        <f aca="false">IF(ISNUMBER(S44),RANK(S44,$S$2:$S$113,0),"NA")</f>
        <v>NA</v>
      </c>
      <c r="X44" s="32" t="str">
        <f aca="false">IF(N44&gt;=Parameters!$C$60,"High",IF(N44&gt;=Parameters!$C$56,"Medium","Low"))</f>
        <v>Low</v>
      </c>
      <c r="Y44" s="32" t="n">
        <f aca="false">Calc!T44</f>
        <v>2</v>
      </c>
      <c r="Z44" s="35" t="str">
        <f aca="false">IF(V44="Reportable",S44-ROW()*0.000000001,"")</f>
        <v/>
      </c>
      <c r="AA44" s="35" t="str">
        <f aca="false">IF(ISNUMBER(Z44),RANK(Z44,$Z$2:$Z$113,0),"NA")</f>
        <v>NA</v>
      </c>
    </row>
    <row r="45" customFormat="false" ht="15" hidden="false" customHeight="true" outlineLevel="0" collapsed="false">
      <c r="A45" s="15" t="str">
        <f aca="false">Data!$A45</f>
        <v>Érudit</v>
      </c>
      <c r="B45" s="15" t="str">
        <f aca="false">Data!$B45</f>
        <v>Érudit</v>
      </c>
      <c r="C45" s="15" t="str">
        <f aca="false">Data!$E45</f>
        <v>Discovery system | Publishing system | Repository software</v>
      </c>
      <c r="D45" s="28" t="n">
        <f aca="false">IF(Verification!C45="",Calc!B45,Verification!C45)</f>
        <v>1</v>
      </c>
      <c r="E45" s="28" t="str">
        <f aca="false">IF(Verification!D45="",Calc!D45,Verification!D45)</f>
        <v>NA</v>
      </c>
      <c r="F45" s="28" t="n">
        <f aca="false">IF(Verification!E45="",Calc!G45,Verification!E45)</f>
        <v>0.333333333333333</v>
      </c>
      <c r="G45" s="28" t="n">
        <f aca="false">IF(Verification!F45="",Calc!I45,Verification!F45)</f>
        <v>0.5</v>
      </c>
      <c r="H45" s="28" t="n">
        <f aca="false">IF(Verification!G45="",Calc!E45,Verification!G45)</f>
        <v>1</v>
      </c>
      <c r="I45" s="28" t="n">
        <f aca="false">IF(Verification!H45="",Calc!J45,Verification!H45)</f>
        <v>1</v>
      </c>
      <c r="J45" s="28" t="n">
        <f aca="false">IF(Verification!I45="",Calc!K45,Verification!I45)</f>
        <v>1</v>
      </c>
      <c r="K45" s="29" t="n">
        <f aca="false">IF(COUNT(D45:E45)=0,"NA",(IF(ISNUMBER(D45),D45*Parameters!$E$6,0)+IF(ISNUMBER(E45),E45*Parameters!$E$7,0))/(IF(ISNUMBER(D45),Parameters!$E$6,0)+IF(ISNUMBER(E45),Parameters!$E$7,0))*100)</f>
        <v>100</v>
      </c>
      <c r="L45" s="29" t="n">
        <f aca="false">IF(COUNT(F45:H45)=0,"NA",(IF(ISNUMBER(F45),F45*Parameters!$E$8,0)+IF(ISNUMBER(G45),G45*Parameters!$E$9,0)+IF(ISNUMBER(H45),H45*Parameters!$E$10,0))/(IF(ISNUMBER(F45),Parameters!$E$8,0)+IF(ISNUMBER(G45),Parameters!$E$9,0)+IF(ISNUMBER(H45),Parameters!$E$10,0))*100)</f>
        <v>48.5714285714286</v>
      </c>
      <c r="M45" s="29" t="n">
        <f aca="false">IF(COUNT(I45:J45)=0,"NA",(IF(ISNUMBER(I45),I45*Parameters!$E$11,0)+IF(ISNUMBER(J45),J45*Parameters!$E$12,0))/(IF(ISNUMBER(I45),Parameters!$E$11,0)+IF(ISNUMBER(J45),Parameters!$E$12,0))*100)</f>
        <v>100</v>
      </c>
      <c r="N45" s="30" t="n">
        <f aca="false">IF(ISNUMBER(D45),Parameters!$E$6,0)+IF(ISNUMBER(E45),Parameters!$E$7,0)+IF(ISNUMBER(F45),Parameters!$E$8,0)+IF(ISNUMBER(G45),Parameters!$E$9,0)+IF(ISNUMBER(H45),Parameters!$E$10,0)+IF(ISNUMBER(I45),Parameters!$E$11,0)+IF(ISNUMBER(J45),Parameters!$E$12,0)</f>
        <v>0.78</v>
      </c>
      <c r="O45" s="31" t="n">
        <f aca="false">IF(ISNUMBER(D45),D45*Parameters!$E$6,0)+IF(ISNUMBER(E45),E45*Parameters!$E$7,0)+IF(ISNUMBER(F45),F45*Parameters!$E$8,0)+IF(ISNUMBER(G45),G45*Parameters!$E$9,0)+IF(ISNUMBER(H45),H45*Parameters!$E$10,0)+IF(ISNUMBER(I45),I45*Parameters!$E$11,0)+IF(ISNUMBER(J45),J45*Parameters!$E$12,0)</f>
        <v>0.6</v>
      </c>
      <c r="P45" s="32" t="n">
        <f aca="false">COUNT(D45:J45)</f>
        <v>6</v>
      </c>
      <c r="Q45" s="32" t="n">
        <f aca="false">(COUNT(D45:E45)&gt;0)+(COUNT(F45:H45)&gt;0)+(COUNT(I45:J45)&gt;0)</f>
        <v>3</v>
      </c>
      <c r="R45" s="32" t="str">
        <f aca="false">IF(AND(N45&gt;=Parameters!$C$56,Q45&gt;=Parameters!$C$59),"Yes","No")</f>
        <v>Yes</v>
      </c>
      <c r="S45" s="33" t="n">
        <f aca="false">IF(R45="Yes",O45/N45*100,"NA")</f>
        <v>76.9230769230769</v>
      </c>
      <c r="T45" s="29" t="n">
        <f aca="false">IF(R45="Yes",O45/Parameters!$E$13*100,"NA")</f>
        <v>60</v>
      </c>
      <c r="U45" s="29" t="n">
        <f aca="false">IF(R45="Yes",(O45+(Parameters!$E$13-N45))/Parameters!$E$13*100,"NA")</f>
        <v>82</v>
      </c>
      <c r="V45" s="34" t="str">
        <f aca="false">IF(R45&lt;&gt;"Yes","Not scored",IF(N45&gt;=Parameters!$C$60,"Reportable","Provisional"))</f>
        <v>Provisional</v>
      </c>
      <c r="W45" s="32" t="n">
        <f aca="false">IF(ISNUMBER(S45),RANK(S45,$S$2:$S$113,0),"NA")</f>
        <v>45</v>
      </c>
      <c r="X45" s="32" t="str">
        <f aca="false">IF(N45&gt;=Parameters!$C$60,"High",IF(N45&gt;=Parameters!$C$56,"Medium","Low"))</f>
        <v>Medium</v>
      </c>
      <c r="Y45" s="32" t="n">
        <f aca="false">Calc!T45</f>
        <v>1</v>
      </c>
      <c r="Z45" s="35" t="str">
        <f aca="false">IF(V45="Reportable",S45-ROW()*0.000000001,"")</f>
        <v/>
      </c>
      <c r="AA45" s="35" t="str">
        <f aca="false">IF(ISNUMBER(Z45),RANK(Z45,$Z$2:$Z$113,0),"NA")</f>
        <v>NA</v>
      </c>
    </row>
    <row r="46" customFormat="false" ht="15" hidden="false" customHeight="true" outlineLevel="0" collapsed="false">
      <c r="A46" s="15" t="str">
        <f aca="false">Data!$A46</f>
        <v>Europe PMC</v>
      </c>
      <c r="B46" s="15" t="str">
        <f aca="false">Data!$B46</f>
        <v>EMBL European Bioinformatics Institute (EMBL-EBI)</v>
      </c>
      <c r="C46" s="15" t="str">
        <f aca="false">Data!$E46</f>
        <v>Digital preservation system | Discovery system | Repository service</v>
      </c>
      <c r="D46" s="28" t="n">
        <f aca="false">IF(Verification!C46="",Calc!B46,Verification!C46)</f>
        <v>1</v>
      </c>
      <c r="E46" s="28" t="n">
        <f aca="false">IF(Verification!D46="",Calc!D46,Verification!D46)</f>
        <v>0.5</v>
      </c>
      <c r="F46" s="28" t="n">
        <f aca="false">IF(Verification!E46="",Calc!G46,Verification!E46)</f>
        <v>0.5</v>
      </c>
      <c r="G46" s="28" t="n">
        <f aca="false">IF(Verification!F46="",Calc!I46,Verification!F46)</f>
        <v>0.5</v>
      </c>
      <c r="H46" s="28" t="n">
        <f aca="false">IF(Verification!G46="",Calc!E46,Verification!G46)</f>
        <v>1</v>
      </c>
      <c r="I46" s="28" t="n">
        <f aca="false">IF(Verification!H46="",Calc!J46,Verification!H46)</f>
        <v>1</v>
      </c>
      <c r="J46" s="28" t="n">
        <f aca="false">IF(Verification!I46="",Calc!K46,Verification!I46)</f>
        <v>1</v>
      </c>
      <c r="K46" s="29" t="n">
        <f aca="false">IF(COUNT(D46:E46)=0,"NA",(IF(ISNUMBER(D46),D46*Parameters!$E$6,0)+IF(ISNUMBER(E46),E46*Parameters!$E$7,0))/(IF(ISNUMBER(D46),Parameters!$E$6,0)+IF(ISNUMBER(E46),Parameters!$E$7,0))*100)</f>
        <v>63.3333333333333</v>
      </c>
      <c r="L46" s="29" t="n">
        <f aca="false">IF(COUNT(F46:H46)=0,"NA",(IF(ISNUMBER(F46),F46*Parameters!$E$8,0)+IF(ISNUMBER(G46),G46*Parameters!$E$9,0)+IF(ISNUMBER(H46),H46*Parameters!$E$10,0))/(IF(ISNUMBER(F46),Parameters!$E$8,0)+IF(ISNUMBER(G46),Parameters!$E$9,0)+IF(ISNUMBER(H46),Parameters!$E$10,0))*100)</f>
        <v>57.1428571428572</v>
      </c>
      <c r="M46" s="29" t="n">
        <f aca="false">IF(COUNT(I46:J46)=0,"NA",(IF(ISNUMBER(I46),I46*Parameters!$E$11,0)+IF(ISNUMBER(J46),J46*Parameters!$E$12,0))/(IF(ISNUMBER(I46),Parameters!$E$11,0)+IF(ISNUMBER(J46),Parameters!$E$12,0))*100)</f>
        <v>100</v>
      </c>
      <c r="N46" s="30" t="n">
        <f aca="false">IF(ISNUMBER(D46),Parameters!$E$6,0)+IF(ISNUMBER(E46),Parameters!$E$7,0)+IF(ISNUMBER(F46),Parameters!$E$8,0)+IF(ISNUMBER(G46),Parameters!$E$9,0)+IF(ISNUMBER(H46),Parameters!$E$10,0)+IF(ISNUMBER(I46),Parameters!$E$11,0)+IF(ISNUMBER(J46),Parameters!$E$12,0)</f>
        <v>1</v>
      </c>
      <c r="O46" s="31" t="n">
        <f aca="false">IF(ISNUMBER(D46),D46*Parameters!$E$6,0)+IF(ISNUMBER(E46),E46*Parameters!$E$7,0)+IF(ISNUMBER(F46),F46*Parameters!$E$8,0)+IF(ISNUMBER(G46),G46*Parameters!$E$9,0)+IF(ISNUMBER(H46),H46*Parameters!$E$10,0)+IF(ISNUMBER(I46),I46*Parameters!$E$11,0)+IF(ISNUMBER(J46),J46*Parameters!$E$12,0)</f>
        <v>0.74</v>
      </c>
      <c r="P46" s="32" t="n">
        <f aca="false">COUNT(D46:J46)</f>
        <v>7</v>
      </c>
      <c r="Q46" s="32" t="n">
        <f aca="false">(COUNT(D46:E46)&gt;0)+(COUNT(F46:H46)&gt;0)+(COUNT(I46:J46)&gt;0)</f>
        <v>3</v>
      </c>
      <c r="R46" s="32" t="str">
        <f aca="false">IF(AND(N46&gt;=Parameters!$C$56,Q46&gt;=Parameters!$C$59),"Yes","No")</f>
        <v>Yes</v>
      </c>
      <c r="S46" s="33" t="n">
        <f aca="false">IF(R46="Yes",O46/N46*100,"NA")</f>
        <v>74</v>
      </c>
      <c r="T46" s="29" t="n">
        <f aca="false">IF(R46="Yes",O46/Parameters!$E$13*100,"NA")</f>
        <v>74</v>
      </c>
      <c r="U46" s="29" t="n">
        <f aca="false">IF(R46="Yes",(O46+(Parameters!$E$13-N46))/Parameters!$E$13*100,"NA")</f>
        <v>74</v>
      </c>
      <c r="V46" s="34" t="str">
        <f aca="false">IF(R46&lt;&gt;"Yes","Not scored",IF(N46&gt;=Parameters!$C$60,"Reportable","Provisional"))</f>
        <v>Reportable</v>
      </c>
      <c r="W46" s="32" t="n">
        <f aca="false">IF(ISNUMBER(S46),RANK(S46,$S$2:$S$113,0),"NA")</f>
        <v>53</v>
      </c>
      <c r="X46" s="32" t="str">
        <f aca="false">IF(N46&gt;=Parameters!$C$60,"High",IF(N46&gt;=Parameters!$C$56,"Medium","Low"))</f>
        <v>High</v>
      </c>
      <c r="Y46" s="32" t="n">
        <f aca="false">Calc!T46</f>
        <v>0</v>
      </c>
      <c r="Z46" s="35" t="n">
        <f aca="false">IF(V46="Reportable",S46-ROW()*0.000000001,"")</f>
        <v>73.999999954</v>
      </c>
      <c r="AA46" s="35" t="n">
        <f aca="false">IF(ISNUMBER(Z46),RANK(Z46,$Z$2:$Z$113,0),"NA")</f>
        <v>31</v>
      </c>
    </row>
    <row r="47" customFormat="false" ht="15" hidden="false" customHeight="true" outlineLevel="0" collapsed="false">
      <c r="A47" s="15" t="str">
        <f aca="false">Data!$A47</f>
        <v>FAIR Wizard</v>
      </c>
      <c r="B47" s="15" t="str">
        <f aca="false">Data!$B47</f>
        <v>Codevence Solution s.r.o.</v>
      </c>
      <c r="C47" s="15" t="str">
        <f aca="false">Data!$E47</f>
        <v>Data management planning tool or service</v>
      </c>
      <c r="D47" s="28" t="n">
        <f aca="false">IF(Verification!C47="",Calc!B47,Verification!C47)</f>
        <v>1</v>
      </c>
      <c r="E47" s="28" t="n">
        <f aca="false">IF(Verification!D47="",Calc!D47,Verification!D47)</f>
        <v>0.75</v>
      </c>
      <c r="F47" s="28" t="n">
        <f aca="false">IF(Verification!E47="",Calc!G47,Verification!E47)</f>
        <v>0.666666666666667</v>
      </c>
      <c r="G47" s="28" t="str">
        <f aca="false">IF(Verification!F47="",Calc!I47,Verification!F47)</f>
        <v>NA</v>
      </c>
      <c r="H47" s="28" t="str">
        <f aca="false">IF(Verification!G47="",Calc!E47,Verification!G47)</f>
        <v>NA</v>
      </c>
      <c r="I47" s="28" t="n">
        <f aca="false">IF(Verification!H47="",Calc!J47,Verification!H47)</f>
        <v>0.33</v>
      </c>
      <c r="J47" s="28" t="n">
        <f aca="false">IF(Verification!I47="",Calc!K47,Verification!I47)</f>
        <v>0.5</v>
      </c>
      <c r="K47" s="29" t="n">
        <f aca="false">IF(COUNT(D47:E47)=0,"NA",(IF(ISNUMBER(D47),D47*Parameters!$E$6,0)+IF(ISNUMBER(E47),E47*Parameters!$E$7,0))/(IF(ISNUMBER(D47),Parameters!$E$6,0)+IF(ISNUMBER(E47),Parameters!$E$7,0))*100)</f>
        <v>81.6666666666667</v>
      </c>
      <c r="L47" s="29" t="n">
        <f aca="false">IF(COUNT(F47:H47)=0,"NA",(IF(ISNUMBER(F47),F47*Parameters!$E$8,0)+IF(ISNUMBER(G47),G47*Parameters!$E$9,0)+IF(ISNUMBER(H47),H47*Parameters!$E$10,0))/(IF(ISNUMBER(F47),Parameters!$E$8,0)+IF(ISNUMBER(G47),Parameters!$E$9,0)+IF(ISNUMBER(H47),Parameters!$E$10,0))*100)</f>
        <v>66.6666666666667</v>
      </c>
      <c r="M47" s="29" t="n">
        <f aca="false">IF(COUNT(I47:J47)=0,"NA",(IF(ISNUMBER(I47),I47*Parameters!$E$11,0)+IF(ISNUMBER(J47),J47*Parameters!$E$12,0))/(IF(ISNUMBER(I47),Parameters!$E$11,0)+IF(ISNUMBER(J47),Parameters!$E$12,0))*100)</f>
        <v>42.7142857142857</v>
      </c>
      <c r="N47" s="30" t="n">
        <f aca="false">IF(ISNUMBER(D47),Parameters!$E$6,0)+IF(ISNUMBER(E47),Parameters!$E$7,0)+IF(ISNUMBER(F47),Parameters!$E$8,0)+IF(ISNUMBER(G47),Parameters!$E$9,0)+IF(ISNUMBER(H47),Parameters!$E$10,0)+IF(ISNUMBER(I47),Parameters!$E$11,0)+IF(ISNUMBER(J47),Parameters!$E$12,0)</f>
        <v>0.83</v>
      </c>
      <c r="O47" s="31" t="n">
        <f aca="false">IF(ISNUMBER(D47),D47*Parameters!$E$6,0)+IF(ISNUMBER(E47),E47*Parameters!$E$7,0)+IF(ISNUMBER(F47),F47*Parameters!$E$8,0)+IF(ISNUMBER(G47),G47*Parameters!$E$9,0)+IF(ISNUMBER(H47),H47*Parameters!$E$10,0)+IF(ISNUMBER(I47),I47*Parameters!$E$11,0)+IF(ISNUMBER(J47),J47*Parameters!$E$12,0)</f>
        <v>0.5145</v>
      </c>
      <c r="P47" s="32" t="n">
        <f aca="false">COUNT(D47:J47)</f>
        <v>5</v>
      </c>
      <c r="Q47" s="32" t="n">
        <f aca="false">(COUNT(D47:E47)&gt;0)+(COUNT(F47:H47)&gt;0)+(COUNT(I47:J47)&gt;0)</f>
        <v>3</v>
      </c>
      <c r="R47" s="32" t="str">
        <f aca="false">IF(AND(N47&gt;=Parameters!$C$56,Q47&gt;=Parameters!$C$59),"Yes","No")</f>
        <v>Yes</v>
      </c>
      <c r="S47" s="33" t="n">
        <f aca="false">IF(R47="Yes",O47/N47*100,"NA")</f>
        <v>61.9879518072289</v>
      </c>
      <c r="T47" s="29" t="n">
        <f aca="false">IF(R47="Yes",O47/Parameters!$E$13*100,"NA")</f>
        <v>51.45</v>
      </c>
      <c r="U47" s="29" t="n">
        <f aca="false">IF(R47="Yes",(O47+(Parameters!$E$13-N47))/Parameters!$E$13*100,"NA")</f>
        <v>68.45</v>
      </c>
      <c r="V47" s="34" t="str">
        <f aca="false">IF(R47&lt;&gt;"Yes","Not scored",IF(N47&gt;=Parameters!$C$60,"Reportable","Provisional"))</f>
        <v>Provisional</v>
      </c>
      <c r="W47" s="32" t="n">
        <f aca="false">IF(ISNUMBER(S47),RANK(S47,$S$2:$S$113,0),"NA")</f>
        <v>67</v>
      </c>
      <c r="X47" s="32" t="str">
        <f aca="false">IF(N47&gt;=Parameters!$C$60,"High",IF(N47&gt;=Parameters!$C$56,"Medium","Low"))</f>
        <v>Medium</v>
      </c>
      <c r="Y47" s="32" t="n">
        <f aca="false">Calc!T47</f>
        <v>1</v>
      </c>
      <c r="Z47" s="35" t="str">
        <f aca="false">IF(V47="Reportable",S47-ROW()*0.000000001,"")</f>
        <v/>
      </c>
      <c r="AA47" s="35" t="str">
        <f aca="false">IF(ISNUMBER(Z47),RANK(Z47,$Z$2:$Z$113,0),"NA")</f>
        <v>NA</v>
      </c>
    </row>
    <row r="48" customFormat="false" ht="15" hidden="false" customHeight="true" outlineLevel="0" collapsed="false">
      <c r="A48" s="15" t="str">
        <f aca="false">Data!$A48</f>
        <v>Fedora</v>
      </c>
      <c r="B48" s="15" t="str">
        <f aca="false">Data!$B48</f>
        <v>Lyrasis</v>
      </c>
      <c r="C48" s="15" t="str">
        <f aca="false">Data!$E48</f>
        <v>Repository software</v>
      </c>
      <c r="D48" s="28" t="n">
        <f aca="false">IF(Verification!C48="",Calc!B48,Verification!C48)</f>
        <v>1</v>
      </c>
      <c r="E48" s="28" t="n">
        <f aca="false">IF(Verification!D48="",Calc!D48,Verification!D48)</f>
        <v>1</v>
      </c>
      <c r="F48" s="28" t="n">
        <f aca="false">IF(Verification!E48="",Calc!G48,Verification!E48)</f>
        <v>1</v>
      </c>
      <c r="G48" s="28" t="n">
        <f aca="false">IF(Verification!F48="",Calc!I48,Verification!F48)</f>
        <v>0.5</v>
      </c>
      <c r="H48" s="28" t="n">
        <f aca="false">IF(Verification!G48="",Calc!E48,Verification!G48)</f>
        <v>1</v>
      </c>
      <c r="I48" s="28" t="n">
        <f aca="false">IF(Verification!H48="",Calc!J48,Verification!H48)</f>
        <v>1</v>
      </c>
      <c r="J48" s="28" t="n">
        <f aca="false">IF(Verification!I48="",Calc!K48,Verification!I48)</f>
        <v>1</v>
      </c>
      <c r="K48" s="29" t="n">
        <f aca="false">IF(COUNT(D48:E48)=0,"NA",(IF(ISNUMBER(D48),D48*Parameters!$E$6,0)+IF(ISNUMBER(E48),E48*Parameters!$E$7,0))/(IF(ISNUMBER(D48),Parameters!$E$6,0)+IF(ISNUMBER(E48),Parameters!$E$7,0))*100)</f>
        <v>100</v>
      </c>
      <c r="L48" s="29" t="n">
        <f aca="false">IF(COUNT(F48:H48)=0,"NA",(IF(ISNUMBER(F48),F48*Parameters!$E$8,0)+IF(ISNUMBER(G48),G48*Parameters!$E$9,0)+IF(ISNUMBER(H48),H48*Parameters!$E$10,0))/(IF(ISNUMBER(F48),Parameters!$E$8,0)+IF(ISNUMBER(G48),Parameters!$E$9,0)+IF(ISNUMBER(H48),Parameters!$E$10,0))*100)</f>
        <v>82.8571428571429</v>
      </c>
      <c r="M48" s="29" t="n">
        <f aca="false">IF(COUNT(I48:J48)=0,"NA",(IF(ISNUMBER(I48),I48*Parameters!$E$11,0)+IF(ISNUMBER(J48),J48*Parameters!$E$12,0))/(IF(ISNUMBER(I48),Parameters!$E$11,0)+IF(ISNUMBER(J48),Parameters!$E$12,0))*100)</f>
        <v>100</v>
      </c>
      <c r="N48" s="30" t="n">
        <f aca="false">IF(ISNUMBER(D48),Parameters!$E$6,0)+IF(ISNUMBER(E48),Parameters!$E$7,0)+IF(ISNUMBER(F48),Parameters!$E$8,0)+IF(ISNUMBER(G48),Parameters!$E$9,0)+IF(ISNUMBER(H48),Parameters!$E$10,0)+IF(ISNUMBER(I48),Parameters!$E$11,0)+IF(ISNUMBER(J48),Parameters!$E$12,0)</f>
        <v>1</v>
      </c>
      <c r="O48" s="31" t="n">
        <f aca="false">IF(ISNUMBER(D48),D48*Parameters!$E$6,0)+IF(ISNUMBER(E48),E48*Parameters!$E$7,0)+IF(ISNUMBER(F48),F48*Parameters!$E$8,0)+IF(ISNUMBER(G48),G48*Parameters!$E$9,0)+IF(ISNUMBER(H48),H48*Parameters!$E$10,0)+IF(ISNUMBER(I48),I48*Parameters!$E$11,0)+IF(ISNUMBER(J48),J48*Parameters!$E$12,0)</f>
        <v>0.94</v>
      </c>
      <c r="P48" s="32" t="n">
        <f aca="false">COUNT(D48:J48)</f>
        <v>7</v>
      </c>
      <c r="Q48" s="32" t="n">
        <f aca="false">(COUNT(D48:E48)&gt;0)+(COUNT(F48:H48)&gt;0)+(COUNT(I48:J48)&gt;0)</f>
        <v>3</v>
      </c>
      <c r="R48" s="32" t="str">
        <f aca="false">IF(AND(N48&gt;=Parameters!$C$56,Q48&gt;=Parameters!$C$59),"Yes","No")</f>
        <v>Yes</v>
      </c>
      <c r="S48" s="33" t="n">
        <f aca="false">IF(R48="Yes",O48/N48*100,"NA")</f>
        <v>94</v>
      </c>
      <c r="T48" s="29" t="n">
        <f aca="false">IF(R48="Yes",O48/Parameters!$E$13*100,"NA")</f>
        <v>94</v>
      </c>
      <c r="U48" s="29" t="n">
        <f aca="false">IF(R48="Yes",(O48+(Parameters!$E$13-N48))/Parameters!$E$13*100,"NA")</f>
        <v>94</v>
      </c>
      <c r="V48" s="34" t="str">
        <f aca="false">IF(R48&lt;&gt;"Yes","Not scored",IF(N48&gt;=Parameters!$C$60,"Reportable","Provisional"))</f>
        <v>Reportable</v>
      </c>
      <c r="W48" s="32" t="n">
        <f aca="false">IF(ISNUMBER(S48),RANK(S48,$S$2:$S$113,0),"NA")</f>
        <v>13</v>
      </c>
      <c r="X48" s="32" t="str">
        <f aca="false">IF(N48&gt;=Parameters!$C$60,"High",IF(N48&gt;=Parameters!$C$56,"Medium","Low"))</f>
        <v>High</v>
      </c>
      <c r="Y48" s="32" t="n">
        <f aca="false">Calc!T48</f>
        <v>0</v>
      </c>
      <c r="Z48" s="35" t="n">
        <f aca="false">IF(V48="Reportable",S48-ROW()*0.000000001,"")</f>
        <v>93.999999952</v>
      </c>
      <c r="AA48" s="35" t="n">
        <f aca="false">IF(ISNUMBER(Z48),RANK(Z48,$Z$2:$Z$113,0),"NA")</f>
        <v>6</v>
      </c>
    </row>
    <row r="49" customFormat="false" ht="15" hidden="false" customHeight="true" outlineLevel="0" collapsed="false">
      <c r="A49" s="15" t="str">
        <f aca="false">Data!$A49</f>
        <v>fido</v>
      </c>
      <c r="B49" s="15" t="str">
        <f aca="false">Data!$B49</f>
        <v>Open Preservation Foundation</v>
      </c>
      <c r="C49" s="15" t="str">
        <f aca="false">Data!$E49</f>
        <v>Digital preservation tool</v>
      </c>
      <c r="D49" s="28" t="n">
        <f aca="false">IF(Verification!C49="",Calc!B49,Verification!C49)</f>
        <v>1</v>
      </c>
      <c r="E49" s="28" t="n">
        <f aca="false">IF(Verification!D49="",Calc!D49,Verification!D49)</f>
        <v>1</v>
      </c>
      <c r="F49" s="28" t="n">
        <f aca="false">IF(Verification!E49="",Calc!G49,Verification!E49)</f>
        <v>0.5</v>
      </c>
      <c r="G49" s="28" t="n">
        <f aca="false">IF(Verification!F49="",Calc!I49,Verification!F49)</f>
        <v>0.5</v>
      </c>
      <c r="H49" s="28" t="n">
        <f aca="false">IF(Verification!G49="",Calc!E49,Verification!G49)</f>
        <v>1</v>
      </c>
      <c r="I49" s="28" t="n">
        <f aca="false">IF(Verification!H49="",Calc!J49,Verification!H49)</f>
        <v>0.33</v>
      </c>
      <c r="J49" s="28" t="n">
        <f aca="false">IF(Verification!I49="",Calc!K49,Verification!I49)</f>
        <v>1</v>
      </c>
      <c r="K49" s="29" t="n">
        <f aca="false">IF(COUNT(D49:E49)=0,"NA",(IF(ISNUMBER(D49),D49*Parameters!$E$6,0)+IF(ISNUMBER(E49),E49*Parameters!$E$7,0))/(IF(ISNUMBER(D49),Parameters!$E$6,0)+IF(ISNUMBER(E49),Parameters!$E$7,0))*100)</f>
        <v>100</v>
      </c>
      <c r="L49" s="29" t="n">
        <f aca="false">IF(COUNT(F49:H49)=0,"NA",(IF(ISNUMBER(F49),F49*Parameters!$E$8,0)+IF(ISNUMBER(G49),G49*Parameters!$E$9,0)+IF(ISNUMBER(H49),H49*Parameters!$E$10,0))/(IF(ISNUMBER(F49),Parameters!$E$8,0)+IF(ISNUMBER(G49),Parameters!$E$9,0)+IF(ISNUMBER(H49),Parameters!$E$10,0))*100)</f>
        <v>57.1428571428572</v>
      </c>
      <c r="M49" s="29" t="n">
        <f aca="false">IF(COUNT(I49:J49)=0,"NA",(IF(ISNUMBER(I49),I49*Parameters!$E$11,0)+IF(ISNUMBER(J49),J49*Parameters!$E$12,0))/(IF(ISNUMBER(I49),Parameters!$E$11,0)+IF(ISNUMBER(J49),Parameters!$E$12,0))*100)</f>
        <v>71.2857142857143</v>
      </c>
      <c r="N49" s="30" t="n">
        <f aca="false">IF(ISNUMBER(D49),Parameters!$E$6,0)+IF(ISNUMBER(E49),Parameters!$E$7,0)+IF(ISNUMBER(F49),Parameters!$E$8,0)+IF(ISNUMBER(G49),Parameters!$E$9,0)+IF(ISNUMBER(H49),Parameters!$E$10,0)+IF(ISNUMBER(I49),Parameters!$E$11,0)+IF(ISNUMBER(J49),Parameters!$E$12,0)</f>
        <v>1</v>
      </c>
      <c r="O49" s="31" t="n">
        <f aca="false">IF(ISNUMBER(D49),D49*Parameters!$E$6,0)+IF(ISNUMBER(E49),E49*Parameters!$E$7,0)+IF(ISNUMBER(F49),F49*Parameters!$E$8,0)+IF(ISNUMBER(G49),G49*Parameters!$E$9,0)+IF(ISNUMBER(H49),H49*Parameters!$E$10,0)+IF(ISNUMBER(I49),I49*Parameters!$E$11,0)+IF(ISNUMBER(J49),J49*Parameters!$E$12,0)</f>
        <v>0.7495</v>
      </c>
      <c r="P49" s="32" t="n">
        <f aca="false">COUNT(D49:J49)</f>
        <v>7</v>
      </c>
      <c r="Q49" s="32" t="n">
        <f aca="false">(COUNT(D49:E49)&gt;0)+(COUNT(F49:H49)&gt;0)+(COUNT(I49:J49)&gt;0)</f>
        <v>3</v>
      </c>
      <c r="R49" s="32" t="str">
        <f aca="false">IF(AND(N49&gt;=Parameters!$C$56,Q49&gt;=Parameters!$C$59),"Yes","No")</f>
        <v>Yes</v>
      </c>
      <c r="S49" s="33" t="n">
        <f aca="false">IF(R49="Yes",O49/N49*100,"NA")</f>
        <v>74.95</v>
      </c>
      <c r="T49" s="29" t="n">
        <f aca="false">IF(R49="Yes",O49/Parameters!$E$13*100,"NA")</f>
        <v>74.95</v>
      </c>
      <c r="U49" s="29" t="n">
        <f aca="false">IF(R49="Yes",(O49+(Parameters!$E$13-N49))/Parameters!$E$13*100,"NA")</f>
        <v>74.95</v>
      </c>
      <c r="V49" s="34" t="str">
        <f aca="false">IF(R49&lt;&gt;"Yes","Not scored",IF(N49&gt;=Parameters!$C$60,"Reportable","Provisional"))</f>
        <v>Reportable</v>
      </c>
      <c r="W49" s="32" t="n">
        <f aca="false">IF(ISNUMBER(S49),RANK(S49,$S$2:$S$113,0),"NA")</f>
        <v>49</v>
      </c>
      <c r="X49" s="32" t="str">
        <f aca="false">IF(N49&gt;=Parameters!$C$60,"High",IF(N49&gt;=Parameters!$C$56,"Medium","Low"))</f>
        <v>High</v>
      </c>
      <c r="Y49" s="32" t="n">
        <f aca="false">Calc!T49</f>
        <v>1</v>
      </c>
      <c r="Z49" s="35" t="n">
        <f aca="false">IF(V49="Reportable",S49-ROW()*0.000000001,"")</f>
        <v>74.949999951</v>
      </c>
      <c r="AA49" s="35" t="n">
        <f aca="false">IF(ISNUMBER(Z49),RANK(Z49,$Z$2:$Z$113,0),"NA")</f>
        <v>28</v>
      </c>
    </row>
    <row r="50" customFormat="false" ht="15" hidden="false" customHeight="true" outlineLevel="0" collapsed="false">
      <c r="A50" s="15" t="str">
        <f aca="false">Data!$A50</f>
        <v>Fulcrum</v>
      </c>
      <c r="B50" s="15" t="str">
        <f aca="false">Data!$B50</f>
        <v>Michigan Publishing</v>
      </c>
      <c r="C50" s="15" t="str">
        <f aca="false">Data!$E50</f>
        <v>Publishing system</v>
      </c>
      <c r="D50" s="28" t="n">
        <f aca="false">IF(Verification!C50="",Calc!B50,Verification!C50)</f>
        <v>1</v>
      </c>
      <c r="E50" s="28" t="n">
        <f aca="false">IF(Verification!D50="",Calc!D50,Verification!D50)</f>
        <v>0.25</v>
      </c>
      <c r="F50" s="28" t="n">
        <f aca="false">IF(Verification!E50="",Calc!G50,Verification!E50)</f>
        <v>0.333333333333333</v>
      </c>
      <c r="G50" s="28" t="str">
        <f aca="false">IF(Verification!F50="",Calc!I50,Verification!F50)</f>
        <v>NA</v>
      </c>
      <c r="H50" s="28" t="n">
        <f aca="false">IF(Verification!G50="",Calc!E50,Verification!G50)</f>
        <v>1</v>
      </c>
      <c r="I50" s="28" t="n">
        <f aca="false">IF(Verification!H50="",Calc!J50,Verification!H50)</f>
        <v>1</v>
      </c>
      <c r="J50" s="28" t="n">
        <f aca="false">IF(Verification!I50="",Calc!K50,Verification!I50)</f>
        <v>0.5</v>
      </c>
      <c r="K50" s="29" t="n">
        <f aca="false">IF(COUNT(D50:E50)=0,"NA",(IF(ISNUMBER(D50),D50*Parameters!$E$6,0)+IF(ISNUMBER(E50),E50*Parameters!$E$7,0))/(IF(ISNUMBER(D50),Parameters!$E$6,0)+IF(ISNUMBER(E50),Parameters!$E$7,0))*100)</f>
        <v>45</v>
      </c>
      <c r="L50" s="29" t="n">
        <f aca="false">IF(COUNT(F50:H50)=0,"NA",(IF(ISNUMBER(F50),F50*Parameters!$E$8,0)+IF(ISNUMBER(G50),G50*Parameters!$E$9,0)+IF(ISNUMBER(H50),H50*Parameters!$E$10,0))/(IF(ISNUMBER(F50),Parameters!$E$8,0)+IF(ISNUMBER(G50),Parameters!$E$9,0)+IF(ISNUMBER(H50),Parameters!$E$10,0))*100)</f>
        <v>47.8260869565217</v>
      </c>
      <c r="M50" s="29" t="n">
        <f aca="false">IF(COUNT(I50:J50)=0,"NA",(IF(ISNUMBER(I50),I50*Parameters!$E$11,0)+IF(ISNUMBER(J50),J50*Parameters!$E$12,0))/(IF(ISNUMBER(I50),Parameters!$E$11,0)+IF(ISNUMBER(J50),Parameters!$E$12,0))*100)</f>
        <v>71.4285714285714</v>
      </c>
      <c r="N50" s="30" t="n">
        <f aca="false">IF(ISNUMBER(D50),Parameters!$E$6,0)+IF(ISNUMBER(E50),Parameters!$E$7,0)+IF(ISNUMBER(F50),Parameters!$E$8,0)+IF(ISNUMBER(G50),Parameters!$E$9,0)+IF(ISNUMBER(H50),Parameters!$E$10,0)+IF(ISNUMBER(I50),Parameters!$E$11,0)+IF(ISNUMBER(J50),Parameters!$E$12,0)</f>
        <v>0.88</v>
      </c>
      <c r="O50" s="31" t="n">
        <f aca="false">IF(ISNUMBER(D50),D50*Parameters!$E$6,0)+IF(ISNUMBER(E50),E50*Parameters!$E$7,0)+IF(ISNUMBER(F50),F50*Parameters!$E$8,0)+IF(ISNUMBER(G50),G50*Parameters!$E$9,0)+IF(ISNUMBER(H50),H50*Parameters!$E$10,0)+IF(ISNUMBER(I50),I50*Parameters!$E$11,0)+IF(ISNUMBER(J50),J50*Parameters!$E$12,0)</f>
        <v>0.495</v>
      </c>
      <c r="P50" s="32" t="n">
        <f aca="false">COUNT(D50:J50)</f>
        <v>6</v>
      </c>
      <c r="Q50" s="32" t="n">
        <f aca="false">(COUNT(D50:E50)&gt;0)+(COUNT(F50:H50)&gt;0)+(COUNT(I50:J50)&gt;0)</f>
        <v>3</v>
      </c>
      <c r="R50" s="32" t="str">
        <f aca="false">IF(AND(N50&gt;=Parameters!$C$56,Q50&gt;=Parameters!$C$59),"Yes","No")</f>
        <v>Yes</v>
      </c>
      <c r="S50" s="33" t="n">
        <f aca="false">IF(R50="Yes",O50/N50*100,"NA")</f>
        <v>56.25</v>
      </c>
      <c r="T50" s="29" t="n">
        <f aca="false">IF(R50="Yes",O50/Parameters!$E$13*100,"NA")</f>
        <v>49.5</v>
      </c>
      <c r="U50" s="29" t="n">
        <f aca="false">IF(R50="Yes",(O50+(Parameters!$E$13-N50))/Parameters!$E$13*100,"NA")</f>
        <v>61.5</v>
      </c>
      <c r="V50" s="34" t="str">
        <f aca="false">IF(R50&lt;&gt;"Yes","Not scored",IF(N50&gt;=Parameters!$C$60,"Reportable","Provisional"))</f>
        <v>Reportable</v>
      </c>
      <c r="W50" s="32" t="n">
        <f aca="false">IF(ISNUMBER(S50),RANK(S50,$S$2:$S$113,0),"NA")</f>
        <v>74</v>
      </c>
      <c r="X50" s="32" t="str">
        <f aca="false">IF(N50&gt;=Parameters!$C$60,"High",IF(N50&gt;=Parameters!$C$56,"Medium","Low"))</f>
        <v>High</v>
      </c>
      <c r="Y50" s="32" t="n">
        <f aca="false">Calc!T50</f>
        <v>0</v>
      </c>
      <c r="Z50" s="35" t="n">
        <f aca="false">IF(V50="Reportable",S50-ROW()*0.000000001,"")</f>
        <v>56.24999995</v>
      </c>
      <c r="AA50" s="35" t="n">
        <f aca="false">IF(ISNUMBER(Z50),RANK(Z50,$Z$2:$Z$113,0),"NA")</f>
        <v>43</v>
      </c>
    </row>
    <row r="51" customFormat="false" ht="15" hidden="false" customHeight="true" outlineLevel="0" collapsed="false">
      <c r="A51" s="15" t="str">
        <f aca="false">Data!$A51</f>
        <v>Galaxy</v>
      </c>
      <c r="B51" s="15" t="str">
        <f aca="false">Data!$B51</f>
        <v>The Galaxy community</v>
      </c>
      <c r="C51" s="15" t="str">
        <f aca="false">Data!$E51</f>
        <v>Computing framework | Discovery system</v>
      </c>
      <c r="D51" s="28" t="n">
        <f aca="false">IF(Verification!C51="",Calc!B51,Verification!C51)</f>
        <v>1</v>
      </c>
      <c r="E51" s="28" t="str">
        <f aca="false">IF(Verification!D51="",Calc!D51,Verification!D51)</f>
        <v>NA</v>
      </c>
      <c r="F51" s="28" t="str">
        <f aca="false">IF(Verification!E51="",Calc!G51,Verification!E51)</f>
        <v>NA</v>
      </c>
      <c r="G51" s="28" t="n">
        <f aca="false">IF(Verification!F51="",Calc!I51,Verification!F51)</f>
        <v>1</v>
      </c>
      <c r="H51" s="28" t="n">
        <f aca="false">IF(Verification!G51="",Calc!E51,Verification!G51)</f>
        <v>1</v>
      </c>
      <c r="I51" s="28" t="n">
        <f aca="false">IF(Verification!H51="",Calc!J51,Verification!H51)</f>
        <v>1</v>
      </c>
      <c r="J51" s="28" t="n">
        <f aca="false">IF(Verification!I51="",Calc!K51,Verification!I51)</f>
        <v>1</v>
      </c>
      <c r="K51" s="29" t="n">
        <f aca="false">IF(COUNT(D51:E51)=0,"NA",(IF(ISNUMBER(D51),D51*Parameters!$E$6,0)+IF(ISNUMBER(E51),E51*Parameters!$E$7,0))/(IF(ISNUMBER(D51),Parameters!$E$6,0)+IF(ISNUMBER(E51),Parameters!$E$7,0))*100)</f>
        <v>100</v>
      </c>
      <c r="L51" s="29" t="n">
        <f aca="false">IF(COUNT(F51:H51)=0,"NA",(IF(ISNUMBER(F51),F51*Parameters!$E$8,0)+IF(ISNUMBER(G51),G51*Parameters!$E$9,0)+IF(ISNUMBER(H51),H51*Parameters!$E$10,0))/(IF(ISNUMBER(F51),Parameters!$E$8,0)+IF(ISNUMBER(G51),Parameters!$E$9,0)+IF(ISNUMBER(H51),Parameters!$E$10,0))*100)</f>
        <v>100</v>
      </c>
      <c r="M51" s="29" t="n">
        <f aca="false">IF(COUNT(I51:J51)=0,"NA",(IF(ISNUMBER(I51),I51*Parameters!$E$11,0)+IF(ISNUMBER(J51),J51*Parameters!$E$12,0))/(IF(ISNUMBER(I51),Parameters!$E$11,0)+IF(ISNUMBER(J51),Parameters!$E$12,0))*100)</f>
        <v>100</v>
      </c>
      <c r="N51" s="30" t="n">
        <f aca="false">IF(ISNUMBER(D51),Parameters!$E$6,0)+IF(ISNUMBER(E51),Parameters!$E$7,0)+IF(ISNUMBER(F51),Parameters!$E$8,0)+IF(ISNUMBER(G51),Parameters!$E$9,0)+IF(ISNUMBER(H51),Parameters!$E$10,0)+IF(ISNUMBER(I51),Parameters!$E$11,0)+IF(ISNUMBER(J51),Parameters!$E$12,0)</f>
        <v>0.6</v>
      </c>
      <c r="O51" s="31" t="n">
        <f aca="false">IF(ISNUMBER(D51),D51*Parameters!$E$6,0)+IF(ISNUMBER(E51),E51*Parameters!$E$7,0)+IF(ISNUMBER(F51),F51*Parameters!$E$8,0)+IF(ISNUMBER(G51),G51*Parameters!$E$9,0)+IF(ISNUMBER(H51),H51*Parameters!$E$10,0)+IF(ISNUMBER(I51),I51*Parameters!$E$11,0)+IF(ISNUMBER(J51),J51*Parameters!$E$12,0)</f>
        <v>0.6</v>
      </c>
      <c r="P51" s="32" t="n">
        <f aca="false">COUNT(D51:J51)</f>
        <v>5</v>
      </c>
      <c r="Q51" s="32" t="n">
        <f aca="false">(COUNT(D51:E51)&gt;0)+(COUNT(F51:H51)&gt;0)+(COUNT(I51:J51)&gt;0)</f>
        <v>3</v>
      </c>
      <c r="R51" s="32" t="str">
        <f aca="false">IF(AND(N51&gt;=Parameters!$C$56,Q51&gt;=Parameters!$C$59),"Yes","No")</f>
        <v>Yes</v>
      </c>
      <c r="S51" s="33" t="n">
        <f aca="false">IF(R51="Yes",O51/N51*100,"NA")</f>
        <v>100</v>
      </c>
      <c r="T51" s="29" t="n">
        <f aca="false">IF(R51="Yes",O51/Parameters!$E$13*100,"NA")</f>
        <v>60</v>
      </c>
      <c r="U51" s="29" t="n">
        <f aca="false">IF(R51="Yes",(O51+(Parameters!$E$13-N51))/Parameters!$E$13*100,"NA")</f>
        <v>100</v>
      </c>
      <c r="V51" s="34" t="str">
        <f aca="false">IF(R51&lt;&gt;"Yes","Not scored",IF(N51&gt;=Parameters!$C$60,"Reportable","Provisional"))</f>
        <v>Provisional</v>
      </c>
      <c r="W51" s="32" t="n">
        <f aca="false">IF(ISNUMBER(S51),RANK(S51,$S$2:$S$113,0),"NA")</f>
        <v>1</v>
      </c>
      <c r="X51" s="32" t="str">
        <f aca="false">IF(N51&gt;=Parameters!$C$60,"High",IF(N51&gt;=Parameters!$C$56,"Medium","Low"))</f>
        <v>Medium</v>
      </c>
      <c r="Y51" s="32" t="n">
        <f aca="false">Calc!T51</f>
        <v>1</v>
      </c>
      <c r="Z51" s="35" t="str">
        <f aca="false">IF(V51="Reportable",S51-ROW()*0.000000001,"")</f>
        <v/>
      </c>
      <c r="AA51" s="35" t="str">
        <f aca="false">IF(ISNUMBER(Z51),RANK(Z51,$Z$2:$Z$113,0),"NA")</f>
        <v>NA</v>
      </c>
    </row>
    <row r="52" customFormat="false" ht="15" hidden="false" customHeight="true" outlineLevel="0" collapsed="false">
      <c r="A52" s="15" t="str">
        <f aca="false">Data!$A52</f>
        <v>GeoServer</v>
      </c>
      <c r="B52" s="15" t="str">
        <f aca="false">Data!$B52</f>
        <v>Open Source Geospatial Foundation</v>
      </c>
      <c r="C52" s="15" t="str">
        <f aca="false">Data!$E52</f>
        <v>Geospatial data tool or platform</v>
      </c>
      <c r="D52" s="28" t="n">
        <f aca="false">IF(Verification!C52="",Calc!B52,Verification!C52)</f>
        <v>1</v>
      </c>
      <c r="E52" s="28" t="n">
        <f aca="false">IF(Verification!D52="",Calc!D52,Verification!D52)</f>
        <v>0.75</v>
      </c>
      <c r="F52" s="28" t="n">
        <f aca="false">IF(Verification!E52="",Calc!G52,Verification!E52)</f>
        <v>0.166666666666667</v>
      </c>
      <c r="G52" s="28" t="n">
        <f aca="false">IF(Verification!F52="",Calc!I52,Verification!F52)</f>
        <v>1</v>
      </c>
      <c r="H52" s="28" t="n">
        <f aca="false">IF(Verification!G52="",Calc!E52,Verification!G52)</f>
        <v>1</v>
      </c>
      <c r="I52" s="28" t="n">
        <f aca="false">IF(Verification!H52="",Calc!J52,Verification!H52)</f>
        <v>1</v>
      </c>
      <c r="J52" s="28" t="n">
        <f aca="false">IF(Verification!I52="",Calc!K52,Verification!I52)</f>
        <v>1</v>
      </c>
      <c r="K52" s="29" t="n">
        <f aca="false">IF(COUNT(D52:E52)=0,"NA",(IF(ISNUMBER(D52),D52*Parameters!$E$6,0)+IF(ISNUMBER(E52),E52*Parameters!$E$7,0))/(IF(ISNUMBER(D52),Parameters!$E$6,0)+IF(ISNUMBER(E52),Parameters!$E$7,0))*100)</f>
        <v>81.6666666666667</v>
      </c>
      <c r="L52" s="29" t="n">
        <f aca="false">IF(COUNT(F52:H52)=0,"NA",(IF(ISNUMBER(F52),F52*Parameters!$E$8,0)+IF(ISNUMBER(G52),G52*Parameters!$E$9,0)+IF(ISNUMBER(H52),H52*Parameters!$E$10,0))/(IF(ISNUMBER(F52),Parameters!$E$8,0)+IF(ISNUMBER(G52),Parameters!$E$9,0)+IF(ISNUMBER(H52),Parameters!$E$10,0))*100)</f>
        <v>57.1428571428572</v>
      </c>
      <c r="M52" s="29" t="n">
        <f aca="false">IF(COUNT(I52:J52)=0,"NA",(IF(ISNUMBER(I52),I52*Parameters!$E$11,0)+IF(ISNUMBER(J52),J52*Parameters!$E$12,0))/(IF(ISNUMBER(I52),Parameters!$E$11,0)+IF(ISNUMBER(J52),Parameters!$E$12,0))*100)</f>
        <v>100</v>
      </c>
      <c r="N52" s="30" t="n">
        <f aca="false">IF(ISNUMBER(D52),Parameters!$E$6,0)+IF(ISNUMBER(E52),Parameters!$E$7,0)+IF(ISNUMBER(F52),Parameters!$E$8,0)+IF(ISNUMBER(G52),Parameters!$E$9,0)+IF(ISNUMBER(H52),Parameters!$E$10,0)+IF(ISNUMBER(I52),Parameters!$E$11,0)+IF(ISNUMBER(J52),Parameters!$E$12,0)</f>
        <v>1</v>
      </c>
      <c r="O52" s="31" t="n">
        <f aca="false">IF(ISNUMBER(D52),D52*Parameters!$E$6,0)+IF(ISNUMBER(E52),E52*Parameters!$E$7,0)+IF(ISNUMBER(F52),F52*Parameters!$E$8,0)+IF(ISNUMBER(G52),G52*Parameters!$E$9,0)+IF(ISNUMBER(H52),H52*Parameters!$E$10,0)+IF(ISNUMBER(I52),I52*Parameters!$E$11,0)+IF(ISNUMBER(J52),J52*Parameters!$E$12,0)</f>
        <v>0.795</v>
      </c>
      <c r="P52" s="32" t="n">
        <f aca="false">COUNT(D52:J52)</f>
        <v>7</v>
      </c>
      <c r="Q52" s="32" t="n">
        <f aca="false">(COUNT(D52:E52)&gt;0)+(COUNT(F52:H52)&gt;0)+(COUNT(I52:J52)&gt;0)</f>
        <v>3</v>
      </c>
      <c r="R52" s="32" t="str">
        <f aca="false">IF(AND(N52&gt;=Parameters!$C$56,Q52&gt;=Parameters!$C$59),"Yes","No")</f>
        <v>Yes</v>
      </c>
      <c r="S52" s="33" t="n">
        <f aca="false">IF(R52="Yes",O52/N52*100,"NA")</f>
        <v>79.5</v>
      </c>
      <c r="T52" s="29" t="n">
        <f aca="false">IF(R52="Yes",O52/Parameters!$E$13*100,"NA")</f>
        <v>79.5</v>
      </c>
      <c r="U52" s="29" t="n">
        <f aca="false">IF(R52="Yes",(O52+(Parameters!$E$13-N52))/Parameters!$E$13*100,"NA")</f>
        <v>79.5</v>
      </c>
      <c r="V52" s="34" t="str">
        <f aca="false">IF(R52&lt;&gt;"Yes","Not scored",IF(N52&gt;=Parameters!$C$60,"Reportable","Provisional"))</f>
        <v>Reportable</v>
      </c>
      <c r="W52" s="32" t="n">
        <f aca="false">IF(ISNUMBER(S52),RANK(S52,$S$2:$S$113,0),"NA")</f>
        <v>40</v>
      </c>
      <c r="X52" s="32" t="str">
        <f aca="false">IF(N52&gt;=Parameters!$C$60,"High",IF(N52&gt;=Parameters!$C$56,"Medium","Low"))</f>
        <v>High</v>
      </c>
      <c r="Y52" s="32" t="n">
        <f aca="false">Calc!T52</f>
        <v>0</v>
      </c>
      <c r="Z52" s="35" t="n">
        <f aca="false">IF(V52="Reportable",S52-ROW()*0.000000001,"")</f>
        <v>79.499999948</v>
      </c>
      <c r="AA52" s="35" t="n">
        <f aca="false">IF(ISNUMBER(Z52),RANK(Z52,$Z$2:$Z$113,0),"NA")</f>
        <v>26</v>
      </c>
    </row>
    <row r="53" customFormat="false" ht="15" hidden="false" customHeight="true" outlineLevel="0" collapsed="false">
      <c r="A53" s="15" t="str">
        <f aca="false">Data!$A53</f>
        <v>Hyku</v>
      </c>
      <c r="B53" s="15" t="str">
        <f aca="false">Data!$B53</f>
        <v>Samvera</v>
      </c>
      <c r="C53" s="15" t="str">
        <f aca="false">Data!$E53</f>
        <v>Repository software</v>
      </c>
      <c r="D53" s="28" t="n">
        <f aca="false">IF(Verification!C53="",Calc!B53,Verification!C53)</f>
        <v>1</v>
      </c>
      <c r="E53" s="28" t="n">
        <f aca="false">IF(Verification!D53="",Calc!D53,Verification!D53)</f>
        <v>1</v>
      </c>
      <c r="F53" s="28" t="n">
        <f aca="false">IF(Verification!E53="",Calc!G53,Verification!E53)</f>
        <v>1</v>
      </c>
      <c r="G53" s="28" t="n">
        <f aca="false">IF(Verification!F53="",Calc!I53,Verification!F53)</f>
        <v>0.5</v>
      </c>
      <c r="H53" s="28" t="n">
        <f aca="false">IF(Verification!G53="",Calc!E53,Verification!G53)</f>
        <v>1</v>
      </c>
      <c r="I53" s="28" t="n">
        <f aca="false">IF(Verification!H53="",Calc!J53,Verification!H53)</f>
        <v>1</v>
      </c>
      <c r="J53" s="28" t="n">
        <f aca="false">IF(Verification!I53="",Calc!K53,Verification!I53)</f>
        <v>1</v>
      </c>
      <c r="K53" s="29" t="n">
        <f aca="false">IF(COUNT(D53:E53)=0,"NA",(IF(ISNUMBER(D53),D53*Parameters!$E$6,0)+IF(ISNUMBER(E53),E53*Parameters!$E$7,0))/(IF(ISNUMBER(D53),Parameters!$E$6,0)+IF(ISNUMBER(E53),Parameters!$E$7,0))*100)</f>
        <v>100</v>
      </c>
      <c r="L53" s="29" t="n">
        <f aca="false">IF(COUNT(F53:H53)=0,"NA",(IF(ISNUMBER(F53),F53*Parameters!$E$8,0)+IF(ISNUMBER(G53),G53*Parameters!$E$9,0)+IF(ISNUMBER(H53),H53*Parameters!$E$10,0))/(IF(ISNUMBER(F53),Parameters!$E$8,0)+IF(ISNUMBER(G53),Parameters!$E$9,0)+IF(ISNUMBER(H53),Parameters!$E$10,0))*100)</f>
        <v>82.8571428571429</v>
      </c>
      <c r="M53" s="29" t="n">
        <f aca="false">IF(COUNT(I53:J53)=0,"NA",(IF(ISNUMBER(I53),I53*Parameters!$E$11,0)+IF(ISNUMBER(J53),J53*Parameters!$E$12,0))/(IF(ISNUMBER(I53),Parameters!$E$11,0)+IF(ISNUMBER(J53),Parameters!$E$12,0))*100)</f>
        <v>100</v>
      </c>
      <c r="N53" s="30" t="n">
        <f aca="false">IF(ISNUMBER(D53),Parameters!$E$6,0)+IF(ISNUMBER(E53),Parameters!$E$7,0)+IF(ISNUMBER(F53),Parameters!$E$8,0)+IF(ISNUMBER(G53),Parameters!$E$9,0)+IF(ISNUMBER(H53),Parameters!$E$10,0)+IF(ISNUMBER(I53),Parameters!$E$11,0)+IF(ISNUMBER(J53),Parameters!$E$12,0)</f>
        <v>1</v>
      </c>
      <c r="O53" s="31" t="n">
        <f aca="false">IF(ISNUMBER(D53),D53*Parameters!$E$6,0)+IF(ISNUMBER(E53),E53*Parameters!$E$7,0)+IF(ISNUMBER(F53),F53*Parameters!$E$8,0)+IF(ISNUMBER(G53),G53*Parameters!$E$9,0)+IF(ISNUMBER(H53),H53*Parameters!$E$10,0)+IF(ISNUMBER(I53),I53*Parameters!$E$11,0)+IF(ISNUMBER(J53),J53*Parameters!$E$12,0)</f>
        <v>0.94</v>
      </c>
      <c r="P53" s="32" t="n">
        <f aca="false">COUNT(D53:J53)</f>
        <v>7</v>
      </c>
      <c r="Q53" s="32" t="n">
        <f aca="false">(COUNT(D53:E53)&gt;0)+(COUNT(F53:H53)&gt;0)+(COUNT(I53:J53)&gt;0)</f>
        <v>3</v>
      </c>
      <c r="R53" s="32" t="str">
        <f aca="false">IF(AND(N53&gt;=Parameters!$C$56,Q53&gt;=Parameters!$C$59),"Yes","No")</f>
        <v>Yes</v>
      </c>
      <c r="S53" s="33" t="n">
        <f aca="false">IF(R53="Yes",O53/N53*100,"NA")</f>
        <v>94</v>
      </c>
      <c r="T53" s="29" t="n">
        <f aca="false">IF(R53="Yes",O53/Parameters!$E$13*100,"NA")</f>
        <v>94</v>
      </c>
      <c r="U53" s="29" t="n">
        <f aca="false">IF(R53="Yes",(O53+(Parameters!$E$13-N53))/Parameters!$E$13*100,"NA")</f>
        <v>94</v>
      </c>
      <c r="V53" s="34" t="str">
        <f aca="false">IF(R53&lt;&gt;"Yes","Not scored",IF(N53&gt;=Parameters!$C$60,"Reportable","Provisional"))</f>
        <v>Reportable</v>
      </c>
      <c r="W53" s="32" t="n">
        <f aca="false">IF(ISNUMBER(S53),RANK(S53,$S$2:$S$113,0),"NA")</f>
        <v>13</v>
      </c>
      <c r="X53" s="32" t="str">
        <f aca="false">IF(N53&gt;=Parameters!$C$60,"High",IF(N53&gt;=Parameters!$C$56,"Medium","Low"))</f>
        <v>High</v>
      </c>
      <c r="Y53" s="32" t="n">
        <f aca="false">Calc!T53</f>
        <v>0</v>
      </c>
      <c r="Z53" s="35" t="n">
        <f aca="false">IF(V53="Reportable",S53-ROW()*0.000000001,"")</f>
        <v>93.999999947</v>
      </c>
      <c r="AA53" s="35" t="n">
        <f aca="false">IF(ISNUMBER(Z53),RANK(Z53,$Z$2:$Z$113,0),"NA")</f>
        <v>7</v>
      </c>
    </row>
    <row r="54" customFormat="false" ht="15" hidden="false" customHeight="true" outlineLevel="0" collapsed="false">
      <c r="A54" s="15" t="str">
        <f aca="false">Data!$A54</f>
        <v>Hyrax</v>
      </c>
      <c r="B54" s="15" t="str">
        <f aca="false">Data!$B54</f>
        <v>Samvera</v>
      </c>
      <c r="C54" s="15" t="str">
        <f aca="false">Data!$E54</f>
        <v>Repository software</v>
      </c>
      <c r="D54" s="28" t="n">
        <f aca="false">IF(Verification!C54="",Calc!B54,Verification!C54)</f>
        <v>1</v>
      </c>
      <c r="E54" s="28" t="n">
        <f aca="false">IF(Verification!D54="",Calc!D54,Verification!D54)</f>
        <v>1</v>
      </c>
      <c r="F54" s="28" t="n">
        <f aca="false">IF(Verification!E54="",Calc!G54,Verification!E54)</f>
        <v>1</v>
      </c>
      <c r="G54" s="28" t="n">
        <f aca="false">IF(Verification!F54="",Calc!I54,Verification!F54)</f>
        <v>0.5</v>
      </c>
      <c r="H54" s="28" t="n">
        <f aca="false">IF(Verification!G54="",Calc!E54,Verification!G54)</f>
        <v>1</v>
      </c>
      <c r="I54" s="28" t="n">
        <f aca="false">IF(Verification!H54="",Calc!J54,Verification!H54)</f>
        <v>1</v>
      </c>
      <c r="J54" s="28" t="n">
        <f aca="false">IF(Verification!I54="",Calc!K54,Verification!I54)</f>
        <v>1</v>
      </c>
      <c r="K54" s="29" t="n">
        <f aca="false">IF(COUNT(D54:E54)=0,"NA",(IF(ISNUMBER(D54),D54*Parameters!$E$6,0)+IF(ISNUMBER(E54),E54*Parameters!$E$7,0))/(IF(ISNUMBER(D54),Parameters!$E$6,0)+IF(ISNUMBER(E54),Parameters!$E$7,0))*100)</f>
        <v>100</v>
      </c>
      <c r="L54" s="29" t="n">
        <f aca="false">IF(COUNT(F54:H54)=0,"NA",(IF(ISNUMBER(F54),F54*Parameters!$E$8,0)+IF(ISNUMBER(G54),G54*Parameters!$E$9,0)+IF(ISNUMBER(H54),H54*Parameters!$E$10,0))/(IF(ISNUMBER(F54),Parameters!$E$8,0)+IF(ISNUMBER(G54),Parameters!$E$9,0)+IF(ISNUMBER(H54),Parameters!$E$10,0))*100)</f>
        <v>82.8571428571429</v>
      </c>
      <c r="M54" s="29" t="n">
        <f aca="false">IF(COUNT(I54:J54)=0,"NA",(IF(ISNUMBER(I54),I54*Parameters!$E$11,0)+IF(ISNUMBER(J54),J54*Parameters!$E$12,0))/(IF(ISNUMBER(I54),Parameters!$E$11,0)+IF(ISNUMBER(J54),Parameters!$E$12,0))*100)</f>
        <v>100</v>
      </c>
      <c r="N54" s="30" t="n">
        <f aca="false">IF(ISNUMBER(D54),Parameters!$E$6,0)+IF(ISNUMBER(E54),Parameters!$E$7,0)+IF(ISNUMBER(F54),Parameters!$E$8,0)+IF(ISNUMBER(G54),Parameters!$E$9,0)+IF(ISNUMBER(H54),Parameters!$E$10,0)+IF(ISNUMBER(I54),Parameters!$E$11,0)+IF(ISNUMBER(J54),Parameters!$E$12,0)</f>
        <v>1</v>
      </c>
      <c r="O54" s="31" t="n">
        <f aca="false">IF(ISNUMBER(D54),D54*Parameters!$E$6,0)+IF(ISNUMBER(E54),E54*Parameters!$E$7,0)+IF(ISNUMBER(F54),F54*Parameters!$E$8,0)+IF(ISNUMBER(G54),G54*Parameters!$E$9,0)+IF(ISNUMBER(H54),H54*Parameters!$E$10,0)+IF(ISNUMBER(I54),I54*Parameters!$E$11,0)+IF(ISNUMBER(J54),J54*Parameters!$E$12,0)</f>
        <v>0.94</v>
      </c>
      <c r="P54" s="32" t="n">
        <f aca="false">COUNT(D54:J54)</f>
        <v>7</v>
      </c>
      <c r="Q54" s="32" t="n">
        <f aca="false">(COUNT(D54:E54)&gt;0)+(COUNT(F54:H54)&gt;0)+(COUNT(I54:J54)&gt;0)</f>
        <v>3</v>
      </c>
      <c r="R54" s="32" t="str">
        <f aca="false">IF(AND(N54&gt;=Parameters!$C$56,Q54&gt;=Parameters!$C$59),"Yes","No")</f>
        <v>Yes</v>
      </c>
      <c r="S54" s="33" t="n">
        <f aca="false">IF(R54="Yes",O54/N54*100,"NA")</f>
        <v>94</v>
      </c>
      <c r="T54" s="29" t="n">
        <f aca="false">IF(R54="Yes",O54/Parameters!$E$13*100,"NA")</f>
        <v>94</v>
      </c>
      <c r="U54" s="29" t="n">
        <f aca="false">IF(R54="Yes",(O54+(Parameters!$E$13-N54))/Parameters!$E$13*100,"NA")</f>
        <v>94</v>
      </c>
      <c r="V54" s="34" t="str">
        <f aca="false">IF(R54&lt;&gt;"Yes","Not scored",IF(N54&gt;=Parameters!$C$60,"Reportable","Provisional"))</f>
        <v>Reportable</v>
      </c>
      <c r="W54" s="32" t="n">
        <f aca="false">IF(ISNUMBER(S54),RANK(S54,$S$2:$S$113,0),"NA")</f>
        <v>13</v>
      </c>
      <c r="X54" s="32" t="str">
        <f aca="false">IF(N54&gt;=Parameters!$C$60,"High",IF(N54&gt;=Parameters!$C$56,"Medium","Low"))</f>
        <v>High</v>
      </c>
      <c r="Y54" s="32" t="n">
        <f aca="false">Calc!T54</f>
        <v>0</v>
      </c>
      <c r="Z54" s="35" t="n">
        <f aca="false">IF(V54="Reportable",S54-ROW()*0.000000001,"")</f>
        <v>93.999999946</v>
      </c>
      <c r="AA54" s="35" t="n">
        <f aca="false">IF(ISNUMBER(Z54),RANK(Z54,$Z$2:$Z$113,0),"NA")</f>
        <v>8</v>
      </c>
    </row>
    <row r="55" customFormat="false" ht="15" hidden="false" customHeight="true" outlineLevel="0" collapsed="false">
      <c r="A55" s="15" t="str">
        <f aca="false">Data!$A55</f>
        <v>IIIF</v>
      </c>
      <c r="B55" s="15" t="str">
        <f aca="false">Data!$B55</f>
        <v>IIIF Consortium</v>
      </c>
      <c r="C55" s="15" t="str">
        <f aca="false">Data!$E55</f>
        <v>Standard, specification or protocol</v>
      </c>
      <c r="D55" s="28" t="n">
        <f aca="false">IF(Verification!C55="",Calc!B55,Verification!C55)</f>
        <v>1</v>
      </c>
      <c r="E55" s="28" t="n">
        <f aca="false">IF(Verification!D55="",Calc!D55,Verification!D55)</f>
        <v>0.625</v>
      </c>
      <c r="F55" s="28" t="n">
        <f aca="false">IF(Verification!E55="",Calc!G55,Verification!E55)</f>
        <v>0.833333333333333</v>
      </c>
      <c r="G55" s="28" t="n">
        <f aca="false">IF(Verification!F55="",Calc!I55,Verification!F55)</f>
        <v>0.5</v>
      </c>
      <c r="H55" s="28" t="n">
        <f aca="false">IF(Verification!G55="",Calc!E55,Verification!G55)</f>
        <v>1</v>
      </c>
      <c r="I55" s="28" t="n">
        <f aca="false">IF(Verification!H55="",Calc!J55,Verification!H55)</f>
        <v>1</v>
      </c>
      <c r="J55" s="28" t="n">
        <f aca="false">IF(Verification!I55="",Calc!K55,Verification!I55)</f>
        <v>1</v>
      </c>
      <c r="K55" s="29" t="n">
        <f aca="false">IF(COUNT(D55:E55)=0,"NA",(IF(ISNUMBER(D55),D55*Parameters!$E$6,0)+IF(ISNUMBER(E55),E55*Parameters!$E$7,0))/(IF(ISNUMBER(D55),Parameters!$E$6,0)+IF(ISNUMBER(E55),Parameters!$E$7,0))*100)</f>
        <v>72.5</v>
      </c>
      <c r="L55" s="29" t="n">
        <f aca="false">IF(COUNT(F55:H55)=0,"NA",(IF(ISNUMBER(F55),F55*Parameters!$E$8,0)+IF(ISNUMBER(G55),G55*Parameters!$E$9,0)+IF(ISNUMBER(H55),H55*Parameters!$E$10,0))/(IF(ISNUMBER(F55),Parameters!$E$8,0)+IF(ISNUMBER(G55),Parameters!$E$9,0)+IF(ISNUMBER(H55),Parameters!$E$10,0))*100)</f>
        <v>74.2857142857143</v>
      </c>
      <c r="M55" s="29" t="n">
        <f aca="false">IF(COUNT(I55:J55)=0,"NA",(IF(ISNUMBER(I55),I55*Parameters!$E$11,0)+IF(ISNUMBER(J55),J55*Parameters!$E$12,0))/(IF(ISNUMBER(I55),Parameters!$E$11,0)+IF(ISNUMBER(J55),Parameters!$E$12,0))*100)</f>
        <v>100</v>
      </c>
      <c r="N55" s="30" t="n">
        <f aca="false">IF(ISNUMBER(D55),Parameters!$E$6,0)+IF(ISNUMBER(E55),Parameters!$E$7,0)+IF(ISNUMBER(F55),Parameters!$E$8,0)+IF(ISNUMBER(G55),Parameters!$E$9,0)+IF(ISNUMBER(H55),Parameters!$E$10,0)+IF(ISNUMBER(I55),Parameters!$E$11,0)+IF(ISNUMBER(J55),Parameters!$E$12,0)</f>
        <v>1</v>
      </c>
      <c r="O55" s="31" t="n">
        <f aca="false">IF(ISNUMBER(D55),D55*Parameters!$E$6,0)+IF(ISNUMBER(E55),E55*Parameters!$E$7,0)+IF(ISNUMBER(F55),F55*Parameters!$E$8,0)+IF(ISNUMBER(G55),G55*Parameters!$E$9,0)+IF(ISNUMBER(H55),H55*Parameters!$E$10,0)+IF(ISNUMBER(I55),I55*Parameters!$E$11,0)+IF(ISNUMBER(J55),J55*Parameters!$E$12,0)</f>
        <v>0.8275</v>
      </c>
      <c r="P55" s="32" t="n">
        <f aca="false">COUNT(D55:J55)</f>
        <v>7</v>
      </c>
      <c r="Q55" s="32" t="n">
        <f aca="false">(COUNT(D55:E55)&gt;0)+(COUNT(F55:H55)&gt;0)+(COUNT(I55:J55)&gt;0)</f>
        <v>3</v>
      </c>
      <c r="R55" s="32" t="str">
        <f aca="false">IF(AND(N55&gt;=Parameters!$C$56,Q55&gt;=Parameters!$C$59),"Yes","No")</f>
        <v>Yes</v>
      </c>
      <c r="S55" s="33" t="n">
        <f aca="false">IF(R55="Yes",O55/N55*100,"NA")</f>
        <v>82.75</v>
      </c>
      <c r="T55" s="29" t="n">
        <f aca="false">IF(R55="Yes",O55/Parameters!$E$13*100,"NA")</f>
        <v>82.75</v>
      </c>
      <c r="U55" s="29" t="n">
        <f aca="false">IF(R55="Yes",(O55+(Parameters!$E$13-N55))/Parameters!$E$13*100,"NA")</f>
        <v>82.75</v>
      </c>
      <c r="V55" s="34" t="str">
        <f aca="false">IF(R55&lt;&gt;"Yes","Not scored",IF(N55&gt;=Parameters!$C$60,"Reportable","Provisional"))</f>
        <v>Reportable</v>
      </c>
      <c r="W55" s="32" t="n">
        <f aca="false">IF(ISNUMBER(S55),RANK(S55,$S$2:$S$113,0),"NA")</f>
        <v>35</v>
      </c>
      <c r="X55" s="32" t="str">
        <f aca="false">IF(N55&gt;=Parameters!$C$60,"High",IF(N55&gt;=Parameters!$C$56,"Medium","Low"))</f>
        <v>High</v>
      </c>
      <c r="Y55" s="32" t="n">
        <f aca="false">Calc!T55</f>
        <v>0</v>
      </c>
      <c r="Z55" s="35" t="n">
        <f aca="false">IF(V55="Reportable",S55-ROW()*0.000000001,"")</f>
        <v>82.749999945</v>
      </c>
      <c r="AA55" s="35" t="n">
        <f aca="false">IF(ISNUMBER(Z55),RANK(Z55,$Z$2:$Z$113,0),"NA")</f>
        <v>24</v>
      </c>
    </row>
    <row r="56" customFormat="false" ht="15" hidden="false" customHeight="true" outlineLevel="0" collapsed="false">
      <c r="A56" s="15" t="str">
        <f aca="false">Data!$A56</f>
        <v>ImpactU</v>
      </c>
      <c r="B56" s="15" t="str">
        <f aca="false">Data!$B56</f>
        <v>Universidad de Antioquia and other Colombian universities</v>
      </c>
      <c r="C56" s="15" t="str">
        <f aca="false">Data!$E56</f>
        <v>Open scholarly dataset | Research profiling system</v>
      </c>
      <c r="D56" s="28" t="str">
        <f aca="false">IF(Verification!C56="",Calc!B56,Verification!C56)</f>
        <v>NA</v>
      </c>
      <c r="E56" s="28" t="str">
        <f aca="false">IF(Verification!D56="",Calc!D56,Verification!D56)</f>
        <v>NA</v>
      </c>
      <c r="F56" s="28" t="str">
        <f aca="false">IF(Verification!E56="",Calc!G56,Verification!E56)</f>
        <v>NA</v>
      </c>
      <c r="G56" s="28" t="str">
        <f aca="false">IF(Verification!F56="",Calc!I56,Verification!F56)</f>
        <v>NA</v>
      </c>
      <c r="H56" s="28" t="n">
        <f aca="false">IF(Verification!G56="",Calc!E56,Verification!G56)</f>
        <v>1</v>
      </c>
      <c r="I56" s="28" t="str">
        <f aca="false">IF(Verification!H56="",Calc!J56,Verification!H56)</f>
        <v>NA</v>
      </c>
      <c r="J56" s="28" t="str">
        <f aca="false">IF(Verification!I56="",Calc!K56,Verification!I56)</f>
        <v>NA</v>
      </c>
      <c r="K56" s="29" t="str">
        <f aca="false">IF(COUNT(D56:E56)=0,"NA",(IF(ISNUMBER(D56),D56*Parameters!$E$6,0)+IF(ISNUMBER(E56),E56*Parameters!$E$7,0))/(IF(ISNUMBER(D56),Parameters!$E$6,0)+IF(ISNUMBER(E56),Parameters!$E$7,0))*100)</f>
        <v>NA</v>
      </c>
      <c r="L56" s="29" t="n">
        <f aca="false">IF(COUNT(F56:H56)=0,"NA",(IF(ISNUMBER(F56),F56*Parameters!$E$8,0)+IF(ISNUMBER(G56),G56*Parameters!$E$9,0)+IF(ISNUMBER(H56),H56*Parameters!$E$10,0))/(IF(ISNUMBER(F56),Parameters!$E$8,0)+IF(ISNUMBER(G56),Parameters!$E$9,0)+IF(ISNUMBER(H56),Parameters!$E$10,0))*100)</f>
        <v>100</v>
      </c>
      <c r="M56" s="29" t="str">
        <f aca="false">IF(COUNT(I56:J56)=0,"NA",(IF(ISNUMBER(I56),I56*Parameters!$E$11,0)+IF(ISNUMBER(J56),J56*Parameters!$E$12,0))/(IF(ISNUMBER(I56),Parameters!$E$11,0)+IF(ISNUMBER(J56),Parameters!$E$12,0))*100)</f>
        <v>NA</v>
      </c>
      <c r="N56" s="30" t="n">
        <f aca="false">IF(ISNUMBER(D56),Parameters!$E$6,0)+IF(ISNUMBER(E56),Parameters!$E$7,0)+IF(ISNUMBER(F56),Parameters!$E$8,0)+IF(ISNUMBER(G56),Parameters!$E$9,0)+IF(ISNUMBER(H56),Parameters!$E$10,0)+IF(ISNUMBER(I56),Parameters!$E$11,0)+IF(ISNUMBER(J56),Parameters!$E$12,0)</f>
        <v>0.05</v>
      </c>
      <c r="O56" s="31" t="n">
        <f aca="false">IF(ISNUMBER(D56),D56*Parameters!$E$6,0)+IF(ISNUMBER(E56),E56*Parameters!$E$7,0)+IF(ISNUMBER(F56),F56*Parameters!$E$8,0)+IF(ISNUMBER(G56),G56*Parameters!$E$9,0)+IF(ISNUMBER(H56),H56*Parameters!$E$10,0)+IF(ISNUMBER(I56),I56*Parameters!$E$11,0)+IF(ISNUMBER(J56),J56*Parameters!$E$12,0)</f>
        <v>0.05</v>
      </c>
      <c r="P56" s="32" t="n">
        <f aca="false">COUNT(D56:J56)</f>
        <v>1</v>
      </c>
      <c r="Q56" s="32" t="n">
        <f aca="false">(COUNT(D56:E56)&gt;0)+(COUNT(F56:H56)&gt;0)+(COUNT(I56:J56)&gt;0)</f>
        <v>1</v>
      </c>
      <c r="R56" s="32" t="str">
        <f aca="false">IF(AND(N56&gt;=Parameters!$C$56,Q56&gt;=Parameters!$C$59),"Yes","No")</f>
        <v>No</v>
      </c>
      <c r="S56" s="33" t="str">
        <f aca="false">IF(R56="Yes",O56/N56*100,"NA")</f>
        <v>NA</v>
      </c>
      <c r="T56" s="29" t="str">
        <f aca="false">IF(R56="Yes",O56/Parameters!$E$13*100,"NA")</f>
        <v>NA</v>
      </c>
      <c r="U56" s="29" t="str">
        <f aca="false">IF(R56="Yes",(O56+(Parameters!$E$13-N56))/Parameters!$E$13*100,"NA")</f>
        <v>NA</v>
      </c>
      <c r="V56" s="34" t="str">
        <f aca="false">IF(R56&lt;&gt;"Yes","Not scored",IF(N56&gt;=Parameters!$C$60,"Reportable","Provisional"))</f>
        <v>Not scored</v>
      </c>
      <c r="W56" s="32" t="str">
        <f aca="false">IF(ISNUMBER(S56),RANK(S56,$S$2:$S$113,0),"NA")</f>
        <v>NA</v>
      </c>
      <c r="X56" s="32" t="str">
        <f aca="false">IF(N56&gt;=Parameters!$C$60,"High",IF(N56&gt;=Parameters!$C$56,"Medium","Low"))</f>
        <v>Low</v>
      </c>
      <c r="Y56" s="32" t="n">
        <f aca="false">Calc!T56</f>
        <v>0</v>
      </c>
      <c r="Z56" s="35" t="str">
        <f aca="false">IF(V56="Reportable",S56-ROW()*0.000000001,"")</f>
        <v/>
      </c>
      <c r="AA56" s="35" t="str">
        <f aca="false">IF(ISNUMBER(Z56),RANK(Z56,$Z$2:$Z$113,0),"NA")</f>
        <v>NA</v>
      </c>
    </row>
    <row r="57" customFormat="false" ht="15" hidden="false" customHeight="true" outlineLevel="0" collapsed="false">
      <c r="A57" s="15" t="str">
        <f aca="false">Data!$A57</f>
        <v>International Generic Sample Number (IGSN)</v>
      </c>
      <c r="B57" s="15" t="str">
        <f aca="false">Data!$B57</f>
        <v>International Generic Sample Number Organization e.V.</v>
      </c>
      <c r="C57" s="15" t="str">
        <f aca="false">Data!$E57</f>
        <v>Persistent identifier service</v>
      </c>
      <c r="D57" s="28" t="n">
        <f aca="false">IF(Verification!C57="",Calc!B57,Verification!C57)</f>
        <v>1</v>
      </c>
      <c r="E57" s="28" t="str">
        <f aca="false">IF(Verification!D57="",Calc!D57,Verification!D57)</f>
        <v>NA</v>
      </c>
      <c r="F57" s="28" t="str">
        <f aca="false">IF(Verification!E57="",Calc!G57,Verification!E57)</f>
        <v>NA</v>
      </c>
      <c r="G57" s="28" t="str">
        <f aca="false">IF(Verification!F57="",Calc!I57,Verification!F57)</f>
        <v>NA</v>
      </c>
      <c r="H57" s="28" t="n">
        <f aca="false">IF(Verification!G57="",Calc!E57,Verification!G57)</f>
        <v>1</v>
      </c>
      <c r="I57" s="28" t="n">
        <f aca="false">IF(Verification!H57="",Calc!J57,Verification!H57)</f>
        <v>0.33</v>
      </c>
      <c r="J57" s="28" t="str">
        <f aca="false">IF(Verification!I57="",Calc!K57,Verification!I57)</f>
        <v>NA</v>
      </c>
      <c r="K57" s="29" t="n">
        <f aca="false">IF(COUNT(D57:E57)=0,"NA",(IF(ISNUMBER(D57),D57*Parameters!$E$6,0)+IF(ISNUMBER(E57),E57*Parameters!$E$7,0))/(IF(ISNUMBER(D57),Parameters!$E$6,0)+IF(ISNUMBER(E57),Parameters!$E$7,0))*100)</f>
        <v>100</v>
      </c>
      <c r="L57" s="29" t="n">
        <f aca="false">IF(COUNT(F57:H57)=0,"NA",(IF(ISNUMBER(F57),F57*Parameters!$E$8,0)+IF(ISNUMBER(G57),G57*Parameters!$E$9,0)+IF(ISNUMBER(H57),H57*Parameters!$E$10,0))/(IF(ISNUMBER(F57),Parameters!$E$8,0)+IF(ISNUMBER(G57),Parameters!$E$9,0)+IF(ISNUMBER(H57),Parameters!$E$10,0))*100)</f>
        <v>100</v>
      </c>
      <c r="M57" s="29" t="n">
        <f aca="false">IF(COUNT(I57:J57)=0,"NA",(IF(ISNUMBER(I57),I57*Parameters!$E$11,0)+IF(ISNUMBER(J57),J57*Parameters!$E$12,0))/(IF(ISNUMBER(I57),Parameters!$E$11,0)+IF(ISNUMBER(J57),Parameters!$E$12,0))*100)</f>
        <v>33</v>
      </c>
      <c r="N57" s="30" t="n">
        <f aca="false">IF(ISNUMBER(D57),Parameters!$E$6,0)+IF(ISNUMBER(E57),Parameters!$E$7,0)+IF(ISNUMBER(F57),Parameters!$E$8,0)+IF(ISNUMBER(G57),Parameters!$E$9,0)+IF(ISNUMBER(H57),Parameters!$E$10,0)+IF(ISNUMBER(I57),Parameters!$E$11,0)+IF(ISNUMBER(J57),Parameters!$E$12,0)</f>
        <v>0.28</v>
      </c>
      <c r="O57" s="31" t="n">
        <f aca="false">IF(ISNUMBER(D57),D57*Parameters!$E$6,0)+IF(ISNUMBER(E57),E57*Parameters!$E$7,0)+IF(ISNUMBER(F57),F57*Parameters!$E$8,0)+IF(ISNUMBER(G57),G57*Parameters!$E$9,0)+IF(ISNUMBER(H57),H57*Parameters!$E$10,0)+IF(ISNUMBER(I57),I57*Parameters!$E$11,0)+IF(ISNUMBER(J57),J57*Parameters!$E$12,0)</f>
        <v>0.1795</v>
      </c>
      <c r="P57" s="32" t="n">
        <f aca="false">COUNT(D57:J57)</f>
        <v>3</v>
      </c>
      <c r="Q57" s="32" t="n">
        <f aca="false">(COUNT(D57:E57)&gt;0)+(COUNT(F57:H57)&gt;0)+(COUNT(I57:J57)&gt;0)</f>
        <v>3</v>
      </c>
      <c r="R57" s="32" t="str">
        <f aca="false">IF(AND(N57&gt;=Parameters!$C$56,Q57&gt;=Parameters!$C$59),"Yes","No")</f>
        <v>No</v>
      </c>
      <c r="S57" s="33" t="str">
        <f aca="false">IF(R57="Yes",O57/N57*100,"NA")</f>
        <v>NA</v>
      </c>
      <c r="T57" s="29" t="str">
        <f aca="false">IF(R57="Yes",O57/Parameters!$E$13*100,"NA")</f>
        <v>NA</v>
      </c>
      <c r="U57" s="29" t="str">
        <f aca="false">IF(R57="Yes",(O57+(Parameters!$E$13-N57))/Parameters!$E$13*100,"NA")</f>
        <v>NA</v>
      </c>
      <c r="V57" s="34" t="str">
        <f aca="false">IF(R57&lt;&gt;"Yes","Not scored",IF(N57&gt;=Parameters!$C$60,"Reportable","Provisional"))</f>
        <v>Not scored</v>
      </c>
      <c r="W57" s="32" t="str">
        <f aca="false">IF(ISNUMBER(S57),RANK(S57,$S$2:$S$113,0),"NA")</f>
        <v>NA</v>
      </c>
      <c r="X57" s="32" t="str">
        <f aca="false">IF(N57&gt;=Parameters!$C$60,"High",IF(N57&gt;=Parameters!$C$56,"Medium","Low"))</f>
        <v>Low</v>
      </c>
      <c r="Y57" s="32" t="n">
        <f aca="false">Calc!T57</f>
        <v>2</v>
      </c>
      <c r="Z57" s="35" t="str">
        <f aca="false">IF(V57="Reportable",S57-ROW()*0.000000001,"")</f>
        <v/>
      </c>
      <c r="AA57" s="35" t="str">
        <f aca="false">IF(ISNUMBER(Z57),RANK(Z57,$Z$2:$Z$113,0),"NA")</f>
        <v>NA</v>
      </c>
    </row>
    <row r="58" customFormat="false" ht="15" hidden="false" customHeight="true" outlineLevel="0" collapsed="false">
      <c r="A58" s="15" t="str">
        <f aca="false">Data!$A58</f>
        <v>InvenioRDM</v>
      </c>
      <c r="B58" s="15" t="str">
        <f aca="false">Data!$B58</f>
        <v>CERN</v>
      </c>
      <c r="C58" s="15" t="str">
        <f aca="false">Data!$E58</f>
        <v>Repository software</v>
      </c>
      <c r="D58" s="28" t="n">
        <f aca="false">IF(Verification!C58="",Calc!B58,Verification!C58)</f>
        <v>1</v>
      </c>
      <c r="E58" s="28" t="n">
        <f aca="false">IF(Verification!D58="",Calc!D58,Verification!D58)</f>
        <v>0.125</v>
      </c>
      <c r="F58" s="28" t="n">
        <f aca="false">IF(Verification!E58="",Calc!G58,Verification!E58)</f>
        <v>0.833333333333333</v>
      </c>
      <c r="G58" s="28" t="n">
        <f aca="false">IF(Verification!F58="",Calc!I58,Verification!F58)</f>
        <v>0.5</v>
      </c>
      <c r="H58" s="28" t="n">
        <f aca="false">IF(Verification!G58="",Calc!E58,Verification!G58)</f>
        <v>1</v>
      </c>
      <c r="I58" s="28" t="n">
        <f aca="false">IF(Verification!H58="",Calc!J58,Verification!H58)</f>
        <v>1</v>
      </c>
      <c r="J58" s="28" t="n">
        <f aca="false">IF(Verification!I58="",Calc!K58,Verification!I58)</f>
        <v>1</v>
      </c>
      <c r="K58" s="29" t="n">
        <f aca="false">IF(COUNT(D58:E58)=0,"NA",(IF(ISNUMBER(D58),D58*Parameters!$E$6,0)+IF(ISNUMBER(E58),E58*Parameters!$E$7,0))/(IF(ISNUMBER(D58),Parameters!$E$6,0)+IF(ISNUMBER(E58),Parameters!$E$7,0))*100)</f>
        <v>35.8333333333333</v>
      </c>
      <c r="L58" s="29" t="n">
        <f aca="false">IF(COUNT(F58:H58)=0,"NA",(IF(ISNUMBER(F58),F58*Parameters!$E$8,0)+IF(ISNUMBER(G58),G58*Parameters!$E$9,0)+IF(ISNUMBER(H58),H58*Parameters!$E$10,0))/(IF(ISNUMBER(F58),Parameters!$E$8,0)+IF(ISNUMBER(G58),Parameters!$E$9,0)+IF(ISNUMBER(H58),Parameters!$E$10,0))*100)</f>
        <v>74.2857142857143</v>
      </c>
      <c r="M58" s="29" t="n">
        <f aca="false">IF(COUNT(I58:J58)=0,"NA",(IF(ISNUMBER(I58),I58*Parameters!$E$11,0)+IF(ISNUMBER(J58),J58*Parameters!$E$12,0))/(IF(ISNUMBER(I58),Parameters!$E$11,0)+IF(ISNUMBER(J58),Parameters!$E$12,0))*100)</f>
        <v>100</v>
      </c>
      <c r="N58" s="30" t="n">
        <f aca="false">IF(ISNUMBER(D58),Parameters!$E$6,0)+IF(ISNUMBER(E58),Parameters!$E$7,0)+IF(ISNUMBER(F58),Parameters!$E$8,0)+IF(ISNUMBER(G58),Parameters!$E$9,0)+IF(ISNUMBER(H58),Parameters!$E$10,0)+IF(ISNUMBER(I58),Parameters!$E$11,0)+IF(ISNUMBER(J58),Parameters!$E$12,0)</f>
        <v>1</v>
      </c>
      <c r="O58" s="31" t="n">
        <f aca="false">IF(ISNUMBER(D58),D58*Parameters!$E$6,0)+IF(ISNUMBER(E58),E58*Parameters!$E$7,0)+IF(ISNUMBER(F58),F58*Parameters!$E$8,0)+IF(ISNUMBER(G58),G58*Parameters!$E$9,0)+IF(ISNUMBER(H58),H58*Parameters!$E$10,0)+IF(ISNUMBER(I58),I58*Parameters!$E$11,0)+IF(ISNUMBER(J58),J58*Parameters!$E$12,0)</f>
        <v>0.7175</v>
      </c>
      <c r="P58" s="32" t="n">
        <f aca="false">COUNT(D58:J58)</f>
        <v>7</v>
      </c>
      <c r="Q58" s="32" t="n">
        <f aca="false">(COUNT(D58:E58)&gt;0)+(COUNT(F58:H58)&gt;0)+(COUNT(I58:J58)&gt;0)</f>
        <v>3</v>
      </c>
      <c r="R58" s="32" t="str">
        <f aca="false">IF(AND(N58&gt;=Parameters!$C$56,Q58&gt;=Parameters!$C$59),"Yes","No")</f>
        <v>Yes</v>
      </c>
      <c r="S58" s="33" t="n">
        <f aca="false">IF(R58="Yes",O58/N58*100,"NA")</f>
        <v>71.75</v>
      </c>
      <c r="T58" s="29" t="n">
        <f aca="false">IF(R58="Yes",O58/Parameters!$E$13*100,"NA")</f>
        <v>71.75</v>
      </c>
      <c r="U58" s="29" t="n">
        <f aca="false">IF(R58="Yes",(O58+(Parameters!$E$13-N58))/Parameters!$E$13*100,"NA")</f>
        <v>71.75</v>
      </c>
      <c r="V58" s="34" t="str">
        <f aca="false">IF(R58&lt;&gt;"Yes","Not scored",IF(N58&gt;=Parameters!$C$60,"Reportable","Provisional"))</f>
        <v>Reportable</v>
      </c>
      <c r="W58" s="32" t="n">
        <f aca="false">IF(ISNUMBER(S58),RANK(S58,$S$2:$S$113,0),"NA")</f>
        <v>56</v>
      </c>
      <c r="X58" s="32" t="str">
        <f aca="false">IF(N58&gt;=Parameters!$C$60,"High",IF(N58&gt;=Parameters!$C$56,"Medium","Low"))</f>
        <v>High</v>
      </c>
      <c r="Y58" s="32" t="n">
        <f aca="false">Calc!T58</f>
        <v>0</v>
      </c>
      <c r="Z58" s="35" t="n">
        <f aca="false">IF(V58="Reportable",S58-ROW()*0.000000001,"")</f>
        <v>71.749999942</v>
      </c>
      <c r="AA58" s="35" t="n">
        <f aca="false">IF(ISNUMBER(Z58),RANK(Z58,$Z$2:$Z$113,0),"NA")</f>
        <v>33</v>
      </c>
    </row>
    <row r="59" customFormat="false" ht="15" hidden="false" customHeight="true" outlineLevel="0" collapsed="false">
      <c r="A59" s="15" t="str">
        <f aca="false">Data!$A59</f>
        <v>iRODS</v>
      </c>
      <c r="B59" s="15" t="str">
        <f aca="false">Data!$B59</f>
        <v>Renaissance Computing Institute (RENCI)</v>
      </c>
      <c r="C59" s="15" t="str">
        <f aca="false">Data!$E59</f>
        <v>Data management planning tool or service | Digital preservation system | Discovery system</v>
      </c>
      <c r="D59" s="28" t="n">
        <f aca="false">IF(Verification!C59="",Calc!B59,Verification!C59)</f>
        <v>1</v>
      </c>
      <c r="E59" s="28" t="n">
        <f aca="false">IF(Verification!D59="",Calc!D59,Verification!D59)</f>
        <v>1</v>
      </c>
      <c r="F59" s="28" t="n">
        <f aca="false">IF(Verification!E59="",Calc!G59,Verification!E59)</f>
        <v>1</v>
      </c>
      <c r="G59" s="28" t="n">
        <f aca="false">IF(Verification!F59="",Calc!I59,Verification!F59)</f>
        <v>1</v>
      </c>
      <c r="H59" s="28" t="n">
        <f aca="false">IF(Verification!G59="",Calc!E59,Verification!G59)</f>
        <v>1</v>
      </c>
      <c r="I59" s="28" t="n">
        <f aca="false">IF(Verification!H59="",Calc!J59,Verification!H59)</f>
        <v>1</v>
      </c>
      <c r="J59" s="28" t="n">
        <f aca="false">IF(Verification!I59="",Calc!K59,Verification!I59)</f>
        <v>0.5</v>
      </c>
      <c r="K59" s="29" t="n">
        <f aca="false">IF(COUNT(D59:E59)=0,"NA",(IF(ISNUMBER(D59),D59*Parameters!$E$6,0)+IF(ISNUMBER(E59),E59*Parameters!$E$7,0))/(IF(ISNUMBER(D59),Parameters!$E$6,0)+IF(ISNUMBER(E59),Parameters!$E$7,0))*100)</f>
        <v>100</v>
      </c>
      <c r="L59" s="29" t="n">
        <f aca="false">IF(COUNT(F59:H59)=0,"NA",(IF(ISNUMBER(F59),F59*Parameters!$E$8,0)+IF(ISNUMBER(G59),G59*Parameters!$E$9,0)+IF(ISNUMBER(H59),H59*Parameters!$E$10,0))/(IF(ISNUMBER(F59),Parameters!$E$8,0)+IF(ISNUMBER(G59),Parameters!$E$9,0)+IF(ISNUMBER(H59),Parameters!$E$10,0))*100)</f>
        <v>100</v>
      </c>
      <c r="M59" s="29" t="n">
        <f aca="false">IF(COUNT(I59:J59)=0,"NA",(IF(ISNUMBER(I59),I59*Parameters!$E$11,0)+IF(ISNUMBER(J59),J59*Parameters!$E$12,0))/(IF(ISNUMBER(I59),Parameters!$E$11,0)+IF(ISNUMBER(J59),Parameters!$E$12,0))*100)</f>
        <v>71.4285714285714</v>
      </c>
      <c r="N59" s="30" t="n">
        <f aca="false">IF(ISNUMBER(D59),Parameters!$E$6,0)+IF(ISNUMBER(E59),Parameters!$E$7,0)+IF(ISNUMBER(F59),Parameters!$E$8,0)+IF(ISNUMBER(G59),Parameters!$E$9,0)+IF(ISNUMBER(H59),Parameters!$E$10,0)+IF(ISNUMBER(I59),Parameters!$E$11,0)+IF(ISNUMBER(J59),Parameters!$E$12,0)</f>
        <v>1</v>
      </c>
      <c r="O59" s="31" t="n">
        <f aca="false">IF(ISNUMBER(D59),D59*Parameters!$E$6,0)+IF(ISNUMBER(E59),E59*Parameters!$E$7,0)+IF(ISNUMBER(F59),F59*Parameters!$E$8,0)+IF(ISNUMBER(G59),G59*Parameters!$E$9,0)+IF(ISNUMBER(H59),H59*Parameters!$E$10,0)+IF(ISNUMBER(I59),I59*Parameters!$E$11,0)+IF(ISNUMBER(J59),J59*Parameters!$E$12,0)</f>
        <v>0.9</v>
      </c>
      <c r="P59" s="32" t="n">
        <f aca="false">COUNT(D59:J59)</f>
        <v>7</v>
      </c>
      <c r="Q59" s="32" t="n">
        <f aca="false">(COUNT(D59:E59)&gt;0)+(COUNT(F59:H59)&gt;0)+(COUNT(I59:J59)&gt;0)</f>
        <v>3</v>
      </c>
      <c r="R59" s="32" t="str">
        <f aca="false">IF(AND(N59&gt;=Parameters!$C$56,Q59&gt;=Parameters!$C$59),"Yes","No")</f>
        <v>Yes</v>
      </c>
      <c r="S59" s="33" t="n">
        <f aca="false">IF(R59="Yes",O59/N59*100,"NA")</f>
        <v>90</v>
      </c>
      <c r="T59" s="29" t="n">
        <f aca="false">IF(R59="Yes",O59/Parameters!$E$13*100,"NA")</f>
        <v>90</v>
      </c>
      <c r="U59" s="29" t="n">
        <f aca="false">IF(R59="Yes",(O59+(Parameters!$E$13-N59))/Parameters!$E$13*100,"NA")</f>
        <v>90</v>
      </c>
      <c r="V59" s="34" t="str">
        <f aca="false">IF(R59&lt;&gt;"Yes","Not scored",IF(N59&gt;=Parameters!$C$60,"Reportable","Provisional"))</f>
        <v>Reportable</v>
      </c>
      <c r="W59" s="32" t="n">
        <f aca="false">IF(ISNUMBER(S59),RANK(S59,$S$2:$S$113,0),"NA")</f>
        <v>19</v>
      </c>
      <c r="X59" s="32" t="str">
        <f aca="false">IF(N59&gt;=Parameters!$C$60,"High",IF(N59&gt;=Parameters!$C$56,"Medium","Low"))</f>
        <v>High</v>
      </c>
      <c r="Y59" s="32" t="n">
        <f aca="false">Calc!T59</f>
        <v>0</v>
      </c>
      <c r="Z59" s="35" t="n">
        <f aca="false">IF(V59="Reportable",S59-ROW()*0.000000001,"")</f>
        <v>89.999999941</v>
      </c>
      <c r="AA59" s="35" t="n">
        <f aca="false">IF(ISNUMBER(Z59),RANK(Z59,$Z$2:$Z$113,0),"NA")</f>
        <v>10</v>
      </c>
    </row>
    <row r="60" customFormat="false" ht="15" hidden="false" customHeight="true" outlineLevel="0" collapsed="false">
      <c r="A60" s="15" t="str">
        <f aca="false">Data!$A60</f>
        <v>Islandora</v>
      </c>
      <c r="B60" s="15" t="str">
        <f aca="false">Data!$B60</f>
        <v>Islandora Foundation</v>
      </c>
      <c r="C60" s="15" t="str">
        <f aca="false">Data!$E60</f>
        <v>Authoring tool | Digital asset management system</v>
      </c>
      <c r="D60" s="28" t="n">
        <f aca="false">IF(Verification!C60="",Calc!B60,Verification!C60)</f>
        <v>1</v>
      </c>
      <c r="E60" s="28" t="n">
        <f aca="false">IF(Verification!D60="",Calc!D60,Verification!D60)</f>
        <v>1</v>
      </c>
      <c r="F60" s="28" t="n">
        <f aca="false">IF(Verification!E60="",Calc!G60,Verification!E60)</f>
        <v>1</v>
      </c>
      <c r="G60" s="28" t="n">
        <f aca="false">IF(Verification!F60="",Calc!I60,Verification!F60)</f>
        <v>0.5</v>
      </c>
      <c r="H60" s="28" t="n">
        <f aca="false">IF(Verification!G60="",Calc!E60,Verification!G60)</f>
        <v>1</v>
      </c>
      <c r="I60" s="28" t="n">
        <f aca="false">IF(Verification!H60="",Calc!J60,Verification!H60)</f>
        <v>1</v>
      </c>
      <c r="J60" s="28" t="str">
        <f aca="false">IF(Verification!I60="",Calc!K60,Verification!I60)</f>
        <v>NA</v>
      </c>
      <c r="K60" s="29" t="n">
        <f aca="false">IF(COUNT(D60:E60)=0,"NA",(IF(ISNUMBER(D60),D60*Parameters!$E$6,0)+IF(ISNUMBER(E60),E60*Parameters!$E$7,0))/(IF(ISNUMBER(D60),Parameters!$E$6,0)+IF(ISNUMBER(E60),Parameters!$E$7,0))*100)</f>
        <v>100</v>
      </c>
      <c r="L60" s="29" t="n">
        <f aca="false">IF(COUNT(F60:H60)=0,"NA",(IF(ISNUMBER(F60),F60*Parameters!$E$8,0)+IF(ISNUMBER(G60),G60*Parameters!$E$9,0)+IF(ISNUMBER(H60),H60*Parameters!$E$10,0))/(IF(ISNUMBER(F60),Parameters!$E$8,0)+IF(ISNUMBER(G60),Parameters!$E$9,0)+IF(ISNUMBER(H60),Parameters!$E$10,0))*100)</f>
        <v>82.8571428571429</v>
      </c>
      <c r="M60" s="29" t="n">
        <f aca="false">IF(COUNT(I60:J60)=0,"NA",(IF(ISNUMBER(I60),I60*Parameters!$E$11,0)+IF(ISNUMBER(J60),J60*Parameters!$E$12,0))/(IF(ISNUMBER(I60),Parameters!$E$11,0)+IF(ISNUMBER(J60),Parameters!$E$12,0))*100)</f>
        <v>100</v>
      </c>
      <c r="N60" s="30" t="n">
        <f aca="false">IF(ISNUMBER(D60),Parameters!$E$6,0)+IF(ISNUMBER(E60),Parameters!$E$7,0)+IF(ISNUMBER(F60),Parameters!$E$8,0)+IF(ISNUMBER(G60),Parameters!$E$9,0)+IF(ISNUMBER(H60),Parameters!$E$10,0)+IF(ISNUMBER(I60),Parameters!$E$11,0)+IF(ISNUMBER(J60),Parameters!$E$12,0)</f>
        <v>0.8</v>
      </c>
      <c r="O60" s="31" t="n">
        <f aca="false">IF(ISNUMBER(D60),D60*Parameters!$E$6,0)+IF(ISNUMBER(E60),E60*Parameters!$E$7,0)+IF(ISNUMBER(F60),F60*Parameters!$E$8,0)+IF(ISNUMBER(G60),G60*Parameters!$E$9,0)+IF(ISNUMBER(H60),H60*Parameters!$E$10,0)+IF(ISNUMBER(I60),I60*Parameters!$E$11,0)+IF(ISNUMBER(J60),J60*Parameters!$E$12,0)</f>
        <v>0.74</v>
      </c>
      <c r="P60" s="32" t="n">
        <f aca="false">COUNT(D60:J60)</f>
        <v>6</v>
      </c>
      <c r="Q60" s="32" t="n">
        <f aca="false">(COUNT(D60:E60)&gt;0)+(COUNT(F60:H60)&gt;0)+(COUNT(I60:J60)&gt;0)</f>
        <v>3</v>
      </c>
      <c r="R60" s="32" t="str">
        <f aca="false">IF(AND(N60&gt;=Parameters!$C$56,Q60&gt;=Parameters!$C$59),"Yes","No")</f>
        <v>Yes</v>
      </c>
      <c r="S60" s="33" t="n">
        <f aca="false">IF(R60="Yes",O60/N60*100,"NA")</f>
        <v>92.5</v>
      </c>
      <c r="T60" s="29" t="n">
        <f aca="false">IF(R60="Yes",O60/Parameters!$E$13*100,"NA")</f>
        <v>74</v>
      </c>
      <c r="U60" s="29" t="n">
        <f aca="false">IF(R60="Yes",(O60+(Parameters!$E$13-N60))/Parameters!$E$13*100,"NA")</f>
        <v>94</v>
      </c>
      <c r="V60" s="34" t="str">
        <f aca="false">IF(R60&lt;&gt;"Yes","Not scored",IF(N60&gt;=Parameters!$C$60,"Reportable","Provisional"))</f>
        <v>Provisional</v>
      </c>
      <c r="W60" s="32" t="n">
        <f aca="false">IF(ISNUMBER(S60),RANK(S60,$S$2:$S$113,0),"NA")</f>
        <v>17</v>
      </c>
      <c r="X60" s="32" t="str">
        <f aca="false">IF(N60&gt;=Parameters!$C$60,"High",IF(N60&gt;=Parameters!$C$56,"Medium","Low"))</f>
        <v>Medium</v>
      </c>
      <c r="Y60" s="32" t="n">
        <f aca="false">Calc!T60</f>
        <v>0</v>
      </c>
      <c r="Z60" s="35" t="str">
        <f aca="false">IF(V60="Reportable",S60-ROW()*0.000000001,"")</f>
        <v/>
      </c>
      <c r="AA60" s="35" t="str">
        <f aca="false">IF(ISNUMBER(Z60),RANK(Z60,$Z$2:$Z$113,0),"NA")</f>
        <v>NA</v>
      </c>
    </row>
    <row r="61" customFormat="false" ht="15" hidden="false" customHeight="true" outlineLevel="0" collapsed="false">
      <c r="A61" s="15" t="str">
        <f aca="false">Data!$A61</f>
        <v>Janeway</v>
      </c>
      <c r="B61" s="15" t="str">
        <f aca="false">Data!$B61</f>
        <v>Open Library of Humanities</v>
      </c>
      <c r="C61" s="15" t="str">
        <f aca="false">Data!$E61</f>
        <v>Publishing system</v>
      </c>
      <c r="D61" s="28" t="n">
        <f aca="false">IF(Verification!C61="",Calc!B61,Verification!C61)</f>
        <v>0.67</v>
      </c>
      <c r="E61" s="28" t="str">
        <f aca="false">IF(Verification!D61="",Calc!D61,Verification!D61)</f>
        <v>NA</v>
      </c>
      <c r="F61" s="28" t="n">
        <f aca="false">IF(Verification!E61="",Calc!G61,Verification!E61)</f>
        <v>0.333333333333333</v>
      </c>
      <c r="G61" s="28" t="str">
        <f aca="false">IF(Verification!F61="",Calc!I61,Verification!F61)</f>
        <v>NA</v>
      </c>
      <c r="H61" s="28" t="n">
        <f aca="false">IF(Verification!G61="",Calc!E61,Verification!G61)</f>
        <v>1</v>
      </c>
      <c r="I61" s="28" t="n">
        <f aca="false">IF(Verification!H61="",Calc!J61,Verification!H61)</f>
        <v>1</v>
      </c>
      <c r="J61" s="28" t="n">
        <f aca="false">IF(Verification!I61="",Calc!K61,Verification!I61)</f>
        <v>0.5</v>
      </c>
      <c r="K61" s="29" t="n">
        <f aca="false">IF(COUNT(D61:E61)=0,"NA",(IF(ISNUMBER(D61),D61*Parameters!$E$6,0)+IF(ISNUMBER(E61),E61*Parameters!$E$7,0))/(IF(ISNUMBER(D61),Parameters!$E$6,0)+IF(ISNUMBER(E61),Parameters!$E$7,0))*100)</f>
        <v>67</v>
      </c>
      <c r="L61" s="29" t="n">
        <f aca="false">IF(COUNT(F61:H61)=0,"NA",(IF(ISNUMBER(F61),F61*Parameters!$E$8,0)+IF(ISNUMBER(G61),G61*Parameters!$E$9,0)+IF(ISNUMBER(H61),H61*Parameters!$E$10,0))/(IF(ISNUMBER(F61),Parameters!$E$8,0)+IF(ISNUMBER(G61),Parameters!$E$9,0)+IF(ISNUMBER(H61),Parameters!$E$10,0))*100)</f>
        <v>47.8260869565217</v>
      </c>
      <c r="M61" s="29" t="n">
        <f aca="false">IF(COUNT(I61:J61)=0,"NA",(IF(ISNUMBER(I61),I61*Parameters!$E$11,0)+IF(ISNUMBER(J61),J61*Parameters!$E$12,0))/(IF(ISNUMBER(I61),Parameters!$E$11,0)+IF(ISNUMBER(J61),Parameters!$E$12,0))*100)</f>
        <v>71.4285714285714</v>
      </c>
      <c r="N61" s="30" t="n">
        <f aca="false">IF(ISNUMBER(D61),Parameters!$E$6,0)+IF(ISNUMBER(E61),Parameters!$E$7,0)+IF(ISNUMBER(F61),Parameters!$E$8,0)+IF(ISNUMBER(G61),Parameters!$E$9,0)+IF(ISNUMBER(H61),Parameters!$E$10,0)+IF(ISNUMBER(I61),Parameters!$E$11,0)+IF(ISNUMBER(J61),Parameters!$E$12,0)</f>
        <v>0.66</v>
      </c>
      <c r="O61" s="31" t="n">
        <f aca="false">IF(ISNUMBER(D61),D61*Parameters!$E$6,0)+IF(ISNUMBER(E61),E61*Parameters!$E$7,0)+IF(ISNUMBER(F61),F61*Parameters!$E$8,0)+IF(ISNUMBER(G61),G61*Parameters!$E$9,0)+IF(ISNUMBER(H61),H61*Parameters!$E$10,0)+IF(ISNUMBER(I61),I61*Parameters!$E$11,0)+IF(ISNUMBER(J61),J61*Parameters!$E$12,0)</f>
        <v>0.4136</v>
      </c>
      <c r="P61" s="32" t="n">
        <f aca="false">COUNT(D61:J61)</f>
        <v>5</v>
      </c>
      <c r="Q61" s="32" t="n">
        <f aca="false">(COUNT(D61:E61)&gt;0)+(COUNT(F61:H61)&gt;0)+(COUNT(I61:J61)&gt;0)</f>
        <v>3</v>
      </c>
      <c r="R61" s="32" t="str">
        <f aca="false">IF(AND(N61&gt;=Parameters!$C$56,Q61&gt;=Parameters!$C$59),"Yes","No")</f>
        <v>Yes</v>
      </c>
      <c r="S61" s="33" t="n">
        <f aca="false">IF(R61="Yes",O61/N61*100,"NA")</f>
        <v>62.6666666666667</v>
      </c>
      <c r="T61" s="29" t="n">
        <f aca="false">IF(R61="Yes",O61/Parameters!$E$13*100,"NA")</f>
        <v>41.36</v>
      </c>
      <c r="U61" s="29" t="n">
        <f aca="false">IF(R61="Yes",(O61+(Parameters!$E$13-N61))/Parameters!$E$13*100,"NA")</f>
        <v>75.36</v>
      </c>
      <c r="V61" s="34" t="str">
        <f aca="false">IF(R61&lt;&gt;"Yes","Not scored",IF(N61&gt;=Parameters!$C$60,"Reportable","Provisional"))</f>
        <v>Provisional</v>
      </c>
      <c r="W61" s="32" t="n">
        <f aca="false">IF(ISNUMBER(S61),RANK(S61,$S$2:$S$113,0),"NA")</f>
        <v>66</v>
      </c>
      <c r="X61" s="32" t="str">
        <f aca="false">IF(N61&gt;=Parameters!$C$60,"High",IF(N61&gt;=Parameters!$C$56,"Medium","Low"))</f>
        <v>Medium</v>
      </c>
      <c r="Y61" s="32" t="n">
        <f aca="false">Calc!T61</f>
        <v>1</v>
      </c>
      <c r="Z61" s="35" t="str">
        <f aca="false">IF(V61="Reportable",S61-ROW()*0.000000001,"")</f>
        <v/>
      </c>
      <c r="AA61" s="35" t="str">
        <f aca="false">IF(ISNUMBER(Z61),RANK(Z61,$Z$2:$Z$113,0),"NA")</f>
        <v>NA</v>
      </c>
    </row>
    <row r="62" customFormat="false" ht="15" hidden="false" customHeight="true" outlineLevel="0" collapsed="false">
      <c r="A62" s="15" t="str">
        <f aca="false">Data!$A62</f>
        <v>JHOVE</v>
      </c>
      <c r="B62" s="15" t="str">
        <f aca="false">Data!$B62</f>
        <v>Open Preservation Foundation</v>
      </c>
      <c r="C62" s="15" t="str">
        <f aca="false">Data!$E62</f>
        <v>Computing library | Digital preservation tool</v>
      </c>
      <c r="D62" s="28" t="n">
        <f aca="false">IF(Verification!C62="",Calc!B62,Verification!C62)</f>
        <v>1</v>
      </c>
      <c r="E62" s="28" t="n">
        <f aca="false">IF(Verification!D62="",Calc!D62,Verification!D62)</f>
        <v>1</v>
      </c>
      <c r="F62" s="28" t="str">
        <f aca="false">IF(Verification!E62="",Calc!G62,Verification!E62)</f>
        <v>NA</v>
      </c>
      <c r="G62" s="28" t="n">
        <f aca="false">IF(Verification!F62="",Calc!I62,Verification!F62)</f>
        <v>0.5</v>
      </c>
      <c r="H62" s="28" t="n">
        <f aca="false">IF(Verification!G62="",Calc!E62,Verification!G62)</f>
        <v>1</v>
      </c>
      <c r="I62" s="28" t="n">
        <f aca="false">IF(Verification!H62="",Calc!J62,Verification!H62)</f>
        <v>0.67</v>
      </c>
      <c r="J62" s="28" t="n">
        <f aca="false">IF(Verification!I62="",Calc!K62,Verification!I62)</f>
        <v>0.5</v>
      </c>
      <c r="K62" s="29" t="n">
        <f aca="false">IF(COUNT(D62:E62)=0,"NA",(IF(ISNUMBER(D62),D62*Parameters!$E$6,0)+IF(ISNUMBER(E62),E62*Parameters!$E$7,0))/(IF(ISNUMBER(D62),Parameters!$E$6,0)+IF(ISNUMBER(E62),Parameters!$E$7,0))*100)</f>
        <v>100</v>
      </c>
      <c r="L62" s="29" t="n">
        <f aca="false">IF(COUNT(F62:H62)=0,"NA",(IF(ISNUMBER(F62),F62*Parameters!$E$8,0)+IF(ISNUMBER(G62),G62*Parameters!$E$9,0)+IF(ISNUMBER(H62),H62*Parameters!$E$10,0))/(IF(ISNUMBER(F62),Parameters!$E$8,0)+IF(ISNUMBER(G62),Parameters!$E$9,0)+IF(ISNUMBER(H62),Parameters!$E$10,0))*100)</f>
        <v>64.7058823529412</v>
      </c>
      <c r="M62" s="29" t="n">
        <f aca="false">IF(COUNT(I62:J62)=0,"NA",(IF(ISNUMBER(I62),I62*Parameters!$E$11,0)+IF(ISNUMBER(J62),J62*Parameters!$E$12,0))/(IF(ISNUMBER(I62),Parameters!$E$11,0)+IF(ISNUMBER(J62),Parameters!$E$12,0))*100)</f>
        <v>57.2857142857143</v>
      </c>
      <c r="N62" s="30" t="n">
        <f aca="false">IF(ISNUMBER(D62),Parameters!$E$6,0)+IF(ISNUMBER(E62),Parameters!$E$7,0)+IF(ISNUMBER(F62),Parameters!$E$8,0)+IF(ISNUMBER(G62),Parameters!$E$9,0)+IF(ISNUMBER(H62),Parameters!$E$10,0)+IF(ISNUMBER(I62),Parameters!$E$11,0)+IF(ISNUMBER(J62),Parameters!$E$12,0)</f>
        <v>0.82</v>
      </c>
      <c r="O62" s="31" t="n">
        <f aca="false">IF(ISNUMBER(D62),D62*Parameters!$E$6,0)+IF(ISNUMBER(E62),E62*Parameters!$E$7,0)+IF(ISNUMBER(F62),F62*Parameters!$E$8,0)+IF(ISNUMBER(G62),G62*Parameters!$E$9,0)+IF(ISNUMBER(H62),H62*Parameters!$E$10,0)+IF(ISNUMBER(I62),I62*Parameters!$E$11,0)+IF(ISNUMBER(J62),J62*Parameters!$E$12,0)</f>
        <v>0.6105</v>
      </c>
      <c r="P62" s="32" t="n">
        <f aca="false">COUNT(D62:J62)</f>
        <v>6</v>
      </c>
      <c r="Q62" s="32" t="n">
        <f aca="false">(COUNT(D62:E62)&gt;0)+(COUNT(F62:H62)&gt;0)+(COUNT(I62:J62)&gt;0)</f>
        <v>3</v>
      </c>
      <c r="R62" s="32" t="str">
        <f aca="false">IF(AND(N62&gt;=Parameters!$C$56,Q62&gt;=Parameters!$C$59),"Yes","No")</f>
        <v>Yes</v>
      </c>
      <c r="S62" s="33" t="n">
        <f aca="false">IF(R62="Yes",O62/N62*100,"NA")</f>
        <v>74.4512195121951</v>
      </c>
      <c r="T62" s="29" t="n">
        <f aca="false">IF(R62="Yes",O62/Parameters!$E$13*100,"NA")</f>
        <v>61.05</v>
      </c>
      <c r="U62" s="29" t="n">
        <f aca="false">IF(R62="Yes",(O62+(Parameters!$E$13-N62))/Parameters!$E$13*100,"NA")</f>
        <v>79.05</v>
      </c>
      <c r="V62" s="34" t="str">
        <f aca="false">IF(R62&lt;&gt;"Yes","Not scored",IF(N62&gt;=Parameters!$C$60,"Reportable","Provisional"))</f>
        <v>Provisional</v>
      </c>
      <c r="W62" s="32" t="n">
        <f aca="false">IF(ISNUMBER(S62),RANK(S62,$S$2:$S$113,0),"NA")</f>
        <v>51</v>
      </c>
      <c r="X62" s="32" t="str">
        <f aca="false">IF(N62&gt;=Parameters!$C$60,"High",IF(N62&gt;=Parameters!$C$56,"Medium","Low"))</f>
        <v>Medium</v>
      </c>
      <c r="Y62" s="32" t="n">
        <f aca="false">Calc!T62</f>
        <v>0</v>
      </c>
      <c r="Z62" s="35" t="str">
        <f aca="false">IF(V62="Reportable",S62-ROW()*0.000000001,"")</f>
        <v/>
      </c>
      <c r="AA62" s="35" t="str">
        <f aca="false">IF(ISNUMBER(Z62),RANK(Z62,$Z$2:$Z$113,0),"NA")</f>
        <v>NA</v>
      </c>
    </row>
    <row r="63" customFormat="false" ht="15" hidden="false" customHeight="true" outlineLevel="0" collapsed="false">
      <c r="A63" s="15" t="str">
        <f aca="false">Data!$A63</f>
        <v>LA Referencia</v>
      </c>
      <c r="B63" s="15" t="str">
        <f aca="false">Data!$B63</f>
        <v>LA Referencia</v>
      </c>
      <c r="C63" s="15" t="str">
        <f aca="false">Data!$E63</f>
        <v>Discovery system</v>
      </c>
      <c r="D63" s="28" t="n">
        <f aca="false">IF(Verification!C63="",Calc!B63,Verification!C63)</f>
        <v>0.33</v>
      </c>
      <c r="E63" s="28" t="str">
        <f aca="false">IF(Verification!D63="",Calc!D63,Verification!D63)</f>
        <v>NA</v>
      </c>
      <c r="F63" s="28" t="str">
        <f aca="false">IF(Verification!E63="",Calc!G63,Verification!E63)</f>
        <v>NA</v>
      </c>
      <c r="G63" s="28" t="str">
        <f aca="false">IF(Verification!F63="",Calc!I63,Verification!F63)</f>
        <v>NA</v>
      </c>
      <c r="H63" s="28" t="n">
        <f aca="false">IF(Verification!G63="",Calc!E63,Verification!G63)</f>
        <v>1</v>
      </c>
      <c r="I63" s="28" t="n">
        <f aca="false">IF(Verification!H63="",Calc!J63,Verification!H63)</f>
        <v>0.67</v>
      </c>
      <c r="J63" s="28" t="n">
        <f aca="false">IF(Verification!I63="",Calc!K63,Verification!I63)</f>
        <v>1</v>
      </c>
      <c r="K63" s="29" t="n">
        <f aca="false">IF(COUNT(D63:E63)=0,"NA",(IF(ISNUMBER(D63),D63*Parameters!$E$6,0)+IF(ISNUMBER(E63),E63*Parameters!$E$7,0))/(IF(ISNUMBER(D63),Parameters!$E$6,0)+IF(ISNUMBER(E63),Parameters!$E$7,0))*100)</f>
        <v>33</v>
      </c>
      <c r="L63" s="29" t="n">
        <f aca="false">IF(COUNT(F63:H63)=0,"NA",(IF(ISNUMBER(F63),F63*Parameters!$E$8,0)+IF(ISNUMBER(G63),G63*Parameters!$E$9,0)+IF(ISNUMBER(H63),H63*Parameters!$E$10,0))/(IF(ISNUMBER(F63),Parameters!$E$8,0)+IF(ISNUMBER(G63),Parameters!$E$9,0)+IF(ISNUMBER(H63),Parameters!$E$10,0))*100)</f>
        <v>100</v>
      </c>
      <c r="M63" s="29" t="n">
        <f aca="false">IF(COUNT(I63:J63)=0,"NA",(IF(ISNUMBER(I63),I63*Parameters!$E$11,0)+IF(ISNUMBER(J63),J63*Parameters!$E$12,0))/(IF(ISNUMBER(I63),Parameters!$E$11,0)+IF(ISNUMBER(J63),Parameters!$E$12,0))*100)</f>
        <v>85.8571428571429</v>
      </c>
      <c r="N63" s="30" t="n">
        <f aca="false">IF(ISNUMBER(D63),Parameters!$E$6,0)+IF(ISNUMBER(E63),Parameters!$E$7,0)+IF(ISNUMBER(F63),Parameters!$E$8,0)+IF(ISNUMBER(G63),Parameters!$E$9,0)+IF(ISNUMBER(H63),Parameters!$E$10,0)+IF(ISNUMBER(I63),Parameters!$E$11,0)+IF(ISNUMBER(J63),Parameters!$E$12,0)</f>
        <v>0.48</v>
      </c>
      <c r="O63" s="31" t="n">
        <f aca="false">IF(ISNUMBER(D63),D63*Parameters!$E$6,0)+IF(ISNUMBER(E63),E63*Parameters!$E$7,0)+IF(ISNUMBER(F63),F63*Parameters!$E$8,0)+IF(ISNUMBER(G63),G63*Parameters!$E$9,0)+IF(ISNUMBER(H63),H63*Parameters!$E$10,0)+IF(ISNUMBER(I63),I63*Parameters!$E$11,0)+IF(ISNUMBER(J63),J63*Parameters!$E$12,0)</f>
        <v>0.3769</v>
      </c>
      <c r="P63" s="32" t="n">
        <f aca="false">COUNT(D63:J63)</f>
        <v>4</v>
      </c>
      <c r="Q63" s="32" t="n">
        <f aca="false">(COUNT(D63:E63)&gt;0)+(COUNT(F63:H63)&gt;0)+(COUNT(I63:J63)&gt;0)</f>
        <v>3</v>
      </c>
      <c r="R63" s="32" t="str">
        <f aca="false">IF(AND(N63&gt;=Parameters!$C$56,Q63&gt;=Parameters!$C$59),"Yes","No")</f>
        <v>No</v>
      </c>
      <c r="S63" s="33" t="str">
        <f aca="false">IF(R63="Yes",O63/N63*100,"NA")</f>
        <v>NA</v>
      </c>
      <c r="T63" s="29" t="str">
        <f aca="false">IF(R63="Yes",O63/Parameters!$E$13*100,"NA")</f>
        <v>NA</v>
      </c>
      <c r="U63" s="29" t="str">
        <f aca="false">IF(R63="Yes",(O63+(Parameters!$E$13-N63))/Parameters!$E$13*100,"NA")</f>
        <v>NA</v>
      </c>
      <c r="V63" s="34" t="str">
        <f aca="false">IF(R63&lt;&gt;"Yes","Not scored",IF(N63&gt;=Parameters!$C$60,"Reportable","Provisional"))</f>
        <v>Not scored</v>
      </c>
      <c r="W63" s="32" t="str">
        <f aca="false">IF(ISNUMBER(S63),RANK(S63,$S$2:$S$113,0),"NA")</f>
        <v>NA</v>
      </c>
      <c r="X63" s="32" t="str">
        <f aca="false">IF(N63&gt;=Parameters!$C$60,"High",IF(N63&gt;=Parameters!$C$56,"Medium","Low"))</f>
        <v>Low</v>
      </c>
      <c r="Y63" s="32" t="n">
        <f aca="false">Calc!T63</f>
        <v>1</v>
      </c>
      <c r="Z63" s="35" t="str">
        <f aca="false">IF(V63="Reportable",S63-ROW()*0.000000001,"")</f>
        <v/>
      </c>
      <c r="AA63" s="35" t="str">
        <f aca="false">IF(ISNUMBER(Z63),RANK(Z63,$Z$2:$Z$113,0),"NA")</f>
        <v>NA</v>
      </c>
    </row>
    <row r="64" customFormat="false" ht="15" hidden="false" customHeight="true" outlineLevel="0" collapsed="false">
      <c r="A64" s="15" t="str">
        <f aca="false">Data!$A64</f>
        <v>Manifold</v>
      </c>
      <c r="B64" s="15" t="str">
        <f aca="false">Data!$B64</f>
        <v>Manifold Digital Services</v>
      </c>
      <c r="C64" s="15" t="str">
        <f aca="false">Data!$E64</f>
        <v>Publishing system</v>
      </c>
      <c r="D64" s="28" t="n">
        <f aca="false">IF(Verification!C64="",Calc!B64,Verification!C64)</f>
        <v>1</v>
      </c>
      <c r="E64" s="28" t="str">
        <f aca="false">IF(Verification!D64="",Calc!D64,Verification!D64)</f>
        <v>NA</v>
      </c>
      <c r="F64" s="28" t="n">
        <f aca="false">IF(Verification!E64="",Calc!G64,Verification!E64)</f>
        <v>0.166666666666667</v>
      </c>
      <c r="G64" s="28" t="n">
        <f aca="false">IF(Verification!F64="",Calc!I64,Verification!F64)</f>
        <v>0.5</v>
      </c>
      <c r="H64" s="28" t="n">
        <f aca="false">IF(Verification!G64="",Calc!E64,Verification!G64)</f>
        <v>1</v>
      </c>
      <c r="I64" s="28" t="str">
        <f aca="false">IF(Verification!H64="",Calc!J64,Verification!H64)</f>
        <v>NA</v>
      </c>
      <c r="J64" s="28" t="str">
        <f aca="false">IF(Verification!I64="",Calc!K64,Verification!I64)</f>
        <v>NA</v>
      </c>
      <c r="K64" s="29" t="n">
        <f aca="false">IF(COUNT(D64:E64)=0,"NA",(IF(ISNUMBER(D64),D64*Parameters!$E$6,0)+IF(ISNUMBER(E64),E64*Parameters!$E$7,0))/(IF(ISNUMBER(D64),Parameters!$E$6,0)+IF(ISNUMBER(E64),Parameters!$E$7,0))*100)</f>
        <v>100</v>
      </c>
      <c r="L64" s="29" t="n">
        <f aca="false">IF(COUNT(F64:H64)=0,"NA",(IF(ISNUMBER(F64),F64*Parameters!$E$8,0)+IF(ISNUMBER(G64),G64*Parameters!$E$9,0)+IF(ISNUMBER(H64),H64*Parameters!$E$10,0))/(IF(ISNUMBER(F64),Parameters!$E$8,0)+IF(ISNUMBER(G64),Parameters!$E$9,0)+IF(ISNUMBER(H64),Parameters!$E$10,0))*100)</f>
        <v>40</v>
      </c>
      <c r="M64" s="29" t="str">
        <f aca="false">IF(COUNT(I64:J64)=0,"NA",(IF(ISNUMBER(I64),I64*Parameters!$E$11,0)+IF(ISNUMBER(J64),J64*Parameters!$E$12,0))/(IF(ISNUMBER(I64),Parameters!$E$11,0)+IF(ISNUMBER(J64),Parameters!$E$12,0))*100)</f>
        <v>NA</v>
      </c>
      <c r="N64" s="30" t="n">
        <f aca="false">IF(ISNUMBER(D64),Parameters!$E$6,0)+IF(ISNUMBER(E64),Parameters!$E$7,0)+IF(ISNUMBER(F64),Parameters!$E$8,0)+IF(ISNUMBER(G64),Parameters!$E$9,0)+IF(ISNUMBER(H64),Parameters!$E$10,0)+IF(ISNUMBER(I64),Parameters!$E$11,0)+IF(ISNUMBER(J64),Parameters!$E$12,0)</f>
        <v>0.43</v>
      </c>
      <c r="O64" s="31" t="n">
        <f aca="false">IF(ISNUMBER(D64),D64*Parameters!$E$6,0)+IF(ISNUMBER(E64),E64*Parameters!$E$7,0)+IF(ISNUMBER(F64),F64*Parameters!$E$8,0)+IF(ISNUMBER(G64),G64*Parameters!$E$9,0)+IF(ISNUMBER(H64),H64*Parameters!$E$10,0)+IF(ISNUMBER(I64),I64*Parameters!$E$11,0)+IF(ISNUMBER(J64),J64*Parameters!$E$12,0)</f>
        <v>0.22</v>
      </c>
      <c r="P64" s="32" t="n">
        <f aca="false">COUNT(D64:J64)</f>
        <v>4</v>
      </c>
      <c r="Q64" s="32" t="n">
        <f aca="false">(COUNT(D64:E64)&gt;0)+(COUNT(F64:H64)&gt;0)+(COUNT(I64:J64)&gt;0)</f>
        <v>2</v>
      </c>
      <c r="R64" s="32" t="str">
        <f aca="false">IF(AND(N64&gt;=Parameters!$C$56,Q64&gt;=Parameters!$C$59),"Yes","No")</f>
        <v>No</v>
      </c>
      <c r="S64" s="33" t="str">
        <f aca="false">IF(R64="Yes",O64/N64*100,"NA")</f>
        <v>NA</v>
      </c>
      <c r="T64" s="29" t="str">
        <f aca="false">IF(R64="Yes",O64/Parameters!$E$13*100,"NA")</f>
        <v>NA</v>
      </c>
      <c r="U64" s="29" t="str">
        <f aca="false">IF(R64="Yes",(O64+(Parameters!$E$13-N64))/Parameters!$E$13*100,"NA")</f>
        <v>NA</v>
      </c>
      <c r="V64" s="34" t="str">
        <f aca="false">IF(R64&lt;&gt;"Yes","Not scored",IF(N64&gt;=Parameters!$C$60,"Reportable","Provisional"))</f>
        <v>Not scored</v>
      </c>
      <c r="W64" s="32" t="str">
        <f aca="false">IF(ISNUMBER(S64),RANK(S64,$S$2:$S$113,0),"NA")</f>
        <v>NA</v>
      </c>
      <c r="X64" s="32" t="str">
        <f aca="false">IF(N64&gt;=Parameters!$C$60,"High",IF(N64&gt;=Parameters!$C$56,"Medium","Low"))</f>
        <v>Low</v>
      </c>
      <c r="Y64" s="32" t="n">
        <f aca="false">Calc!T64</f>
        <v>1</v>
      </c>
      <c r="Z64" s="35" t="str">
        <f aca="false">IF(V64="Reportable",S64-ROW()*0.000000001,"")</f>
        <v/>
      </c>
      <c r="AA64" s="35" t="str">
        <f aca="false">IF(ISNUMBER(Z64),RANK(Z64,$Z$2:$Z$113,0),"NA")</f>
        <v>NA</v>
      </c>
    </row>
    <row r="65" customFormat="false" ht="15" hidden="false" customHeight="true" outlineLevel="0" collapsed="false">
      <c r="A65" s="15" t="str">
        <f aca="false">Data!$A65</f>
        <v>medRxiv</v>
      </c>
      <c r="B65" s="15" t="str">
        <f aca="false">Data!$B65</f>
        <v>Cold Spring Harbor Laboratory</v>
      </c>
      <c r="C65" s="15" t="str">
        <f aca="false">Data!$E65</f>
        <v>Repository service</v>
      </c>
      <c r="D65" s="28" t="n">
        <f aca="false">IF(Verification!C65="",Calc!B65,Verification!C65)</f>
        <v>1</v>
      </c>
      <c r="E65" s="28" t="n">
        <f aca="false">IF(Verification!D65="",Calc!D65,Verification!D65)</f>
        <v>1</v>
      </c>
      <c r="F65" s="28" t="n">
        <f aca="false">IF(Verification!E65="",Calc!G65,Verification!E65)</f>
        <v>0.166666666666667</v>
      </c>
      <c r="G65" s="28" t="str">
        <f aca="false">IF(Verification!F65="",Calc!I65,Verification!F65)</f>
        <v>NA</v>
      </c>
      <c r="H65" s="28" t="str">
        <f aca="false">IF(Verification!G65="",Calc!E65,Verification!G65)</f>
        <v>NA</v>
      </c>
      <c r="I65" s="28" t="n">
        <f aca="false">IF(Verification!H65="",Calc!J65,Verification!H65)</f>
        <v>0.33</v>
      </c>
      <c r="J65" s="28" t="n">
        <f aca="false">IF(Verification!I65="",Calc!K65,Verification!I65)</f>
        <v>0.5</v>
      </c>
      <c r="K65" s="29" t="n">
        <f aca="false">IF(COUNT(D65:E65)=0,"NA",(IF(ISNUMBER(D65),D65*Parameters!$E$6,0)+IF(ISNUMBER(E65),E65*Parameters!$E$7,0))/(IF(ISNUMBER(D65),Parameters!$E$6,0)+IF(ISNUMBER(E65),Parameters!$E$7,0))*100)</f>
        <v>100</v>
      </c>
      <c r="L65" s="29" t="n">
        <f aca="false">IF(COUNT(F65:H65)=0,"NA",(IF(ISNUMBER(F65),F65*Parameters!$E$8,0)+IF(ISNUMBER(G65),G65*Parameters!$E$9,0)+IF(ISNUMBER(H65),H65*Parameters!$E$10,0))/(IF(ISNUMBER(F65),Parameters!$E$8,0)+IF(ISNUMBER(G65),Parameters!$E$9,0)+IF(ISNUMBER(H65),Parameters!$E$10,0))*100)</f>
        <v>16.6666666666667</v>
      </c>
      <c r="M65" s="29" t="n">
        <f aca="false">IF(COUNT(I65:J65)=0,"NA",(IF(ISNUMBER(I65),I65*Parameters!$E$11,0)+IF(ISNUMBER(J65),J65*Parameters!$E$12,0))/(IF(ISNUMBER(I65),Parameters!$E$11,0)+IF(ISNUMBER(J65),Parameters!$E$12,0))*100)</f>
        <v>42.7142857142857</v>
      </c>
      <c r="N65" s="30" t="n">
        <f aca="false">IF(ISNUMBER(D65),Parameters!$E$6,0)+IF(ISNUMBER(E65),Parameters!$E$7,0)+IF(ISNUMBER(F65),Parameters!$E$8,0)+IF(ISNUMBER(G65),Parameters!$E$9,0)+IF(ISNUMBER(H65),Parameters!$E$10,0)+IF(ISNUMBER(I65),Parameters!$E$11,0)+IF(ISNUMBER(J65),Parameters!$E$12,0)</f>
        <v>0.83</v>
      </c>
      <c r="O65" s="31" t="n">
        <f aca="false">IF(ISNUMBER(D65),D65*Parameters!$E$6,0)+IF(ISNUMBER(E65),E65*Parameters!$E$7,0)+IF(ISNUMBER(F65),F65*Parameters!$E$8,0)+IF(ISNUMBER(G65),G65*Parameters!$E$9,0)+IF(ISNUMBER(H65),H65*Parameters!$E$10,0)+IF(ISNUMBER(I65),I65*Parameters!$E$11,0)+IF(ISNUMBER(J65),J65*Parameters!$E$12,0)</f>
        <v>0.4795</v>
      </c>
      <c r="P65" s="32" t="n">
        <f aca="false">COUNT(D65:J65)</f>
        <v>5</v>
      </c>
      <c r="Q65" s="32" t="n">
        <f aca="false">(COUNT(D65:E65)&gt;0)+(COUNT(F65:H65)&gt;0)+(COUNT(I65:J65)&gt;0)</f>
        <v>3</v>
      </c>
      <c r="R65" s="32" t="str">
        <f aca="false">IF(AND(N65&gt;=Parameters!$C$56,Q65&gt;=Parameters!$C$59),"Yes","No")</f>
        <v>Yes</v>
      </c>
      <c r="S65" s="33" t="n">
        <f aca="false">IF(R65="Yes",O65/N65*100,"NA")</f>
        <v>57.7710843373494</v>
      </c>
      <c r="T65" s="29" t="n">
        <f aca="false">IF(R65="Yes",O65/Parameters!$E$13*100,"NA")</f>
        <v>47.95</v>
      </c>
      <c r="U65" s="29" t="n">
        <f aca="false">IF(R65="Yes",(O65+(Parameters!$E$13-N65))/Parameters!$E$13*100,"NA")</f>
        <v>64.95</v>
      </c>
      <c r="V65" s="34" t="str">
        <f aca="false">IF(R65&lt;&gt;"Yes","Not scored",IF(N65&gt;=Parameters!$C$60,"Reportable","Provisional"))</f>
        <v>Provisional</v>
      </c>
      <c r="W65" s="32" t="n">
        <f aca="false">IF(ISNUMBER(S65),RANK(S65,$S$2:$S$113,0),"NA")</f>
        <v>72</v>
      </c>
      <c r="X65" s="32" t="str">
        <f aca="false">IF(N65&gt;=Parameters!$C$60,"High",IF(N65&gt;=Parameters!$C$56,"Medium","Low"))</f>
        <v>Medium</v>
      </c>
      <c r="Y65" s="32" t="n">
        <f aca="false">Calc!T65</f>
        <v>2</v>
      </c>
      <c r="Z65" s="35" t="str">
        <f aca="false">IF(V65="Reportable",S65-ROW()*0.000000001,"")</f>
        <v/>
      </c>
      <c r="AA65" s="35" t="str">
        <f aca="false">IF(ISNUMBER(Z65),RANK(Z65,$Z$2:$Z$113,0),"NA")</f>
        <v>NA</v>
      </c>
    </row>
    <row r="66" customFormat="false" ht="15" hidden="false" customHeight="true" outlineLevel="0" collapsed="false">
      <c r="A66" s="15" t="str">
        <f aca="false">Data!$A66</f>
        <v>Metadata Encoding and Transmission Standard (METS)</v>
      </c>
      <c r="B66" s="15" t="str">
        <f aca="false">Data!$B66</f>
        <v>METS Editorial Board</v>
      </c>
      <c r="C66" s="15" t="str">
        <f aca="false">Data!$E66</f>
        <v>Standard, specification or protocol</v>
      </c>
      <c r="D66" s="28" t="n">
        <f aca="false">IF(Verification!C66="",Calc!B66,Verification!C66)</f>
        <v>1</v>
      </c>
      <c r="E66" s="28" t="n">
        <f aca="false">IF(Verification!D66="",Calc!D66,Verification!D66)</f>
        <v>0.25</v>
      </c>
      <c r="F66" s="28" t="n">
        <f aca="false">IF(Verification!E66="",Calc!G66,Verification!E66)</f>
        <v>0.666666666666667</v>
      </c>
      <c r="G66" s="28" t="n">
        <f aca="false">IF(Verification!F66="",Calc!I66,Verification!F66)</f>
        <v>0.5</v>
      </c>
      <c r="H66" s="28" t="n">
        <f aca="false">IF(Verification!G66="",Calc!E66,Verification!G66)</f>
        <v>1</v>
      </c>
      <c r="I66" s="28" t="n">
        <f aca="false">IF(Verification!H66="",Calc!J66,Verification!H66)</f>
        <v>0</v>
      </c>
      <c r="J66" s="28" t="n">
        <f aca="false">IF(Verification!I66="",Calc!K66,Verification!I66)</f>
        <v>0.5</v>
      </c>
      <c r="K66" s="29" t="n">
        <f aca="false">IF(COUNT(D66:E66)=0,"NA",(IF(ISNUMBER(D66),D66*Parameters!$E$6,0)+IF(ISNUMBER(E66),E66*Parameters!$E$7,0))/(IF(ISNUMBER(D66),Parameters!$E$6,0)+IF(ISNUMBER(E66),Parameters!$E$7,0))*100)</f>
        <v>45</v>
      </c>
      <c r="L66" s="29" t="n">
        <f aca="false">IF(COUNT(F66:H66)=0,"NA",(IF(ISNUMBER(F66),F66*Parameters!$E$8,0)+IF(ISNUMBER(G66),G66*Parameters!$E$9,0)+IF(ISNUMBER(H66),H66*Parameters!$E$10,0))/(IF(ISNUMBER(F66),Parameters!$E$8,0)+IF(ISNUMBER(G66),Parameters!$E$9,0)+IF(ISNUMBER(H66),Parameters!$E$10,0))*100)</f>
        <v>65.7142857142857</v>
      </c>
      <c r="M66" s="29" t="n">
        <f aca="false">IF(COUNT(I66:J66)=0,"NA",(IF(ISNUMBER(I66),I66*Parameters!$E$11,0)+IF(ISNUMBER(J66),J66*Parameters!$E$12,0))/(IF(ISNUMBER(I66),Parameters!$E$11,0)+IF(ISNUMBER(J66),Parameters!$E$12,0))*100)</f>
        <v>28.5714285714286</v>
      </c>
      <c r="N66" s="30" t="n">
        <f aca="false">IF(ISNUMBER(D66),Parameters!$E$6,0)+IF(ISNUMBER(E66),Parameters!$E$7,0)+IF(ISNUMBER(F66),Parameters!$E$8,0)+IF(ISNUMBER(G66),Parameters!$E$9,0)+IF(ISNUMBER(H66),Parameters!$E$10,0)+IF(ISNUMBER(I66),Parameters!$E$11,0)+IF(ISNUMBER(J66),Parameters!$E$12,0)</f>
        <v>1</v>
      </c>
      <c r="O66" s="31" t="n">
        <f aca="false">IF(ISNUMBER(D66),D66*Parameters!$E$6,0)+IF(ISNUMBER(E66),E66*Parameters!$E$7,0)+IF(ISNUMBER(F66),F66*Parameters!$E$8,0)+IF(ISNUMBER(G66),G66*Parameters!$E$9,0)+IF(ISNUMBER(H66),H66*Parameters!$E$10,0)+IF(ISNUMBER(I66),I66*Parameters!$E$11,0)+IF(ISNUMBER(J66),J66*Parameters!$E$12,0)</f>
        <v>0.465</v>
      </c>
      <c r="P66" s="32" t="n">
        <f aca="false">COUNT(D66:J66)</f>
        <v>7</v>
      </c>
      <c r="Q66" s="32" t="n">
        <f aca="false">(COUNT(D66:E66)&gt;0)+(COUNT(F66:H66)&gt;0)+(COUNT(I66:J66)&gt;0)</f>
        <v>3</v>
      </c>
      <c r="R66" s="32" t="str">
        <f aca="false">IF(AND(N66&gt;=Parameters!$C$56,Q66&gt;=Parameters!$C$59),"Yes","No")</f>
        <v>Yes</v>
      </c>
      <c r="S66" s="33" t="n">
        <f aca="false">IF(R66="Yes",O66/N66*100,"NA")</f>
        <v>46.5</v>
      </c>
      <c r="T66" s="29" t="n">
        <f aca="false">IF(R66="Yes",O66/Parameters!$E$13*100,"NA")</f>
        <v>46.5</v>
      </c>
      <c r="U66" s="29" t="n">
        <f aca="false">IF(R66="Yes",(O66+(Parameters!$E$13-N66))/Parameters!$E$13*100,"NA")</f>
        <v>46.5</v>
      </c>
      <c r="V66" s="34" t="str">
        <f aca="false">IF(R66&lt;&gt;"Yes","Not scored",IF(N66&gt;=Parameters!$C$60,"Reportable","Provisional"))</f>
        <v>Reportable</v>
      </c>
      <c r="W66" s="32" t="n">
        <f aca="false">IF(ISNUMBER(S66),RANK(S66,$S$2:$S$113,0),"NA")</f>
        <v>85</v>
      </c>
      <c r="X66" s="32" t="str">
        <f aca="false">IF(N66&gt;=Parameters!$C$60,"High",IF(N66&gt;=Parameters!$C$56,"Medium","Low"))</f>
        <v>High</v>
      </c>
      <c r="Y66" s="32" t="n">
        <f aca="false">Calc!T66</f>
        <v>0</v>
      </c>
      <c r="Z66" s="35" t="n">
        <f aca="false">IF(V66="Reportable",S66-ROW()*0.000000001,"")</f>
        <v>46.499999934</v>
      </c>
      <c r="AA66" s="35" t="n">
        <f aca="false">IF(ISNUMBER(Z66),RANK(Z66,$Z$2:$Z$113,0),"NA")</f>
        <v>50</v>
      </c>
    </row>
    <row r="67" customFormat="false" ht="15" hidden="false" customHeight="true" outlineLevel="0" collapsed="false">
      <c r="A67" s="15" t="str">
        <f aca="false">Data!$A67</f>
        <v>Mirador</v>
      </c>
      <c r="B67" s="15" t="str">
        <f aca="false">Data!$B67</f>
        <v>Project Mirador</v>
      </c>
      <c r="C67" s="15" t="str">
        <f aca="false">Data!$E67</f>
        <v>Annotations system | Media viewer/player</v>
      </c>
      <c r="D67" s="28" t="n">
        <f aca="false">IF(Verification!C67="",Calc!B67,Verification!C67)</f>
        <v>1</v>
      </c>
      <c r="E67" s="28" t="n">
        <f aca="false">IF(Verification!D67="",Calc!D67,Verification!D67)</f>
        <v>0.25</v>
      </c>
      <c r="F67" s="28" t="n">
        <f aca="false">IF(Verification!E67="",Calc!G67,Verification!E67)</f>
        <v>0.666666666666667</v>
      </c>
      <c r="G67" s="28" t="n">
        <f aca="false">IF(Verification!F67="",Calc!I67,Verification!F67)</f>
        <v>0.5</v>
      </c>
      <c r="H67" s="28" t="n">
        <f aca="false">IF(Verification!G67="",Calc!E67,Verification!G67)</f>
        <v>1</v>
      </c>
      <c r="I67" s="28" t="n">
        <f aca="false">IF(Verification!H67="",Calc!J67,Verification!H67)</f>
        <v>1</v>
      </c>
      <c r="J67" s="28" t="n">
        <f aca="false">IF(Verification!I67="",Calc!K67,Verification!I67)</f>
        <v>0.5</v>
      </c>
      <c r="K67" s="29" t="n">
        <f aca="false">IF(COUNT(D67:E67)=0,"NA",(IF(ISNUMBER(D67),D67*Parameters!$E$6,0)+IF(ISNUMBER(E67),E67*Parameters!$E$7,0))/(IF(ISNUMBER(D67),Parameters!$E$6,0)+IF(ISNUMBER(E67),Parameters!$E$7,0))*100)</f>
        <v>45</v>
      </c>
      <c r="L67" s="29" t="n">
        <f aca="false">IF(COUNT(F67:H67)=0,"NA",(IF(ISNUMBER(F67),F67*Parameters!$E$8,0)+IF(ISNUMBER(G67),G67*Parameters!$E$9,0)+IF(ISNUMBER(H67),H67*Parameters!$E$10,0))/(IF(ISNUMBER(F67),Parameters!$E$8,0)+IF(ISNUMBER(G67),Parameters!$E$9,0)+IF(ISNUMBER(H67),Parameters!$E$10,0))*100)</f>
        <v>65.7142857142857</v>
      </c>
      <c r="M67" s="29" t="n">
        <f aca="false">IF(COUNT(I67:J67)=0,"NA",(IF(ISNUMBER(I67),I67*Parameters!$E$11,0)+IF(ISNUMBER(J67),J67*Parameters!$E$12,0))/(IF(ISNUMBER(I67),Parameters!$E$11,0)+IF(ISNUMBER(J67),Parameters!$E$12,0))*100)</f>
        <v>71.4285714285714</v>
      </c>
      <c r="N67" s="30" t="n">
        <f aca="false">IF(ISNUMBER(D67),Parameters!$E$6,0)+IF(ISNUMBER(E67),Parameters!$E$7,0)+IF(ISNUMBER(F67),Parameters!$E$8,0)+IF(ISNUMBER(G67),Parameters!$E$9,0)+IF(ISNUMBER(H67),Parameters!$E$10,0)+IF(ISNUMBER(I67),Parameters!$E$11,0)+IF(ISNUMBER(J67),Parameters!$E$12,0)</f>
        <v>1</v>
      </c>
      <c r="O67" s="31" t="n">
        <f aca="false">IF(ISNUMBER(D67),D67*Parameters!$E$6,0)+IF(ISNUMBER(E67),E67*Parameters!$E$7,0)+IF(ISNUMBER(F67),F67*Parameters!$E$8,0)+IF(ISNUMBER(G67),G67*Parameters!$E$9,0)+IF(ISNUMBER(H67),H67*Parameters!$E$10,0)+IF(ISNUMBER(I67),I67*Parameters!$E$11,0)+IF(ISNUMBER(J67),J67*Parameters!$E$12,0)</f>
        <v>0.615</v>
      </c>
      <c r="P67" s="32" t="n">
        <f aca="false">COUNT(D67:J67)</f>
        <v>7</v>
      </c>
      <c r="Q67" s="32" t="n">
        <f aca="false">(COUNT(D67:E67)&gt;0)+(COUNT(F67:H67)&gt;0)+(COUNT(I67:J67)&gt;0)</f>
        <v>3</v>
      </c>
      <c r="R67" s="32" t="str">
        <f aca="false">IF(AND(N67&gt;=Parameters!$C$56,Q67&gt;=Parameters!$C$59),"Yes","No")</f>
        <v>Yes</v>
      </c>
      <c r="S67" s="33" t="n">
        <f aca="false">IF(R67="Yes",O67/N67*100,"NA")</f>
        <v>61.5</v>
      </c>
      <c r="T67" s="29" t="n">
        <f aca="false">IF(R67="Yes",O67/Parameters!$E$13*100,"NA")</f>
        <v>61.5</v>
      </c>
      <c r="U67" s="29" t="n">
        <f aca="false">IF(R67="Yes",(O67+(Parameters!$E$13-N67))/Parameters!$E$13*100,"NA")</f>
        <v>61.5</v>
      </c>
      <c r="V67" s="34" t="str">
        <f aca="false">IF(R67&lt;&gt;"Yes","Not scored",IF(N67&gt;=Parameters!$C$60,"Reportable","Provisional"))</f>
        <v>Reportable</v>
      </c>
      <c r="W67" s="32" t="n">
        <f aca="false">IF(ISNUMBER(S67),RANK(S67,$S$2:$S$113,0),"NA")</f>
        <v>69</v>
      </c>
      <c r="X67" s="32" t="str">
        <f aca="false">IF(N67&gt;=Parameters!$C$60,"High",IF(N67&gt;=Parameters!$C$56,"Medium","Low"))</f>
        <v>High</v>
      </c>
      <c r="Y67" s="32" t="n">
        <f aca="false">Calc!T67</f>
        <v>0</v>
      </c>
      <c r="Z67" s="35" t="n">
        <f aca="false">IF(V67="Reportable",S67-ROW()*0.000000001,"")</f>
        <v>61.499999933</v>
      </c>
      <c r="AA67" s="35" t="n">
        <f aca="false">IF(ISNUMBER(Z67),RANK(Z67,$Z$2:$Z$113,0),"NA")</f>
        <v>40</v>
      </c>
    </row>
    <row r="68" customFormat="false" ht="15" hidden="false" customHeight="true" outlineLevel="0" collapsed="false">
      <c r="A68" s="15" t="str">
        <f aca="false">Data!$A68</f>
        <v>Mukurtu CMS</v>
      </c>
      <c r="B68" s="15" t="str">
        <f aca="false">Data!$B68</f>
        <v>Center for Digital Scholarship and Curation</v>
      </c>
      <c r="C68" s="15" t="str">
        <f aca="false">Data!$E68</f>
        <v>Archive information management system | Digital asset management system</v>
      </c>
      <c r="D68" s="28" t="n">
        <f aca="false">IF(Verification!C68="",Calc!B68,Verification!C68)</f>
        <v>1</v>
      </c>
      <c r="E68" s="28" t="n">
        <f aca="false">IF(Verification!D68="",Calc!D68,Verification!D68)</f>
        <v>0.125</v>
      </c>
      <c r="F68" s="28" t="n">
        <f aca="false">IF(Verification!E68="",Calc!G68,Verification!E68)</f>
        <v>0.333333333333333</v>
      </c>
      <c r="G68" s="28" t="n">
        <f aca="false">IF(Verification!F68="",Calc!I68,Verification!F68)</f>
        <v>0.5</v>
      </c>
      <c r="H68" s="28" t="n">
        <f aca="false">IF(Verification!G68="",Calc!E68,Verification!G68)</f>
        <v>1</v>
      </c>
      <c r="I68" s="28" t="n">
        <f aca="false">IF(Verification!H68="",Calc!J68,Verification!H68)</f>
        <v>0.67</v>
      </c>
      <c r="J68" s="28" t="n">
        <f aca="false">IF(Verification!I68="",Calc!K68,Verification!I68)</f>
        <v>0.5</v>
      </c>
      <c r="K68" s="29" t="n">
        <f aca="false">IF(COUNT(D68:E68)=0,"NA",(IF(ISNUMBER(D68),D68*Parameters!$E$6,0)+IF(ISNUMBER(E68),E68*Parameters!$E$7,0))/(IF(ISNUMBER(D68),Parameters!$E$6,0)+IF(ISNUMBER(E68),Parameters!$E$7,0))*100)</f>
        <v>35.8333333333333</v>
      </c>
      <c r="L68" s="29" t="n">
        <f aca="false">IF(COUNT(F68:H68)=0,"NA",(IF(ISNUMBER(F68),F68*Parameters!$E$8,0)+IF(ISNUMBER(G68),G68*Parameters!$E$9,0)+IF(ISNUMBER(H68),H68*Parameters!$E$10,0))/(IF(ISNUMBER(F68),Parameters!$E$8,0)+IF(ISNUMBER(G68),Parameters!$E$9,0)+IF(ISNUMBER(H68),Parameters!$E$10,0))*100)</f>
        <v>48.5714285714286</v>
      </c>
      <c r="M68" s="29" t="n">
        <f aca="false">IF(COUNT(I68:J68)=0,"NA",(IF(ISNUMBER(I68),I68*Parameters!$E$11,0)+IF(ISNUMBER(J68),J68*Parameters!$E$12,0))/(IF(ISNUMBER(I68),Parameters!$E$11,0)+IF(ISNUMBER(J68),Parameters!$E$12,0))*100)</f>
        <v>57.2857142857143</v>
      </c>
      <c r="N68" s="30" t="n">
        <f aca="false">IF(ISNUMBER(D68),Parameters!$E$6,0)+IF(ISNUMBER(E68),Parameters!$E$7,0)+IF(ISNUMBER(F68),Parameters!$E$8,0)+IF(ISNUMBER(G68),Parameters!$E$9,0)+IF(ISNUMBER(H68),Parameters!$E$10,0)+IF(ISNUMBER(I68),Parameters!$E$11,0)+IF(ISNUMBER(J68),Parameters!$E$12,0)</f>
        <v>1</v>
      </c>
      <c r="O68" s="31" t="n">
        <f aca="false">IF(ISNUMBER(D68),D68*Parameters!$E$6,0)+IF(ISNUMBER(E68),E68*Parameters!$E$7,0)+IF(ISNUMBER(F68),F68*Parameters!$E$8,0)+IF(ISNUMBER(G68),G68*Parameters!$E$9,0)+IF(ISNUMBER(H68),H68*Parameters!$E$10,0)+IF(ISNUMBER(I68),I68*Parameters!$E$11,0)+IF(ISNUMBER(J68),J68*Parameters!$E$12,0)</f>
        <v>0.478</v>
      </c>
      <c r="P68" s="32" t="n">
        <f aca="false">COUNT(D68:J68)</f>
        <v>7</v>
      </c>
      <c r="Q68" s="32" t="n">
        <f aca="false">(COUNT(D68:E68)&gt;0)+(COUNT(F68:H68)&gt;0)+(COUNT(I68:J68)&gt;0)</f>
        <v>3</v>
      </c>
      <c r="R68" s="32" t="str">
        <f aca="false">IF(AND(N68&gt;=Parameters!$C$56,Q68&gt;=Parameters!$C$59),"Yes","No")</f>
        <v>Yes</v>
      </c>
      <c r="S68" s="33" t="n">
        <f aca="false">IF(R68="Yes",O68/N68*100,"NA")</f>
        <v>47.8</v>
      </c>
      <c r="T68" s="29" t="n">
        <f aca="false">IF(R68="Yes",O68/Parameters!$E$13*100,"NA")</f>
        <v>47.8</v>
      </c>
      <c r="U68" s="29" t="n">
        <f aca="false">IF(R68="Yes",(O68+(Parameters!$E$13-N68))/Parameters!$E$13*100,"NA")</f>
        <v>47.8</v>
      </c>
      <c r="V68" s="34" t="str">
        <f aca="false">IF(R68&lt;&gt;"Yes","Not scored",IF(N68&gt;=Parameters!$C$60,"Reportable","Provisional"))</f>
        <v>Reportable</v>
      </c>
      <c r="W68" s="32" t="n">
        <f aca="false">IF(ISNUMBER(S68),RANK(S68,$S$2:$S$113,0),"NA")</f>
        <v>83</v>
      </c>
      <c r="X68" s="32" t="str">
        <f aca="false">IF(N68&gt;=Parameters!$C$60,"High",IF(N68&gt;=Parameters!$C$56,"Medium","Low"))</f>
        <v>High</v>
      </c>
      <c r="Y68" s="32" t="n">
        <f aca="false">Calc!T68</f>
        <v>0</v>
      </c>
      <c r="Z68" s="35" t="n">
        <f aca="false">IF(V68="Reportable",S68-ROW()*0.000000001,"")</f>
        <v>47.799999932</v>
      </c>
      <c r="AA68" s="35" t="n">
        <f aca="false">IF(ISNUMBER(Z68),RANK(Z68,$Z$2:$Z$113,0),"NA")</f>
        <v>49</v>
      </c>
    </row>
    <row r="69" customFormat="false" ht="15" hidden="false" customHeight="true" outlineLevel="0" collapsed="false">
      <c r="A69" s="15" t="str">
        <f aca="false">Data!$A69</f>
        <v>MyCoRe</v>
      </c>
      <c r="B69" s="15" t="str">
        <f aca="false">Data!$B69</f>
        <v>MyCoRe Community</v>
      </c>
      <c r="C69" s="15" t="str">
        <f aca="false">Data!$E69</f>
        <v>Digital asset management system | Digital library, collection or exhibit platform | Repository software</v>
      </c>
      <c r="D69" s="28" t="n">
        <f aca="false">IF(Verification!C69="",Calc!B69,Verification!C69)</f>
        <v>0</v>
      </c>
      <c r="E69" s="28" t="str">
        <f aca="false">IF(Verification!D69="",Calc!D69,Verification!D69)</f>
        <v>NA</v>
      </c>
      <c r="F69" s="28" t="str">
        <f aca="false">IF(Verification!E69="",Calc!G69,Verification!E69)</f>
        <v>NA</v>
      </c>
      <c r="G69" s="28" t="n">
        <f aca="false">IF(Verification!F69="",Calc!I69,Verification!F69)</f>
        <v>1</v>
      </c>
      <c r="H69" s="28" t="n">
        <f aca="false">IF(Verification!G69="",Calc!E69,Verification!G69)</f>
        <v>1</v>
      </c>
      <c r="I69" s="28" t="str">
        <f aca="false">IF(Verification!H69="",Calc!J69,Verification!H69)</f>
        <v>NA</v>
      </c>
      <c r="J69" s="28" t="n">
        <f aca="false">IF(Verification!I69="",Calc!K69,Verification!I69)</f>
        <v>0.5</v>
      </c>
      <c r="K69" s="29" t="n">
        <f aca="false">IF(COUNT(D69:E69)=0,"NA",(IF(ISNUMBER(D69),D69*Parameters!$E$6,0)+IF(ISNUMBER(E69),E69*Parameters!$E$7,0))/(IF(ISNUMBER(D69),Parameters!$E$6,0)+IF(ISNUMBER(E69),Parameters!$E$7,0))*100)</f>
        <v>0</v>
      </c>
      <c r="L69" s="29" t="n">
        <f aca="false">IF(COUNT(F69:H69)=0,"NA",(IF(ISNUMBER(F69),F69*Parameters!$E$8,0)+IF(ISNUMBER(G69),G69*Parameters!$E$9,0)+IF(ISNUMBER(H69),H69*Parameters!$E$10,0))/(IF(ISNUMBER(F69),Parameters!$E$8,0)+IF(ISNUMBER(G69),Parameters!$E$9,0)+IF(ISNUMBER(H69),Parameters!$E$10,0))*100)</f>
        <v>100</v>
      </c>
      <c r="M69" s="29" t="n">
        <f aca="false">IF(COUNT(I69:J69)=0,"NA",(IF(ISNUMBER(I69),I69*Parameters!$E$11,0)+IF(ISNUMBER(J69),J69*Parameters!$E$12,0))/(IF(ISNUMBER(I69),Parameters!$E$11,0)+IF(ISNUMBER(J69),Parameters!$E$12,0))*100)</f>
        <v>50</v>
      </c>
      <c r="N69" s="30" t="n">
        <f aca="false">IF(ISNUMBER(D69),Parameters!$E$6,0)+IF(ISNUMBER(E69),Parameters!$E$7,0)+IF(ISNUMBER(F69),Parameters!$E$8,0)+IF(ISNUMBER(G69),Parameters!$E$9,0)+IF(ISNUMBER(H69),Parameters!$E$10,0)+IF(ISNUMBER(I69),Parameters!$E$11,0)+IF(ISNUMBER(J69),Parameters!$E$12,0)</f>
        <v>0.45</v>
      </c>
      <c r="O69" s="31" t="n">
        <f aca="false">IF(ISNUMBER(D69),D69*Parameters!$E$6,0)+IF(ISNUMBER(E69),E69*Parameters!$E$7,0)+IF(ISNUMBER(F69),F69*Parameters!$E$8,0)+IF(ISNUMBER(G69),G69*Parameters!$E$9,0)+IF(ISNUMBER(H69),H69*Parameters!$E$10,0)+IF(ISNUMBER(I69),I69*Parameters!$E$11,0)+IF(ISNUMBER(J69),J69*Parameters!$E$12,0)</f>
        <v>0.27</v>
      </c>
      <c r="P69" s="32" t="n">
        <f aca="false">COUNT(D69:J69)</f>
        <v>4</v>
      </c>
      <c r="Q69" s="32" t="n">
        <f aca="false">(COUNT(D69:E69)&gt;0)+(COUNT(F69:H69)&gt;0)+(COUNT(I69:J69)&gt;0)</f>
        <v>3</v>
      </c>
      <c r="R69" s="32" t="str">
        <f aca="false">IF(AND(N69&gt;=Parameters!$C$56,Q69&gt;=Parameters!$C$59),"Yes","No")</f>
        <v>No</v>
      </c>
      <c r="S69" s="33" t="str">
        <f aca="false">IF(R69="Yes",O69/N69*100,"NA")</f>
        <v>NA</v>
      </c>
      <c r="T69" s="29" t="str">
        <f aca="false">IF(R69="Yes",O69/Parameters!$E$13*100,"NA")</f>
        <v>NA</v>
      </c>
      <c r="U69" s="29" t="str">
        <f aca="false">IF(R69="Yes",(O69+(Parameters!$E$13-N69))/Parameters!$E$13*100,"NA")</f>
        <v>NA</v>
      </c>
      <c r="V69" s="34" t="str">
        <f aca="false">IF(R69&lt;&gt;"Yes","Not scored",IF(N69&gt;=Parameters!$C$60,"Reportable","Provisional"))</f>
        <v>Not scored</v>
      </c>
      <c r="W69" s="32" t="str">
        <f aca="false">IF(ISNUMBER(S69),RANK(S69,$S$2:$S$113,0),"NA")</f>
        <v>NA</v>
      </c>
      <c r="X69" s="32" t="str">
        <f aca="false">IF(N69&gt;=Parameters!$C$60,"High",IF(N69&gt;=Parameters!$C$56,"Medium","Low"))</f>
        <v>Low</v>
      </c>
      <c r="Y69" s="32" t="n">
        <f aca="false">Calc!T69</f>
        <v>1</v>
      </c>
      <c r="Z69" s="35" t="str">
        <f aca="false">IF(V69="Reportable",S69-ROW()*0.000000001,"")</f>
        <v/>
      </c>
      <c r="AA69" s="35" t="str">
        <f aca="false">IF(ISNUMBER(Z69),RANK(Z69,$Z$2:$Z$113,0),"NA")</f>
        <v>NA</v>
      </c>
    </row>
    <row r="70" customFormat="false" ht="15" hidden="false" customHeight="true" outlineLevel="0" collapsed="false">
      <c r="A70" s="15" t="str">
        <f aca="false">Data!$A70</f>
        <v>NumPy</v>
      </c>
      <c r="B70" s="15" t="str">
        <f aca="false">Data!$B70</f>
        <v>NumPy Community</v>
      </c>
      <c r="C70" s="15" t="str">
        <f aca="false">Data!$E70</f>
        <v>Computing library | Standard, specification or protocol</v>
      </c>
      <c r="D70" s="28" t="n">
        <f aca="false">IF(Verification!C70="",Calc!B70,Verification!C70)</f>
        <v>1</v>
      </c>
      <c r="E70" s="28" t="str">
        <f aca="false">IF(Verification!D70="",Calc!D70,Verification!D70)</f>
        <v>NA</v>
      </c>
      <c r="F70" s="28" t="str">
        <f aca="false">IF(Verification!E70="",Calc!G70,Verification!E70)</f>
        <v>NA</v>
      </c>
      <c r="G70" s="28" t="n">
        <f aca="false">IF(Verification!F70="",Calc!I70,Verification!F70)</f>
        <v>1</v>
      </c>
      <c r="H70" s="28" t="n">
        <f aca="false">IF(Verification!G70="",Calc!E70,Verification!G70)</f>
        <v>1</v>
      </c>
      <c r="I70" s="28" t="n">
        <f aca="false">IF(Verification!H70="",Calc!J70,Verification!H70)</f>
        <v>1</v>
      </c>
      <c r="J70" s="28" t="n">
        <f aca="false">IF(Verification!I70="",Calc!K70,Verification!I70)</f>
        <v>1</v>
      </c>
      <c r="K70" s="29" t="n">
        <f aca="false">IF(COUNT(D70:E70)=0,"NA",(IF(ISNUMBER(D70),D70*Parameters!$E$6,0)+IF(ISNUMBER(E70),E70*Parameters!$E$7,0))/(IF(ISNUMBER(D70),Parameters!$E$6,0)+IF(ISNUMBER(E70),Parameters!$E$7,0))*100)</f>
        <v>100</v>
      </c>
      <c r="L70" s="29" t="n">
        <f aca="false">IF(COUNT(F70:H70)=0,"NA",(IF(ISNUMBER(F70),F70*Parameters!$E$8,0)+IF(ISNUMBER(G70),G70*Parameters!$E$9,0)+IF(ISNUMBER(H70),H70*Parameters!$E$10,0))/(IF(ISNUMBER(F70),Parameters!$E$8,0)+IF(ISNUMBER(G70),Parameters!$E$9,0)+IF(ISNUMBER(H70),Parameters!$E$10,0))*100)</f>
        <v>100</v>
      </c>
      <c r="M70" s="29" t="n">
        <f aca="false">IF(COUNT(I70:J70)=0,"NA",(IF(ISNUMBER(I70),I70*Parameters!$E$11,0)+IF(ISNUMBER(J70),J70*Parameters!$E$12,0))/(IF(ISNUMBER(I70),Parameters!$E$11,0)+IF(ISNUMBER(J70),Parameters!$E$12,0))*100)</f>
        <v>100</v>
      </c>
      <c r="N70" s="30" t="n">
        <f aca="false">IF(ISNUMBER(D70),Parameters!$E$6,0)+IF(ISNUMBER(E70),Parameters!$E$7,0)+IF(ISNUMBER(F70),Parameters!$E$8,0)+IF(ISNUMBER(G70),Parameters!$E$9,0)+IF(ISNUMBER(H70),Parameters!$E$10,0)+IF(ISNUMBER(I70),Parameters!$E$11,0)+IF(ISNUMBER(J70),Parameters!$E$12,0)</f>
        <v>0.6</v>
      </c>
      <c r="O70" s="31" t="n">
        <f aca="false">IF(ISNUMBER(D70),D70*Parameters!$E$6,0)+IF(ISNUMBER(E70),E70*Parameters!$E$7,0)+IF(ISNUMBER(F70),F70*Parameters!$E$8,0)+IF(ISNUMBER(G70),G70*Parameters!$E$9,0)+IF(ISNUMBER(H70),H70*Parameters!$E$10,0)+IF(ISNUMBER(I70),I70*Parameters!$E$11,0)+IF(ISNUMBER(J70),J70*Parameters!$E$12,0)</f>
        <v>0.6</v>
      </c>
      <c r="P70" s="32" t="n">
        <f aca="false">COUNT(D70:J70)</f>
        <v>5</v>
      </c>
      <c r="Q70" s="32" t="n">
        <f aca="false">(COUNT(D70:E70)&gt;0)+(COUNT(F70:H70)&gt;0)+(COUNT(I70:J70)&gt;0)</f>
        <v>3</v>
      </c>
      <c r="R70" s="32" t="str">
        <f aca="false">IF(AND(N70&gt;=Parameters!$C$56,Q70&gt;=Parameters!$C$59),"Yes","No")</f>
        <v>Yes</v>
      </c>
      <c r="S70" s="33" t="n">
        <f aca="false">IF(R70="Yes",O70/N70*100,"NA")</f>
        <v>100</v>
      </c>
      <c r="T70" s="29" t="n">
        <f aca="false">IF(R70="Yes",O70/Parameters!$E$13*100,"NA")</f>
        <v>60</v>
      </c>
      <c r="U70" s="29" t="n">
        <f aca="false">IF(R70="Yes",(O70+(Parameters!$E$13-N70))/Parameters!$E$13*100,"NA")</f>
        <v>100</v>
      </c>
      <c r="V70" s="34" t="str">
        <f aca="false">IF(R70&lt;&gt;"Yes","Not scored",IF(N70&gt;=Parameters!$C$60,"Reportable","Provisional"))</f>
        <v>Provisional</v>
      </c>
      <c r="W70" s="32" t="n">
        <f aca="false">IF(ISNUMBER(S70),RANK(S70,$S$2:$S$113,0),"NA")</f>
        <v>1</v>
      </c>
      <c r="X70" s="32" t="str">
        <f aca="false">IF(N70&gt;=Parameters!$C$60,"High",IF(N70&gt;=Parameters!$C$56,"Medium","Low"))</f>
        <v>Medium</v>
      </c>
      <c r="Y70" s="32" t="n">
        <f aca="false">Calc!T70</f>
        <v>1</v>
      </c>
      <c r="Z70" s="35" t="str">
        <f aca="false">IF(V70="Reportable",S70-ROW()*0.000000001,"")</f>
        <v/>
      </c>
      <c r="AA70" s="35" t="str">
        <f aca="false">IF(ISNUMBER(Z70),RANK(Z70,$Z$2:$Z$113,0),"NA")</f>
        <v>NA</v>
      </c>
    </row>
    <row r="71" customFormat="false" ht="15" hidden="false" customHeight="true" outlineLevel="0" collapsed="false">
      <c r="A71" s="15" t="str">
        <f aca="false">Data!$A71</f>
        <v>OA.Report</v>
      </c>
      <c r="B71" s="15" t="str">
        <f aca="false">Data!$B71</f>
        <v>OA.Works</v>
      </c>
      <c r="C71" s="15" t="str">
        <f aca="false">Data!$E71</f>
        <v>Open access or subscription management tool | Research profiling system</v>
      </c>
      <c r="D71" s="28" t="n">
        <f aca="false">IF(Verification!C71="",Calc!B71,Verification!C71)</f>
        <v>1</v>
      </c>
      <c r="E71" s="28" t="str">
        <f aca="false">IF(Verification!D71="",Calc!D71,Verification!D71)</f>
        <v>NA</v>
      </c>
      <c r="F71" s="28" t="str">
        <f aca="false">IF(Verification!E71="",Calc!G71,Verification!E71)</f>
        <v>NA</v>
      </c>
      <c r="G71" s="28" t="str">
        <f aca="false">IF(Verification!F71="",Calc!I71,Verification!F71)</f>
        <v>NA</v>
      </c>
      <c r="H71" s="28" t="n">
        <f aca="false">IF(Verification!G71="",Calc!E71,Verification!G71)</f>
        <v>1</v>
      </c>
      <c r="I71" s="28" t="n">
        <f aca="false">IF(Verification!H71="",Calc!J71,Verification!H71)</f>
        <v>0.33</v>
      </c>
      <c r="J71" s="28" t="n">
        <f aca="false">IF(Verification!I71="",Calc!K71,Verification!I71)</f>
        <v>1</v>
      </c>
      <c r="K71" s="29" t="n">
        <f aca="false">IF(COUNT(D71:E71)=0,"NA",(IF(ISNUMBER(D71),D71*Parameters!$E$6,0)+IF(ISNUMBER(E71),E71*Parameters!$E$7,0))/(IF(ISNUMBER(D71),Parameters!$E$6,0)+IF(ISNUMBER(E71),Parameters!$E$7,0))*100)</f>
        <v>100</v>
      </c>
      <c r="L71" s="29" t="n">
        <f aca="false">IF(COUNT(F71:H71)=0,"NA",(IF(ISNUMBER(F71),F71*Parameters!$E$8,0)+IF(ISNUMBER(G71),G71*Parameters!$E$9,0)+IF(ISNUMBER(H71),H71*Parameters!$E$10,0))/(IF(ISNUMBER(F71),Parameters!$E$8,0)+IF(ISNUMBER(G71),Parameters!$E$9,0)+IF(ISNUMBER(H71),Parameters!$E$10,0))*100)</f>
        <v>100</v>
      </c>
      <c r="M71" s="29" t="n">
        <f aca="false">IF(COUNT(I71:J71)=0,"NA",(IF(ISNUMBER(I71),I71*Parameters!$E$11,0)+IF(ISNUMBER(J71),J71*Parameters!$E$12,0))/(IF(ISNUMBER(I71),Parameters!$E$11,0)+IF(ISNUMBER(J71),Parameters!$E$12,0))*100)</f>
        <v>71.2857142857143</v>
      </c>
      <c r="N71" s="30" t="n">
        <f aca="false">IF(ISNUMBER(D71),Parameters!$E$6,0)+IF(ISNUMBER(E71),Parameters!$E$7,0)+IF(ISNUMBER(F71),Parameters!$E$8,0)+IF(ISNUMBER(G71),Parameters!$E$9,0)+IF(ISNUMBER(H71),Parameters!$E$10,0)+IF(ISNUMBER(I71),Parameters!$E$11,0)+IF(ISNUMBER(J71),Parameters!$E$12,0)</f>
        <v>0.48</v>
      </c>
      <c r="O71" s="31" t="n">
        <f aca="false">IF(ISNUMBER(D71),D71*Parameters!$E$6,0)+IF(ISNUMBER(E71),E71*Parameters!$E$7,0)+IF(ISNUMBER(F71),F71*Parameters!$E$8,0)+IF(ISNUMBER(G71),G71*Parameters!$E$9,0)+IF(ISNUMBER(H71),H71*Parameters!$E$10,0)+IF(ISNUMBER(I71),I71*Parameters!$E$11,0)+IF(ISNUMBER(J71),J71*Parameters!$E$12,0)</f>
        <v>0.3795</v>
      </c>
      <c r="P71" s="32" t="n">
        <f aca="false">COUNT(D71:J71)</f>
        <v>4</v>
      </c>
      <c r="Q71" s="32" t="n">
        <f aca="false">(COUNT(D71:E71)&gt;0)+(COUNT(F71:H71)&gt;0)+(COUNT(I71:J71)&gt;0)</f>
        <v>3</v>
      </c>
      <c r="R71" s="32" t="str">
        <f aca="false">IF(AND(N71&gt;=Parameters!$C$56,Q71&gt;=Parameters!$C$59),"Yes","No")</f>
        <v>No</v>
      </c>
      <c r="S71" s="33" t="str">
        <f aca="false">IF(R71="Yes",O71/N71*100,"NA")</f>
        <v>NA</v>
      </c>
      <c r="T71" s="29" t="str">
        <f aca="false">IF(R71="Yes",O71/Parameters!$E$13*100,"NA")</f>
        <v>NA</v>
      </c>
      <c r="U71" s="29" t="str">
        <f aca="false">IF(R71="Yes",(O71+(Parameters!$E$13-N71))/Parameters!$E$13*100,"NA")</f>
        <v>NA</v>
      </c>
      <c r="V71" s="34" t="str">
        <f aca="false">IF(R71&lt;&gt;"Yes","Not scored",IF(N71&gt;=Parameters!$C$60,"Reportable","Provisional"))</f>
        <v>Not scored</v>
      </c>
      <c r="W71" s="32" t="str">
        <f aca="false">IF(ISNUMBER(S71),RANK(S71,$S$2:$S$113,0),"NA")</f>
        <v>NA</v>
      </c>
      <c r="X71" s="32" t="str">
        <f aca="false">IF(N71&gt;=Parameters!$C$60,"High",IF(N71&gt;=Parameters!$C$56,"Medium","Low"))</f>
        <v>Low</v>
      </c>
      <c r="Y71" s="32" t="n">
        <f aca="false">Calc!T71</f>
        <v>1</v>
      </c>
      <c r="Z71" s="35" t="str">
        <f aca="false">IF(V71="Reportable",S71-ROW()*0.000000001,"")</f>
        <v/>
      </c>
      <c r="AA71" s="35" t="str">
        <f aca="false">IF(ISNUMBER(Z71),RANK(Z71,$Z$2:$Z$113,0),"NA")</f>
        <v>NA</v>
      </c>
    </row>
    <row r="72" customFormat="false" ht="15" hidden="false" customHeight="true" outlineLevel="0" collapsed="false">
      <c r="A72" s="15" t="str">
        <f aca="false">Data!$A72</f>
        <v>OA Switchboard</v>
      </c>
      <c r="B72" s="15" t="str">
        <f aca="false">Data!$B72</f>
        <v>Stichting OA Switchboard</v>
      </c>
      <c r="C72" s="15" t="str">
        <f aca="false">Data!$E72</f>
        <v>Open access or subscription management tool</v>
      </c>
      <c r="D72" s="28" t="n">
        <f aca="false">IF(Verification!C72="",Calc!B72,Verification!C72)</f>
        <v>1</v>
      </c>
      <c r="E72" s="28" t="n">
        <f aca="false">IF(Verification!D72="",Calc!D72,Verification!D72)</f>
        <v>0.25</v>
      </c>
      <c r="F72" s="28" t="n">
        <f aca="false">IF(Verification!E72="",Calc!G72,Verification!E72)</f>
        <v>0.833333333333333</v>
      </c>
      <c r="G72" s="28" t="n">
        <f aca="false">IF(Verification!F72="",Calc!I72,Verification!F72)</f>
        <v>0.5</v>
      </c>
      <c r="H72" s="28" t="n">
        <f aca="false">IF(Verification!G72="",Calc!E72,Verification!G72)</f>
        <v>1</v>
      </c>
      <c r="I72" s="28" t="n">
        <f aca="false">IF(Verification!H72="",Calc!J72,Verification!H72)</f>
        <v>1</v>
      </c>
      <c r="J72" s="28" t="n">
        <f aca="false">IF(Verification!I72="",Calc!K72,Verification!I72)</f>
        <v>1</v>
      </c>
      <c r="K72" s="29" t="n">
        <f aca="false">IF(COUNT(D72:E72)=0,"NA",(IF(ISNUMBER(D72),D72*Parameters!$E$6,0)+IF(ISNUMBER(E72),E72*Parameters!$E$7,0))/(IF(ISNUMBER(D72),Parameters!$E$6,0)+IF(ISNUMBER(E72),Parameters!$E$7,0))*100)</f>
        <v>45</v>
      </c>
      <c r="L72" s="29" t="n">
        <f aca="false">IF(COUNT(F72:H72)=0,"NA",(IF(ISNUMBER(F72),F72*Parameters!$E$8,0)+IF(ISNUMBER(G72),G72*Parameters!$E$9,0)+IF(ISNUMBER(H72),H72*Parameters!$E$10,0))/(IF(ISNUMBER(F72),Parameters!$E$8,0)+IF(ISNUMBER(G72),Parameters!$E$9,0)+IF(ISNUMBER(H72),Parameters!$E$10,0))*100)</f>
        <v>74.2857142857143</v>
      </c>
      <c r="M72" s="29" t="n">
        <f aca="false">IF(COUNT(I72:J72)=0,"NA",(IF(ISNUMBER(I72),I72*Parameters!$E$11,0)+IF(ISNUMBER(J72),J72*Parameters!$E$12,0))/(IF(ISNUMBER(I72),Parameters!$E$11,0)+IF(ISNUMBER(J72),Parameters!$E$12,0))*100)</f>
        <v>100</v>
      </c>
      <c r="N72" s="30" t="n">
        <f aca="false">IF(ISNUMBER(D72),Parameters!$E$6,0)+IF(ISNUMBER(E72),Parameters!$E$7,0)+IF(ISNUMBER(F72),Parameters!$E$8,0)+IF(ISNUMBER(G72),Parameters!$E$9,0)+IF(ISNUMBER(H72),Parameters!$E$10,0)+IF(ISNUMBER(I72),Parameters!$E$11,0)+IF(ISNUMBER(J72),Parameters!$E$12,0)</f>
        <v>1</v>
      </c>
      <c r="O72" s="31" t="n">
        <f aca="false">IF(ISNUMBER(D72),D72*Parameters!$E$6,0)+IF(ISNUMBER(E72),E72*Parameters!$E$7,0)+IF(ISNUMBER(F72),F72*Parameters!$E$8,0)+IF(ISNUMBER(G72),G72*Parameters!$E$9,0)+IF(ISNUMBER(H72),H72*Parameters!$E$10,0)+IF(ISNUMBER(I72),I72*Parameters!$E$11,0)+IF(ISNUMBER(J72),J72*Parameters!$E$12,0)</f>
        <v>0.745</v>
      </c>
      <c r="P72" s="32" t="n">
        <f aca="false">COUNT(D72:J72)</f>
        <v>7</v>
      </c>
      <c r="Q72" s="32" t="n">
        <f aca="false">(COUNT(D72:E72)&gt;0)+(COUNT(F72:H72)&gt;0)+(COUNT(I72:J72)&gt;0)</f>
        <v>3</v>
      </c>
      <c r="R72" s="32" t="str">
        <f aca="false">IF(AND(N72&gt;=Parameters!$C$56,Q72&gt;=Parameters!$C$59),"Yes","No")</f>
        <v>Yes</v>
      </c>
      <c r="S72" s="33" t="n">
        <f aca="false">IF(R72="Yes",O72/N72*100,"NA")</f>
        <v>74.5</v>
      </c>
      <c r="T72" s="29" t="n">
        <f aca="false">IF(R72="Yes",O72/Parameters!$E$13*100,"NA")</f>
        <v>74.5</v>
      </c>
      <c r="U72" s="29" t="n">
        <f aca="false">IF(R72="Yes",(O72+(Parameters!$E$13-N72))/Parameters!$E$13*100,"NA")</f>
        <v>74.5</v>
      </c>
      <c r="V72" s="34" t="str">
        <f aca="false">IF(R72&lt;&gt;"Yes","Not scored",IF(N72&gt;=Parameters!$C$60,"Reportable","Provisional"))</f>
        <v>Reportable</v>
      </c>
      <c r="W72" s="32" t="n">
        <f aca="false">IF(ISNUMBER(S72),RANK(S72,$S$2:$S$113,0),"NA")</f>
        <v>50</v>
      </c>
      <c r="X72" s="32" t="str">
        <f aca="false">IF(N72&gt;=Parameters!$C$60,"High",IF(N72&gt;=Parameters!$C$56,"Medium","Low"))</f>
        <v>High</v>
      </c>
      <c r="Y72" s="32" t="n">
        <f aca="false">Calc!T72</f>
        <v>0</v>
      </c>
      <c r="Z72" s="35" t="n">
        <f aca="false">IF(V72="Reportable",S72-ROW()*0.000000001,"")</f>
        <v>74.499999928</v>
      </c>
      <c r="AA72" s="35" t="n">
        <f aca="false">IF(ISNUMBER(Z72),RANK(Z72,$Z$2:$Z$113,0),"NA")</f>
        <v>29</v>
      </c>
    </row>
    <row r="73" customFormat="false" ht="15" hidden="false" customHeight="true" outlineLevel="0" collapsed="false">
      <c r="A73" s="15" t="str">
        <f aca="false">Data!$A73</f>
        <v>Omeka</v>
      </c>
      <c r="B73" s="15" t="str">
        <f aca="false">Data!$B73</f>
        <v>Digital Scholar</v>
      </c>
      <c r="C73" s="15" t="str">
        <f aca="false">Data!$E73</f>
        <v>Digital library, collection or exhibit platform</v>
      </c>
      <c r="D73" s="28" t="n">
        <f aca="false">IF(Verification!C73="",Calc!B73,Verification!C73)</f>
        <v>0.67</v>
      </c>
      <c r="E73" s="28" t="str">
        <f aca="false">IF(Verification!D73="",Calc!D73,Verification!D73)</f>
        <v>NA</v>
      </c>
      <c r="F73" s="28" t="n">
        <f aca="false">IF(Verification!E73="",Calc!G73,Verification!E73)</f>
        <v>0.333333333333333</v>
      </c>
      <c r="G73" s="28" t="n">
        <f aca="false">IF(Verification!F73="",Calc!I73,Verification!F73)</f>
        <v>0.5</v>
      </c>
      <c r="H73" s="28" t="n">
        <f aca="false">IF(Verification!G73="",Calc!E73,Verification!G73)</f>
        <v>1</v>
      </c>
      <c r="I73" s="28" t="n">
        <f aca="false">IF(Verification!H73="",Calc!J73,Verification!H73)</f>
        <v>1</v>
      </c>
      <c r="J73" s="28" t="n">
        <f aca="false">IF(Verification!I73="",Calc!K73,Verification!I73)</f>
        <v>0.5</v>
      </c>
      <c r="K73" s="29" t="n">
        <f aca="false">IF(COUNT(D73:E73)=0,"NA",(IF(ISNUMBER(D73),D73*Parameters!$E$6,0)+IF(ISNUMBER(E73),E73*Parameters!$E$7,0))/(IF(ISNUMBER(D73),Parameters!$E$6,0)+IF(ISNUMBER(E73),Parameters!$E$7,0))*100)</f>
        <v>67</v>
      </c>
      <c r="L73" s="29" t="n">
        <f aca="false">IF(COUNT(F73:H73)=0,"NA",(IF(ISNUMBER(F73),F73*Parameters!$E$8,0)+IF(ISNUMBER(G73),G73*Parameters!$E$9,0)+IF(ISNUMBER(H73),H73*Parameters!$E$10,0))/(IF(ISNUMBER(F73),Parameters!$E$8,0)+IF(ISNUMBER(G73),Parameters!$E$9,0)+IF(ISNUMBER(H73),Parameters!$E$10,0))*100)</f>
        <v>48.5714285714286</v>
      </c>
      <c r="M73" s="29" t="n">
        <f aca="false">IF(COUNT(I73:J73)=0,"NA",(IF(ISNUMBER(I73),I73*Parameters!$E$11,0)+IF(ISNUMBER(J73),J73*Parameters!$E$12,0))/(IF(ISNUMBER(I73),Parameters!$E$11,0)+IF(ISNUMBER(J73),Parameters!$E$12,0))*100)</f>
        <v>71.4285714285714</v>
      </c>
      <c r="N73" s="30" t="n">
        <f aca="false">IF(ISNUMBER(D73),Parameters!$E$6,0)+IF(ISNUMBER(E73),Parameters!$E$7,0)+IF(ISNUMBER(F73),Parameters!$E$8,0)+IF(ISNUMBER(G73),Parameters!$E$9,0)+IF(ISNUMBER(H73),Parameters!$E$10,0)+IF(ISNUMBER(I73),Parameters!$E$11,0)+IF(ISNUMBER(J73),Parameters!$E$12,0)</f>
        <v>0.78</v>
      </c>
      <c r="O73" s="31" t="n">
        <f aca="false">IF(ISNUMBER(D73),D73*Parameters!$E$6,0)+IF(ISNUMBER(E73),E73*Parameters!$E$7,0)+IF(ISNUMBER(F73),F73*Parameters!$E$8,0)+IF(ISNUMBER(G73),G73*Parameters!$E$9,0)+IF(ISNUMBER(H73),H73*Parameters!$E$10,0)+IF(ISNUMBER(I73),I73*Parameters!$E$11,0)+IF(ISNUMBER(J73),J73*Parameters!$E$12,0)</f>
        <v>0.4736</v>
      </c>
      <c r="P73" s="32" t="n">
        <f aca="false">COUNT(D73:J73)</f>
        <v>6</v>
      </c>
      <c r="Q73" s="32" t="n">
        <f aca="false">(COUNT(D73:E73)&gt;0)+(COUNT(F73:H73)&gt;0)+(COUNT(I73:J73)&gt;0)</f>
        <v>3</v>
      </c>
      <c r="R73" s="32" t="str">
        <f aca="false">IF(AND(N73&gt;=Parameters!$C$56,Q73&gt;=Parameters!$C$59),"Yes","No")</f>
        <v>Yes</v>
      </c>
      <c r="S73" s="33" t="n">
        <f aca="false">IF(R73="Yes",O73/N73*100,"NA")</f>
        <v>60.7179487179487</v>
      </c>
      <c r="T73" s="29" t="n">
        <f aca="false">IF(R73="Yes",O73/Parameters!$E$13*100,"NA")</f>
        <v>47.36</v>
      </c>
      <c r="U73" s="29" t="n">
        <f aca="false">IF(R73="Yes",(O73+(Parameters!$E$13-N73))/Parameters!$E$13*100,"NA")</f>
        <v>69.36</v>
      </c>
      <c r="V73" s="34" t="str">
        <f aca="false">IF(R73&lt;&gt;"Yes","Not scored",IF(N73&gt;=Parameters!$C$60,"Reportable","Provisional"))</f>
        <v>Provisional</v>
      </c>
      <c r="W73" s="32" t="n">
        <f aca="false">IF(ISNUMBER(S73),RANK(S73,$S$2:$S$113,0),"NA")</f>
        <v>71</v>
      </c>
      <c r="X73" s="32" t="str">
        <f aca="false">IF(N73&gt;=Parameters!$C$60,"High",IF(N73&gt;=Parameters!$C$56,"Medium","Low"))</f>
        <v>Medium</v>
      </c>
      <c r="Y73" s="32" t="n">
        <f aca="false">Calc!T73</f>
        <v>0</v>
      </c>
      <c r="Z73" s="35" t="str">
        <f aca="false">IF(V73="Reportable",S73-ROW()*0.000000001,"")</f>
        <v/>
      </c>
      <c r="AA73" s="35" t="str">
        <f aca="false">IF(ISNUMBER(Z73),RANK(Z73,$Z$2:$Z$113,0),"NA")</f>
        <v>NA</v>
      </c>
    </row>
    <row r="74" customFormat="false" ht="15" hidden="false" customHeight="true" outlineLevel="0" collapsed="false">
      <c r="A74" s="15" t="str">
        <f aca="false">Data!$A74</f>
        <v>OpenAIRE Graph</v>
      </c>
      <c r="B74" s="15" t="str">
        <f aca="false">Data!$B74</f>
        <v>OpenAIRE</v>
      </c>
      <c r="C74" s="15" t="str">
        <f aca="false">Data!$E74</f>
        <v>Discovery system | Open scholarly dataset</v>
      </c>
      <c r="D74" s="28" t="n">
        <f aca="false">IF(Verification!C74="",Calc!B74,Verification!C74)</f>
        <v>1</v>
      </c>
      <c r="E74" s="28" t="n">
        <f aca="false">IF(Verification!D74="",Calc!D74,Verification!D74)</f>
        <v>1</v>
      </c>
      <c r="F74" s="28" t="str">
        <f aca="false">IF(Verification!E74="",Calc!G74,Verification!E74)</f>
        <v>NA</v>
      </c>
      <c r="G74" s="28" t="str">
        <f aca="false">IF(Verification!F74="",Calc!I74,Verification!F74)</f>
        <v>NA</v>
      </c>
      <c r="H74" s="28" t="n">
        <f aca="false">IF(Verification!G74="",Calc!E74,Verification!G74)</f>
        <v>0.5</v>
      </c>
      <c r="I74" s="28" t="n">
        <f aca="false">IF(Verification!H74="",Calc!J74,Verification!H74)</f>
        <v>1</v>
      </c>
      <c r="J74" s="28" t="n">
        <f aca="false">IF(Verification!I74="",Calc!K74,Verification!I74)</f>
        <v>1</v>
      </c>
      <c r="K74" s="29" t="n">
        <f aca="false">IF(COUNT(D74:E74)=0,"NA",(IF(ISNUMBER(D74),D74*Parameters!$E$6,0)+IF(ISNUMBER(E74),E74*Parameters!$E$7,0))/(IF(ISNUMBER(D74),Parameters!$E$6,0)+IF(ISNUMBER(E74),Parameters!$E$7,0))*100)</f>
        <v>100</v>
      </c>
      <c r="L74" s="29" t="n">
        <f aca="false">IF(COUNT(F74:H74)=0,"NA",(IF(ISNUMBER(F74),F74*Parameters!$E$8,0)+IF(ISNUMBER(G74),G74*Parameters!$E$9,0)+IF(ISNUMBER(H74),H74*Parameters!$E$10,0))/(IF(ISNUMBER(F74),Parameters!$E$8,0)+IF(ISNUMBER(G74),Parameters!$E$9,0)+IF(ISNUMBER(H74),Parameters!$E$10,0))*100)</f>
        <v>50</v>
      </c>
      <c r="M74" s="29" t="n">
        <f aca="false">IF(COUNT(I74:J74)=0,"NA",(IF(ISNUMBER(I74),I74*Parameters!$E$11,0)+IF(ISNUMBER(J74),J74*Parameters!$E$12,0))/(IF(ISNUMBER(I74),Parameters!$E$11,0)+IF(ISNUMBER(J74),Parameters!$E$12,0))*100)</f>
        <v>100</v>
      </c>
      <c r="N74" s="30" t="n">
        <f aca="false">IF(ISNUMBER(D74),Parameters!$E$6,0)+IF(ISNUMBER(E74),Parameters!$E$7,0)+IF(ISNUMBER(F74),Parameters!$E$8,0)+IF(ISNUMBER(G74),Parameters!$E$9,0)+IF(ISNUMBER(H74),Parameters!$E$10,0)+IF(ISNUMBER(I74),Parameters!$E$11,0)+IF(ISNUMBER(J74),Parameters!$E$12,0)</f>
        <v>0.7</v>
      </c>
      <c r="O74" s="31" t="n">
        <f aca="false">IF(ISNUMBER(D74),D74*Parameters!$E$6,0)+IF(ISNUMBER(E74),E74*Parameters!$E$7,0)+IF(ISNUMBER(F74),F74*Parameters!$E$8,0)+IF(ISNUMBER(G74),G74*Parameters!$E$9,0)+IF(ISNUMBER(H74),H74*Parameters!$E$10,0)+IF(ISNUMBER(I74),I74*Parameters!$E$11,0)+IF(ISNUMBER(J74),J74*Parameters!$E$12,0)</f>
        <v>0.675</v>
      </c>
      <c r="P74" s="32" t="n">
        <f aca="false">COUNT(D74:J74)</f>
        <v>5</v>
      </c>
      <c r="Q74" s="32" t="n">
        <f aca="false">(COUNT(D74:E74)&gt;0)+(COUNT(F74:H74)&gt;0)+(COUNT(I74:J74)&gt;0)</f>
        <v>3</v>
      </c>
      <c r="R74" s="32" t="str">
        <f aca="false">IF(AND(N74&gt;=Parameters!$C$56,Q74&gt;=Parameters!$C$59),"Yes","No")</f>
        <v>Yes</v>
      </c>
      <c r="S74" s="33" t="n">
        <f aca="false">IF(R74="Yes",O74/N74*100,"NA")</f>
        <v>96.4285714285714</v>
      </c>
      <c r="T74" s="29" t="n">
        <f aca="false">IF(R74="Yes",O74/Parameters!$E$13*100,"NA")</f>
        <v>67.5</v>
      </c>
      <c r="U74" s="29" t="n">
        <f aca="false">IF(R74="Yes",(O74+(Parameters!$E$13-N74))/Parameters!$E$13*100,"NA")</f>
        <v>97.5</v>
      </c>
      <c r="V74" s="34" t="str">
        <f aca="false">IF(R74&lt;&gt;"Yes","Not scored",IF(N74&gt;=Parameters!$C$60,"Reportable","Provisional"))</f>
        <v>Provisional</v>
      </c>
      <c r="W74" s="32" t="n">
        <f aca="false">IF(ISNUMBER(S74),RANK(S74,$S$2:$S$113,0),"NA")</f>
        <v>10</v>
      </c>
      <c r="X74" s="32" t="str">
        <f aca="false">IF(N74&gt;=Parameters!$C$60,"High",IF(N74&gt;=Parameters!$C$56,"Medium","Low"))</f>
        <v>Medium</v>
      </c>
      <c r="Y74" s="32" t="n">
        <f aca="false">Calc!T74</f>
        <v>0</v>
      </c>
      <c r="Z74" s="35" t="str">
        <f aca="false">IF(V74="Reportable",S74-ROW()*0.000000001,"")</f>
        <v/>
      </c>
      <c r="AA74" s="35" t="str">
        <f aca="false">IF(ISNUMBER(Z74),RANK(Z74,$Z$2:$Z$113,0),"NA")</f>
        <v>NA</v>
      </c>
    </row>
    <row r="75" customFormat="false" ht="15" hidden="false" customHeight="true" outlineLevel="0" collapsed="false">
      <c r="A75" s="15" t="str">
        <f aca="false">Data!$A75</f>
        <v>OpenAlex</v>
      </c>
      <c r="B75" s="15" t="str">
        <f aca="false">Data!$B75</f>
        <v>OurResearch</v>
      </c>
      <c r="C75" s="15" t="str">
        <f aca="false">Data!$E75</f>
        <v>Open scholarly dataset</v>
      </c>
      <c r="D75" s="28" t="n">
        <f aca="false">IF(Verification!C75="",Calc!B75,Verification!C75)</f>
        <v>1</v>
      </c>
      <c r="E75" s="28" t="n">
        <f aca="false">IF(Verification!D75="",Calc!D75,Verification!D75)</f>
        <v>0.375</v>
      </c>
      <c r="F75" s="28" t="n">
        <f aca="false">IF(Verification!E75="",Calc!G75,Verification!E75)</f>
        <v>0.166666666666667</v>
      </c>
      <c r="G75" s="28" t="n">
        <f aca="false">IF(Verification!F75="",Calc!I75,Verification!F75)</f>
        <v>0.5</v>
      </c>
      <c r="H75" s="28" t="n">
        <f aca="false">IF(Verification!G75="",Calc!E75,Verification!G75)</f>
        <v>1</v>
      </c>
      <c r="I75" s="28" t="n">
        <f aca="false">IF(Verification!H75="",Calc!J75,Verification!H75)</f>
        <v>0</v>
      </c>
      <c r="J75" s="28" t="n">
        <f aca="false">IF(Verification!I75="",Calc!K75,Verification!I75)</f>
        <v>1</v>
      </c>
      <c r="K75" s="29" t="n">
        <f aca="false">IF(COUNT(D75:E75)=0,"NA",(IF(ISNUMBER(D75),D75*Parameters!$E$6,0)+IF(ISNUMBER(E75),E75*Parameters!$E$7,0))/(IF(ISNUMBER(D75),Parameters!$E$6,0)+IF(ISNUMBER(E75),Parameters!$E$7,0))*100)</f>
        <v>54.1666666666667</v>
      </c>
      <c r="L75" s="29" t="n">
        <f aca="false">IF(COUNT(F75:H75)=0,"NA",(IF(ISNUMBER(F75),F75*Parameters!$E$8,0)+IF(ISNUMBER(G75),G75*Parameters!$E$9,0)+IF(ISNUMBER(H75),H75*Parameters!$E$10,0))/(IF(ISNUMBER(F75),Parameters!$E$8,0)+IF(ISNUMBER(G75),Parameters!$E$9,0)+IF(ISNUMBER(H75),Parameters!$E$10,0))*100)</f>
        <v>40</v>
      </c>
      <c r="M75" s="29" t="n">
        <f aca="false">IF(COUNT(I75:J75)=0,"NA",(IF(ISNUMBER(I75),I75*Parameters!$E$11,0)+IF(ISNUMBER(J75),J75*Parameters!$E$12,0))/(IF(ISNUMBER(I75),Parameters!$E$11,0)+IF(ISNUMBER(J75),Parameters!$E$12,0))*100)</f>
        <v>57.1428571428572</v>
      </c>
      <c r="N75" s="30" t="n">
        <f aca="false">IF(ISNUMBER(D75),Parameters!$E$6,0)+IF(ISNUMBER(E75),Parameters!$E$7,0)+IF(ISNUMBER(F75),Parameters!$E$8,0)+IF(ISNUMBER(G75),Parameters!$E$9,0)+IF(ISNUMBER(H75),Parameters!$E$10,0)+IF(ISNUMBER(I75),Parameters!$E$11,0)+IF(ISNUMBER(J75),Parameters!$E$12,0)</f>
        <v>1</v>
      </c>
      <c r="O75" s="31" t="n">
        <f aca="false">IF(ISNUMBER(D75),D75*Parameters!$E$6,0)+IF(ISNUMBER(E75),E75*Parameters!$E$7,0)+IF(ISNUMBER(F75),F75*Parameters!$E$8,0)+IF(ISNUMBER(G75),G75*Parameters!$E$9,0)+IF(ISNUMBER(H75),H75*Parameters!$E$10,0)+IF(ISNUMBER(I75),I75*Parameters!$E$11,0)+IF(ISNUMBER(J75),J75*Parameters!$E$12,0)</f>
        <v>0.5025</v>
      </c>
      <c r="P75" s="32" t="n">
        <f aca="false">COUNT(D75:J75)</f>
        <v>7</v>
      </c>
      <c r="Q75" s="32" t="n">
        <f aca="false">(COUNT(D75:E75)&gt;0)+(COUNT(F75:H75)&gt;0)+(COUNT(I75:J75)&gt;0)</f>
        <v>3</v>
      </c>
      <c r="R75" s="32" t="str">
        <f aca="false">IF(AND(N75&gt;=Parameters!$C$56,Q75&gt;=Parameters!$C$59),"Yes","No")</f>
        <v>Yes</v>
      </c>
      <c r="S75" s="33" t="n">
        <f aca="false">IF(R75="Yes",O75/N75*100,"NA")</f>
        <v>50.25</v>
      </c>
      <c r="T75" s="29" t="n">
        <f aca="false">IF(R75="Yes",O75/Parameters!$E$13*100,"NA")</f>
        <v>50.25</v>
      </c>
      <c r="U75" s="29" t="n">
        <f aca="false">IF(R75="Yes",(O75+(Parameters!$E$13-N75))/Parameters!$E$13*100,"NA")</f>
        <v>50.25</v>
      </c>
      <c r="V75" s="34" t="str">
        <f aca="false">IF(R75&lt;&gt;"Yes","Not scored",IF(N75&gt;=Parameters!$C$60,"Reportable","Provisional"))</f>
        <v>Reportable</v>
      </c>
      <c r="W75" s="32" t="n">
        <f aca="false">IF(ISNUMBER(S75),RANK(S75,$S$2:$S$113,0),"NA")</f>
        <v>81</v>
      </c>
      <c r="X75" s="32" t="str">
        <f aca="false">IF(N75&gt;=Parameters!$C$60,"High",IF(N75&gt;=Parameters!$C$56,"Medium","Low"))</f>
        <v>High</v>
      </c>
      <c r="Y75" s="32" t="n">
        <f aca="false">Calc!T75</f>
        <v>2</v>
      </c>
      <c r="Z75" s="35" t="n">
        <f aca="false">IF(V75="Reportable",S75-ROW()*0.000000001,"")</f>
        <v>50.249999925</v>
      </c>
      <c r="AA75" s="35" t="n">
        <f aca="false">IF(ISNUMBER(Z75),RANK(Z75,$Z$2:$Z$113,0),"NA")</f>
        <v>47</v>
      </c>
    </row>
    <row r="76" customFormat="false" ht="15" hidden="false" customHeight="true" outlineLevel="0" collapsed="false">
      <c r="A76" s="15" t="str">
        <f aca="false">Data!$A76</f>
        <v>OpenAPC</v>
      </c>
      <c r="B76" s="15" t="str">
        <f aca="false">Data!$B76</f>
        <v>Bielefeld University</v>
      </c>
      <c r="C76" s="15" t="str">
        <f aca="false">Data!$E76</f>
        <v>Open scholarly dataset</v>
      </c>
      <c r="D76" s="28" t="n">
        <f aca="false">IF(Verification!C76="",Calc!B76,Verification!C76)</f>
        <v>1</v>
      </c>
      <c r="E76" s="28" t="n">
        <f aca="false">IF(Verification!D76="",Calc!D76,Verification!D76)</f>
        <v>0.5</v>
      </c>
      <c r="F76" s="28" t="str">
        <f aca="false">IF(Verification!E76="",Calc!G76,Verification!E76)</f>
        <v>NA</v>
      </c>
      <c r="G76" s="28" t="n">
        <f aca="false">IF(Verification!F76="",Calc!I76,Verification!F76)</f>
        <v>0.5</v>
      </c>
      <c r="H76" s="28" t="n">
        <f aca="false">IF(Verification!G76="",Calc!E76,Verification!G76)</f>
        <v>1</v>
      </c>
      <c r="I76" s="28" t="n">
        <f aca="false">IF(Verification!H76="",Calc!J76,Verification!H76)</f>
        <v>1</v>
      </c>
      <c r="J76" s="28" t="str">
        <f aca="false">IF(Verification!I76="",Calc!K76,Verification!I76)</f>
        <v>NA</v>
      </c>
      <c r="K76" s="29" t="n">
        <f aca="false">IF(COUNT(D76:E76)=0,"NA",(IF(ISNUMBER(D76),D76*Parameters!$E$6,0)+IF(ISNUMBER(E76),E76*Parameters!$E$7,0))/(IF(ISNUMBER(D76),Parameters!$E$6,0)+IF(ISNUMBER(E76),Parameters!$E$7,0))*100)</f>
        <v>63.3333333333333</v>
      </c>
      <c r="L76" s="29" t="n">
        <f aca="false">IF(COUNT(F76:H76)=0,"NA",(IF(ISNUMBER(F76),F76*Parameters!$E$8,0)+IF(ISNUMBER(G76),G76*Parameters!$E$9,0)+IF(ISNUMBER(H76),H76*Parameters!$E$10,0))/(IF(ISNUMBER(F76),Parameters!$E$8,0)+IF(ISNUMBER(G76),Parameters!$E$9,0)+IF(ISNUMBER(H76),Parameters!$E$10,0))*100)</f>
        <v>64.7058823529412</v>
      </c>
      <c r="M76" s="29" t="n">
        <f aca="false">IF(COUNT(I76:J76)=0,"NA",(IF(ISNUMBER(I76),I76*Parameters!$E$11,0)+IF(ISNUMBER(J76),J76*Parameters!$E$12,0))/(IF(ISNUMBER(I76),Parameters!$E$11,0)+IF(ISNUMBER(J76),Parameters!$E$12,0))*100)</f>
        <v>100</v>
      </c>
      <c r="N76" s="30" t="n">
        <f aca="false">IF(ISNUMBER(D76),Parameters!$E$6,0)+IF(ISNUMBER(E76),Parameters!$E$7,0)+IF(ISNUMBER(F76),Parameters!$E$8,0)+IF(ISNUMBER(G76),Parameters!$E$9,0)+IF(ISNUMBER(H76),Parameters!$E$10,0)+IF(ISNUMBER(I76),Parameters!$E$11,0)+IF(ISNUMBER(J76),Parameters!$E$12,0)</f>
        <v>0.62</v>
      </c>
      <c r="O76" s="31" t="n">
        <f aca="false">IF(ISNUMBER(D76),D76*Parameters!$E$6,0)+IF(ISNUMBER(E76),E76*Parameters!$E$7,0)+IF(ISNUMBER(F76),F76*Parameters!$E$8,0)+IF(ISNUMBER(G76),G76*Parameters!$E$9,0)+IF(ISNUMBER(H76),H76*Parameters!$E$10,0)+IF(ISNUMBER(I76),I76*Parameters!$E$11,0)+IF(ISNUMBER(J76),J76*Parameters!$E$12,0)</f>
        <v>0.45</v>
      </c>
      <c r="P76" s="32" t="n">
        <f aca="false">COUNT(D76:J76)</f>
        <v>5</v>
      </c>
      <c r="Q76" s="32" t="n">
        <f aca="false">(COUNT(D76:E76)&gt;0)+(COUNT(F76:H76)&gt;0)+(COUNT(I76:J76)&gt;0)</f>
        <v>3</v>
      </c>
      <c r="R76" s="32" t="str">
        <f aca="false">IF(AND(N76&gt;=Parameters!$C$56,Q76&gt;=Parameters!$C$59),"Yes","No")</f>
        <v>Yes</v>
      </c>
      <c r="S76" s="33" t="n">
        <f aca="false">IF(R76="Yes",O76/N76*100,"NA")</f>
        <v>72.5806451612903</v>
      </c>
      <c r="T76" s="29" t="n">
        <f aca="false">IF(R76="Yes",O76/Parameters!$E$13*100,"NA")</f>
        <v>45</v>
      </c>
      <c r="U76" s="29" t="n">
        <f aca="false">IF(R76="Yes",(O76+(Parameters!$E$13-N76))/Parameters!$E$13*100,"NA")</f>
        <v>83</v>
      </c>
      <c r="V76" s="34" t="str">
        <f aca="false">IF(R76&lt;&gt;"Yes","Not scored",IF(N76&gt;=Parameters!$C$60,"Reportable","Provisional"))</f>
        <v>Provisional</v>
      </c>
      <c r="W76" s="32" t="n">
        <f aca="false">IF(ISNUMBER(S76),RANK(S76,$S$2:$S$113,0),"NA")</f>
        <v>55</v>
      </c>
      <c r="X76" s="32" t="str">
        <f aca="false">IF(N76&gt;=Parameters!$C$60,"High",IF(N76&gt;=Parameters!$C$56,"Medium","Low"))</f>
        <v>Medium</v>
      </c>
      <c r="Y76" s="32" t="n">
        <f aca="false">Calc!T76</f>
        <v>0</v>
      </c>
      <c r="Z76" s="35" t="str">
        <f aca="false">IF(V76="Reportable",S76-ROW()*0.000000001,"")</f>
        <v/>
      </c>
      <c r="AA76" s="35" t="str">
        <f aca="false">IF(ISNUMBER(Z76),RANK(Z76,$Z$2:$Z$113,0),"NA")</f>
        <v>NA</v>
      </c>
    </row>
    <row r="77" customFormat="false" ht="15" hidden="false" customHeight="true" outlineLevel="0" collapsed="false">
      <c r="A77" s="15" t="str">
        <f aca="false">Data!$A77</f>
        <v>OpenCitations</v>
      </c>
      <c r="B77" s="15" t="str">
        <f aca="false">Data!$B77</f>
        <v>Research Centre for Open Scholarly Metadata, University of Bologna</v>
      </c>
      <c r="C77" s="15" t="str">
        <f aca="false">Data!$E77</f>
        <v>Open scholarly dataset</v>
      </c>
      <c r="D77" s="28" t="n">
        <f aca="false">IF(Verification!C77="",Calc!B77,Verification!C77)</f>
        <v>0.33</v>
      </c>
      <c r="E77" s="28" t="n">
        <f aca="false">IF(Verification!D77="",Calc!D77,Verification!D77)</f>
        <v>0</v>
      </c>
      <c r="F77" s="28" t="n">
        <f aca="false">IF(Verification!E77="",Calc!G77,Verification!E77)</f>
        <v>0.833333333333333</v>
      </c>
      <c r="G77" s="28" t="n">
        <f aca="false">IF(Verification!F77="",Calc!I77,Verification!F77)</f>
        <v>0.5</v>
      </c>
      <c r="H77" s="28" t="n">
        <f aca="false">IF(Verification!G77="",Calc!E77,Verification!G77)</f>
        <v>1</v>
      </c>
      <c r="I77" s="28" t="n">
        <f aca="false">IF(Verification!H77="",Calc!J77,Verification!H77)</f>
        <v>1</v>
      </c>
      <c r="J77" s="28" t="n">
        <f aca="false">IF(Verification!I77="",Calc!K77,Verification!I77)</f>
        <v>1</v>
      </c>
      <c r="K77" s="29" t="n">
        <f aca="false">IF(COUNT(D77:E77)=0,"NA",(IF(ISNUMBER(D77),D77*Parameters!$E$6,0)+IF(ISNUMBER(E77),E77*Parameters!$E$7,0))/(IF(ISNUMBER(D77),Parameters!$E$6,0)+IF(ISNUMBER(E77),Parameters!$E$7,0))*100)</f>
        <v>8.8</v>
      </c>
      <c r="L77" s="29" t="n">
        <f aca="false">IF(COUNT(F77:H77)=0,"NA",(IF(ISNUMBER(F77),F77*Parameters!$E$8,0)+IF(ISNUMBER(G77),G77*Parameters!$E$9,0)+IF(ISNUMBER(H77),H77*Parameters!$E$10,0))/(IF(ISNUMBER(F77),Parameters!$E$8,0)+IF(ISNUMBER(G77),Parameters!$E$9,0)+IF(ISNUMBER(H77),Parameters!$E$10,0))*100)</f>
        <v>74.2857142857143</v>
      </c>
      <c r="M77" s="29" t="n">
        <f aca="false">IF(COUNT(I77:J77)=0,"NA",(IF(ISNUMBER(I77),I77*Parameters!$E$11,0)+IF(ISNUMBER(J77),J77*Parameters!$E$12,0))/(IF(ISNUMBER(I77),Parameters!$E$11,0)+IF(ISNUMBER(J77),Parameters!$E$12,0))*100)</f>
        <v>100</v>
      </c>
      <c r="N77" s="30" t="n">
        <f aca="false">IF(ISNUMBER(D77),Parameters!$E$6,0)+IF(ISNUMBER(E77),Parameters!$E$7,0)+IF(ISNUMBER(F77),Parameters!$E$8,0)+IF(ISNUMBER(G77),Parameters!$E$9,0)+IF(ISNUMBER(H77),Parameters!$E$10,0)+IF(ISNUMBER(I77),Parameters!$E$11,0)+IF(ISNUMBER(J77),Parameters!$E$12,0)</f>
        <v>1</v>
      </c>
      <c r="O77" s="31" t="n">
        <f aca="false">IF(ISNUMBER(D77),D77*Parameters!$E$6,0)+IF(ISNUMBER(E77),E77*Parameters!$E$7,0)+IF(ISNUMBER(F77),F77*Parameters!$E$8,0)+IF(ISNUMBER(G77),G77*Parameters!$E$9,0)+IF(ISNUMBER(H77),H77*Parameters!$E$10,0)+IF(ISNUMBER(I77),I77*Parameters!$E$11,0)+IF(ISNUMBER(J77),J77*Parameters!$E$12,0)</f>
        <v>0.6364</v>
      </c>
      <c r="P77" s="32" t="n">
        <f aca="false">COUNT(D77:J77)</f>
        <v>7</v>
      </c>
      <c r="Q77" s="32" t="n">
        <f aca="false">(COUNT(D77:E77)&gt;0)+(COUNT(F77:H77)&gt;0)+(COUNT(I77:J77)&gt;0)</f>
        <v>3</v>
      </c>
      <c r="R77" s="32" t="str">
        <f aca="false">IF(AND(N77&gt;=Parameters!$C$56,Q77&gt;=Parameters!$C$59),"Yes","No")</f>
        <v>Yes</v>
      </c>
      <c r="S77" s="33" t="n">
        <f aca="false">IF(R77="Yes",O77/N77*100,"NA")</f>
        <v>63.64</v>
      </c>
      <c r="T77" s="29" t="n">
        <f aca="false">IF(R77="Yes",O77/Parameters!$E$13*100,"NA")</f>
        <v>63.64</v>
      </c>
      <c r="U77" s="29" t="n">
        <f aca="false">IF(R77="Yes",(O77+(Parameters!$E$13-N77))/Parameters!$E$13*100,"NA")</f>
        <v>63.64</v>
      </c>
      <c r="V77" s="34" t="str">
        <f aca="false">IF(R77&lt;&gt;"Yes","Not scored",IF(N77&gt;=Parameters!$C$60,"Reportable","Provisional"))</f>
        <v>Reportable</v>
      </c>
      <c r="W77" s="32" t="n">
        <f aca="false">IF(ISNUMBER(S77),RANK(S77,$S$2:$S$113,0),"NA")</f>
        <v>64</v>
      </c>
      <c r="X77" s="32" t="str">
        <f aca="false">IF(N77&gt;=Parameters!$C$60,"High",IF(N77&gt;=Parameters!$C$56,"Medium","Low"))</f>
        <v>High</v>
      </c>
      <c r="Y77" s="32" t="n">
        <f aca="false">Calc!T77</f>
        <v>1</v>
      </c>
      <c r="Z77" s="35" t="n">
        <f aca="false">IF(V77="Reportable",S77-ROW()*0.000000001,"")</f>
        <v>63.639999923</v>
      </c>
      <c r="AA77" s="35" t="n">
        <f aca="false">IF(ISNUMBER(Z77),RANK(Z77,$Z$2:$Z$113,0),"NA")</f>
        <v>38</v>
      </c>
    </row>
    <row r="78" customFormat="false" ht="15" hidden="false" customHeight="true" outlineLevel="0" collapsed="false">
      <c r="A78" s="15" t="str">
        <f aca="false">Data!$A78</f>
        <v>openCost</v>
      </c>
      <c r="B78" s="15" t="str">
        <f aca="false">Data!$B78</f>
        <v>openCost</v>
      </c>
      <c r="C78" s="15" t="str">
        <f aca="false">Data!$E78</f>
        <v>Open scholarly dataset | Standard, specification or protocol</v>
      </c>
      <c r="D78" s="28" t="n">
        <f aca="false">IF(Verification!C78="",Calc!B78,Verification!C78)</f>
        <v>1</v>
      </c>
      <c r="E78" s="28" t="n">
        <f aca="false">IF(Verification!D78="",Calc!D78,Verification!D78)</f>
        <v>0.625</v>
      </c>
      <c r="F78" s="28" t="str">
        <f aca="false">IF(Verification!E78="",Calc!G78,Verification!E78)</f>
        <v>NA</v>
      </c>
      <c r="G78" s="28" t="n">
        <f aca="false">IF(Verification!F78="",Calc!I78,Verification!F78)</f>
        <v>0.5</v>
      </c>
      <c r="H78" s="28" t="n">
        <f aca="false">IF(Verification!G78="",Calc!E78,Verification!G78)</f>
        <v>1</v>
      </c>
      <c r="I78" s="28" t="n">
        <f aca="false">IF(Verification!H78="",Calc!J78,Verification!H78)</f>
        <v>0</v>
      </c>
      <c r="J78" s="28" t="str">
        <f aca="false">IF(Verification!I78="",Calc!K78,Verification!I78)</f>
        <v>NA</v>
      </c>
      <c r="K78" s="29" t="n">
        <f aca="false">IF(COUNT(D78:E78)=0,"NA",(IF(ISNUMBER(D78),D78*Parameters!$E$6,0)+IF(ISNUMBER(E78),E78*Parameters!$E$7,0))/(IF(ISNUMBER(D78),Parameters!$E$6,0)+IF(ISNUMBER(E78),Parameters!$E$7,0))*100)</f>
        <v>72.5</v>
      </c>
      <c r="L78" s="29" t="n">
        <f aca="false">IF(COUNT(F78:H78)=0,"NA",(IF(ISNUMBER(F78),F78*Parameters!$E$8,0)+IF(ISNUMBER(G78),G78*Parameters!$E$9,0)+IF(ISNUMBER(H78),H78*Parameters!$E$10,0))/(IF(ISNUMBER(F78),Parameters!$E$8,0)+IF(ISNUMBER(G78),Parameters!$E$9,0)+IF(ISNUMBER(H78),Parameters!$E$10,0))*100)</f>
        <v>64.7058823529412</v>
      </c>
      <c r="M78" s="29" t="n">
        <f aca="false">IF(COUNT(I78:J78)=0,"NA",(IF(ISNUMBER(I78),I78*Parameters!$E$11,0)+IF(ISNUMBER(J78),J78*Parameters!$E$12,0))/(IF(ISNUMBER(I78),Parameters!$E$11,0)+IF(ISNUMBER(J78),Parameters!$E$12,0))*100)</f>
        <v>0</v>
      </c>
      <c r="N78" s="30" t="n">
        <f aca="false">IF(ISNUMBER(D78),Parameters!$E$6,0)+IF(ISNUMBER(E78),Parameters!$E$7,0)+IF(ISNUMBER(F78),Parameters!$E$8,0)+IF(ISNUMBER(G78),Parameters!$E$9,0)+IF(ISNUMBER(H78),Parameters!$E$10,0)+IF(ISNUMBER(I78),Parameters!$E$11,0)+IF(ISNUMBER(J78),Parameters!$E$12,0)</f>
        <v>0.62</v>
      </c>
      <c r="O78" s="31" t="n">
        <f aca="false">IF(ISNUMBER(D78),D78*Parameters!$E$6,0)+IF(ISNUMBER(E78),E78*Parameters!$E$7,0)+IF(ISNUMBER(F78),F78*Parameters!$E$8,0)+IF(ISNUMBER(G78),G78*Parameters!$E$9,0)+IF(ISNUMBER(H78),H78*Parameters!$E$10,0)+IF(ISNUMBER(I78),I78*Parameters!$E$11,0)+IF(ISNUMBER(J78),J78*Parameters!$E$12,0)</f>
        <v>0.3275</v>
      </c>
      <c r="P78" s="32" t="n">
        <f aca="false">COUNT(D78:J78)</f>
        <v>5</v>
      </c>
      <c r="Q78" s="32" t="n">
        <f aca="false">(COUNT(D78:E78)&gt;0)+(COUNT(F78:H78)&gt;0)+(COUNT(I78:J78)&gt;0)</f>
        <v>3</v>
      </c>
      <c r="R78" s="32" t="str">
        <f aca="false">IF(AND(N78&gt;=Parameters!$C$56,Q78&gt;=Parameters!$C$59),"Yes","No")</f>
        <v>Yes</v>
      </c>
      <c r="S78" s="33" t="n">
        <f aca="false">IF(R78="Yes",O78/N78*100,"NA")</f>
        <v>52.8225806451613</v>
      </c>
      <c r="T78" s="29" t="n">
        <f aca="false">IF(R78="Yes",O78/Parameters!$E$13*100,"NA")</f>
        <v>32.75</v>
      </c>
      <c r="U78" s="29" t="n">
        <f aca="false">IF(R78="Yes",(O78+(Parameters!$E$13-N78))/Parameters!$E$13*100,"NA")</f>
        <v>70.75</v>
      </c>
      <c r="V78" s="34" t="str">
        <f aca="false">IF(R78&lt;&gt;"Yes","Not scored",IF(N78&gt;=Parameters!$C$60,"Reportable","Provisional"))</f>
        <v>Provisional</v>
      </c>
      <c r="W78" s="32" t="n">
        <f aca="false">IF(ISNUMBER(S78),RANK(S78,$S$2:$S$113,0),"NA")</f>
        <v>77</v>
      </c>
      <c r="X78" s="32" t="str">
        <f aca="false">IF(N78&gt;=Parameters!$C$60,"High",IF(N78&gt;=Parameters!$C$56,"Medium","Low"))</f>
        <v>Medium</v>
      </c>
      <c r="Y78" s="32" t="n">
        <f aca="false">Calc!T78</f>
        <v>0</v>
      </c>
      <c r="Z78" s="35" t="str">
        <f aca="false">IF(V78="Reportable",S78-ROW()*0.000000001,"")</f>
        <v/>
      </c>
      <c r="AA78" s="35" t="str">
        <f aca="false">IF(ISNUMBER(Z78),RANK(Z78,$Z$2:$Z$113,0),"NA")</f>
        <v>NA</v>
      </c>
    </row>
    <row r="79" customFormat="false" ht="15" hidden="false" customHeight="true" outlineLevel="0" collapsed="false">
      <c r="A79" s="15" t="str">
        <f aca="false">Data!$A79</f>
        <v>Open Data Editor</v>
      </c>
      <c r="B79" s="15" t="str">
        <f aca="false">Data!$B79</f>
        <v>Open Knowledge Foundation</v>
      </c>
      <c r="C79" s="15" t="str">
        <f aca="false">Data!$E79</f>
        <v>Data collection or management tool</v>
      </c>
      <c r="D79" s="28" t="n">
        <f aca="false">IF(Verification!C79="",Calc!B79,Verification!C79)</f>
        <v>1</v>
      </c>
      <c r="E79" s="28" t="n">
        <f aca="false">IF(Verification!D79="",Calc!D79,Verification!D79)</f>
        <v>0.5</v>
      </c>
      <c r="F79" s="28" t="n">
        <f aca="false">IF(Verification!E79="",Calc!G79,Verification!E79)</f>
        <v>0.166666666666667</v>
      </c>
      <c r="G79" s="28" t="n">
        <f aca="false">IF(Verification!F79="",Calc!I79,Verification!F79)</f>
        <v>1</v>
      </c>
      <c r="H79" s="28" t="n">
        <f aca="false">IF(Verification!G79="",Calc!E79,Verification!G79)</f>
        <v>1</v>
      </c>
      <c r="I79" s="28" t="n">
        <f aca="false">IF(Verification!H79="",Calc!J79,Verification!H79)</f>
        <v>1</v>
      </c>
      <c r="J79" s="28" t="n">
        <f aca="false">IF(Verification!I79="",Calc!K79,Verification!I79)</f>
        <v>1</v>
      </c>
      <c r="K79" s="29" t="n">
        <f aca="false">IF(COUNT(D79:E79)=0,"NA",(IF(ISNUMBER(D79),D79*Parameters!$E$6,0)+IF(ISNUMBER(E79),E79*Parameters!$E$7,0))/(IF(ISNUMBER(D79),Parameters!$E$6,0)+IF(ISNUMBER(E79),Parameters!$E$7,0))*100)</f>
        <v>63.3333333333333</v>
      </c>
      <c r="L79" s="29" t="n">
        <f aca="false">IF(COUNT(F79:H79)=0,"NA",(IF(ISNUMBER(F79),F79*Parameters!$E$8,0)+IF(ISNUMBER(G79),G79*Parameters!$E$9,0)+IF(ISNUMBER(H79),H79*Parameters!$E$10,0))/(IF(ISNUMBER(F79),Parameters!$E$8,0)+IF(ISNUMBER(G79),Parameters!$E$9,0)+IF(ISNUMBER(H79),Parameters!$E$10,0))*100)</f>
        <v>57.1428571428572</v>
      </c>
      <c r="M79" s="29" t="n">
        <f aca="false">IF(COUNT(I79:J79)=0,"NA",(IF(ISNUMBER(I79),I79*Parameters!$E$11,0)+IF(ISNUMBER(J79),J79*Parameters!$E$12,0))/(IF(ISNUMBER(I79),Parameters!$E$11,0)+IF(ISNUMBER(J79),Parameters!$E$12,0))*100)</f>
        <v>100</v>
      </c>
      <c r="N79" s="30" t="n">
        <f aca="false">IF(ISNUMBER(D79),Parameters!$E$6,0)+IF(ISNUMBER(E79),Parameters!$E$7,0)+IF(ISNUMBER(F79),Parameters!$E$8,0)+IF(ISNUMBER(G79),Parameters!$E$9,0)+IF(ISNUMBER(H79),Parameters!$E$10,0)+IF(ISNUMBER(I79),Parameters!$E$11,0)+IF(ISNUMBER(J79),Parameters!$E$12,0)</f>
        <v>1</v>
      </c>
      <c r="O79" s="31" t="n">
        <f aca="false">IF(ISNUMBER(D79),D79*Parameters!$E$6,0)+IF(ISNUMBER(E79),E79*Parameters!$E$7,0)+IF(ISNUMBER(F79),F79*Parameters!$E$8,0)+IF(ISNUMBER(G79),G79*Parameters!$E$9,0)+IF(ISNUMBER(H79),H79*Parameters!$E$10,0)+IF(ISNUMBER(I79),I79*Parameters!$E$11,0)+IF(ISNUMBER(J79),J79*Parameters!$E$12,0)</f>
        <v>0.74</v>
      </c>
      <c r="P79" s="32" t="n">
        <f aca="false">COUNT(D79:J79)</f>
        <v>7</v>
      </c>
      <c r="Q79" s="32" t="n">
        <f aca="false">(COUNT(D79:E79)&gt;0)+(COUNT(F79:H79)&gt;0)+(COUNT(I79:J79)&gt;0)</f>
        <v>3</v>
      </c>
      <c r="R79" s="32" t="str">
        <f aca="false">IF(AND(N79&gt;=Parameters!$C$56,Q79&gt;=Parameters!$C$59),"Yes","No")</f>
        <v>Yes</v>
      </c>
      <c r="S79" s="33" t="n">
        <f aca="false">IF(R79="Yes",O79/N79*100,"NA")</f>
        <v>74</v>
      </c>
      <c r="T79" s="29" t="n">
        <f aca="false">IF(R79="Yes",O79/Parameters!$E$13*100,"NA")</f>
        <v>74</v>
      </c>
      <c r="U79" s="29" t="n">
        <f aca="false">IF(R79="Yes",(O79+(Parameters!$E$13-N79))/Parameters!$E$13*100,"NA")</f>
        <v>74</v>
      </c>
      <c r="V79" s="34" t="str">
        <f aca="false">IF(R79&lt;&gt;"Yes","Not scored",IF(N79&gt;=Parameters!$C$60,"Reportable","Provisional"))</f>
        <v>Reportable</v>
      </c>
      <c r="W79" s="32" t="n">
        <f aca="false">IF(ISNUMBER(S79),RANK(S79,$S$2:$S$113,0),"NA")</f>
        <v>53</v>
      </c>
      <c r="X79" s="32" t="str">
        <f aca="false">IF(N79&gt;=Parameters!$C$60,"High",IF(N79&gt;=Parameters!$C$56,"Medium","Low"))</f>
        <v>High</v>
      </c>
      <c r="Y79" s="32" t="n">
        <f aca="false">Calc!T79</f>
        <v>0</v>
      </c>
      <c r="Z79" s="35" t="n">
        <f aca="false">IF(V79="Reportable",S79-ROW()*0.000000001,"")</f>
        <v>73.999999921</v>
      </c>
      <c r="AA79" s="35" t="n">
        <f aca="false">IF(ISNUMBER(Z79),RANK(Z79,$Z$2:$Z$113,0),"NA")</f>
        <v>32</v>
      </c>
    </row>
    <row r="80" customFormat="false" ht="15" hidden="false" customHeight="true" outlineLevel="0" collapsed="false">
      <c r="A80" s="15" t="str">
        <f aca="false">Data!$A80</f>
        <v>OpenEdition</v>
      </c>
      <c r="B80" s="15" t="str">
        <f aca="false">Data!$B80</f>
        <v>OpenEdition Center, Aix-Marseille University, the EHESS and Avignon University</v>
      </c>
      <c r="C80" s="15" t="str">
        <f aca="false">Data!$E80</f>
        <v>Discovery system</v>
      </c>
      <c r="D80" s="28" t="n">
        <f aca="false">IF(Verification!C80="",Calc!B80,Verification!C80)</f>
        <v>1</v>
      </c>
      <c r="E80" s="28" t="n">
        <f aca="false">IF(Verification!D80="",Calc!D80,Verification!D80)</f>
        <v>0.25</v>
      </c>
      <c r="F80" s="28" t="n">
        <f aca="false">IF(Verification!E80="",Calc!G80,Verification!E80)</f>
        <v>0.166666666666667</v>
      </c>
      <c r="G80" s="28" t="str">
        <f aca="false">IF(Verification!F80="",Calc!I80,Verification!F80)</f>
        <v>NA</v>
      </c>
      <c r="H80" s="28" t="n">
        <f aca="false">IF(Verification!G80="",Calc!E80,Verification!G80)</f>
        <v>1</v>
      </c>
      <c r="I80" s="28" t="n">
        <f aca="false">IF(Verification!H80="",Calc!J80,Verification!H80)</f>
        <v>0.33</v>
      </c>
      <c r="J80" s="28" t="n">
        <f aca="false">IF(Verification!I80="",Calc!K80,Verification!I80)</f>
        <v>1</v>
      </c>
      <c r="K80" s="29" t="n">
        <f aca="false">IF(COUNT(D80:E80)=0,"NA",(IF(ISNUMBER(D80),D80*Parameters!$E$6,0)+IF(ISNUMBER(E80),E80*Parameters!$E$7,0))/(IF(ISNUMBER(D80),Parameters!$E$6,0)+IF(ISNUMBER(E80),Parameters!$E$7,0))*100)</f>
        <v>45</v>
      </c>
      <c r="L80" s="29" t="n">
        <f aca="false">IF(COUNT(F80:H80)=0,"NA",(IF(ISNUMBER(F80),F80*Parameters!$E$8,0)+IF(ISNUMBER(G80),G80*Parameters!$E$9,0)+IF(ISNUMBER(H80),H80*Parameters!$E$10,0))/(IF(ISNUMBER(F80),Parameters!$E$8,0)+IF(ISNUMBER(G80),Parameters!$E$9,0)+IF(ISNUMBER(H80),Parameters!$E$10,0))*100)</f>
        <v>34.7826086956522</v>
      </c>
      <c r="M80" s="29" t="n">
        <f aca="false">IF(COUNT(I80:J80)=0,"NA",(IF(ISNUMBER(I80),I80*Parameters!$E$11,0)+IF(ISNUMBER(J80),J80*Parameters!$E$12,0))/(IF(ISNUMBER(I80),Parameters!$E$11,0)+IF(ISNUMBER(J80),Parameters!$E$12,0))*100)</f>
        <v>71.2857142857143</v>
      </c>
      <c r="N80" s="30" t="n">
        <f aca="false">IF(ISNUMBER(D80),Parameters!$E$6,0)+IF(ISNUMBER(E80),Parameters!$E$7,0)+IF(ISNUMBER(F80),Parameters!$E$8,0)+IF(ISNUMBER(G80),Parameters!$E$9,0)+IF(ISNUMBER(H80),Parameters!$E$10,0)+IF(ISNUMBER(I80),Parameters!$E$11,0)+IF(ISNUMBER(J80),Parameters!$E$12,0)</f>
        <v>0.88</v>
      </c>
      <c r="O80" s="31" t="n">
        <f aca="false">IF(ISNUMBER(D80),D80*Parameters!$E$6,0)+IF(ISNUMBER(E80),E80*Parameters!$E$7,0)+IF(ISNUMBER(F80),F80*Parameters!$E$8,0)+IF(ISNUMBER(G80),G80*Parameters!$E$9,0)+IF(ISNUMBER(H80),H80*Parameters!$E$10,0)+IF(ISNUMBER(I80),I80*Parameters!$E$11,0)+IF(ISNUMBER(J80),J80*Parameters!$E$12,0)</f>
        <v>0.4645</v>
      </c>
      <c r="P80" s="32" t="n">
        <f aca="false">COUNT(D80:J80)</f>
        <v>6</v>
      </c>
      <c r="Q80" s="32" t="n">
        <f aca="false">(COUNT(D80:E80)&gt;0)+(COUNT(F80:H80)&gt;0)+(COUNT(I80:J80)&gt;0)</f>
        <v>3</v>
      </c>
      <c r="R80" s="32" t="str">
        <f aca="false">IF(AND(N80&gt;=Parameters!$C$56,Q80&gt;=Parameters!$C$59),"Yes","No")</f>
        <v>Yes</v>
      </c>
      <c r="S80" s="33" t="n">
        <f aca="false">IF(R80="Yes",O80/N80*100,"NA")</f>
        <v>52.7840909090909</v>
      </c>
      <c r="T80" s="29" t="n">
        <f aca="false">IF(R80="Yes",O80/Parameters!$E$13*100,"NA")</f>
        <v>46.45</v>
      </c>
      <c r="U80" s="29" t="n">
        <f aca="false">IF(R80="Yes",(O80+(Parameters!$E$13-N80))/Parameters!$E$13*100,"NA")</f>
        <v>58.45</v>
      </c>
      <c r="V80" s="34" t="str">
        <f aca="false">IF(R80&lt;&gt;"Yes","Not scored",IF(N80&gt;=Parameters!$C$60,"Reportable","Provisional"))</f>
        <v>Reportable</v>
      </c>
      <c r="W80" s="32" t="n">
        <f aca="false">IF(ISNUMBER(S80),RANK(S80,$S$2:$S$113,0),"NA")</f>
        <v>78</v>
      </c>
      <c r="X80" s="32" t="str">
        <f aca="false">IF(N80&gt;=Parameters!$C$60,"High",IF(N80&gt;=Parameters!$C$56,"Medium","Low"))</f>
        <v>High</v>
      </c>
      <c r="Y80" s="32" t="n">
        <f aca="false">Calc!T80</f>
        <v>0</v>
      </c>
      <c r="Z80" s="35" t="n">
        <f aca="false">IF(V80="Reportable",S80-ROW()*0.000000001,"")</f>
        <v>52.7840908290909</v>
      </c>
      <c r="AA80" s="35" t="n">
        <f aca="false">IF(ISNUMBER(Z80),RANK(Z80,$Z$2:$Z$113,0),"NA")</f>
        <v>45</v>
      </c>
    </row>
    <row r="81" customFormat="false" ht="15" hidden="false" customHeight="true" outlineLevel="0" collapsed="false">
      <c r="A81" s="15" t="str">
        <f aca="false">Data!$A81</f>
        <v>Open Journal Systems (OJS)</v>
      </c>
      <c r="B81" s="15" t="str">
        <f aca="false">Data!$B81</f>
        <v>Public Knowledge Project (PKP)</v>
      </c>
      <c r="C81" s="15" t="str">
        <f aca="false">Data!$E81</f>
        <v>Publishing system</v>
      </c>
      <c r="D81" s="28" t="n">
        <f aca="false">IF(Verification!C81="",Calc!B81,Verification!C81)</f>
        <v>1</v>
      </c>
      <c r="E81" s="28" t="n">
        <f aca="false">IF(Verification!D81="",Calc!D81,Verification!D81)</f>
        <v>0.625</v>
      </c>
      <c r="F81" s="28" t="n">
        <f aca="false">IF(Verification!E81="",Calc!G81,Verification!E81)</f>
        <v>0.833333333333333</v>
      </c>
      <c r="G81" s="28" t="n">
        <f aca="false">IF(Verification!F81="",Calc!I81,Verification!F81)</f>
        <v>1</v>
      </c>
      <c r="H81" s="28" t="n">
        <f aca="false">IF(Verification!G81="",Calc!E81,Verification!G81)</f>
        <v>1</v>
      </c>
      <c r="I81" s="28" t="n">
        <f aca="false">IF(Verification!H81="",Calc!J81,Verification!H81)</f>
        <v>1</v>
      </c>
      <c r="J81" s="28" t="n">
        <f aca="false">IF(Verification!I81="",Calc!K81,Verification!I81)</f>
        <v>1</v>
      </c>
      <c r="K81" s="29" t="n">
        <f aca="false">IF(COUNT(D81:E81)=0,"NA",(IF(ISNUMBER(D81),D81*Parameters!$E$6,0)+IF(ISNUMBER(E81),E81*Parameters!$E$7,0))/(IF(ISNUMBER(D81),Parameters!$E$6,0)+IF(ISNUMBER(E81),Parameters!$E$7,0))*100)</f>
        <v>72.5</v>
      </c>
      <c r="L81" s="29" t="n">
        <f aca="false">IF(COUNT(F81:H81)=0,"NA",(IF(ISNUMBER(F81),F81*Parameters!$E$8,0)+IF(ISNUMBER(G81),G81*Parameters!$E$9,0)+IF(ISNUMBER(H81),H81*Parameters!$E$10,0))/(IF(ISNUMBER(F81),Parameters!$E$8,0)+IF(ISNUMBER(G81),Parameters!$E$9,0)+IF(ISNUMBER(H81),Parameters!$E$10,0))*100)</f>
        <v>91.4285714285714</v>
      </c>
      <c r="M81" s="29" t="n">
        <f aca="false">IF(COUNT(I81:J81)=0,"NA",(IF(ISNUMBER(I81),I81*Parameters!$E$11,0)+IF(ISNUMBER(J81),J81*Parameters!$E$12,0))/(IF(ISNUMBER(I81),Parameters!$E$11,0)+IF(ISNUMBER(J81),Parameters!$E$12,0))*100)</f>
        <v>100</v>
      </c>
      <c r="N81" s="30" t="n">
        <f aca="false">IF(ISNUMBER(D81),Parameters!$E$6,0)+IF(ISNUMBER(E81),Parameters!$E$7,0)+IF(ISNUMBER(F81),Parameters!$E$8,0)+IF(ISNUMBER(G81),Parameters!$E$9,0)+IF(ISNUMBER(H81),Parameters!$E$10,0)+IF(ISNUMBER(I81),Parameters!$E$11,0)+IF(ISNUMBER(J81),Parameters!$E$12,0)</f>
        <v>1</v>
      </c>
      <c r="O81" s="31" t="n">
        <f aca="false">IF(ISNUMBER(D81),D81*Parameters!$E$6,0)+IF(ISNUMBER(E81),E81*Parameters!$E$7,0)+IF(ISNUMBER(F81),F81*Parameters!$E$8,0)+IF(ISNUMBER(G81),G81*Parameters!$E$9,0)+IF(ISNUMBER(H81),H81*Parameters!$E$10,0)+IF(ISNUMBER(I81),I81*Parameters!$E$11,0)+IF(ISNUMBER(J81),J81*Parameters!$E$12,0)</f>
        <v>0.8875</v>
      </c>
      <c r="P81" s="32" t="n">
        <f aca="false">COUNT(D81:J81)</f>
        <v>7</v>
      </c>
      <c r="Q81" s="32" t="n">
        <f aca="false">(COUNT(D81:E81)&gt;0)+(COUNT(F81:H81)&gt;0)+(COUNT(I81:J81)&gt;0)</f>
        <v>3</v>
      </c>
      <c r="R81" s="32" t="str">
        <f aca="false">IF(AND(N81&gt;=Parameters!$C$56,Q81&gt;=Parameters!$C$59),"Yes","No")</f>
        <v>Yes</v>
      </c>
      <c r="S81" s="33" t="n">
        <f aca="false">IF(R81="Yes",O81/N81*100,"NA")</f>
        <v>88.75</v>
      </c>
      <c r="T81" s="29" t="n">
        <f aca="false">IF(R81="Yes",O81/Parameters!$E$13*100,"NA")</f>
        <v>88.75</v>
      </c>
      <c r="U81" s="29" t="n">
        <f aca="false">IF(R81="Yes",(O81+(Parameters!$E$13-N81))/Parameters!$E$13*100,"NA")</f>
        <v>88.75</v>
      </c>
      <c r="V81" s="34" t="str">
        <f aca="false">IF(R81&lt;&gt;"Yes","Not scored",IF(N81&gt;=Parameters!$C$60,"Reportable","Provisional"))</f>
        <v>Reportable</v>
      </c>
      <c r="W81" s="32" t="n">
        <f aca="false">IF(ISNUMBER(S81),RANK(S81,$S$2:$S$113,0),"NA")</f>
        <v>21</v>
      </c>
      <c r="X81" s="32" t="str">
        <f aca="false">IF(N81&gt;=Parameters!$C$60,"High",IF(N81&gt;=Parameters!$C$56,"Medium","Low"))</f>
        <v>High</v>
      </c>
      <c r="Y81" s="32" t="n">
        <f aca="false">Calc!T81</f>
        <v>0</v>
      </c>
      <c r="Z81" s="35" t="n">
        <f aca="false">IF(V81="Reportable",S81-ROW()*0.000000001,"")</f>
        <v>88.749999919</v>
      </c>
      <c r="AA81" s="35" t="n">
        <f aca="false">IF(ISNUMBER(Z81),RANK(Z81,$Z$2:$Z$113,0),"NA")</f>
        <v>11</v>
      </c>
    </row>
    <row r="82" customFormat="false" ht="15" hidden="false" customHeight="true" outlineLevel="0" collapsed="false">
      <c r="A82" s="15" t="str">
        <f aca="false">Data!$A82</f>
        <v>Open Monograph Press (OMP)</v>
      </c>
      <c r="B82" s="15" t="str">
        <f aca="false">Data!$B82</f>
        <v>Public Knowledge Project (PKP)</v>
      </c>
      <c r="C82" s="15" t="str">
        <f aca="false">Data!$E82</f>
        <v>Publishing system</v>
      </c>
      <c r="D82" s="28" t="n">
        <f aca="false">IF(Verification!C82="",Calc!B82,Verification!C82)</f>
        <v>1</v>
      </c>
      <c r="E82" s="28" t="n">
        <f aca="false">IF(Verification!D82="",Calc!D82,Verification!D82)</f>
        <v>0.625</v>
      </c>
      <c r="F82" s="28" t="n">
        <f aca="false">IF(Verification!E82="",Calc!G82,Verification!E82)</f>
        <v>0.833333333333333</v>
      </c>
      <c r="G82" s="28" t="n">
        <f aca="false">IF(Verification!F82="",Calc!I82,Verification!F82)</f>
        <v>1</v>
      </c>
      <c r="H82" s="28" t="n">
        <f aca="false">IF(Verification!G82="",Calc!E82,Verification!G82)</f>
        <v>1</v>
      </c>
      <c r="I82" s="28" t="n">
        <f aca="false">IF(Verification!H82="",Calc!J82,Verification!H82)</f>
        <v>1</v>
      </c>
      <c r="J82" s="28" t="n">
        <f aca="false">IF(Verification!I82="",Calc!K82,Verification!I82)</f>
        <v>1</v>
      </c>
      <c r="K82" s="29" t="n">
        <f aca="false">IF(COUNT(D82:E82)=0,"NA",(IF(ISNUMBER(D82),D82*Parameters!$E$6,0)+IF(ISNUMBER(E82),E82*Parameters!$E$7,0))/(IF(ISNUMBER(D82),Parameters!$E$6,0)+IF(ISNUMBER(E82),Parameters!$E$7,0))*100)</f>
        <v>72.5</v>
      </c>
      <c r="L82" s="29" t="n">
        <f aca="false">IF(COUNT(F82:H82)=0,"NA",(IF(ISNUMBER(F82),F82*Parameters!$E$8,0)+IF(ISNUMBER(G82),G82*Parameters!$E$9,0)+IF(ISNUMBER(H82),H82*Parameters!$E$10,0))/(IF(ISNUMBER(F82),Parameters!$E$8,0)+IF(ISNUMBER(G82),Parameters!$E$9,0)+IF(ISNUMBER(H82),Parameters!$E$10,0))*100)</f>
        <v>91.4285714285714</v>
      </c>
      <c r="M82" s="29" t="n">
        <f aca="false">IF(COUNT(I82:J82)=0,"NA",(IF(ISNUMBER(I82),I82*Parameters!$E$11,0)+IF(ISNUMBER(J82),J82*Parameters!$E$12,0))/(IF(ISNUMBER(I82),Parameters!$E$11,0)+IF(ISNUMBER(J82),Parameters!$E$12,0))*100)</f>
        <v>100</v>
      </c>
      <c r="N82" s="30" t="n">
        <f aca="false">IF(ISNUMBER(D82),Parameters!$E$6,0)+IF(ISNUMBER(E82),Parameters!$E$7,0)+IF(ISNUMBER(F82),Parameters!$E$8,0)+IF(ISNUMBER(G82),Parameters!$E$9,0)+IF(ISNUMBER(H82),Parameters!$E$10,0)+IF(ISNUMBER(I82),Parameters!$E$11,0)+IF(ISNUMBER(J82),Parameters!$E$12,0)</f>
        <v>1</v>
      </c>
      <c r="O82" s="31" t="n">
        <f aca="false">IF(ISNUMBER(D82),D82*Parameters!$E$6,0)+IF(ISNUMBER(E82),E82*Parameters!$E$7,0)+IF(ISNUMBER(F82),F82*Parameters!$E$8,0)+IF(ISNUMBER(G82),G82*Parameters!$E$9,0)+IF(ISNUMBER(H82),H82*Parameters!$E$10,0)+IF(ISNUMBER(I82),I82*Parameters!$E$11,0)+IF(ISNUMBER(J82),J82*Parameters!$E$12,0)</f>
        <v>0.8875</v>
      </c>
      <c r="P82" s="32" t="n">
        <f aca="false">COUNT(D82:J82)</f>
        <v>7</v>
      </c>
      <c r="Q82" s="32" t="n">
        <f aca="false">(COUNT(D82:E82)&gt;0)+(COUNT(F82:H82)&gt;0)+(COUNT(I82:J82)&gt;0)</f>
        <v>3</v>
      </c>
      <c r="R82" s="32" t="str">
        <f aca="false">IF(AND(N82&gt;=Parameters!$C$56,Q82&gt;=Parameters!$C$59),"Yes","No")</f>
        <v>Yes</v>
      </c>
      <c r="S82" s="33" t="n">
        <f aca="false">IF(R82="Yes",O82/N82*100,"NA")</f>
        <v>88.75</v>
      </c>
      <c r="T82" s="29" t="n">
        <f aca="false">IF(R82="Yes",O82/Parameters!$E$13*100,"NA")</f>
        <v>88.75</v>
      </c>
      <c r="U82" s="29" t="n">
        <f aca="false">IF(R82="Yes",(O82+(Parameters!$E$13-N82))/Parameters!$E$13*100,"NA")</f>
        <v>88.75</v>
      </c>
      <c r="V82" s="34" t="str">
        <f aca="false">IF(R82&lt;&gt;"Yes","Not scored",IF(N82&gt;=Parameters!$C$60,"Reportable","Provisional"))</f>
        <v>Reportable</v>
      </c>
      <c r="W82" s="32" t="n">
        <f aca="false">IF(ISNUMBER(S82),RANK(S82,$S$2:$S$113,0),"NA")</f>
        <v>21</v>
      </c>
      <c r="X82" s="32" t="str">
        <f aca="false">IF(N82&gt;=Parameters!$C$60,"High",IF(N82&gt;=Parameters!$C$56,"Medium","Low"))</f>
        <v>High</v>
      </c>
      <c r="Y82" s="32" t="n">
        <f aca="false">Calc!T82</f>
        <v>0</v>
      </c>
      <c r="Z82" s="35" t="n">
        <f aca="false">IF(V82="Reportable",S82-ROW()*0.000000001,"")</f>
        <v>88.749999918</v>
      </c>
      <c r="AA82" s="35" t="n">
        <f aca="false">IF(ISNUMBER(Z82),RANK(Z82,$Z$2:$Z$113,0),"NA")</f>
        <v>12</v>
      </c>
    </row>
    <row r="83" customFormat="false" ht="15" hidden="false" customHeight="true" outlineLevel="0" collapsed="false">
      <c r="A83" s="15" t="str">
        <f aca="false">Data!$A83</f>
        <v>Open Preprint Systems (OPS)</v>
      </c>
      <c r="B83" s="15" t="str">
        <f aca="false">Data!$B83</f>
        <v>Public Knowledge Project (PKP)</v>
      </c>
      <c r="C83" s="15" t="str">
        <f aca="false">Data!$E83</f>
        <v>Publishing system</v>
      </c>
      <c r="D83" s="28" t="n">
        <f aca="false">IF(Verification!C83="",Calc!B83,Verification!C83)</f>
        <v>1</v>
      </c>
      <c r="E83" s="28" t="n">
        <f aca="false">IF(Verification!D83="",Calc!D83,Verification!D83)</f>
        <v>0.625</v>
      </c>
      <c r="F83" s="28" t="n">
        <f aca="false">IF(Verification!E83="",Calc!G83,Verification!E83)</f>
        <v>0.833333333333333</v>
      </c>
      <c r="G83" s="28" t="n">
        <f aca="false">IF(Verification!F83="",Calc!I83,Verification!F83)</f>
        <v>1</v>
      </c>
      <c r="H83" s="28" t="n">
        <f aca="false">IF(Verification!G83="",Calc!E83,Verification!G83)</f>
        <v>1</v>
      </c>
      <c r="I83" s="28" t="n">
        <f aca="false">IF(Verification!H83="",Calc!J83,Verification!H83)</f>
        <v>1</v>
      </c>
      <c r="J83" s="28" t="n">
        <f aca="false">IF(Verification!I83="",Calc!K83,Verification!I83)</f>
        <v>1</v>
      </c>
      <c r="K83" s="29" t="n">
        <f aca="false">IF(COUNT(D83:E83)=0,"NA",(IF(ISNUMBER(D83),D83*Parameters!$E$6,0)+IF(ISNUMBER(E83),E83*Parameters!$E$7,0))/(IF(ISNUMBER(D83),Parameters!$E$6,0)+IF(ISNUMBER(E83),Parameters!$E$7,0))*100)</f>
        <v>72.5</v>
      </c>
      <c r="L83" s="29" t="n">
        <f aca="false">IF(COUNT(F83:H83)=0,"NA",(IF(ISNUMBER(F83),F83*Parameters!$E$8,0)+IF(ISNUMBER(G83),G83*Parameters!$E$9,0)+IF(ISNUMBER(H83),H83*Parameters!$E$10,0))/(IF(ISNUMBER(F83),Parameters!$E$8,0)+IF(ISNUMBER(G83),Parameters!$E$9,0)+IF(ISNUMBER(H83),Parameters!$E$10,0))*100)</f>
        <v>91.4285714285714</v>
      </c>
      <c r="M83" s="29" t="n">
        <f aca="false">IF(COUNT(I83:J83)=0,"NA",(IF(ISNUMBER(I83),I83*Parameters!$E$11,0)+IF(ISNUMBER(J83),J83*Parameters!$E$12,0))/(IF(ISNUMBER(I83),Parameters!$E$11,0)+IF(ISNUMBER(J83),Parameters!$E$12,0))*100)</f>
        <v>100</v>
      </c>
      <c r="N83" s="30" t="n">
        <f aca="false">IF(ISNUMBER(D83),Parameters!$E$6,0)+IF(ISNUMBER(E83),Parameters!$E$7,0)+IF(ISNUMBER(F83),Parameters!$E$8,0)+IF(ISNUMBER(G83),Parameters!$E$9,0)+IF(ISNUMBER(H83),Parameters!$E$10,0)+IF(ISNUMBER(I83),Parameters!$E$11,0)+IF(ISNUMBER(J83),Parameters!$E$12,0)</f>
        <v>1</v>
      </c>
      <c r="O83" s="31" t="n">
        <f aca="false">IF(ISNUMBER(D83),D83*Parameters!$E$6,0)+IF(ISNUMBER(E83),E83*Parameters!$E$7,0)+IF(ISNUMBER(F83),F83*Parameters!$E$8,0)+IF(ISNUMBER(G83),G83*Parameters!$E$9,0)+IF(ISNUMBER(H83),H83*Parameters!$E$10,0)+IF(ISNUMBER(I83),I83*Parameters!$E$11,0)+IF(ISNUMBER(J83),J83*Parameters!$E$12,0)</f>
        <v>0.8875</v>
      </c>
      <c r="P83" s="32" t="n">
        <f aca="false">COUNT(D83:J83)</f>
        <v>7</v>
      </c>
      <c r="Q83" s="32" t="n">
        <f aca="false">(COUNT(D83:E83)&gt;0)+(COUNT(F83:H83)&gt;0)+(COUNT(I83:J83)&gt;0)</f>
        <v>3</v>
      </c>
      <c r="R83" s="32" t="str">
        <f aca="false">IF(AND(N83&gt;=Parameters!$C$56,Q83&gt;=Parameters!$C$59),"Yes","No")</f>
        <v>Yes</v>
      </c>
      <c r="S83" s="33" t="n">
        <f aca="false">IF(R83="Yes",O83/N83*100,"NA")</f>
        <v>88.75</v>
      </c>
      <c r="T83" s="29" t="n">
        <f aca="false">IF(R83="Yes",O83/Parameters!$E$13*100,"NA")</f>
        <v>88.75</v>
      </c>
      <c r="U83" s="29" t="n">
        <f aca="false">IF(R83="Yes",(O83+(Parameters!$E$13-N83))/Parameters!$E$13*100,"NA")</f>
        <v>88.75</v>
      </c>
      <c r="V83" s="34" t="str">
        <f aca="false">IF(R83&lt;&gt;"Yes","Not scored",IF(N83&gt;=Parameters!$C$60,"Reportable","Provisional"))</f>
        <v>Reportable</v>
      </c>
      <c r="W83" s="32" t="n">
        <f aca="false">IF(ISNUMBER(S83),RANK(S83,$S$2:$S$113,0),"NA")</f>
        <v>21</v>
      </c>
      <c r="X83" s="32" t="str">
        <f aca="false">IF(N83&gt;=Parameters!$C$60,"High",IF(N83&gt;=Parameters!$C$56,"Medium","Low"))</f>
        <v>High</v>
      </c>
      <c r="Y83" s="32" t="n">
        <f aca="false">Calc!T83</f>
        <v>0</v>
      </c>
      <c r="Z83" s="35" t="n">
        <f aca="false">IF(V83="Reportable",S83-ROW()*0.000000001,"")</f>
        <v>88.749999917</v>
      </c>
      <c r="AA83" s="35" t="n">
        <f aca="false">IF(ISNUMBER(Z83),RANK(Z83,$Z$2:$Z$113,0),"NA")</f>
        <v>13</v>
      </c>
    </row>
    <row r="84" customFormat="false" ht="15" hidden="false" customHeight="true" outlineLevel="0" collapsed="false">
      <c r="A84" s="15" t="str">
        <f aca="false">Data!$A84</f>
        <v>Openverse</v>
      </c>
      <c r="B84" s="15" t="str">
        <f aca="false">Data!$B84</f>
        <v>WordPress Foundation</v>
      </c>
      <c r="C84" s="15" t="str">
        <f aca="false">Data!$E84</f>
        <v>Discovery system</v>
      </c>
      <c r="D84" s="28" t="n">
        <f aca="false">IF(Verification!C84="",Calc!B84,Verification!C84)</f>
        <v>1</v>
      </c>
      <c r="E84" s="28" t="str">
        <f aca="false">IF(Verification!D84="",Calc!D84,Verification!D84)</f>
        <v>NA</v>
      </c>
      <c r="F84" s="28" t="str">
        <f aca="false">IF(Verification!E84="",Calc!G84,Verification!E84)</f>
        <v>NA</v>
      </c>
      <c r="G84" s="28" t="n">
        <f aca="false">IF(Verification!F84="",Calc!I84,Verification!F84)</f>
        <v>1</v>
      </c>
      <c r="H84" s="28" t="n">
        <f aca="false">IF(Verification!G84="",Calc!E84,Verification!G84)</f>
        <v>1</v>
      </c>
      <c r="I84" s="28" t="n">
        <f aca="false">IF(Verification!H84="",Calc!J84,Verification!H84)</f>
        <v>1</v>
      </c>
      <c r="J84" s="28" t="n">
        <f aca="false">IF(Verification!I84="",Calc!K84,Verification!I84)</f>
        <v>0.5</v>
      </c>
      <c r="K84" s="29" t="n">
        <f aca="false">IF(COUNT(D84:E84)=0,"NA",(IF(ISNUMBER(D84),D84*Parameters!$E$6,0)+IF(ISNUMBER(E84),E84*Parameters!$E$7,0))/(IF(ISNUMBER(D84),Parameters!$E$6,0)+IF(ISNUMBER(E84),Parameters!$E$7,0))*100)</f>
        <v>100</v>
      </c>
      <c r="L84" s="29" t="n">
        <f aca="false">IF(COUNT(F84:H84)=0,"NA",(IF(ISNUMBER(F84),F84*Parameters!$E$8,0)+IF(ISNUMBER(G84),G84*Parameters!$E$9,0)+IF(ISNUMBER(H84),H84*Parameters!$E$10,0))/(IF(ISNUMBER(F84),Parameters!$E$8,0)+IF(ISNUMBER(G84),Parameters!$E$9,0)+IF(ISNUMBER(H84),Parameters!$E$10,0))*100)</f>
        <v>100</v>
      </c>
      <c r="M84" s="29" t="n">
        <f aca="false">IF(COUNT(I84:J84)=0,"NA",(IF(ISNUMBER(I84),I84*Parameters!$E$11,0)+IF(ISNUMBER(J84),J84*Parameters!$E$12,0))/(IF(ISNUMBER(I84),Parameters!$E$11,0)+IF(ISNUMBER(J84),Parameters!$E$12,0))*100)</f>
        <v>71.4285714285714</v>
      </c>
      <c r="N84" s="30" t="n">
        <f aca="false">IF(ISNUMBER(D84),Parameters!$E$6,0)+IF(ISNUMBER(E84),Parameters!$E$7,0)+IF(ISNUMBER(F84),Parameters!$E$8,0)+IF(ISNUMBER(G84),Parameters!$E$9,0)+IF(ISNUMBER(H84),Parameters!$E$10,0)+IF(ISNUMBER(I84),Parameters!$E$11,0)+IF(ISNUMBER(J84),Parameters!$E$12,0)</f>
        <v>0.6</v>
      </c>
      <c r="O84" s="31" t="n">
        <f aca="false">IF(ISNUMBER(D84),D84*Parameters!$E$6,0)+IF(ISNUMBER(E84),E84*Parameters!$E$7,0)+IF(ISNUMBER(F84),F84*Parameters!$E$8,0)+IF(ISNUMBER(G84),G84*Parameters!$E$9,0)+IF(ISNUMBER(H84),H84*Parameters!$E$10,0)+IF(ISNUMBER(I84),I84*Parameters!$E$11,0)+IF(ISNUMBER(J84),J84*Parameters!$E$12,0)</f>
        <v>0.5</v>
      </c>
      <c r="P84" s="32" t="n">
        <f aca="false">COUNT(D84:J84)</f>
        <v>5</v>
      </c>
      <c r="Q84" s="32" t="n">
        <f aca="false">(COUNT(D84:E84)&gt;0)+(COUNT(F84:H84)&gt;0)+(COUNT(I84:J84)&gt;0)</f>
        <v>3</v>
      </c>
      <c r="R84" s="32" t="str">
        <f aca="false">IF(AND(N84&gt;=Parameters!$C$56,Q84&gt;=Parameters!$C$59),"Yes","No")</f>
        <v>Yes</v>
      </c>
      <c r="S84" s="33" t="n">
        <f aca="false">IF(R84="Yes",O84/N84*100,"NA")</f>
        <v>83.3333333333333</v>
      </c>
      <c r="T84" s="29" t="n">
        <f aca="false">IF(R84="Yes",O84/Parameters!$E$13*100,"NA")</f>
        <v>50</v>
      </c>
      <c r="U84" s="29" t="n">
        <f aca="false">IF(R84="Yes",(O84+(Parameters!$E$13-N84))/Parameters!$E$13*100,"NA")</f>
        <v>90</v>
      </c>
      <c r="V84" s="34" t="str">
        <f aca="false">IF(R84&lt;&gt;"Yes","Not scored",IF(N84&gt;=Parameters!$C$60,"Reportable","Provisional"))</f>
        <v>Provisional</v>
      </c>
      <c r="W84" s="32" t="n">
        <f aca="false">IF(ISNUMBER(S84),RANK(S84,$S$2:$S$113,0),"NA")</f>
        <v>32</v>
      </c>
      <c r="X84" s="32" t="str">
        <f aca="false">IF(N84&gt;=Parameters!$C$60,"High",IF(N84&gt;=Parameters!$C$56,"Medium","Low"))</f>
        <v>Medium</v>
      </c>
      <c r="Y84" s="32" t="n">
        <f aca="false">Calc!T84</f>
        <v>1</v>
      </c>
      <c r="Z84" s="35" t="str">
        <f aca="false">IF(V84="Reportable",S84-ROW()*0.000000001,"")</f>
        <v/>
      </c>
      <c r="AA84" s="35" t="str">
        <f aca="false">IF(ISNUMBER(Z84),RANK(Z84,$Z$2:$Z$113,0),"NA")</f>
        <v>NA</v>
      </c>
    </row>
    <row r="85" customFormat="false" ht="15" hidden="false" customHeight="true" outlineLevel="0" collapsed="false">
      <c r="A85" s="15" t="str">
        <f aca="false">Data!$A85</f>
        <v>O Portal Brasileiro de Publicações e Dados Científicos em Acesso Aberto (The Brazilian Open Access Publications and Scientific Data Portal) (Oasisbr)</v>
      </c>
      <c r="B85" s="15" t="str">
        <f aca="false">Data!$B85</f>
        <v>Instituto Brasileiro de Informação em Ciência e Tecnologia (Brazilian Institute of Information in Science and Technology) (Ibict)</v>
      </c>
      <c r="C85" s="15" t="str">
        <f aca="false">Data!$E85</f>
        <v>Repository service</v>
      </c>
      <c r="D85" s="28" t="n">
        <f aca="false">IF(Verification!C85="",Calc!B85,Verification!C85)</f>
        <v>0.33</v>
      </c>
      <c r="E85" s="28" t="str">
        <f aca="false">IF(Verification!D85="",Calc!D85,Verification!D85)</f>
        <v>NA</v>
      </c>
      <c r="F85" s="28" t="str">
        <f aca="false">IF(Verification!E85="",Calc!G85,Verification!E85)</f>
        <v>NA</v>
      </c>
      <c r="G85" s="28" t="str">
        <f aca="false">IF(Verification!F85="",Calc!I85,Verification!F85)</f>
        <v>NA</v>
      </c>
      <c r="H85" s="28" t="n">
        <f aca="false">IF(Verification!G85="",Calc!E85,Verification!G85)</f>
        <v>1</v>
      </c>
      <c r="I85" s="28" t="n">
        <f aca="false">IF(Verification!H85="",Calc!J85,Verification!H85)</f>
        <v>0.33</v>
      </c>
      <c r="J85" s="28" t="str">
        <f aca="false">IF(Verification!I85="",Calc!K85,Verification!I85)</f>
        <v>NA</v>
      </c>
      <c r="K85" s="29" t="n">
        <f aca="false">IF(COUNT(D85:E85)=0,"NA",(IF(ISNUMBER(D85),D85*Parameters!$E$6,0)+IF(ISNUMBER(E85),E85*Parameters!$E$7,0))/(IF(ISNUMBER(D85),Parameters!$E$6,0)+IF(ISNUMBER(E85),Parameters!$E$7,0))*100)</f>
        <v>33</v>
      </c>
      <c r="L85" s="29" t="n">
        <f aca="false">IF(COUNT(F85:H85)=0,"NA",(IF(ISNUMBER(F85),F85*Parameters!$E$8,0)+IF(ISNUMBER(G85),G85*Parameters!$E$9,0)+IF(ISNUMBER(H85),H85*Parameters!$E$10,0))/(IF(ISNUMBER(F85),Parameters!$E$8,0)+IF(ISNUMBER(G85),Parameters!$E$9,0)+IF(ISNUMBER(H85),Parameters!$E$10,0))*100)</f>
        <v>100</v>
      </c>
      <c r="M85" s="29" t="n">
        <f aca="false">IF(COUNT(I85:J85)=0,"NA",(IF(ISNUMBER(I85),I85*Parameters!$E$11,0)+IF(ISNUMBER(J85),J85*Parameters!$E$12,0))/(IF(ISNUMBER(I85),Parameters!$E$11,0)+IF(ISNUMBER(J85),Parameters!$E$12,0))*100)</f>
        <v>33</v>
      </c>
      <c r="N85" s="30" t="n">
        <f aca="false">IF(ISNUMBER(D85),Parameters!$E$6,0)+IF(ISNUMBER(E85),Parameters!$E$7,0)+IF(ISNUMBER(F85),Parameters!$E$8,0)+IF(ISNUMBER(G85),Parameters!$E$9,0)+IF(ISNUMBER(H85),Parameters!$E$10,0)+IF(ISNUMBER(I85),Parameters!$E$11,0)+IF(ISNUMBER(J85),Parameters!$E$12,0)</f>
        <v>0.28</v>
      </c>
      <c r="O85" s="31" t="n">
        <f aca="false">IF(ISNUMBER(D85),D85*Parameters!$E$6,0)+IF(ISNUMBER(E85),E85*Parameters!$E$7,0)+IF(ISNUMBER(F85),F85*Parameters!$E$8,0)+IF(ISNUMBER(G85),G85*Parameters!$E$9,0)+IF(ISNUMBER(H85),H85*Parameters!$E$10,0)+IF(ISNUMBER(I85),I85*Parameters!$E$11,0)+IF(ISNUMBER(J85),J85*Parameters!$E$12,0)</f>
        <v>0.1259</v>
      </c>
      <c r="P85" s="32" t="n">
        <f aca="false">COUNT(D85:J85)</f>
        <v>3</v>
      </c>
      <c r="Q85" s="32" t="n">
        <f aca="false">(COUNT(D85:E85)&gt;0)+(COUNT(F85:H85)&gt;0)+(COUNT(I85:J85)&gt;0)</f>
        <v>3</v>
      </c>
      <c r="R85" s="32" t="str">
        <f aca="false">IF(AND(N85&gt;=Parameters!$C$56,Q85&gt;=Parameters!$C$59),"Yes","No")</f>
        <v>No</v>
      </c>
      <c r="S85" s="33" t="str">
        <f aca="false">IF(R85="Yes",O85/N85*100,"NA")</f>
        <v>NA</v>
      </c>
      <c r="T85" s="29" t="str">
        <f aca="false">IF(R85="Yes",O85/Parameters!$E$13*100,"NA")</f>
        <v>NA</v>
      </c>
      <c r="U85" s="29" t="str">
        <f aca="false">IF(R85="Yes",(O85+(Parameters!$E$13-N85))/Parameters!$E$13*100,"NA")</f>
        <v>NA</v>
      </c>
      <c r="V85" s="34" t="str">
        <f aca="false">IF(R85&lt;&gt;"Yes","Not scored",IF(N85&gt;=Parameters!$C$60,"Reportable","Provisional"))</f>
        <v>Not scored</v>
      </c>
      <c r="W85" s="32" t="str">
        <f aca="false">IF(ISNUMBER(S85),RANK(S85,$S$2:$S$113,0),"NA")</f>
        <v>NA</v>
      </c>
      <c r="X85" s="32" t="str">
        <f aca="false">IF(N85&gt;=Parameters!$C$60,"High",IF(N85&gt;=Parameters!$C$56,"Medium","Low"))</f>
        <v>Low</v>
      </c>
      <c r="Y85" s="32" t="n">
        <f aca="false">Calc!T85</f>
        <v>0</v>
      </c>
      <c r="Z85" s="35" t="str">
        <f aca="false">IF(V85="Reportable",S85-ROW()*0.000000001,"")</f>
        <v/>
      </c>
      <c r="AA85" s="35" t="str">
        <f aca="false">IF(ISNUMBER(Z85),RANK(Z85,$Z$2:$Z$113,0),"NA")</f>
        <v>NA</v>
      </c>
    </row>
    <row r="86" customFormat="false" ht="15" hidden="false" customHeight="true" outlineLevel="0" collapsed="false">
      <c r="A86" s="15" t="str">
        <f aca="false">Data!$A86</f>
        <v>OSF (Open Science Framework)</v>
      </c>
      <c r="B86" s="15" t="str">
        <f aca="false">Data!$B86</f>
        <v>Center for Open Science, Inc.</v>
      </c>
      <c r="C86" s="15" t="str">
        <f aca="false">Data!$E86</f>
        <v>Repository service | Repository software</v>
      </c>
      <c r="D86" s="28" t="n">
        <f aca="false">IF(Verification!C86="",Calc!B86,Verification!C86)</f>
        <v>1</v>
      </c>
      <c r="E86" s="28" t="str">
        <f aca="false">IF(Verification!D86="",Calc!D86,Verification!D86)</f>
        <v>NA</v>
      </c>
      <c r="F86" s="28" t="n">
        <f aca="false">IF(Verification!E86="",Calc!G86,Verification!E86)</f>
        <v>0.833333333333333</v>
      </c>
      <c r="G86" s="28" t="str">
        <f aca="false">IF(Verification!F86="",Calc!I86,Verification!F86)</f>
        <v>NA</v>
      </c>
      <c r="H86" s="28" t="n">
        <f aca="false">IF(Verification!G86="",Calc!E86,Verification!G86)</f>
        <v>1</v>
      </c>
      <c r="I86" s="28" t="n">
        <f aca="false">IF(Verification!H86="",Calc!J86,Verification!H86)</f>
        <v>1</v>
      </c>
      <c r="J86" s="28" t="n">
        <f aca="false">IF(Verification!I86="",Calc!K86,Verification!I86)</f>
        <v>1</v>
      </c>
      <c r="K86" s="29" t="n">
        <f aca="false">IF(COUNT(D86:E86)=0,"NA",(IF(ISNUMBER(D86),D86*Parameters!$E$6,0)+IF(ISNUMBER(E86),E86*Parameters!$E$7,0))/(IF(ISNUMBER(D86),Parameters!$E$6,0)+IF(ISNUMBER(E86),Parameters!$E$7,0))*100)</f>
        <v>100</v>
      </c>
      <c r="L86" s="29" t="n">
        <f aca="false">IF(COUNT(F86:H86)=0,"NA",(IF(ISNUMBER(F86),F86*Parameters!$E$8,0)+IF(ISNUMBER(G86),G86*Parameters!$E$9,0)+IF(ISNUMBER(H86),H86*Parameters!$E$10,0))/(IF(ISNUMBER(F86),Parameters!$E$8,0)+IF(ISNUMBER(G86),Parameters!$E$9,0)+IF(ISNUMBER(H86),Parameters!$E$10,0))*100)</f>
        <v>86.9565217391304</v>
      </c>
      <c r="M86" s="29" t="n">
        <f aca="false">IF(COUNT(I86:J86)=0,"NA",(IF(ISNUMBER(I86),I86*Parameters!$E$11,0)+IF(ISNUMBER(J86),J86*Parameters!$E$12,0))/(IF(ISNUMBER(I86),Parameters!$E$11,0)+IF(ISNUMBER(J86),Parameters!$E$12,0))*100)</f>
        <v>100</v>
      </c>
      <c r="N86" s="30" t="n">
        <f aca="false">IF(ISNUMBER(D86),Parameters!$E$6,0)+IF(ISNUMBER(E86),Parameters!$E$7,0)+IF(ISNUMBER(F86),Parameters!$E$8,0)+IF(ISNUMBER(G86),Parameters!$E$9,0)+IF(ISNUMBER(H86),Parameters!$E$10,0)+IF(ISNUMBER(I86),Parameters!$E$11,0)+IF(ISNUMBER(J86),Parameters!$E$12,0)</f>
        <v>0.66</v>
      </c>
      <c r="O86" s="31" t="n">
        <f aca="false">IF(ISNUMBER(D86),D86*Parameters!$E$6,0)+IF(ISNUMBER(E86),E86*Parameters!$E$7,0)+IF(ISNUMBER(F86),F86*Parameters!$E$8,0)+IF(ISNUMBER(G86),G86*Parameters!$E$9,0)+IF(ISNUMBER(H86),H86*Parameters!$E$10,0)+IF(ISNUMBER(I86),I86*Parameters!$E$11,0)+IF(ISNUMBER(J86),J86*Parameters!$E$12,0)</f>
        <v>0.63</v>
      </c>
      <c r="P86" s="32" t="n">
        <f aca="false">COUNT(D86:J86)</f>
        <v>5</v>
      </c>
      <c r="Q86" s="32" t="n">
        <f aca="false">(COUNT(D86:E86)&gt;0)+(COUNT(F86:H86)&gt;0)+(COUNT(I86:J86)&gt;0)</f>
        <v>3</v>
      </c>
      <c r="R86" s="32" t="str">
        <f aca="false">IF(AND(N86&gt;=Parameters!$C$56,Q86&gt;=Parameters!$C$59),"Yes","No")</f>
        <v>Yes</v>
      </c>
      <c r="S86" s="33" t="n">
        <f aca="false">IF(R86="Yes",O86/N86*100,"NA")</f>
        <v>95.4545454545455</v>
      </c>
      <c r="T86" s="29" t="n">
        <f aca="false">IF(R86="Yes",O86/Parameters!$E$13*100,"NA")</f>
        <v>63</v>
      </c>
      <c r="U86" s="29" t="n">
        <f aca="false">IF(R86="Yes",(O86+(Parameters!$E$13-N86))/Parameters!$E$13*100,"NA")</f>
        <v>97</v>
      </c>
      <c r="V86" s="34" t="str">
        <f aca="false">IF(R86&lt;&gt;"Yes","Not scored",IF(N86&gt;=Parameters!$C$60,"Reportable","Provisional"))</f>
        <v>Provisional</v>
      </c>
      <c r="W86" s="32" t="n">
        <f aca="false">IF(ISNUMBER(S86),RANK(S86,$S$2:$S$113,0),"NA")</f>
        <v>11</v>
      </c>
      <c r="X86" s="32" t="str">
        <f aca="false">IF(N86&gt;=Parameters!$C$60,"High",IF(N86&gt;=Parameters!$C$56,"Medium","Low"))</f>
        <v>Medium</v>
      </c>
      <c r="Y86" s="32" t="n">
        <f aca="false">Calc!T86</f>
        <v>2</v>
      </c>
      <c r="Z86" s="35" t="str">
        <f aca="false">IF(V86="Reportable",S86-ROW()*0.000000001,"")</f>
        <v/>
      </c>
      <c r="AA86" s="35" t="str">
        <f aca="false">IF(ISNUMBER(Z86),RANK(Z86,$Z$2:$Z$113,0),"NA")</f>
        <v>NA</v>
      </c>
    </row>
    <row r="87" customFormat="false" ht="15" hidden="false" customHeight="true" outlineLevel="0" collapsed="false">
      <c r="A87" s="15" t="str">
        <f aca="false">Data!$A87</f>
        <v>Oxford Common File Layout</v>
      </c>
      <c r="B87" s="15" t="str">
        <f aca="false">Data!$B87</f>
        <v>Oxford Common File Layout (OCFL)</v>
      </c>
      <c r="C87" s="15" t="str">
        <f aca="false">Data!$E87</f>
        <v>Standard, specification or protocol</v>
      </c>
      <c r="D87" s="28" t="n">
        <f aca="false">IF(Verification!C87="",Calc!B87,Verification!C87)</f>
        <v>0</v>
      </c>
      <c r="E87" s="28" t="str">
        <f aca="false">IF(Verification!D87="",Calc!D87,Verification!D87)</f>
        <v>NA</v>
      </c>
      <c r="F87" s="28" t="n">
        <f aca="false">IF(Verification!E87="",Calc!G87,Verification!E87)</f>
        <v>0.5</v>
      </c>
      <c r="G87" s="28" t="n">
        <f aca="false">IF(Verification!F87="",Calc!I87,Verification!F87)</f>
        <v>0.5</v>
      </c>
      <c r="H87" s="28" t="n">
        <f aca="false">IF(Verification!G87="",Calc!E87,Verification!G87)</f>
        <v>1</v>
      </c>
      <c r="I87" s="28" t="n">
        <f aca="false">IF(Verification!H87="",Calc!J87,Verification!H87)</f>
        <v>0</v>
      </c>
      <c r="J87" s="28" t="str">
        <f aca="false">IF(Verification!I87="",Calc!K87,Verification!I87)</f>
        <v>NA</v>
      </c>
      <c r="K87" s="29" t="n">
        <f aca="false">IF(COUNT(D87:E87)=0,"NA",(IF(ISNUMBER(D87),D87*Parameters!$E$6,0)+IF(ISNUMBER(E87),E87*Parameters!$E$7,0))/(IF(ISNUMBER(D87),Parameters!$E$6,0)+IF(ISNUMBER(E87),Parameters!$E$7,0))*100)</f>
        <v>0</v>
      </c>
      <c r="L87" s="29" t="n">
        <f aca="false">IF(COUNT(F87:H87)=0,"NA",(IF(ISNUMBER(F87),F87*Parameters!$E$8,0)+IF(ISNUMBER(G87),G87*Parameters!$E$9,0)+IF(ISNUMBER(H87),H87*Parameters!$E$10,0))/(IF(ISNUMBER(F87),Parameters!$E$8,0)+IF(ISNUMBER(G87),Parameters!$E$9,0)+IF(ISNUMBER(H87),Parameters!$E$10,0))*100)</f>
        <v>57.1428571428572</v>
      </c>
      <c r="M87" s="29" t="n">
        <f aca="false">IF(COUNT(I87:J87)=0,"NA",(IF(ISNUMBER(I87),I87*Parameters!$E$11,0)+IF(ISNUMBER(J87),J87*Parameters!$E$12,0))/(IF(ISNUMBER(I87),Parameters!$E$11,0)+IF(ISNUMBER(J87),Parameters!$E$12,0))*100)</f>
        <v>0</v>
      </c>
      <c r="N87" s="30" t="n">
        <f aca="false">IF(ISNUMBER(D87),Parameters!$E$6,0)+IF(ISNUMBER(E87),Parameters!$E$7,0)+IF(ISNUMBER(F87),Parameters!$E$8,0)+IF(ISNUMBER(G87),Parameters!$E$9,0)+IF(ISNUMBER(H87),Parameters!$E$10,0)+IF(ISNUMBER(I87),Parameters!$E$11,0)+IF(ISNUMBER(J87),Parameters!$E$12,0)</f>
        <v>0.58</v>
      </c>
      <c r="O87" s="31" t="n">
        <f aca="false">IF(ISNUMBER(D87),D87*Parameters!$E$6,0)+IF(ISNUMBER(E87),E87*Parameters!$E$7,0)+IF(ISNUMBER(F87),F87*Parameters!$E$8,0)+IF(ISNUMBER(G87),G87*Parameters!$E$9,0)+IF(ISNUMBER(H87),H87*Parameters!$E$10,0)+IF(ISNUMBER(I87),I87*Parameters!$E$11,0)+IF(ISNUMBER(J87),J87*Parameters!$E$12,0)</f>
        <v>0.2</v>
      </c>
      <c r="P87" s="32" t="n">
        <f aca="false">COUNT(D87:J87)</f>
        <v>5</v>
      </c>
      <c r="Q87" s="32" t="n">
        <f aca="false">(COUNT(D87:E87)&gt;0)+(COUNT(F87:H87)&gt;0)+(COUNT(I87:J87)&gt;0)</f>
        <v>3</v>
      </c>
      <c r="R87" s="32" t="str">
        <f aca="false">IF(AND(N87&gt;=Parameters!$C$56,Q87&gt;=Parameters!$C$59),"Yes","No")</f>
        <v>No</v>
      </c>
      <c r="S87" s="33" t="str">
        <f aca="false">IF(R87="Yes",O87/N87*100,"NA")</f>
        <v>NA</v>
      </c>
      <c r="T87" s="29" t="str">
        <f aca="false">IF(R87="Yes",O87/Parameters!$E$13*100,"NA")</f>
        <v>NA</v>
      </c>
      <c r="U87" s="29" t="str">
        <f aca="false">IF(R87="Yes",(O87+(Parameters!$E$13-N87))/Parameters!$E$13*100,"NA")</f>
        <v>NA</v>
      </c>
      <c r="V87" s="34" t="str">
        <f aca="false">IF(R87&lt;&gt;"Yes","Not scored",IF(N87&gt;=Parameters!$C$60,"Reportable","Provisional"))</f>
        <v>Not scored</v>
      </c>
      <c r="W87" s="32" t="str">
        <f aca="false">IF(ISNUMBER(S87),RANK(S87,$S$2:$S$113,0),"NA")</f>
        <v>NA</v>
      </c>
      <c r="X87" s="32" t="str">
        <f aca="false">IF(N87&gt;=Parameters!$C$60,"High",IF(N87&gt;=Parameters!$C$56,"Medium","Low"))</f>
        <v>Low</v>
      </c>
      <c r="Y87" s="32" t="n">
        <f aca="false">Calc!T87</f>
        <v>0</v>
      </c>
      <c r="Z87" s="35" t="str">
        <f aca="false">IF(V87="Reportable",S87-ROW()*0.000000001,"")</f>
        <v/>
      </c>
      <c r="AA87" s="35" t="str">
        <f aca="false">IF(ISNUMBER(Z87),RANK(Z87,$Z$2:$Z$113,0),"NA")</f>
        <v>NA</v>
      </c>
    </row>
    <row r="88" customFormat="false" ht="15" hidden="false" customHeight="true" outlineLevel="0" collapsed="false">
      <c r="A88" s="15" t="str">
        <f aca="false">Data!$A88</f>
        <v>Peer Community In</v>
      </c>
      <c r="B88" s="15" t="str">
        <f aca="false">Data!$B88</f>
        <v>PCI, Peer Community In</v>
      </c>
      <c r="C88" s="15" t="str">
        <f aca="false">Data!$E88</f>
        <v>Peer review system</v>
      </c>
      <c r="D88" s="28" t="n">
        <f aca="false">IF(Verification!C88="",Calc!B88,Verification!C88)</f>
        <v>1</v>
      </c>
      <c r="E88" s="28" t="str">
        <f aca="false">IF(Verification!D88="",Calc!D88,Verification!D88)</f>
        <v>NA</v>
      </c>
      <c r="F88" s="28" t="str">
        <f aca="false">IF(Verification!E88="",Calc!G88,Verification!E88)</f>
        <v>NA</v>
      </c>
      <c r="G88" s="28" t="str">
        <f aca="false">IF(Verification!F88="",Calc!I88,Verification!F88)</f>
        <v>NA</v>
      </c>
      <c r="H88" s="28" t="n">
        <f aca="false">IF(Verification!G88="",Calc!E88,Verification!G88)</f>
        <v>1</v>
      </c>
      <c r="I88" s="28" t="n">
        <f aca="false">IF(Verification!H88="",Calc!J88,Verification!H88)</f>
        <v>1</v>
      </c>
      <c r="J88" s="28" t="n">
        <f aca="false">IF(Verification!I88="",Calc!K88,Verification!I88)</f>
        <v>1</v>
      </c>
      <c r="K88" s="29" t="n">
        <f aca="false">IF(COUNT(D88:E88)=0,"NA",(IF(ISNUMBER(D88),D88*Parameters!$E$6,0)+IF(ISNUMBER(E88),E88*Parameters!$E$7,0))/(IF(ISNUMBER(D88),Parameters!$E$6,0)+IF(ISNUMBER(E88),Parameters!$E$7,0))*100)</f>
        <v>100</v>
      </c>
      <c r="L88" s="29" t="n">
        <f aca="false">IF(COUNT(F88:H88)=0,"NA",(IF(ISNUMBER(F88),F88*Parameters!$E$8,0)+IF(ISNUMBER(G88),G88*Parameters!$E$9,0)+IF(ISNUMBER(H88),H88*Parameters!$E$10,0))/(IF(ISNUMBER(F88),Parameters!$E$8,0)+IF(ISNUMBER(G88),Parameters!$E$9,0)+IF(ISNUMBER(H88),Parameters!$E$10,0))*100)</f>
        <v>100</v>
      </c>
      <c r="M88" s="29" t="n">
        <f aca="false">IF(COUNT(I88:J88)=0,"NA",(IF(ISNUMBER(I88),I88*Parameters!$E$11,0)+IF(ISNUMBER(J88),J88*Parameters!$E$12,0))/(IF(ISNUMBER(I88),Parameters!$E$11,0)+IF(ISNUMBER(J88),Parameters!$E$12,0))*100)</f>
        <v>100</v>
      </c>
      <c r="N88" s="30" t="n">
        <f aca="false">IF(ISNUMBER(D88),Parameters!$E$6,0)+IF(ISNUMBER(E88),Parameters!$E$7,0)+IF(ISNUMBER(F88),Parameters!$E$8,0)+IF(ISNUMBER(G88),Parameters!$E$9,0)+IF(ISNUMBER(H88),Parameters!$E$10,0)+IF(ISNUMBER(I88),Parameters!$E$11,0)+IF(ISNUMBER(J88),Parameters!$E$12,0)</f>
        <v>0.48</v>
      </c>
      <c r="O88" s="31" t="n">
        <f aca="false">IF(ISNUMBER(D88),D88*Parameters!$E$6,0)+IF(ISNUMBER(E88),E88*Parameters!$E$7,0)+IF(ISNUMBER(F88),F88*Parameters!$E$8,0)+IF(ISNUMBER(G88),G88*Parameters!$E$9,0)+IF(ISNUMBER(H88),H88*Parameters!$E$10,0)+IF(ISNUMBER(I88),I88*Parameters!$E$11,0)+IF(ISNUMBER(J88),J88*Parameters!$E$12,0)</f>
        <v>0.48</v>
      </c>
      <c r="P88" s="32" t="n">
        <f aca="false">COUNT(D88:J88)</f>
        <v>4</v>
      </c>
      <c r="Q88" s="32" t="n">
        <f aca="false">(COUNT(D88:E88)&gt;0)+(COUNT(F88:H88)&gt;0)+(COUNT(I88:J88)&gt;0)</f>
        <v>3</v>
      </c>
      <c r="R88" s="32" t="str">
        <f aca="false">IF(AND(N88&gt;=Parameters!$C$56,Q88&gt;=Parameters!$C$59),"Yes","No")</f>
        <v>No</v>
      </c>
      <c r="S88" s="33" t="str">
        <f aca="false">IF(R88="Yes",O88/N88*100,"NA")</f>
        <v>NA</v>
      </c>
      <c r="T88" s="29" t="str">
        <f aca="false">IF(R88="Yes",O88/Parameters!$E$13*100,"NA")</f>
        <v>NA</v>
      </c>
      <c r="U88" s="29" t="str">
        <f aca="false">IF(R88="Yes",(O88+(Parameters!$E$13-N88))/Parameters!$E$13*100,"NA")</f>
        <v>NA</v>
      </c>
      <c r="V88" s="34" t="str">
        <f aca="false">IF(R88&lt;&gt;"Yes","Not scored",IF(N88&gt;=Parameters!$C$60,"Reportable","Provisional"))</f>
        <v>Not scored</v>
      </c>
      <c r="W88" s="32" t="str">
        <f aca="false">IF(ISNUMBER(S88),RANK(S88,$S$2:$S$113,0),"NA")</f>
        <v>NA</v>
      </c>
      <c r="X88" s="32" t="str">
        <f aca="false">IF(N88&gt;=Parameters!$C$60,"High",IF(N88&gt;=Parameters!$C$56,"Medium","Low"))</f>
        <v>Low</v>
      </c>
      <c r="Y88" s="32" t="n">
        <f aca="false">Calc!T88</f>
        <v>2</v>
      </c>
      <c r="Z88" s="35" t="str">
        <f aca="false">IF(V88="Reportable",S88-ROW()*0.000000001,"")</f>
        <v/>
      </c>
      <c r="AA88" s="35" t="str">
        <f aca="false">IF(ISNUMBER(Z88),RANK(Z88,$Z$2:$Z$113,0),"NA")</f>
        <v>NA</v>
      </c>
    </row>
    <row r="89" customFormat="false" ht="15" hidden="false" customHeight="true" outlineLevel="0" collapsed="false">
      <c r="A89" s="15" t="str">
        <f aca="false">Data!$A89</f>
        <v>PKP Preservation Network</v>
      </c>
      <c r="B89" s="15" t="str">
        <f aca="false">Data!$B89</f>
        <v>Public Knowledge Project (PKP)</v>
      </c>
      <c r="C89" s="15" t="str">
        <f aca="false">Data!$E89</f>
        <v>Digital preservation service</v>
      </c>
      <c r="D89" s="28" t="n">
        <f aca="false">IF(Verification!C89="",Calc!B89,Verification!C89)</f>
        <v>1</v>
      </c>
      <c r="E89" s="28" t="str">
        <f aca="false">IF(Verification!D89="",Calc!D89,Verification!D89)</f>
        <v>NA</v>
      </c>
      <c r="F89" s="28" t="str">
        <f aca="false">IF(Verification!E89="",Calc!G89,Verification!E89)</f>
        <v>NA</v>
      </c>
      <c r="G89" s="28" t="n">
        <f aca="false">IF(Verification!F89="",Calc!I89,Verification!F89)</f>
        <v>1</v>
      </c>
      <c r="H89" s="28" t="n">
        <f aca="false">IF(Verification!G89="",Calc!E89,Verification!G89)</f>
        <v>1</v>
      </c>
      <c r="I89" s="28" t="n">
        <f aca="false">IF(Verification!H89="",Calc!J89,Verification!H89)</f>
        <v>1</v>
      </c>
      <c r="J89" s="28" t="n">
        <f aca="false">IF(Verification!I89="",Calc!K89,Verification!I89)</f>
        <v>1</v>
      </c>
      <c r="K89" s="29" t="n">
        <f aca="false">IF(COUNT(D89:E89)=0,"NA",(IF(ISNUMBER(D89),D89*Parameters!$E$6,0)+IF(ISNUMBER(E89),E89*Parameters!$E$7,0))/(IF(ISNUMBER(D89),Parameters!$E$6,0)+IF(ISNUMBER(E89),Parameters!$E$7,0))*100)</f>
        <v>100</v>
      </c>
      <c r="L89" s="29" t="n">
        <f aca="false">IF(COUNT(F89:H89)=0,"NA",(IF(ISNUMBER(F89),F89*Parameters!$E$8,0)+IF(ISNUMBER(G89),G89*Parameters!$E$9,0)+IF(ISNUMBER(H89),H89*Parameters!$E$10,0))/(IF(ISNUMBER(F89),Parameters!$E$8,0)+IF(ISNUMBER(G89),Parameters!$E$9,0)+IF(ISNUMBER(H89),Parameters!$E$10,0))*100)</f>
        <v>100</v>
      </c>
      <c r="M89" s="29" t="n">
        <f aca="false">IF(COUNT(I89:J89)=0,"NA",(IF(ISNUMBER(I89),I89*Parameters!$E$11,0)+IF(ISNUMBER(J89),J89*Parameters!$E$12,0))/(IF(ISNUMBER(I89),Parameters!$E$11,0)+IF(ISNUMBER(J89),Parameters!$E$12,0))*100)</f>
        <v>100</v>
      </c>
      <c r="N89" s="30" t="n">
        <f aca="false">IF(ISNUMBER(D89),Parameters!$E$6,0)+IF(ISNUMBER(E89),Parameters!$E$7,0)+IF(ISNUMBER(F89),Parameters!$E$8,0)+IF(ISNUMBER(G89),Parameters!$E$9,0)+IF(ISNUMBER(H89),Parameters!$E$10,0)+IF(ISNUMBER(I89),Parameters!$E$11,0)+IF(ISNUMBER(J89),Parameters!$E$12,0)</f>
        <v>0.6</v>
      </c>
      <c r="O89" s="31" t="n">
        <f aca="false">IF(ISNUMBER(D89),D89*Parameters!$E$6,0)+IF(ISNUMBER(E89),E89*Parameters!$E$7,0)+IF(ISNUMBER(F89),F89*Parameters!$E$8,0)+IF(ISNUMBER(G89),G89*Parameters!$E$9,0)+IF(ISNUMBER(H89),H89*Parameters!$E$10,0)+IF(ISNUMBER(I89),I89*Parameters!$E$11,0)+IF(ISNUMBER(J89),J89*Parameters!$E$12,0)</f>
        <v>0.6</v>
      </c>
      <c r="P89" s="32" t="n">
        <f aca="false">COUNT(D89:J89)</f>
        <v>5</v>
      </c>
      <c r="Q89" s="32" t="n">
        <f aca="false">(COUNT(D89:E89)&gt;0)+(COUNT(F89:H89)&gt;0)+(COUNT(I89:J89)&gt;0)</f>
        <v>3</v>
      </c>
      <c r="R89" s="32" t="str">
        <f aca="false">IF(AND(N89&gt;=Parameters!$C$56,Q89&gt;=Parameters!$C$59),"Yes","No")</f>
        <v>Yes</v>
      </c>
      <c r="S89" s="33" t="n">
        <f aca="false">IF(R89="Yes",O89/N89*100,"NA")</f>
        <v>100</v>
      </c>
      <c r="T89" s="29" t="n">
        <f aca="false">IF(R89="Yes",O89/Parameters!$E$13*100,"NA")</f>
        <v>60</v>
      </c>
      <c r="U89" s="29" t="n">
        <f aca="false">IF(R89="Yes",(O89+(Parameters!$E$13-N89))/Parameters!$E$13*100,"NA")</f>
        <v>100</v>
      </c>
      <c r="V89" s="34" t="str">
        <f aca="false">IF(R89&lt;&gt;"Yes","Not scored",IF(N89&gt;=Parameters!$C$60,"Reportable","Provisional"))</f>
        <v>Provisional</v>
      </c>
      <c r="W89" s="32" t="n">
        <f aca="false">IF(ISNUMBER(S89),RANK(S89,$S$2:$S$113,0),"NA")</f>
        <v>1</v>
      </c>
      <c r="X89" s="32" t="str">
        <f aca="false">IF(N89&gt;=Parameters!$C$60,"High",IF(N89&gt;=Parameters!$C$56,"Medium","Low"))</f>
        <v>Medium</v>
      </c>
      <c r="Y89" s="32" t="n">
        <f aca="false">Calc!T89</f>
        <v>1</v>
      </c>
      <c r="Z89" s="35" t="str">
        <f aca="false">IF(V89="Reportable",S89-ROW()*0.000000001,"")</f>
        <v/>
      </c>
      <c r="AA89" s="35" t="str">
        <f aca="false">IF(ISNUMBER(Z89),RANK(Z89,$Z$2:$Z$113,0),"NA")</f>
        <v>NA</v>
      </c>
    </row>
    <row r="90" customFormat="false" ht="15" hidden="false" customHeight="true" outlineLevel="0" collapsed="false">
      <c r="A90" s="15" t="str">
        <f aca="false">Data!$A90</f>
        <v>PREreview</v>
      </c>
      <c r="B90" s="15" t="str">
        <f aca="false">Data!$B90</f>
        <v>Code for Science and Society</v>
      </c>
      <c r="C90" s="15" t="str">
        <f aca="false">Data!$E90</f>
        <v>Discovery system | Peer review system</v>
      </c>
      <c r="D90" s="28" t="n">
        <f aca="false">IF(Verification!C90="",Calc!B90,Verification!C90)</f>
        <v>1</v>
      </c>
      <c r="E90" s="28" t="n">
        <f aca="false">IF(Verification!D90="",Calc!D90,Verification!D90)</f>
        <v>1</v>
      </c>
      <c r="F90" s="28" t="n">
        <f aca="false">IF(Verification!E90="",Calc!G90,Verification!E90)</f>
        <v>1</v>
      </c>
      <c r="G90" s="28" t="n">
        <f aca="false">IF(Verification!F90="",Calc!I90,Verification!F90)</f>
        <v>0.5</v>
      </c>
      <c r="H90" s="28" t="n">
        <f aca="false">IF(Verification!G90="",Calc!E90,Verification!G90)</f>
        <v>1</v>
      </c>
      <c r="I90" s="28" t="n">
        <f aca="false">IF(Verification!H90="",Calc!J90,Verification!H90)</f>
        <v>1</v>
      </c>
      <c r="J90" s="28" t="n">
        <f aca="false">IF(Verification!I90="",Calc!K90,Verification!I90)</f>
        <v>0.5</v>
      </c>
      <c r="K90" s="29" t="n">
        <f aca="false">IF(COUNT(D90:E90)=0,"NA",(IF(ISNUMBER(D90),D90*Parameters!$E$6,0)+IF(ISNUMBER(E90),E90*Parameters!$E$7,0))/(IF(ISNUMBER(D90),Parameters!$E$6,0)+IF(ISNUMBER(E90),Parameters!$E$7,0))*100)</f>
        <v>100</v>
      </c>
      <c r="L90" s="29" t="n">
        <f aca="false">IF(COUNT(F90:H90)=0,"NA",(IF(ISNUMBER(F90),F90*Parameters!$E$8,0)+IF(ISNUMBER(G90),G90*Parameters!$E$9,0)+IF(ISNUMBER(H90),H90*Parameters!$E$10,0))/(IF(ISNUMBER(F90),Parameters!$E$8,0)+IF(ISNUMBER(G90),Parameters!$E$9,0)+IF(ISNUMBER(H90),Parameters!$E$10,0))*100)</f>
        <v>82.8571428571429</v>
      </c>
      <c r="M90" s="29" t="n">
        <f aca="false">IF(COUNT(I90:J90)=0,"NA",(IF(ISNUMBER(I90),I90*Parameters!$E$11,0)+IF(ISNUMBER(J90),J90*Parameters!$E$12,0))/(IF(ISNUMBER(I90),Parameters!$E$11,0)+IF(ISNUMBER(J90),Parameters!$E$12,0))*100)</f>
        <v>71.4285714285714</v>
      </c>
      <c r="N90" s="30" t="n">
        <f aca="false">IF(ISNUMBER(D90),Parameters!$E$6,0)+IF(ISNUMBER(E90),Parameters!$E$7,0)+IF(ISNUMBER(F90),Parameters!$E$8,0)+IF(ISNUMBER(G90),Parameters!$E$9,0)+IF(ISNUMBER(H90),Parameters!$E$10,0)+IF(ISNUMBER(I90),Parameters!$E$11,0)+IF(ISNUMBER(J90),Parameters!$E$12,0)</f>
        <v>1</v>
      </c>
      <c r="O90" s="31" t="n">
        <f aca="false">IF(ISNUMBER(D90),D90*Parameters!$E$6,0)+IF(ISNUMBER(E90),E90*Parameters!$E$7,0)+IF(ISNUMBER(F90),F90*Parameters!$E$8,0)+IF(ISNUMBER(G90),G90*Parameters!$E$9,0)+IF(ISNUMBER(H90),H90*Parameters!$E$10,0)+IF(ISNUMBER(I90),I90*Parameters!$E$11,0)+IF(ISNUMBER(J90),J90*Parameters!$E$12,0)</f>
        <v>0.84</v>
      </c>
      <c r="P90" s="32" t="n">
        <f aca="false">COUNT(D90:J90)</f>
        <v>7</v>
      </c>
      <c r="Q90" s="32" t="n">
        <f aca="false">(COUNT(D90:E90)&gt;0)+(COUNT(F90:H90)&gt;0)+(COUNT(I90:J90)&gt;0)</f>
        <v>3</v>
      </c>
      <c r="R90" s="32" t="str">
        <f aca="false">IF(AND(N90&gt;=Parameters!$C$56,Q90&gt;=Parameters!$C$59),"Yes","No")</f>
        <v>Yes</v>
      </c>
      <c r="S90" s="33" t="n">
        <f aca="false">IF(R90="Yes",O90/N90*100,"NA")</f>
        <v>84</v>
      </c>
      <c r="T90" s="29" t="n">
        <f aca="false">IF(R90="Yes",O90/Parameters!$E$13*100,"NA")</f>
        <v>84</v>
      </c>
      <c r="U90" s="29" t="n">
        <f aca="false">IF(R90="Yes",(O90+(Parameters!$E$13-N90))/Parameters!$E$13*100,"NA")</f>
        <v>84</v>
      </c>
      <c r="V90" s="34" t="str">
        <f aca="false">IF(R90&lt;&gt;"Yes","Not scored",IF(N90&gt;=Parameters!$C$60,"Reportable","Provisional"))</f>
        <v>Reportable</v>
      </c>
      <c r="W90" s="32" t="n">
        <f aca="false">IF(ISNUMBER(S90),RANK(S90,$S$2:$S$113,0),"NA")</f>
        <v>30</v>
      </c>
      <c r="X90" s="32" t="str">
        <f aca="false">IF(N90&gt;=Parameters!$C$60,"High",IF(N90&gt;=Parameters!$C$56,"Medium","Low"))</f>
        <v>High</v>
      </c>
      <c r="Y90" s="32" t="n">
        <f aca="false">Calc!T90</f>
        <v>0</v>
      </c>
      <c r="Z90" s="35" t="n">
        <f aca="false">IF(V90="Reportable",S90-ROW()*0.000000001,"")</f>
        <v>83.99999991</v>
      </c>
      <c r="AA90" s="35" t="n">
        <f aca="false">IF(ISNUMBER(Z90),RANK(Z90,$Z$2:$Z$113,0),"NA")</f>
        <v>19</v>
      </c>
    </row>
    <row r="91" customFormat="false" ht="15" hidden="false" customHeight="true" outlineLevel="0" collapsed="false">
      <c r="A91" s="15" t="str">
        <f aca="false">Data!$A91</f>
        <v>Pressbooks</v>
      </c>
      <c r="B91" s="15" t="str">
        <f aca="false">Data!$B91</f>
        <v>Book Oven, Inc.</v>
      </c>
      <c r="C91" s="15" t="str">
        <f aca="false">Data!$E91</f>
        <v>Publishing system</v>
      </c>
      <c r="D91" s="28" t="n">
        <f aca="false">IF(Verification!C91="",Calc!B91,Verification!C91)</f>
        <v>1</v>
      </c>
      <c r="E91" s="28" t="n">
        <f aca="false">IF(Verification!D91="",Calc!D91,Verification!D91)</f>
        <v>0.25</v>
      </c>
      <c r="F91" s="28" t="n">
        <f aca="false">IF(Verification!E91="",Calc!G91,Verification!E91)</f>
        <v>0.5</v>
      </c>
      <c r="G91" s="28" t="str">
        <f aca="false">IF(Verification!F91="",Calc!I91,Verification!F91)</f>
        <v>NA</v>
      </c>
      <c r="H91" s="28" t="n">
        <f aca="false">IF(Verification!G91="",Calc!E91,Verification!G91)</f>
        <v>1</v>
      </c>
      <c r="I91" s="28" t="n">
        <f aca="false">IF(Verification!H91="",Calc!J91,Verification!H91)</f>
        <v>0.33</v>
      </c>
      <c r="J91" s="28" t="str">
        <f aca="false">IF(Verification!I91="",Calc!K91,Verification!I91)</f>
        <v>NA</v>
      </c>
      <c r="K91" s="29" t="n">
        <f aca="false">IF(COUNT(D91:E91)=0,"NA",(IF(ISNUMBER(D91),D91*Parameters!$E$6,0)+IF(ISNUMBER(E91),E91*Parameters!$E$7,0))/(IF(ISNUMBER(D91),Parameters!$E$6,0)+IF(ISNUMBER(E91),Parameters!$E$7,0))*100)</f>
        <v>45</v>
      </c>
      <c r="L91" s="29" t="n">
        <f aca="false">IF(COUNT(F91:H91)=0,"NA",(IF(ISNUMBER(F91),F91*Parameters!$E$8,0)+IF(ISNUMBER(G91),G91*Parameters!$E$9,0)+IF(ISNUMBER(H91),H91*Parameters!$E$10,0))/(IF(ISNUMBER(F91),Parameters!$E$8,0)+IF(ISNUMBER(G91),Parameters!$E$9,0)+IF(ISNUMBER(H91),Parameters!$E$10,0))*100)</f>
        <v>60.8695652173913</v>
      </c>
      <c r="M91" s="29" t="n">
        <f aca="false">IF(COUNT(I91:J91)=0,"NA",(IF(ISNUMBER(I91),I91*Parameters!$E$11,0)+IF(ISNUMBER(J91),J91*Parameters!$E$12,0))/(IF(ISNUMBER(I91),Parameters!$E$11,0)+IF(ISNUMBER(J91),Parameters!$E$12,0))*100)</f>
        <v>33</v>
      </c>
      <c r="N91" s="30" t="n">
        <f aca="false">IF(ISNUMBER(D91),Parameters!$E$6,0)+IF(ISNUMBER(E91),Parameters!$E$7,0)+IF(ISNUMBER(F91),Parameters!$E$8,0)+IF(ISNUMBER(G91),Parameters!$E$9,0)+IF(ISNUMBER(H91),Parameters!$E$10,0)+IF(ISNUMBER(I91),Parameters!$E$11,0)+IF(ISNUMBER(J91),Parameters!$E$12,0)</f>
        <v>0.68</v>
      </c>
      <c r="O91" s="31" t="n">
        <f aca="false">IF(ISNUMBER(D91),D91*Parameters!$E$6,0)+IF(ISNUMBER(E91),E91*Parameters!$E$7,0)+IF(ISNUMBER(F91),F91*Parameters!$E$8,0)+IF(ISNUMBER(G91),G91*Parameters!$E$9,0)+IF(ISNUMBER(H91),H91*Parameters!$E$10,0)+IF(ISNUMBER(I91),I91*Parameters!$E$11,0)+IF(ISNUMBER(J91),J91*Parameters!$E$12,0)</f>
        <v>0.3245</v>
      </c>
      <c r="P91" s="32" t="n">
        <f aca="false">COUNT(D91:J91)</f>
        <v>5</v>
      </c>
      <c r="Q91" s="32" t="n">
        <f aca="false">(COUNT(D91:E91)&gt;0)+(COUNT(F91:H91)&gt;0)+(COUNT(I91:J91)&gt;0)</f>
        <v>3</v>
      </c>
      <c r="R91" s="32" t="str">
        <f aca="false">IF(AND(N91&gt;=Parameters!$C$56,Q91&gt;=Parameters!$C$59),"Yes","No")</f>
        <v>Yes</v>
      </c>
      <c r="S91" s="33" t="n">
        <f aca="false">IF(R91="Yes",O91/N91*100,"NA")</f>
        <v>47.7205882352941</v>
      </c>
      <c r="T91" s="29" t="n">
        <f aca="false">IF(R91="Yes",O91/Parameters!$E$13*100,"NA")</f>
        <v>32.45</v>
      </c>
      <c r="U91" s="29" t="n">
        <f aca="false">IF(R91="Yes",(O91+(Parameters!$E$13-N91))/Parameters!$E$13*100,"NA")</f>
        <v>64.45</v>
      </c>
      <c r="V91" s="34" t="str">
        <f aca="false">IF(R91&lt;&gt;"Yes","Not scored",IF(N91&gt;=Parameters!$C$60,"Reportable","Provisional"))</f>
        <v>Provisional</v>
      </c>
      <c r="W91" s="32" t="n">
        <f aca="false">IF(ISNUMBER(S91),RANK(S91,$S$2:$S$113,0),"NA")</f>
        <v>84</v>
      </c>
      <c r="X91" s="32" t="str">
        <f aca="false">IF(N91&gt;=Parameters!$C$60,"High",IF(N91&gt;=Parameters!$C$56,"Medium","Low"))</f>
        <v>Medium</v>
      </c>
      <c r="Y91" s="32" t="n">
        <f aca="false">Calc!T91</f>
        <v>0</v>
      </c>
      <c r="Z91" s="35" t="str">
        <f aca="false">IF(V91="Reportable",S91-ROW()*0.000000001,"")</f>
        <v/>
      </c>
      <c r="AA91" s="35" t="str">
        <f aca="false">IF(ISNUMBER(Z91),RANK(Z91,$Z$2:$Z$113,0),"NA")</f>
        <v>NA</v>
      </c>
    </row>
    <row r="92" customFormat="false" ht="15" hidden="false" customHeight="true" outlineLevel="0" collapsed="false">
      <c r="A92" s="15" t="str">
        <f aca="false">Data!$A92</f>
        <v>Public Access Submission System</v>
      </c>
      <c r="B92" s="15" t="str">
        <f aca="false">Data!$B92</f>
        <v>Eclipse Foundation</v>
      </c>
      <c r="C92" s="15" t="str">
        <f aca="false">Data!$E92</f>
        <v>Submissions system</v>
      </c>
      <c r="D92" s="28" t="n">
        <f aca="false">IF(Verification!C92="",Calc!B92,Verification!C92)</f>
        <v>0.67</v>
      </c>
      <c r="E92" s="28" t="str">
        <f aca="false">IF(Verification!D92="",Calc!D92,Verification!D92)</f>
        <v>NA</v>
      </c>
      <c r="F92" s="28" t="n">
        <f aca="false">IF(Verification!E92="",Calc!G92,Verification!E92)</f>
        <v>0.666666666666667</v>
      </c>
      <c r="G92" s="28" t="n">
        <f aca="false">IF(Verification!F92="",Calc!I92,Verification!F92)</f>
        <v>1</v>
      </c>
      <c r="H92" s="28" t="n">
        <f aca="false">IF(Verification!G92="",Calc!E92,Verification!G92)</f>
        <v>1</v>
      </c>
      <c r="I92" s="28" t="n">
        <f aca="false">IF(Verification!H92="",Calc!J92,Verification!H92)</f>
        <v>1</v>
      </c>
      <c r="J92" s="28" t="n">
        <f aca="false">IF(Verification!I92="",Calc!K92,Verification!I92)</f>
        <v>1</v>
      </c>
      <c r="K92" s="29" t="n">
        <f aca="false">IF(COUNT(D92:E92)=0,"NA",(IF(ISNUMBER(D92),D92*Parameters!$E$6,0)+IF(ISNUMBER(E92),E92*Parameters!$E$7,0))/(IF(ISNUMBER(D92),Parameters!$E$6,0)+IF(ISNUMBER(E92),Parameters!$E$7,0))*100)</f>
        <v>67</v>
      </c>
      <c r="L92" s="29" t="n">
        <f aca="false">IF(COUNT(F92:H92)=0,"NA",(IF(ISNUMBER(F92),F92*Parameters!$E$8,0)+IF(ISNUMBER(G92),G92*Parameters!$E$9,0)+IF(ISNUMBER(H92),H92*Parameters!$E$10,0))/(IF(ISNUMBER(F92),Parameters!$E$8,0)+IF(ISNUMBER(G92),Parameters!$E$9,0)+IF(ISNUMBER(H92),Parameters!$E$10,0))*100)</f>
        <v>82.8571428571429</v>
      </c>
      <c r="M92" s="29" t="n">
        <f aca="false">IF(COUNT(I92:J92)=0,"NA",(IF(ISNUMBER(I92),I92*Parameters!$E$11,0)+IF(ISNUMBER(J92),J92*Parameters!$E$12,0))/(IF(ISNUMBER(I92),Parameters!$E$11,0)+IF(ISNUMBER(J92),Parameters!$E$12,0))*100)</f>
        <v>100</v>
      </c>
      <c r="N92" s="30" t="n">
        <f aca="false">IF(ISNUMBER(D92),Parameters!$E$6,0)+IF(ISNUMBER(E92),Parameters!$E$7,0)+IF(ISNUMBER(F92),Parameters!$E$8,0)+IF(ISNUMBER(G92),Parameters!$E$9,0)+IF(ISNUMBER(H92),Parameters!$E$10,0)+IF(ISNUMBER(I92),Parameters!$E$11,0)+IF(ISNUMBER(J92),Parameters!$E$12,0)</f>
        <v>0.78</v>
      </c>
      <c r="O92" s="31" t="n">
        <f aca="false">IF(ISNUMBER(D92),D92*Parameters!$E$6,0)+IF(ISNUMBER(E92),E92*Parameters!$E$7,0)+IF(ISNUMBER(F92),F92*Parameters!$E$8,0)+IF(ISNUMBER(G92),G92*Parameters!$E$9,0)+IF(ISNUMBER(H92),H92*Parameters!$E$10,0)+IF(ISNUMBER(I92),I92*Parameters!$E$11,0)+IF(ISNUMBER(J92),J92*Parameters!$E$12,0)</f>
        <v>0.6936</v>
      </c>
      <c r="P92" s="32" t="n">
        <f aca="false">COUNT(D92:J92)</f>
        <v>6</v>
      </c>
      <c r="Q92" s="32" t="n">
        <f aca="false">(COUNT(D92:E92)&gt;0)+(COUNT(F92:H92)&gt;0)+(COUNT(I92:J92)&gt;0)</f>
        <v>3</v>
      </c>
      <c r="R92" s="32" t="str">
        <f aca="false">IF(AND(N92&gt;=Parameters!$C$56,Q92&gt;=Parameters!$C$59),"Yes","No")</f>
        <v>Yes</v>
      </c>
      <c r="S92" s="33" t="n">
        <f aca="false">IF(R92="Yes",O92/N92*100,"NA")</f>
        <v>88.9230769230769</v>
      </c>
      <c r="T92" s="29" t="n">
        <f aca="false">IF(R92="Yes",O92/Parameters!$E$13*100,"NA")</f>
        <v>69.36</v>
      </c>
      <c r="U92" s="29" t="n">
        <f aca="false">IF(R92="Yes",(O92+(Parameters!$E$13-N92))/Parameters!$E$13*100,"NA")</f>
        <v>91.36</v>
      </c>
      <c r="V92" s="34" t="str">
        <f aca="false">IF(R92&lt;&gt;"Yes","Not scored",IF(N92&gt;=Parameters!$C$60,"Reportable","Provisional"))</f>
        <v>Provisional</v>
      </c>
      <c r="W92" s="32" t="n">
        <f aca="false">IF(ISNUMBER(S92),RANK(S92,$S$2:$S$113,0),"NA")</f>
        <v>20</v>
      </c>
      <c r="X92" s="32" t="str">
        <f aca="false">IF(N92&gt;=Parameters!$C$60,"High",IF(N92&gt;=Parameters!$C$56,"Medium","Low"))</f>
        <v>Medium</v>
      </c>
      <c r="Y92" s="32" t="n">
        <f aca="false">Calc!T92</f>
        <v>0</v>
      </c>
      <c r="Z92" s="35" t="str">
        <f aca="false">IF(V92="Reportable",S92-ROW()*0.000000001,"")</f>
        <v/>
      </c>
      <c r="AA92" s="35" t="str">
        <f aca="false">IF(ISNUMBER(Z92),RANK(Z92,$Z$2:$Z$113,0),"NA")</f>
        <v>NA</v>
      </c>
    </row>
    <row r="93" customFormat="false" ht="15" hidden="false" customHeight="true" outlineLevel="0" collapsed="false">
      <c r="A93" s="15" t="str">
        <f aca="false">Data!$A93</f>
        <v>Public Utility Data Liberation (PUDL)</v>
      </c>
      <c r="B93" s="15" t="str">
        <f aca="false">Data!$B93</f>
        <v>Catalyst Cooperative</v>
      </c>
      <c r="C93" s="15" t="str">
        <f aca="false">Data!$E93</f>
        <v>Open scholarly dataset | Web archiving system</v>
      </c>
      <c r="D93" s="28" t="n">
        <f aca="false">IF(Verification!C93="",Calc!B93,Verification!C93)</f>
        <v>1</v>
      </c>
      <c r="E93" s="28" t="n">
        <f aca="false">IF(Verification!D93="",Calc!D93,Verification!D93)</f>
        <v>1</v>
      </c>
      <c r="F93" s="28" t="str">
        <f aca="false">IF(Verification!E93="",Calc!G93,Verification!E93)</f>
        <v>NA</v>
      </c>
      <c r="G93" s="28" t="n">
        <f aca="false">IF(Verification!F93="",Calc!I93,Verification!F93)</f>
        <v>1</v>
      </c>
      <c r="H93" s="28" t="n">
        <f aca="false">IF(Verification!G93="",Calc!E93,Verification!G93)</f>
        <v>1</v>
      </c>
      <c r="I93" s="28" t="n">
        <f aca="false">IF(Verification!H93="",Calc!J93,Verification!H93)</f>
        <v>1</v>
      </c>
      <c r="J93" s="28" t="n">
        <f aca="false">IF(Verification!I93="",Calc!K93,Verification!I93)</f>
        <v>0.5</v>
      </c>
      <c r="K93" s="29" t="n">
        <f aca="false">IF(COUNT(D93:E93)=0,"NA",(IF(ISNUMBER(D93),D93*Parameters!$E$6,0)+IF(ISNUMBER(E93),E93*Parameters!$E$7,0))/(IF(ISNUMBER(D93),Parameters!$E$6,0)+IF(ISNUMBER(E93),Parameters!$E$7,0))*100)</f>
        <v>100</v>
      </c>
      <c r="L93" s="29" t="n">
        <f aca="false">IF(COUNT(F93:H93)=0,"NA",(IF(ISNUMBER(F93),F93*Parameters!$E$8,0)+IF(ISNUMBER(G93),G93*Parameters!$E$9,0)+IF(ISNUMBER(H93),H93*Parameters!$E$10,0))/(IF(ISNUMBER(F93),Parameters!$E$8,0)+IF(ISNUMBER(G93),Parameters!$E$9,0)+IF(ISNUMBER(H93),Parameters!$E$10,0))*100)</f>
        <v>100</v>
      </c>
      <c r="M93" s="29" t="n">
        <f aca="false">IF(COUNT(I93:J93)=0,"NA",(IF(ISNUMBER(I93),I93*Parameters!$E$11,0)+IF(ISNUMBER(J93),J93*Parameters!$E$12,0))/(IF(ISNUMBER(I93),Parameters!$E$11,0)+IF(ISNUMBER(J93),Parameters!$E$12,0))*100)</f>
        <v>71.4285714285714</v>
      </c>
      <c r="N93" s="30" t="n">
        <f aca="false">IF(ISNUMBER(D93),Parameters!$E$6,0)+IF(ISNUMBER(E93),Parameters!$E$7,0)+IF(ISNUMBER(F93),Parameters!$E$8,0)+IF(ISNUMBER(G93),Parameters!$E$9,0)+IF(ISNUMBER(H93),Parameters!$E$10,0)+IF(ISNUMBER(I93),Parameters!$E$11,0)+IF(ISNUMBER(J93),Parameters!$E$12,0)</f>
        <v>0.82</v>
      </c>
      <c r="O93" s="31" t="n">
        <f aca="false">IF(ISNUMBER(D93),D93*Parameters!$E$6,0)+IF(ISNUMBER(E93),E93*Parameters!$E$7,0)+IF(ISNUMBER(F93),F93*Parameters!$E$8,0)+IF(ISNUMBER(G93),G93*Parameters!$E$9,0)+IF(ISNUMBER(H93),H93*Parameters!$E$10,0)+IF(ISNUMBER(I93),I93*Parameters!$E$11,0)+IF(ISNUMBER(J93),J93*Parameters!$E$12,0)</f>
        <v>0.72</v>
      </c>
      <c r="P93" s="32" t="n">
        <f aca="false">COUNT(D93:J93)</f>
        <v>6</v>
      </c>
      <c r="Q93" s="32" t="n">
        <f aca="false">(COUNT(D93:E93)&gt;0)+(COUNT(F93:H93)&gt;0)+(COUNT(I93:J93)&gt;0)</f>
        <v>3</v>
      </c>
      <c r="R93" s="32" t="str">
        <f aca="false">IF(AND(N93&gt;=Parameters!$C$56,Q93&gt;=Parameters!$C$59),"Yes","No")</f>
        <v>Yes</v>
      </c>
      <c r="S93" s="33" t="n">
        <f aca="false">IF(R93="Yes",O93/N93*100,"NA")</f>
        <v>87.8048780487805</v>
      </c>
      <c r="T93" s="29" t="n">
        <f aca="false">IF(R93="Yes",O93/Parameters!$E$13*100,"NA")</f>
        <v>72</v>
      </c>
      <c r="U93" s="29" t="n">
        <f aca="false">IF(R93="Yes",(O93+(Parameters!$E$13-N93))/Parameters!$E$13*100,"NA")</f>
        <v>90</v>
      </c>
      <c r="V93" s="34" t="str">
        <f aca="false">IF(R93&lt;&gt;"Yes","Not scored",IF(N93&gt;=Parameters!$C$60,"Reportable","Provisional"))</f>
        <v>Provisional</v>
      </c>
      <c r="W93" s="32" t="n">
        <f aca="false">IF(ISNUMBER(S93),RANK(S93,$S$2:$S$113,0),"NA")</f>
        <v>26</v>
      </c>
      <c r="X93" s="32" t="str">
        <f aca="false">IF(N93&gt;=Parameters!$C$60,"High",IF(N93&gt;=Parameters!$C$56,"Medium","Low"))</f>
        <v>Medium</v>
      </c>
      <c r="Y93" s="32" t="n">
        <f aca="false">Calc!T93</f>
        <v>0</v>
      </c>
      <c r="Z93" s="35" t="str">
        <f aca="false">IF(V93="Reportable",S93-ROW()*0.000000001,"")</f>
        <v/>
      </c>
      <c r="AA93" s="35" t="str">
        <f aca="false">IF(ISNUMBER(Z93),RANK(Z93,$Z$2:$Z$113,0),"NA")</f>
        <v>NA</v>
      </c>
    </row>
    <row r="94" customFormat="false" ht="15" hidden="false" customHeight="true" outlineLevel="0" collapsed="false">
      <c r="A94" s="15" t="str">
        <f aca="false">Data!$A94</f>
        <v>PubPub</v>
      </c>
      <c r="B94" s="15" t="str">
        <f aca="false">Data!$B94</f>
        <v>Knowledge Futures</v>
      </c>
      <c r="C94" s="15" t="str">
        <f aca="false">Data!$E94</f>
        <v>Publishing system</v>
      </c>
      <c r="D94" s="28" t="n">
        <f aca="false">IF(Verification!C94="",Calc!B94,Verification!C94)</f>
        <v>1</v>
      </c>
      <c r="E94" s="28" t="n">
        <f aca="false">IF(Verification!D94="",Calc!D94,Verification!D94)</f>
        <v>0.25</v>
      </c>
      <c r="F94" s="28" t="n">
        <f aca="false">IF(Verification!E94="",Calc!G94,Verification!E94)</f>
        <v>0.666666666666667</v>
      </c>
      <c r="G94" s="28" t="n">
        <f aca="false">IF(Verification!F94="",Calc!I94,Verification!F94)</f>
        <v>0.5</v>
      </c>
      <c r="H94" s="28" t="n">
        <f aca="false">IF(Verification!G94="",Calc!E94,Verification!G94)</f>
        <v>1</v>
      </c>
      <c r="I94" s="28" t="n">
        <f aca="false">IF(Verification!H94="",Calc!J94,Verification!H94)</f>
        <v>1</v>
      </c>
      <c r="J94" s="28" t="n">
        <f aca="false">IF(Verification!I94="",Calc!K94,Verification!I94)</f>
        <v>0.5</v>
      </c>
      <c r="K94" s="29" t="n">
        <f aca="false">IF(COUNT(D94:E94)=0,"NA",(IF(ISNUMBER(D94),D94*Parameters!$E$6,0)+IF(ISNUMBER(E94),E94*Parameters!$E$7,0))/(IF(ISNUMBER(D94),Parameters!$E$6,0)+IF(ISNUMBER(E94),Parameters!$E$7,0))*100)</f>
        <v>45</v>
      </c>
      <c r="L94" s="29" t="n">
        <f aca="false">IF(COUNT(F94:H94)=0,"NA",(IF(ISNUMBER(F94),F94*Parameters!$E$8,0)+IF(ISNUMBER(G94),G94*Parameters!$E$9,0)+IF(ISNUMBER(H94),H94*Parameters!$E$10,0))/(IF(ISNUMBER(F94),Parameters!$E$8,0)+IF(ISNUMBER(G94),Parameters!$E$9,0)+IF(ISNUMBER(H94),Parameters!$E$10,0))*100)</f>
        <v>65.7142857142857</v>
      </c>
      <c r="M94" s="29" t="n">
        <f aca="false">IF(COUNT(I94:J94)=0,"NA",(IF(ISNUMBER(I94),I94*Parameters!$E$11,0)+IF(ISNUMBER(J94),J94*Parameters!$E$12,0))/(IF(ISNUMBER(I94),Parameters!$E$11,0)+IF(ISNUMBER(J94),Parameters!$E$12,0))*100)</f>
        <v>71.4285714285714</v>
      </c>
      <c r="N94" s="30" t="n">
        <f aca="false">IF(ISNUMBER(D94),Parameters!$E$6,0)+IF(ISNUMBER(E94),Parameters!$E$7,0)+IF(ISNUMBER(F94),Parameters!$E$8,0)+IF(ISNUMBER(G94),Parameters!$E$9,0)+IF(ISNUMBER(H94),Parameters!$E$10,0)+IF(ISNUMBER(I94),Parameters!$E$11,0)+IF(ISNUMBER(J94),Parameters!$E$12,0)</f>
        <v>1</v>
      </c>
      <c r="O94" s="31" t="n">
        <f aca="false">IF(ISNUMBER(D94),D94*Parameters!$E$6,0)+IF(ISNUMBER(E94),E94*Parameters!$E$7,0)+IF(ISNUMBER(F94),F94*Parameters!$E$8,0)+IF(ISNUMBER(G94),G94*Parameters!$E$9,0)+IF(ISNUMBER(H94),H94*Parameters!$E$10,0)+IF(ISNUMBER(I94),I94*Parameters!$E$11,0)+IF(ISNUMBER(J94),J94*Parameters!$E$12,0)</f>
        <v>0.615</v>
      </c>
      <c r="P94" s="32" t="n">
        <f aca="false">COUNT(D94:J94)</f>
        <v>7</v>
      </c>
      <c r="Q94" s="32" t="n">
        <f aca="false">(COUNT(D94:E94)&gt;0)+(COUNT(F94:H94)&gt;0)+(COUNT(I94:J94)&gt;0)</f>
        <v>3</v>
      </c>
      <c r="R94" s="32" t="str">
        <f aca="false">IF(AND(N94&gt;=Parameters!$C$56,Q94&gt;=Parameters!$C$59),"Yes","No")</f>
        <v>Yes</v>
      </c>
      <c r="S94" s="33" t="n">
        <f aca="false">IF(R94="Yes",O94/N94*100,"NA")</f>
        <v>61.5</v>
      </c>
      <c r="T94" s="29" t="n">
        <f aca="false">IF(R94="Yes",O94/Parameters!$E$13*100,"NA")</f>
        <v>61.5</v>
      </c>
      <c r="U94" s="29" t="n">
        <f aca="false">IF(R94="Yes",(O94+(Parameters!$E$13-N94))/Parameters!$E$13*100,"NA")</f>
        <v>61.5</v>
      </c>
      <c r="V94" s="34" t="str">
        <f aca="false">IF(R94&lt;&gt;"Yes","Not scored",IF(N94&gt;=Parameters!$C$60,"Reportable","Provisional"))</f>
        <v>Reportable</v>
      </c>
      <c r="W94" s="32" t="n">
        <f aca="false">IF(ISNUMBER(S94),RANK(S94,$S$2:$S$113,0),"NA")</f>
        <v>69</v>
      </c>
      <c r="X94" s="32" t="str">
        <f aca="false">IF(N94&gt;=Parameters!$C$60,"High",IF(N94&gt;=Parameters!$C$56,"Medium","Low"))</f>
        <v>High</v>
      </c>
      <c r="Y94" s="32" t="n">
        <f aca="false">Calc!T94</f>
        <v>0</v>
      </c>
      <c r="Z94" s="35" t="n">
        <f aca="false">IF(V94="Reportable",S94-ROW()*0.000000001,"")</f>
        <v>61.499999906</v>
      </c>
      <c r="AA94" s="35" t="n">
        <f aca="false">IF(ISNUMBER(Z94),RANK(Z94,$Z$2:$Z$113,0),"NA")</f>
        <v>41</v>
      </c>
    </row>
    <row r="95" customFormat="false" ht="15" hidden="false" customHeight="true" outlineLevel="0" collapsed="false">
      <c r="A95" s="15" t="str">
        <f aca="false">Data!$A95</f>
        <v>Pundit</v>
      </c>
      <c r="B95" s="15" t="str">
        <f aca="false">Data!$B95</f>
        <v>Net7 Srl</v>
      </c>
      <c r="C95" s="15" t="str">
        <f aca="false">Data!$E95</f>
        <v>Annotations system</v>
      </c>
      <c r="D95" s="28" t="n">
        <f aca="false">IF(Verification!C95="",Calc!B95,Verification!C95)</f>
        <v>0.33</v>
      </c>
      <c r="E95" s="28" t="n">
        <f aca="false">IF(Verification!D95="",Calc!D95,Verification!D95)</f>
        <v>0</v>
      </c>
      <c r="F95" s="28" t="n">
        <f aca="false">IF(Verification!E95="",Calc!G95,Verification!E95)</f>
        <v>1</v>
      </c>
      <c r="G95" s="28" t="str">
        <f aca="false">IF(Verification!F95="",Calc!I95,Verification!F95)</f>
        <v>NA</v>
      </c>
      <c r="H95" s="28" t="n">
        <f aca="false">IF(Verification!G95="",Calc!E95,Verification!G95)</f>
        <v>1</v>
      </c>
      <c r="I95" s="28" t="n">
        <f aca="false">IF(Verification!H95="",Calc!J95,Verification!H95)</f>
        <v>0</v>
      </c>
      <c r="J95" s="28" t="str">
        <f aca="false">IF(Verification!I95="",Calc!K95,Verification!I95)</f>
        <v>NA</v>
      </c>
      <c r="K95" s="29" t="n">
        <f aca="false">IF(COUNT(D95:E95)=0,"NA",(IF(ISNUMBER(D95),D95*Parameters!$E$6,0)+IF(ISNUMBER(E95),E95*Parameters!$E$7,0))/(IF(ISNUMBER(D95),Parameters!$E$6,0)+IF(ISNUMBER(E95),Parameters!$E$7,0))*100)</f>
        <v>8.8</v>
      </c>
      <c r="L95" s="29" t="n">
        <f aca="false">IF(COUNT(F95:H95)=0,"NA",(IF(ISNUMBER(F95),F95*Parameters!$E$8,0)+IF(ISNUMBER(G95),G95*Parameters!$E$9,0)+IF(ISNUMBER(H95),H95*Parameters!$E$10,0))/(IF(ISNUMBER(F95),Parameters!$E$8,0)+IF(ISNUMBER(G95),Parameters!$E$9,0)+IF(ISNUMBER(H95),Parameters!$E$10,0))*100)</f>
        <v>100</v>
      </c>
      <c r="M95" s="29" t="n">
        <f aca="false">IF(COUNT(I95:J95)=0,"NA",(IF(ISNUMBER(I95),I95*Parameters!$E$11,0)+IF(ISNUMBER(J95),J95*Parameters!$E$12,0))/(IF(ISNUMBER(I95),Parameters!$E$11,0)+IF(ISNUMBER(J95),Parameters!$E$12,0))*100)</f>
        <v>0</v>
      </c>
      <c r="N95" s="30" t="n">
        <f aca="false">IF(ISNUMBER(D95),Parameters!$E$6,0)+IF(ISNUMBER(E95),Parameters!$E$7,0)+IF(ISNUMBER(F95),Parameters!$E$8,0)+IF(ISNUMBER(G95),Parameters!$E$9,0)+IF(ISNUMBER(H95),Parameters!$E$10,0)+IF(ISNUMBER(I95),Parameters!$E$11,0)+IF(ISNUMBER(J95),Parameters!$E$12,0)</f>
        <v>0.68</v>
      </c>
      <c r="O95" s="31" t="n">
        <f aca="false">IF(ISNUMBER(D95),D95*Parameters!$E$6,0)+IF(ISNUMBER(E95),E95*Parameters!$E$7,0)+IF(ISNUMBER(F95),F95*Parameters!$E$8,0)+IF(ISNUMBER(G95),G95*Parameters!$E$9,0)+IF(ISNUMBER(H95),H95*Parameters!$E$10,0)+IF(ISNUMBER(I95),I95*Parameters!$E$11,0)+IF(ISNUMBER(J95),J95*Parameters!$E$12,0)</f>
        <v>0.2564</v>
      </c>
      <c r="P95" s="32" t="n">
        <f aca="false">COUNT(D95:J95)</f>
        <v>5</v>
      </c>
      <c r="Q95" s="32" t="n">
        <f aca="false">(COUNT(D95:E95)&gt;0)+(COUNT(F95:H95)&gt;0)+(COUNT(I95:J95)&gt;0)</f>
        <v>3</v>
      </c>
      <c r="R95" s="32" t="str">
        <f aca="false">IF(AND(N95&gt;=Parameters!$C$56,Q95&gt;=Parameters!$C$59),"Yes","No")</f>
        <v>Yes</v>
      </c>
      <c r="S95" s="33" t="n">
        <f aca="false">IF(R95="Yes",O95/N95*100,"NA")</f>
        <v>37.7058823529412</v>
      </c>
      <c r="T95" s="29" t="n">
        <f aca="false">IF(R95="Yes",O95/Parameters!$E$13*100,"NA")</f>
        <v>25.64</v>
      </c>
      <c r="U95" s="29" t="n">
        <f aca="false">IF(R95="Yes",(O95+(Parameters!$E$13-N95))/Parameters!$E$13*100,"NA")</f>
        <v>57.64</v>
      </c>
      <c r="V95" s="34" t="str">
        <f aca="false">IF(R95&lt;&gt;"Yes","Not scored",IF(N95&gt;=Parameters!$C$60,"Reportable","Provisional"))</f>
        <v>Provisional</v>
      </c>
      <c r="W95" s="32" t="n">
        <f aca="false">IF(ISNUMBER(S95),RANK(S95,$S$2:$S$113,0),"NA")</f>
        <v>87</v>
      </c>
      <c r="X95" s="32" t="str">
        <f aca="false">IF(N95&gt;=Parameters!$C$60,"High",IF(N95&gt;=Parameters!$C$56,"Medium","Low"))</f>
        <v>Medium</v>
      </c>
      <c r="Y95" s="32" t="n">
        <f aca="false">Calc!T95</f>
        <v>1</v>
      </c>
      <c r="Z95" s="35" t="str">
        <f aca="false">IF(V95="Reportable",S95-ROW()*0.000000001,"")</f>
        <v/>
      </c>
      <c r="AA95" s="35" t="str">
        <f aca="false">IF(ISNUMBER(Z95),RANK(Z95,$Z$2:$Z$113,0),"NA")</f>
        <v>NA</v>
      </c>
    </row>
    <row r="96" customFormat="false" ht="15" hidden="false" customHeight="true" outlineLevel="0" collapsed="false">
      <c r="A96" s="15" t="str">
        <f aca="false">Data!$A96</f>
        <v>pyOpenSci</v>
      </c>
      <c r="B96" s="15" t="str">
        <f aca="false">Data!$B96</f>
        <v>Community Initiatives</v>
      </c>
      <c r="C96" s="15" t="str">
        <f aca="false">Data!$E96</f>
        <v>Research software community</v>
      </c>
      <c r="D96" s="28" t="n">
        <f aca="false">IF(Verification!C96="",Calc!B96,Verification!C96)</f>
        <v>0.67</v>
      </c>
      <c r="E96" s="28" t="str">
        <f aca="false">IF(Verification!D96="",Calc!D96,Verification!D96)</f>
        <v>NA</v>
      </c>
      <c r="F96" s="28" t="str">
        <f aca="false">IF(Verification!E96="",Calc!G96,Verification!E96)</f>
        <v>NA</v>
      </c>
      <c r="G96" s="28" t="n">
        <f aca="false">IF(Verification!F96="",Calc!I96,Verification!F96)</f>
        <v>1</v>
      </c>
      <c r="H96" s="28" t="n">
        <f aca="false">IF(Verification!G96="",Calc!E96,Verification!G96)</f>
        <v>1</v>
      </c>
      <c r="I96" s="28" t="n">
        <f aca="false">IF(Verification!H96="",Calc!J96,Verification!H96)</f>
        <v>1</v>
      </c>
      <c r="J96" s="28" t="n">
        <f aca="false">IF(Verification!I96="",Calc!K96,Verification!I96)</f>
        <v>0.5</v>
      </c>
      <c r="K96" s="29" t="n">
        <f aca="false">IF(COUNT(D96:E96)=0,"NA",(IF(ISNUMBER(D96),D96*Parameters!$E$6,0)+IF(ISNUMBER(E96),E96*Parameters!$E$7,0))/(IF(ISNUMBER(D96),Parameters!$E$6,0)+IF(ISNUMBER(E96),Parameters!$E$7,0))*100)</f>
        <v>67</v>
      </c>
      <c r="L96" s="29" t="n">
        <f aca="false">IF(COUNT(F96:H96)=0,"NA",(IF(ISNUMBER(F96),F96*Parameters!$E$8,0)+IF(ISNUMBER(G96),G96*Parameters!$E$9,0)+IF(ISNUMBER(H96),H96*Parameters!$E$10,0))/(IF(ISNUMBER(F96),Parameters!$E$8,0)+IF(ISNUMBER(G96),Parameters!$E$9,0)+IF(ISNUMBER(H96),Parameters!$E$10,0))*100)</f>
        <v>100</v>
      </c>
      <c r="M96" s="29" t="n">
        <f aca="false">IF(COUNT(I96:J96)=0,"NA",(IF(ISNUMBER(I96),I96*Parameters!$E$11,0)+IF(ISNUMBER(J96),J96*Parameters!$E$12,0))/(IF(ISNUMBER(I96),Parameters!$E$11,0)+IF(ISNUMBER(J96),Parameters!$E$12,0))*100)</f>
        <v>71.4285714285714</v>
      </c>
      <c r="N96" s="30" t="n">
        <f aca="false">IF(ISNUMBER(D96),Parameters!$E$6,0)+IF(ISNUMBER(E96),Parameters!$E$7,0)+IF(ISNUMBER(F96),Parameters!$E$8,0)+IF(ISNUMBER(G96),Parameters!$E$9,0)+IF(ISNUMBER(H96),Parameters!$E$10,0)+IF(ISNUMBER(I96),Parameters!$E$11,0)+IF(ISNUMBER(J96),Parameters!$E$12,0)</f>
        <v>0.6</v>
      </c>
      <c r="O96" s="31" t="n">
        <f aca="false">IF(ISNUMBER(D96),D96*Parameters!$E$6,0)+IF(ISNUMBER(E96),E96*Parameters!$E$7,0)+IF(ISNUMBER(F96),F96*Parameters!$E$8,0)+IF(ISNUMBER(G96),G96*Parameters!$E$9,0)+IF(ISNUMBER(H96),H96*Parameters!$E$10,0)+IF(ISNUMBER(I96),I96*Parameters!$E$11,0)+IF(ISNUMBER(J96),J96*Parameters!$E$12,0)</f>
        <v>0.4736</v>
      </c>
      <c r="P96" s="32" t="n">
        <f aca="false">COUNT(D96:J96)</f>
        <v>5</v>
      </c>
      <c r="Q96" s="32" t="n">
        <f aca="false">(COUNT(D96:E96)&gt;0)+(COUNT(F96:H96)&gt;0)+(COUNT(I96:J96)&gt;0)</f>
        <v>3</v>
      </c>
      <c r="R96" s="32" t="str">
        <f aca="false">IF(AND(N96&gt;=Parameters!$C$56,Q96&gt;=Parameters!$C$59),"Yes","No")</f>
        <v>Yes</v>
      </c>
      <c r="S96" s="33" t="n">
        <f aca="false">IF(R96="Yes",O96/N96*100,"NA")</f>
        <v>78.9333333333333</v>
      </c>
      <c r="T96" s="29" t="n">
        <f aca="false">IF(R96="Yes",O96/Parameters!$E$13*100,"NA")</f>
        <v>47.36</v>
      </c>
      <c r="U96" s="29" t="n">
        <f aca="false">IF(R96="Yes",(O96+(Parameters!$E$13-N96))/Parameters!$E$13*100,"NA")</f>
        <v>87.36</v>
      </c>
      <c r="V96" s="34" t="str">
        <f aca="false">IF(R96&lt;&gt;"Yes","Not scored",IF(N96&gt;=Parameters!$C$60,"Reportable","Provisional"))</f>
        <v>Provisional</v>
      </c>
      <c r="W96" s="32" t="n">
        <f aca="false">IF(ISNUMBER(S96),RANK(S96,$S$2:$S$113,0),"NA")</f>
        <v>42</v>
      </c>
      <c r="X96" s="32" t="str">
        <f aca="false">IF(N96&gt;=Parameters!$C$60,"High",IF(N96&gt;=Parameters!$C$56,"Medium","Low"))</f>
        <v>Medium</v>
      </c>
      <c r="Y96" s="32" t="n">
        <f aca="false">Calc!T96</f>
        <v>0</v>
      </c>
      <c r="Z96" s="35" t="str">
        <f aca="false">IF(V96="Reportable",S96-ROW()*0.000000001,"")</f>
        <v/>
      </c>
      <c r="AA96" s="35" t="str">
        <f aca="false">IF(ISNUMBER(Z96),RANK(Z96,$Z$2:$Z$113,0),"NA")</f>
        <v>NA</v>
      </c>
    </row>
    <row r="97" customFormat="false" ht="15" hidden="false" customHeight="true" outlineLevel="0" collapsed="false">
      <c r="A97" s="15" t="str">
        <f aca="false">Data!$A97</f>
        <v>Renku</v>
      </c>
      <c r="B97" s="15" t="str">
        <f aca="false">Data!$B97</f>
        <v>Swiss Data Science Center</v>
      </c>
      <c r="C97" s="15" t="str">
        <f aca="false">Data!$E97</f>
        <v>Data management planning tool or service | Discovery system | Research software community</v>
      </c>
      <c r="D97" s="28" t="n">
        <f aca="false">IF(Verification!C97="",Calc!B97,Verification!C97)</f>
        <v>1</v>
      </c>
      <c r="E97" s="28" t="n">
        <f aca="false">IF(Verification!D97="",Calc!D97,Verification!D97)</f>
        <v>0.875</v>
      </c>
      <c r="F97" s="28" t="n">
        <f aca="false">IF(Verification!E97="",Calc!G97,Verification!E97)</f>
        <v>0.666666666666667</v>
      </c>
      <c r="G97" s="28" t="n">
        <f aca="false">IF(Verification!F97="",Calc!I97,Verification!F97)</f>
        <v>1</v>
      </c>
      <c r="H97" s="28" t="n">
        <f aca="false">IF(Verification!G97="",Calc!E97,Verification!G97)</f>
        <v>1</v>
      </c>
      <c r="I97" s="28" t="n">
        <f aca="false">IF(Verification!H97="",Calc!J97,Verification!H97)</f>
        <v>0.33</v>
      </c>
      <c r="J97" s="28" t="str">
        <f aca="false">IF(Verification!I97="",Calc!K97,Verification!I97)</f>
        <v>NA</v>
      </c>
      <c r="K97" s="29" t="n">
        <f aca="false">IF(COUNT(D97:E97)=0,"NA",(IF(ISNUMBER(D97),D97*Parameters!$E$6,0)+IF(ISNUMBER(E97),E97*Parameters!$E$7,0))/(IF(ISNUMBER(D97),Parameters!$E$6,0)+IF(ISNUMBER(E97),Parameters!$E$7,0))*100)</f>
        <v>90.8333333333333</v>
      </c>
      <c r="L97" s="29" t="n">
        <f aca="false">IF(COUNT(F97:H97)=0,"NA",(IF(ISNUMBER(F97),F97*Parameters!$E$8,0)+IF(ISNUMBER(G97),G97*Parameters!$E$9,0)+IF(ISNUMBER(H97),H97*Parameters!$E$10,0))/(IF(ISNUMBER(F97),Parameters!$E$8,0)+IF(ISNUMBER(G97),Parameters!$E$9,0)+IF(ISNUMBER(H97),Parameters!$E$10,0))*100)</f>
        <v>82.8571428571429</v>
      </c>
      <c r="M97" s="29" t="n">
        <f aca="false">IF(COUNT(I97:J97)=0,"NA",(IF(ISNUMBER(I97),I97*Parameters!$E$11,0)+IF(ISNUMBER(J97),J97*Parameters!$E$12,0))/(IF(ISNUMBER(I97),Parameters!$E$11,0)+IF(ISNUMBER(J97),Parameters!$E$12,0))*100)</f>
        <v>33</v>
      </c>
      <c r="N97" s="30" t="n">
        <f aca="false">IF(ISNUMBER(D97),Parameters!$E$6,0)+IF(ISNUMBER(E97),Parameters!$E$7,0)+IF(ISNUMBER(F97),Parameters!$E$8,0)+IF(ISNUMBER(G97),Parameters!$E$9,0)+IF(ISNUMBER(H97),Parameters!$E$10,0)+IF(ISNUMBER(I97),Parameters!$E$11,0)+IF(ISNUMBER(J97),Parameters!$E$12,0)</f>
        <v>0.8</v>
      </c>
      <c r="O97" s="31" t="n">
        <f aca="false">IF(ISNUMBER(D97),D97*Parameters!$E$6,0)+IF(ISNUMBER(E97),E97*Parameters!$E$7,0)+IF(ISNUMBER(F97),F97*Parameters!$E$8,0)+IF(ISNUMBER(G97),G97*Parameters!$E$9,0)+IF(ISNUMBER(H97),H97*Parameters!$E$10,0)+IF(ISNUMBER(I97),I97*Parameters!$E$11,0)+IF(ISNUMBER(J97),J97*Parameters!$E$12,0)</f>
        <v>0.612</v>
      </c>
      <c r="P97" s="32" t="n">
        <f aca="false">COUNT(D97:J97)</f>
        <v>6</v>
      </c>
      <c r="Q97" s="32" t="n">
        <f aca="false">(COUNT(D97:E97)&gt;0)+(COUNT(F97:H97)&gt;0)+(COUNT(I97:J97)&gt;0)</f>
        <v>3</v>
      </c>
      <c r="R97" s="32" t="str">
        <f aca="false">IF(AND(N97&gt;=Parameters!$C$56,Q97&gt;=Parameters!$C$59),"Yes","No")</f>
        <v>Yes</v>
      </c>
      <c r="S97" s="33" t="n">
        <f aca="false">IF(R97="Yes",O97/N97*100,"NA")</f>
        <v>76.5</v>
      </c>
      <c r="T97" s="29" t="n">
        <f aca="false">IF(R97="Yes",O97/Parameters!$E$13*100,"NA")</f>
        <v>61.2</v>
      </c>
      <c r="U97" s="29" t="n">
        <f aca="false">IF(R97="Yes",(O97+(Parameters!$E$13-N97))/Parameters!$E$13*100,"NA")</f>
        <v>81.2</v>
      </c>
      <c r="V97" s="34" t="str">
        <f aca="false">IF(R97&lt;&gt;"Yes","Not scored",IF(N97&gt;=Parameters!$C$60,"Reportable","Provisional"))</f>
        <v>Provisional</v>
      </c>
      <c r="W97" s="32" t="n">
        <f aca="false">IF(ISNUMBER(S97),RANK(S97,$S$2:$S$113,0),"NA")</f>
        <v>46</v>
      </c>
      <c r="X97" s="32" t="str">
        <f aca="false">IF(N97&gt;=Parameters!$C$60,"High",IF(N97&gt;=Parameters!$C$56,"Medium","Low"))</f>
        <v>Medium</v>
      </c>
      <c r="Y97" s="32" t="n">
        <f aca="false">Calc!T97</f>
        <v>0</v>
      </c>
      <c r="Z97" s="35" t="str">
        <f aca="false">IF(V97="Reportable",S97-ROW()*0.000000001,"")</f>
        <v/>
      </c>
      <c r="AA97" s="35" t="str">
        <f aca="false">IF(ISNUMBER(Z97),RANK(Z97,$Z$2:$Z$113,0),"NA")</f>
        <v>NA</v>
      </c>
    </row>
    <row r="98" customFormat="false" ht="15" hidden="false" customHeight="true" outlineLevel="0" collapsed="false">
      <c r="A98" s="15" t="str">
        <f aca="false">Data!$A98</f>
        <v>RePEc</v>
      </c>
      <c r="B98" s="15" t="str">
        <f aca="false">Data!$B98</f>
        <v>RePEc</v>
      </c>
      <c r="C98" s="15" t="str">
        <f aca="false">Data!$E98</f>
        <v>Discovery system | Index or directory</v>
      </c>
      <c r="D98" s="28" t="n">
        <f aca="false">IF(Verification!C98="",Calc!B98,Verification!C98)</f>
        <v>1</v>
      </c>
      <c r="E98" s="28" t="n">
        <f aca="false">IF(Verification!D98="",Calc!D98,Verification!D98)</f>
        <v>0.5</v>
      </c>
      <c r="F98" s="28" t="n">
        <f aca="false">IF(Verification!E98="",Calc!G98,Verification!E98)</f>
        <v>0.666666666666667</v>
      </c>
      <c r="G98" s="28" t="str">
        <f aca="false">IF(Verification!F98="",Calc!I98,Verification!F98)</f>
        <v>NA</v>
      </c>
      <c r="H98" s="28" t="n">
        <f aca="false">IF(Verification!G98="",Calc!E98,Verification!G98)</f>
        <v>1</v>
      </c>
      <c r="I98" s="28" t="n">
        <f aca="false">IF(Verification!H98="",Calc!J98,Verification!H98)</f>
        <v>0</v>
      </c>
      <c r="J98" s="28" t="n">
        <f aca="false">IF(Verification!I98="",Calc!K98,Verification!I98)</f>
        <v>0.5</v>
      </c>
      <c r="K98" s="29" t="n">
        <f aca="false">IF(COUNT(D98:E98)=0,"NA",(IF(ISNUMBER(D98),D98*Parameters!$E$6,0)+IF(ISNUMBER(E98),E98*Parameters!$E$7,0))/(IF(ISNUMBER(D98),Parameters!$E$6,0)+IF(ISNUMBER(E98),Parameters!$E$7,0))*100)</f>
        <v>63.3333333333333</v>
      </c>
      <c r="L98" s="29" t="n">
        <f aca="false">IF(COUNT(F98:H98)=0,"NA",(IF(ISNUMBER(F98),F98*Parameters!$E$8,0)+IF(ISNUMBER(G98),G98*Parameters!$E$9,0)+IF(ISNUMBER(H98),H98*Parameters!$E$10,0))/(IF(ISNUMBER(F98),Parameters!$E$8,0)+IF(ISNUMBER(G98),Parameters!$E$9,0)+IF(ISNUMBER(H98),Parameters!$E$10,0))*100)</f>
        <v>73.9130434782609</v>
      </c>
      <c r="M98" s="29" t="n">
        <f aca="false">IF(COUNT(I98:J98)=0,"NA",(IF(ISNUMBER(I98),I98*Parameters!$E$11,0)+IF(ISNUMBER(J98),J98*Parameters!$E$12,0))/(IF(ISNUMBER(I98),Parameters!$E$11,0)+IF(ISNUMBER(J98),Parameters!$E$12,0))*100)</f>
        <v>28.5714285714286</v>
      </c>
      <c r="N98" s="30" t="n">
        <f aca="false">IF(ISNUMBER(D98),Parameters!$E$6,0)+IF(ISNUMBER(E98),Parameters!$E$7,0)+IF(ISNUMBER(F98),Parameters!$E$8,0)+IF(ISNUMBER(G98),Parameters!$E$9,0)+IF(ISNUMBER(H98),Parameters!$E$10,0)+IF(ISNUMBER(I98),Parameters!$E$11,0)+IF(ISNUMBER(J98),Parameters!$E$12,0)</f>
        <v>0.88</v>
      </c>
      <c r="O98" s="31" t="n">
        <f aca="false">IF(ISNUMBER(D98),D98*Parameters!$E$6,0)+IF(ISNUMBER(E98),E98*Parameters!$E$7,0)+IF(ISNUMBER(F98),F98*Parameters!$E$8,0)+IF(ISNUMBER(G98),G98*Parameters!$E$9,0)+IF(ISNUMBER(H98),H98*Parameters!$E$10,0)+IF(ISNUMBER(I98),I98*Parameters!$E$11,0)+IF(ISNUMBER(J98),J98*Parameters!$E$12,0)</f>
        <v>0.46</v>
      </c>
      <c r="P98" s="32" t="n">
        <f aca="false">COUNT(D98:J98)</f>
        <v>6</v>
      </c>
      <c r="Q98" s="32" t="n">
        <f aca="false">(COUNT(D98:E98)&gt;0)+(COUNT(F98:H98)&gt;0)+(COUNT(I98:J98)&gt;0)</f>
        <v>3</v>
      </c>
      <c r="R98" s="32" t="str">
        <f aca="false">IF(AND(N98&gt;=Parameters!$C$56,Q98&gt;=Parameters!$C$59),"Yes","No")</f>
        <v>Yes</v>
      </c>
      <c r="S98" s="33" t="n">
        <f aca="false">IF(R98="Yes",O98/N98*100,"NA")</f>
        <v>52.2727272727273</v>
      </c>
      <c r="T98" s="29" t="n">
        <f aca="false">IF(R98="Yes",O98/Parameters!$E$13*100,"NA")</f>
        <v>46</v>
      </c>
      <c r="U98" s="29" t="n">
        <f aca="false">IF(R98="Yes",(O98+(Parameters!$E$13-N98))/Parameters!$E$13*100,"NA")</f>
        <v>58</v>
      </c>
      <c r="V98" s="34" t="str">
        <f aca="false">IF(R98&lt;&gt;"Yes","Not scored",IF(N98&gt;=Parameters!$C$60,"Reportable","Provisional"))</f>
        <v>Reportable</v>
      </c>
      <c r="W98" s="32" t="n">
        <f aca="false">IF(ISNUMBER(S98),RANK(S98,$S$2:$S$113,0),"NA")</f>
        <v>79</v>
      </c>
      <c r="X98" s="32" t="str">
        <f aca="false">IF(N98&gt;=Parameters!$C$60,"High",IF(N98&gt;=Parameters!$C$56,"Medium","Low"))</f>
        <v>High</v>
      </c>
      <c r="Y98" s="32" t="n">
        <f aca="false">Calc!T98</f>
        <v>0</v>
      </c>
      <c r="Z98" s="35" t="n">
        <f aca="false">IF(V98="Reportable",S98-ROW()*0.000000001,"")</f>
        <v>52.2727271747273</v>
      </c>
      <c r="AA98" s="35" t="n">
        <f aca="false">IF(ISNUMBER(Z98),RANK(Z98,$Z$2:$Z$113,0),"NA")</f>
        <v>46</v>
      </c>
    </row>
    <row r="99" customFormat="false" ht="15" hidden="false" customHeight="true" outlineLevel="0" collapsed="false">
      <c r="A99" s="15" t="str">
        <f aca="false">Data!$A99</f>
        <v>Research Organization Registry (ROR)</v>
      </c>
      <c r="B99" s="15" t="str">
        <f aca="false">Data!$B99</f>
        <v>California Digital Library, Crossref, DataCite</v>
      </c>
      <c r="C99" s="15" t="str">
        <f aca="false">Data!$E99</f>
        <v>Persistent identifier service</v>
      </c>
      <c r="D99" s="28" t="n">
        <f aca="false">IF(Verification!C99="",Calc!B99,Verification!C99)</f>
        <v>1</v>
      </c>
      <c r="E99" s="28" t="n">
        <f aca="false">IF(Verification!D99="",Calc!D99,Verification!D99)</f>
        <v>1</v>
      </c>
      <c r="F99" s="28" t="n">
        <f aca="false">IF(Verification!E99="",Calc!G99,Verification!E99)</f>
        <v>0.833333333333333</v>
      </c>
      <c r="G99" s="28" t="n">
        <f aca="false">IF(Verification!F99="",Calc!I99,Verification!F99)</f>
        <v>0.5</v>
      </c>
      <c r="H99" s="28" t="n">
        <f aca="false">IF(Verification!G99="",Calc!E99,Verification!G99)</f>
        <v>1</v>
      </c>
      <c r="I99" s="28" t="n">
        <f aca="false">IF(Verification!H99="",Calc!J99,Verification!H99)</f>
        <v>1</v>
      </c>
      <c r="J99" s="28" t="n">
        <f aca="false">IF(Verification!I99="",Calc!K99,Verification!I99)</f>
        <v>1</v>
      </c>
      <c r="K99" s="29" t="n">
        <f aca="false">IF(COUNT(D99:E99)=0,"NA",(IF(ISNUMBER(D99),D99*Parameters!$E$6,0)+IF(ISNUMBER(E99),E99*Parameters!$E$7,0))/(IF(ISNUMBER(D99),Parameters!$E$6,0)+IF(ISNUMBER(E99),Parameters!$E$7,0))*100)</f>
        <v>100</v>
      </c>
      <c r="L99" s="29" t="n">
        <f aca="false">IF(COUNT(F99:H99)=0,"NA",(IF(ISNUMBER(F99),F99*Parameters!$E$8,0)+IF(ISNUMBER(G99),G99*Parameters!$E$9,0)+IF(ISNUMBER(H99),H99*Parameters!$E$10,0))/(IF(ISNUMBER(F99),Parameters!$E$8,0)+IF(ISNUMBER(G99),Parameters!$E$9,0)+IF(ISNUMBER(H99),Parameters!$E$10,0))*100)</f>
        <v>74.2857142857143</v>
      </c>
      <c r="M99" s="29" t="n">
        <f aca="false">IF(COUNT(I99:J99)=0,"NA",(IF(ISNUMBER(I99),I99*Parameters!$E$11,0)+IF(ISNUMBER(J99),J99*Parameters!$E$12,0))/(IF(ISNUMBER(I99),Parameters!$E$11,0)+IF(ISNUMBER(J99),Parameters!$E$12,0))*100)</f>
        <v>100</v>
      </c>
      <c r="N99" s="30" t="n">
        <f aca="false">IF(ISNUMBER(D99),Parameters!$E$6,0)+IF(ISNUMBER(E99),Parameters!$E$7,0)+IF(ISNUMBER(F99),Parameters!$E$8,0)+IF(ISNUMBER(G99),Parameters!$E$9,0)+IF(ISNUMBER(H99),Parameters!$E$10,0)+IF(ISNUMBER(I99),Parameters!$E$11,0)+IF(ISNUMBER(J99),Parameters!$E$12,0)</f>
        <v>1</v>
      </c>
      <c r="O99" s="31" t="n">
        <f aca="false">IF(ISNUMBER(D99),D99*Parameters!$E$6,0)+IF(ISNUMBER(E99),E99*Parameters!$E$7,0)+IF(ISNUMBER(F99),F99*Parameters!$E$8,0)+IF(ISNUMBER(G99),G99*Parameters!$E$9,0)+IF(ISNUMBER(H99),H99*Parameters!$E$10,0)+IF(ISNUMBER(I99),I99*Parameters!$E$11,0)+IF(ISNUMBER(J99),J99*Parameters!$E$12,0)</f>
        <v>0.91</v>
      </c>
      <c r="P99" s="32" t="n">
        <f aca="false">COUNT(D99:J99)</f>
        <v>7</v>
      </c>
      <c r="Q99" s="32" t="n">
        <f aca="false">(COUNT(D99:E99)&gt;0)+(COUNT(F99:H99)&gt;0)+(COUNT(I99:J99)&gt;0)</f>
        <v>3</v>
      </c>
      <c r="R99" s="32" t="str">
        <f aca="false">IF(AND(N99&gt;=Parameters!$C$56,Q99&gt;=Parameters!$C$59),"Yes","No")</f>
        <v>Yes</v>
      </c>
      <c r="S99" s="33" t="n">
        <f aca="false">IF(R99="Yes",O99/N99*100,"NA")</f>
        <v>91</v>
      </c>
      <c r="T99" s="29" t="n">
        <f aca="false">IF(R99="Yes",O99/Parameters!$E$13*100,"NA")</f>
        <v>91</v>
      </c>
      <c r="U99" s="29" t="n">
        <f aca="false">IF(R99="Yes",(O99+(Parameters!$E$13-N99))/Parameters!$E$13*100,"NA")</f>
        <v>91</v>
      </c>
      <c r="V99" s="34" t="str">
        <f aca="false">IF(R99&lt;&gt;"Yes","Not scored",IF(N99&gt;=Parameters!$C$60,"Reportable","Provisional"))</f>
        <v>Reportable</v>
      </c>
      <c r="W99" s="32" t="n">
        <f aca="false">IF(ISNUMBER(S99),RANK(S99,$S$2:$S$113,0),"NA")</f>
        <v>18</v>
      </c>
      <c r="X99" s="32" t="str">
        <f aca="false">IF(N99&gt;=Parameters!$C$60,"High",IF(N99&gt;=Parameters!$C$56,"Medium","Low"))</f>
        <v>High</v>
      </c>
      <c r="Y99" s="32" t="n">
        <f aca="false">Calc!T99</f>
        <v>0</v>
      </c>
      <c r="Z99" s="35" t="n">
        <f aca="false">IF(V99="Reportable",S99-ROW()*0.000000001,"")</f>
        <v>90.999999901</v>
      </c>
      <c r="AA99" s="35" t="n">
        <f aca="false">IF(ISNUMBER(Z99),RANK(Z99,$Z$2:$Z$113,0),"NA")</f>
        <v>9</v>
      </c>
    </row>
    <row r="100" customFormat="false" ht="15" hidden="false" customHeight="true" outlineLevel="0" collapsed="false">
      <c r="A100" s="15" t="str">
        <f aca="false">Data!$A100</f>
        <v>Rogue Scholar</v>
      </c>
      <c r="B100" s="15" t="str">
        <f aca="false">Data!$B100</f>
        <v>The Rogue Scholar</v>
      </c>
      <c r="C100" s="15" t="str">
        <f aca="false">Data!$E100</f>
        <v>Digital preservation system | Discovery system</v>
      </c>
      <c r="D100" s="28" t="n">
        <f aca="false">IF(Verification!C100="",Calc!B100,Verification!C100)</f>
        <v>0.67</v>
      </c>
      <c r="E100" s="28" t="str">
        <f aca="false">IF(Verification!D100="",Calc!D100,Verification!D100)</f>
        <v>NA</v>
      </c>
      <c r="F100" s="28" t="n">
        <f aca="false">IF(Verification!E100="",Calc!G100,Verification!E100)</f>
        <v>0.5</v>
      </c>
      <c r="G100" s="28" t="str">
        <f aca="false">IF(Verification!F100="",Calc!I100,Verification!F100)</f>
        <v>NA</v>
      </c>
      <c r="H100" s="28" t="n">
        <f aca="false">IF(Verification!G100="",Calc!E100,Verification!G100)</f>
        <v>1</v>
      </c>
      <c r="I100" s="28" t="n">
        <f aca="false">IF(Verification!H100="",Calc!J100,Verification!H100)</f>
        <v>0.33</v>
      </c>
      <c r="J100" s="28" t="n">
        <f aca="false">IF(Verification!I100="",Calc!K100,Verification!I100)</f>
        <v>0.5</v>
      </c>
      <c r="K100" s="29" t="n">
        <f aca="false">IF(COUNT(D100:E100)=0,"NA",(IF(ISNUMBER(D100),D100*Parameters!$E$6,0)+IF(ISNUMBER(E100),E100*Parameters!$E$7,0))/(IF(ISNUMBER(D100),Parameters!$E$6,0)+IF(ISNUMBER(E100),Parameters!$E$7,0))*100)</f>
        <v>67</v>
      </c>
      <c r="L100" s="29" t="n">
        <f aca="false">IF(COUNT(F100:H100)=0,"NA",(IF(ISNUMBER(F100),F100*Parameters!$E$8,0)+IF(ISNUMBER(G100),G100*Parameters!$E$9,0)+IF(ISNUMBER(H100),H100*Parameters!$E$10,0))/(IF(ISNUMBER(F100),Parameters!$E$8,0)+IF(ISNUMBER(G100),Parameters!$E$9,0)+IF(ISNUMBER(H100),Parameters!$E$10,0))*100)</f>
        <v>60.8695652173913</v>
      </c>
      <c r="M100" s="29" t="n">
        <f aca="false">IF(COUNT(I100:J100)=0,"NA",(IF(ISNUMBER(I100),I100*Parameters!$E$11,0)+IF(ISNUMBER(J100),J100*Parameters!$E$12,0))/(IF(ISNUMBER(I100),Parameters!$E$11,0)+IF(ISNUMBER(J100),Parameters!$E$12,0))*100)</f>
        <v>42.7142857142857</v>
      </c>
      <c r="N100" s="30" t="n">
        <f aca="false">IF(ISNUMBER(D100),Parameters!$E$6,0)+IF(ISNUMBER(E100),Parameters!$E$7,0)+IF(ISNUMBER(F100),Parameters!$E$8,0)+IF(ISNUMBER(G100),Parameters!$E$9,0)+IF(ISNUMBER(H100),Parameters!$E$10,0)+IF(ISNUMBER(I100),Parameters!$E$11,0)+IF(ISNUMBER(J100),Parameters!$E$12,0)</f>
        <v>0.66</v>
      </c>
      <c r="O100" s="31" t="n">
        <f aca="false">IF(ISNUMBER(D100),D100*Parameters!$E$6,0)+IF(ISNUMBER(E100),E100*Parameters!$E$7,0)+IF(ISNUMBER(F100),F100*Parameters!$E$8,0)+IF(ISNUMBER(G100),G100*Parameters!$E$9,0)+IF(ISNUMBER(H100),H100*Parameters!$E$10,0)+IF(ISNUMBER(I100),I100*Parameters!$E$11,0)+IF(ISNUMBER(J100),J100*Parameters!$E$12,0)</f>
        <v>0.3431</v>
      </c>
      <c r="P100" s="32" t="n">
        <f aca="false">COUNT(D100:J100)</f>
        <v>5</v>
      </c>
      <c r="Q100" s="32" t="n">
        <f aca="false">(COUNT(D100:E100)&gt;0)+(COUNT(F100:H100)&gt;0)+(COUNT(I100:J100)&gt;0)</f>
        <v>3</v>
      </c>
      <c r="R100" s="32" t="str">
        <f aca="false">IF(AND(N100&gt;=Parameters!$C$56,Q100&gt;=Parameters!$C$59),"Yes","No")</f>
        <v>Yes</v>
      </c>
      <c r="S100" s="33" t="n">
        <f aca="false">IF(R100="Yes",O100/N100*100,"NA")</f>
        <v>51.9848484848485</v>
      </c>
      <c r="T100" s="29" t="n">
        <f aca="false">IF(R100="Yes",O100/Parameters!$E$13*100,"NA")</f>
        <v>34.31</v>
      </c>
      <c r="U100" s="29" t="n">
        <f aca="false">IF(R100="Yes",(O100+(Parameters!$E$13-N100))/Parameters!$E$13*100,"NA")</f>
        <v>68.31</v>
      </c>
      <c r="V100" s="34" t="str">
        <f aca="false">IF(R100&lt;&gt;"Yes","Not scored",IF(N100&gt;=Parameters!$C$60,"Reportable","Provisional"))</f>
        <v>Provisional</v>
      </c>
      <c r="W100" s="32" t="n">
        <f aca="false">IF(ISNUMBER(S100),RANK(S100,$S$2:$S$113,0),"NA")</f>
        <v>80</v>
      </c>
      <c r="X100" s="32" t="str">
        <f aca="false">IF(N100&gt;=Parameters!$C$60,"High",IF(N100&gt;=Parameters!$C$56,"Medium","Low"))</f>
        <v>Medium</v>
      </c>
      <c r="Y100" s="32" t="n">
        <f aca="false">Calc!T100</f>
        <v>1</v>
      </c>
      <c r="Z100" s="35" t="str">
        <f aca="false">IF(V100="Reportable",S100-ROW()*0.000000001,"")</f>
        <v/>
      </c>
      <c r="AA100" s="35" t="str">
        <f aca="false">IF(ISNUMBER(Z100),RANK(Z100,$Z$2:$Z$113,0),"NA")</f>
        <v>NA</v>
      </c>
    </row>
    <row r="101" customFormat="false" ht="15" hidden="false" customHeight="true" outlineLevel="0" collapsed="false">
      <c r="A101" s="15" t="str">
        <f aca="false">Data!$A101</f>
        <v>RSpace</v>
      </c>
      <c r="B101" s="15" t="str">
        <f aca="false">Data!$B101</f>
        <v>Research Innovations Ltd (trading as Research Space)</v>
      </c>
      <c r="C101" s="15" t="str">
        <f aca="false">Data!$E101</f>
        <v>Authoring tool | Digital asset management system</v>
      </c>
      <c r="D101" s="28" t="n">
        <f aca="false">IF(Verification!C101="",Calc!B101,Verification!C101)</f>
        <v>1</v>
      </c>
      <c r="E101" s="28" t="n">
        <f aca="false">IF(Verification!D101="",Calc!D101,Verification!D101)</f>
        <v>0.75</v>
      </c>
      <c r="F101" s="28" t="n">
        <f aca="false">IF(Verification!E101="",Calc!G101,Verification!E101)</f>
        <v>0.333333333333333</v>
      </c>
      <c r="G101" s="28" t="n">
        <f aca="false">IF(Verification!F101="",Calc!I101,Verification!F101)</f>
        <v>0.5</v>
      </c>
      <c r="H101" s="28" t="n">
        <f aca="false">IF(Verification!G101="",Calc!E101,Verification!G101)</f>
        <v>1</v>
      </c>
      <c r="I101" s="28" t="n">
        <f aca="false">IF(Verification!H101="",Calc!J101,Verification!H101)</f>
        <v>1</v>
      </c>
      <c r="J101" s="28" t="str">
        <f aca="false">IF(Verification!I101="",Calc!K101,Verification!I101)</f>
        <v>NA</v>
      </c>
      <c r="K101" s="29" t="n">
        <f aca="false">IF(COUNT(D101:E101)=0,"NA",(IF(ISNUMBER(D101),D101*Parameters!$E$6,0)+IF(ISNUMBER(E101),E101*Parameters!$E$7,0))/(IF(ISNUMBER(D101),Parameters!$E$6,0)+IF(ISNUMBER(E101),Parameters!$E$7,0))*100)</f>
        <v>81.6666666666667</v>
      </c>
      <c r="L101" s="29" t="n">
        <f aca="false">IF(COUNT(F101:H101)=0,"NA",(IF(ISNUMBER(F101),F101*Parameters!$E$8,0)+IF(ISNUMBER(G101),G101*Parameters!$E$9,0)+IF(ISNUMBER(H101),H101*Parameters!$E$10,0))/(IF(ISNUMBER(F101),Parameters!$E$8,0)+IF(ISNUMBER(G101),Parameters!$E$9,0)+IF(ISNUMBER(H101),Parameters!$E$10,0))*100)</f>
        <v>48.5714285714286</v>
      </c>
      <c r="M101" s="29" t="n">
        <f aca="false">IF(COUNT(I101:J101)=0,"NA",(IF(ISNUMBER(I101),I101*Parameters!$E$11,0)+IF(ISNUMBER(J101),J101*Parameters!$E$12,0))/(IF(ISNUMBER(I101),Parameters!$E$11,0)+IF(ISNUMBER(J101),Parameters!$E$12,0))*100)</f>
        <v>100</v>
      </c>
      <c r="N101" s="30" t="n">
        <f aca="false">IF(ISNUMBER(D101),Parameters!$E$6,0)+IF(ISNUMBER(E101),Parameters!$E$7,0)+IF(ISNUMBER(F101),Parameters!$E$8,0)+IF(ISNUMBER(G101),Parameters!$E$9,0)+IF(ISNUMBER(H101),Parameters!$E$10,0)+IF(ISNUMBER(I101),Parameters!$E$11,0)+IF(ISNUMBER(J101),Parameters!$E$12,0)</f>
        <v>0.8</v>
      </c>
      <c r="O101" s="31" t="n">
        <f aca="false">IF(ISNUMBER(D101),D101*Parameters!$E$6,0)+IF(ISNUMBER(E101),E101*Parameters!$E$7,0)+IF(ISNUMBER(F101),F101*Parameters!$E$8,0)+IF(ISNUMBER(G101),G101*Parameters!$E$9,0)+IF(ISNUMBER(H101),H101*Parameters!$E$10,0)+IF(ISNUMBER(I101),I101*Parameters!$E$11,0)+IF(ISNUMBER(J101),J101*Parameters!$E$12,0)</f>
        <v>0.565</v>
      </c>
      <c r="P101" s="32" t="n">
        <f aca="false">COUNT(D101:J101)</f>
        <v>6</v>
      </c>
      <c r="Q101" s="32" t="n">
        <f aca="false">(COUNT(D101:E101)&gt;0)+(COUNT(F101:H101)&gt;0)+(COUNT(I101:J101)&gt;0)</f>
        <v>3</v>
      </c>
      <c r="R101" s="32" t="str">
        <f aca="false">IF(AND(N101&gt;=Parameters!$C$56,Q101&gt;=Parameters!$C$59),"Yes","No")</f>
        <v>Yes</v>
      </c>
      <c r="S101" s="33" t="n">
        <f aca="false">IF(R101="Yes",O101/N101*100,"NA")</f>
        <v>70.625</v>
      </c>
      <c r="T101" s="29" t="n">
        <f aca="false">IF(R101="Yes",O101/Parameters!$E$13*100,"NA")</f>
        <v>56.5</v>
      </c>
      <c r="U101" s="29" t="n">
        <f aca="false">IF(R101="Yes",(O101+(Parameters!$E$13-N101))/Parameters!$E$13*100,"NA")</f>
        <v>76.5</v>
      </c>
      <c r="V101" s="34" t="str">
        <f aca="false">IF(R101&lt;&gt;"Yes","Not scored",IF(N101&gt;=Parameters!$C$60,"Reportable","Provisional"))</f>
        <v>Provisional</v>
      </c>
      <c r="W101" s="32" t="n">
        <f aca="false">IF(ISNUMBER(S101),RANK(S101,$S$2:$S$113,0),"NA")</f>
        <v>57</v>
      </c>
      <c r="X101" s="32" t="str">
        <f aca="false">IF(N101&gt;=Parameters!$C$60,"High",IF(N101&gt;=Parameters!$C$56,"Medium","Low"))</f>
        <v>Medium</v>
      </c>
      <c r="Y101" s="32" t="n">
        <f aca="false">Calc!T101</f>
        <v>0</v>
      </c>
      <c r="Z101" s="35" t="str">
        <f aca="false">IF(V101="Reportable",S101-ROW()*0.000000001,"")</f>
        <v/>
      </c>
      <c r="AA101" s="35" t="str">
        <f aca="false">IF(ISNUMBER(Z101),RANK(Z101,$Z$2:$Z$113,0),"NA")</f>
        <v>NA</v>
      </c>
    </row>
    <row r="102" customFormat="false" ht="15" hidden="false" customHeight="true" outlineLevel="0" collapsed="false">
      <c r="A102" s="15" t="str">
        <f aca="false">Data!$A102</f>
        <v>Sciety</v>
      </c>
      <c r="B102" s="15" t="str">
        <f aca="false">Data!$B102</f>
        <v>eLife</v>
      </c>
      <c r="C102" s="15" t="str">
        <f aca="false">Data!$E102</f>
        <v>Discovery system | Peer review system</v>
      </c>
      <c r="D102" s="28" t="n">
        <f aca="false">IF(Verification!C102="",Calc!B102,Verification!C102)</f>
        <v>1</v>
      </c>
      <c r="E102" s="28" t="str">
        <f aca="false">IF(Verification!D102="",Calc!D102,Verification!D102)</f>
        <v>NA</v>
      </c>
      <c r="F102" s="28" t="str">
        <f aca="false">IF(Verification!E102="",Calc!G102,Verification!E102)</f>
        <v>NA</v>
      </c>
      <c r="G102" s="28" t="str">
        <f aca="false">IF(Verification!F102="",Calc!I102,Verification!F102)</f>
        <v>NA</v>
      </c>
      <c r="H102" s="28" t="n">
        <f aca="false">IF(Verification!G102="",Calc!E102,Verification!G102)</f>
        <v>1</v>
      </c>
      <c r="I102" s="28" t="n">
        <f aca="false">IF(Verification!H102="",Calc!J102,Verification!H102)</f>
        <v>0.33</v>
      </c>
      <c r="J102" s="28" t="n">
        <f aca="false">IF(Verification!I102="",Calc!K102,Verification!I102)</f>
        <v>1</v>
      </c>
      <c r="K102" s="29" t="n">
        <f aca="false">IF(COUNT(D102:E102)=0,"NA",(IF(ISNUMBER(D102),D102*Parameters!$E$6,0)+IF(ISNUMBER(E102),E102*Parameters!$E$7,0))/(IF(ISNUMBER(D102),Parameters!$E$6,0)+IF(ISNUMBER(E102),Parameters!$E$7,0))*100)</f>
        <v>100</v>
      </c>
      <c r="L102" s="29" t="n">
        <f aca="false">IF(COUNT(F102:H102)=0,"NA",(IF(ISNUMBER(F102),F102*Parameters!$E$8,0)+IF(ISNUMBER(G102),G102*Parameters!$E$9,0)+IF(ISNUMBER(H102),H102*Parameters!$E$10,0))/(IF(ISNUMBER(F102),Parameters!$E$8,0)+IF(ISNUMBER(G102),Parameters!$E$9,0)+IF(ISNUMBER(H102),Parameters!$E$10,0))*100)</f>
        <v>100</v>
      </c>
      <c r="M102" s="29" t="n">
        <f aca="false">IF(COUNT(I102:J102)=0,"NA",(IF(ISNUMBER(I102),I102*Parameters!$E$11,0)+IF(ISNUMBER(J102),J102*Parameters!$E$12,0))/(IF(ISNUMBER(I102),Parameters!$E$11,0)+IF(ISNUMBER(J102),Parameters!$E$12,0))*100)</f>
        <v>71.2857142857143</v>
      </c>
      <c r="N102" s="30" t="n">
        <f aca="false">IF(ISNUMBER(D102),Parameters!$E$6,0)+IF(ISNUMBER(E102),Parameters!$E$7,0)+IF(ISNUMBER(F102),Parameters!$E$8,0)+IF(ISNUMBER(G102),Parameters!$E$9,0)+IF(ISNUMBER(H102),Parameters!$E$10,0)+IF(ISNUMBER(I102),Parameters!$E$11,0)+IF(ISNUMBER(J102),Parameters!$E$12,0)</f>
        <v>0.48</v>
      </c>
      <c r="O102" s="31" t="n">
        <f aca="false">IF(ISNUMBER(D102),D102*Parameters!$E$6,0)+IF(ISNUMBER(E102),E102*Parameters!$E$7,0)+IF(ISNUMBER(F102),F102*Parameters!$E$8,0)+IF(ISNUMBER(G102),G102*Parameters!$E$9,0)+IF(ISNUMBER(H102),H102*Parameters!$E$10,0)+IF(ISNUMBER(I102),I102*Parameters!$E$11,0)+IF(ISNUMBER(J102),J102*Parameters!$E$12,0)</f>
        <v>0.3795</v>
      </c>
      <c r="P102" s="32" t="n">
        <f aca="false">COUNT(D102:J102)</f>
        <v>4</v>
      </c>
      <c r="Q102" s="32" t="n">
        <f aca="false">(COUNT(D102:E102)&gt;0)+(COUNT(F102:H102)&gt;0)+(COUNT(I102:J102)&gt;0)</f>
        <v>3</v>
      </c>
      <c r="R102" s="32" t="str">
        <f aca="false">IF(AND(N102&gt;=Parameters!$C$56,Q102&gt;=Parameters!$C$59),"Yes","No")</f>
        <v>No</v>
      </c>
      <c r="S102" s="33" t="str">
        <f aca="false">IF(R102="Yes",O102/N102*100,"NA")</f>
        <v>NA</v>
      </c>
      <c r="T102" s="29" t="str">
        <f aca="false">IF(R102="Yes",O102/Parameters!$E$13*100,"NA")</f>
        <v>NA</v>
      </c>
      <c r="U102" s="29" t="str">
        <f aca="false">IF(R102="Yes",(O102+(Parameters!$E$13-N102))/Parameters!$E$13*100,"NA")</f>
        <v>NA</v>
      </c>
      <c r="V102" s="34" t="str">
        <f aca="false">IF(R102&lt;&gt;"Yes","Not scored",IF(N102&gt;=Parameters!$C$60,"Reportable","Provisional"))</f>
        <v>Not scored</v>
      </c>
      <c r="W102" s="32" t="str">
        <f aca="false">IF(ISNUMBER(S102),RANK(S102,$S$2:$S$113,0),"NA")</f>
        <v>NA</v>
      </c>
      <c r="X102" s="32" t="str">
        <f aca="false">IF(N102&gt;=Parameters!$C$60,"High",IF(N102&gt;=Parameters!$C$56,"Medium","Low"))</f>
        <v>Low</v>
      </c>
      <c r="Y102" s="32" t="n">
        <f aca="false">Calc!T102</f>
        <v>2</v>
      </c>
      <c r="Z102" s="35" t="str">
        <f aca="false">IF(V102="Reportable",S102-ROW()*0.000000001,"")</f>
        <v/>
      </c>
      <c r="AA102" s="35" t="str">
        <f aca="false">IF(ISNUMBER(Z102),RANK(Z102,$Z$2:$Z$113,0),"NA")</f>
        <v>NA</v>
      </c>
    </row>
    <row r="103" customFormat="false" ht="15" hidden="false" customHeight="true" outlineLevel="0" collapsed="false">
      <c r="A103" s="15" t="str">
        <f aca="false">Data!$A103</f>
        <v>Synapse</v>
      </c>
      <c r="B103" s="15" t="str">
        <f aca="false">Data!$B103</f>
        <v>Sage Bionetworks</v>
      </c>
      <c r="C103" s="15" t="str">
        <f aca="false">Data!$E103</f>
        <v>Annotations system | Repository service</v>
      </c>
      <c r="D103" s="28" t="n">
        <f aca="false">IF(Verification!C103="",Calc!B103,Verification!C103)</f>
        <v>1</v>
      </c>
      <c r="E103" s="28" t="n">
        <f aca="false">IF(Verification!D103="",Calc!D103,Verification!D103)</f>
        <v>0.5</v>
      </c>
      <c r="F103" s="28" t="str">
        <f aca="false">IF(Verification!E103="",Calc!G103,Verification!E103)</f>
        <v>NA</v>
      </c>
      <c r="G103" s="28" t="str">
        <f aca="false">IF(Verification!F103="",Calc!I103,Verification!F103)</f>
        <v>NA</v>
      </c>
      <c r="H103" s="28" t="n">
        <f aca="false">IF(Verification!G103="",Calc!E103,Verification!G103)</f>
        <v>1</v>
      </c>
      <c r="I103" s="28" t="n">
        <f aca="false">IF(Verification!H103="",Calc!J103,Verification!H103)</f>
        <v>1</v>
      </c>
      <c r="J103" s="28" t="str">
        <f aca="false">IF(Verification!I103="",Calc!K103,Verification!I103)</f>
        <v>NA</v>
      </c>
      <c r="K103" s="29" t="n">
        <f aca="false">IF(COUNT(D103:E103)=0,"NA",(IF(ISNUMBER(D103),D103*Parameters!$E$6,0)+IF(ISNUMBER(E103),E103*Parameters!$E$7,0))/(IF(ISNUMBER(D103),Parameters!$E$6,0)+IF(ISNUMBER(E103),Parameters!$E$7,0))*100)</f>
        <v>63.3333333333333</v>
      </c>
      <c r="L103" s="29" t="n">
        <f aca="false">IF(COUNT(F103:H103)=0,"NA",(IF(ISNUMBER(F103),F103*Parameters!$E$8,0)+IF(ISNUMBER(G103),G103*Parameters!$E$9,0)+IF(ISNUMBER(H103),H103*Parameters!$E$10,0))/(IF(ISNUMBER(F103),Parameters!$E$8,0)+IF(ISNUMBER(G103),Parameters!$E$9,0)+IF(ISNUMBER(H103),Parameters!$E$10,0))*100)</f>
        <v>100</v>
      </c>
      <c r="M103" s="29" t="n">
        <f aca="false">IF(COUNT(I103:J103)=0,"NA",(IF(ISNUMBER(I103),I103*Parameters!$E$11,0)+IF(ISNUMBER(J103),J103*Parameters!$E$12,0))/(IF(ISNUMBER(I103),Parameters!$E$11,0)+IF(ISNUMBER(J103),Parameters!$E$12,0))*100)</f>
        <v>100</v>
      </c>
      <c r="N103" s="30" t="n">
        <f aca="false">IF(ISNUMBER(D103),Parameters!$E$6,0)+IF(ISNUMBER(E103),Parameters!$E$7,0)+IF(ISNUMBER(F103),Parameters!$E$8,0)+IF(ISNUMBER(G103),Parameters!$E$9,0)+IF(ISNUMBER(H103),Parameters!$E$10,0)+IF(ISNUMBER(I103),Parameters!$E$11,0)+IF(ISNUMBER(J103),Parameters!$E$12,0)</f>
        <v>0.5</v>
      </c>
      <c r="O103" s="31" t="n">
        <f aca="false">IF(ISNUMBER(D103),D103*Parameters!$E$6,0)+IF(ISNUMBER(E103),E103*Parameters!$E$7,0)+IF(ISNUMBER(F103),F103*Parameters!$E$8,0)+IF(ISNUMBER(G103),G103*Parameters!$E$9,0)+IF(ISNUMBER(H103),H103*Parameters!$E$10,0)+IF(ISNUMBER(I103),I103*Parameters!$E$11,0)+IF(ISNUMBER(J103),J103*Parameters!$E$12,0)</f>
        <v>0.39</v>
      </c>
      <c r="P103" s="32" t="n">
        <f aca="false">COUNT(D103:J103)</f>
        <v>4</v>
      </c>
      <c r="Q103" s="32" t="n">
        <f aca="false">(COUNT(D103:E103)&gt;0)+(COUNT(F103:H103)&gt;0)+(COUNT(I103:J103)&gt;0)</f>
        <v>3</v>
      </c>
      <c r="R103" s="32" t="str">
        <f aca="false">IF(AND(N103&gt;=Parameters!$C$56,Q103&gt;=Parameters!$C$59),"Yes","No")</f>
        <v>No</v>
      </c>
      <c r="S103" s="33" t="str">
        <f aca="false">IF(R103="Yes",O103/N103*100,"NA")</f>
        <v>NA</v>
      </c>
      <c r="T103" s="29" t="str">
        <f aca="false">IF(R103="Yes",O103/Parameters!$E$13*100,"NA")</f>
        <v>NA</v>
      </c>
      <c r="U103" s="29" t="str">
        <f aca="false">IF(R103="Yes",(O103+(Parameters!$E$13-N103))/Parameters!$E$13*100,"NA")</f>
        <v>NA</v>
      </c>
      <c r="V103" s="34" t="str">
        <f aca="false">IF(R103&lt;&gt;"Yes","Not scored",IF(N103&gt;=Parameters!$C$60,"Reportable","Provisional"))</f>
        <v>Not scored</v>
      </c>
      <c r="W103" s="32" t="str">
        <f aca="false">IF(ISNUMBER(S103),RANK(S103,$S$2:$S$113,0),"NA")</f>
        <v>NA</v>
      </c>
      <c r="X103" s="32" t="str">
        <f aca="false">IF(N103&gt;=Parameters!$C$60,"High",IF(N103&gt;=Parameters!$C$56,"Medium","Low"))</f>
        <v>Low</v>
      </c>
      <c r="Y103" s="32" t="n">
        <f aca="false">Calc!T103</f>
        <v>1</v>
      </c>
      <c r="Z103" s="35" t="str">
        <f aca="false">IF(V103="Reportable",S103-ROW()*0.000000001,"")</f>
        <v/>
      </c>
      <c r="AA103" s="35" t="str">
        <f aca="false">IF(ISNUMBER(Z103),RANK(Z103,$Z$2:$Z$113,0),"NA")</f>
        <v>NA</v>
      </c>
    </row>
    <row r="104" customFormat="false" ht="15" hidden="false" customHeight="true" outlineLevel="0" collapsed="false">
      <c r="A104" s="15" t="str">
        <f aca="false">Data!$A104</f>
        <v>TagTeam</v>
      </c>
      <c r="B104" s="15" t="str">
        <f aca="false">Data!$B104</f>
        <v>Harvard University</v>
      </c>
      <c r="C104" s="15" t="str">
        <f aca="false">Data!$E104</f>
        <v>Annotations system | Discovery system</v>
      </c>
      <c r="D104" s="28" t="n">
        <f aca="false">IF(Verification!C104="",Calc!B104,Verification!C104)</f>
        <v>1</v>
      </c>
      <c r="E104" s="28" t="str">
        <f aca="false">IF(Verification!D104="",Calc!D104,Verification!D104)</f>
        <v>NA</v>
      </c>
      <c r="F104" s="28" t="str">
        <f aca="false">IF(Verification!E104="",Calc!G104,Verification!E104)</f>
        <v>NA</v>
      </c>
      <c r="G104" s="28" t="n">
        <f aca="false">IF(Verification!F104="",Calc!I104,Verification!F104)</f>
        <v>0.5</v>
      </c>
      <c r="H104" s="28" t="n">
        <f aca="false">IF(Verification!G104="",Calc!E104,Verification!G104)</f>
        <v>1</v>
      </c>
      <c r="I104" s="28" t="str">
        <f aca="false">IF(Verification!H104="",Calc!J104,Verification!H104)</f>
        <v>NA</v>
      </c>
      <c r="J104" s="28" t="n">
        <f aca="false">IF(Verification!I104="",Calc!K104,Verification!I104)</f>
        <v>0.5</v>
      </c>
      <c r="K104" s="29" t="n">
        <f aca="false">IF(COUNT(D104:E104)=0,"NA",(IF(ISNUMBER(D104),D104*Parameters!$E$6,0)+IF(ISNUMBER(E104),E104*Parameters!$E$7,0))/(IF(ISNUMBER(D104),Parameters!$E$6,0)+IF(ISNUMBER(E104),Parameters!$E$7,0))*100)</f>
        <v>100</v>
      </c>
      <c r="L104" s="29" t="n">
        <f aca="false">IF(COUNT(F104:H104)=0,"NA",(IF(ISNUMBER(F104),F104*Parameters!$E$8,0)+IF(ISNUMBER(G104),G104*Parameters!$E$9,0)+IF(ISNUMBER(H104),H104*Parameters!$E$10,0))/(IF(ISNUMBER(F104),Parameters!$E$8,0)+IF(ISNUMBER(G104),Parameters!$E$9,0)+IF(ISNUMBER(H104),Parameters!$E$10,0))*100)</f>
        <v>64.7058823529412</v>
      </c>
      <c r="M104" s="29" t="n">
        <f aca="false">IF(COUNT(I104:J104)=0,"NA",(IF(ISNUMBER(I104),I104*Parameters!$E$11,0)+IF(ISNUMBER(J104),J104*Parameters!$E$12,0))/(IF(ISNUMBER(I104),Parameters!$E$11,0)+IF(ISNUMBER(J104),Parameters!$E$12,0))*100)</f>
        <v>50</v>
      </c>
      <c r="N104" s="30" t="n">
        <f aca="false">IF(ISNUMBER(D104),Parameters!$E$6,0)+IF(ISNUMBER(E104),Parameters!$E$7,0)+IF(ISNUMBER(F104),Parameters!$E$8,0)+IF(ISNUMBER(G104),Parameters!$E$9,0)+IF(ISNUMBER(H104),Parameters!$E$10,0)+IF(ISNUMBER(I104),Parameters!$E$11,0)+IF(ISNUMBER(J104),Parameters!$E$12,0)</f>
        <v>0.45</v>
      </c>
      <c r="O104" s="31" t="n">
        <f aca="false">IF(ISNUMBER(D104),D104*Parameters!$E$6,0)+IF(ISNUMBER(E104),E104*Parameters!$E$7,0)+IF(ISNUMBER(F104),F104*Parameters!$E$8,0)+IF(ISNUMBER(G104),G104*Parameters!$E$9,0)+IF(ISNUMBER(H104),H104*Parameters!$E$10,0)+IF(ISNUMBER(I104),I104*Parameters!$E$11,0)+IF(ISNUMBER(J104),J104*Parameters!$E$12,0)</f>
        <v>0.29</v>
      </c>
      <c r="P104" s="32" t="n">
        <f aca="false">COUNT(D104:J104)</f>
        <v>4</v>
      </c>
      <c r="Q104" s="32" t="n">
        <f aca="false">(COUNT(D104:E104)&gt;0)+(COUNT(F104:H104)&gt;0)+(COUNT(I104:J104)&gt;0)</f>
        <v>3</v>
      </c>
      <c r="R104" s="32" t="str">
        <f aca="false">IF(AND(N104&gt;=Parameters!$C$56,Q104&gt;=Parameters!$C$59),"Yes","No")</f>
        <v>No</v>
      </c>
      <c r="S104" s="33" t="str">
        <f aca="false">IF(R104="Yes",O104/N104*100,"NA")</f>
        <v>NA</v>
      </c>
      <c r="T104" s="29" t="str">
        <f aca="false">IF(R104="Yes",O104/Parameters!$E$13*100,"NA")</f>
        <v>NA</v>
      </c>
      <c r="U104" s="29" t="str">
        <f aca="false">IF(R104="Yes",(O104+(Parameters!$E$13-N104))/Parameters!$E$13*100,"NA")</f>
        <v>NA</v>
      </c>
      <c r="V104" s="34" t="str">
        <f aca="false">IF(R104&lt;&gt;"Yes","Not scored",IF(N104&gt;=Parameters!$C$60,"Reportable","Provisional"))</f>
        <v>Not scored</v>
      </c>
      <c r="W104" s="32" t="str">
        <f aca="false">IF(ISNUMBER(S104),RANK(S104,$S$2:$S$113,0),"NA")</f>
        <v>NA</v>
      </c>
      <c r="X104" s="32" t="str">
        <f aca="false">IF(N104&gt;=Parameters!$C$60,"High",IF(N104&gt;=Parameters!$C$56,"Medium","Low"))</f>
        <v>Low</v>
      </c>
      <c r="Y104" s="32" t="n">
        <f aca="false">Calc!T104</f>
        <v>1</v>
      </c>
      <c r="Z104" s="35" t="str">
        <f aca="false">IF(V104="Reportable",S104-ROW()*0.000000001,"")</f>
        <v/>
      </c>
      <c r="AA104" s="35" t="str">
        <f aca="false">IF(ISNUMBER(Z104),RANK(Z104,$Z$2:$Z$113,0),"NA")</f>
        <v>NA</v>
      </c>
    </row>
    <row r="105" customFormat="false" ht="15" hidden="false" customHeight="true" outlineLevel="0" collapsed="false">
      <c r="A105" s="15" t="str">
        <f aca="false">Data!$A105</f>
        <v>Thoth Open Metadata</v>
      </c>
      <c r="B105" s="15" t="str">
        <f aca="false">Data!$B105</f>
        <v>Thoth Open Metadata</v>
      </c>
      <c r="C105" s="15" t="str">
        <f aca="false">Data!$E105</f>
        <v>Digital preservation service | Format conversion tool or service | Open scholarly dataset</v>
      </c>
      <c r="D105" s="28" t="n">
        <f aca="false">IF(Verification!C105="",Calc!B105,Verification!C105)</f>
        <v>1</v>
      </c>
      <c r="E105" s="28" t="n">
        <f aca="false">IF(Verification!D105="",Calc!D105,Verification!D105)</f>
        <v>1</v>
      </c>
      <c r="F105" s="28" t="n">
        <f aca="false">IF(Verification!E105="",Calc!G105,Verification!E105)</f>
        <v>1</v>
      </c>
      <c r="G105" s="28" t="str">
        <f aca="false">IF(Verification!F105="",Calc!I105,Verification!F105)</f>
        <v>NA</v>
      </c>
      <c r="H105" s="28" t="n">
        <f aca="false">IF(Verification!G105="",Calc!E105,Verification!G105)</f>
        <v>1</v>
      </c>
      <c r="I105" s="28" t="n">
        <f aca="false">IF(Verification!H105="",Calc!J105,Verification!H105)</f>
        <v>1</v>
      </c>
      <c r="J105" s="28" t="n">
        <f aca="false">IF(Verification!I105="",Calc!K105,Verification!I105)</f>
        <v>1</v>
      </c>
      <c r="K105" s="29" t="n">
        <f aca="false">IF(COUNT(D105:E105)=0,"NA",(IF(ISNUMBER(D105),D105*Parameters!$E$6,0)+IF(ISNUMBER(E105),E105*Parameters!$E$7,0))/(IF(ISNUMBER(D105),Parameters!$E$6,0)+IF(ISNUMBER(E105),Parameters!$E$7,0))*100)</f>
        <v>100</v>
      </c>
      <c r="L105" s="29" t="n">
        <f aca="false">IF(COUNT(F105:H105)=0,"NA",(IF(ISNUMBER(F105),F105*Parameters!$E$8,0)+IF(ISNUMBER(G105),G105*Parameters!$E$9,0)+IF(ISNUMBER(H105),H105*Parameters!$E$10,0))/(IF(ISNUMBER(F105),Parameters!$E$8,0)+IF(ISNUMBER(G105),Parameters!$E$9,0)+IF(ISNUMBER(H105),Parameters!$E$10,0))*100)</f>
        <v>100</v>
      </c>
      <c r="M105" s="29" t="n">
        <f aca="false">IF(COUNT(I105:J105)=0,"NA",(IF(ISNUMBER(I105),I105*Parameters!$E$11,0)+IF(ISNUMBER(J105),J105*Parameters!$E$12,0))/(IF(ISNUMBER(I105),Parameters!$E$11,0)+IF(ISNUMBER(J105),Parameters!$E$12,0))*100)</f>
        <v>100</v>
      </c>
      <c r="N105" s="30" t="n">
        <f aca="false">IF(ISNUMBER(D105),Parameters!$E$6,0)+IF(ISNUMBER(E105),Parameters!$E$7,0)+IF(ISNUMBER(F105),Parameters!$E$8,0)+IF(ISNUMBER(G105),Parameters!$E$9,0)+IF(ISNUMBER(H105),Parameters!$E$10,0)+IF(ISNUMBER(I105),Parameters!$E$11,0)+IF(ISNUMBER(J105),Parameters!$E$12,0)</f>
        <v>0.88</v>
      </c>
      <c r="O105" s="31" t="n">
        <f aca="false">IF(ISNUMBER(D105),D105*Parameters!$E$6,0)+IF(ISNUMBER(E105),E105*Parameters!$E$7,0)+IF(ISNUMBER(F105),F105*Parameters!$E$8,0)+IF(ISNUMBER(G105),G105*Parameters!$E$9,0)+IF(ISNUMBER(H105),H105*Parameters!$E$10,0)+IF(ISNUMBER(I105),I105*Parameters!$E$11,0)+IF(ISNUMBER(J105),J105*Parameters!$E$12,0)</f>
        <v>0.88</v>
      </c>
      <c r="P105" s="32" t="n">
        <f aca="false">COUNT(D105:J105)</f>
        <v>6</v>
      </c>
      <c r="Q105" s="32" t="n">
        <f aca="false">(COUNT(D105:E105)&gt;0)+(COUNT(F105:H105)&gt;0)+(COUNT(I105:J105)&gt;0)</f>
        <v>3</v>
      </c>
      <c r="R105" s="32" t="str">
        <f aca="false">IF(AND(N105&gt;=Parameters!$C$56,Q105&gt;=Parameters!$C$59),"Yes","No")</f>
        <v>Yes</v>
      </c>
      <c r="S105" s="33" t="n">
        <f aca="false">IF(R105="Yes",O105/N105*100,"NA")</f>
        <v>100</v>
      </c>
      <c r="T105" s="29" t="n">
        <f aca="false">IF(R105="Yes",O105/Parameters!$E$13*100,"NA")</f>
        <v>88</v>
      </c>
      <c r="U105" s="29" t="n">
        <f aca="false">IF(R105="Yes",(O105+(Parameters!$E$13-N105))/Parameters!$E$13*100,"NA")</f>
        <v>100</v>
      </c>
      <c r="V105" s="34" t="str">
        <f aca="false">IF(R105&lt;&gt;"Yes","Not scored",IF(N105&gt;=Parameters!$C$60,"Reportable","Provisional"))</f>
        <v>Reportable</v>
      </c>
      <c r="W105" s="32" t="n">
        <f aca="false">IF(ISNUMBER(S105),RANK(S105,$S$2:$S$113,0),"NA")</f>
        <v>1</v>
      </c>
      <c r="X105" s="32" t="str">
        <f aca="false">IF(N105&gt;=Parameters!$C$60,"High",IF(N105&gt;=Parameters!$C$56,"Medium","Low"))</f>
        <v>High</v>
      </c>
      <c r="Y105" s="32" t="n">
        <f aca="false">Calc!T105</f>
        <v>1</v>
      </c>
      <c r="Z105" s="35" t="n">
        <f aca="false">IF(V105="Reportable",S105-ROW()*0.000000001,"")</f>
        <v>99.999999895</v>
      </c>
      <c r="AA105" s="35" t="n">
        <f aca="false">IF(ISNUMBER(Z105),RANK(Z105,$Z$2:$Z$113,0),"NA")</f>
        <v>1</v>
      </c>
    </row>
    <row r="106" customFormat="false" ht="15" hidden="false" customHeight="true" outlineLevel="0" collapsed="false">
      <c r="A106" s="15" t="str">
        <f aca="false">Data!$A106</f>
        <v>Tropy</v>
      </c>
      <c r="B106" s="15" t="str">
        <f aca="false">Data!$B106</f>
        <v>Digital Scholar</v>
      </c>
      <c r="C106" s="15" t="str">
        <f aca="false">Data!$E106</f>
        <v>Digital asset management system</v>
      </c>
      <c r="D106" s="28" t="n">
        <f aca="false">IF(Verification!C106="",Calc!B106,Verification!C106)</f>
        <v>1</v>
      </c>
      <c r="E106" s="28" t="n">
        <f aca="false">IF(Verification!D106="",Calc!D106,Verification!D106)</f>
        <v>0.375</v>
      </c>
      <c r="F106" s="28" t="n">
        <f aca="false">IF(Verification!E106="",Calc!G106,Verification!E106)</f>
        <v>0.166666666666667</v>
      </c>
      <c r="G106" s="28" t="n">
        <f aca="false">IF(Verification!F106="",Calc!I106,Verification!F106)</f>
        <v>0.5</v>
      </c>
      <c r="H106" s="28" t="n">
        <f aca="false">IF(Verification!G106="",Calc!E106,Verification!G106)</f>
        <v>1</v>
      </c>
      <c r="I106" s="28" t="n">
        <f aca="false">IF(Verification!H106="",Calc!J106,Verification!H106)</f>
        <v>0.33</v>
      </c>
      <c r="J106" s="28" t="n">
        <f aca="false">IF(Verification!I106="",Calc!K106,Verification!I106)</f>
        <v>0.5</v>
      </c>
      <c r="K106" s="29" t="n">
        <f aca="false">IF(COUNT(D106:E106)=0,"NA",(IF(ISNUMBER(D106),D106*Parameters!$E$6,0)+IF(ISNUMBER(E106),E106*Parameters!$E$7,0))/(IF(ISNUMBER(D106),Parameters!$E$6,0)+IF(ISNUMBER(E106),Parameters!$E$7,0))*100)</f>
        <v>54.1666666666667</v>
      </c>
      <c r="L106" s="29" t="n">
        <f aca="false">IF(COUNT(F106:H106)=0,"NA",(IF(ISNUMBER(F106),F106*Parameters!$E$8,0)+IF(ISNUMBER(G106),G106*Parameters!$E$9,0)+IF(ISNUMBER(H106),H106*Parameters!$E$10,0))/(IF(ISNUMBER(F106),Parameters!$E$8,0)+IF(ISNUMBER(G106),Parameters!$E$9,0)+IF(ISNUMBER(H106),Parameters!$E$10,0))*100)</f>
        <v>40</v>
      </c>
      <c r="M106" s="29" t="n">
        <f aca="false">IF(COUNT(I106:J106)=0,"NA",(IF(ISNUMBER(I106),I106*Parameters!$E$11,0)+IF(ISNUMBER(J106),J106*Parameters!$E$12,0))/(IF(ISNUMBER(I106),Parameters!$E$11,0)+IF(ISNUMBER(J106),Parameters!$E$12,0))*100)</f>
        <v>42.7142857142857</v>
      </c>
      <c r="N106" s="30" t="n">
        <f aca="false">IF(ISNUMBER(D106),Parameters!$E$6,0)+IF(ISNUMBER(E106),Parameters!$E$7,0)+IF(ISNUMBER(F106),Parameters!$E$8,0)+IF(ISNUMBER(G106),Parameters!$E$9,0)+IF(ISNUMBER(H106),Parameters!$E$10,0)+IF(ISNUMBER(I106),Parameters!$E$11,0)+IF(ISNUMBER(J106),Parameters!$E$12,0)</f>
        <v>1</v>
      </c>
      <c r="O106" s="31" t="n">
        <f aca="false">IF(ISNUMBER(D106),D106*Parameters!$E$6,0)+IF(ISNUMBER(E106),E106*Parameters!$E$7,0)+IF(ISNUMBER(F106),F106*Parameters!$E$8,0)+IF(ISNUMBER(G106),G106*Parameters!$E$9,0)+IF(ISNUMBER(H106),H106*Parameters!$E$10,0)+IF(ISNUMBER(I106),I106*Parameters!$E$11,0)+IF(ISNUMBER(J106),J106*Parameters!$E$12,0)</f>
        <v>0.452</v>
      </c>
      <c r="P106" s="32" t="n">
        <f aca="false">COUNT(D106:J106)</f>
        <v>7</v>
      </c>
      <c r="Q106" s="32" t="n">
        <f aca="false">(COUNT(D106:E106)&gt;0)+(COUNT(F106:H106)&gt;0)+(COUNT(I106:J106)&gt;0)</f>
        <v>3</v>
      </c>
      <c r="R106" s="32" t="str">
        <f aca="false">IF(AND(N106&gt;=Parameters!$C$56,Q106&gt;=Parameters!$C$59),"Yes","No")</f>
        <v>Yes</v>
      </c>
      <c r="S106" s="33" t="n">
        <f aca="false">IF(R106="Yes",O106/N106*100,"NA")</f>
        <v>45.2</v>
      </c>
      <c r="T106" s="29" t="n">
        <f aca="false">IF(R106="Yes",O106/Parameters!$E$13*100,"NA")</f>
        <v>45.2</v>
      </c>
      <c r="U106" s="29" t="n">
        <f aca="false">IF(R106="Yes",(O106+(Parameters!$E$13-N106))/Parameters!$E$13*100,"NA")</f>
        <v>45.2</v>
      </c>
      <c r="V106" s="34" t="str">
        <f aca="false">IF(R106&lt;&gt;"Yes","Not scored",IF(N106&gt;=Parameters!$C$60,"Reportable","Provisional"))</f>
        <v>Reportable</v>
      </c>
      <c r="W106" s="32" t="n">
        <f aca="false">IF(ISNUMBER(S106),RANK(S106,$S$2:$S$113,0),"NA")</f>
        <v>86</v>
      </c>
      <c r="X106" s="32" t="str">
        <f aca="false">IF(N106&gt;=Parameters!$C$60,"High",IF(N106&gt;=Parameters!$C$56,"Medium","Low"))</f>
        <v>High</v>
      </c>
      <c r="Y106" s="32" t="n">
        <f aca="false">Calc!T106</f>
        <v>0</v>
      </c>
      <c r="Z106" s="35" t="n">
        <f aca="false">IF(V106="Reportable",S106-ROW()*0.000000001,"")</f>
        <v>45.199999894</v>
      </c>
      <c r="AA106" s="35" t="n">
        <f aca="false">IF(ISNUMBER(Z106),RANK(Z106,$Z$2:$Z$113,0),"NA")</f>
        <v>51</v>
      </c>
    </row>
    <row r="107" customFormat="false" ht="15" hidden="false" customHeight="true" outlineLevel="0" collapsed="false">
      <c r="A107" s="15" t="str">
        <f aca="false">Data!$A107</f>
        <v>veraPDF</v>
      </c>
      <c r="B107" s="15" t="str">
        <f aca="false">Data!$B107</f>
        <v>veraPDF Consortium</v>
      </c>
      <c r="C107" s="15" t="str">
        <f aca="false">Data!$E107</f>
        <v>Digital preservation tool | Standard, specification or protocol</v>
      </c>
      <c r="D107" s="28" t="n">
        <f aca="false">IF(Verification!C107="",Calc!B107,Verification!C107)</f>
        <v>1</v>
      </c>
      <c r="E107" s="28" t="n">
        <f aca="false">IF(Verification!D107="",Calc!D107,Verification!D107)</f>
        <v>0.625</v>
      </c>
      <c r="F107" s="28" t="str">
        <f aca="false">IF(Verification!E107="",Calc!G107,Verification!E107)</f>
        <v>NA</v>
      </c>
      <c r="G107" s="28" t="str">
        <f aca="false">IF(Verification!F107="",Calc!I107,Verification!F107)</f>
        <v>NA</v>
      </c>
      <c r="H107" s="28" t="n">
        <f aca="false">IF(Verification!G107="",Calc!E107,Verification!G107)</f>
        <v>1</v>
      </c>
      <c r="I107" s="28" t="n">
        <f aca="false">IF(Verification!H107="",Calc!J107,Verification!H107)</f>
        <v>0.67</v>
      </c>
      <c r="J107" s="28" t="n">
        <f aca="false">IF(Verification!I107="",Calc!K107,Verification!I107)</f>
        <v>1</v>
      </c>
      <c r="K107" s="29" t="n">
        <f aca="false">IF(COUNT(D107:E107)=0,"NA",(IF(ISNUMBER(D107),D107*Parameters!$E$6,0)+IF(ISNUMBER(E107),E107*Parameters!$E$7,0))/(IF(ISNUMBER(D107),Parameters!$E$6,0)+IF(ISNUMBER(E107),Parameters!$E$7,0))*100)</f>
        <v>72.5</v>
      </c>
      <c r="L107" s="29" t="n">
        <f aca="false">IF(COUNT(F107:H107)=0,"NA",(IF(ISNUMBER(F107),F107*Parameters!$E$8,0)+IF(ISNUMBER(G107),G107*Parameters!$E$9,0)+IF(ISNUMBER(H107),H107*Parameters!$E$10,0))/(IF(ISNUMBER(F107),Parameters!$E$8,0)+IF(ISNUMBER(G107),Parameters!$E$9,0)+IF(ISNUMBER(H107),Parameters!$E$10,0))*100)</f>
        <v>100</v>
      </c>
      <c r="M107" s="29" t="n">
        <f aca="false">IF(COUNT(I107:J107)=0,"NA",(IF(ISNUMBER(I107),I107*Parameters!$E$11,0)+IF(ISNUMBER(J107),J107*Parameters!$E$12,0))/(IF(ISNUMBER(I107),Parameters!$E$11,0)+IF(ISNUMBER(J107),Parameters!$E$12,0))*100)</f>
        <v>85.8571428571429</v>
      </c>
      <c r="N107" s="30" t="n">
        <f aca="false">IF(ISNUMBER(D107),Parameters!$E$6,0)+IF(ISNUMBER(E107),Parameters!$E$7,0)+IF(ISNUMBER(F107),Parameters!$E$8,0)+IF(ISNUMBER(G107),Parameters!$E$9,0)+IF(ISNUMBER(H107),Parameters!$E$10,0)+IF(ISNUMBER(I107),Parameters!$E$11,0)+IF(ISNUMBER(J107),Parameters!$E$12,0)</f>
        <v>0.7</v>
      </c>
      <c r="O107" s="31" t="n">
        <f aca="false">IF(ISNUMBER(D107),D107*Parameters!$E$6,0)+IF(ISNUMBER(E107),E107*Parameters!$E$7,0)+IF(ISNUMBER(F107),F107*Parameters!$E$8,0)+IF(ISNUMBER(G107),G107*Parameters!$E$9,0)+IF(ISNUMBER(H107),H107*Parameters!$E$10,0)+IF(ISNUMBER(I107),I107*Parameters!$E$11,0)+IF(ISNUMBER(J107),J107*Parameters!$E$12,0)</f>
        <v>0.568</v>
      </c>
      <c r="P107" s="32" t="n">
        <f aca="false">COUNT(D107:J107)</f>
        <v>5</v>
      </c>
      <c r="Q107" s="32" t="n">
        <f aca="false">(COUNT(D107:E107)&gt;0)+(COUNT(F107:H107)&gt;0)+(COUNT(I107:J107)&gt;0)</f>
        <v>3</v>
      </c>
      <c r="R107" s="32" t="str">
        <f aca="false">IF(AND(N107&gt;=Parameters!$C$56,Q107&gt;=Parameters!$C$59),"Yes","No")</f>
        <v>Yes</v>
      </c>
      <c r="S107" s="33" t="n">
        <f aca="false">IF(R107="Yes",O107/N107*100,"NA")</f>
        <v>81.1428571428572</v>
      </c>
      <c r="T107" s="29" t="n">
        <f aca="false">IF(R107="Yes",O107/Parameters!$E$13*100,"NA")</f>
        <v>56.8</v>
      </c>
      <c r="U107" s="29" t="n">
        <f aca="false">IF(R107="Yes",(O107+(Parameters!$E$13-N107))/Parameters!$E$13*100,"NA")</f>
        <v>86.8</v>
      </c>
      <c r="V107" s="34" t="str">
        <f aca="false">IF(R107&lt;&gt;"Yes","Not scored",IF(N107&gt;=Parameters!$C$60,"Reportable","Provisional"))</f>
        <v>Provisional</v>
      </c>
      <c r="W107" s="32" t="n">
        <f aca="false">IF(ISNUMBER(S107),RANK(S107,$S$2:$S$113,0),"NA")</f>
        <v>38</v>
      </c>
      <c r="X107" s="32" t="str">
        <f aca="false">IF(N107&gt;=Parameters!$C$60,"High",IF(N107&gt;=Parameters!$C$56,"Medium","Low"))</f>
        <v>Medium</v>
      </c>
      <c r="Y107" s="32" t="n">
        <f aca="false">Calc!T107</f>
        <v>1</v>
      </c>
      <c r="Z107" s="35" t="str">
        <f aca="false">IF(V107="Reportable",S107-ROW()*0.000000001,"")</f>
        <v/>
      </c>
      <c r="AA107" s="35" t="str">
        <f aca="false">IF(ISNUMBER(Z107),RANK(Z107,$Z$2:$Z$113,0),"NA")</f>
        <v>NA</v>
      </c>
    </row>
    <row r="108" customFormat="false" ht="15" hidden="false" customHeight="true" outlineLevel="0" collapsed="false">
      <c r="A108" s="15" t="str">
        <f aca="false">Data!$A108</f>
        <v>ViPER</v>
      </c>
      <c r="B108" s="15" t="str">
        <f aca="false">Data!$B108</f>
        <v>Open Preservation Foundation</v>
      </c>
      <c r="C108" s="15" t="str">
        <f aca="false">Data!$E108</f>
        <v>Digital preservation tool</v>
      </c>
      <c r="D108" s="28" t="n">
        <f aca="false">IF(Verification!C108="",Calc!B108,Verification!C108)</f>
        <v>1</v>
      </c>
      <c r="E108" s="28" t="n">
        <f aca="false">IF(Verification!D108="",Calc!D108,Verification!D108)</f>
        <v>1</v>
      </c>
      <c r="F108" s="28" t="n">
        <f aca="false">IF(Verification!E108="",Calc!G108,Verification!E108)</f>
        <v>0.666666666666667</v>
      </c>
      <c r="G108" s="28" t="n">
        <f aca="false">IF(Verification!F108="",Calc!I108,Verification!F108)</f>
        <v>0.5</v>
      </c>
      <c r="H108" s="28" t="n">
        <f aca="false">IF(Verification!G108="",Calc!E108,Verification!G108)</f>
        <v>1</v>
      </c>
      <c r="I108" s="28" t="n">
        <f aca="false">IF(Verification!H108="",Calc!J108,Verification!H108)</f>
        <v>0.67</v>
      </c>
      <c r="J108" s="28" t="n">
        <f aca="false">IF(Verification!I108="",Calc!K108,Verification!I108)</f>
        <v>1</v>
      </c>
      <c r="K108" s="29" t="n">
        <f aca="false">IF(COUNT(D108:E108)=0,"NA",(IF(ISNUMBER(D108),D108*Parameters!$E$6,0)+IF(ISNUMBER(E108),E108*Parameters!$E$7,0))/(IF(ISNUMBER(D108),Parameters!$E$6,0)+IF(ISNUMBER(E108),Parameters!$E$7,0))*100)</f>
        <v>100</v>
      </c>
      <c r="L108" s="29" t="n">
        <f aca="false">IF(COUNT(F108:H108)=0,"NA",(IF(ISNUMBER(F108),F108*Parameters!$E$8,0)+IF(ISNUMBER(G108),G108*Parameters!$E$9,0)+IF(ISNUMBER(H108),H108*Parameters!$E$10,0))/(IF(ISNUMBER(F108),Parameters!$E$8,0)+IF(ISNUMBER(G108),Parameters!$E$9,0)+IF(ISNUMBER(H108),Parameters!$E$10,0))*100)</f>
        <v>65.7142857142857</v>
      </c>
      <c r="M108" s="29" t="n">
        <f aca="false">IF(COUNT(I108:J108)=0,"NA",(IF(ISNUMBER(I108),I108*Parameters!$E$11,0)+IF(ISNUMBER(J108),J108*Parameters!$E$12,0))/(IF(ISNUMBER(I108),Parameters!$E$11,0)+IF(ISNUMBER(J108),Parameters!$E$12,0))*100)</f>
        <v>85.8571428571429</v>
      </c>
      <c r="N108" s="30" t="n">
        <f aca="false">IF(ISNUMBER(D108),Parameters!$E$6,0)+IF(ISNUMBER(E108),Parameters!$E$7,0)+IF(ISNUMBER(F108),Parameters!$E$8,0)+IF(ISNUMBER(G108),Parameters!$E$9,0)+IF(ISNUMBER(H108),Parameters!$E$10,0)+IF(ISNUMBER(I108),Parameters!$E$11,0)+IF(ISNUMBER(J108),Parameters!$E$12,0)</f>
        <v>1</v>
      </c>
      <c r="O108" s="31" t="n">
        <f aca="false">IF(ISNUMBER(D108),D108*Parameters!$E$6,0)+IF(ISNUMBER(E108),E108*Parameters!$E$7,0)+IF(ISNUMBER(F108),F108*Parameters!$E$8,0)+IF(ISNUMBER(G108),G108*Parameters!$E$9,0)+IF(ISNUMBER(H108),H108*Parameters!$E$10,0)+IF(ISNUMBER(I108),I108*Parameters!$E$11,0)+IF(ISNUMBER(J108),J108*Parameters!$E$12,0)</f>
        <v>0.8305</v>
      </c>
      <c r="P108" s="32" t="n">
        <f aca="false">COUNT(D108:J108)</f>
        <v>7</v>
      </c>
      <c r="Q108" s="32" t="n">
        <f aca="false">(COUNT(D108:E108)&gt;0)+(COUNT(F108:H108)&gt;0)+(COUNT(I108:J108)&gt;0)</f>
        <v>3</v>
      </c>
      <c r="R108" s="32" t="str">
        <f aca="false">IF(AND(N108&gt;=Parameters!$C$56,Q108&gt;=Parameters!$C$59),"Yes","No")</f>
        <v>Yes</v>
      </c>
      <c r="S108" s="33" t="n">
        <f aca="false">IF(R108="Yes",O108/N108*100,"NA")</f>
        <v>83.05</v>
      </c>
      <c r="T108" s="29" t="n">
        <f aca="false">IF(R108="Yes",O108/Parameters!$E$13*100,"NA")</f>
        <v>83.05</v>
      </c>
      <c r="U108" s="29" t="n">
        <f aca="false">IF(R108="Yes",(O108+(Parameters!$E$13-N108))/Parameters!$E$13*100,"NA")</f>
        <v>83.05</v>
      </c>
      <c r="V108" s="34" t="str">
        <f aca="false">IF(R108&lt;&gt;"Yes","Not scored",IF(N108&gt;=Parameters!$C$60,"Reportable","Provisional"))</f>
        <v>Reportable</v>
      </c>
      <c r="W108" s="32" t="n">
        <f aca="false">IF(ISNUMBER(S108),RANK(S108,$S$2:$S$113,0),"NA")</f>
        <v>33</v>
      </c>
      <c r="X108" s="32" t="str">
        <f aca="false">IF(N108&gt;=Parameters!$C$60,"High",IF(N108&gt;=Parameters!$C$56,"Medium","Low"))</f>
        <v>High</v>
      </c>
      <c r="Y108" s="32" t="n">
        <f aca="false">Calc!T108</f>
        <v>1</v>
      </c>
      <c r="Z108" s="35" t="n">
        <f aca="false">IF(V108="Reportable",S108-ROW()*0.000000001,"")</f>
        <v>83.049999892</v>
      </c>
      <c r="AA108" s="35" t="n">
        <f aca="false">IF(ISNUMBER(Z108),RANK(Z108,$Z$2:$Z$113,0),"NA")</f>
        <v>21</v>
      </c>
    </row>
    <row r="109" customFormat="false" ht="15" hidden="false" customHeight="true" outlineLevel="0" collapsed="false">
      <c r="A109" s="15" t="str">
        <f aca="false">Data!$A109</f>
        <v>Vireo ETD</v>
      </c>
      <c r="B109" s="15" t="str">
        <f aca="false">Data!$B109</f>
        <v>Texas Digital Library</v>
      </c>
      <c r="C109" s="15" t="str">
        <f aca="false">Data!$E109</f>
        <v>Publishing system | Repository software | Submissions system</v>
      </c>
      <c r="D109" s="28" t="n">
        <f aca="false">IF(Verification!C109="",Calc!B109,Verification!C109)</f>
        <v>1</v>
      </c>
      <c r="E109" s="28" t="n">
        <f aca="false">IF(Verification!D109="",Calc!D109,Verification!D109)</f>
        <v>1</v>
      </c>
      <c r="F109" s="28" t="n">
        <f aca="false">IF(Verification!E109="",Calc!G109,Verification!E109)</f>
        <v>1</v>
      </c>
      <c r="G109" s="28" t="str">
        <f aca="false">IF(Verification!F109="",Calc!I109,Verification!F109)</f>
        <v>NA</v>
      </c>
      <c r="H109" s="28" t="n">
        <f aca="false">IF(Verification!G109="",Calc!E109,Verification!G109)</f>
        <v>1</v>
      </c>
      <c r="I109" s="28" t="n">
        <f aca="false">IF(Verification!H109="",Calc!J109,Verification!H109)</f>
        <v>0</v>
      </c>
      <c r="J109" s="28" t="n">
        <f aca="false">IF(Verification!I109="",Calc!K109,Verification!I109)</f>
        <v>1</v>
      </c>
      <c r="K109" s="29" t="n">
        <f aca="false">IF(COUNT(D109:E109)=0,"NA",(IF(ISNUMBER(D109),D109*Parameters!$E$6,0)+IF(ISNUMBER(E109),E109*Parameters!$E$7,0))/(IF(ISNUMBER(D109),Parameters!$E$6,0)+IF(ISNUMBER(E109),Parameters!$E$7,0))*100)</f>
        <v>100</v>
      </c>
      <c r="L109" s="29" t="n">
        <f aca="false">IF(COUNT(F109:H109)=0,"NA",(IF(ISNUMBER(F109),F109*Parameters!$E$8,0)+IF(ISNUMBER(G109),G109*Parameters!$E$9,0)+IF(ISNUMBER(H109),H109*Parameters!$E$10,0))/(IF(ISNUMBER(F109),Parameters!$E$8,0)+IF(ISNUMBER(G109),Parameters!$E$9,0)+IF(ISNUMBER(H109),Parameters!$E$10,0))*100)</f>
        <v>100</v>
      </c>
      <c r="M109" s="29" t="n">
        <f aca="false">IF(COUNT(I109:J109)=0,"NA",(IF(ISNUMBER(I109),I109*Parameters!$E$11,0)+IF(ISNUMBER(J109),J109*Parameters!$E$12,0))/(IF(ISNUMBER(I109),Parameters!$E$11,0)+IF(ISNUMBER(J109),Parameters!$E$12,0))*100)</f>
        <v>57.1428571428572</v>
      </c>
      <c r="N109" s="30" t="n">
        <f aca="false">IF(ISNUMBER(D109),Parameters!$E$6,0)+IF(ISNUMBER(E109),Parameters!$E$7,0)+IF(ISNUMBER(F109),Parameters!$E$8,0)+IF(ISNUMBER(G109),Parameters!$E$9,0)+IF(ISNUMBER(H109),Parameters!$E$10,0)+IF(ISNUMBER(I109),Parameters!$E$11,0)+IF(ISNUMBER(J109),Parameters!$E$12,0)</f>
        <v>0.88</v>
      </c>
      <c r="O109" s="31" t="n">
        <f aca="false">IF(ISNUMBER(D109),D109*Parameters!$E$6,0)+IF(ISNUMBER(E109),E109*Parameters!$E$7,0)+IF(ISNUMBER(F109),F109*Parameters!$E$8,0)+IF(ISNUMBER(G109),G109*Parameters!$E$9,0)+IF(ISNUMBER(H109),H109*Parameters!$E$10,0)+IF(ISNUMBER(I109),I109*Parameters!$E$11,0)+IF(ISNUMBER(J109),J109*Parameters!$E$12,0)</f>
        <v>0.73</v>
      </c>
      <c r="P109" s="32" t="n">
        <f aca="false">COUNT(D109:J109)</f>
        <v>6</v>
      </c>
      <c r="Q109" s="32" t="n">
        <f aca="false">(COUNT(D109:E109)&gt;0)+(COUNT(F109:H109)&gt;0)+(COUNT(I109:J109)&gt;0)</f>
        <v>3</v>
      </c>
      <c r="R109" s="32" t="str">
        <f aca="false">IF(AND(N109&gt;=Parameters!$C$56,Q109&gt;=Parameters!$C$59),"Yes","No")</f>
        <v>Yes</v>
      </c>
      <c r="S109" s="33" t="n">
        <f aca="false">IF(R109="Yes",O109/N109*100,"NA")</f>
        <v>82.9545454545454</v>
      </c>
      <c r="T109" s="29" t="n">
        <f aca="false">IF(R109="Yes",O109/Parameters!$E$13*100,"NA")</f>
        <v>73</v>
      </c>
      <c r="U109" s="29" t="n">
        <f aca="false">IF(R109="Yes",(O109+(Parameters!$E$13-N109))/Parameters!$E$13*100,"NA")</f>
        <v>85</v>
      </c>
      <c r="V109" s="34" t="str">
        <f aca="false">IF(R109&lt;&gt;"Yes","Not scored",IF(N109&gt;=Parameters!$C$60,"Reportable","Provisional"))</f>
        <v>Reportable</v>
      </c>
      <c r="W109" s="32" t="n">
        <f aca="false">IF(ISNUMBER(S109),RANK(S109,$S$2:$S$113,0),"NA")</f>
        <v>34</v>
      </c>
      <c r="X109" s="32" t="str">
        <f aca="false">IF(N109&gt;=Parameters!$C$60,"High",IF(N109&gt;=Parameters!$C$56,"Medium","Low"))</f>
        <v>High</v>
      </c>
      <c r="Y109" s="32" t="n">
        <f aca="false">Calc!T109</f>
        <v>0</v>
      </c>
      <c r="Z109" s="35" t="n">
        <f aca="false">IF(V109="Reportable",S109-ROW()*0.000000001,"")</f>
        <v>82.9545453455454</v>
      </c>
      <c r="AA109" s="35" t="n">
        <f aca="false">IF(ISNUMBER(Z109),RANK(Z109,$Z$2:$Z$113,0),"NA")</f>
        <v>22</v>
      </c>
    </row>
    <row r="110" customFormat="false" ht="15" hidden="false" customHeight="true" outlineLevel="0" collapsed="false">
      <c r="A110" s="15" t="str">
        <f aca="false">Data!$A110</f>
        <v>VIVO</v>
      </c>
      <c r="B110" s="15" t="str">
        <f aca="false">Data!$B110</f>
        <v>Lyrasis</v>
      </c>
      <c r="C110" s="15" t="str">
        <f aca="false">Data!$E110</f>
        <v>Discovery system | Research profiling system | Standard, specification or protocol</v>
      </c>
      <c r="D110" s="28" t="n">
        <f aca="false">IF(Verification!C110="",Calc!B110,Verification!C110)</f>
        <v>1</v>
      </c>
      <c r="E110" s="28" t="n">
        <f aca="false">IF(Verification!D110="",Calc!D110,Verification!D110)</f>
        <v>1</v>
      </c>
      <c r="F110" s="28" t="n">
        <f aca="false">IF(Verification!E110="",Calc!G110,Verification!E110)</f>
        <v>1</v>
      </c>
      <c r="G110" s="28" t="n">
        <f aca="false">IF(Verification!F110="",Calc!I110,Verification!F110)</f>
        <v>0.5</v>
      </c>
      <c r="H110" s="28" t="n">
        <f aca="false">IF(Verification!G110="",Calc!E110,Verification!G110)</f>
        <v>1</v>
      </c>
      <c r="I110" s="28" t="n">
        <f aca="false">IF(Verification!H110="",Calc!J110,Verification!H110)</f>
        <v>0.33</v>
      </c>
      <c r="J110" s="28" t="n">
        <f aca="false">IF(Verification!I110="",Calc!K110,Verification!I110)</f>
        <v>1</v>
      </c>
      <c r="K110" s="29" t="n">
        <f aca="false">IF(COUNT(D110:E110)=0,"NA",(IF(ISNUMBER(D110),D110*Parameters!$E$6,0)+IF(ISNUMBER(E110),E110*Parameters!$E$7,0))/(IF(ISNUMBER(D110),Parameters!$E$6,0)+IF(ISNUMBER(E110),Parameters!$E$7,0))*100)</f>
        <v>100</v>
      </c>
      <c r="L110" s="29" t="n">
        <f aca="false">IF(COUNT(F110:H110)=0,"NA",(IF(ISNUMBER(F110),F110*Parameters!$E$8,0)+IF(ISNUMBER(G110),G110*Parameters!$E$9,0)+IF(ISNUMBER(H110),H110*Parameters!$E$10,0))/(IF(ISNUMBER(F110),Parameters!$E$8,0)+IF(ISNUMBER(G110),Parameters!$E$9,0)+IF(ISNUMBER(H110),Parameters!$E$10,0))*100)</f>
        <v>82.8571428571429</v>
      </c>
      <c r="M110" s="29" t="n">
        <f aca="false">IF(COUNT(I110:J110)=0,"NA",(IF(ISNUMBER(I110),I110*Parameters!$E$11,0)+IF(ISNUMBER(J110),J110*Parameters!$E$12,0))/(IF(ISNUMBER(I110),Parameters!$E$11,0)+IF(ISNUMBER(J110),Parameters!$E$12,0))*100)</f>
        <v>71.2857142857143</v>
      </c>
      <c r="N110" s="30" t="n">
        <f aca="false">IF(ISNUMBER(D110),Parameters!$E$6,0)+IF(ISNUMBER(E110),Parameters!$E$7,0)+IF(ISNUMBER(F110),Parameters!$E$8,0)+IF(ISNUMBER(G110),Parameters!$E$9,0)+IF(ISNUMBER(H110),Parameters!$E$10,0)+IF(ISNUMBER(I110),Parameters!$E$11,0)+IF(ISNUMBER(J110),Parameters!$E$12,0)</f>
        <v>1</v>
      </c>
      <c r="O110" s="31" t="n">
        <f aca="false">IF(ISNUMBER(D110),D110*Parameters!$E$6,0)+IF(ISNUMBER(E110),E110*Parameters!$E$7,0)+IF(ISNUMBER(F110),F110*Parameters!$E$8,0)+IF(ISNUMBER(G110),G110*Parameters!$E$9,0)+IF(ISNUMBER(H110),H110*Parameters!$E$10,0)+IF(ISNUMBER(I110),I110*Parameters!$E$11,0)+IF(ISNUMBER(J110),J110*Parameters!$E$12,0)</f>
        <v>0.8395</v>
      </c>
      <c r="P110" s="32" t="n">
        <f aca="false">COUNT(D110:J110)</f>
        <v>7</v>
      </c>
      <c r="Q110" s="32" t="n">
        <f aca="false">(COUNT(D110:E110)&gt;0)+(COUNT(F110:H110)&gt;0)+(COUNT(I110:J110)&gt;0)</f>
        <v>3</v>
      </c>
      <c r="R110" s="32" t="str">
        <f aca="false">IF(AND(N110&gt;=Parameters!$C$56,Q110&gt;=Parameters!$C$59),"Yes","No")</f>
        <v>Yes</v>
      </c>
      <c r="S110" s="33" t="n">
        <f aca="false">IF(R110="Yes",O110/N110*100,"NA")</f>
        <v>83.95</v>
      </c>
      <c r="T110" s="29" t="n">
        <f aca="false">IF(R110="Yes",O110/Parameters!$E$13*100,"NA")</f>
        <v>83.95</v>
      </c>
      <c r="U110" s="29" t="n">
        <f aca="false">IF(R110="Yes",(O110+(Parameters!$E$13-N110))/Parameters!$E$13*100,"NA")</f>
        <v>83.95</v>
      </c>
      <c r="V110" s="34" t="str">
        <f aca="false">IF(R110&lt;&gt;"Yes","Not scored",IF(N110&gt;=Parameters!$C$60,"Reportable","Provisional"))</f>
        <v>Reportable</v>
      </c>
      <c r="W110" s="32" t="n">
        <f aca="false">IF(ISNUMBER(S110),RANK(S110,$S$2:$S$113,0),"NA")</f>
        <v>31</v>
      </c>
      <c r="X110" s="32" t="str">
        <f aca="false">IF(N110&gt;=Parameters!$C$60,"High",IF(N110&gt;=Parameters!$C$56,"Medium","Low"))</f>
        <v>High</v>
      </c>
      <c r="Y110" s="32" t="n">
        <f aca="false">Calc!T110</f>
        <v>0</v>
      </c>
      <c r="Z110" s="35" t="n">
        <f aca="false">IF(V110="Reportable",S110-ROW()*0.000000001,"")</f>
        <v>83.94999989</v>
      </c>
      <c r="AA110" s="35" t="n">
        <f aca="false">IF(ISNUMBER(Z110),RANK(Z110,$Z$2:$Z$113,0),"NA")</f>
        <v>20</v>
      </c>
    </row>
    <row r="111" customFormat="false" ht="15" hidden="false" customHeight="true" outlineLevel="0" collapsed="false">
      <c r="A111" s="15" t="str">
        <f aca="false">Data!$A111</f>
        <v>VuFind®</v>
      </c>
      <c r="B111" s="15" t="str">
        <f aca="false">Data!$B111</f>
        <v>Open Library Foundation</v>
      </c>
      <c r="C111" s="15" t="str">
        <f aca="false">Data!$E111</f>
        <v>Discovery system</v>
      </c>
      <c r="D111" s="28" t="n">
        <f aca="false">IF(Verification!C111="",Calc!B111,Verification!C111)</f>
        <v>1</v>
      </c>
      <c r="E111" s="28" t="n">
        <f aca="false">IF(Verification!D111="",Calc!D111,Verification!D111)</f>
        <v>0.75</v>
      </c>
      <c r="F111" s="28" t="n">
        <f aca="false">IF(Verification!E111="",Calc!G111,Verification!E111)</f>
        <v>1</v>
      </c>
      <c r="G111" s="28" t="n">
        <f aca="false">IF(Verification!F111="",Calc!I111,Verification!F111)</f>
        <v>1</v>
      </c>
      <c r="H111" s="28" t="n">
        <f aca="false">IF(Verification!G111="",Calc!E111,Verification!G111)</f>
        <v>1</v>
      </c>
      <c r="I111" s="28" t="n">
        <f aca="false">IF(Verification!H111="",Calc!J111,Verification!H111)</f>
        <v>1</v>
      </c>
      <c r="J111" s="28" t="n">
        <f aca="false">IF(Verification!I111="",Calc!K111,Verification!I111)</f>
        <v>1</v>
      </c>
      <c r="K111" s="29" t="n">
        <f aca="false">IF(COUNT(D111:E111)=0,"NA",(IF(ISNUMBER(D111),D111*Parameters!$E$6,0)+IF(ISNUMBER(E111),E111*Parameters!$E$7,0))/(IF(ISNUMBER(D111),Parameters!$E$6,0)+IF(ISNUMBER(E111),Parameters!$E$7,0))*100)</f>
        <v>81.6666666666667</v>
      </c>
      <c r="L111" s="29" t="n">
        <f aca="false">IF(COUNT(F111:H111)=0,"NA",(IF(ISNUMBER(F111),F111*Parameters!$E$8,0)+IF(ISNUMBER(G111),G111*Parameters!$E$9,0)+IF(ISNUMBER(H111),H111*Parameters!$E$10,0))/(IF(ISNUMBER(F111),Parameters!$E$8,0)+IF(ISNUMBER(G111),Parameters!$E$9,0)+IF(ISNUMBER(H111),Parameters!$E$10,0))*100)</f>
        <v>100</v>
      </c>
      <c r="M111" s="29" t="n">
        <f aca="false">IF(COUNT(I111:J111)=0,"NA",(IF(ISNUMBER(I111),I111*Parameters!$E$11,0)+IF(ISNUMBER(J111),J111*Parameters!$E$12,0))/(IF(ISNUMBER(I111),Parameters!$E$11,0)+IF(ISNUMBER(J111),Parameters!$E$12,0))*100)</f>
        <v>100</v>
      </c>
      <c r="N111" s="30" t="n">
        <f aca="false">IF(ISNUMBER(D111),Parameters!$E$6,0)+IF(ISNUMBER(E111),Parameters!$E$7,0)+IF(ISNUMBER(F111),Parameters!$E$8,0)+IF(ISNUMBER(G111),Parameters!$E$9,0)+IF(ISNUMBER(H111),Parameters!$E$10,0)+IF(ISNUMBER(I111),Parameters!$E$11,0)+IF(ISNUMBER(J111),Parameters!$E$12,0)</f>
        <v>1</v>
      </c>
      <c r="O111" s="31" t="n">
        <f aca="false">IF(ISNUMBER(D111),D111*Parameters!$E$6,0)+IF(ISNUMBER(E111),E111*Parameters!$E$7,0)+IF(ISNUMBER(F111),F111*Parameters!$E$8,0)+IF(ISNUMBER(G111),G111*Parameters!$E$9,0)+IF(ISNUMBER(H111),H111*Parameters!$E$10,0)+IF(ISNUMBER(I111),I111*Parameters!$E$11,0)+IF(ISNUMBER(J111),J111*Parameters!$E$12,0)</f>
        <v>0.945</v>
      </c>
      <c r="P111" s="32" t="n">
        <f aca="false">COUNT(D111:J111)</f>
        <v>7</v>
      </c>
      <c r="Q111" s="32" t="n">
        <f aca="false">(COUNT(D111:E111)&gt;0)+(COUNT(F111:H111)&gt;0)+(COUNT(I111:J111)&gt;0)</f>
        <v>3</v>
      </c>
      <c r="R111" s="32" t="str">
        <f aca="false">IF(AND(N111&gt;=Parameters!$C$56,Q111&gt;=Parameters!$C$59),"Yes","No")</f>
        <v>Yes</v>
      </c>
      <c r="S111" s="33" t="n">
        <f aca="false">IF(R111="Yes",O111/N111*100,"NA")</f>
        <v>94.5</v>
      </c>
      <c r="T111" s="29" t="n">
        <f aca="false">IF(R111="Yes",O111/Parameters!$E$13*100,"NA")</f>
        <v>94.5</v>
      </c>
      <c r="U111" s="29" t="n">
        <f aca="false">IF(R111="Yes",(O111+(Parameters!$E$13-N111))/Parameters!$E$13*100,"NA")</f>
        <v>94.5</v>
      </c>
      <c r="V111" s="34" t="str">
        <f aca="false">IF(R111&lt;&gt;"Yes","Not scored",IF(N111&gt;=Parameters!$C$60,"Reportable","Provisional"))</f>
        <v>Reportable</v>
      </c>
      <c r="W111" s="32" t="n">
        <f aca="false">IF(ISNUMBER(S111),RANK(S111,$S$2:$S$113,0),"NA")</f>
        <v>12</v>
      </c>
      <c r="X111" s="32" t="str">
        <f aca="false">IF(N111&gt;=Parameters!$C$60,"High",IF(N111&gt;=Parameters!$C$56,"Medium","Low"))</f>
        <v>High</v>
      </c>
      <c r="Y111" s="32" t="n">
        <f aca="false">Calc!T111</f>
        <v>0</v>
      </c>
      <c r="Z111" s="35" t="n">
        <f aca="false">IF(V111="Reportable",S111-ROW()*0.000000001,"")</f>
        <v>94.499999889</v>
      </c>
      <c r="AA111" s="35" t="n">
        <f aca="false">IF(ISNUMBER(Z111),RANK(Z111,$Z$2:$Z$113,0),"NA")</f>
        <v>4</v>
      </c>
    </row>
    <row r="112" customFormat="false" ht="15" hidden="false" customHeight="true" outlineLevel="0" collapsed="false">
      <c r="A112" s="15" t="str">
        <f aca="false">Data!$A112</f>
        <v>Zenodo</v>
      </c>
      <c r="B112" s="15" t="str">
        <f aca="false">Data!$B112</f>
        <v>CERN</v>
      </c>
      <c r="C112" s="15" t="str">
        <f aca="false">Data!$E112</f>
        <v>Repository service</v>
      </c>
      <c r="D112" s="28" t="n">
        <f aca="false">IF(Verification!C112="",Calc!B112,Verification!C112)</f>
        <v>0</v>
      </c>
      <c r="E112" s="28" t="str">
        <f aca="false">IF(Verification!D112="",Calc!D112,Verification!D112)</f>
        <v>NA</v>
      </c>
      <c r="F112" s="28" t="n">
        <f aca="false">IF(Verification!E112="",Calc!G112,Verification!E112)</f>
        <v>0.666666666666667</v>
      </c>
      <c r="G112" s="28" t="n">
        <f aca="false">IF(Verification!F112="",Calc!I112,Verification!F112)</f>
        <v>0.5</v>
      </c>
      <c r="H112" s="28" t="n">
        <f aca="false">IF(Verification!G112="",Calc!E112,Verification!G112)</f>
        <v>1</v>
      </c>
      <c r="I112" s="28" t="n">
        <f aca="false">IF(Verification!H112="",Calc!J112,Verification!H112)</f>
        <v>1</v>
      </c>
      <c r="J112" s="28" t="n">
        <f aca="false">IF(Verification!I112="",Calc!K112,Verification!I112)</f>
        <v>0.5</v>
      </c>
      <c r="K112" s="29" t="n">
        <f aca="false">IF(COUNT(D112:E112)=0,"NA",(IF(ISNUMBER(D112),D112*Parameters!$E$6,0)+IF(ISNUMBER(E112),E112*Parameters!$E$7,0))/(IF(ISNUMBER(D112),Parameters!$E$6,0)+IF(ISNUMBER(E112),Parameters!$E$7,0))*100)</f>
        <v>0</v>
      </c>
      <c r="L112" s="29" t="n">
        <f aca="false">IF(COUNT(F112:H112)=0,"NA",(IF(ISNUMBER(F112),F112*Parameters!$E$8,0)+IF(ISNUMBER(G112),G112*Parameters!$E$9,0)+IF(ISNUMBER(H112),H112*Parameters!$E$10,0))/(IF(ISNUMBER(F112),Parameters!$E$8,0)+IF(ISNUMBER(G112),Parameters!$E$9,0)+IF(ISNUMBER(H112),Parameters!$E$10,0))*100)</f>
        <v>65.7142857142857</v>
      </c>
      <c r="M112" s="29" t="n">
        <f aca="false">IF(COUNT(I112:J112)=0,"NA",(IF(ISNUMBER(I112),I112*Parameters!$E$11,0)+IF(ISNUMBER(J112),J112*Parameters!$E$12,0))/(IF(ISNUMBER(I112),Parameters!$E$11,0)+IF(ISNUMBER(J112),Parameters!$E$12,0))*100)</f>
        <v>71.4285714285714</v>
      </c>
      <c r="N112" s="30" t="n">
        <f aca="false">IF(ISNUMBER(D112),Parameters!$E$6,0)+IF(ISNUMBER(E112),Parameters!$E$7,0)+IF(ISNUMBER(F112),Parameters!$E$8,0)+IF(ISNUMBER(G112),Parameters!$E$9,0)+IF(ISNUMBER(H112),Parameters!$E$10,0)+IF(ISNUMBER(I112),Parameters!$E$11,0)+IF(ISNUMBER(J112),Parameters!$E$12,0)</f>
        <v>0.78</v>
      </c>
      <c r="O112" s="31" t="n">
        <f aca="false">IF(ISNUMBER(D112),D112*Parameters!$E$6,0)+IF(ISNUMBER(E112),E112*Parameters!$E$7,0)+IF(ISNUMBER(F112),F112*Parameters!$E$8,0)+IF(ISNUMBER(G112),G112*Parameters!$E$9,0)+IF(ISNUMBER(H112),H112*Parameters!$E$10,0)+IF(ISNUMBER(I112),I112*Parameters!$E$11,0)+IF(ISNUMBER(J112),J112*Parameters!$E$12,0)</f>
        <v>0.48</v>
      </c>
      <c r="P112" s="32" t="n">
        <f aca="false">COUNT(D112:J112)</f>
        <v>6</v>
      </c>
      <c r="Q112" s="32" t="n">
        <f aca="false">(COUNT(D112:E112)&gt;0)+(COUNT(F112:H112)&gt;0)+(COUNT(I112:J112)&gt;0)</f>
        <v>3</v>
      </c>
      <c r="R112" s="32" t="str">
        <f aca="false">IF(AND(N112&gt;=Parameters!$C$56,Q112&gt;=Parameters!$C$59),"Yes","No")</f>
        <v>Yes</v>
      </c>
      <c r="S112" s="33" t="n">
        <f aca="false">IF(R112="Yes",O112/N112*100,"NA")</f>
        <v>61.5384615384615</v>
      </c>
      <c r="T112" s="29" t="n">
        <f aca="false">IF(R112="Yes",O112/Parameters!$E$13*100,"NA")</f>
        <v>48</v>
      </c>
      <c r="U112" s="29" t="n">
        <f aca="false">IF(R112="Yes",(O112+(Parameters!$E$13-N112))/Parameters!$E$13*100,"NA")</f>
        <v>70</v>
      </c>
      <c r="V112" s="34" t="str">
        <f aca="false">IF(R112&lt;&gt;"Yes","Not scored",IF(N112&gt;=Parameters!$C$60,"Reportable","Provisional"))</f>
        <v>Provisional</v>
      </c>
      <c r="W112" s="32" t="n">
        <f aca="false">IF(ISNUMBER(S112),RANK(S112,$S$2:$S$113,0),"NA")</f>
        <v>68</v>
      </c>
      <c r="X112" s="32" t="str">
        <f aca="false">IF(N112&gt;=Parameters!$C$60,"High",IF(N112&gt;=Parameters!$C$56,"Medium","Low"))</f>
        <v>Medium</v>
      </c>
      <c r="Y112" s="32" t="n">
        <f aca="false">Calc!T112</f>
        <v>0</v>
      </c>
      <c r="Z112" s="35" t="str">
        <f aca="false">IF(V112="Reportable",S112-ROW()*0.000000001,"")</f>
        <v/>
      </c>
      <c r="AA112" s="35" t="str">
        <f aca="false">IF(ISNUMBER(Z112),RANK(Z112,$Z$2:$Z$113,0),"NA")</f>
        <v>NA</v>
      </c>
    </row>
    <row r="113" customFormat="false" ht="15" hidden="false" customHeight="true" outlineLevel="0" collapsed="false">
      <c r="A113" s="15" t="str">
        <f aca="false">Data!$A113</f>
        <v>Zotero</v>
      </c>
      <c r="B113" s="15" t="str">
        <f aca="false">Data!$B113</f>
        <v>Digital Scholar</v>
      </c>
      <c r="C113" s="15" t="str">
        <f aca="false">Data!$E113</f>
        <v>Annotations system</v>
      </c>
      <c r="D113" s="28" t="n">
        <f aca="false">IF(Verification!C113="",Calc!B113,Verification!C113)</f>
        <v>1</v>
      </c>
      <c r="E113" s="28" t="n">
        <f aca="false">IF(Verification!D113="",Calc!D113,Verification!D113)</f>
        <v>0.5</v>
      </c>
      <c r="F113" s="28" t="n">
        <f aca="false">IF(Verification!E113="",Calc!G113,Verification!E113)</f>
        <v>0.5</v>
      </c>
      <c r="G113" s="28" t="n">
        <f aca="false">IF(Verification!F113="",Calc!I113,Verification!F113)</f>
        <v>0.5</v>
      </c>
      <c r="H113" s="28" t="n">
        <f aca="false">IF(Verification!G113="",Calc!E113,Verification!G113)</f>
        <v>1</v>
      </c>
      <c r="I113" s="28" t="n">
        <f aca="false">IF(Verification!H113="",Calc!J113,Verification!H113)</f>
        <v>1</v>
      </c>
      <c r="J113" s="28" t="n">
        <f aca="false">IF(Verification!I113="",Calc!K113,Verification!I113)</f>
        <v>0.5</v>
      </c>
      <c r="K113" s="29" t="n">
        <f aca="false">IF(COUNT(D113:E113)=0,"NA",(IF(ISNUMBER(D113),D113*Parameters!$E$6,0)+IF(ISNUMBER(E113),E113*Parameters!$E$7,0))/(IF(ISNUMBER(D113),Parameters!$E$6,0)+IF(ISNUMBER(E113),Parameters!$E$7,0))*100)</f>
        <v>63.3333333333333</v>
      </c>
      <c r="L113" s="29" t="n">
        <f aca="false">IF(COUNT(F113:H113)=0,"NA",(IF(ISNUMBER(F113),F113*Parameters!$E$8,0)+IF(ISNUMBER(G113),G113*Parameters!$E$9,0)+IF(ISNUMBER(H113),H113*Parameters!$E$10,0))/(IF(ISNUMBER(F113),Parameters!$E$8,0)+IF(ISNUMBER(G113),Parameters!$E$9,0)+IF(ISNUMBER(H113),Parameters!$E$10,0))*100)</f>
        <v>57.1428571428572</v>
      </c>
      <c r="M113" s="29" t="n">
        <f aca="false">IF(COUNT(I113:J113)=0,"NA",(IF(ISNUMBER(I113),I113*Parameters!$E$11,0)+IF(ISNUMBER(J113),J113*Parameters!$E$12,0))/(IF(ISNUMBER(I113),Parameters!$E$11,0)+IF(ISNUMBER(J113),Parameters!$E$12,0))*100)</f>
        <v>71.4285714285714</v>
      </c>
      <c r="N113" s="30" t="n">
        <f aca="false">IF(ISNUMBER(D113),Parameters!$E$6,0)+IF(ISNUMBER(E113),Parameters!$E$7,0)+IF(ISNUMBER(F113),Parameters!$E$8,0)+IF(ISNUMBER(G113),Parameters!$E$9,0)+IF(ISNUMBER(H113),Parameters!$E$10,0)+IF(ISNUMBER(I113),Parameters!$E$11,0)+IF(ISNUMBER(J113),Parameters!$E$12,0)</f>
        <v>1</v>
      </c>
      <c r="O113" s="31" t="n">
        <f aca="false">IF(ISNUMBER(D113),D113*Parameters!$E$6,0)+IF(ISNUMBER(E113),E113*Parameters!$E$7,0)+IF(ISNUMBER(F113),F113*Parameters!$E$8,0)+IF(ISNUMBER(G113),G113*Parameters!$E$9,0)+IF(ISNUMBER(H113),H113*Parameters!$E$10,0)+IF(ISNUMBER(I113),I113*Parameters!$E$11,0)+IF(ISNUMBER(J113),J113*Parameters!$E$12,0)</f>
        <v>0.64</v>
      </c>
      <c r="P113" s="32" t="n">
        <f aca="false">COUNT(D113:J113)</f>
        <v>7</v>
      </c>
      <c r="Q113" s="32" t="n">
        <f aca="false">(COUNT(D113:E113)&gt;0)+(COUNT(F113:H113)&gt;0)+(COUNT(I113:J113)&gt;0)</f>
        <v>3</v>
      </c>
      <c r="R113" s="32" t="str">
        <f aca="false">IF(AND(N113&gt;=Parameters!$C$56,Q113&gt;=Parameters!$C$59),"Yes","No")</f>
        <v>Yes</v>
      </c>
      <c r="S113" s="33" t="n">
        <f aca="false">IF(R113="Yes",O113/N113*100,"NA")</f>
        <v>64</v>
      </c>
      <c r="T113" s="29" t="n">
        <f aca="false">IF(R113="Yes",O113/Parameters!$E$13*100,"NA")</f>
        <v>64</v>
      </c>
      <c r="U113" s="29" t="n">
        <f aca="false">IF(R113="Yes",(O113+(Parameters!$E$13-N113))/Parameters!$E$13*100,"NA")</f>
        <v>64</v>
      </c>
      <c r="V113" s="34" t="str">
        <f aca="false">IF(R113&lt;&gt;"Yes","Not scored",IF(N113&gt;=Parameters!$C$60,"Reportable","Provisional"))</f>
        <v>Reportable</v>
      </c>
      <c r="W113" s="32" t="n">
        <f aca="false">IF(ISNUMBER(S113),RANK(S113,$S$2:$S$113,0),"NA")</f>
        <v>63</v>
      </c>
      <c r="X113" s="32" t="str">
        <f aca="false">IF(N113&gt;=Parameters!$C$60,"High",IF(N113&gt;=Parameters!$C$56,"Medium","Low"))</f>
        <v>High</v>
      </c>
      <c r="Y113" s="32" t="n">
        <f aca="false">Calc!T113</f>
        <v>0</v>
      </c>
      <c r="Z113" s="35" t="n">
        <f aca="false">IF(V113="Reportable",S113-ROW()*0.000000001,"")</f>
        <v>63.999999887</v>
      </c>
      <c r="AA113" s="35" t="n">
        <f aca="false">IF(ISNUMBER(Z113),RANK(Z113,$Z$2:$Z$113,0),"NA")</f>
        <v>37</v>
      </c>
    </row>
  </sheetData>
  <autoFilter ref="A1:AA113"/>
  <conditionalFormatting sqref="V2:V113">
    <cfRule type="cellIs" priority="2" operator="equal" aboveAverage="0" equalAverage="0" bottom="0" percent="0" rank="0" text="" dxfId="85">
      <formula>"Provisional"</formula>
    </cfRule>
    <cfRule type="cellIs" priority="3" operator="equal" aboveAverage="0" equalAverage="0" bottom="0" percent="0" rank="0" text="" dxfId="86">
      <formula>"Reportable"</formula>
    </cfRule>
  </conditionalFormatting>
  <conditionalFormatting sqref="S2:S113">
    <cfRule type="colorScale" priority="4">
      <colorScale>
        <cfvo type="num" val="0"/>
        <cfvo type="num" val="60"/>
        <cfvo type="num" val="100"/>
        <color rgb="FFF8696B"/>
        <color rgb="FFFFEB84"/>
        <color rgb="FF63BE7B"/>
      </colorScale>
    </cfRule>
  </conditionalFormatting>
  <conditionalFormatting sqref="D2:J113">
    <cfRule type="colorScale" priority="5">
      <colorScale>
        <cfvo type="num" val="0"/>
        <cfvo type="num" val="1"/>
        <color rgb="FFF8CBAD"/>
        <color rgb="FFC6E0B4"/>
      </colorScale>
    </cfRule>
    <cfRule type="expression" priority="6" aboveAverage="0" equalAverage="0" bottom="0" percent="0" rank="0" text="" dxfId="87">
      <formula>NOT(ISNUMBER(D2))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N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6"/>
    <col collapsed="false" customWidth="true" hidden="false" outlineLevel="0" max="9" min="3" style="1" width="13"/>
    <col collapsed="false" customWidth="true" hidden="false" outlineLevel="0" max="10" min="10" style="1" width="16"/>
    <col collapsed="false" customWidth="true" hidden="false" outlineLevel="0" max="11" min="11" style="1" width="13"/>
    <col collapsed="false" customWidth="true" hidden="false" outlineLevel="0" max="12" min="12" style="1" width="45"/>
    <col collapsed="false" customWidth="true" hidden="false" outlineLevel="0" max="13" min="13" style="1" width="11"/>
    <col collapsed="false" customWidth="true" hidden="false" outlineLevel="0" max="14" min="14" style="1" width="80"/>
  </cols>
  <sheetData>
    <row r="1" customFormat="false" ht="45" hidden="false" customHeight="true" outlineLevel="0" collapsed="false">
      <c r="A1" s="7" t="s">
        <v>236</v>
      </c>
      <c r="B1" s="7" t="s">
        <v>256</v>
      </c>
      <c r="C1" s="7" t="s">
        <v>257</v>
      </c>
      <c r="D1" s="7" t="s">
        <v>258</v>
      </c>
      <c r="E1" s="7" t="s">
        <v>259</v>
      </c>
      <c r="F1" s="7" t="s">
        <v>260</v>
      </c>
      <c r="G1" s="7" t="s">
        <v>261</v>
      </c>
      <c r="H1" s="7" t="s">
        <v>262</v>
      </c>
      <c r="I1" s="7" t="s">
        <v>263</v>
      </c>
      <c r="J1" s="7" t="s">
        <v>264</v>
      </c>
      <c r="K1" s="7" t="s">
        <v>265</v>
      </c>
      <c r="L1" s="7" t="s">
        <v>266</v>
      </c>
      <c r="M1" s="7" t="s">
        <v>267</v>
      </c>
      <c r="N1" s="7" t="s">
        <v>268</v>
      </c>
    </row>
    <row r="2" customFormat="false" ht="15" hidden="false" customHeight="true" outlineLevel="0" collapsed="false">
      <c r="A2" s="15" t="str">
        <f aca="false">Data!$A2</f>
        <v>2i2c</v>
      </c>
      <c r="B2" s="36" t="s">
        <v>269</v>
      </c>
      <c r="C2" s="37"/>
      <c r="D2" s="37"/>
      <c r="E2" s="37"/>
      <c r="F2" s="37"/>
      <c r="G2" s="37"/>
      <c r="H2" s="37"/>
      <c r="I2" s="37"/>
      <c r="J2" s="36"/>
      <c r="K2" s="38"/>
      <c r="L2" s="36"/>
      <c r="M2" s="34" t="n">
        <f aca="false">Calc!T2</f>
        <v>1</v>
      </c>
      <c r="N2" s="15" t="str">
        <f aca="false">TRIM(IF(Calc!L2=1,"Engagement listed but 037 says Considering or lower; ","")&amp;IF(Calc!M2=1,"CoC URL but status not Implemented; ","")&amp;IF(Calc!N2=1,"Formal governance has no URL; ","")&amp;IF(Calc!O2=1,"Governance blank but URL given; ","")&amp;IF(Calc!P2=1,"Text/URL given but no engagement category coded (read manually); ","")&amp;IF(Calc!Q2=1,"Check 041 URL; ","")&amp;IF(Calc!R2=1,"039 says Considering/Not planning but contribution evidence exists; ","")&amp;IF(Calc!S2=1,"No repo URL (manual check); ",""))</f>
        <v>Text/URL given but no engagement category coded (read manually);</v>
      </c>
    </row>
    <row r="3" customFormat="false" ht="15" hidden="false" customHeight="true" outlineLevel="0" collapsed="false">
      <c r="A3" s="15" t="str">
        <f aca="false">Data!$A3</f>
        <v>Academic Preservation Trust (APTrust)</v>
      </c>
      <c r="B3" s="36" t="s">
        <v>269</v>
      </c>
      <c r="C3" s="37"/>
      <c r="D3" s="37"/>
      <c r="E3" s="37"/>
      <c r="F3" s="37"/>
      <c r="G3" s="37"/>
      <c r="H3" s="37"/>
      <c r="I3" s="37"/>
      <c r="J3" s="36"/>
      <c r="K3" s="38"/>
      <c r="L3" s="36"/>
      <c r="M3" s="34" t="n">
        <f aca="false">Calc!T3</f>
        <v>0</v>
      </c>
      <c r="N3" s="15" t="str">
        <f aca="false">TRIM(IF(Calc!L3=1,"Engagement listed but 037 says Considering or lower; ","")&amp;IF(Calc!M3=1,"CoC URL but status not Implemented; ","")&amp;IF(Calc!N3=1,"Formal governance has no URL; ","")&amp;IF(Calc!O3=1,"Governance blank but URL given; ","")&amp;IF(Calc!P3=1,"Text/URL given but no engagement category coded (read manually); ","")&amp;IF(Calc!Q3=1,"Check 041 URL; ","")&amp;IF(Calc!R3=1,"039 says Considering/Not planning but contribution evidence exists; ","")&amp;IF(Calc!S3=1,"No repo URL (manual check); ",""))</f>
        <v/>
      </c>
    </row>
    <row r="4" customFormat="false" ht="15" hidden="false" customHeight="true" outlineLevel="0" collapsed="false">
      <c r="A4" s="15" t="str">
        <f aca="false">Data!$A4</f>
        <v>AfricArXiv</v>
      </c>
      <c r="B4" s="36" t="s">
        <v>269</v>
      </c>
      <c r="C4" s="37"/>
      <c r="D4" s="37"/>
      <c r="E4" s="37"/>
      <c r="F4" s="37"/>
      <c r="G4" s="37"/>
      <c r="H4" s="37"/>
      <c r="I4" s="37"/>
      <c r="J4" s="36"/>
      <c r="K4" s="38"/>
      <c r="L4" s="36"/>
      <c r="M4" s="34" t="n">
        <f aca="false">Calc!T4</f>
        <v>1</v>
      </c>
      <c r="N4" s="15" t="str">
        <f aca="false">TRIM(IF(Calc!L4=1,"Engagement listed but 037 says Considering or lower; ","")&amp;IF(Calc!M4=1,"CoC URL but status not Implemented; ","")&amp;IF(Calc!N4=1,"Formal governance has no URL; ","")&amp;IF(Calc!O4=1,"Governance blank but URL given; ","")&amp;IF(Calc!P4=1,"Text/URL given but no engagement category coded (read manually); ","")&amp;IF(Calc!Q4=1,"Check 041 URL; ","")&amp;IF(Calc!R4=1,"039 says Considering/Not planning but contribution evidence exists; ","")&amp;IF(Calc!S4=1,"No repo URL (manual check); ",""))</f>
        <v>No repo URL (manual check);</v>
      </c>
    </row>
    <row r="5" customFormat="false" ht="15" hidden="false" customHeight="true" outlineLevel="0" collapsed="false">
      <c r="A5" s="15" t="str">
        <f aca="false">Data!$A5</f>
        <v>Arches Heritage Data Management Platform</v>
      </c>
      <c r="B5" s="36" t="s">
        <v>269</v>
      </c>
      <c r="C5" s="37"/>
      <c r="D5" s="37"/>
      <c r="E5" s="37"/>
      <c r="F5" s="37"/>
      <c r="G5" s="37"/>
      <c r="H5" s="37"/>
      <c r="I5" s="37"/>
      <c r="J5" s="36"/>
      <c r="K5" s="38"/>
      <c r="L5" s="36"/>
      <c r="M5" s="34" t="n">
        <f aca="false">Calc!T5</f>
        <v>1</v>
      </c>
      <c r="N5" s="15" t="str">
        <f aca="false">TRIM(IF(Calc!L5=1,"Engagement listed but 037 says Considering or lower; ","")&amp;IF(Calc!M5=1,"CoC URL but status not Implemented; ","")&amp;IF(Calc!N5=1,"Formal governance has no URL; ","")&amp;IF(Calc!O5=1,"Governance blank but URL given; ","")&amp;IF(Calc!P5=1,"Text/URL given but no engagement category coded (read manually); ","")&amp;IF(Calc!Q5=1,"Check 041 URL; ","")&amp;IF(Calc!R5=1,"039 says Considering/Not planning but contribution evidence exists; ","")&amp;IF(Calc!S5=1,"No repo URL (manual check); ",""))</f>
        <v>Text/URL given but no engagement category coded (read manually);</v>
      </c>
    </row>
    <row r="6" customFormat="false" ht="15" hidden="false" customHeight="true" outlineLevel="0" collapsed="false">
      <c r="A6" s="15" t="str">
        <f aca="false">Data!$A6</f>
        <v>Archipelago Commons</v>
      </c>
      <c r="B6" s="36" t="s">
        <v>269</v>
      </c>
      <c r="C6" s="37"/>
      <c r="D6" s="37"/>
      <c r="E6" s="37"/>
      <c r="F6" s="37"/>
      <c r="G6" s="37"/>
      <c r="H6" s="37"/>
      <c r="I6" s="37"/>
      <c r="J6" s="36"/>
      <c r="K6" s="38"/>
      <c r="L6" s="36"/>
      <c r="M6" s="34" t="n">
        <f aca="false">Calc!T6</f>
        <v>0</v>
      </c>
      <c r="N6" s="15" t="str">
        <f aca="false">TRIM(IF(Calc!L6=1,"Engagement listed but 037 says Considering or lower; ","")&amp;IF(Calc!M6=1,"CoC URL but status not Implemented; ","")&amp;IF(Calc!N6=1,"Formal governance has no URL; ","")&amp;IF(Calc!O6=1,"Governance blank but URL given; ","")&amp;IF(Calc!P6=1,"Text/URL given but no engagement category coded (read manually); ","")&amp;IF(Calc!Q6=1,"Check 041 URL; ","")&amp;IF(Calc!R6=1,"039 says Considering/Not planning but contribution evidence exists; ","")&amp;IF(Calc!S6=1,"No repo URL (manual check); ",""))</f>
        <v/>
      </c>
    </row>
    <row r="7" customFormat="false" ht="15" hidden="false" customHeight="true" outlineLevel="0" collapsed="false">
      <c r="A7" s="15" t="str">
        <f aca="false">Data!$A7</f>
        <v>Archival Resource Key</v>
      </c>
      <c r="B7" s="36" t="s">
        <v>269</v>
      </c>
      <c r="C7" s="37"/>
      <c r="D7" s="37"/>
      <c r="E7" s="37"/>
      <c r="F7" s="37"/>
      <c r="G7" s="37"/>
      <c r="H7" s="37"/>
      <c r="I7" s="37"/>
      <c r="J7" s="36"/>
      <c r="K7" s="38"/>
      <c r="L7" s="36"/>
      <c r="M7" s="34" t="n">
        <f aca="false">Calc!T7</f>
        <v>1</v>
      </c>
      <c r="N7" s="15" t="str">
        <f aca="false">TRIM(IF(Calc!L7=1,"Engagement listed but 037 says Considering or lower; ","")&amp;IF(Calc!M7=1,"CoC URL but status not Implemented; ","")&amp;IF(Calc!N7=1,"Formal governance has no URL; ","")&amp;IF(Calc!O7=1,"Governance blank but URL given; ","")&amp;IF(Calc!P7=1,"Text/URL given but no engagement category coded (read manually); ","")&amp;IF(Calc!Q7=1,"Check 041 URL; ","")&amp;IF(Calc!R7=1,"039 says Considering/Not planning but contribution evidence exists; ","")&amp;IF(Calc!S7=1,"No repo URL (manual check); ",""))</f>
        <v>Text/URL given but no engagement category coded (read manually);</v>
      </c>
    </row>
    <row r="8" customFormat="false" ht="15" hidden="false" customHeight="true" outlineLevel="0" collapsed="false">
      <c r="A8" s="15" t="str">
        <f aca="false">Data!$A8</f>
        <v>Archivematica</v>
      </c>
      <c r="B8" s="36" t="s">
        <v>269</v>
      </c>
      <c r="C8" s="37"/>
      <c r="D8" s="37"/>
      <c r="E8" s="37"/>
      <c r="F8" s="37"/>
      <c r="G8" s="37"/>
      <c r="H8" s="37"/>
      <c r="I8" s="37"/>
      <c r="J8" s="36"/>
      <c r="K8" s="38"/>
      <c r="L8" s="36"/>
      <c r="M8" s="34" t="n">
        <f aca="false">Calc!T8</f>
        <v>2</v>
      </c>
      <c r="N8" s="15" t="str">
        <f aca="false">TRIM(IF(Calc!L8=1,"Engagement listed but 037 says Considering or lower; ","")&amp;IF(Calc!M8=1,"CoC URL but status not Implemented; ","")&amp;IF(Calc!N8=1,"Formal governance has no URL; ","")&amp;IF(Calc!O8=1,"Governance blank but URL given; ","")&amp;IF(Calc!P8=1,"Text/URL given but no engagement category coded (read manually); ","")&amp;IF(Calc!Q8=1,"Check 041 URL; ","")&amp;IF(Calc!R8=1,"039 says Considering/Not planning but contribution evidence exists; ","")&amp;IF(Calc!S8=1,"No repo URL (manual check); ",""))</f>
        <v>CoC URL but status not Implemented; Text/URL given but no engagement category coded (read manually);</v>
      </c>
    </row>
    <row r="9" customFormat="false" ht="15" hidden="false" customHeight="true" outlineLevel="0" collapsed="false">
      <c r="A9" s="15" t="str">
        <f aca="false">Data!$A9</f>
        <v>ArchivesSpace</v>
      </c>
      <c r="B9" s="36" t="s">
        <v>269</v>
      </c>
      <c r="C9" s="37"/>
      <c r="D9" s="37"/>
      <c r="E9" s="37"/>
      <c r="F9" s="37"/>
      <c r="G9" s="37"/>
      <c r="H9" s="37"/>
      <c r="I9" s="37"/>
      <c r="J9" s="36"/>
      <c r="K9" s="38"/>
      <c r="L9" s="36"/>
      <c r="M9" s="34" t="n">
        <f aca="false">Calc!T9</f>
        <v>0</v>
      </c>
      <c r="N9" s="15" t="str">
        <f aca="false">TRIM(IF(Calc!L9=1,"Engagement listed but 037 says Considering or lower; ","")&amp;IF(Calc!M9=1,"CoC URL but status not Implemented; ","")&amp;IF(Calc!N9=1,"Formal governance has no URL; ","")&amp;IF(Calc!O9=1,"Governance blank but URL given; ","")&amp;IF(Calc!P9=1,"Text/URL given but no engagement category coded (read manually); ","")&amp;IF(Calc!Q9=1,"Check 041 URL; ","")&amp;IF(Calc!R9=1,"039 says Considering/Not planning but contribution evidence exists; ","")&amp;IF(Calc!S9=1,"No repo URL (manual check); ",""))</f>
        <v/>
      </c>
    </row>
    <row r="10" customFormat="false" ht="15" hidden="false" customHeight="true" outlineLevel="0" collapsed="false">
      <c r="A10" s="15" t="str">
        <f aca="false">Data!$A10</f>
        <v>ARGOS</v>
      </c>
      <c r="B10" s="36" t="s">
        <v>269</v>
      </c>
      <c r="C10" s="37"/>
      <c r="D10" s="37"/>
      <c r="E10" s="37"/>
      <c r="F10" s="37"/>
      <c r="G10" s="37"/>
      <c r="H10" s="37"/>
      <c r="I10" s="37"/>
      <c r="J10" s="36"/>
      <c r="K10" s="38"/>
      <c r="L10" s="36"/>
      <c r="M10" s="34" t="n">
        <f aca="false">Calc!T10</f>
        <v>0</v>
      </c>
      <c r="N10" s="15" t="str">
        <f aca="false">TRIM(IF(Calc!L10=1,"Engagement listed but 037 says Considering or lower; ","")&amp;IF(Calc!M10=1,"CoC URL but status not Implemented; ","")&amp;IF(Calc!N10=1,"Formal governance has no URL; ","")&amp;IF(Calc!O10=1,"Governance blank but URL given; ","")&amp;IF(Calc!P10=1,"Text/URL given but no engagement category coded (read manually); ","")&amp;IF(Calc!Q10=1,"Check 041 URL; ","")&amp;IF(Calc!R10=1,"039 says Considering/Not planning but contribution evidence exists; ","")&amp;IF(Calc!S10=1,"No repo URL (manual check); ",""))</f>
        <v/>
      </c>
    </row>
    <row r="11" customFormat="false" ht="15" hidden="false" customHeight="true" outlineLevel="0" collapsed="false">
      <c r="A11" s="15" t="str">
        <f aca="false">Data!$A11</f>
        <v>arXiv</v>
      </c>
      <c r="B11" s="36" t="s">
        <v>269</v>
      </c>
      <c r="C11" s="37"/>
      <c r="D11" s="37"/>
      <c r="E11" s="37"/>
      <c r="F11" s="37"/>
      <c r="G11" s="37"/>
      <c r="H11" s="37"/>
      <c r="I11" s="37"/>
      <c r="J11" s="36"/>
      <c r="K11" s="38"/>
      <c r="L11" s="36"/>
      <c r="M11" s="34" t="n">
        <f aca="false">Calc!T11</f>
        <v>0</v>
      </c>
      <c r="N11" s="15" t="str">
        <f aca="false">TRIM(IF(Calc!L11=1,"Engagement listed but 037 says Considering or lower; ","")&amp;IF(Calc!M11=1,"CoC URL but status not Implemented; ","")&amp;IF(Calc!N11=1,"Formal governance has no URL; ","")&amp;IF(Calc!O11=1,"Governance blank but URL given; ","")&amp;IF(Calc!P11=1,"Text/URL given but no engagement category coded (read manually); ","")&amp;IF(Calc!Q11=1,"Check 041 URL; ","")&amp;IF(Calc!R11=1,"039 says Considering/Not planning but contribution evidence exists; ","")&amp;IF(Calc!S11=1,"No repo URL (manual check); ",""))</f>
        <v/>
      </c>
    </row>
    <row r="12" customFormat="false" ht="15" hidden="false" customHeight="true" outlineLevel="0" collapsed="false">
      <c r="A12" s="15" t="str">
        <f aca="false">Data!$A12</f>
        <v>AtoM</v>
      </c>
      <c r="B12" s="36" t="s">
        <v>269</v>
      </c>
      <c r="C12" s="37"/>
      <c r="D12" s="37"/>
      <c r="E12" s="37"/>
      <c r="F12" s="37"/>
      <c r="G12" s="37"/>
      <c r="H12" s="37"/>
      <c r="I12" s="37"/>
      <c r="J12" s="36"/>
      <c r="K12" s="38"/>
      <c r="L12" s="36"/>
      <c r="M12" s="34" t="n">
        <f aca="false">Calc!T12</f>
        <v>2</v>
      </c>
      <c r="N12" s="15" t="str">
        <f aca="false">TRIM(IF(Calc!L12=1,"Engagement listed but 037 says Considering or lower; ","")&amp;IF(Calc!M12=1,"CoC URL but status not Implemented; ","")&amp;IF(Calc!N12=1,"Formal governance has no URL; ","")&amp;IF(Calc!O12=1,"Governance blank but URL given; ","")&amp;IF(Calc!P12=1,"Text/URL given but no engagement category coded (read manually); ","")&amp;IF(Calc!Q12=1,"Check 041 URL; ","")&amp;IF(Calc!R12=1,"039 says Considering/Not planning but contribution evidence exists; ","")&amp;IF(Calc!S12=1,"No repo URL (manual check); ",""))</f>
        <v>CoC URL but status not Implemented; Check 041 URL;</v>
      </c>
    </row>
    <row r="13" customFormat="false" ht="15" hidden="false" customHeight="true" outlineLevel="0" collapsed="false">
      <c r="A13" s="15" t="str">
        <f aca="false">Data!$A13</f>
        <v>Avalon Media System</v>
      </c>
      <c r="B13" s="36" t="s">
        <v>269</v>
      </c>
      <c r="C13" s="37"/>
      <c r="D13" s="37"/>
      <c r="E13" s="37"/>
      <c r="F13" s="37"/>
      <c r="G13" s="37"/>
      <c r="H13" s="37"/>
      <c r="I13" s="37"/>
      <c r="J13" s="36"/>
      <c r="K13" s="38"/>
      <c r="L13" s="36"/>
      <c r="M13" s="34" t="n">
        <f aca="false">Calc!T13</f>
        <v>0</v>
      </c>
      <c r="N13" s="15" t="str">
        <f aca="false">TRIM(IF(Calc!L13=1,"Engagement listed but 037 says Considering or lower; ","")&amp;IF(Calc!M13=1,"CoC URL but status not Implemented; ","")&amp;IF(Calc!N13=1,"Formal governance has no URL; ","")&amp;IF(Calc!O13=1,"Governance blank but URL given; ","")&amp;IF(Calc!P13=1,"Text/URL given but no engagement category coded (read manually); ","")&amp;IF(Calc!Q13=1,"Check 041 URL; ","")&amp;IF(Calc!R13=1,"039 says Considering/Not planning but contribution evidence exists; ","")&amp;IF(Calc!S13=1,"No repo URL (manual check); ",""))</f>
        <v/>
      </c>
    </row>
    <row r="14" customFormat="false" ht="15" hidden="false" customHeight="true" outlineLevel="0" collapsed="false">
      <c r="A14" s="15" t="str">
        <f aca="false">Data!$A14</f>
        <v>Biodiversity Heritage Library</v>
      </c>
      <c r="B14" s="36" t="s">
        <v>269</v>
      </c>
      <c r="C14" s="37"/>
      <c r="D14" s="37"/>
      <c r="E14" s="37"/>
      <c r="F14" s="37"/>
      <c r="G14" s="37"/>
      <c r="H14" s="37"/>
      <c r="I14" s="37"/>
      <c r="J14" s="36"/>
      <c r="K14" s="38"/>
      <c r="L14" s="36"/>
      <c r="M14" s="34" t="n">
        <f aca="false">Calc!T14</f>
        <v>0</v>
      </c>
      <c r="N14" s="15" t="str">
        <f aca="false">TRIM(IF(Calc!L14=1,"Engagement listed but 037 says Considering or lower; ","")&amp;IF(Calc!M14=1,"CoC URL but status not Implemented; ","")&amp;IF(Calc!N14=1,"Formal governance has no URL; ","")&amp;IF(Calc!O14=1,"Governance blank but URL given; ","")&amp;IF(Calc!P14=1,"Text/URL given but no engagement category coded (read manually); ","")&amp;IF(Calc!Q14=1,"Check 041 URL; ","")&amp;IF(Calc!R14=1,"039 says Considering/Not planning but contribution evidence exists; ","")&amp;IF(Calc!S14=1,"No repo URL (manual check); ",""))</f>
        <v/>
      </c>
    </row>
    <row r="15" customFormat="false" ht="15" hidden="false" customHeight="true" outlineLevel="0" collapsed="false">
      <c r="A15" s="15" t="str">
        <f aca="false">Data!$A15</f>
        <v>bioRxiv</v>
      </c>
      <c r="B15" s="36" t="s">
        <v>269</v>
      </c>
      <c r="C15" s="37"/>
      <c r="D15" s="37"/>
      <c r="E15" s="37"/>
      <c r="F15" s="37"/>
      <c r="G15" s="37"/>
      <c r="H15" s="37"/>
      <c r="I15" s="37"/>
      <c r="J15" s="36"/>
      <c r="K15" s="38"/>
      <c r="L15" s="36"/>
      <c r="M15" s="34" t="n">
        <f aca="false">Calc!T15</f>
        <v>2</v>
      </c>
      <c r="N15" s="15" t="str">
        <f aca="false">TRIM(IF(Calc!L15=1,"Engagement listed but 037 says Considering or lower; ","")&amp;IF(Calc!M15=1,"CoC URL but status not Implemented; ","")&amp;IF(Calc!N15=1,"Formal governance has no URL; ","")&amp;IF(Calc!O15=1,"Governance blank but URL given; ","")&amp;IF(Calc!P15=1,"Text/URL given but no engagement category coded (read manually); ","")&amp;IF(Calc!Q15=1,"Check 041 URL; ","")&amp;IF(Calc!R15=1,"039 says Considering/Not planning but contribution evidence exists; ","")&amp;IF(Calc!S15=1,"No repo URL (manual check); ",""))</f>
        <v>Text/URL given but no engagement category coded (read manually); No repo URL (manual check);</v>
      </c>
    </row>
    <row r="16" customFormat="false" ht="15" hidden="false" customHeight="true" outlineLevel="0" collapsed="false">
      <c r="A16" s="15" t="str">
        <f aca="false">Data!$A16</f>
        <v>BitCurator Environment</v>
      </c>
      <c r="B16" s="36" t="s">
        <v>269</v>
      </c>
      <c r="C16" s="37"/>
      <c r="D16" s="37"/>
      <c r="E16" s="37"/>
      <c r="F16" s="37"/>
      <c r="G16" s="37"/>
      <c r="H16" s="37"/>
      <c r="I16" s="37"/>
      <c r="J16" s="36"/>
      <c r="K16" s="38"/>
      <c r="L16" s="36"/>
      <c r="M16" s="34" t="n">
        <f aca="false">Calc!T16</f>
        <v>0</v>
      </c>
      <c r="N16" s="15" t="str">
        <f aca="false">TRIM(IF(Calc!L16=1,"Engagement listed but 037 says Considering or lower; ","")&amp;IF(Calc!M16=1,"CoC URL but status not Implemented; ","")&amp;IF(Calc!N16=1,"Formal governance has no URL; ","")&amp;IF(Calc!O16=1,"Governance blank but URL given; ","")&amp;IF(Calc!P16=1,"Text/URL given but no engagement category coded (read manually); ","")&amp;IF(Calc!Q16=1,"Check 041 URL; ","")&amp;IF(Calc!R16=1,"039 says Considering/Not planning but contribution evidence exists; ","")&amp;IF(Calc!S16=1,"No repo URL (manual check); ",""))</f>
        <v/>
      </c>
    </row>
    <row r="17" customFormat="false" ht="15" hidden="false" customHeight="true" outlineLevel="0" collapsed="false">
      <c r="A17" s="15" t="str">
        <f aca="false">Data!$A17</f>
        <v>Blacklight</v>
      </c>
      <c r="B17" s="36" t="s">
        <v>269</v>
      </c>
      <c r="C17" s="37"/>
      <c r="D17" s="37"/>
      <c r="E17" s="37"/>
      <c r="F17" s="37"/>
      <c r="G17" s="37"/>
      <c r="H17" s="37"/>
      <c r="I17" s="37"/>
      <c r="J17" s="36"/>
      <c r="K17" s="38"/>
      <c r="L17" s="36"/>
      <c r="M17" s="34" t="n">
        <f aca="false">Calc!T17</f>
        <v>0</v>
      </c>
      <c r="N17" s="15" t="str">
        <f aca="false">TRIM(IF(Calc!L17=1,"Engagement listed but 037 says Considering or lower; ","")&amp;IF(Calc!M17=1,"CoC URL but status not Implemented; ","")&amp;IF(Calc!N17=1,"Formal governance has no URL; ","")&amp;IF(Calc!O17=1,"Governance blank but URL given; ","")&amp;IF(Calc!P17=1,"Text/URL given but no engagement category coded (read manually); ","")&amp;IF(Calc!Q17=1,"Check 041 URL; ","")&amp;IF(Calc!R17=1,"039 says Considering/Not planning but contribution evidence exists; ","")&amp;IF(Calc!S17=1,"No repo URL (manual check); ",""))</f>
        <v/>
      </c>
    </row>
    <row r="18" customFormat="false" ht="15" hidden="false" customHeight="true" outlineLevel="0" collapsed="false">
      <c r="A18" s="15" t="str">
        <f aca="false">Data!$A18</f>
        <v>BrCRIS</v>
      </c>
      <c r="B18" s="36" t="s">
        <v>269</v>
      </c>
      <c r="C18" s="37"/>
      <c r="D18" s="37"/>
      <c r="E18" s="37"/>
      <c r="F18" s="37"/>
      <c r="G18" s="37"/>
      <c r="H18" s="37"/>
      <c r="I18" s="37"/>
      <c r="J18" s="36"/>
      <c r="K18" s="38"/>
      <c r="L18" s="36"/>
      <c r="M18" s="34" t="n">
        <f aca="false">Calc!T18</f>
        <v>0</v>
      </c>
      <c r="N18" s="15" t="str">
        <f aca="false">TRIM(IF(Calc!L18=1,"Engagement listed but 037 says Considering or lower; ","")&amp;IF(Calc!M18=1,"CoC URL but status not Implemented; ","")&amp;IF(Calc!N18=1,"Formal governance has no URL; ","")&amp;IF(Calc!O18=1,"Governance blank but URL given; ","")&amp;IF(Calc!P18=1,"Text/URL given but no engagement category coded (read manually); ","")&amp;IF(Calc!Q18=1,"Check 041 URL; ","")&amp;IF(Calc!R18=1,"039 says Considering/Not planning but contribution evidence exists; ","")&amp;IF(Calc!S18=1,"No repo URL (manual check); ",""))</f>
        <v/>
      </c>
    </row>
    <row r="19" customFormat="false" ht="15" hidden="false" customHeight="true" outlineLevel="0" collapsed="false">
      <c r="A19" s="15" t="str">
        <f aca="false">Data!$A19</f>
        <v>Browsertrix</v>
      </c>
      <c r="B19" s="36" t="s">
        <v>269</v>
      </c>
      <c r="C19" s="37"/>
      <c r="D19" s="37"/>
      <c r="E19" s="37"/>
      <c r="F19" s="37"/>
      <c r="G19" s="37"/>
      <c r="H19" s="37"/>
      <c r="I19" s="37"/>
      <c r="J19" s="36"/>
      <c r="K19" s="38"/>
      <c r="L19" s="36"/>
      <c r="M19" s="34" t="n">
        <f aca="false">Calc!T19</f>
        <v>0</v>
      </c>
      <c r="N19" s="15" t="str">
        <f aca="false">TRIM(IF(Calc!L19=1,"Engagement listed but 037 says Considering or lower; ","")&amp;IF(Calc!M19=1,"CoC URL but status not Implemented; ","")&amp;IF(Calc!N19=1,"Formal governance has no URL; ","")&amp;IF(Calc!O19=1,"Governance blank but URL given; ","")&amp;IF(Calc!P19=1,"Text/URL given but no engagement category coded (read manually); ","")&amp;IF(Calc!Q19=1,"Check 041 URL; ","")&amp;IF(Calc!R19=1,"039 says Considering/Not planning but contribution evidence exists; ","")&amp;IF(Calc!S19=1,"No repo URL (manual check); ",""))</f>
        <v/>
      </c>
    </row>
    <row r="20" customFormat="false" ht="15" hidden="false" customHeight="true" outlineLevel="0" collapsed="false">
      <c r="A20" s="15" t="str">
        <f aca="false">Data!$A20</f>
        <v>CLOCKSS</v>
      </c>
      <c r="B20" s="36" t="s">
        <v>269</v>
      </c>
      <c r="C20" s="37"/>
      <c r="D20" s="37"/>
      <c r="E20" s="37"/>
      <c r="F20" s="37"/>
      <c r="G20" s="37"/>
      <c r="H20" s="37"/>
      <c r="I20" s="37"/>
      <c r="J20" s="36"/>
      <c r="K20" s="38"/>
      <c r="L20" s="36"/>
      <c r="M20" s="34" t="n">
        <f aca="false">Calc!T20</f>
        <v>1</v>
      </c>
      <c r="N20" s="15" t="str">
        <f aca="false">TRIM(IF(Calc!L20=1,"Engagement listed but 037 says Considering or lower; ","")&amp;IF(Calc!M20=1,"CoC URL but status not Implemented; ","")&amp;IF(Calc!N20=1,"Formal governance has no URL; ","")&amp;IF(Calc!O20=1,"Governance blank but URL given; ","")&amp;IF(Calc!P20=1,"Text/URL given but no engagement category coded (read manually); ","")&amp;IF(Calc!Q20=1,"Check 041 URL; ","")&amp;IF(Calc!R20=1,"039 says Considering/Not planning but contribution evidence exists; ","")&amp;IF(Calc!S20=1,"No repo URL (manual check); ",""))</f>
        <v>Text/URL given but no engagement category coded (read manually);</v>
      </c>
    </row>
    <row r="21" customFormat="false" ht="15" hidden="false" customHeight="true" outlineLevel="0" collapsed="false">
      <c r="A21" s="15" t="str">
        <f aca="false">Data!$A21</f>
        <v>COAR International Repository Directory (IRD)</v>
      </c>
      <c r="B21" s="36" t="s">
        <v>269</v>
      </c>
      <c r="C21" s="37"/>
      <c r="D21" s="37"/>
      <c r="E21" s="37"/>
      <c r="F21" s="37"/>
      <c r="G21" s="37"/>
      <c r="H21" s="37"/>
      <c r="I21" s="37"/>
      <c r="J21" s="36"/>
      <c r="K21" s="38"/>
      <c r="L21" s="36"/>
      <c r="M21" s="34" t="n">
        <f aca="false">Calc!T21</f>
        <v>0</v>
      </c>
      <c r="N21" s="15" t="str">
        <f aca="false">TRIM(IF(Calc!L21=1,"Engagement listed but 037 says Considering or lower; ","")&amp;IF(Calc!M21=1,"CoC URL but status not Implemented; ","")&amp;IF(Calc!N21=1,"Formal governance has no URL; ","")&amp;IF(Calc!O21=1,"Governance blank but URL given; ","")&amp;IF(Calc!P21=1,"Text/URL given but no engagement category coded (read manually); ","")&amp;IF(Calc!Q21=1,"Check 041 URL; ","")&amp;IF(Calc!R21=1,"039 says Considering/Not planning but contribution evidence exists; ","")&amp;IF(Calc!S21=1,"No repo URL (manual check); ",""))</f>
        <v/>
      </c>
    </row>
    <row r="22" customFormat="false" ht="15" hidden="false" customHeight="true" outlineLevel="0" collapsed="false">
      <c r="A22" s="15" t="str">
        <f aca="false">Data!$A22</f>
        <v>COAR Notify</v>
      </c>
      <c r="B22" s="36" t="s">
        <v>269</v>
      </c>
      <c r="C22" s="37"/>
      <c r="D22" s="37"/>
      <c r="E22" s="37"/>
      <c r="F22" s="37"/>
      <c r="G22" s="37"/>
      <c r="H22" s="37"/>
      <c r="I22" s="37"/>
      <c r="J22" s="36"/>
      <c r="K22" s="38"/>
      <c r="L22" s="36"/>
      <c r="M22" s="34" t="n">
        <f aca="false">Calc!T22</f>
        <v>0</v>
      </c>
      <c r="N22" s="15" t="str">
        <f aca="false">TRIM(IF(Calc!L22=1,"Engagement listed but 037 says Considering or lower; ","")&amp;IF(Calc!M22=1,"CoC URL but status not Implemented; ","")&amp;IF(Calc!N22=1,"Formal governance has no URL; ","")&amp;IF(Calc!O22=1,"Governance blank but URL given; ","")&amp;IF(Calc!P22=1,"Text/URL given but no engagement category coded (read manually); ","")&amp;IF(Calc!Q22=1,"Check 041 URL; ","")&amp;IF(Calc!R22=1,"039 says Considering/Not planning but contribution evidence exists; ","")&amp;IF(Calc!S22=1,"No repo URL (manual check); ",""))</f>
        <v/>
      </c>
    </row>
    <row r="23" customFormat="false" ht="15" hidden="false" customHeight="true" outlineLevel="0" collapsed="false">
      <c r="A23" s="15" t="str">
        <f aca="false">Data!$A23</f>
        <v>CollectiveAccess</v>
      </c>
      <c r="B23" s="36" t="s">
        <v>269</v>
      </c>
      <c r="C23" s="37"/>
      <c r="D23" s="37"/>
      <c r="E23" s="37"/>
      <c r="F23" s="37"/>
      <c r="G23" s="37"/>
      <c r="H23" s="37"/>
      <c r="I23" s="37"/>
      <c r="J23" s="36"/>
      <c r="K23" s="38"/>
      <c r="L23" s="36"/>
      <c r="M23" s="34" t="n">
        <f aca="false">Calc!T23</f>
        <v>2</v>
      </c>
      <c r="N23" s="15" t="str">
        <f aca="false">TRIM(IF(Calc!L23=1,"Engagement listed but 037 says Considering or lower; ","")&amp;IF(Calc!M23=1,"CoC URL but status not Implemented; ","")&amp;IF(Calc!N23=1,"Formal governance has no URL; ","")&amp;IF(Calc!O23=1,"Governance blank but URL given; ","")&amp;IF(Calc!P23=1,"Text/URL given but no engagement category coded (read manually); ","")&amp;IF(Calc!Q23=1,"Check 041 URL; ","")&amp;IF(Calc!R23=1,"039 says Considering/Not planning but contribution evidence exists; ","")&amp;IF(Calc!S23=1,"No repo URL (manual check); ",""))</f>
        <v>CoC URL but status not Implemented; Text/URL given but no engagement category coded (read manually);</v>
      </c>
    </row>
    <row r="24" customFormat="false" ht="15" hidden="false" customHeight="true" outlineLevel="0" collapsed="false">
      <c r="A24" s="15" t="str">
        <f aca="false">Data!$A24</f>
        <v>CORE</v>
      </c>
      <c r="B24" s="36" t="s">
        <v>269</v>
      </c>
      <c r="C24" s="37"/>
      <c r="D24" s="37"/>
      <c r="E24" s="37"/>
      <c r="F24" s="37"/>
      <c r="G24" s="37"/>
      <c r="H24" s="37"/>
      <c r="I24" s="37"/>
      <c r="J24" s="36"/>
      <c r="K24" s="38"/>
      <c r="L24" s="36"/>
      <c r="M24" s="34" t="n">
        <f aca="false">Calc!T24</f>
        <v>1</v>
      </c>
      <c r="N24" s="15" t="str">
        <f aca="false">TRIM(IF(Calc!L24=1,"Engagement listed but 037 says Considering or lower; ","")&amp;IF(Calc!M24=1,"CoC URL but status not Implemented; ","")&amp;IF(Calc!N24=1,"Formal governance has no URL; ","")&amp;IF(Calc!O24=1,"Governance blank but URL given; ","")&amp;IF(Calc!P24=1,"Text/URL given but no engagement category coded (read manually); ","")&amp;IF(Calc!Q24=1,"Check 041 URL; ","")&amp;IF(Calc!R24=1,"039 says Considering/Not planning but contribution evidence exists; ","")&amp;IF(Calc!S24=1,"No repo URL (manual check); ",""))</f>
        <v>Text/URL given but no engagement category coded (read manually);</v>
      </c>
    </row>
    <row r="25" customFormat="false" ht="15" hidden="false" customHeight="true" outlineLevel="0" collapsed="false">
      <c r="A25" s="15" t="str">
        <f aca="false">Data!$A25</f>
        <v>COUNTER Code of Practice</v>
      </c>
      <c r="B25" s="36" t="s">
        <v>269</v>
      </c>
      <c r="C25" s="37"/>
      <c r="D25" s="37"/>
      <c r="E25" s="37"/>
      <c r="F25" s="37"/>
      <c r="G25" s="37"/>
      <c r="H25" s="37"/>
      <c r="I25" s="37"/>
      <c r="J25" s="36"/>
      <c r="K25" s="38"/>
      <c r="L25" s="36"/>
      <c r="M25" s="34" t="n">
        <f aca="false">Calc!T25</f>
        <v>0</v>
      </c>
      <c r="N25" s="15" t="str">
        <f aca="false">TRIM(IF(Calc!L25=1,"Engagement listed but 037 says Considering or lower; ","")&amp;IF(Calc!M25=1,"CoC URL but status not Implemented; ","")&amp;IF(Calc!N25=1,"Formal governance has no URL; ","")&amp;IF(Calc!O25=1,"Governance blank but URL given; ","")&amp;IF(Calc!P25=1,"Text/URL given but no engagement category coded (read manually); ","")&amp;IF(Calc!Q25=1,"Check 041 URL; ","")&amp;IF(Calc!R25=1,"039 says Considering/Not planning but contribution evidence exists; ","")&amp;IF(Calc!S25=1,"No repo URL (manual check); ",""))</f>
        <v/>
      </c>
    </row>
    <row r="26" customFormat="false" ht="15" hidden="false" customHeight="true" outlineLevel="0" collapsed="false">
      <c r="A26" s="15" t="str">
        <f aca="false">Data!$A26</f>
        <v>Creative Commons Licenses</v>
      </c>
      <c r="B26" s="36" t="s">
        <v>269</v>
      </c>
      <c r="C26" s="37"/>
      <c r="D26" s="37"/>
      <c r="E26" s="37"/>
      <c r="F26" s="37"/>
      <c r="G26" s="37"/>
      <c r="H26" s="37"/>
      <c r="I26" s="37"/>
      <c r="J26" s="36"/>
      <c r="K26" s="38"/>
      <c r="L26" s="36"/>
      <c r="M26" s="34" t="n">
        <f aca="false">Calc!T26</f>
        <v>0</v>
      </c>
      <c r="N26" s="15" t="str">
        <f aca="false">TRIM(IF(Calc!L26=1,"Engagement listed but 037 says Considering or lower; ","")&amp;IF(Calc!M26=1,"CoC URL but status not Implemented; ","")&amp;IF(Calc!N26=1,"Formal governance has no URL; ","")&amp;IF(Calc!O26=1,"Governance blank but URL given; ","")&amp;IF(Calc!P26=1,"Text/URL given but no engagement category coded (read manually); ","")&amp;IF(Calc!Q26=1,"Check 041 URL; ","")&amp;IF(Calc!R26=1,"039 says Considering/Not planning but contribution evidence exists; ","")&amp;IF(Calc!S26=1,"No repo URL (manual check); ",""))</f>
        <v/>
      </c>
    </row>
    <row r="27" customFormat="false" ht="15" hidden="false" customHeight="true" outlineLevel="0" collapsed="false">
      <c r="A27" s="15" t="str">
        <f aca="false">Data!$A27</f>
        <v>Crossref Metadata Retrieval</v>
      </c>
      <c r="B27" s="36" t="s">
        <v>269</v>
      </c>
      <c r="C27" s="37"/>
      <c r="D27" s="37"/>
      <c r="E27" s="37"/>
      <c r="F27" s="37"/>
      <c r="G27" s="37"/>
      <c r="H27" s="37"/>
      <c r="I27" s="37"/>
      <c r="J27" s="36"/>
      <c r="K27" s="38"/>
      <c r="L27" s="36"/>
      <c r="M27" s="34" t="n">
        <f aca="false">Calc!T27</f>
        <v>0</v>
      </c>
      <c r="N27" s="15" t="str">
        <f aca="false">TRIM(IF(Calc!L27=1,"Engagement listed but 037 says Considering or lower; ","")&amp;IF(Calc!M27=1,"CoC URL but status not Implemented; ","")&amp;IF(Calc!N27=1,"Formal governance has no URL; ","")&amp;IF(Calc!O27=1,"Governance blank but URL given; ","")&amp;IF(Calc!P27=1,"Text/URL given but no engagement category coded (read manually); ","")&amp;IF(Calc!Q27=1,"Check 041 URL; ","")&amp;IF(Calc!R27=1,"039 says Considering/Not planning but contribution evidence exists; ","")&amp;IF(Calc!S27=1,"No repo URL (manual check); ",""))</f>
        <v/>
      </c>
    </row>
    <row r="28" customFormat="false" ht="15" hidden="false" customHeight="true" outlineLevel="0" collapsed="false">
      <c r="A28" s="15" t="str">
        <f aca="false">Data!$A28</f>
        <v>D4Science Infrastructure</v>
      </c>
      <c r="B28" s="36" t="s">
        <v>269</v>
      </c>
      <c r="C28" s="37"/>
      <c r="D28" s="37"/>
      <c r="E28" s="37"/>
      <c r="F28" s="37"/>
      <c r="G28" s="37"/>
      <c r="H28" s="37"/>
      <c r="I28" s="37"/>
      <c r="J28" s="36"/>
      <c r="K28" s="38"/>
      <c r="L28" s="36"/>
      <c r="M28" s="34" t="n">
        <f aca="false">Calc!T28</f>
        <v>0</v>
      </c>
      <c r="N28" s="15" t="str">
        <f aca="false">TRIM(IF(Calc!L28=1,"Engagement listed but 037 says Considering or lower; ","")&amp;IF(Calc!M28=1,"CoC URL but status not Implemented; ","")&amp;IF(Calc!N28=1,"Formal governance has no URL; ","")&amp;IF(Calc!O28=1,"Governance blank but URL given; ","")&amp;IF(Calc!P28=1,"Text/URL given but no engagement category coded (read manually); ","")&amp;IF(Calc!Q28=1,"Check 041 URL; ","")&amp;IF(Calc!R28=1,"039 says Considering/Not planning but contribution evidence exists; ","")&amp;IF(Calc!S28=1,"No repo URL (manual check); ",""))</f>
        <v/>
      </c>
    </row>
    <row r="29" customFormat="false" ht="15" hidden="false" customHeight="true" outlineLevel="0" collapsed="false">
      <c r="A29" s="15" t="str">
        <f aca="false">Data!$A29</f>
        <v>DART (Digital Archivist's Resource Tool)</v>
      </c>
      <c r="B29" s="36" t="s">
        <v>269</v>
      </c>
      <c r="C29" s="37"/>
      <c r="D29" s="37"/>
      <c r="E29" s="37"/>
      <c r="F29" s="37"/>
      <c r="G29" s="37"/>
      <c r="H29" s="37"/>
      <c r="I29" s="37"/>
      <c r="J29" s="36"/>
      <c r="K29" s="38"/>
      <c r="L29" s="36"/>
      <c r="M29" s="34" t="n">
        <f aca="false">Calc!T29</f>
        <v>1</v>
      </c>
      <c r="N29" s="15" t="str">
        <f aca="false">TRIM(IF(Calc!L29=1,"Engagement listed but 037 says Considering or lower; ","")&amp;IF(Calc!M29=1,"CoC URL but status not Implemented; ","")&amp;IF(Calc!N29=1,"Formal governance has no URL; ","")&amp;IF(Calc!O29=1,"Governance blank but URL given; ","")&amp;IF(Calc!P29=1,"Text/URL given but no engagement category coded (read manually); ","")&amp;IF(Calc!Q29=1,"Check 041 URL; ","")&amp;IF(Calc!R29=1,"039 says Considering/Not planning but contribution evidence exists; ","")&amp;IF(Calc!S29=1,"No repo URL (manual check); ",""))</f>
        <v>Text/URL given but no engagement category coded (read manually);</v>
      </c>
    </row>
    <row r="30" customFormat="false" ht="15" hidden="false" customHeight="true" outlineLevel="0" collapsed="false">
      <c r="A30" s="15" t="str">
        <f aca="false">Data!$A30</f>
        <v>Database Information System</v>
      </c>
      <c r="B30" s="36" t="s">
        <v>269</v>
      </c>
      <c r="C30" s="37"/>
      <c r="D30" s="37"/>
      <c r="E30" s="37"/>
      <c r="F30" s="37"/>
      <c r="G30" s="37"/>
      <c r="H30" s="37"/>
      <c r="I30" s="37"/>
      <c r="J30" s="36"/>
      <c r="K30" s="38"/>
      <c r="L30" s="36"/>
      <c r="M30" s="34" t="n">
        <f aca="false">Calc!T30</f>
        <v>0</v>
      </c>
      <c r="N30" s="15" t="str">
        <f aca="false">TRIM(IF(Calc!L30=1,"Engagement listed but 037 says Considering or lower; ","")&amp;IF(Calc!M30=1,"CoC URL but status not Implemented; ","")&amp;IF(Calc!N30=1,"Formal governance has no URL; ","")&amp;IF(Calc!O30=1,"Governance blank but URL given; ","")&amp;IF(Calc!P30=1,"Text/URL given but no engagement category coded (read manually); ","")&amp;IF(Calc!Q30=1,"Check 041 URL; ","")&amp;IF(Calc!R30=1,"039 says Considering/Not planning but contribution evidence exists; ","")&amp;IF(Calc!S30=1,"No repo URL (manual check); ",""))</f>
        <v/>
      </c>
    </row>
    <row r="31" customFormat="false" ht="15" hidden="false" customHeight="true" outlineLevel="0" collapsed="false">
      <c r="A31" s="15" t="str">
        <f aca="false">Data!$A31</f>
        <v>Data Citation Corpus</v>
      </c>
      <c r="B31" s="36" t="s">
        <v>269</v>
      </c>
      <c r="C31" s="37"/>
      <c r="D31" s="37"/>
      <c r="E31" s="37"/>
      <c r="F31" s="37"/>
      <c r="G31" s="37"/>
      <c r="H31" s="37"/>
      <c r="I31" s="37"/>
      <c r="J31" s="36"/>
      <c r="K31" s="38"/>
      <c r="L31" s="36"/>
      <c r="M31" s="34" t="n">
        <f aca="false">Calc!T31</f>
        <v>0</v>
      </c>
      <c r="N31" s="15" t="str">
        <f aca="false">TRIM(IF(Calc!L31=1,"Engagement listed but 037 says Considering or lower; ","")&amp;IF(Calc!M31=1,"CoC URL but status not Implemented; ","")&amp;IF(Calc!N31=1,"Formal governance has no URL; ","")&amp;IF(Calc!O31=1,"Governance blank but URL given; ","")&amp;IF(Calc!P31=1,"Text/URL given but no engagement category coded (read manually); ","")&amp;IF(Calc!Q31=1,"Check 041 URL; ","")&amp;IF(Calc!R31=1,"039 says Considering/Not planning but contribution evidence exists; ","")&amp;IF(Calc!S31=1,"No repo URL (manual check); ",""))</f>
        <v/>
      </c>
    </row>
    <row r="32" customFormat="false" ht="15" hidden="false" customHeight="true" outlineLevel="0" collapsed="false">
      <c r="A32" s="15" t="str">
        <f aca="false">Data!$A32</f>
        <v>DataCite</v>
      </c>
      <c r="B32" s="36" t="s">
        <v>269</v>
      </c>
      <c r="C32" s="37"/>
      <c r="D32" s="37"/>
      <c r="E32" s="37"/>
      <c r="F32" s="37"/>
      <c r="G32" s="37"/>
      <c r="H32" s="37"/>
      <c r="I32" s="37"/>
      <c r="J32" s="36"/>
      <c r="K32" s="38"/>
      <c r="L32" s="36"/>
      <c r="M32" s="34" t="n">
        <f aca="false">Calc!T32</f>
        <v>1</v>
      </c>
      <c r="N32" s="15" t="str">
        <f aca="false">TRIM(IF(Calc!L32=1,"Engagement listed but 037 says Considering or lower; ","")&amp;IF(Calc!M32=1,"CoC URL but status not Implemented; ","")&amp;IF(Calc!N32=1,"Formal governance has no URL; ","")&amp;IF(Calc!O32=1,"Governance blank but URL given; ","")&amp;IF(Calc!P32=1,"Text/URL given but no engagement category coded (read manually); ","")&amp;IF(Calc!Q32=1,"Check 041 URL; ","")&amp;IF(Calc!R32=1,"039 says Considering/Not planning but contribution evidence exists; ","")&amp;IF(Calc!S32=1,"No repo URL (manual check); ",""))</f>
        <v>039 says Considering/Not planning but contribution evidence exists;</v>
      </c>
    </row>
    <row r="33" customFormat="false" ht="15" hidden="false" customHeight="true" outlineLevel="0" collapsed="false">
      <c r="A33" s="15" t="str">
        <f aca="false">Data!$A33</f>
        <v>Data Stewardship Wizard</v>
      </c>
      <c r="B33" s="36" t="s">
        <v>269</v>
      </c>
      <c r="C33" s="37"/>
      <c r="D33" s="37"/>
      <c r="E33" s="37"/>
      <c r="F33" s="37"/>
      <c r="G33" s="37"/>
      <c r="H33" s="37"/>
      <c r="I33" s="37"/>
      <c r="J33" s="36"/>
      <c r="K33" s="38"/>
      <c r="L33" s="36"/>
      <c r="M33" s="34" t="n">
        <f aca="false">Calc!T33</f>
        <v>0</v>
      </c>
      <c r="N33" s="15" t="str">
        <f aca="false">TRIM(IF(Calc!L33=1,"Engagement listed but 037 says Considering or lower; ","")&amp;IF(Calc!M33=1,"CoC URL but status not Implemented; ","")&amp;IF(Calc!N33=1,"Formal governance has no URL; ","")&amp;IF(Calc!O33=1,"Governance blank but URL given; ","")&amp;IF(Calc!P33=1,"Text/URL given but no engagement category coded (read manually); ","")&amp;IF(Calc!Q33=1,"Check 041 URL; ","")&amp;IF(Calc!R33=1,"039 says Considering/Not planning but contribution evidence exists; ","")&amp;IF(Calc!S33=1,"No repo URL (manual check); ",""))</f>
        <v/>
      </c>
    </row>
    <row r="34" customFormat="false" ht="15" hidden="false" customHeight="true" outlineLevel="0" collapsed="false">
      <c r="A34" s="15" t="str">
        <f aca="false">Data!$A34</f>
        <v>Dataverse</v>
      </c>
      <c r="B34" s="36" t="s">
        <v>269</v>
      </c>
      <c r="C34" s="37"/>
      <c r="D34" s="37"/>
      <c r="E34" s="37"/>
      <c r="F34" s="37"/>
      <c r="G34" s="37"/>
      <c r="H34" s="37"/>
      <c r="I34" s="37"/>
      <c r="J34" s="36"/>
      <c r="K34" s="38"/>
      <c r="L34" s="36"/>
      <c r="M34" s="34" t="n">
        <f aca="false">Calc!T34</f>
        <v>0</v>
      </c>
      <c r="N34" s="15" t="str">
        <f aca="false">TRIM(IF(Calc!L34=1,"Engagement listed but 037 says Considering or lower; ","")&amp;IF(Calc!M34=1,"CoC URL but status not Implemented; ","")&amp;IF(Calc!N34=1,"Formal governance has no URL; ","")&amp;IF(Calc!O34=1,"Governance blank but URL given; ","")&amp;IF(Calc!P34=1,"Text/URL given but no engagement category coded (read manually); ","")&amp;IF(Calc!Q34=1,"Check 041 URL; ","")&amp;IF(Calc!R34=1,"039 says Considering/Not planning but contribution evidence exists; ","")&amp;IF(Calc!S34=1,"No repo URL (manual check); ",""))</f>
        <v/>
      </c>
    </row>
    <row r="35" customFormat="false" ht="15" hidden="false" customHeight="true" outlineLevel="0" collapsed="false">
      <c r="A35" s="15" t="str">
        <f aca="false">Data!$A35</f>
        <v>DLCM Backend</v>
      </c>
      <c r="B35" s="36" t="s">
        <v>269</v>
      </c>
      <c r="C35" s="37"/>
      <c r="D35" s="37"/>
      <c r="E35" s="37"/>
      <c r="F35" s="37"/>
      <c r="G35" s="37"/>
      <c r="H35" s="37"/>
      <c r="I35" s="37"/>
      <c r="J35" s="36"/>
      <c r="K35" s="38"/>
      <c r="L35" s="36"/>
      <c r="M35" s="34" t="n">
        <f aca="false">Calc!T35</f>
        <v>0</v>
      </c>
      <c r="N35" s="15" t="str">
        <f aca="false">TRIM(IF(Calc!L35=1,"Engagement listed but 037 says Considering or lower; ","")&amp;IF(Calc!M35=1,"CoC URL but status not Implemented; ","")&amp;IF(Calc!N35=1,"Formal governance has no URL; ","")&amp;IF(Calc!O35=1,"Governance blank but URL given; ","")&amp;IF(Calc!P35=1,"Text/URL given but no engagement category coded (read manually); ","")&amp;IF(Calc!Q35=1,"Check 041 URL; ","")&amp;IF(Calc!R35=1,"039 says Considering/Not planning but contribution evidence exists; ","")&amp;IF(Calc!S35=1,"No repo URL (manual check); ",""))</f>
        <v/>
      </c>
    </row>
    <row r="36" customFormat="false" ht="15" hidden="false" customHeight="true" outlineLevel="0" collapsed="false">
      <c r="A36" s="15" t="str">
        <f aca="false">Data!$A36</f>
        <v>DLCM Portal</v>
      </c>
      <c r="B36" s="36" t="s">
        <v>269</v>
      </c>
      <c r="C36" s="37"/>
      <c r="D36" s="37"/>
      <c r="E36" s="37"/>
      <c r="F36" s="37"/>
      <c r="G36" s="37"/>
      <c r="H36" s="37"/>
      <c r="I36" s="37"/>
      <c r="J36" s="36"/>
      <c r="K36" s="38"/>
      <c r="L36" s="36"/>
      <c r="M36" s="34" t="n">
        <f aca="false">Calc!T36</f>
        <v>0</v>
      </c>
      <c r="N36" s="15" t="str">
        <f aca="false">TRIM(IF(Calc!L36=1,"Engagement listed but 037 says Considering or lower; ","")&amp;IF(Calc!M36=1,"CoC URL but status not Implemented; ","")&amp;IF(Calc!N36=1,"Formal governance has no URL; ","")&amp;IF(Calc!O36=1,"Governance blank but URL given; ","")&amp;IF(Calc!P36=1,"Text/URL given but no engagement category coded (read manually); ","")&amp;IF(Calc!Q36=1,"Check 041 URL; ","")&amp;IF(Calc!R36=1,"039 says Considering/Not planning but contribution evidence exists; ","")&amp;IF(Calc!S36=1,"No repo URL (manual check); ",""))</f>
        <v/>
      </c>
    </row>
    <row r="37" customFormat="false" ht="15" hidden="false" customHeight="true" outlineLevel="0" collapsed="false">
      <c r="A37" s="15" t="str">
        <f aca="false">Data!$A37</f>
        <v>DMP Tool</v>
      </c>
      <c r="B37" s="36" t="s">
        <v>269</v>
      </c>
      <c r="C37" s="37"/>
      <c r="D37" s="37"/>
      <c r="E37" s="37"/>
      <c r="F37" s="37"/>
      <c r="G37" s="37"/>
      <c r="H37" s="37"/>
      <c r="I37" s="37"/>
      <c r="J37" s="36"/>
      <c r="K37" s="38"/>
      <c r="L37" s="36"/>
      <c r="M37" s="34" t="n">
        <f aca="false">Calc!T37</f>
        <v>0</v>
      </c>
      <c r="N37" s="15" t="str">
        <f aca="false">TRIM(IF(Calc!L37=1,"Engagement listed but 037 says Considering or lower; ","")&amp;IF(Calc!M37=1,"CoC URL but status not Implemented; ","")&amp;IF(Calc!N37=1,"Formal governance has no URL; ","")&amp;IF(Calc!O37=1,"Governance blank but URL given; ","")&amp;IF(Calc!P37=1,"Text/URL given but no engagement category coded (read manually); ","")&amp;IF(Calc!Q37=1,"Check 041 URL; ","")&amp;IF(Calc!R37=1,"039 says Considering/Not planning but contribution evidence exists; ","")&amp;IF(Calc!S37=1,"No repo URL (manual check); ",""))</f>
        <v/>
      </c>
    </row>
    <row r="38" customFormat="false" ht="15" hidden="false" customHeight="true" outlineLevel="0" collapsed="false">
      <c r="A38" s="15" t="str">
        <f aca="false">Data!$A38</f>
        <v>DOAJ (Directory of Open Access Journals)</v>
      </c>
      <c r="B38" s="36" t="s">
        <v>269</v>
      </c>
      <c r="C38" s="37"/>
      <c r="D38" s="37"/>
      <c r="E38" s="37"/>
      <c r="F38" s="37"/>
      <c r="G38" s="37"/>
      <c r="H38" s="37"/>
      <c r="I38" s="37"/>
      <c r="J38" s="36"/>
      <c r="K38" s="38"/>
      <c r="L38" s="36"/>
      <c r="M38" s="34" t="n">
        <f aca="false">Calc!T38</f>
        <v>0</v>
      </c>
      <c r="N38" s="15" t="str">
        <f aca="false">TRIM(IF(Calc!L38=1,"Engagement listed but 037 says Considering or lower; ","")&amp;IF(Calc!M38=1,"CoC URL but status not Implemented; ","")&amp;IF(Calc!N38=1,"Formal governance has no URL; ","")&amp;IF(Calc!O38=1,"Governance blank but URL given; ","")&amp;IF(Calc!P38=1,"Text/URL given but no engagement category coded (read manually); ","")&amp;IF(Calc!Q38=1,"Check 041 URL; ","")&amp;IF(Calc!R38=1,"039 says Considering/Not planning but contribution evidence exists; ","")&amp;IF(Calc!S38=1,"No repo URL (manual check); ",""))</f>
        <v/>
      </c>
    </row>
    <row r="39" customFormat="false" ht="15" hidden="false" customHeight="true" outlineLevel="0" collapsed="false">
      <c r="A39" s="15" t="str">
        <f aca="false">Data!$A39</f>
        <v>dokieli</v>
      </c>
      <c r="B39" s="36" t="s">
        <v>269</v>
      </c>
      <c r="C39" s="37"/>
      <c r="D39" s="37"/>
      <c r="E39" s="37"/>
      <c r="F39" s="37"/>
      <c r="G39" s="37"/>
      <c r="H39" s="37"/>
      <c r="I39" s="37"/>
      <c r="J39" s="36"/>
      <c r="K39" s="38"/>
      <c r="L39" s="36"/>
      <c r="M39" s="34" t="n">
        <f aca="false">Calc!T39</f>
        <v>0</v>
      </c>
      <c r="N39" s="15" t="str">
        <f aca="false">TRIM(IF(Calc!L39=1,"Engagement listed but 037 says Considering or lower; ","")&amp;IF(Calc!M39=1,"CoC URL but status not Implemented; ","")&amp;IF(Calc!N39=1,"Formal governance has no URL; ","")&amp;IF(Calc!O39=1,"Governance blank but URL given; ","")&amp;IF(Calc!P39=1,"Text/URL given but no engagement category coded (read manually); ","")&amp;IF(Calc!Q39=1,"Check 041 URL; ","")&amp;IF(Calc!R39=1,"039 says Considering/Not planning but contribution evidence exists; ","")&amp;IF(Calc!S39=1,"No repo URL (manual check); ",""))</f>
        <v/>
      </c>
    </row>
    <row r="40" customFormat="false" ht="15" hidden="false" customHeight="true" outlineLevel="0" collapsed="false">
      <c r="A40" s="15" t="str">
        <f aca="false">Data!$A40</f>
        <v>Dryad</v>
      </c>
      <c r="B40" s="36" t="s">
        <v>269</v>
      </c>
      <c r="C40" s="37"/>
      <c r="D40" s="37"/>
      <c r="E40" s="37"/>
      <c r="F40" s="37"/>
      <c r="G40" s="37"/>
      <c r="H40" s="37"/>
      <c r="I40" s="37"/>
      <c r="J40" s="36"/>
      <c r="K40" s="38"/>
      <c r="L40" s="36"/>
      <c r="M40" s="34" t="n">
        <f aca="false">Calc!T40</f>
        <v>0</v>
      </c>
      <c r="N40" s="15" t="str">
        <f aca="false">TRIM(IF(Calc!L40=1,"Engagement listed but 037 says Considering or lower; ","")&amp;IF(Calc!M40=1,"CoC URL but status not Implemented; ","")&amp;IF(Calc!N40=1,"Formal governance has no URL; ","")&amp;IF(Calc!O40=1,"Governance blank but URL given; ","")&amp;IF(Calc!P40=1,"Text/URL given but no engagement category coded (read manually); ","")&amp;IF(Calc!Q40=1,"Check 041 URL; ","")&amp;IF(Calc!R40=1,"039 says Considering/Not planning but contribution evidence exists; ","")&amp;IF(Calc!S40=1,"No repo URL (manual check); ",""))</f>
        <v/>
      </c>
    </row>
    <row r="41" customFormat="false" ht="15" hidden="false" customHeight="true" outlineLevel="0" collapsed="false">
      <c r="A41" s="15" t="str">
        <f aca="false">Data!$A41</f>
        <v>DSpace</v>
      </c>
      <c r="B41" s="36" t="s">
        <v>269</v>
      </c>
      <c r="C41" s="37"/>
      <c r="D41" s="37"/>
      <c r="E41" s="37"/>
      <c r="F41" s="37"/>
      <c r="G41" s="37"/>
      <c r="H41" s="37"/>
      <c r="I41" s="37"/>
      <c r="J41" s="36"/>
      <c r="K41" s="38"/>
      <c r="L41" s="36"/>
      <c r="M41" s="34" t="n">
        <f aca="false">Calc!T41</f>
        <v>0</v>
      </c>
      <c r="N41" s="15" t="str">
        <f aca="false">TRIM(IF(Calc!L41=1,"Engagement listed but 037 says Considering or lower; ","")&amp;IF(Calc!M41=1,"CoC URL but status not Implemented; ","")&amp;IF(Calc!N41=1,"Formal governance has no URL; ","")&amp;IF(Calc!O41=1,"Governance blank but URL given; ","")&amp;IF(Calc!P41=1,"Text/URL given but no engagement category coded (read manually); ","")&amp;IF(Calc!Q41=1,"Check 041 URL; ","")&amp;IF(Calc!R41=1,"039 says Considering/Not planning but contribution evidence exists; ","")&amp;IF(Calc!S41=1,"No repo URL (manual check); ",""))</f>
        <v/>
      </c>
    </row>
    <row r="42" customFormat="false" ht="15" hidden="false" customHeight="true" outlineLevel="0" collapsed="false">
      <c r="A42" s="15" t="str">
        <f aca="false">Data!$A42</f>
        <v>DuraCloud</v>
      </c>
      <c r="B42" s="36" t="s">
        <v>269</v>
      </c>
      <c r="C42" s="37"/>
      <c r="D42" s="37"/>
      <c r="E42" s="37"/>
      <c r="F42" s="37"/>
      <c r="G42" s="37"/>
      <c r="H42" s="37"/>
      <c r="I42" s="37"/>
      <c r="J42" s="36"/>
      <c r="K42" s="38"/>
      <c r="L42" s="36"/>
      <c r="M42" s="34" t="n">
        <f aca="false">Calc!T42</f>
        <v>0</v>
      </c>
      <c r="N42" s="15" t="str">
        <f aca="false">TRIM(IF(Calc!L42=1,"Engagement listed but 037 says Considering or lower; ","")&amp;IF(Calc!M42=1,"CoC URL but status not Implemented; ","")&amp;IF(Calc!N42=1,"Formal governance has no URL; ","")&amp;IF(Calc!O42=1,"Governance blank but URL given; ","")&amp;IF(Calc!P42=1,"Text/URL given but no engagement category coded (read manually); ","")&amp;IF(Calc!Q42=1,"Check 041 URL; ","")&amp;IF(Calc!R42=1,"039 says Considering/Not planning but contribution evidence exists; ","")&amp;IF(Calc!S42=1,"No repo URL (manual check); ",""))</f>
        <v/>
      </c>
    </row>
    <row r="43" customFormat="false" ht="15" hidden="false" customHeight="true" outlineLevel="0" collapsed="false">
      <c r="A43" s="15" t="str">
        <f aca="false">Data!$A43</f>
        <v>Episciences</v>
      </c>
      <c r="B43" s="36" t="s">
        <v>269</v>
      </c>
      <c r="C43" s="37"/>
      <c r="D43" s="37"/>
      <c r="E43" s="37"/>
      <c r="F43" s="37"/>
      <c r="G43" s="37"/>
      <c r="H43" s="37"/>
      <c r="I43" s="37"/>
      <c r="J43" s="36"/>
      <c r="K43" s="38"/>
      <c r="L43" s="36"/>
      <c r="M43" s="34" t="n">
        <f aca="false">Calc!T43</f>
        <v>0</v>
      </c>
      <c r="N43" s="15" t="str">
        <f aca="false">TRIM(IF(Calc!L43=1,"Engagement listed but 037 says Considering or lower; ","")&amp;IF(Calc!M43=1,"CoC URL but status not Implemented; ","")&amp;IF(Calc!N43=1,"Formal governance has no URL; ","")&amp;IF(Calc!O43=1,"Governance blank but URL given; ","")&amp;IF(Calc!P43=1,"Text/URL given but no engagement category coded (read manually); ","")&amp;IF(Calc!Q43=1,"Check 041 URL; ","")&amp;IF(Calc!R43=1,"039 says Considering/Not planning but contribution evidence exists; ","")&amp;IF(Calc!S43=1,"No repo URL (manual check); ",""))</f>
        <v/>
      </c>
    </row>
    <row r="44" customFormat="false" ht="15" hidden="false" customHeight="true" outlineLevel="0" collapsed="false">
      <c r="A44" s="15" t="str">
        <f aca="false">Data!$A44</f>
        <v>EPrints</v>
      </c>
      <c r="B44" s="36" t="s">
        <v>269</v>
      </c>
      <c r="C44" s="37"/>
      <c r="D44" s="37"/>
      <c r="E44" s="37"/>
      <c r="F44" s="37"/>
      <c r="G44" s="37"/>
      <c r="H44" s="37"/>
      <c r="I44" s="37"/>
      <c r="J44" s="36"/>
      <c r="K44" s="38"/>
      <c r="L44" s="36"/>
      <c r="M44" s="34" t="n">
        <f aca="false">Calc!T44</f>
        <v>2</v>
      </c>
      <c r="N44" s="15" t="str">
        <f aca="false">TRIM(IF(Calc!L44=1,"Engagement listed but 037 says Considering or lower; ","")&amp;IF(Calc!M44=1,"CoC URL but status not Implemented; ","")&amp;IF(Calc!N44=1,"Formal governance has no URL; ","")&amp;IF(Calc!O44=1,"Governance blank but URL given; ","")&amp;IF(Calc!P44=1,"Text/URL given but no engagement category coded (read manually); ","")&amp;IF(Calc!Q44=1,"Check 041 URL; ","")&amp;IF(Calc!R44=1,"039 says Considering/Not planning but contribution evidence exists; ","")&amp;IF(Calc!S44=1,"No repo URL (manual check); ",""))</f>
        <v>Text/URL given but no engagement category coded (read manually); Check 041 URL;</v>
      </c>
    </row>
    <row r="45" customFormat="false" ht="15" hidden="false" customHeight="true" outlineLevel="0" collapsed="false">
      <c r="A45" s="15" t="str">
        <f aca="false">Data!$A45</f>
        <v>Érudit</v>
      </c>
      <c r="B45" s="36" t="s">
        <v>269</v>
      </c>
      <c r="C45" s="37"/>
      <c r="D45" s="37"/>
      <c r="E45" s="37"/>
      <c r="F45" s="37"/>
      <c r="G45" s="37"/>
      <c r="H45" s="37"/>
      <c r="I45" s="37"/>
      <c r="J45" s="36"/>
      <c r="K45" s="38"/>
      <c r="L45" s="36"/>
      <c r="M45" s="34" t="n">
        <f aca="false">Calc!T45</f>
        <v>1</v>
      </c>
      <c r="N45" s="15" t="str">
        <f aca="false">TRIM(IF(Calc!L45=1,"Engagement listed but 037 says Considering or lower; ","")&amp;IF(Calc!M45=1,"CoC URL but status not Implemented; ","")&amp;IF(Calc!N45=1,"Formal governance has no URL; ","")&amp;IF(Calc!O45=1,"Governance blank but URL given; ","")&amp;IF(Calc!P45=1,"Text/URL given but no engagement category coded (read manually); ","")&amp;IF(Calc!Q45=1,"Check 041 URL; ","")&amp;IF(Calc!R45=1,"039 says Considering/Not planning but contribution evidence exists; ","")&amp;IF(Calc!S45=1,"No repo URL (manual check); ",""))</f>
        <v>Text/URL given but no engagement category coded (read manually);</v>
      </c>
    </row>
    <row r="46" customFormat="false" ht="15" hidden="false" customHeight="true" outlineLevel="0" collapsed="false">
      <c r="A46" s="15" t="str">
        <f aca="false">Data!$A46</f>
        <v>Europe PMC</v>
      </c>
      <c r="B46" s="36" t="s">
        <v>269</v>
      </c>
      <c r="C46" s="37"/>
      <c r="D46" s="37"/>
      <c r="E46" s="37"/>
      <c r="F46" s="37"/>
      <c r="G46" s="37"/>
      <c r="H46" s="37"/>
      <c r="I46" s="37"/>
      <c r="J46" s="36"/>
      <c r="K46" s="38"/>
      <c r="L46" s="36"/>
      <c r="M46" s="34" t="n">
        <f aca="false">Calc!T46</f>
        <v>0</v>
      </c>
      <c r="N46" s="15" t="str">
        <f aca="false">TRIM(IF(Calc!L46=1,"Engagement listed but 037 says Considering or lower; ","")&amp;IF(Calc!M46=1,"CoC URL but status not Implemented; ","")&amp;IF(Calc!N46=1,"Formal governance has no URL; ","")&amp;IF(Calc!O46=1,"Governance blank but URL given; ","")&amp;IF(Calc!P46=1,"Text/URL given but no engagement category coded (read manually); ","")&amp;IF(Calc!Q46=1,"Check 041 URL; ","")&amp;IF(Calc!R46=1,"039 says Considering/Not planning but contribution evidence exists; ","")&amp;IF(Calc!S46=1,"No repo URL (manual check); ",""))</f>
        <v/>
      </c>
    </row>
    <row r="47" customFormat="false" ht="15" hidden="false" customHeight="true" outlineLevel="0" collapsed="false">
      <c r="A47" s="15" t="str">
        <f aca="false">Data!$A47</f>
        <v>FAIR Wizard</v>
      </c>
      <c r="B47" s="36" t="s">
        <v>269</v>
      </c>
      <c r="C47" s="37"/>
      <c r="D47" s="37"/>
      <c r="E47" s="37"/>
      <c r="F47" s="37"/>
      <c r="G47" s="37"/>
      <c r="H47" s="37"/>
      <c r="I47" s="37"/>
      <c r="J47" s="36"/>
      <c r="K47" s="38"/>
      <c r="L47" s="36"/>
      <c r="M47" s="34" t="n">
        <f aca="false">Calc!T47</f>
        <v>1</v>
      </c>
      <c r="N47" s="15" t="str">
        <f aca="false">TRIM(IF(Calc!L47=1,"Engagement listed but 037 says Considering or lower; ","")&amp;IF(Calc!M47=1,"CoC URL but status not Implemented; ","")&amp;IF(Calc!N47=1,"Formal governance has no URL; ","")&amp;IF(Calc!O47=1,"Governance blank but URL given; ","")&amp;IF(Calc!P47=1,"Text/URL given but no engagement category coded (read manually); ","")&amp;IF(Calc!Q47=1,"Check 041 URL; ","")&amp;IF(Calc!R47=1,"039 says Considering/Not planning but contribution evidence exists; ","")&amp;IF(Calc!S47=1,"No repo URL (manual check); ",""))</f>
        <v>No repo URL (manual check);</v>
      </c>
    </row>
    <row r="48" customFormat="false" ht="15" hidden="false" customHeight="true" outlineLevel="0" collapsed="false">
      <c r="A48" s="15" t="str">
        <f aca="false">Data!$A48</f>
        <v>Fedora</v>
      </c>
      <c r="B48" s="36" t="s">
        <v>269</v>
      </c>
      <c r="C48" s="37"/>
      <c r="D48" s="37"/>
      <c r="E48" s="37"/>
      <c r="F48" s="37"/>
      <c r="G48" s="37"/>
      <c r="H48" s="37"/>
      <c r="I48" s="37"/>
      <c r="J48" s="36"/>
      <c r="K48" s="38"/>
      <c r="L48" s="36"/>
      <c r="M48" s="34" t="n">
        <f aca="false">Calc!T48</f>
        <v>0</v>
      </c>
      <c r="N48" s="15" t="str">
        <f aca="false">TRIM(IF(Calc!L48=1,"Engagement listed but 037 says Considering or lower; ","")&amp;IF(Calc!M48=1,"CoC URL but status not Implemented; ","")&amp;IF(Calc!N48=1,"Formal governance has no URL; ","")&amp;IF(Calc!O48=1,"Governance blank but URL given; ","")&amp;IF(Calc!P48=1,"Text/URL given but no engagement category coded (read manually); ","")&amp;IF(Calc!Q48=1,"Check 041 URL; ","")&amp;IF(Calc!R48=1,"039 says Considering/Not planning but contribution evidence exists; ","")&amp;IF(Calc!S48=1,"No repo URL (manual check); ",""))</f>
        <v/>
      </c>
    </row>
    <row r="49" customFormat="false" ht="15" hidden="false" customHeight="true" outlineLevel="0" collapsed="false">
      <c r="A49" s="15" t="str">
        <f aca="false">Data!$A49</f>
        <v>fido</v>
      </c>
      <c r="B49" s="36" t="s">
        <v>269</v>
      </c>
      <c r="C49" s="37"/>
      <c r="D49" s="37"/>
      <c r="E49" s="37"/>
      <c r="F49" s="37"/>
      <c r="G49" s="37"/>
      <c r="H49" s="37"/>
      <c r="I49" s="37"/>
      <c r="J49" s="36"/>
      <c r="K49" s="38"/>
      <c r="L49" s="36"/>
      <c r="M49" s="34" t="n">
        <f aca="false">Calc!T49</f>
        <v>1</v>
      </c>
      <c r="N49" s="15" t="str">
        <f aca="false">TRIM(IF(Calc!L49=1,"Engagement listed but 037 says Considering or lower; ","")&amp;IF(Calc!M49=1,"CoC URL but status not Implemented; ","")&amp;IF(Calc!N49=1,"Formal governance has no URL; ","")&amp;IF(Calc!O49=1,"Governance blank but URL given; ","")&amp;IF(Calc!P49=1,"Text/URL given but no engagement category coded (read manually); ","")&amp;IF(Calc!Q49=1,"Check 041 URL; ","")&amp;IF(Calc!R49=1,"039 says Considering/Not planning but contribution evidence exists; ","")&amp;IF(Calc!S49=1,"No repo URL (manual check); ",""))</f>
        <v>Formal governance has no URL;</v>
      </c>
    </row>
    <row r="50" customFormat="false" ht="15" hidden="false" customHeight="true" outlineLevel="0" collapsed="false">
      <c r="A50" s="15" t="str">
        <f aca="false">Data!$A50</f>
        <v>Fulcrum</v>
      </c>
      <c r="B50" s="36" t="s">
        <v>269</v>
      </c>
      <c r="C50" s="37"/>
      <c r="D50" s="37"/>
      <c r="E50" s="37"/>
      <c r="F50" s="37"/>
      <c r="G50" s="37"/>
      <c r="H50" s="37"/>
      <c r="I50" s="37"/>
      <c r="J50" s="36"/>
      <c r="K50" s="38"/>
      <c r="L50" s="36"/>
      <c r="M50" s="34" t="n">
        <f aca="false">Calc!T50</f>
        <v>0</v>
      </c>
      <c r="N50" s="15" t="str">
        <f aca="false">TRIM(IF(Calc!L50=1,"Engagement listed but 037 says Considering or lower; ","")&amp;IF(Calc!M50=1,"CoC URL but status not Implemented; ","")&amp;IF(Calc!N50=1,"Formal governance has no URL; ","")&amp;IF(Calc!O50=1,"Governance blank but URL given; ","")&amp;IF(Calc!P50=1,"Text/URL given but no engagement category coded (read manually); ","")&amp;IF(Calc!Q50=1,"Check 041 URL; ","")&amp;IF(Calc!R50=1,"039 says Considering/Not planning but contribution evidence exists; ","")&amp;IF(Calc!S50=1,"No repo URL (manual check); ",""))</f>
        <v/>
      </c>
    </row>
    <row r="51" customFormat="false" ht="15" hidden="false" customHeight="true" outlineLevel="0" collapsed="false">
      <c r="A51" s="15" t="str">
        <f aca="false">Data!$A51</f>
        <v>Galaxy</v>
      </c>
      <c r="B51" s="36" t="s">
        <v>269</v>
      </c>
      <c r="C51" s="37"/>
      <c r="D51" s="37"/>
      <c r="E51" s="37"/>
      <c r="F51" s="37"/>
      <c r="G51" s="37"/>
      <c r="H51" s="37"/>
      <c r="I51" s="37"/>
      <c r="J51" s="36"/>
      <c r="K51" s="38"/>
      <c r="L51" s="36"/>
      <c r="M51" s="34" t="n">
        <f aca="false">Calc!T51</f>
        <v>1</v>
      </c>
      <c r="N51" s="15" t="str">
        <f aca="false">TRIM(IF(Calc!L51=1,"Engagement listed but 037 says Considering or lower; ","")&amp;IF(Calc!M51=1,"CoC URL but status not Implemented; ","")&amp;IF(Calc!N51=1,"Formal governance has no URL; ","")&amp;IF(Calc!O51=1,"Governance blank but URL given; ","")&amp;IF(Calc!P51=1,"Text/URL given but no engagement category coded (read manually); ","")&amp;IF(Calc!Q51=1,"Check 041 URL; ","")&amp;IF(Calc!R51=1,"039 says Considering/Not planning but contribution evidence exists; ","")&amp;IF(Calc!S51=1,"No repo URL (manual check); ",""))</f>
        <v>Text/URL given but no engagement category coded (read manually);</v>
      </c>
    </row>
    <row r="52" customFormat="false" ht="15" hidden="false" customHeight="true" outlineLevel="0" collapsed="false">
      <c r="A52" s="15" t="str">
        <f aca="false">Data!$A52</f>
        <v>GeoServer</v>
      </c>
      <c r="B52" s="36" t="s">
        <v>269</v>
      </c>
      <c r="C52" s="37"/>
      <c r="D52" s="37"/>
      <c r="E52" s="37"/>
      <c r="F52" s="37"/>
      <c r="G52" s="37"/>
      <c r="H52" s="37"/>
      <c r="I52" s="37"/>
      <c r="J52" s="36"/>
      <c r="K52" s="38"/>
      <c r="L52" s="36"/>
      <c r="M52" s="34" t="n">
        <f aca="false">Calc!T52</f>
        <v>0</v>
      </c>
      <c r="N52" s="15" t="str">
        <f aca="false">TRIM(IF(Calc!L52=1,"Engagement listed but 037 says Considering or lower; ","")&amp;IF(Calc!M52=1,"CoC URL but status not Implemented; ","")&amp;IF(Calc!N52=1,"Formal governance has no URL; ","")&amp;IF(Calc!O52=1,"Governance blank but URL given; ","")&amp;IF(Calc!P52=1,"Text/URL given but no engagement category coded (read manually); ","")&amp;IF(Calc!Q52=1,"Check 041 URL; ","")&amp;IF(Calc!R52=1,"039 says Considering/Not planning but contribution evidence exists; ","")&amp;IF(Calc!S52=1,"No repo URL (manual check); ",""))</f>
        <v/>
      </c>
    </row>
    <row r="53" customFormat="false" ht="15" hidden="false" customHeight="true" outlineLevel="0" collapsed="false">
      <c r="A53" s="15" t="str">
        <f aca="false">Data!$A53</f>
        <v>Hyku</v>
      </c>
      <c r="B53" s="36" t="s">
        <v>269</v>
      </c>
      <c r="C53" s="37"/>
      <c r="D53" s="37"/>
      <c r="E53" s="37"/>
      <c r="F53" s="37"/>
      <c r="G53" s="37"/>
      <c r="H53" s="37"/>
      <c r="I53" s="37"/>
      <c r="J53" s="36"/>
      <c r="K53" s="38"/>
      <c r="L53" s="36"/>
      <c r="M53" s="34" t="n">
        <f aca="false">Calc!T53</f>
        <v>0</v>
      </c>
      <c r="N53" s="15" t="str">
        <f aca="false">TRIM(IF(Calc!L53=1,"Engagement listed but 037 says Considering or lower; ","")&amp;IF(Calc!M53=1,"CoC URL but status not Implemented; ","")&amp;IF(Calc!N53=1,"Formal governance has no URL; ","")&amp;IF(Calc!O53=1,"Governance blank but URL given; ","")&amp;IF(Calc!P53=1,"Text/URL given but no engagement category coded (read manually); ","")&amp;IF(Calc!Q53=1,"Check 041 URL; ","")&amp;IF(Calc!R53=1,"039 says Considering/Not planning but contribution evidence exists; ","")&amp;IF(Calc!S53=1,"No repo URL (manual check); ",""))</f>
        <v/>
      </c>
    </row>
    <row r="54" customFormat="false" ht="15" hidden="false" customHeight="true" outlineLevel="0" collapsed="false">
      <c r="A54" s="15" t="str">
        <f aca="false">Data!$A54</f>
        <v>Hyrax</v>
      </c>
      <c r="B54" s="36" t="s">
        <v>269</v>
      </c>
      <c r="C54" s="37"/>
      <c r="D54" s="37"/>
      <c r="E54" s="37"/>
      <c r="F54" s="37"/>
      <c r="G54" s="37"/>
      <c r="H54" s="37"/>
      <c r="I54" s="37"/>
      <c r="J54" s="36"/>
      <c r="K54" s="38"/>
      <c r="L54" s="36"/>
      <c r="M54" s="34" t="n">
        <f aca="false">Calc!T54</f>
        <v>0</v>
      </c>
      <c r="N54" s="15" t="str">
        <f aca="false">TRIM(IF(Calc!L54=1,"Engagement listed but 037 says Considering or lower; ","")&amp;IF(Calc!M54=1,"CoC URL but status not Implemented; ","")&amp;IF(Calc!N54=1,"Formal governance has no URL; ","")&amp;IF(Calc!O54=1,"Governance blank but URL given; ","")&amp;IF(Calc!P54=1,"Text/URL given but no engagement category coded (read manually); ","")&amp;IF(Calc!Q54=1,"Check 041 URL; ","")&amp;IF(Calc!R54=1,"039 says Considering/Not planning but contribution evidence exists; ","")&amp;IF(Calc!S54=1,"No repo URL (manual check); ",""))</f>
        <v/>
      </c>
    </row>
    <row r="55" customFormat="false" ht="15" hidden="false" customHeight="true" outlineLevel="0" collapsed="false">
      <c r="A55" s="15" t="str">
        <f aca="false">Data!$A55</f>
        <v>IIIF</v>
      </c>
      <c r="B55" s="36" t="s">
        <v>269</v>
      </c>
      <c r="C55" s="37"/>
      <c r="D55" s="37"/>
      <c r="E55" s="37"/>
      <c r="F55" s="37"/>
      <c r="G55" s="37"/>
      <c r="H55" s="37"/>
      <c r="I55" s="37"/>
      <c r="J55" s="36"/>
      <c r="K55" s="38"/>
      <c r="L55" s="36"/>
      <c r="M55" s="34" t="n">
        <f aca="false">Calc!T55</f>
        <v>0</v>
      </c>
      <c r="N55" s="15" t="str">
        <f aca="false">TRIM(IF(Calc!L55=1,"Engagement listed but 037 says Considering or lower; ","")&amp;IF(Calc!M55=1,"CoC URL but status not Implemented; ","")&amp;IF(Calc!N55=1,"Formal governance has no URL; ","")&amp;IF(Calc!O55=1,"Governance blank but URL given; ","")&amp;IF(Calc!P55=1,"Text/URL given but no engagement category coded (read manually); ","")&amp;IF(Calc!Q55=1,"Check 041 URL; ","")&amp;IF(Calc!R55=1,"039 says Considering/Not planning but contribution evidence exists; ","")&amp;IF(Calc!S55=1,"No repo URL (manual check); ",""))</f>
        <v/>
      </c>
    </row>
    <row r="56" customFormat="false" ht="15" hidden="false" customHeight="true" outlineLevel="0" collapsed="false">
      <c r="A56" s="15" t="str">
        <f aca="false">Data!$A56</f>
        <v>ImpactU</v>
      </c>
      <c r="B56" s="36" t="s">
        <v>269</v>
      </c>
      <c r="C56" s="37"/>
      <c r="D56" s="37"/>
      <c r="E56" s="37"/>
      <c r="F56" s="37"/>
      <c r="G56" s="37"/>
      <c r="H56" s="37"/>
      <c r="I56" s="37"/>
      <c r="J56" s="36"/>
      <c r="K56" s="38"/>
      <c r="L56" s="36"/>
      <c r="M56" s="34" t="n">
        <f aca="false">Calc!T56</f>
        <v>0</v>
      </c>
      <c r="N56" s="15" t="str">
        <f aca="false">TRIM(IF(Calc!L56=1,"Engagement listed but 037 says Considering or lower; ","")&amp;IF(Calc!M56=1,"CoC URL but status not Implemented; ","")&amp;IF(Calc!N56=1,"Formal governance has no URL; ","")&amp;IF(Calc!O56=1,"Governance blank but URL given; ","")&amp;IF(Calc!P56=1,"Text/URL given but no engagement category coded (read manually); ","")&amp;IF(Calc!Q56=1,"Check 041 URL; ","")&amp;IF(Calc!R56=1,"039 says Considering/Not planning but contribution evidence exists; ","")&amp;IF(Calc!S56=1,"No repo URL (manual check); ",""))</f>
        <v/>
      </c>
    </row>
    <row r="57" customFormat="false" ht="15" hidden="false" customHeight="true" outlineLevel="0" collapsed="false">
      <c r="A57" s="15" t="str">
        <f aca="false">Data!$A57</f>
        <v>International Generic Sample Number (IGSN)</v>
      </c>
      <c r="B57" s="36" t="s">
        <v>269</v>
      </c>
      <c r="C57" s="37"/>
      <c r="D57" s="37"/>
      <c r="E57" s="37"/>
      <c r="F57" s="37"/>
      <c r="G57" s="37"/>
      <c r="H57" s="37"/>
      <c r="I57" s="37"/>
      <c r="J57" s="36"/>
      <c r="K57" s="38"/>
      <c r="L57" s="36"/>
      <c r="M57" s="34" t="n">
        <f aca="false">Calc!T57</f>
        <v>2</v>
      </c>
      <c r="N57" s="15" t="str">
        <f aca="false">TRIM(IF(Calc!L57=1,"Engagement listed but 037 says Considering or lower; ","")&amp;IF(Calc!M57=1,"CoC URL but status not Implemented; ","")&amp;IF(Calc!N57=1,"Formal governance has no URL; ","")&amp;IF(Calc!O57=1,"Governance blank but URL given; ","")&amp;IF(Calc!P57=1,"Text/URL given but no engagement category coded (read manually); ","")&amp;IF(Calc!Q57=1,"Check 041 URL; ","")&amp;IF(Calc!R57=1,"039 says Considering/Not planning but contribution evidence exists; ","")&amp;IF(Calc!S57=1,"No repo URL (manual check); ",""))</f>
        <v>Governance blank but URL given; Text/URL given but no engagement category coded (read manually);</v>
      </c>
    </row>
    <row r="58" customFormat="false" ht="15" hidden="false" customHeight="true" outlineLevel="0" collapsed="false">
      <c r="A58" s="15" t="str">
        <f aca="false">Data!$A58</f>
        <v>InvenioRDM</v>
      </c>
      <c r="B58" s="36" t="s">
        <v>269</v>
      </c>
      <c r="C58" s="37"/>
      <c r="D58" s="37"/>
      <c r="E58" s="37"/>
      <c r="F58" s="37"/>
      <c r="G58" s="37"/>
      <c r="H58" s="37"/>
      <c r="I58" s="37"/>
      <c r="J58" s="36"/>
      <c r="K58" s="38"/>
      <c r="L58" s="36"/>
      <c r="M58" s="34" t="n">
        <f aca="false">Calc!T58</f>
        <v>0</v>
      </c>
      <c r="N58" s="15" t="str">
        <f aca="false">TRIM(IF(Calc!L58=1,"Engagement listed but 037 says Considering or lower; ","")&amp;IF(Calc!M58=1,"CoC URL but status not Implemented; ","")&amp;IF(Calc!N58=1,"Formal governance has no URL; ","")&amp;IF(Calc!O58=1,"Governance blank but URL given; ","")&amp;IF(Calc!P58=1,"Text/URL given but no engagement category coded (read manually); ","")&amp;IF(Calc!Q58=1,"Check 041 URL; ","")&amp;IF(Calc!R58=1,"039 says Considering/Not planning but contribution evidence exists; ","")&amp;IF(Calc!S58=1,"No repo URL (manual check); ",""))</f>
        <v/>
      </c>
    </row>
    <row r="59" customFormat="false" ht="15" hidden="false" customHeight="true" outlineLevel="0" collapsed="false">
      <c r="A59" s="15" t="str">
        <f aca="false">Data!$A59</f>
        <v>iRODS</v>
      </c>
      <c r="B59" s="36" t="s">
        <v>269</v>
      </c>
      <c r="C59" s="37"/>
      <c r="D59" s="37"/>
      <c r="E59" s="37"/>
      <c r="F59" s="37"/>
      <c r="G59" s="37"/>
      <c r="H59" s="37"/>
      <c r="I59" s="37"/>
      <c r="J59" s="36"/>
      <c r="K59" s="38"/>
      <c r="L59" s="36"/>
      <c r="M59" s="34" t="n">
        <f aca="false">Calc!T59</f>
        <v>0</v>
      </c>
      <c r="N59" s="15" t="str">
        <f aca="false">TRIM(IF(Calc!L59=1,"Engagement listed but 037 says Considering or lower; ","")&amp;IF(Calc!M59=1,"CoC URL but status not Implemented; ","")&amp;IF(Calc!N59=1,"Formal governance has no URL; ","")&amp;IF(Calc!O59=1,"Governance blank but URL given; ","")&amp;IF(Calc!P59=1,"Text/URL given but no engagement category coded (read manually); ","")&amp;IF(Calc!Q59=1,"Check 041 URL; ","")&amp;IF(Calc!R59=1,"039 says Considering/Not planning but contribution evidence exists; ","")&amp;IF(Calc!S59=1,"No repo URL (manual check); ",""))</f>
        <v/>
      </c>
    </row>
    <row r="60" customFormat="false" ht="15" hidden="false" customHeight="true" outlineLevel="0" collapsed="false">
      <c r="A60" s="15" t="str">
        <f aca="false">Data!$A60</f>
        <v>Islandora</v>
      </c>
      <c r="B60" s="36" t="s">
        <v>269</v>
      </c>
      <c r="C60" s="37"/>
      <c r="D60" s="37"/>
      <c r="E60" s="37"/>
      <c r="F60" s="37"/>
      <c r="G60" s="37"/>
      <c r="H60" s="37"/>
      <c r="I60" s="37"/>
      <c r="J60" s="36"/>
      <c r="K60" s="38"/>
      <c r="L60" s="36"/>
      <c r="M60" s="34" t="n">
        <f aca="false">Calc!T60</f>
        <v>0</v>
      </c>
      <c r="N60" s="15" t="str">
        <f aca="false">TRIM(IF(Calc!L60=1,"Engagement listed but 037 says Considering or lower; ","")&amp;IF(Calc!M60=1,"CoC URL but status not Implemented; ","")&amp;IF(Calc!N60=1,"Formal governance has no URL; ","")&amp;IF(Calc!O60=1,"Governance blank but URL given; ","")&amp;IF(Calc!P60=1,"Text/URL given but no engagement category coded (read manually); ","")&amp;IF(Calc!Q60=1,"Check 041 URL; ","")&amp;IF(Calc!R60=1,"039 says Considering/Not planning but contribution evidence exists; ","")&amp;IF(Calc!S60=1,"No repo URL (manual check); ",""))</f>
        <v/>
      </c>
    </row>
    <row r="61" customFormat="false" ht="15" hidden="false" customHeight="true" outlineLevel="0" collapsed="false">
      <c r="A61" s="15" t="str">
        <f aca="false">Data!$A61</f>
        <v>Janeway</v>
      </c>
      <c r="B61" s="36" t="s">
        <v>269</v>
      </c>
      <c r="C61" s="37"/>
      <c r="D61" s="37"/>
      <c r="E61" s="37"/>
      <c r="F61" s="37"/>
      <c r="G61" s="37"/>
      <c r="H61" s="37"/>
      <c r="I61" s="37"/>
      <c r="J61" s="36"/>
      <c r="K61" s="38"/>
      <c r="L61" s="36"/>
      <c r="M61" s="34" t="n">
        <f aca="false">Calc!T61</f>
        <v>1</v>
      </c>
      <c r="N61" s="15" t="str">
        <f aca="false">TRIM(IF(Calc!L61=1,"Engagement listed but 037 says Considering or lower; ","")&amp;IF(Calc!M61=1,"CoC URL but status not Implemented; ","")&amp;IF(Calc!N61=1,"Formal governance has no URL; ","")&amp;IF(Calc!O61=1,"Governance blank but URL given; ","")&amp;IF(Calc!P61=1,"Text/URL given but no engagement category coded (read manually); ","")&amp;IF(Calc!Q61=1,"Check 041 URL; ","")&amp;IF(Calc!R61=1,"039 says Considering/Not planning but contribution evidence exists; ","")&amp;IF(Calc!S61=1,"No repo URL (manual check); ",""))</f>
        <v>Check 041 URL;</v>
      </c>
    </row>
    <row r="62" customFormat="false" ht="15" hidden="false" customHeight="true" outlineLevel="0" collapsed="false">
      <c r="A62" s="15" t="str">
        <f aca="false">Data!$A62</f>
        <v>JHOVE</v>
      </c>
      <c r="B62" s="36" t="s">
        <v>269</v>
      </c>
      <c r="C62" s="37"/>
      <c r="D62" s="37"/>
      <c r="E62" s="37"/>
      <c r="F62" s="37"/>
      <c r="G62" s="37"/>
      <c r="H62" s="37"/>
      <c r="I62" s="37"/>
      <c r="J62" s="36"/>
      <c r="K62" s="38"/>
      <c r="L62" s="36"/>
      <c r="M62" s="34" t="n">
        <f aca="false">Calc!T62</f>
        <v>0</v>
      </c>
      <c r="N62" s="15" t="str">
        <f aca="false">TRIM(IF(Calc!L62=1,"Engagement listed but 037 says Considering or lower; ","")&amp;IF(Calc!M62=1,"CoC URL but status not Implemented; ","")&amp;IF(Calc!N62=1,"Formal governance has no URL; ","")&amp;IF(Calc!O62=1,"Governance blank but URL given; ","")&amp;IF(Calc!P62=1,"Text/URL given but no engagement category coded (read manually); ","")&amp;IF(Calc!Q62=1,"Check 041 URL; ","")&amp;IF(Calc!R62=1,"039 says Considering/Not planning but contribution evidence exists; ","")&amp;IF(Calc!S62=1,"No repo URL (manual check); ",""))</f>
        <v/>
      </c>
    </row>
    <row r="63" customFormat="false" ht="15" hidden="false" customHeight="true" outlineLevel="0" collapsed="false">
      <c r="A63" s="15" t="str">
        <f aca="false">Data!$A63</f>
        <v>LA Referencia</v>
      </c>
      <c r="B63" s="36" t="s">
        <v>269</v>
      </c>
      <c r="C63" s="37"/>
      <c r="D63" s="37"/>
      <c r="E63" s="37"/>
      <c r="F63" s="37"/>
      <c r="G63" s="37"/>
      <c r="H63" s="37"/>
      <c r="I63" s="37"/>
      <c r="J63" s="36"/>
      <c r="K63" s="38"/>
      <c r="L63" s="36"/>
      <c r="M63" s="34" t="n">
        <f aca="false">Calc!T63</f>
        <v>1</v>
      </c>
      <c r="N63" s="15" t="str">
        <f aca="false">TRIM(IF(Calc!L63=1,"Engagement listed but 037 says Considering or lower; ","")&amp;IF(Calc!M63=1,"CoC URL but status not Implemented; ","")&amp;IF(Calc!N63=1,"Formal governance has no URL; ","")&amp;IF(Calc!O63=1,"Governance blank but URL given; ","")&amp;IF(Calc!P63=1,"Text/URL given but no engagement category coded (read manually); ","")&amp;IF(Calc!Q63=1,"Check 041 URL; ","")&amp;IF(Calc!R63=1,"039 says Considering/Not planning but contribution evidence exists; ","")&amp;IF(Calc!S63=1,"No repo URL (manual check); ",""))</f>
        <v>Formal governance has no URL;</v>
      </c>
    </row>
    <row r="64" customFormat="false" ht="15" hidden="false" customHeight="true" outlineLevel="0" collapsed="false">
      <c r="A64" s="15" t="str">
        <f aca="false">Data!$A64</f>
        <v>Manifold</v>
      </c>
      <c r="B64" s="36" t="s">
        <v>269</v>
      </c>
      <c r="C64" s="37"/>
      <c r="D64" s="37"/>
      <c r="E64" s="37"/>
      <c r="F64" s="37"/>
      <c r="G64" s="37"/>
      <c r="H64" s="37"/>
      <c r="I64" s="37"/>
      <c r="J64" s="36"/>
      <c r="K64" s="38"/>
      <c r="L64" s="36"/>
      <c r="M64" s="34" t="n">
        <f aca="false">Calc!T64</f>
        <v>1</v>
      </c>
      <c r="N64" s="15" t="str">
        <f aca="false">TRIM(IF(Calc!L64=1,"Engagement listed but 037 says Considering or lower; ","")&amp;IF(Calc!M64=1,"CoC URL but status not Implemented; ","")&amp;IF(Calc!N64=1,"Formal governance has no URL; ","")&amp;IF(Calc!O64=1,"Governance blank but URL given; ","")&amp;IF(Calc!P64=1,"Text/URL given but no engagement category coded (read manually); ","")&amp;IF(Calc!Q64=1,"Check 041 URL; ","")&amp;IF(Calc!R64=1,"039 says Considering/Not planning but contribution evidence exists; ","")&amp;IF(Calc!S64=1,"No repo URL (manual check); ",""))</f>
        <v>Text/URL given but no engagement category coded (read manually);</v>
      </c>
    </row>
    <row r="65" customFormat="false" ht="15" hidden="false" customHeight="true" outlineLevel="0" collapsed="false">
      <c r="A65" s="15" t="str">
        <f aca="false">Data!$A65</f>
        <v>medRxiv</v>
      </c>
      <c r="B65" s="36" t="s">
        <v>269</v>
      </c>
      <c r="C65" s="37"/>
      <c r="D65" s="37"/>
      <c r="E65" s="37"/>
      <c r="F65" s="37"/>
      <c r="G65" s="37"/>
      <c r="H65" s="37"/>
      <c r="I65" s="37"/>
      <c r="J65" s="36"/>
      <c r="K65" s="38"/>
      <c r="L65" s="36"/>
      <c r="M65" s="34" t="n">
        <f aca="false">Calc!T65</f>
        <v>2</v>
      </c>
      <c r="N65" s="15" t="str">
        <f aca="false">TRIM(IF(Calc!L65=1,"Engagement listed but 037 says Considering or lower; ","")&amp;IF(Calc!M65=1,"CoC URL but status not Implemented; ","")&amp;IF(Calc!N65=1,"Formal governance has no URL; ","")&amp;IF(Calc!O65=1,"Governance blank but URL given; ","")&amp;IF(Calc!P65=1,"Text/URL given but no engagement category coded (read manually); ","")&amp;IF(Calc!Q65=1,"Check 041 URL; ","")&amp;IF(Calc!R65=1,"039 says Considering/Not planning but contribution evidence exists; ","")&amp;IF(Calc!S65=1,"No repo URL (manual check); ",""))</f>
        <v>039 says Considering/Not planning but contribution evidence exists; No repo URL (manual check);</v>
      </c>
    </row>
    <row r="66" customFormat="false" ht="15" hidden="false" customHeight="true" outlineLevel="0" collapsed="false">
      <c r="A66" s="15" t="str">
        <f aca="false">Data!$A66</f>
        <v>Metadata Encoding and Transmission Standard (METS)</v>
      </c>
      <c r="B66" s="36" t="s">
        <v>269</v>
      </c>
      <c r="C66" s="37"/>
      <c r="D66" s="37"/>
      <c r="E66" s="37"/>
      <c r="F66" s="37"/>
      <c r="G66" s="37"/>
      <c r="H66" s="37"/>
      <c r="I66" s="37"/>
      <c r="J66" s="36"/>
      <c r="K66" s="38"/>
      <c r="L66" s="36"/>
      <c r="M66" s="34" t="n">
        <f aca="false">Calc!T66</f>
        <v>0</v>
      </c>
      <c r="N66" s="15" t="str">
        <f aca="false">TRIM(IF(Calc!L66=1,"Engagement listed but 037 says Considering or lower; ","")&amp;IF(Calc!M66=1,"CoC URL but status not Implemented; ","")&amp;IF(Calc!N66=1,"Formal governance has no URL; ","")&amp;IF(Calc!O66=1,"Governance blank but URL given; ","")&amp;IF(Calc!P66=1,"Text/URL given but no engagement category coded (read manually); ","")&amp;IF(Calc!Q66=1,"Check 041 URL; ","")&amp;IF(Calc!R66=1,"039 says Considering/Not planning but contribution evidence exists; ","")&amp;IF(Calc!S66=1,"No repo URL (manual check); ",""))</f>
        <v/>
      </c>
    </row>
    <row r="67" customFormat="false" ht="15" hidden="false" customHeight="true" outlineLevel="0" collapsed="false">
      <c r="A67" s="15" t="str">
        <f aca="false">Data!$A67</f>
        <v>Mirador</v>
      </c>
      <c r="B67" s="36" t="s">
        <v>269</v>
      </c>
      <c r="C67" s="37"/>
      <c r="D67" s="37"/>
      <c r="E67" s="37"/>
      <c r="F67" s="37"/>
      <c r="G67" s="37"/>
      <c r="H67" s="37"/>
      <c r="I67" s="37"/>
      <c r="J67" s="36"/>
      <c r="K67" s="38"/>
      <c r="L67" s="36"/>
      <c r="M67" s="34" t="n">
        <f aca="false">Calc!T67</f>
        <v>0</v>
      </c>
      <c r="N67" s="15" t="str">
        <f aca="false">TRIM(IF(Calc!L67=1,"Engagement listed but 037 says Considering or lower; ","")&amp;IF(Calc!M67=1,"CoC URL but status not Implemented; ","")&amp;IF(Calc!N67=1,"Formal governance has no URL; ","")&amp;IF(Calc!O67=1,"Governance blank but URL given; ","")&amp;IF(Calc!P67=1,"Text/URL given but no engagement category coded (read manually); ","")&amp;IF(Calc!Q67=1,"Check 041 URL; ","")&amp;IF(Calc!R67=1,"039 says Considering/Not planning but contribution evidence exists; ","")&amp;IF(Calc!S67=1,"No repo URL (manual check); ",""))</f>
        <v/>
      </c>
    </row>
    <row r="68" customFormat="false" ht="15" hidden="false" customHeight="true" outlineLevel="0" collapsed="false">
      <c r="A68" s="15" t="str">
        <f aca="false">Data!$A68</f>
        <v>Mukurtu CMS</v>
      </c>
      <c r="B68" s="36" t="s">
        <v>269</v>
      </c>
      <c r="C68" s="37"/>
      <c r="D68" s="37"/>
      <c r="E68" s="37"/>
      <c r="F68" s="37"/>
      <c r="G68" s="37"/>
      <c r="H68" s="37"/>
      <c r="I68" s="37"/>
      <c r="J68" s="36"/>
      <c r="K68" s="38"/>
      <c r="L68" s="36"/>
      <c r="M68" s="34" t="n">
        <f aca="false">Calc!T68</f>
        <v>0</v>
      </c>
      <c r="N68" s="15" t="str">
        <f aca="false">TRIM(IF(Calc!L68=1,"Engagement listed but 037 says Considering or lower; ","")&amp;IF(Calc!M68=1,"CoC URL but status not Implemented; ","")&amp;IF(Calc!N68=1,"Formal governance has no URL; ","")&amp;IF(Calc!O68=1,"Governance blank but URL given; ","")&amp;IF(Calc!P68=1,"Text/URL given but no engagement category coded (read manually); ","")&amp;IF(Calc!Q68=1,"Check 041 URL; ","")&amp;IF(Calc!R68=1,"039 says Considering/Not planning but contribution evidence exists; ","")&amp;IF(Calc!S68=1,"No repo URL (manual check); ",""))</f>
        <v/>
      </c>
    </row>
    <row r="69" customFormat="false" ht="15" hidden="false" customHeight="true" outlineLevel="0" collapsed="false">
      <c r="A69" s="15" t="str">
        <f aca="false">Data!$A69</f>
        <v>MyCoRe</v>
      </c>
      <c r="B69" s="36" t="s">
        <v>269</v>
      </c>
      <c r="C69" s="37"/>
      <c r="D69" s="37"/>
      <c r="E69" s="37"/>
      <c r="F69" s="37"/>
      <c r="G69" s="37"/>
      <c r="H69" s="37"/>
      <c r="I69" s="37"/>
      <c r="J69" s="36"/>
      <c r="K69" s="38"/>
      <c r="L69" s="36"/>
      <c r="M69" s="34" t="n">
        <f aca="false">Calc!T69</f>
        <v>1</v>
      </c>
      <c r="N69" s="15" t="str">
        <f aca="false">TRIM(IF(Calc!L69=1,"Engagement listed but 037 says Considering or lower; ","")&amp;IF(Calc!M69=1,"CoC URL but status not Implemented; ","")&amp;IF(Calc!N69=1,"Formal governance has no URL; ","")&amp;IF(Calc!O69=1,"Governance blank but URL given; ","")&amp;IF(Calc!P69=1,"Text/URL given but no engagement category coded (read manually); ","")&amp;IF(Calc!Q69=1,"Check 041 URL; ","")&amp;IF(Calc!R69=1,"039 says Considering/Not planning but contribution evidence exists; ","")&amp;IF(Calc!S69=1,"No repo URL (manual check); ",""))</f>
        <v>CoC URL but status not Implemented;</v>
      </c>
    </row>
    <row r="70" customFormat="false" ht="15" hidden="false" customHeight="true" outlineLevel="0" collapsed="false">
      <c r="A70" s="15" t="str">
        <f aca="false">Data!$A70</f>
        <v>NumPy</v>
      </c>
      <c r="B70" s="36" t="s">
        <v>269</v>
      </c>
      <c r="C70" s="37"/>
      <c r="D70" s="37"/>
      <c r="E70" s="37"/>
      <c r="F70" s="37"/>
      <c r="G70" s="37"/>
      <c r="H70" s="37"/>
      <c r="I70" s="37"/>
      <c r="J70" s="36"/>
      <c r="K70" s="38"/>
      <c r="L70" s="36"/>
      <c r="M70" s="34" t="n">
        <f aca="false">Calc!T70</f>
        <v>1</v>
      </c>
      <c r="N70" s="15" t="str">
        <f aca="false">TRIM(IF(Calc!L70=1,"Engagement listed but 037 says Considering or lower; ","")&amp;IF(Calc!M70=1,"CoC URL but status not Implemented; ","")&amp;IF(Calc!N70=1,"Formal governance has no URL; ","")&amp;IF(Calc!O70=1,"Governance blank but URL given; ","")&amp;IF(Calc!P70=1,"Text/URL given but no engagement category coded (read manually); ","")&amp;IF(Calc!Q70=1,"Check 041 URL; ","")&amp;IF(Calc!R70=1,"039 says Considering/Not planning but contribution evidence exists; ","")&amp;IF(Calc!S70=1,"No repo URL (manual check); ",""))</f>
        <v>Text/URL given but no engagement category coded (read manually);</v>
      </c>
    </row>
    <row r="71" customFormat="false" ht="15" hidden="false" customHeight="true" outlineLevel="0" collapsed="false">
      <c r="A71" s="15" t="str">
        <f aca="false">Data!$A71</f>
        <v>OA.Report</v>
      </c>
      <c r="B71" s="36" t="s">
        <v>269</v>
      </c>
      <c r="C71" s="37"/>
      <c r="D71" s="37"/>
      <c r="E71" s="37"/>
      <c r="F71" s="37"/>
      <c r="G71" s="37"/>
      <c r="H71" s="37"/>
      <c r="I71" s="37"/>
      <c r="J71" s="36"/>
      <c r="K71" s="38"/>
      <c r="L71" s="36"/>
      <c r="M71" s="34" t="n">
        <f aca="false">Calc!T71</f>
        <v>1</v>
      </c>
      <c r="N71" s="15" t="str">
        <f aca="false">TRIM(IF(Calc!L71=1,"Engagement listed but 037 says Considering or lower; ","")&amp;IF(Calc!M71=1,"CoC URL but status not Implemented; ","")&amp;IF(Calc!N71=1,"Formal governance has no URL; ","")&amp;IF(Calc!O71=1,"Governance blank but URL given; ","")&amp;IF(Calc!P71=1,"Text/URL given but no engagement category coded (read manually); ","")&amp;IF(Calc!Q71=1,"Check 041 URL; ","")&amp;IF(Calc!R71=1,"039 says Considering/Not planning but contribution evidence exists; ","")&amp;IF(Calc!S71=1,"No repo URL (manual check); ",""))</f>
        <v>Text/URL given but no engagement category coded (read manually);</v>
      </c>
    </row>
    <row r="72" customFormat="false" ht="15" hidden="false" customHeight="true" outlineLevel="0" collapsed="false">
      <c r="A72" s="15" t="str">
        <f aca="false">Data!$A72</f>
        <v>OA Switchboard</v>
      </c>
      <c r="B72" s="36" t="s">
        <v>269</v>
      </c>
      <c r="C72" s="37"/>
      <c r="D72" s="37"/>
      <c r="E72" s="37"/>
      <c r="F72" s="37"/>
      <c r="G72" s="37"/>
      <c r="H72" s="37"/>
      <c r="I72" s="37"/>
      <c r="J72" s="36"/>
      <c r="K72" s="38"/>
      <c r="L72" s="36"/>
      <c r="M72" s="34" t="n">
        <f aca="false">Calc!T72</f>
        <v>0</v>
      </c>
      <c r="N72" s="15" t="str">
        <f aca="false">TRIM(IF(Calc!L72=1,"Engagement listed but 037 says Considering or lower; ","")&amp;IF(Calc!M72=1,"CoC URL but status not Implemented; ","")&amp;IF(Calc!N72=1,"Formal governance has no URL; ","")&amp;IF(Calc!O72=1,"Governance blank but URL given; ","")&amp;IF(Calc!P72=1,"Text/URL given but no engagement category coded (read manually); ","")&amp;IF(Calc!Q72=1,"Check 041 URL; ","")&amp;IF(Calc!R72=1,"039 says Considering/Not planning but contribution evidence exists; ","")&amp;IF(Calc!S72=1,"No repo URL (manual check); ",""))</f>
        <v/>
      </c>
    </row>
    <row r="73" customFormat="false" ht="15" hidden="false" customHeight="true" outlineLevel="0" collapsed="false">
      <c r="A73" s="15" t="str">
        <f aca="false">Data!$A73</f>
        <v>Omeka</v>
      </c>
      <c r="B73" s="36" t="s">
        <v>269</v>
      </c>
      <c r="C73" s="37"/>
      <c r="D73" s="37"/>
      <c r="E73" s="37"/>
      <c r="F73" s="37"/>
      <c r="G73" s="37"/>
      <c r="H73" s="37"/>
      <c r="I73" s="37"/>
      <c r="J73" s="36"/>
      <c r="K73" s="38"/>
      <c r="L73" s="36"/>
      <c r="M73" s="34" t="n">
        <f aca="false">Calc!T73</f>
        <v>0</v>
      </c>
      <c r="N73" s="15" t="str">
        <f aca="false">TRIM(IF(Calc!L73=1,"Engagement listed but 037 says Considering or lower; ","")&amp;IF(Calc!M73=1,"CoC URL but status not Implemented; ","")&amp;IF(Calc!N73=1,"Formal governance has no URL; ","")&amp;IF(Calc!O73=1,"Governance blank but URL given; ","")&amp;IF(Calc!P73=1,"Text/URL given but no engagement category coded (read manually); ","")&amp;IF(Calc!Q73=1,"Check 041 URL; ","")&amp;IF(Calc!R73=1,"039 says Considering/Not planning but contribution evidence exists; ","")&amp;IF(Calc!S73=1,"No repo URL (manual check); ",""))</f>
        <v/>
      </c>
    </row>
    <row r="74" customFormat="false" ht="15" hidden="false" customHeight="true" outlineLevel="0" collapsed="false">
      <c r="A74" s="15" t="str">
        <f aca="false">Data!$A74</f>
        <v>OpenAIRE Graph</v>
      </c>
      <c r="B74" s="36" t="s">
        <v>269</v>
      </c>
      <c r="C74" s="37"/>
      <c r="D74" s="37"/>
      <c r="E74" s="37"/>
      <c r="F74" s="37"/>
      <c r="G74" s="37"/>
      <c r="H74" s="37"/>
      <c r="I74" s="37"/>
      <c r="J74" s="36"/>
      <c r="K74" s="38"/>
      <c r="L74" s="36"/>
      <c r="M74" s="34" t="n">
        <f aca="false">Calc!T74</f>
        <v>0</v>
      </c>
      <c r="N74" s="15" t="str">
        <f aca="false">TRIM(IF(Calc!L74=1,"Engagement listed but 037 says Considering or lower; ","")&amp;IF(Calc!M74=1,"CoC URL but status not Implemented; ","")&amp;IF(Calc!N74=1,"Formal governance has no URL; ","")&amp;IF(Calc!O74=1,"Governance blank but URL given; ","")&amp;IF(Calc!P74=1,"Text/URL given but no engagement category coded (read manually); ","")&amp;IF(Calc!Q74=1,"Check 041 URL; ","")&amp;IF(Calc!R74=1,"039 says Considering/Not planning but contribution evidence exists; ","")&amp;IF(Calc!S74=1,"No repo URL (manual check); ",""))</f>
        <v/>
      </c>
    </row>
    <row r="75" customFormat="false" ht="15" hidden="false" customHeight="true" outlineLevel="0" collapsed="false">
      <c r="A75" s="15" t="str">
        <f aca="false">Data!$A75</f>
        <v>OpenAlex</v>
      </c>
      <c r="B75" s="36" t="s">
        <v>269</v>
      </c>
      <c r="C75" s="37"/>
      <c r="D75" s="37"/>
      <c r="E75" s="37"/>
      <c r="F75" s="37"/>
      <c r="G75" s="37"/>
      <c r="H75" s="37"/>
      <c r="I75" s="37"/>
      <c r="J75" s="36"/>
      <c r="K75" s="38"/>
      <c r="L75" s="36"/>
      <c r="M75" s="34" t="n">
        <f aca="false">Calc!T75</f>
        <v>2</v>
      </c>
      <c r="N75" s="15" t="str">
        <f aca="false">TRIM(IF(Calc!L75=1,"Engagement listed but 037 says Considering or lower; ","")&amp;IF(Calc!M75=1,"CoC URL but status not Implemented; ","")&amp;IF(Calc!N75=1,"Formal governance has no URL; ","")&amp;IF(Calc!O75=1,"Governance blank but URL given; ","")&amp;IF(Calc!P75=1,"Text/URL given but no engagement category coded (read manually); ","")&amp;IF(Calc!Q75=1,"Check 041 URL; ","")&amp;IF(Calc!R75=1,"039 says Considering/Not planning but contribution evidence exists; ","")&amp;IF(Calc!S75=1,"No repo URL (manual check); ",""))</f>
        <v>Formal governance has no URL; 039 says Considering/Not planning but contribution evidence exists;</v>
      </c>
    </row>
    <row r="76" customFormat="false" ht="15" hidden="false" customHeight="true" outlineLevel="0" collapsed="false">
      <c r="A76" s="15" t="str">
        <f aca="false">Data!$A76</f>
        <v>OpenAPC</v>
      </c>
      <c r="B76" s="36" t="s">
        <v>269</v>
      </c>
      <c r="C76" s="37"/>
      <c r="D76" s="37"/>
      <c r="E76" s="37"/>
      <c r="F76" s="37"/>
      <c r="G76" s="37"/>
      <c r="H76" s="37"/>
      <c r="I76" s="37"/>
      <c r="J76" s="36"/>
      <c r="K76" s="38"/>
      <c r="L76" s="36"/>
      <c r="M76" s="34" t="n">
        <f aca="false">Calc!T76</f>
        <v>0</v>
      </c>
      <c r="N76" s="15" t="str">
        <f aca="false">TRIM(IF(Calc!L76=1,"Engagement listed but 037 says Considering or lower; ","")&amp;IF(Calc!M76=1,"CoC URL but status not Implemented; ","")&amp;IF(Calc!N76=1,"Formal governance has no URL; ","")&amp;IF(Calc!O76=1,"Governance blank but URL given; ","")&amp;IF(Calc!P76=1,"Text/URL given but no engagement category coded (read manually); ","")&amp;IF(Calc!Q76=1,"Check 041 URL; ","")&amp;IF(Calc!R76=1,"039 says Considering/Not planning but contribution evidence exists; ","")&amp;IF(Calc!S76=1,"No repo URL (manual check); ",""))</f>
        <v/>
      </c>
    </row>
    <row r="77" customFormat="false" ht="15" hidden="false" customHeight="true" outlineLevel="0" collapsed="false">
      <c r="A77" s="15" t="str">
        <f aca="false">Data!$A77</f>
        <v>OpenCitations</v>
      </c>
      <c r="B77" s="36" t="s">
        <v>269</v>
      </c>
      <c r="C77" s="37"/>
      <c r="D77" s="37"/>
      <c r="E77" s="37"/>
      <c r="F77" s="37"/>
      <c r="G77" s="37"/>
      <c r="H77" s="37"/>
      <c r="I77" s="37"/>
      <c r="J77" s="36"/>
      <c r="K77" s="38"/>
      <c r="L77" s="36"/>
      <c r="M77" s="34" t="n">
        <f aca="false">Calc!T77</f>
        <v>1</v>
      </c>
      <c r="N77" s="15" t="str">
        <f aca="false">TRIM(IF(Calc!L77=1,"Engagement listed but 037 says Considering or lower; ","")&amp;IF(Calc!M77=1,"CoC URL but status not Implemented; ","")&amp;IF(Calc!N77=1,"Formal governance has no URL; ","")&amp;IF(Calc!O77=1,"Governance blank but URL given; ","")&amp;IF(Calc!P77=1,"Text/URL given but no engagement category coded (read manually); ","")&amp;IF(Calc!Q77=1,"Check 041 URL; ","")&amp;IF(Calc!R77=1,"039 says Considering/Not planning but contribution evidence exists; ","")&amp;IF(Calc!S77=1,"No repo URL (manual check); ",""))</f>
        <v>Engagement listed but 037 says Considering or lower;</v>
      </c>
    </row>
    <row r="78" customFormat="false" ht="15" hidden="false" customHeight="true" outlineLevel="0" collapsed="false">
      <c r="A78" s="15" t="str">
        <f aca="false">Data!$A78</f>
        <v>openCost</v>
      </c>
      <c r="B78" s="36" t="s">
        <v>269</v>
      </c>
      <c r="C78" s="37"/>
      <c r="D78" s="37"/>
      <c r="E78" s="37"/>
      <c r="F78" s="37"/>
      <c r="G78" s="37"/>
      <c r="H78" s="37"/>
      <c r="I78" s="37"/>
      <c r="J78" s="36"/>
      <c r="K78" s="38"/>
      <c r="L78" s="36"/>
      <c r="M78" s="34" t="n">
        <f aca="false">Calc!T78</f>
        <v>0</v>
      </c>
      <c r="N78" s="15" t="str">
        <f aca="false">TRIM(IF(Calc!L78=1,"Engagement listed but 037 says Considering or lower; ","")&amp;IF(Calc!M78=1,"CoC URL but status not Implemented; ","")&amp;IF(Calc!N78=1,"Formal governance has no URL; ","")&amp;IF(Calc!O78=1,"Governance blank but URL given; ","")&amp;IF(Calc!P78=1,"Text/URL given but no engagement category coded (read manually); ","")&amp;IF(Calc!Q78=1,"Check 041 URL; ","")&amp;IF(Calc!R78=1,"039 says Considering/Not planning but contribution evidence exists; ","")&amp;IF(Calc!S78=1,"No repo URL (manual check); ",""))</f>
        <v/>
      </c>
    </row>
    <row r="79" customFormat="false" ht="15" hidden="false" customHeight="true" outlineLevel="0" collapsed="false">
      <c r="A79" s="15" t="str">
        <f aca="false">Data!$A79</f>
        <v>Open Data Editor</v>
      </c>
      <c r="B79" s="36" t="s">
        <v>269</v>
      </c>
      <c r="C79" s="37"/>
      <c r="D79" s="37"/>
      <c r="E79" s="37"/>
      <c r="F79" s="37"/>
      <c r="G79" s="37"/>
      <c r="H79" s="37"/>
      <c r="I79" s="37"/>
      <c r="J79" s="36"/>
      <c r="K79" s="38"/>
      <c r="L79" s="36"/>
      <c r="M79" s="34" t="n">
        <f aca="false">Calc!T79</f>
        <v>0</v>
      </c>
      <c r="N79" s="15" t="str">
        <f aca="false">TRIM(IF(Calc!L79=1,"Engagement listed but 037 says Considering or lower; ","")&amp;IF(Calc!M79=1,"CoC URL but status not Implemented; ","")&amp;IF(Calc!N79=1,"Formal governance has no URL; ","")&amp;IF(Calc!O79=1,"Governance blank but URL given; ","")&amp;IF(Calc!P79=1,"Text/URL given but no engagement category coded (read manually); ","")&amp;IF(Calc!Q79=1,"Check 041 URL; ","")&amp;IF(Calc!R79=1,"039 says Considering/Not planning but contribution evidence exists; ","")&amp;IF(Calc!S79=1,"No repo URL (manual check); ",""))</f>
        <v/>
      </c>
    </row>
    <row r="80" customFormat="false" ht="15" hidden="false" customHeight="true" outlineLevel="0" collapsed="false">
      <c r="A80" s="15" t="str">
        <f aca="false">Data!$A80</f>
        <v>OpenEdition</v>
      </c>
      <c r="B80" s="36" t="s">
        <v>269</v>
      </c>
      <c r="C80" s="37"/>
      <c r="D80" s="37"/>
      <c r="E80" s="37"/>
      <c r="F80" s="37"/>
      <c r="G80" s="37"/>
      <c r="H80" s="37"/>
      <c r="I80" s="37"/>
      <c r="J80" s="36"/>
      <c r="K80" s="38"/>
      <c r="L80" s="36"/>
      <c r="M80" s="34" t="n">
        <f aca="false">Calc!T80</f>
        <v>0</v>
      </c>
      <c r="N80" s="15" t="str">
        <f aca="false">TRIM(IF(Calc!L80=1,"Engagement listed but 037 says Considering or lower; ","")&amp;IF(Calc!M80=1,"CoC URL but status not Implemented; ","")&amp;IF(Calc!N80=1,"Formal governance has no URL; ","")&amp;IF(Calc!O80=1,"Governance blank but URL given; ","")&amp;IF(Calc!P80=1,"Text/URL given but no engagement category coded (read manually); ","")&amp;IF(Calc!Q80=1,"Check 041 URL; ","")&amp;IF(Calc!R80=1,"039 says Considering/Not planning but contribution evidence exists; ","")&amp;IF(Calc!S80=1,"No repo URL (manual check); ",""))</f>
        <v/>
      </c>
    </row>
    <row r="81" customFormat="false" ht="15" hidden="false" customHeight="true" outlineLevel="0" collapsed="false">
      <c r="A81" s="15" t="str">
        <f aca="false">Data!$A81</f>
        <v>Open Journal Systems (OJS)</v>
      </c>
      <c r="B81" s="36" t="s">
        <v>269</v>
      </c>
      <c r="C81" s="37"/>
      <c r="D81" s="37"/>
      <c r="E81" s="37"/>
      <c r="F81" s="37"/>
      <c r="G81" s="37"/>
      <c r="H81" s="37"/>
      <c r="I81" s="37"/>
      <c r="J81" s="36"/>
      <c r="K81" s="38"/>
      <c r="L81" s="36"/>
      <c r="M81" s="34" t="n">
        <f aca="false">Calc!T81</f>
        <v>0</v>
      </c>
      <c r="N81" s="15" t="str">
        <f aca="false">TRIM(IF(Calc!L81=1,"Engagement listed but 037 says Considering or lower; ","")&amp;IF(Calc!M81=1,"CoC URL but status not Implemented; ","")&amp;IF(Calc!N81=1,"Formal governance has no URL; ","")&amp;IF(Calc!O81=1,"Governance blank but URL given; ","")&amp;IF(Calc!P81=1,"Text/URL given but no engagement category coded (read manually); ","")&amp;IF(Calc!Q81=1,"Check 041 URL; ","")&amp;IF(Calc!R81=1,"039 says Considering/Not planning but contribution evidence exists; ","")&amp;IF(Calc!S81=1,"No repo URL (manual check); ",""))</f>
        <v/>
      </c>
    </row>
    <row r="82" customFormat="false" ht="15" hidden="false" customHeight="true" outlineLevel="0" collapsed="false">
      <c r="A82" s="15" t="str">
        <f aca="false">Data!$A82</f>
        <v>Open Monograph Press (OMP)</v>
      </c>
      <c r="B82" s="36" t="s">
        <v>269</v>
      </c>
      <c r="C82" s="37"/>
      <c r="D82" s="37"/>
      <c r="E82" s="37"/>
      <c r="F82" s="37"/>
      <c r="G82" s="37"/>
      <c r="H82" s="37"/>
      <c r="I82" s="37"/>
      <c r="J82" s="36"/>
      <c r="K82" s="38"/>
      <c r="L82" s="36"/>
      <c r="M82" s="34" t="n">
        <f aca="false">Calc!T82</f>
        <v>0</v>
      </c>
      <c r="N82" s="15" t="str">
        <f aca="false">TRIM(IF(Calc!L82=1,"Engagement listed but 037 says Considering or lower; ","")&amp;IF(Calc!M82=1,"CoC URL but status not Implemented; ","")&amp;IF(Calc!N82=1,"Formal governance has no URL; ","")&amp;IF(Calc!O82=1,"Governance blank but URL given; ","")&amp;IF(Calc!P82=1,"Text/URL given but no engagement category coded (read manually); ","")&amp;IF(Calc!Q82=1,"Check 041 URL; ","")&amp;IF(Calc!R82=1,"039 says Considering/Not planning but contribution evidence exists; ","")&amp;IF(Calc!S82=1,"No repo URL (manual check); ",""))</f>
        <v/>
      </c>
    </row>
    <row r="83" customFormat="false" ht="15" hidden="false" customHeight="true" outlineLevel="0" collapsed="false">
      <c r="A83" s="15" t="str">
        <f aca="false">Data!$A83</f>
        <v>Open Preprint Systems (OPS)</v>
      </c>
      <c r="B83" s="36" t="s">
        <v>269</v>
      </c>
      <c r="C83" s="37"/>
      <c r="D83" s="37"/>
      <c r="E83" s="37"/>
      <c r="F83" s="37"/>
      <c r="G83" s="37"/>
      <c r="H83" s="37"/>
      <c r="I83" s="37"/>
      <c r="J83" s="36"/>
      <c r="K83" s="38"/>
      <c r="L83" s="36"/>
      <c r="M83" s="34" t="n">
        <f aca="false">Calc!T83</f>
        <v>0</v>
      </c>
      <c r="N83" s="15" t="str">
        <f aca="false">TRIM(IF(Calc!L83=1,"Engagement listed but 037 says Considering or lower; ","")&amp;IF(Calc!M83=1,"CoC URL but status not Implemented; ","")&amp;IF(Calc!N83=1,"Formal governance has no URL; ","")&amp;IF(Calc!O83=1,"Governance blank but URL given; ","")&amp;IF(Calc!P83=1,"Text/URL given but no engagement category coded (read manually); ","")&amp;IF(Calc!Q83=1,"Check 041 URL; ","")&amp;IF(Calc!R83=1,"039 says Considering/Not planning but contribution evidence exists; ","")&amp;IF(Calc!S83=1,"No repo URL (manual check); ",""))</f>
        <v/>
      </c>
    </row>
    <row r="84" customFormat="false" ht="15" hidden="false" customHeight="true" outlineLevel="0" collapsed="false">
      <c r="A84" s="15" t="str">
        <f aca="false">Data!$A84</f>
        <v>Openverse</v>
      </c>
      <c r="B84" s="36" t="s">
        <v>269</v>
      </c>
      <c r="C84" s="37"/>
      <c r="D84" s="37"/>
      <c r="E84" s="37"/>
      <c r="F84" s="37"/>
      <c r="G84" s="37"/>
      <c r="H84" s="37"/>
      <c r="I84" s="37"/>
      <c r="J84" s="36"/>
      <c r="K84" s="38"/>
      <c r="L84" s="36"/>
      <c r="M84" s="34" t="n">
        <f aca="false">Calc!T84</f>
        <v>1</v>
      </c>
      <c r="N84" s="15" t="str">
        <f aca="false">TRIM(IF(Calc!L84=1,"Engagement listed but 037 says Considering or lower; ","")&amp;IF(Calc!M84=1,"CoC URL but status not Implemented; ","")&amp;IF(Calc!N84=1,"Formal governance has no URL; ","")&amp;IF(Calc!O84=1,"Governance blank but URL given; ","")&amp;IF(Calc!P84=1,"Text/URL given but no engagement category coded (read manually); ","")&amp;IF(Calc!Q84=1,"Check 041 URL; ","")&amp;IF(Calc!R84=1,"039 says Considering/Not planning but contribution evidence exists; ","")&amp;IF(Calc!S84=1,"No repo URL (manual check); ",""))</f>
        <v>Text/URL given but no engagement category coded (read manually);</v>
      </c>
    </row>
    <row r="85" customFormat="false" ht="15" hidden="false" customHeight="true" outlineLevel="0" collapsed="false">
      <c r="A85" s="15" t="str">
        <f aca="false">Data!$A85</f>
        <v>O Portal Brasileiro de Publicações e Dados Científicos em Acesso Aberto (The Brazilian Open Access Publications and Scientific Data Portal) (Oasisbr)</v>
      </c>
      <c r="B85" s="36" t="s">
        <v>269</v>
      </c>
      <c r="C85" s="37"/>
      <c r="D85" s="37"/>
      <c r="E85" s="37"/>
      <c r="F85" s="37"/>
      <c r="G85" s="37"/>
      <c r="H85" s="37"/>
      <c r="I85" s="37"/>
      <c r="J85" s="36"/>
      <c r="K85" s="38"/>
      <c r="L85" s="36"/>
      <c r="M85" s="34" t="n">
        <f aca="false">Calc!T85</f>
        <v>0</v>
      </c>
      <c r="N85" s="15" t="str">
        <f aca="false">TRIM(IF(Calc!L85=1,"Engagement listed but 037 says Considering or lower; ","")&amp;IF(Calc!M85=1,"CoC URL but status not Implemented; ","")&amp;IF(Calc!N85=1,"Formal governance has no URL; ","")&amp;IF(Calc!O85=1,"Governance blank but URL given; ","")&amp;IF(Calc!P85=1,"Text/URL given but no engagement category coded (read manually); ","")&amp;IF(Calc!Q85=1,"Check 041 URL; ","")&amp;IF(Calc!R85=1,"039 says Considering/Not planning but contribution evidence exists; ","")&amp;IF(Calc!S85=1,"No repo URL (manual check); ",""))</f>
        <v/>
      </c>
    </row>
    <row r="86" customFormat="false" ht="15" hidden="false" customHeight="true" outlineLevel="0" collapsed="false">
      <c r="A86" s="15" t="str">
        <f aca="false">Data!$A86</f>
        <v>OSF (Open Science Framework)</v>
      </c>
      <c r="B86" s="36" t="s">
        <v>269</v>
      </c>
      <c r="C86" s="37"/>
      <c r="D86" s="37"/>
      <c r="E86" s="37"/>
      <c r="F86" s="37"/>
      <c r="G86" s="37"/>
      <c r="H86" s="37"/>
      <c r="I86" s="37"/>
      <c r="J86" s="36"/>
      <c r="K86" s="38"/>
      <c r="L86" s="36"/>
      <c r="M86" s="34" t="n">
        <f aca="false">Calc!T86</f>
        <v>2</v>
      </c>
      <c r="N86" s="15" t="str">
        <f aca="false">TRIM(IF(Calc!L86=1,"Engagement listed but 037 says Considering or lower; ","")&amp;IF(Calc!M86=1,"CoC URL but status not Implemented; ","")&amp;IF(Calc!N86=1,"Formal governance has no URL; ","")&amp;IF(Calc!O86=1,"Governance blank but URL given; ","")&amp;IF(Calc!P86=1,"Text/URL given but no engagement category coded (read manually); ","")&amp;IF(Calc!Q86=1,"Check 041 URL; ","")&amp;IF(Calc!R86=1,"039 says Considering/Not planning but contribution evidence exists; ","")&amp;IF(Calc!S86=1,"No repo URL (manual check); ",""))</f>
        <v>Text/URL given but no engagement category coded (read manually); Check 041 URL;</v>
      </c>
    </row>
    <row r="87" customFormat="false" ht="15" hidden="false" customHeight="true" outlineLevel="0" collapsed="false">
      <c r="A87" s="15" t="str">
        <f aca="false">Data!$A87</f>
        <v>Oxford Common File Layout</v>
      </c>
      <c r="B87" s="36" t="s">
        <v>269</v>
      </c>
      <c r="C87" s="37"/>
      <c r="D87" s="37"/>
      <c r="E87" s="37"/>
      <c r="F87" s="37"/>
      <c r="G87" s="37"/>
      <c r="H87" s="37"/>
      <c r="I87" s="37"/>
      <c r="J87" s="36"/>
      <c r="K87" s="38"/>
      <c r="L87" s="36"/>
      <c r="M87" s="34" t="n">
        <f aca="false">Calc!T87</f>
        <v>0</v>
      </c>
      <c r="N87" s="15" t="str">
        <f aca="false">TRIM(IF(Calc!L87=1,"Engagement listed but 037 says Considering or lower; ","")&amp;IF(Calc!M87=1,"CoC URL but status not Implemented; ","")&amp;IF(Calc!N87=1,"Formal governance has no URL; ","")&amp;IF(Calc!O87=1,"Governance blank but URL given; ","")&amp;IF(Calc!P87=1,"Text/URL given but no engagement category coded (read manually); ","")&amp;IF(Calc!Q87=1,"Check 041 URL; ","")&amp;IF(Calc!R87=1,"039 says Considering/Not planning but contribution evidence exists; ","")&amp;IF(Calc!S87=1,"No repo URL (manual check); ",""))</f>
        <v/>
      </c>
    </row>
    <row r="88" customFormat="false" ht="15" hidden="false" customHeight="true" outlineLevel="0" collapsed="false">
      <c r="A88" s="15" t="str">
        <f aca="false">Data!$A88</f>
        <v>Peer Community In</v>
      </c>
      <c r="B88" s="36" t="s">
        <v>269</v>
      </c>
      <c r="C88" s="37"/>
      <c r="D88" s="37"/>
      <c r="E88" s="37"/>
      <c r="F88" s="37"/>
      <c r="G88" s="37"/>
      <c r="H88" s="37"/>
      <c r="I88" s="37"/>
      <c r="J88" s="36"/>
      <c r="K88" s="38"/>
      <c r="L88" s="36"/>
      <c r="M88" s="34" t="n">
        <f aca="false">Calc!T88</f>
        <v>2</v>
      </c>
      <c r="N88" s="15" t="str">
        <f aca="false">TRIM(IF(Calc!L88=1,"Engagement listed but 037 says Considering or lower; ","")&amp;IF(Calc!M88=1,"CoC URL but status not Implemented; ","")&amp;IF(Calc!N88=1,"Formal governance has no URL; ","")&amp;IF(Calc!O88=1,"Governance blank but URL given; ","")&amp;IF(Calc!P88=1,"Text/URL given but no engagement category coded (read manually); ","")&amp;IF(Calc!Q88=1,"Check 041 URL; ","")&amp;IF(Calc!R88=1,"039 says Considering/Not planning but contribution evidence exists; ","")&amp;IF(Calc!S88=1,"No repo URL (manual check); ",""))</f>
        <v>Formal governance has no URL; Text/URL given but no engagement category coded (read manually);</v>
      </c>
    </row>
    <row r="89" customFormat="false" ht="15" hidden="false" customHeight="true" outlineLevel="0" collapsed="false">
      <c r="A89" s="15" t="str">
        <f aca="false">Data!$A89</f>
        <v>PKP Preservation Network</v>
      </c>
      <c r="B89" s="36" t="s">
        <v>269</v>
      </c>
      <c r="C89" s="37"/>
      <c r="D89" s="37"/>
      <c r="E89" s="37"/>
      <c r="F89" s="37"/>
      <c r="G89" s="37"/>
      <c r="H89" s="37"/>
      <c r="I89" s="37"/>
      <c r="J89" s="36"/>
      <c r="K89" s="38"/>
      <c r="L89" s="36"/>
      <c r="M89" s="34" t="n">
        <f aca="false">Calc!T89</f>
        <v>1</v>
      </c>
      <c r="N89" s="15" t="str">
        <f aca="false">TRIM(IF(Calc!L89=1,"Engagement listed but 037 says Considering or lower; ","")&amp;IF(Calc!M89=1,"CoC URL but status not Implemented; ","")&amp;IF(Calc!N89=1,"Formal governance has no URL; ","")&amp;IF(Calc!O89=1,"Governance blank but URL given; ","")&amp;IF(Calc!P89=1,"Text/URL given but no engagement category coded (read manually); ","")&amp;IF(Calc!Q89=1,"Check 041 URL; ","")&amp;IF(Calc!R89=1,"039 says Considering/Not planning but contribution evidence exists; ","")&amp;IF(Calc!S89=1,"No repo URL (manual check); ",""))</f>
        <v>Text/URL given but no engagement category coded (read manually);</v>
      </c>
    </row>
    <row r="90" customFormat="false" ht="15" hidden="false" customHeight="true" outlineLevel="0" collapsed="false">
      <c r="A90" s="15" t="str">
        <f aca="false">Data!$A90</f>
        <v>PREreview</v>
      </c>
      <c r="B90" s="36" t="s">
        <v>269</v>
      </c>
      <c r="C90" s="37"/>
      <c r="D90" s="37"/>
      <c r="E90" s="37"/>
      <c r="F90" s="37"/>
      <c r="G90" s="37"/>
      <c r="H90" s="37"/>
      <c r="I90" s="37"/>
      <c r="J90" s="36"/>
      <c r="K90" s="38"/>
      <c r="L90" s="36"/>
      <c r="M90" s="34" t="n">
        <f aca="false">Calc!T90</f>
        <v>0</v>
      </c>
      <c r="N90" s="15" t="str">
        <f aca="false">TRIM(IF(Calc!L90=1,"Engagement listed but 037 says Considering or lower; ","")&amp;IF(Calc!M90=1,"CoC URL but status not Implemented; ","")&amp;IF(Calc!N90=1,"Formal governance has no URL; ","")&amp;IF(Calc!O90=1,"Governance blank but URL given; ","")&amp;IF(Calc!P90=1,"Text/URL given but no engagement category coded (read manually); ","")&amp;IF(Calc!Q90=1,"Check 041 URL; ","")&amp;IF(Calc!R90=1,"039 says Considering/Not planning but contribution evidence exists; ","")&amp;IF(Calc!S90=1,"No repo URL (manual check); ",""))</f>
        <v/>
      </c>
    </row>
    <row r="91" customFormat="false" ht="15" hidden="false" customHeight="true" outlineLevel="0" collapsed="false">
      <c r="A91" s="15" t="str">
        <f aca="false">Data!$A91</f>
        <v>Pressbooks</v>
      </c>
      <c r="B91" s="36" t="s">
        <v>269</v>
      </c>
      <c r="C91" s="37"/>
      <c r="D91" s="37"/>
      <c r="E91" s="37"/>
      <c r="F91" s="37"/>
      <c r="G91" s="37"/>
      <c r="H91" s="37"/>
      <c r="I91" s="37"/>
      <c r="J91" s="36"/>
      <c r="K91" s="38"/>
      <c r="L91" s="36"/>
      <c r="M91" s="34" t="n">
        <f aca="false">Calc!T91</f>
        <v>0</v>
      </c>
      <c r="N91" s="15" t="str">
        <f aca="false">TRIM(IF(Calc!L91=1,"Engagement listed but 037 says Considering or lower; ","")&amp;IF(Calc!M91=1,"CoC URL but status not Implemented; ","")&amp;IF(Calc!N91=1,"Formal governance has no URL; ","")&amp;IF(Calc!O91=1,"Governance blank but URL given; ","")&amp;IF(Calc!P91=1,"Text/URL given but no engagement category coded (read manually); ","")&amp;IF(Calc!Q91=1,"Check 041 URL; ","")&amp;IF(Calc!R91=1,"039 says Considering/Not planning but contribution evidence exists; ","")&amp;IF(Calc!S91=1,"No repo URL (manual check); ",""))</f>
        <v/>
      </c>
    </row>
    <row r="92" customFormat="false" ht="15" hidden="false" customHeight="true" outlineLevel="0" collapsed="false">
      <c r="A92" s="15" t="str">
        <f aca="false">Data!$A92</f>
        <v>Public Access Submission System</v>
      </c>
      <c r="B92" s="36" t="s">
        <v>269</v>
      </c>
      <c r="C92" s="37"/>
      <c r="D92" s="37"/>
      <c r="E92" s="37"/>
      <c r="F92" s="37"/>
      <c r="G92" s="37"/>
      <c r="H92" s="37"/>
      <c r="I92" s="37"/>
      <c r="J92" s="36"/>
      <c r="K92" s="38"/>
      <c r="L92" s="36"/>
      <c r="M92" s="34" t="n">
        <f aca="false">Calc!T92</f>
        <v>0</v>
      </c>
      <c r="N92" s="15" t="str">
        <f aca="false">TRIM(IF(Calc!L92=1,"Engagement listed but 037 says Considering or lower; ","")&amp;IF(Calc!M92=1,"CoC URL but status not Implemented; ","")&amp;IF(Calc!N92=1,"Formal governance has no URL; ","")&amp;IF(Calc!O92=1,"Governance blank but URL given; ","")&amp;IF(Calc!P92=1,"Text/URL given but no engagement category coded (read manually); ","")&amp;IF(Calc!Q92=1,"Check 041 URL; ","")&amp;IF(Calc!R92=1,"039 says Considering/Not planning but contribution evidence exists; ","")&amp;IF(Calc!S92=1,"No repo URL (manual check); ",""))</f>
        <v/>
      </c>
    </row>
    <row r="93" customFormat="false" ht="15" hidden="false" customHeight="true" outlineLevel="0" collapsed="false">
      <c r="A93" s="15" t="str">
        <f aca="false">Data!$A93</f>
        <v>Public Utility Data Liberation (PUDL)</v>
      </c>
      <c r="B93" s="36" t="s">
        <v>269</v>
      </c>
      <c r="C93" s="37"/>
      <c r="D93" s="37"/>
      <c r="E93" s="37"/>
      <c r="F93" s="37"/>
      <c r="G93" s="37"/>
      <c r="H93" s="37"/>
      <c r="I93" s="37"/>
      <c r="J93" s="36"/>
      <c r="K93" s="38"/>
      <c r="L93" s="36"/>
      <c r="M93" s="34" t="n">
        <f aca="false">Calc!T93</f>
        <v>0</v>
      </c>
      <c r="N93" s="15" t="str">
        <f aca="false">TRIM(IF(Calc!L93=1,"Engagement listed but 037 says Considering or lower; ","")&amp;IF(Calc!M93=1,"CoC URL but status not Implemented; ","")&amp;IF(Calc!N93=1,"Formal governance has no URL; ","")&amp;IF(Calc!O93=1,"Governance blank but URL given; ","")&amp;IF(Calc!P93=1,"Text/URL given but no engagement category coded (read manually); ","")&amp;IF(Calc!Q93=1,"Check 041 URL; ","")&amp;IF(Calc!R93=1,"039 says Considering/Not planning but contribution evidence exists; ","")&amp;IF(Calc!S93=1,"No repo URL (manual check); ",""))</f>
        <v/>
      </c>
    </row>
    <row r="94" customFormat="false" ht="15" hidden="false" customHeight="true" outlineLevel="0" collapsed="false">
      <c r="A94" s="15" t="str">
        <f aca="false">Data!$A94</f>
        <v>PubPub</v>
      </c>
      <c r="B94" s="36" t="s">
        <v>269</v>
      </c>
      <c r="C94" s="37"/>
      <c r="D94" s="37"/>
      <c r="E94" s="37"/>
      <c r="F94" s="37"/>
      <c r="G94" s="37"/>
      <c r="H94" s="37"/>
      <c r="I94" s="37"/>
      <c r="J94" s="36"/>
      <c r="K94" s="38"/>
      <c r="L94" s="36"/>
      <c r="M94" s="34" t="n">
        <f aca="false">Calc!T94</f>
        <v>0</v>
      </c>
      <c r="N94" s="15" t="str">
        <f aca="false">TRIM(IF(Calc!L94=1,"Engagement listed but 037 says Considering or lower; ","")&amp;IF(Calc!M94=1,"CoC URL but status not Implemented; ","")&amp;IF(Calc!N94=1,"Formal governance has no URL; ","")&amp;IF(Calc!O94=1,"Governance blank but URL given; ","")&amp;IF(Calc!P94=1,"Text/URL given but no engagement category coded (read manually); ","")&amp;IF(Calc!Q94=1,"Check 041 URL; ","")&amp;IF(Calc!R94=1,"039 says Considering/Not planning but contribution evidence exists; ","")&amp;IF(Calc!S94=1,"No repo URL (manual check); ",""))</f>
        <v/>
      </c>
    </row>
    <row r="95" customFormat="false" ht="15" hidden="false" customHeight="true" outlineLevel="0" collapsed="false">
      <c r="A95" s="15" t="str">
        <f aca="false">Data!$A95</f>
        <v>Pundit</v>
      </c>
      <c r="B95" s="36" t="s">
        <v>269</v>
      </c>
      <c r="C95" s="37"/>
      <c r="D95" s="37"/>
      <c r="E95" s="37"/>
      <c r="F95" s="37"/>
      <c r="G95" s="37"/>
      <c r="H95" s="37"/>
      <c r="I95" s="37"/>
      <c r="J95" s="36"/>
      <c r="K95" s="38"/>
      <c r="L95" s="36"/>
      <c r="M95" s="34" t="n">
        <f aca="false">Calc!T95</f>
        <v>1</v>
      </c>
      <c r="N95" s="15" t="str">
        <f aca="false">TRIM(IF(Calc!L95=1,"Engagement listed but 037 says Considering or lower; ","")&amp;IF(Calc!M95=1,"CoC URL but status not Implemented; ","")&amp;IF(Calc!N95=1,"Formal governance has no URL; ","")&amp;IF(Calc!O95=1,"Governance blank but URL given; ","")&amp;IF(Calc!P95=1,"Text/URL given but no engagement category coded (read manually); ","")&amp;IF(Calc!Q95=1,"Check 041 URL; ","")&amp;IF(Calc!R95=1,"039 says Considering/Not planning but contribution evidence exists; ","")&amp;IF(Calc!S95=1,"No repo URL (manual check); ",""))</f>
        <v>Engagement listed but 037 says Considering or lower;</v>
      </c>
    </row>
    <row r="96" customFormat="false" ht="15" hidden="false" customHeight="true" outlineLevel="0" collapsed="false">
      <c r="A96" s="15" t="str">
        <f aca="false">Data!$A96</f>
        <v>pyOpenSci</v>
      </c>
      <c r="B96" s="36" t="s">
        <v>269</v>
      </c>
      <c r="C96" s="37"/>
      <c r="D96" s="37"/>
      <c r="E96" s="37"/>
      <c r="F96" s="37"/>
      <c r="G96" s="37"/>
      <c r="H96" s="37"/>
      <c r="I96" s="37"/>
      <c r="J96" s="36"/>
      <c r="K96" s="38"/>
      <c r="L96" s="36"/>
      <c r="M96" s="34" t="n">
        <f aca="false">Calc!T96</f>
        <v>0</v>
      </c>
      <c r="N96" s="15" t="str">
        <f aca="false">TRIM(IF(Calc!L96=1,"Engagement listed but 037 says Considering or lower; ","")&amp;IF(Calc!M96=1,"CoC URL but status not Implemented; ","")&amp;IF(Calc!N96=1,"Formal governance has no URL; ","")&amp;IF(Calc!O96=1,"Governance blank but URL given; ","")&amp;IF(Calc!P96=1,"Text/URL given but no engagement category coded (read manually); ","")&amp;IF(Calc!Q96=1,"Check 041 URL; ","")&amp;IF(Calc!R96=1,"039 says Considering/Not planning but contribution evidence exists; ","")&amp;IF(Calc!S96=1,"No repo URL (manual check); ",""))</f>
        <v/>
      </c>
    </row>
    <row r="97" customFormat="false" ht="15" hidden="false" customHeight="true" outlineLevel="0" collapsed="false">
      <c r="A97" s="15" t="str">
        <f aca="false">Data!$A97</f>
        <v>Renku</v>
      </c>
      <c r="B97" s="36" t="s">
        <v>269</v>
      </c>
      <c r="C97" s="37"/>
      <c r="D97" s="37"/>
      <c r="E97" s="37"/>
      <c r="F97" s="37"/>
      <c r="G97" s="37"/>
      <c r="H97" s="37"/>
      <c r="I97" s="37"/>
      <c r="J97" s="36"/>
      <c r="K97" s="38"/>
      <c r="L97" s="36"/>
      <c r="M97" s="34" t="n">
        <f aca="false">Calc!T97</f>
        <v>0</v>
      </c>
      <c r="N97" s="15" t="str">
        <f aca="false">TRIM(IF(Calc!L97=1,"Engagement listed but 037 says Considering or lower; ","")&amp;IF(Calc!M97=1,"CoC URL but status not Implemented; ","")&amp;IF(Calc!N97=1,"Formal governance has no URL; ","")&amp;IF(Calc!O97=1,"Governance blank but URL given; ","")&amp;IF(Calc!P97=1,"Text/URL given but no engagement category coded (read manually); ","")&amp;IF(Calc!Q97=1,"Check 041 URL; ","")&amp;IF(Calc!R97=1,"039 says Considering/Not planning but contribution evidence exists; ","")&amp;IF(Calc!S97=1,"No repo URL (manual check); ",""))</f>
        <v/>
      </c>
    </row>
    <row r="98" customFormat="false" ht="15" hidden="false" customHeight="true" outlineLevel="0" collapsed="false">
      <c r="A98" s="15" t="str">
        <f aca="false">Data!$A98</f>
        <v>RePEc</v>
      </c>
      <c r="B98" s="36" t="s">
        <v>269</v>
      </c>
      <c r="C98" s="37"/>
      <c r="D98" s="37"/>
      <c r="E98" s="37"/>
      <c r="F98" s="37"/>
      <c r="G98" s="37"/>
      <c r="H98" s="37"/>
      <c r="I98" s="37"/>
      <c r="J98" s="36"/>
      <c r="K98" s="38"/>
      <c r="L98" s="36"/>
      <c r="M98" s="34" t="n">
        <f aca="false">Calc!T98</f>
        <v>0</v>
      </c>
      <c r="N98" s="15" t="str">
        <f aca="false">TRIM(IF(Calc!L98=1,"Engagement listed but 037 says Considering or lower; ","")&amp;IF(Calc!M98=1,"CoC URL but status not Implemented; ","")&amp;IF(Calc!N98=1,"Formal governance has no URL; ","")&amp;IF(Calc!O98=1,"Governance blank but URL given; ","")&amp;IF(Calc!P98=1,"Text/URL given but no engagement category coded (read manually); ","")&amp;IF(Calc!Q98=1,"Check 041 URL; ","")&amp;IF(Calc!R98=1,"039 says Considering/Not planning but contribution evidence exists; ","")&amp;IF(Calc!S98=1,"No repo URL (manual check); ",""))</f>
        <v/>
      </c>
    </row>
    <row r="99" customFormat="false" ht="15" hidden="false" customHeight="true" outlineLevel="0" collapsed="false">
      <c r="A99" s="15" t="str">
        <f aca="false">Data!$A99</f>
        <v>Research Organization Registry (ROR)</v>
      </c>
      <c r="B99" s="36" t="s">
        <v>269</v>
      </c>
      <c r="C99" s="37"/>
      <c r="D99" s="37"/>
      <c r="E99" s="37"/>
      <c r="F99" s="37"/>
      <c r="G99" s="37"/>
      <c r="H99" s="37"/>
      <c r="I99" s="37"/>
      <c r="J99" s="36"/>
      <c r="K99" s="38"/>
      <c r="L99" s="36"/>
      <c r="M99" s="34" t="n">
        <f aca="false">Calc!T99</f>
        <v>0</v>
      </c>
      <c r="N99" s="15" t="str">
        <f aca="false">TRIM(IF(Calc!L99=1,"Engagement listed but 037 says Considering or lower; ","")&amp;IF(Calc!M99=1,"CoC URL but status not Implemented; ","")&amp;IF(Calc!N99=1,"Formal governance has no URL; ","")&amp;IF(Calc!O99=1,"Governance blank but URL given; ","")&amp;IF(Calc!P99=1,"Text/URL given but no engagement category coded (read manually); ","")&amp;IF(Calc!Q99=1,"Check 041 URL; ","")&amp;IF(Calc!R99=1,"039 says Considering/Not planning but contribution evidence exists; ","")&amp;IF(Calc!S99=1,"No repo URL (manual check); ",""))</f>
        <v/>
      </c>
    </row>
    <row r="100" customFormat="false" ht="15" hidden="false" customHeight="true" outlineLevel="0" collapsed="false">
      <c r="A100" s="15" t="str">
        <f aca="false">Data!$A100</f>
        <v>Rogue Scholar</v>
      </c>
      <c r="B100" s="36" t="s">
        <v>269</v>
      </c>
      <c r="C100" s="37"/>
      <c r="D100" s="37"/>
      <c r="E100" s="37"/>
      <c r="F100" s="37"/>
      <c r="G100" s="37"/>
      <c r="H100" s="37"/>
      <c r="I100" s="37"/>
      <c r="J100" s="36"/>
      <c r="K100" s="38"/>
      <c r="L100" s="36"/>
      <c r="M100" s="34" t="n">
        <f aca="false">Calc!T100</f>
        <v>1</v>
      </c>
      <c r="N100" s="15" t="str">
        <f aca="false">TRIM(IF(Calc!L100=1,"Engagement listed but 037 says Considering or lower; ","")&amp;IF(Calc!M100=1,"CoC URL but status not Implemented; ","")&amp;IF(Calc!N100=1,"Formal governance has no URL; ","")&amp;IF(Calc!O100=1,"Governance blank but URL given; ","")&amp;IF(Calc!P100=1,"Text/URL given but no engagement category coded (read manually); ","")&amp;IF(Calc!Q100=1,"Check 041 URL; ","")&amp;IF(Calc!R100=1,"039 says Considering/Not planning but contribution evidence exists; ","")&amp;IF(Calc!S100=1,"No repo URL (manual check); ",""))</f>
        <v>Check 041 URL;</v>
      </c>
    </row>
    <row r="101" customFormat="false" ht="15" hidden="false" customHeight="true" outlineLevel="0" collapsed="false">
      <c r="A101" s="15" t="str">
        <f aca="false">Data!$A101</f>
        <v>RSpace</v>
      </c>
      <c r="B101" s="36" t="s">
        <v>269</v>
      </c>
      <c r="C101" s="37"/>
      <c r="D101" s="37"/>
      <c r="E101" s="37"/>
      <c r="F101" s="37"/>
      <c r="G101" s="37"/>
      <c r="H101" s="37"/>
      <c r="I101" s="37"/>
      <c r="J101" s="36"/>
      <c r="K101" s="38"/>
      <c r="L101" s="36"/>
      <c r="M101" s="34" t="n">
        <f aca="false">Calc!T101</f>
        <v>0</v>
      </c>
      <c r="N101" s="15" t="str">
        <f aca="false">TRIM(IF(Calc!L101=1,"Engagement listed but 037 says Considering or lower; ","")&amp;IF(Calc!M101=1,"CoC URL but status not Implemented; ","")&amp;IF(Calc!N101=1,"Formal governance has no URL; ","")&amp;IF(Calc!O101=1,"Governance blank but URL given; ","")&amp;IF(Calc!P101=1,"Text/URL given but no engagement category coded (read manually); ","")&amp;IF(Calc!Q101=1,"Check 041 URL; ","")&amp;IF(Calc!R101=1,"039 says Considering/Not planning but contribution evidence exists; ","")&amp;IF(Calc!S101=1,"No repo URL (manual check); ",""))</f>
        <v/>
      </c>
    </row>
    <row r="102" customFormat="false" ht="15" hidden="false" customHeight="true" outlineLevel="0" collapsed="false">
      <c r="A102" s="15" t="str">
        <f aca="false">Data!$A102</f>
        <v>Sciety</v>
      </c>
      <c r="B102" s="36" t="s">
        <v>269</v>
      </c>
      <c r="C102" s="37"/>
      <c r="D102" s="37"/>
      <c r="E102" s="37"/>
      <c r="F102" s="37"/>
      <c r="G102" s="37"/>
      <c r="H102" s="37"/>
      <c r="I102" s="37"/>
      <c r="J102" s="36"/>
      <c r="K102" s="38"/>
      <c r="L102" s="36"/>
      <c r="M102" s="34" t="n">
        <f aca="false">Calc!T102</f>
        <v>2</v>
      </c>
      <c r="N102" s="15" t="str">
        <f aca="false">TRIM(IF(Calc!L102=1,"Engagement listed but 037 says Considering or lower; ","")&amp;IF(Calc!M102=1,"CoC URL but status not Implemented; ","")&amp;IF(Calc!N102=1,"Formal governance has no URL; ","")&amp;IF(Calc!O102=1,"Governance blank but URL given; ","")&amp;IF(Calc!P102=1,"Text/URL given but no engagement category coded (read manually); ","")&amp;IF(Calc!Q102=1,"Check 041 URL; ","")&amp;IF(Calc!R102=1,"039 says Considering/Not planning but contribution evidence exists; ","")&amp;IF(Calc!S102=1,"No repo URL (manual check); ",""))</f>
        <v>Formal governance has no URL; Text/URL given but no engagement category coded (read manually);</v>
      </c>
    </row>
    <row r="103" customFormat="false" ht="15" hidden="false" customHeight="true" outlineLevel="0" collapsed="false">
      <c r="A103" s="15" t="str">
        <f aca="false">Data!$A103</f>
        <v>Synapse</v>
      </c>
      <c r="B103" s="36" t="s">
        <v>269</v>
      </c>
      <c r="C103" s="37"/>
      <c r="D103" s="37"/>
      <c r="E103" s="37"/>
      <c r="F103" s="37"/>
      <c r="G103" s="37"/>
      <c r="H103" s="37"/>
      <c r="I103" s="37"/>
      <c r="J103" s="36"/>
      <c r="K103" s="38"/>
      <c r="L103" s="36"/>
      <c r="M103" s="34" t="n">
        <f aca="false">Calc!T103</f>
        <v>1</v>
      </c>
      <c r="N103" s="15" t="str">
        <f aca="false">TRIM(IF(Calc!L103=1,"Engagement listed but 037 says Considering or lower; ","")&amp;IF(Calc!M103=1,"CoC URL but status not Implemented; ","")&amp;IF(Calc!N103=1,"Formal governance has no URL; ","")&amp;IF(Calc!O103=1,"Governance blank but URL given; ","")&amp;IF(Calc!P103=1,"Text/URL given but no engagement category coded (read manually); ","")&amp;IF(Calc!Q103=1,"Check 041 URL; ","")&amp;IF(Calc!R103=1,"039 says Considering/Not planning but contribution evidence exists; ","")&amp;IF(Calc!S103=1,"No repo URL (manual check); ",""))</f>
        <v>Check 041 URL;</v>
      </c>
    </row>
    <row r="104" customFormat="false" ht="15" hidden="false" customHeight="true" outlineLevel="0" collapsed="false">
      <c r="A104" s="15" t="str">
        <f aca="false">Data!$A104</f>
        <v>TagTeam</v>
      </c>
      <c r="B104" s="36" t="s">
        <v>269</v>
      </c>
      <c r="C104" s="37"/>
      <c r="D104" s="37"/>
      <c r="E104" s="37"/>
      <c r="F104" s="37"/>
      <c r="G104" s="37"/>
      <c r="H104" s="37"/>
      <c r="I104" s="37"/>
      <c r="J104" s="36"/>
      <c r="K104" s="38"/>
      <c r="L104" s="36"/>
      <c r="M104" s="34" t="n">
        <f aca="false">Calc!T104</f>
        <v>1</v>
      </c>
      <c r="N104" s="15" t="str">
        <f aca="false">TRIM(IF(Calc!L104=1,"Engagement listed but 037 says Considering or lower; ","")&amp;IF(Calc!M104=1,"CoC URL but status not Implemented; ","")&amp;IF(Calc!N104=1,"Formal governance has no URL; ","")&amp;IF(Calc!O104=1,"Governance blank but URL given; ","")&amp;IF(Calc!P104=1,"Text/URL given but no engagement category coded (read manually); ","")&amp;IF(Calc!Q104=1,"Check 041 URL; ","")&amp;IF(Calc!R104=1,"039 says Considering/Not planning but contribution evidence exists; ","")&amp;IF(Calc!S104=1,"No repo URL (manual check); ",""))</f>
        <v>CoC URL but status not Implemented;</v>
      </c>
    </row>
    <row r="105" customFormat="false" ht="15" hidden="false" customHeight="true" outlineLevel="0" collapsed="false">
      <c r="A105" s="15" t="str">
        <f aca="false">Data!$A105</f>
        <v>Thoth Open Metadata</v>
      </c>
      <c r="B105" s="36" t="s">
        <v>269</v>
      </c>
      <c r="C105" s="37"/>
      <c r="D105" s="37"/>
      <c r="E105" s="37"/>
      <c r="F105" s="37"/>
      <c r="G105" s="37"/>
      <c r="H105" s="37"/>
      <c r="I105" s="37"/>
      <c r="J105" s="36"/>
      <c r="K105" s="38"/>
      <c r="L105" s="36"/>
      <c r="M105" s="34" t="n">
        <f aca="false">Calc!T105</f>
        <v>1</v>
      </c>
      <c r="N105" s="15" t="str">
        <f aca="false">TRIM(IF(Calc!L105=1,"Engagement listed but 037 says Considering or lower; ","")&amp;IF(Calc!M105=1,"CoC URL but status not Implemented; ","")&amp;IF(Calc!N105=1,"Formal governance has no URL; ","")&amp;IF(Calc!O105=1,"Governance blank but URL given; ","")&amp;IF(Calc!P105=1,"Text/URL given but no engagement category coded (read manually); ","")&amp;IF(Calc!Q105=1,"Check 041 URL; ","")&amp;IF(Calc!R105=1,"039 says Considering/Not planning but contribution evidence exists; ","")&amp;IF(Calc!S105=1,"No repo URL (manual check); ",""))</f>
        <v>039 says Considering/Not planning but contribution evidence exists;</v>
      </c>
    </row>
    <row r="106" customFormat="false" ht="15" hidden="false" customHeight="true" outlineLevel="0" collapsed="false">
      <c r="A106" s="15" t="str">
        <f aca="false">Data!$A106</f>
        <v>Tropy</v>
      </c>
      <c r="B106" s="36" t="s">
        <v>269</v>
      </c>
      <c r="C106" s="37"/>
      <c r="D106" s="37"/>
      <c r="E106" s="37"/>
      <c r="F106" s="37"/>
      <c r="G106" s="37"/>
      <c r="H106" s="37"/>
      <c r="I106" s="37"/>
      <c r="J106" s="36"/>
      <c r="K106" s="38"/>
      <c r="L106" s="36"/>
      <c r="M106" s="34" t="n">
        <f aca="false">Calc!T106</f>
        <v>0</v>
      </c>
      <c r="N106" s="15" t="str">
        <f aca="false">TRIM(IF(Calc!L106=1,"Engagement listed but 037 says Considering or lower; ","")&amp;IF(Calc!M106=1,"CoC URL but status not Implemented; ","")&amp;IF(Calc!N106=1,"Formal governance has no URL; ","")&amp;IF(Calc!O106=1,"Governance blank but URL given; ","")&amp;IF(Calc!P106=1,"Text/URL given but no engagement category coded (read manually); ","")&amp;IF(Calc!Q106=1,"Check 041 URL; ","")&amp;IF(Calc!R106=1,"039 says Considering/Not planning but contribution evidence exists; ","")&amp;IF(Calc!S106=1,"No repo URL (manual check); ",""))</f>
        <v/>
      </c>
    </row>
    <row r="107" customFormat="false" ht="15" hidden="false" customHeight="true" outlineLevel="0" collapsed="false">
      <c r="A107" s="15" t="str">
        <f aca="false">Data!$A107</f>
        <v>veraPDF</v>
      </c>
      <c r="B107" s="36" t="s">
        <v>269</v>
      </c>
      <c r="C107" s="37"/>
      <c r="D107" s="37"/>
      <c r="E107" s="37"/>
      <c r="F107" s="37"/>
      <c r="G107" s="37"/>
      <c r="H107" s="37"/>
      <c r="I107" s="37"/>
      <c r="J107" s="36"/>
      <c r="K107" s="38"/>
      <c r="L107" s="36"/>
      <c r="M107" s="34" t="n">
        <f aca="false">Calc!T107</f>
        <v>1</v>
      </c>
      <c r="N107" s="15" t="str">
        <f aca="false">TRIM(IF(Calc!L107=1,"Engagement listed but 037 says Considering or lower; ","")&amp;IF(Calc!M107=1,"CoC URL but status not Implemented; ","")&amp;IF(Calc!N107=1,"Formal governance has no URL; ","")&amp;IF(Calc!O107=1,"Governance blank but URL given; ","")&amp;IF(Calc!P107=1,"Text/URL given but no engagement category coded (read manually); ","")&amp;IF(Calc!Q107=1,"Check 041 URL; ","")&amp;IF(Calc!R107=1,"039 says Considering/Not planning but contribution evidence exists; ","")&amp;IF(Calc!S107=1,"No repo URL (manual check); ",""))</f>
        <v>Formal governance has no URL;</v>
      </c>
    </row>
    <row r="108" customFormat="false" ht="15" hidden="false" customHeight="true" outlineLevel="0" collapsed="false">
      <c r="A108" s="15" t="str">
        <f aca="false">Data!$A108</f>
        <v>ViPER</v>
      </c>
      <c r="B108" s="36" t="s">
        <v>269</v>
      </c>
      <c r="C108" s="37"/>
      <c r="D108" s="37"/>
      <c r="E108" s="37"/>
      <c r="F108" s="37"/>
      <c r="G108" s="37"/>
      <c r="H108" s="37"/>
      <c r="I108" s="37"/>
      <c r="J108" s="36"/>
      <c r="K108" s="38"/>
      <c r="L108" s="36"/>
      <c r="M108" s="34" t="n">
        <f aca="false">Calc!T108</f>
        <v>1</v>
      </c>
      <c r="N108" s="15" t="str">
        <f aca="false">TRIM(IF(Calc!L108=1,"Engagement listed but 037 says Considering or lower; ","")&amp;IF(Calc!M108=1,"CoC URL but status not Implemented; ","")&amp;IF(Calc!N108=1,"Formal governance has no URL; ","")&amp;IF(Calc!O108=1,"Governance blank but URL given; ","")&amp;IF(Calc!P108=1,"Text/URL given but no engagement category coded (read manually); ","")&amp;IF(Calc!Q108=1,"Check 041 URL; ","")&amp;IF(Calc!R108=1,"039 says Considering/Not planning but contribution evidence exists; ","")&amp;IF(Calc!S108=1,"No repo URL (manual check); ",""))</f>
        <v>Formal governance has no URL;</v>
      </c>
    </row>
    <row r="109" customFormat="false" ht="15" hidden="false" customHeight="true" outlineLevel="0" collapsed="false">
      <c r="A109" s="15" t="str">
        <f aca="false">Data!$A109</f>
        <v>Vireo ETD</v>
      </c>
      <c r="B109" s="36" t="s">
        <v>269</v>
      </c>
      <c r="C109" s="37"/>
      <c r="D109" s="37"/>
      <c r="E109" s="37"/>
      <c r="F109" s="37"/>
      <c r="G109" s="37"/>
      <c r="H109" s="37"/>
      <c r="I109" s="37"/>
      <c r="J109" s="36"/>
      <c r="K109" s="38"/>
      <c r="L109" s="36"/>
      <c r="M109" s="34" t="n">
        <f aca="false">Calc!T109</f>
        <v>0</v>
      </c>
      <c r="N109" s="15" t="str">
        <f aca="false">TRIM(IF(Calc!L109=1,"Engagement listed but 037 says Considering or lower; ","")&amp;IF(Calc!M109=1,"CoC URL but status not Implemented; ","")&amp;IF(Calc!N109=1,"Formal governance has no URL; ","")&amp;IF(Calc!O109=1,"Governance blank but URL given; ","")&amp;IF(Calc!P109=1,"Text/URL given but no engagement category coded (read manually); ","")&amp;IF(Calc!Q109=1,"Check 041 URL; ","")&amp;IF(Calc!R109=1,"039 says Considering/Not planning but contribution evidence exists; ","")&amp;IF(Calc!S109=1,"No repo URL (manual check); ",""))</f>
        <v/>
      </c>
    </row>
    <row r="110" customFormat="false" ht="15" hidden="false" customHeight="true" outlineLevel="0" collapsed="false">
      <c r="A110" s="15" t="str">
        <f aca="false">Data!$A110</f>
        <v>VIVO</v>
      </c>
      <c r="B110" s="36" t="s">
        <v>269</v>
      </c>
      <c r="C110" s="37"/>
      <c r="D110" s="37"/>
      <c r="E110" s="37"/>
      <c r="F110" s="37"/>
      <c r="G110" s="37"/>
      <c r="H110" s="37"/>
      <c r="I110" s="37"/>
      <c r="J110" s="36"/>
      <c r="K110" s="38"/>
      <c r="L110" s="36"/>
      <c r="M110" s="34" t="n">
        <f aca="false">Calc!T110</f>
        <v>0</v>
      </c>
      <c r="N110" s="15" t="str">
        <f aca="false">TRIM(IF(Calc!L110=1,"Engagement listed but 037 says Considering or lower; ","")&amp;IF(Calc!M110=1,"CoC URL but status not Implemented; ","")&amp;IF(Calc!N110=1,"Formal governance has no URL; ","")&amp;IF(Calc!O110=1,"Governance blank but URL given; ","")&amp;IF(Calc!P110=1,"Text/URL given but no engagement category coded (read manually); ","")&amp;IF(Calc!Q110=1,"Check 041 URL; ","")&amp;IF(Calc!R110=1,"039 says Considering/Not planning but contribution evidence exists; ","")&amp;IF(Calc!S110=1,"No repo URL (manual check); ",""))</f>
        <v/>
      </c>
    </row>
    <row r="111" customFormat="false" ht="15" hidden="false" customHeight="true" outlineLevel="0" collapsed="false">
      <c r="A111" s="15" t="str">
        <f aca="false">Data!$A111</f>
        <v>VuFind®</v>
      </c>
      <c r="B111" s="36" t="s">
        <v>269</v>
      </c>
      <c r="C111" s="37"/>
      <c r="D111" s="37"/>
      <c r="E111" s="37"/>
      <c r="F111" s="37"/>
      <c r="G111" s="37"/>
      <c r="H111" s="37"/>
      <c r="I111" s="37"/>
      <c r="J111" s="36"/>
      <c r="K111" s="38"/>
      <c r="L111" s="36"/>
      <c r="M111" s="34" t="n">
        <f aca="false">Calc!T111</f>
        <v>0</v>
      </c>
      <c r="N111" s="15" t="str">
        <f aca="false">TRIM(IF(Calc!L111=1,"Engagement listed but 037 says Considering or lower; ","")&amp;IF(Calc!M111=1,"CoC URL but status not Implemented; ","")&amp;IF(Calc!N111=1,"Formal governance has no URL; ","")&amp;IF(Calc!O111=1,"Governance blank but URL given; ","")&amp;IF(Calc!P111=1,"Text/URL given but no engagement category coded (read manually); ","")&amp;IF(Calc!Q111=1,"Check 041 URL; ","")&amp;IF(Calc!R111=1,"039 says Considering/Not planning but contribution evidence exists; ","")&amp;IF(Calc!S111=1,"No repo URL (manual check); ",""))</f>
        <v/>
      </c>
    </row>
    <row r="112" customFormat="false" ht="15" hidden="false" customHeight="true" outlineLevel="0" collapsed="false">
      <c r="A112" s="15" t="str">
        <f aca="false">Data!$A112</f>
        <v>Zenodo</v>
      </c>
      <c r="B112" s="36" t="s">
        <v>269</v>
      </c>
      <c r="C112" s="37"/>
      <c r="D112" s="37"/>
      <c r="E112" s="37"/>
      <c r="F112" s="37"/>
      <c r="G112" s="37"/>
      <c r="H112" s="37"/>
      <c r="I112" s="37"/>
      <c r="J112" s="36"/>
      <c r="K112" s="38"/>
      <c r="L112" s="36"/>
      <c r="M112" s="34" t="n">
        <f aca="false">Calc!T112</f>
        <v>0</v>
      </c>
      <c r="N112" s="15" t="str">
        <f aca="false">TRIM(IF(Calc!L112=1,"Engagement listed but 037 says Considering or lower; ","")&amp;IF(Calc!M112=1,"CoC URL but status not Implemented; ","")&amp;IF(Calc!N112=1,"Formal governance has no URL; ","")&amp;IF(Calc!O112=1,"Governance blank but URL given; ","")&amp;IF(Calc!P112=1,"Text/URL given but no engagement category coded (read manually); ","")&amp;IF(Calc!Q112=1,"Check 041 URL; ","")&amp;IF(Calc!R112=1,"039 says Considering/Not planning but contribution evidence exists; ","")&amp;IF(Calc!S112=1,"No repo URL (manual check); ",""))</f>
        <v/>
      </c>
    </row>
    <row r="113" customFormat="false" ht="15" hidden="false" customHeight="true" outlineLevel="0" collapsed="false">
      <c r="A113" s="15" t="str">
        <f aca="false">Data!$A113</f>
        <v>Zotero</v>
      </c>
      <c r="B113" s="36" t="s">
        <v>269</v>
      </c>
      <c r="C113" s="37"/>
      <c r="D113" s="37"/>
      <c r="E113" s="37"/>
      <c r="F113" s="37"/>
      <c r="G113" s="37"/>
      <c r="H113" s="37"/>
      <c r="I113" s="37"/>
      <c r="J113" s="36"/>
      <c r="K113" s="38"/>
      <c r="L113" s="36"/>
      <c r="M113" s="34" t="n">
        <f aca="false">Calc!T113</f>
        <v>0</v>
      </c>
      <c r="N113" s="15" t="str">
        <f aca="false">TRIM(IF(Calc!L113=1,"Engagement listed but 037 says Considering or lower; ","")&amp;IF(Calc!M113=1,"CoC URL but status not Implemented; ","")&amp;IF(Calc!N113=1,"Formal governance has no URL; ","")&amp;IF(Calc!O113=1,"Governance blank but URL given; ","")&amp;IF(Calc!P113=1,"Text/URL given but no engagement category coded (read manually); ","")&amp;IF(Calc!Q113=1,"Check 041 URL; ","")&amp;IF(Calc!R113=1,"039 says Considering/Not planning but contribution evidence exists; ","")&amp;IF(Calc!S113=1,"No repo URL (manual check); ",""))</f>
        <v/>
      </c>
    </row>
  </sheetData>
  <autoFilter ref="A1:N113"/>
  <conditionalFormatting sqref="M2:M113">
    <cfRule type="cellIs" priority="2" operator="greaterThan" aboveAverage="0" equalAverage="0" bottom="0" percent="0" rank="0" text="" dxfId="90">
      <formula>0</formula>
    </cfRule>
  </conditionalFormatting>
  <dataValidations count="2">
    <dataValidation allowBlank="true" errorStyle="stop" operator="between" showDropDown="false" showErrorMessage="false" showInputMessage="false" sqref="B2:B113" type="list">
      <formula1>"Not started,In progress,Verified,Needs follow-up"</formula1>
      <formula2>0</formula2>
    </dataValidation>
    <dataValidation allowBlank="true" error="Enter a number between 0 and 1, or NA." errorStyle="stop" errorTitle="Invalid override" operator="between" showDropDown="false" showErrorMessage="true" showInputMessage="false" sqref="C2:I113" type="custom">
      <formula1>OR(C2="NA",AND(ISNUMBER(C2),C2&gt;=0,C2&lt;=1))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3"/>
  </cols>
  <sheetData>
    <row r="1" customFormat="false" ht="75" hidden="false" customHeight="true" outlineLevel="0" collapsed="false">
      <c r="A1" s="39" t="s">
        <v>236</v>
      </c>
      <c r="B1" s="39" t="s">
        <v>270</v>
      </c>
      <c r="C1" s="39" t="s">
        <v>271</v>
      </c>
      <c r="D1" s="39" t="s">
        <v>272</v>
      </c>
      <c r="E1" s="39" t="s">
        <v>273</v>
      </c>
      <c r="F1" s="39" t="s">
        <v>274</v>
      </c>
      <c r="G1" s="39" t="s">
        <v>275</v>
      </c>
      <c r="H1" s="39" t="s">
        <v>276</v>
      </c>
      <c r="I1" s="39" t="s">
        <v>277</v>
      </c>
      <c r="J1" s="39" t="s">
        <v>278</v>
      </c>
      <c r="K1" s="39" t="s">
        <v>279</v>
      </c>
      <c r="L1" s="39" t="s">
        <v>280</v>
      </c>
      <c r="M1" s="39" t="s">
        <v>281</v>
      </c>
      <c r="N1" s="39" t="s">
        <v>282</v>
      </c>
      <c r="O1" s="39" t="s">
        <v>283</v>
      </c>
      <c r="P1" s="39" t="s">
        <v>284</v>
      </c>
      <c r="Q1" s="39" t="s">
        <v>285</v>
      </c>
      <c r="R1" s="39" t="s">
        <v>286</v>
      </c>
      <c r="S1" s="39" t="s">
        <v>287</v>
      </c>
      <c r="T1" s="39" t="s">
        <v>288</v>
      </c>
      <c r="U1" s="39" t="s">
        <v>289</v>
      </c>
      <c r="V1" s="39" t="s">
        <v>290</v>
      </c>
      <c r="W1" s="39" t="s">
        <v>291</v>
      </c>
      <c r="X1" s="39" t="s">
        <v>292</v>
      </c>
      <c r="Y1" s="39" t="s">
        <v>293</v>
      </c>
      <c r="Z1" s="39" t="s">
        <v>294</v>
      </c>
      <c r="AA1" s="39" t="s">
        <v>295</v>
      </c>
      <c r="AB1" s="39" t="s">
        <v>296</v>
      </c>
      <c r="AC1" s="39" t="s">
        <v>297</v>
      </c>
      <c r="AD1" s="39" t="s">
        <v>298</v>
      </c>
      <c r="AE1" s="39" t="s">
        <v>299</v>
      </c>
      <c r="AF1" s="39" t="s">
        <v>300</v>
      </c>
      <c r="AG1" s="39" t="s">
        <v>301</v>
      </c>
      <c r="AH1" s="39" t="s">
        <v>302</v>
      </c>
      <c r="AI1" s="39" t="s">
        <v>303</v>
      </c>
      <c r="AJ1" s="39" t="s">
        <v>304</v>
      </c>
      <c r="AK1" s="39" t="s">
        <v>305</v>
      </c>
    </row>
    <row r="2" customFormat="false" ht="15" hidden="false" customHeight="true" outlineLevel="0" collapsed="false">
      <c r="A2" s="15" t="str">
        <f aca="false">Data!$A2</f>
        <v>2i2c</v>
      </c>
      <c r="B2" s="15" t="n">
        <f aca="false">IF(ISNUMBER(SEARCH(Dictionary!$A$5,Data!$H2)),1,0)</f>
        <v>0</v>
      </c>
      <c r="C2" s="15" t="n">
        <f aca="false">IF(ISNUMBER(SEARCH(Dictionary!$A$6,Data!$H2)),1,0)</f>
        <v>0</v>
      </c>
      <c r="D2" s="15" t="n">
        <f aca="false">IF(ISNUMBER(SEARCH(Dictionary!$A$7,Data!$H2)),1,0)</f>
        <v>0</v>
      </c>
      <c r="E2" s="15" t="n">
        <f aca="false">IF(ISNUMBER(SEARCH(Dictionary!$A$8,Data!$H2)),1,0)</f>
        <v>0</v>
      </c>
      <c r="F2" s="15" t="n">
        <f aca="false">IF(ISNUMBER(SEARCH(Dictionary!$A$9,Data!$H2)),1,0)</f>
        <v>0</v>
      </c>
      <c r="G2" s="15" t="n">
        <f aca="false">IF(ISNUMBER(SEARCH(Dictionary!$A$10,Data!$H2)),1,0)</f>
        <v>0</v>
      </c>
      <c r="H2" s="15" t="n">
        <f aca="false">IF(ISNUMBER(SEARCH(Dictionary!$A$11,Data!$H2)),1,0)</f>
        <v>0</v>
      </c>
      <c r="I2" s="15" t="n">
        <f aca="false">IF(ISNUMBER(SEARCH(Dictionary!$A$12,Data!$H2)),1,0)</f>
        <v>0</v>
      </c>
      <c r="J2" s="15" t="n">
        <f aca="false">IF(ISNUMBER(SEARCH(Dictionary!$A$13,Data!$H2)),1,0)</f>
        <v>0</v>
      </c>
      <c r="K2" s="15" t="n">
        <f aca="false">IF(ISNUMBER(SEARCH(Dictionary!$A$14,Data!$H2)),1,0)</f>
        <v>0</v>
      </c>
      <c r="L2" s="15" t="n">
        <f aca="false">IF(ISNUMBER(SEARCH(Dictionary!$A$15,Data!$H2)),1,0)</f>
        <v>0</v>
      </c>
      <c r="M2" s="15" t="n">
        <f aca="false">IF(ISNUMBER(SEARCH(Dictionary!$A$16,Data!$H2)),1,0)</f>
        <v>0</v>
      </c>
      <c r="N2" s="15" t="n">
        <f aca="false">IF(SUMPRODUCT((Dictionary!$C$5:$C$96=Dictionary!$A$5)*(Dictionary!$D$5:$D$96&lt;&gt;"")*ISNUMBER(SEARCH(Dictionary!$D$5:$D$96,Data!$I2)))&gt;0,1,0)</f>
        <v>0</v>
      </c>
      <c r="O2" s="15" t="n">
        <f aca="false">IF(SUMPRODUCT((Dictionary!$C$5:$C$96=Dictionary!$A$6)*(Dictionary!$D$5:$D$96&lt;&gt;"")*ISNUMBER(SEARCH(Dictionary!$D$5:$D$96,Data!$I2)))&gt;0,1,0)</f>
        <v>0</v>
      </c>
      <c r="P2" s="15" t="n">
        <f aca="false">IF(SUMPRODUCT((Dictionary!$C$5:$C$96=Dictionary!$A$7)*(Dictionary!$D$5:$D$96&lt;&gt;"")*ISNUMBER(SEARCH(Dictionary!$D$5:$D$96,Data!$I2)))&gt;0,1,0)</f>
        <v>0</v>
      </c>
      <c r="Q2" s="15" t="n">
        <f aca="false">IF(SUMPRODUCT((Dictionary!$C$5:$C$96=Dictionary!$A$8)*(Dictionary!$D$5:$D$96&lt;&gt;"")*ISNUMBER(SEARCH(Dictionary!$D$5:$D$96,Data!$I2)))&gt;0,1,0)</f>
        <v>0</v>
      </c>
      <c r="R2" s="15" t="n">
        <f aca="false">IF(SUMPRODUCT((Dictionary!$C$5:$C$96=Dictionary!$A$9)*(Dictionary!$D$5:$D$96&lt;&gt;"")*ISNUMBER(SEARCH(Dictionary!$D$5:$D$96,Data!$I2)))&gt;0,1,0)</f>
        <v>0</v>
      </c>
      <c r="S2" s="15" t="n">
        <f aca="false">IF(SUMPRODUCT((Dictionary!$C$5:$C$96=Dictionary!$A$10)*(Dictionary!$D$5:$D$96&lt;&gt;"")*ISNUMBER(SEARCH(Dictionary!$D$5:$D$96,Data!$I2)))&gt;0,1,0)</f>
        <v>0</v>
      </c>
      <c r="T2" s="15" t="n">
        <f aca="false">IF(SUMPRODUCT((Dictionary!$C$5:$C$96=Dictionary!$A$11)*(Dictionary!$D$5:$D$96&lt;&gt;"")*ISNUMBER(SEARCH(Dictionary!$D$5:$D$96,Data!$I2)))&gt;0,1,0)</f>
        <v>0</v>
      </c>
      <c r="U2" s="15" t="n">
        <f aca="false">IF(SUMPRODUCT((Dictionary!$C$5:$C$96=Dictionary!$A$12)*(Dictionary!$D$5:$D$96&lt;&gt;"")*ISNUMBER(SEARCH(Dictionary!$D$5:$D$96,Data!$I2)))&gt;0,1,0)</f>
        <v>0</v>
      </c>
      <c r="V2" s="15" t="n">
        <f aca="false">IF(SUMPRODUCT((Dictionary!$C$5:$C$96=Dictionary!$A$13)*(Dictionary!$D$5:$D$96&lt;&gt;"")*ISNUMBER(SEARCH(Dictionary!$D$5:$D$96,Data!$I2)))&gt;0,1,0)</f>
        <v>0</v>
      </c>
      <c r="W2" s="15" t="n">
        <f aca="false">IF(SUMPRODUCT((Dictionary!$C$5:$C$96=Dictionary!$A$14)*(Dictionary!$D$5:$D$96&lt;&gt;"")*ISNUMBER(SEARCH(Dictionary!$D$5:$D$96,Data!$I2)))&gt;0,1,0)</f>
        <v>0</v>
      </c>
      <c r="X2" s="15" t="n">
        <f aca="false">IF(SUMPRODUCT((Dictionary!$C$5:$C$96=Dictionary!$A$15)*(Dictionary!$D$5:$D$96&lt;&gt;"")*ISNUMBER(SEARCH(Dictionary!$D$5:$D$96,Data!$I2)))&gt;0,1,0)</f>
        <v>0</v>
      </c>
      <c r="Y2" s="15" t="n">
        <f aca="false">IF(SUMPRODUCT((Dictionary!$C$5:$C$96=Dictionary!$A$16)*(Dictionary!$D$5:$D$96&lt;&gt;"")*ISNUMBER(SEARCH(Dictionary!$D$5:$D$96,Data!$I2)))&gt;0,1,0)</f>
        <v>0</v>
      </c>
      <c r="Z2" s="15" t="n">
        <f aca="false">IF(ISNUMBER(SEARCH("Other",Data!$H2)),1,0)</f>
        <v>0</v>
      </c>
      <c r="AA2" s="15" t="n">
        <f aca="false">IF(Data!$I2&lt;&gt;"",1,0)</f>
        <v>1</v>
      </c>
      <c r="AB2" s="15" t="n">
        <f aca="false">SUM(B2:M2)</f>
        <v>0</v>
      </c>
      <c r="AC2" s="15" t="n">
        <f aca="false">SUMPRODUCT(--((B2:M2+N2:Y2)&gt;0))</f>
        <v>0</v>
      </c>
      <c r="AD2" s="15" t="n">
        <f aca="false">AC2-AB2</f>
        <v>0</v>
      </c>
      <c r="AE2" s="15" t="n">
        <f aca="false">IF(AND(Z2=1,AA2=1),1,0)</f>
        <v>0</v>
      </c>
      <c r="AF2" s="15" t="n">
        <f aca="false">AC2+AE2</f>
        <v>0</v>
      </c>
      <c r="AG2" s="15" t="n">
        <f aca="false">AB2+AE2</f>
        <v>0</v>
      </c>
      <c r="AH2" s="15" t="n">
        <f aca="false">IF(AND(Data!$H2&lt;&gt;"",Data!$I2&lt;&gt;""),1,0)</f>
        <v>0</v>
      </c>
      <c r="AI2" s="15" t="str">
        <f aca="false">IF(AH2=1,SUMPRODUCT(N2:Y2*B2:M2),"")</f>
        <v/>
      </c>
      <c r="AJ2" s="15" t="str">
        <f aca="false">IF(AH2=1,SUMPRODUCT(--(N2:Y2&gt;B2:M2)),"")</f>
        <v/>
      </c>
      <c r="AK2" s="15" t="str">
        <f aca="false">IF(AH2=1,AB2,"")</f>
        <v/>
      </c>
    </row>
    <row r="3" customFormat="false" ht="15" hidden="false" customHeight="true" outlineLevel="0" collapsed="false">
      <c r="A3" s="15" t="str">
        <f aca="false">Data!$A3</f>
        <v>Academic Preservation Trust (APTrust)</v>
      </c>
      <c r="B3" s="15" t="n">
        <f aca="false">IF(ISNUMBER(SEARCH(Dictionary!$A$5,Data!$H3)),1,0)</f>
        <v>1</v>
      </c>
      <c r="C3" s="15" t="n">
        <f aca="false">IF(ISNUMBER(SEARCH(Dictionary!$A$6,Data!$H3)),1,0)</f>
        <v>1</v>
      </c>
      <c r="D3" s="15" t="n">
        <f aca="false">IF(ISNUMBER(SEARCH(Dictionary!$A$7,Data!$H3)),1,0)</f>
        <v>1</v>
      </c>
      <c r="E3" s="15" t="n">
        <f aca="false">IF(ISNUMBER(SEARCH(Dictionary!$A$8,Data!$H3)),1,0)</f>
        <v>1</v>
      </c>
      <c r="F3" s="15" t="n">
        <f aca="false">IF(ISNUMBER(SEARCH(Dictionary!$A$9,Data!$H3)),1,0)</f>
        <v>1</v>
      </c>
      <c r="G3" s="15" t="n">
        <f aca="false">IF(ISNUMBER(SEARCH(Dictionary!$A$10,Data!$H3)),1,0)</f>
        <v>1</v>
      </c>
      <c r="H3" s="15" t="n">
        <f aca="false">IF(ISNUMBER(SEARCH(Dictionary!$A$11,Data!$H3)),1,0)</f>
        <v>1</v>
      </c>
      <c r="I3" s="15" t="n">
        <f aca="false">IF(ISNUMBER(SEARCH(Dictionary!$A$12,Data!$H3)),1,0)</f>
        <v>0</v>
      </c>
      <c r="J3" s="15" t="n">
        <f aca="false">IF(ISNUMBER(SEARCH(Dictionary!$A$13,Data!$H3)),1,0)</f>
        <v>1</v>
      </c>
      <c r="K3" s="15" t="n">
        <f aca="false">IF(ISNUMBER(SEARCH(Dictionary!$A$14,Data!$H3)),1,0)</f>
        <v>1</v>
      </c>
      <c r="L3" s="15" t="n">
        <f aca="false">IF(ISNUMBER(SEARCH(Dictionary!$A$15,Data!$H3)),1,0)</f>
        <v>0</v>
      </c>
      <c r="M3" s="15" t="n">
        <f aca="false">IF(ISNUMBER(SEARCH(Dictionary!$A$16,Data!$H3)),1,0)</f>
        <v>1</v>
      </c>
      <c r="N3" s="15" t="n">
        <f aca="false">IF(SUMPRODUCT((Dictionary!$C$5:$C$96=Dictionary!$A$5)*(Dictionary!$D$5:$D$96&lt;&gt;"")*ISNUMBER(SEARCH(Dictionary!$D$5:$D$96,Data!$I3)))&gt;0,1,0)</f>
        <v>0</v>
      </c>
      <c r="O3" s="15" t="n">
        <f aca="false">IF(SUMPRODUCT((Dictionary!$C$5:$C$96=Dictionary!$A$6)*(Dictionary!$D$5:$D$96&lt;&gt;"")*ISNUMBER(SEARCH(Dictionary!$D$5:$D$96,Data!$I3)))&gt;0,1,0)</f>
        <v>0</v>
      </c>
      <c r="P3" s="15" t="n">
        <f aca="false">IF(SUMPRODUCT((Dictionary!$C$5:$C$96=Dictionary!$A$7)*(Dictionary!$D$5:$D$96&lt;&gt;"")*ISNUMBER(SEARCH(Dictionary!$D$5:$D$96,Data!$I3)))&gt;0,1,0)</f>
        <v>0</v>
      </c>
      <c r="Q3" s="15" t="n">
        <f aca="false">IF(SUMPRODUCT((Dictionary!$C$5:$C$96=Dictionary!$A$8)*(Dictionary!$D$5:$D$96&lt;&gt;"")*ISNUMBER(SEARCH(Dictionary!$D$5:$D$96,Data!$I3)))&gt;0,1,0)</f>
        <v>0</v>
      </c>
      <c r="R3" s="15" t="n">
        <f aca="false">IF(SUMPRODUCT((Dictionary!$C$5:$C$96=Dictionary!$A$9)*(Dictionary!$D$5:$D$96&lt;&gt;"")*ISNUMBER(SEARCH(Dictionary!$D$5:$D$96,Data!$I3)))&gt;0,1,0)</f>
        <v>0</v>
      </c>
      <c r="S3" s="15" t="n">
        <f aca="false">IF(SUMPRODUCT((Dictionary!$C$5:$C$96=Dictionary!$A$10)*(Dictionary!$D$5:$D$96&lt;&gt;"")*ISNUMBER(SEARCH(Dictionary!$D$5:$D$96,Data!$I3)))&gt;0,1,0)</f>
        <v>0</v>
      </c>
      <c r="T3" s="15" t="n">
        <f aca="false">IF(SUMPRODUCT((Dictionary!$C$5:$C$96=Dictionary!$A$11)*(Dictionary!$D$5:$D$96&lt;&gt;"")*ISNUMBER(SEARCH(Dictionary!$D$5:$D$96,Data!$I3)))&gt;0,1,0)</f>
        <v>0</v>
      </c>
      <c r="U3" s="15" t="n">
        <f aca="false">IF(SUMPRODUCT((Dictionary!$C$5:$C$96=Dictionary!$A$12)*(Dictionary!$D$5:$D$96&lt;&gt;"")*ISNUMBER(SEARCH(Dictionary!$D$5:$D$96,Data!$I3)))&gt;0,1,0)</f>
        <v>0</v>
      </c>
      <c r="V3" s="15" t="n">
        <f aca="false">IF(SUMPRODUCT((Dictionary!$C$5:$C$96=Dictionary!$A$13)*(Dictionary!$D$5:$D$96&lt;&gt;"")*ISNUMBER(SEARCH(Dictionary!$D$5:$D$96,Data!$I3)))&gt;0,1,0)</f>
        <v>0</v>
      </c>
      <c r="W3" s="15" t="n">
        <f aca="false">IF(SUMPRODUCT((Dictionary!$C$5:$C$96=Dictionary!$A$14)*(Dictionary!$D$5:$D$96&lt;&gt;"")*ISNUMBER(SEARCH(Dictionary!$D$5:$D$96,Data!$I3)))&gt;0,1,0)</f>
        <v>0</v>
      </c>
      <c r="X3" s="15" t="n">
        <f aca="false">IF(SUMPRODUCT((Dictionary!$C$5:$C$96=Dictionary!$A$15)*(Dictionary!$D$5:$D$96&lt;&gt;"")*ISNUMBER(SEARCH(Dictionary!$D$5:$D$96,Data!$I3)))&gt;0,1,0)</f>
        <v>0</v>
      </c>
      <c r="Y3" s="15" t="n">
        <f aca="false">IF(SUMPRODUCT((Dictionary!$C$5:$C$96=Dictionary!$A$16)*(Dictionary!$D$5:$D$96&lt;&gt;"")*ISNUMBER(SEARCH(Dictionary!$D$5:$D$96,Data!$I3)))&gt;0,1,0)</f>
        <v>0</v>
      </c>
      <c r="Z3" s="15" t="n">
        <f aca="false">IF(ISNUMBER(SEARCH("Other",Data!$H3)),1,0)</f>
        <v>0</v>
      </c>
      <c r="AA3" s="15" t="n">
        <f aca="false">IF(Data!$I3&lt;&gt;"",1,0)</f>
        <v>0</v>
      </c>
      <c r="AB3" s="15" t="n">
        <f aca="false">SUM(B3:M3)</f>
        <v>10</v>
      </c>
      <c r="AC3" s="15" t="n">
        <f aca="false">SUMPRODUCT(--((B3:M3+N3:Y3)&gt;0))</f>
        <v>10</v>
      </c>
      <c r="AD3" s="15" t="n">
        <f aca="false">AC3-AB3</f>
        <v>0</v>
      </c>
      <c r="AE3" s="15" t="n">
        <f aca="false">IF(AND(Z3=1,AA3=1),1,0)</f>
        <v>0</v>
      </c>
      <c r="AF3" s="15" t="n">
        <f aca="false">AC3+AE3</f>
        <v>10</v>
      </c>
      <c r="AG3" s="15" t="n">
        <f aca="false">AB3+AE3</f>
        <v>10</v>
      </c>
      <c r="AH3" s="15" t="n">
        <f aca="false">IF(AND(Data!$H3&lt;&gt;"",Data!$I3&lt;&gt;""),1,0)</f>
        <v>0</v>
      </c>
      <c r="AI3" s="15" t="str">
        <f aca="false">IF(AH3=1,SUMPRODUCT(N3:Y3*B3:M3),"")</f>
        <v/>
      </c>
      <c r="AJ3" s="15" t="str">
        <f aca="false">IF(AH3=1,SUMPRODUCT(--(N3:Y3&gt;B3:M3)),"")</f>
        <v/>
      </c>
      <c r="AK3" s="15" t="str">
        <f aca="false">IF(AH3=1,AB3,"")</f>
        <v/>
      </c>
    </row>
    <row r="4" customFormat="false" ht="15" hidden="false" customHeight="true" outlineLevel="0" collapsed="false">
      <c r="A4" s="15" t="str">
        <f aca="false">Data!$A4</f>
        <v>AfricArXiv</v>
      </c>
      <c r="B4" s="15" t="n">
        <f aca="false">IF(ISNUMBER(SEARCH(Dictionary!$A$5,Data!$H4)),1,0)</f>
        <v>0</v>
      </c>
      <c r="C4" s="15" t="n">
        <f aca="false">IF(ISNUMBER(SEARCH(Dictionary!$A$6,Data!$H4)),1,0)</f>
        <v>0</v>
      </c>
      <c r="D4" s="15" t="n">
        <f aca="false">IF(ISNUMBER(SEARCH(Dictionary!$A$7,Data!$H4)),1,0)</f>
        <v>0</v>
      </c>
      <c r="E4" s="15" t="n">
        <f aca="false">IF(ISNUMBER(SEARCH(Dictionary!$A$8,Data!$H4)),1,0)</f>
        <v>0</v>
      </c>
      <c r="F4" s="15" t="n">
        <f aca="false">IF(ISNUMBER(SEARCH(Dictionary!$A$9,Data!$H4)),1,0)</f>
        <v>0</v>
      </c>
      <c r="G4" s="15" t="n">
        <f aca="false">IF(ISNUMBER(SEARCH(Dictionary!$A$10,Data!$H4)),1,0)</f>
        <v>0</v>
      </c>
      <c r="H4" s="15" t="n">
        <f aca="false">IF(ISNUMBER(SEARCH(Dictionary!$A$11,Data!$H4)),1,0)</f>
        <v>0</v>
      </c>
      <c r="I4" s="15" t="n">
        <f aca="false">IF(ISNUMBER(SEARCH(Dictionary!$A$12,Data!$H4)),1,0)</f>
        <v>0</v>
      </c>
      <c r="J4" s="15" t="n">
        <f aca="false">IF(ISNUMBER(SEARCH(Dictionary!$A$13,Data!$H4)),1,0)</f>
        <v>0</v>
      </c>
      <c r="K4" s="15" t="n">
        <f aca="false">IF(ISNUMBER(SEARCH(Dictionary!$A$14,Data!$H4)),1,0)</f>
        <v>0</v>
      </c>
      <c r="L4" s="15" t="n">
        <f aca="false">IF(ISNUMBER(SEARCH(Dictionary!$A$15,Data!$H4)),1,0)</f>
        <v>0</v>
      </c>
      <c r="M4" s="15" t="n">
        <f aca="false">IF(ISNUMBER(SEARCH(Dictionary!$A$16,Data!$H4)),1,0)</f>
        <v>0</v>
      </c>
      <c r="N4" s="15" t="n">
        <f aca="false">IF(SUMPRODUCT((Dictionary!$C$5:$C$96=Dictionary!$A$5)*(Dictionary!$D$5:$D$96&lt;&gt;"")*ISNUMBER(SEARCH(Dictionary!$D$5:$D$96,Data!$I4)))&gt;0,1,0)</f>
        <v>0</v>
      </c>
      <c r="O4" s="15" t="n">
        <f aca="false">IF(SUMPRODUCT((Dictionary!$C$5:$C$96=Dictionary!$A$6)*(Dictionary!$D$5:$D$96&lt;&gt;"")*ISNUMBER(SEARCH(Dictionary!$D$5:$D$96,Data!$I4)))&gt;0,1,0)</f>
        <v>0</v>
      </c>
      <c r="P4" s="15" t="n">
        <f aca="false">IF(SUMPRODUCT((Dictionary!$C$5:$C$96=Dictionary!$A$7)*(Dictionary!$D$5:$D$96&lt;&gt;"")*ISNUMBER(SEARCH(Dictionary!$D$5:$D$96,Data!$I4)))&gt;0,1,0)</f>
        <v>0</v>
      </c>
      <c r="Q4" s="15" t="n">
        <f aca="false">IF(SUMPRODUCT((Dictionary!$C$5:$C$96=Dictionary!$A$8)*(Dictionary!$D$5:$D$96&lt;&gt;"")*ISNUMBER(SEARCH(Dictionary!$D$5:$D$96,Data!$I4)))&gt;0,1,0)</f>
        <v>0</v>
      </c>
      <c r="R4" s="15" t="n">
        <f aca="false">IF(SUMPRODUCT((Dictionary!$C$5:$C$96=Dictionary!$A$9)*(Dictionary!$D$5:$D$96&lt;&gt;"")*ISNUMBER(SEARCH(Dictionary!$D$5:$D$96,Data!$I4)))&gt;0,1,0)</f>
        <v>0</v>
      </c>
      <c r="S4" s="15" t="n">
        <f aca="false">IF(SUMPRODUCT((Dictionary!$C$5:$C$96=Dictionary!$A$10)*(Dictionary!$D$5:$D$96&lt;&gt;"")*ISNUMBER(SEARCH(Dictionary!$D$5:$D$96,Data!$I4)))&gt;0,1,0)</f>
        <v>0</v>
      </c>
      <c r="T4" s="15" t="n">
        <f aca="false">IF(SUMPRODUCT((Dictionary!$C$5:$C$96=Dictionary!$A$11)*(Dictionary!$D$5:$D$96&lt;&gt;"")*ISNUMBER(SEARCH(Dictionary!$D$5:$D$96,Data!$I4)))&gt;0,1,0)</f>
        <v>0</v>
      </c>
      <c r="U4" s="15" t="n">
        <f aca="false">IF(SUMPRODUCT((Dictionary!$C$5:$C$96=Dictionary!$A$12)*(Dictionary!$D$5:$D$96&lt;&gt;"")*ISNUMBER(SEARCH(Dictionary!$D$5:$D$96,Data!$I4)))&gt;0,1,0)</f>
        <v>0</v>
      </c>
      <c r="V4" s="15" t="n">
        <f aca="false">IF(SUMPRODUCT((Dictionary!$C$5:$C$96=Dictionary!$A$13)*(Dictionary!$D$5:$D$96&lt;&gt;"")*ISNUMBER(SEARCH(Dictionary!$D$5:$D$96,Data!$I4)))&gt;0,1,0)</f>
        <v>0</v>
      </c>
      <c r="W4" s="15" t="n">
        <f aca="false">IF(SUMPRODUCT((Dictionary!$C$5:$C$96=Dictionary!$A$14)*(Dictionary!$D$5:$D$96&lt;&gt;"")*ISNUMBER(SEARCH(Dictionary!$D$5:$D$96,Data!$I4)))&gt;0,1,0)</f>
        <v>0</v>
      </c>
      <c r="X4" s="15" t="n">
        <f aca="false">IF(SUMPRODUCT((Dictionary!$C$5:$C$96=Dictionary!$A$15)*(Dictionary!$D$5:$D$96&lt;&gt;"")*ISNUMBER(SEARCH(Dictionary!$D$5:$D$96,Data!$I4)))&gt;0,1,0)</f>
        <v>0</v>
      </c>
      <c r="Y4" s="15" t="n">
        <f aca="false">IF(SUMPRODUCT((Dictionary!$C$5:$C$96=Dictionary!$A$16)*(Dictionary!$D$5:$D$96&lt;&gt;"")*ISNUMBER(SEARCH(Dictionary!$D$5:$D$96,Data!$I4)))&gt;0,1,0)</f>
        <v>0</v>
      </c>
      <c r="Z4" s="15" t="n">
        <f aca="false">IF(ISNUMBER(SEARCH("Other",Data!$H4)),1,0)</f>
        <v>0</v>
      </c>
      <c r="AA4" s="15" t="n">
        <f aca="false">IF(Data!$I4&lt;&gt;"",1,0)</f>
        <v>0</v>
      </c>
      <c r="AB4" s="15" t="n">
        <f aca="false">SUM(B4:M4)</f>
        <v>0</v>
      </c>
      <c r="AC4" s="15" t="n">
        <f aca="false">SUMPRODUCT(--((B4:M4+N4:Y4)&gt;0))</f>
        <v>0</v>
      </c>
      <c r="AD4" s="15" t="n">
        <f aca="false">AC4-AB4</f>
        <v>0</v>
      </c>
      <c r="AE4" s="15" t="n">
        <f aca="false">IF(AND(Z4=1,AA4=1),1,0)</f>
        <v>0</v>
      </c>
      <c r="AF4" s="15" t="n">
        <f aca="false">AC4+AE4</f>
        <v>0</v>
      </c>
      <c r="AG4" s="15" t="n">
        <f aca="false">AB4+AE4</f>
        <v>0</v>
      </c>
      <c r="AH4" s="15" t="n">
        <f aca="false">IF(AND(Data!$H4&lt;&gt;"",Data!$I4&lt;&gt;""),1,0)</f>
        <v>0</v>
      </c>
      <c r="AI4" s="15" t="str">
        <f aca="false">IF(AH4=1,SUMPRODUCT(N4:Y4*B4:M4),"")</f>
        <v/>
      </c>
      <c r="AJ4" s="15" t="str">
        <f aca="false">IF(AH4=1,SUMPRODUCT(--(N4:Y4&gt;B4:M4)),"")</f>
        <v/>
      </c>
      <c r="AK4" s="15" t="str">
        <f aca="false">IF(AH4=1,AB4,"")</f>
        <v/>
      </c>
    </row>
    <row r="5" customFormat="false" ht="15" hidden="false" customHeight="true" outlineLevel="0" collapsed="false">
      <c r="A5" s="15" t="str">
        <f aca="false">Data!$A5</f>
        <v>Arches Heritage Data Management Platform</v>
      </c>
      <c r="B5" s="15" t="n">
        <f aca="false">IF(ISNUMBER(SEARCH(Dictionary!$A$5,Data!$H5)),1,0)</f>
        <v>0</v>
      </c>
      <c r="C5" s="15" t="n">
        <f aca="false">IF(ISNUMBER(SEARCH(Dictionary!$A$6,Data!$H5)),1,0)</f>
        <v>0</v>
      </c>
      <c r="D5" s="15" t="n">
        <f aca="false">IF(ISNUMBER(SEARCH(Dictionary!$A$7,Data!$H5)),1,0)</f>
        <v>0</v>
      </c>
      <c r="E5" s="15" t="n">
        <f aca="false">IF(ISNUMBER(SEARCH(Dictionary!$A$8,Data!$H5)),1,0)</f>
        <v>0</v>
      </c>
      <c r="F5" s="15" t="n">
        <f aca="false">IF(ISNUMBER(SEARCH(Dictionary!$A$9,Data!$H5)),1,0)</f>
        <v>0</v>
      </c>
      <c r="G5" s="15" t="n">
        <f aca="false">IF(ISNUMBER(SEARCH(Dictionary!$A$10,Data!$H5)),1,0)</f>
        <v>0</v>
      </c>
      <c r="H5" s="15" t="n">
        <f aca="false">IF(ISNUMBER(SEARCH(Dictionary!$A$11,Data!$H5)),1,0)</f>
        <v>0</v>
      </c>
      <c r="I5" s="15" t="n">
        <f aca="false">IF(ISNUMBER(SEARCH(Dictionary!$A$12,Data!$H5)),1,0)</f>
        <v>0</v>
      </c>
      <c r="J5" s="15" t="n">
        <f aca="false">IF(ISNUMBER(SEARCH(Dictionary!$A$13,Data!$H5)),1,0)</f>
        <v>0</v>
      </c>
      <c r="K5" s="15" t="n">
        <f aca="false">IF(ISNUMBER(SEARCH(Dictionary!$A$14,Data!$H5)),1,0)</f>
        <v>0</v>
      </c>
      <c r="L5" s="15" t="n">
        <f aca="false">IF(ISNUMBER(SEARCH(Dictionary!$A$15,Data!$H5)),1,0)</f>
        <v>0</v>
      </c>
      <c r="M5" s="15" t="n">
        <f aca="false">IF(ISNUMBER(SEARCH(Dictionary!$A$16,Data!$H5)),1,0)</f>
        <v>0</v>
      </c>
      <c r="N5" s="15" t="n">
        <f aca="false">IF(SUMPRODUCT((Dictionary!$C$5:$C$96=Dictionary!$A$5)*(Dictionary!$D$5:$D$96&lt;&gt;"")*ISNUMBER(SEARCH(Dictionary!$D$5:$D$96,Data!$I5)))&gt;0,1,0)</f>
        <v>0</v>
      </c>
      <c r="O5" s="15" t="n">
        <f aca="false">IF(SUMPRODUCT((Dictionary!$C$5:$C$96=Dictionary!$A$6)*(Dictionary!$D$5:$D$96&lt;&gt;"")*ISNUMBER(SEARCH(Dictionary!$D$5:$D$96,Data!$I5)))&gt;0,1,0)</f>
        <v>0</v>
      </c>
      <c r="P5" s="15" t="n">
        <f aca="false">IF(SUMPRODUCT((Dictionary!$C$5:$C$96=Dictionary!$A$7)*(Dictionary!$D$5:$D$96&lt;&gt;"")*ISNUMBER(SEARCH(Dictionary!$D$5:$D$96,Data!$I5)))&gt;0,1,0)</f>
        <v>0</v>
      </c>
      <c r="Q5" s="15" t="n">
        <f aca="false">IF(SUMPRODUCT((Dictionary!$C$5:$C$96=Dictionary!$A$8)*(Dictionary!$D$5:$D$96&lt;&gt;"")*ISNUMBER(SEARCH(Dictionary!$D$5:$D$96,Data!$I5)))&gt;0,1,0)</f>
        <v>0</v>
      </c>
      <c r="R5" s="15" t="n">
        <f aca="false">IF(SUMPRODUCT((Dictionary!$C$5:$C$96=Dictionary!$A$9)*(Dictionary!$D$5:$D$96&lt;&gt;"")*ISNUMBER(SEARCH(Dictionary!$D$5:$D$96,Data!$I5)))&gt;0,1,0)</f>
        <v>0</v>
      </c>
      <c r="S5" s="15" t="n">
        <f aca="false">IF(SUMPRODUCT((Dictionary!$C$5:$C$96=Dictionary!$A$10)*(Dictionary!$D$5:$D$96&lt;&gt;"")*ISNUMBER(SEARCH(Dictionary!$D$5:$D$96,Data!$I5)))&gt;0,1,0)</f>
        <v>0</v>
      </c>
      <c r="T5" s="15" t="n">
        <f aca="false">IF(SUMPRODUCT((Dictionary!$C$5:$C$96=Dictionary!$A$11)*(Dictionary!$D$5:$D$96&lt;&gt;"")*ISNUMBER(SEARCH(Dictionary!$D$5:$D$96,Data!$I5)))&gt;0,1,0)</f>
        <v>0</v>
      </c>
      <c r="U5" s="15" t="n">
        <f aca="false">IF(SUMPRODUCT((Dictionary!$C$5:$C$96=Dictionary!$A$12)*(Dictionary!$D$5:$D$96&lt;&gt;"")*ISNUMBER(SEARCH(Dictionary!$D$5:$D$96,Data!$I5)))&gt;0,1,0)</f>
        <v>0</v>
      </c>
      <c r="V5" s="15" t="n">
        <f aca="false">IF(SUMPRODUCT((Dictionary!$C$5:$C$96=Dictionary!$A$13)*(Dictionary!$D$5:$D$96&lt;&gt;"")*ISNUMBER(SEARCH(Dictionary!$D$5:$D$96,Data!$I5)))&gt;0,1,0)</f>
        <v>0</v>
      </c>
      <c r="W5" s="15" t="n">
        <f aca="false">IF(SUMPRODUCT((Dictionary!$C$5:$C$96=Dictionary!$A$14)*(Dictionary!$D$5:$D$96&lt;&gt;"")*ISNUMBER(SEARCH(Dictionary!$D$5:$D$96,Data!$I5)))&gt;0,1,0)</f>
        <v>0</v>
      </c>
      <c r="X5" s="15" t="n">
        <f aca="false">IF(SUMPRODUCT((Dictionary!$C$5:$C$96=Dictionary!$A$15)*(Dictionary!$D$5:$D$96&lt;&gt;"")*ISNUMBER(SEARCH(Dictionary!$D$5:$D$96,Data!$I5)))&gt;0,1,0)</f>
        <v>0</v>
      </c>
      <c r="Y5" s="15" t="n">
        <f aca="false">IF(SUMPRODUCT((Dictionary!$C$5:$C$96=Dictionary!$A$16)*(Dictionary!$D$5:$D$96&lt;&gt;"")*ISNUMBER(SEARCH(Dictionary!$D$5:$D$96,Data!$I5)))&gt;0,1,0)</f>
        <v>0</v>
      </c>
      <c r="Z5" s="15" t="n">
        <f aca="false">IF(ISNUMBER(SEARCH("Other",Data!$H5)),1,0)</f>
        <v>0</v>
      </c>
      <c r="AA5" s="15" t="n">
        <f aca="false">IF(Data!$I5&lt;&gt;"",1,0)</f>
        <v>0</v>
      </c>
      <c r="AB5" s="15" t="n">
        <f aca="false">SUM(B5:M5)</f>
        <v>0</v>
      </c>
      <c r="AC5" s="15" t="n">
        <f aca="false">SUMPRODUCT(--((B5:M5+N5:Y5)&gt;0))</f>
        <v>0</v>
      </c>
      <c r="AD5" s="15" t="n">
        <f aca="false">AC5-AB5</f>
        <v>0</v>
      </c>
      <c r="AE5" s="15" t="n">
        <f aca="false">IF(AND(Z5=1,AA5=1),1,0)</f>
        <v>0</v>
      </c>
      <c r="AF5" s="15" t="n">
        <f aca="false">AC5+AE5</f>
        <v>0</v>
      </c>
      <c r="AG5" s="15" t="n">
        <f aca="false">AB5+AE5</f>
        <v>0</v>
      </c>
      <c r="AH5" s="15" t="n">
        <f aca="false">IF(AND(Data!$H5&lt;&gt;"",Data!$I5&lt;&gt;""),1,0)</f>
        <v>0</v>
      </c>
      <c r="AI5" s="15" t="str">
        <f aca="false">IF(AH5=1,SUMPRODUCT(N5:Y5*B5:M5),"")</f>
        <v/>
      </c>
      <c r="AJ5" s="15" t="str">
        <f aca="false">IF(AH5=1,SUMPRODUCT(--(N5:Y5&gt;B5:M5)),"")</f>
        <v/>
      </c>
      <c r="AK5" s="15" t="str">
        <f aca="false">IF(AH5=1,AB5,"")</f>
        <v/>
      </c>
    </row>
    <row r="6" customFormat="false" ht="15" hidden="false" customHeight="true" outlineLevel="0" collapsed="false">
      <c r="A6" s="15" t="str">
        <f aca="false">Data!$A6</f>
        <v>Archipelago Commons</v>
      </c>
      <c r="B6" s="15" t="n">
        <f aca="false">IF(ISNUMBER(SEARCH(Dictionary!$A$5,Data!$H6)),1,0)</f>
        <v>0</v>
      </c>
      <c r="C6" s="15" t="n">
        <f aca="false">IF(ISNUMBER(SEARCH(Dictionary!$A$6,Data!$H6)),1,0)</f>
        <v>0</v>
      </c>
      <c r="D6" s="15" t="n">
        <f aca="false">IF(ISNUMBER(SEARCH(Dictionary!$A$7,Data!$H6)),1,0)</f>
        <v>1</v>
      </c>
      <c r="E6" s="15" t="n">
        <f aca="false">IF(ISNUMBER(SEARCH(Dictionary!$A$8,Data!$H6)),1,0)</f>
        <v>1</v>
      </c>
      <c r="F6" s="15" t="n">
        <f aca="false">IF(ISNUMBER(SEARCH(Dictionary!$A$9,Data!$H6)),1,0)</f>
        <v>0</v>
      </c>
      <c r="G6" s="15" t="n">
        <f aca="false">IF(ISNUMBER(SEARCH(Dictionary!$A$10,Data!$H6)),1,0)</f>
        <v>1</v>
      </c>
      <c r="H6" s="15" t="n">
        <f aca="false">IF(ISNUMBER(SEARCH(Dictionary!$A$11,Data!$H6)),1,0)</f>
        <v>1</v>
      </c>
      <c r="I6" s="15" t="n">
        <f aca="false">IF(ISNUMBER(SEARCH(Dictionary!$A$12,Data!$H6)),1,0)</f>
        <v>0</v>
      </c>
      <c r="J6" s="15" t="n">
        <f aca="false">IF(ISNUMBER(SEARCH(Dictionary!$A$13,Data!$H6)),1,0)</f>
        <v>1</v>
      </c>
      <c r="K6" s="15" t="n">
        <f aca="false">IF(ISNUMBER(SEARCH(Dictionary!$A$14,Data!$H6)),1,0)</f>
        <v>0</v>
      </c>
      <c r="L6" s="15" t="n">
        <f aca="false">IF(ISNUMBER(SEARCH(Dictionary!$A$15,Data!$H6)),1,0)</f>
        <v>1</v>
      </c>
      <c r="M6" s="15" t="n">
        <f aca="false">IF(ISNUMBER(SEARCH(Dictionary!$A$16,Data!$H6)),1,0)</f>
        <v>1</v>
      </c>
      <c r="N6" s="15" t="n">
        <f aca="false">IF(SUMPRODUCT((Dictionary!$C$5:$C$96=Dictionary!$A$5)*(Dictionary!$D$5:$D$96&lt;&gt;"")*ISNUMBER(SEARCH(Dictionary!$D$5:$D$96,Data!$I6)))&gt;0,1,0)</f>
        <v>0</v>
      </c>
      <c r="O6" s="15" t="n">
        <f aca="false">IF(SUMPRODUCT((Dictionary!$C$5:$C$96=Dictionary!$A$6)*(Dictionary!$D$5:$D$96&lt;&gt;"")*ISNUMBER(SEARCH(Dictionary!$D$5:$D$96,Data!$I6)))&gt;0,1,0)</f>
        <v>0</v>
      </c>
      <c r="P6" s="15" t="n">
        <f aca="false">IF(SUMPRODUCT((Dictionary!$C$5:$C$96=Dictionary!$A$7)*(Dictionary!$D$5:$D$96&lt;&gt;"")*ISNUMBER(SEARCH(Dictionary!$D$5:$D$96,Data!$I6)))&gt;0,1,0)</f>
        <v>0</v>
      </c>
      <c r="Q6" s="15" t="n">
        <f aca="false">IF(SUMPRODUCT((Dictionary!$C$5:$C$96=Dictionary!$A$8)*(Dictionary!$D$5:$D$96&lt;&gt;"")*ISNUMBER(SEARCH(Dictionary!$D$5:$D$96,Data!$I6)))&gt;0,1,0)</f>
        <v>0</v>
      </c>
      <c r="R6" s="15" t="n">
        <f aca="false">IF(SUMPRODUCT((Dictionary!$C$5:$C$96=Dictionary!$A$9)*(Dictionary!$D$5:$D$96&lt;&gt;"")*ISNUMBER(SEARCH(Dictionary!$D$5:$D$96,Data!$I6)))&gt;0,1,0)</f>
        <v>0</v>
      </c>
      <c r="S6" s="15" t="n">
        <f aca="false">IF(SUMPRODUCT((Dictionary!$C$5:$C$96=Dictionary!$A$10)*(Dictionary!$D$5:$D$96&lt;&gt;"")*ISNUMBER(SEARCH(Dictionary!$D$5:$D$96,Data!$I6)))&gt;0,1,0)</f>
        <v>0</v>
      </c>
      <c r="T6" s="15" t="n">
        <f aca="false">IF(SUMPRODUCT((Dictionary!$C$5:$C$96=Dictionary!$A$11)*(Dictionary!$D$5:$D$96&lt;&gt;"")*ISNUMBER(SEARCH(Dictionary!$D$5:$D$96,Data!$I6)))&gt;0,1,0)</f>
        <v>1</v>
      </c>
      <c r="U6" s="15" t="n">
        <f aca="false">IF(SUMPRODUCT((Dictionary!$C$5:$C$96=Dictionary!$A$12)*(Dictionary!$D$5:$D$96&lt;&gt;"")*ISNUMBER(SEARCH(Dictionary!$D$5:$D$96,Data!$I6)))&gt;0,1,0)</f>
        <v>0</v>
      </c>
      <c r="V6" s="15" t="n">
        <f aca="false">IF(SUMPRODUCT((Dictionary!$C$5:$C$96=Dictionary!$A$13)*(Dictionary!$D$5:$D$96&lt;&gt;"")*ISNUMBER(SEARCH(Dictionary!$D$5:$D$96,Data!$I6)))&gt;0,1,0)</f>
        <v>0</v>
      </c>
      <c r="W6" s="15" t="n">
        <f aca="false">IF(SUMPRODUCT((Dictionary!$C$5:$C$96=Dictionary!$A$14)*(Dictionary!$D$5:$D$96&lt;&gt;"")*ISNUMBER(SEARCH(Dictionary!$D$5:$D$96,Data!$I6)))&gt;0,1,0)</f>
        <v>0</v>
      </c>
      <c r="X6" s="15" t="n">
        <f aca="false">IF(SUMPRODUCT((Dictionary!$C$5:$C$96=Dictionary!$A$15)*(Dictionary!$D$5:$D$96&lt;&gt;"")*ISNUMBER(SEARCH(Dictionary!$D$5:$D$96,Data!$I6)))&gt;0,1,0)</f>
        <v>0</v>
      </c>
      <c r="Y6" s="15" t="n">
        <f aca="false">IF(SUMPRODUCT((Dictionary!$C$5:$C$96=Dictionary!$A$16)*(Dictionary!$D$5:$D$96&lt;&gt;"")*ISNUMBER(SEARCH(Dictionary!$D$5:$D$96,Data!$I6)))&gt;0,1,0)</f>
        <v>0</v>
      </c>
      <c r="Z6" s="15" t="n">
        <f aca="false">IF(ISNUMBER(SEARCH("Other",Data!$H6)),1,0)</f>
        <v>0</v>
      </c>
      <c r="AA6" s="15" t="n">
        <f aca="false">IF(Data!$I6&lt;&gt;"",1,0)</f>
        <v>1</v>
      </c>
      <c r="AB6" s="15" t="n">
        <f aca="false">SUM(B6:M6)</f>
        <v>7</v>
      </c>
      <c r="AC6" s="15" t="n">
        <f aca="false">SUMPRODUCT(--((B6:M6+N6:Y6)&gt;0))</f>
        <v>7</v>
      </c>
      <c r="AD6" s="15" t="n">
        <f aca="false">AC6-AB6</f>
        <v>0</v>
      </c>
      <c r="AE6" s="15" t="n">
        <f aca="false">IF(AND(Z6=1,AA6=1),1,0)</f>
        <v>0</v>
      </c>
      <c r="AF6" s="15" t="n">
        <f aca="false">AC6+AE6</f>
        <v>7</v>
      </c>
      <c r="AG6" s="15" t="n">
        <f aca="false">AB6+AE6</f>
        <v>7</v>
      </c>
      <c r="AH6" s="15" t="n">
        <f aca="false">IF(AND(Data!$H6&lt;&gt;"",Data!$I6&lt;&gt;""),1,0)</f>
        <v>1</v>
      </c>
      <c r="AI6" s="15" t="n">
        <f aca="false">IF(AH6=1,SUMPRODUCT(N6:Y6*B6:M6),"")</f>
        <v>1</v>
      </c>
      <c r="AJ6" s="15" t="n">
        <f aca="false">IF(AH6=1,SUMPRODUCT(--(N6:Y6&gt;B6:M6)),"")</f>
        <v>0</v>
      </c>
      <c r="AK6" s="15" t="n">
        <f aca="false">IF(AH6=1,AB6,"")</f>
        <v>7</v>
      </c>
    </row>
    <row r="7" customFormat="false" ht="15" hidden="false" customHeight="true" outlineLevel="0" collapsed="false">
      <c r="A7" s="15" t="str">
        <f aca="false">Data!$A7</f>
        <v>Archival Resource Key</v>
      </c>
      <c r="B7" s="15" t="n">
        <f aca="false">IF(ISNUMBER(SEARCH(Dictionary!$A$5,Data!$H7)),1,0)</f>
        <v>0</v>
      </c>
      <c r="C7" s="15" t="n">
        <f aca="false">IF(ISNUMBER(SEARCH(Dictionary!$A$6,Data!$H7)),1,0)</f>
        <v>0</v>
      </c>
      <c r="D7" s="15" t="n">
        <f aca="false">IF(ISNUMBER(SEARCH(Dictionary!$A$7,Data!$H7)),1,0)</f>
        <v>0</v>
      </c>
      <c r="E7" s="15" t="n">
        <f aca="false">IF(ISNUMBER(SEARCH(Dictionary!$A$8,Data!$H7)),1,0)</f>
        <v>0</v>
      </c>
      <c r="F7" s="15" t="n">
        <f aca="false">IF(ISNUMBER(SEARCH(Dictionary!$A$9,Data!$H7)),1,0)</f>
        <v>0</v>
      </c>
      <c r="G7" s="15" t="n">
        <f aca="false">IF(ISNUMBER(SEARCH(Dictionary!$A$10,Data!$H7)),1,0)</f>
        <v>0</v>
      </c>
      <c r="H7" s="15" t="n">
        <f aca="false">IF(ISNUMBER(SEARCH(Dictionary!$A$11,Data!$H7)),1,0)</f>
        <v>0</v>
      </c>
      <c r="I7" s="15" t="n">
        <f aca="false">IF(ISNUMBER(SEARCH(Dictionary!$A$12,Data!$H7)),1,0)</f>
        <v>0</v>
      </c>
      <c r="J7" s="15" t="n">
        <f aca="false">IF(ISNUMBER(SEARCH(Dictionary!$A$13,Data!$H7)),1,0)</f>
        <v>0</v>
      </c>
      <c r="K7" s="15" t="n">
        <f aca="false">IF(ISNUMBER(SEARCH(Dictionary!$A$14,Data!$H7)),1,0)</f>
        <v>0</v>
      </c>
      <c r="L7" s="15" t="n">
        <f aca="false">IF(ISNUMBER(SEARCH(Dictionary!$A$15,Data!$H7)),1,0)</f>
        <v>0</v>
      </c>
      <c r="M7" s="15" t="n">
        <f aca="false">IF(ISNUMBER(SEARCH(Dictionary!$A$16,Data!$H7)),1,0)</f>
        <v>0</v>
      </c>
      <c r="N7" s="15" t="n">
        <f aca="false">IF(SUMPRODUCT((Dictionary!$C$5:$C$96=Dictionary!$A$5)*(Dictionary!$D$5:$D$96&lt;&gt;"")*ISNUMBER(SEARCH(Dictionary!$D$5:$D$96,Data!$I7)))&gt;0,1,0)</f>
        <v>0</v>
      </c>
      <c r="O7" s="15" t="n">
        <f aca="false">IF(SUMPRODUCT((Dictionary!$C$5:$C$96=Dictionary!$A$6)*(Dictionary!$D$5:$D$96&lt;&gt;"")*ISNUMBER(SEARCH(Dictionary!$D$5:$D$96,Data!$I7)))&gt;0,1,0)</f>
        <v>0</v>
      </c>
      <c r="P7" s="15" t="n">
        <f aca="false">IF(SUMPRODUCT((Dictionary!$C$5:$C$96=Dictionary!$A$7)*(Dictionary!$D$5:$D$96&lt;&gt;"")*ISNUMBER(SEARCH(Dictionary!$D$5:$D$96,Data!$I7)))&gt;0,1,0)</f>
        <v>0</v>
      </c>
      <c r="Q7" s="15" t="n">
        <f aca="false">IF(SUMPRODUCT((Dictionary!$C$5:$C$96=Dictionary!$A$8)*(Dictionary!$D$5:$D$96&lt;&gt;"")*ISNUMBER(SEARCH(Dictionary!$D$5:$D$96,Data!$I7)))&gt;0,1,0)</f>
        <v>0</v>
      </c>
      <c r="R7" s="15" t="n">
        <f aca="false">IF(SUMPRODUCT((Dictionary!$C$5:$C$96=Dictionary!$A$9)*(Dictionary!$D$5:$D$96&lt;&gt;"")*ISNUMBER(SEARCH(Dictionary!$D$5:$D$96,Data!$I7)))&gt;0,1,0)</f>
        <v>0</v>
      </c>
      <c r="S7" s="15" t="n">
        <f aca="false">IF(SUMPRODUCT((Dictionary!$C$5:$C$96=Dictionary!$A$10)*(Dictionary!$D$5:$D$96&lt;&gt;"")*ISNUMBER(SEARCH(Dictionary!$D$5:$D$96,Data!$I7)))&gt;0,1,0)</f>
        <v>0</v>
      </c>
      <c r="T7" s="15" t="n">
        <f aca="false">IF(SUMPRODUCT((Dictionary!$C$5:$C$96=Dictionary!$A$11)*(Dictionary!$D$5:$D$96&lt;&gt;"")*ISNUMBER(SEARCH(Dictionary!$D$5:$D$96,Data!$I7)))&gt;0,1,0)</f>
        <v>0</v>
      </c>
      <c r="U7" s="15" t="n">
        <f aca="false">IF(SUMPRODUCT((Dictionary!$C$5:$C$96=Dictionary!$A$12)*(Dictionary!$D$5:$D$96&lt;&gt;"")*ISNUMBER(SEARCH(Dictionary!$D$5:$D$96,Data!$I7)))&gt;0,1,0)</f>
        <v>0</v>
      </c>
      <c r="V7" s="15" t="n">
        <f aca="false">IF(SUMPRODUCT((Dictionary!$C$5:$C$96=Dictionary!$A$13)*(Dictionary!$D$5:$D$96&lt;&gt;"")*ISNUMBER(SEARCH(Dictionary!$D$5:$D$96,Data!$I7)))&gt;0,1,0)</f>
        <v>0</v>
      </c>
      <c r="W7" s="15" t="n">
        <f aca="false">IF(SUMPRODUCT((Dictionary!$C$5:$C$96=Dictionary!$A$14)*(Dictionary!$D$5:$D$96&lt;&gt;"")*ISNUMBER(SEARCH(Dictionary!$D$5:$D$96,Data!$I7)))&gt;0,1,0)</f>
        <v>0</v>
      </c>
      <c r="X7" s="15" t="n">
        <f aca="false">IF(SUMPRODUCT((Dictionary!$C$5:$C$96=Dictionary!$A$15)*(Dictionary!$D$5:$D$96&lt;&gt;"")*ISNUMBER(SEARCH(Dictionary!$D$5:$D$96,Data!$I7)))&gt;0,1,0)</f>
        <v>0</v>
      </c>
      <c r="Y7" s="15" t="n">
        <f aca="false">IF(SUMPRODUCT((Dictionary!$C$5:$C$96=Dictionary!$A$16)*(Dictionary!$D$5:$D$96&lt;&gt;"")*ISNUMBER(SEARCH(Dictionary!$D$5:$D$96,Data!$I7)))&gt;0,1,0)</f>
        <v>0</v>
      </c>
      <c r="Z7" s="15" t="n">
        <f aca="false">IF(ISNUMBER(SEARCH("Other",Data!$H7)),1,0)</f>
        <v>0</v>
      </c>
      <c r="AA7" s="15" t="n">
        <f aca="false">IF(Data!$I7&lt;&gt;"",1,0)</f>
        <v>0</v>
      </c>
      <c r="AB7" s="15" t="n">
        <f aca="false">SUM(B7:M7)</f>
        <v>0</v>
      </c>
      <c r="AC7" s="15" t="n">
        <f aca="false">SUMPRODUCT(--((B7:M7+N7:Y7)&gt;0))</f>
        <v>0</v>
      </c>
      <c r="AD7" s="15" t="n">
        <f aca="false">AC7-AB7</f>
        <v>0</v>
      </c>
      <c r="AE7" s="15" t="n">
        <f aca="false">IF(AND(Z7=1,AA7=1),1,0)</f>
        <v>0</v>
      </c>
      <c r="AF7" s="15" t="n">
        <f aca="false">AC7+AE7</f>
        <v>0</v>
      </c>
      <c r="AG7" s="15" t="n">
        <f aca="false">AB7+AE7</f>
        <v>0</v>
      </c>
      <c r="AH7" s="15" t="n">
        <f aca="false">IF(AND(Data!$H7&lt;&gt;"",Data!$I7&lt;&gt;""),1,0)</f>
        <v>0</v>
      </c>
      <c r="AI7" s="15" t="str">
        <f aca="false">IF(AH7=1,SUMPRODUCT(N7:Y7*B7:M7),"")</f>
        <v/>
      </c>
      <c r="AJ7" s="15" t="str">
        <f aca="false">IF(AH7=1,SUMPRODUCT(--(N7:Y7&gt;B7:M7)),"")</f>
        <v/>
      </c>
      <c r="AK7" s="15" t="str">
        <f aca="false">IF(AH7=1,AB7,"")</f>
        <v/>
      </c>
    </row>
    <row r="8" customFormat="false" ht="15" hidden="false" customHeight="true" outlineLevel="0" collapsed="false">
      <c r="A8" s="15" t="str">
        <f aca="false">Data!$A8</f>
        <v>Archivematica</v>
      </c>
      <c r="B8" s="15" t="n">
        <f aca="false">IF(ISNUMBER(SEARCH(Dictionary!$A$5,Data!$H8)),1,0)</f>
        <v>0</v>
      </c>
      <c r="C8" s="15" t="n">
        <f aca="false">IF(ISNUMBER(SEARCH(Dictionary!$A$6,Data!$H8)),1,0)</f>
        <v>0</v>
      </c>
      <c r="D8" s="15" t="n">
        <f aca="false">IF(ISNUMBER(SEARCH(Dictionary!$A$7,Data!$H8)),1,0)</f>
        <v>0</v>
      </c>
      <c r="E8" s="15" t="n">
        <f aca="false">IF(ISNUMBER(SEARCH(Dictionary!$A$8,Data!$H8)),1,0)</f>
        <v>0</v>
      </c>
      <c r="F8" s="15" t="n">
        <f aca="false">IF(ISNUMBER(SEARCH(Dictionary!$A$9,Data!$H8)),1,0)</f>
        <v>0</v>
      </c>
      <c r="G8" s="15" t="n">
        <f aca="false">IF(ISNUMBER(SEARCH(Dictionary!$A$10,Data!$H8)),1,0)</f>
        <v>0</v>
      </c>
      <c r="H8" s="15" t="n">
        <f aca="false">IF(ISNUMBER(SEARCH(Dictionary!$A$11,Data!$H8)),1,0)</f>
        <v>0</v>
      </c>
      <c r="I8" s="15" t="n">
        <f aca="false">IF(ISNUMBER(SEARCH(Dictionary!$A$12,Data!$H8)),1,0)</f>
        <v>0</v>
      </c>
      <c r="J8" s="15" t="n">
        <f aca="false">IF(ISNUMBER(SEARCH(Dictionary!$A$13,Data!$H8)),1,0)</f>
        <v>0</v>
      </c>
      <c r="K8" s="15" t="n">
        <f aca="false">IF(ISNUMBER(SEARCH(Dictionary!$A$14,Data!$H8)),1,0)</f>
        <v>0</v>
      </c>
      <c r="L8" s="15" t="n">
        <f aca="false">IF(ISNUMBER(SEARCH(Dictionary!$A$15,Data!$H8)),1,0)</f>
        <v>0</v>
      </c>
      <c r="M8" s="15" t="n">
        <f aca="false">IF(ISNUMBER(SEARCH(Dictionary!$A$16,Data!$H8)),1,0)</f>
        <v>0</v>
      </c>
      <c r="N8" s="15" t="n">
        <f aca="false">IF(SUMPRODUCT((Dictionary!$C$5:$C$96=Dictionary!$A$5)*(Dictionary!$D$5:$D$96&lt;&gt;"")*ISNUMBER(SEARCH(Dictionary!$D$5:$D$96,Data!$I8)))&gt;0,1,0)</f>
        <v>0</v>
      </c>
      <c r="O8" s="15" t="n">
        <f aca="false">IF(SUMPRODUCT((Dictionary!$C$5:$C$96=Dictionary!$A$6)*(Dictionary!$D$5:$D$96&lt;&gt;"")*ISNUMBER(SEARCH(Dictionary!$D$5:$D$96,Data!$I8)))&gt;0,1,0)</f>
        <v>0</v>
      </c>
      <c r="P8" s="15" t="n">
        <f aca="false">IF(SUMPRODUCT((Dictionary!$C$5:$C$96=Dictionary!$A$7)*(Dictionary!$D$5:$D$96&lt;&gt;"")*ISNUMBER(SEARCH(Dictionary!$D$5:$D$96,Data!$I8)))&gt;0,1,0)</f>
        <v>0</v>
      </c>
      <c r="Q8" s="15" t="n">
        <f aca="false">IF(SUMPRODUCT((Dictionary!$C$5:$C$96=Dictionary!$A$8)*(Dictionary!$D$5:$D$96&lt;&gt;"")*ISNUMBER(SEARCH(Dictionary!$D$5:$D$96,Data!$I8)))&gt;0,1,0)</f>
        <v>0</v>
      </c>
      <c r="R8" s="15" t="n">
        <f aca="false">IF(SUMPRODUCT((Dictionary!$C$5:$C$96=Dictionary!$A$9)*(Dictionary!$D$5:$D$96&lt;&gt;"")*ISNUMBER(SEARCH(Dictionary!$D$5:$D$96,Data!$I8)))&gt;0,1,0)</f>
        <v>0</v>
      </c>
      <c r="S8" s="15" t="n">
        <f aca="false">IF(SUMPRODUCT((Dictionary!$C$5:$C$96=Dictionary!$A$10)*(Dictionary!$D$5:$D$96&lt;&gt;"")*ISNUMBER(SEARCH(Dictionary!$D$5:$D$96,Data!$I8)))&gt;0,1,0)</f>
        <v>0</v>
      </c>
      <c r="T8" s="15" t="n">
        <f aca="false">IF(SUMPRODUCT((Dictionary!$C$5:$C$96=Dictionary!$A$11)*(Dictionary!$D$5:$D$96&lt;&gt;"")*ISNUMBER(SEARCH(Dictionary!$D$5:$D$96,Data!$I8)))&gt;0,1,0)</f>
        <v>0</v>
      </c>
      <c r="U8" s="15" t="n">
        <f aca="false">IF(SUMPRODUCT((Dictionary!$C$5:$C$96=Dictionary!$A$12)*(Dictionary!$D$5:$D$96&lt;&gt;"")*ISNUMBER(SEARCH(Dictionary!$D$5:$D$96,Data!$I8)))&gt;0,1,0)</f>
        <v>0</v>
      </c>
      <c r="V8" s="15" t="n">
        <f aca="false">IF(SUMPRODUCT((Dictionary!$C$5:$C$96=Dictionary!$A$13)*(Dictionary!$D$5:$D$96&lt;&gt;"")*ISNUMBER(SEARCH(Dictionary!$D$5:$D$96,Data!$I8)))&gt;0,1,0)</f>
        <v>0</v>
      </c>
      <c r="W8" s="15" t="n">
        <f aca="false">IF(SUMPRODUCT((Dictionary!$C$5:$C$96=Dictionary!$A$14)*(Dictionary!$D$5:$D$96&lt;&gt;"")*ISNUMBER(SEARCH(Dictionary!$D$5:$D$96,Data!$I8)))&gt;0,1,0)</f>
        <v>0</v>
      </c>
      <c r="X8" s="15" t="n">
        <f aca="false">IF(SUMPRODUCT((Dictionary!$C$5:$C$96=Dictionary!$A$15)*(Dictionary!$D$5:$D$96&lt;&gt;"")*ISNUMBER(SEARCH(Dictionary!$D$5:$D$96,Data!$I8)))&gt;0,1,0)</f>
        <v>0</v>
      </c>
      <c r="Y8" s="15" t="n">
        <f aca="false">IF(SUMPRODUCT((Dictionary!$C$5:$C$96=Dictionary!$A$16)*(Dictionary!$D$5:$D$96&lt;&gt;"")*ISNUMBER(SEARCH(Dictionary!$D$5:$D$96,Data!$I8)))&gt;0,1,0)</f>
        <v>0</v>
      </c>
      <c r="Z8" s="15" t="n">
        <f aca="false">IF(ISNUMBER(SEARCH("Other",Data!$H8)),1,0)</f>
        <v>0</v>
      </c>
      <c r="AA8" s="15" t="n">
        <f aca="false">IF(Data!$I8&lt;&gt;"",1,0)</f>
        <v>0</v>
      </c>
      <c r="AB8" s="15" t="n">
        <f aca="false">SUM(B8:M8)</f>
        <v>0</v>
      </c>
      <c r="AC8" s="15" t="n">
        <f aca="false">SUMPRODUCT(--((B8:M8+N8:Y8)&gt;0))</f>
        <v>0</v>
      </c>
      <c r="AD8" s="15" t="n">
        <f aca="false">AC8-AB8</f>
        <v>0</v>
      </c>
      <c r="AE8" s="15" t="n">
        <f aca="false">IF(AND(Z8=1,AA8=1),1,0)</f>
        <v>0</v>
      </c>
      <c r="AF8" s="15" t="n">
        <f aca="false">AC8+AE8</f>
        <v>0</v>
      </c>
      <c r="AG8" s="15" t="n">
        <f aca="false">AB8+AE8</f>
        <v>0</v>
      </c>
      <c r="AH8" s="15" t="n">
        <f aca="false">IF(AND(Data!$H8&lt;&gt;"",Data!$I8&lt;&gt;""),1,0)</f>
        <v>0</v>
      </c>
      <c r="AI8" s="15" t="str">
        <f aca="false">IF(AH8=1,SUMPRODUCT(N8:Y8*B8:M8),"")</f>
        <v/>
      </c>
      <c r="AJ8" s="15" t="str">
        <f aca="false">IF(AH8=1,SUMPRODUCT(--(N8:Y8&gt;B8:M8)),"")</f>
        <v/>
      </c>
      <c r="AK8" s="15" t="str">
        <f aca="false">IF(AH8=1,AB8,"")</f>
        <v/>
      </c>
    </row>
    <row r="9" customFormat="false" ht="15" hidden="false" customHeight="true" outlineLevel="0" collapsed="false">
      <c r="A9" s="15" t="str">
        <f aca="false">Data!$A9</f>
        <v>ArchivesSpace</v>
      </c>
      <c r="B9" s="15" t="n">
        <f aca="false">IF(ISNUMBER(SEARCH(Dictionary!$A$5,Data!$H9)),1,0)</f>
        <v>1</v>
      </c>
      <c r="C9" s="15" t="n">
        <f aca="false">IF(ISNUMBER(SEARCH(Dictionary!$A$6,Data!$H9)),1,0)</f>
        <v>1</v>
      </c>
      <c r="D9" s="15" t="n">
        <f aca="false">IF(ISNUMBER(SEARCH(Dictionary!$A$7,Data!$H9)),1,0)</f>
        <v>1</v>
      </c>
      <c r="E9" s="15" t="n">
        <f aca="false">IF(ISNUMBER(SEARCH(Dictionary!$A$8,Data!$H9)),1,0)</f>
        <v>1</v>
      </c>
      <c r="F9" s="15" t="n">
        <f aca="false">IF(ISNUMBER(SEARCH(Dictionary!$A$9,Data!$H9)),1,0)</f>
        <v>0</v>
      </c>
      <c r="G9" s="15" t="n">
        <f aca="false">IF(ISNUMBER(SEARCH(Dictionary!$A$10,Data!$H9)),1,0)</f>
        <v>1</v>
      </c>
      <c r="H9" s="15" t="n">
        <f aca="false">IF(ISNUMBER(SEARCH(Dictionary!$A$11,Data!$H9)),1,0)</f>
        <v>1</v>
      </c>
      <c r="I9" s="15" t="n">
        <f aca="false">IF(ISNUMBER(SEARCH(Dictionary!$A$12,Data!$H9)),1,0)</f>
        <v>1</v>
      </c>
      <c r="J9" s="15" t="n">
        <f aca="false">IF(ISNUMBER(SEARCH(Dictionary!$A$13,Data!$H9)),1,0)</f>
        <v>1</v>
      </c>
      <c r="K9" s="15" t="n">
        <f aca="false">IF(ISNUMBER(SEARCH(Dictionary!$A$14,Data!$H9)),1,0)</f>
        <v>0</v>
      </c>
      <c r="L9" s="15" t="n">
        <f aca="false">IF(ISNUMBER(SEARCH(Dictionary!$A$15,Data!$H9)),1,0)</f>
        <v>0</v>
      </c>
      <c r="M9" s="15" t="n">
        <f aca="false">IF(ISNUMBER(SEARCH(Dictionary!$A$16,Data!$H9)),1,0)</f>
        <v>1</v>
      </c>
      <c r="N9" s="15" t="n">
        <f aca="false">IF(SUMPRODUCT((Dictionary!$C$5:$C$96=Dictionary!$A$5)*(Dictionary!$D$5:$D$96&lt;&gt;"")*ISNUMBER(SEARCH(Dictionary!$D$5:$D$96,Data!$I9)))&gt;0,1,0)</f>
        <v>0</v>
      </c>
      <c r="O9" s="15" t="n">
        <f aca="false">IF(SUMPRODUCT((Dictionary!$C$5:$C$96=Dictionary!$A$6)*(Dictionary!$D$5:$D$96&lt;&gt;"")*ISNUMBER(SEARCH(Dictionary!$D$5:$D$96,Data!$I9)))&gt;0,1,0)</f>
        <v>0</v>
      </c>
      <c r="P9" s="15" t="n">
        <f aca="false">IF(SUMPRODUCT((Dictionary!$C$5:$C$96=Dictionary!$A$7)*(Dictionary!$D$5:$D$96&lt;&gt;"")*ISNUMBER(SEARCH(Dictionary!$D$5:$D$96,Data!$I9)))&gt;0,1,0)</f>
        <v>0</v>
      </c>
      <c r="Q9" s="15" t="n">
        <f aca="false">IF(SUMPRODUCT((Dictionary!$C$5:$C$96=Dictionary!$A$8)*(Dictionary!$D$5:$D$96&lt;&gt;"")*ISNUMBER(SEARCH(Dictionary!$D$5:$D$96,Data!$I9)))&gt;0,1,0)</f>
        <v>0</v>
      </c>
      <c r="R9" s="15" t="n">
        <f aca="false">IF(SUMPRODUCT((Dictionary!$C$5:$C$96=Dictionary!$A$9)*(Dictionary!$D$5:$D$96&lt;&gt;"")*ISNUMBER(SEARCH(Dictionary!$D$5:$D$96,Data!$I9)))&gt;0,1,0)</f>
        <v>0</v>
      </c>
      <c r="S9" s="15" t="n">
        <f aca="false">IF(SUMPRODUCT((Dictionary!$C$5:$C$96=Dictionary!$A$10)*(Dictionary!$D$5:$D$96&lt;&gt;"")*ISNUMBER(SEARCH(Dictionary!$D$5:$D$96,Data!$I9)))&gt;0,1,0)</f>
        <v>0</v>
      </c>
      <c r="T9" s="15" t="n">
        <f aca="false">IF(SUMPRODUCT((Dictionary!$C$5:$C$96=Dictionary!$A$11)*(Dictionary!$D$5:$D$96&lt;&gt;"")*ISNUMBER(SEARCH(Dictionary!$D$5:$D$96,Data!$I9)))&gt;0,1,0)</f>
        <v>0</v>
      </c>
      <c r="U9" s="15" t="n">
        <f aca="false">IF(SUMPRODUCT((Dictionary!$C$5:$C$96=Dictionary!$A$12)*(Dictionary!$D$5:$D$96&lt;&gt;"")*ISNUMBER(SEARCH(Dictionary!$D$5:$D$96,Data!$I9)))&gt;0,1,0)</f>
        <v>0</v>
      </c>
      <c r="V9" s="15" t="n">
        <f aca="false">IF(SUMPRODUCT((Dictionary!$C$5:$C$96=Dictionary!$A$13)*(Dictionary!$D$5:$D$96&lt;&gt;"")*ISNUMBER(SEARCH(Dictionary!$D$5:$D$96,Data!$I9)))&gt;0,1,0)</f>
        <v>0</v>
      </c>
      <c r="W9" s="15" t="n">
        <f aca="false">IF(SUMPRODUCT((Dictionary!$C$5:$C$96=Dictionary!$A$14)*(Dictionary!$D$5:$D$96&lt;&gt;"")*ISNUMBER(SEARCH(Dictionary!$D$5:$D$96,Data!$I9)))&gt;0,1,0)</f>
        <v>0</v>
      </c>
      <c r="X9" s="15" t="n">
        <f aca="false">IF(SUMPRODUCT((Dictionary!$C$5:$C$96=Dictionary!$A$15)*(Dictionary!$D$5:$D$96&lt;&gt;"")*ISNUMBER(SEARCH(Dictionary!$D$5:$D$96,Data!$I9)))&gt;0,1,0)</f>
        <v>0</v>
      </c>
      <c r="Y9" s="15" t="n">
        <f aca="false">IF(SUMPRODUCT((Dictionary!$C$5:$C$96=Dictionary!$A$16)*(Dictionary!$D$5:$D$96&lt;&gt;"")*ISNUMBER(SEARCH(Dictionary!$D$5:$D$96,Data!$I9)))&gt;0,1,0)</f>
        <v>0</v>
      </c>
      <c r="Z9" s="15" t="n">
        <f aca="false">IF(ISNUMBER(SEARCH("Other",Data!$H9)),1,0)</f>
        <v>0</v>
      </c>
      <c r="AA9" s="15" t="n">
        <f aca="false">IF(Data!$I9&lt;&gt;"",1,0)</f>
        <v>0</v>
      </c>
      <c r="AB9" s="15" t="n">
        <f aca="false">SUM(B9:M9)</f>
        <v>9</v>
      </c>
      <c r="AC9" s="15" t="n">
        <f aca="false">SUMPRODUCT(--((B9:M9+N9:Y9)&gt;0))</f>
        <v>9</v>
      </c>
      <c r="AD9" s="15" t="n">
        <f aca="false">AC9-AB9</f>
        <v>0</v>
      </c>
      <c r="AE9" s="15" t="n">
        <f aca="false">IF(AND(Z9=1,AA9=1),1,0)</f>
        <v>0</v>
      </c>
      <c r="AF9" s="15" t="n">
        <f aca="false">AC9+AE9</f>
        <v>9</v>
      </c>
      <c r="AG9" s="15" t="n">
        <f aca="false">AB9+AE9</f>
        <v>9</v>
      </c>
      <c r="AH9" s="15" t="n">
        <f aca="false">IF(AND(Data!$H9&lt;&gt;"",Data!$I9&lt;&gt;""),1,0)</f>
        <v>0</v>
      </c>
      <c r="AI9" s="15" t="str">
        <f aca="false">IF(AH9=1,SUMPRODUCT(N9:Y9*B9:M9),"")</f>
        <v/>
      </c>
      <c r="AJ9" s="15" t="str">
        <f aca="false">IF(AH9=1,SUMPRODUCT(--(N9:Y9&gt;B9:M9)),"")</f>
        <v/>
      </c>
      <c r="AK9" s="15" t="str">
        <f aca="false">IF(AH9=1,AB9,"")</f>
        <v/>
      </c>
    </row>
    <row r="10" customFormat="false" ht="15" hidden="false" customHeight="true" outlineLevel="0" collapsed="false">
      <c r="A10" s="15" t="str">
        <f aca="false">Data!$A10</f>
        <v>ARGOS</v>
      </c>
      <c r="B10" s="15" t="n">
        <f aca="false">IF(ISNUMBER(SEARCH(Dictionary!$A$5,Data!$H10)),1,0)</f>
        <v>0</v>
      </c>
      <c r="C10" s="15" t="n">
        <f aca="false">IF(ISNUMBER(SEARCH(Dictionary!$A$6,Data!$H10)),1,0)</f>
        <v>1</v>
      </c>
      <c r="D10" s="15" t="n">
        <f aca="false">IF(ISNUMBER(SEARCH(Dictionary!$A$7,Data!$H10)),1,0)</f>
        <v>1</v>
      </c>
      <c r="E10" s="15" t="n">
        <f aca="false">IF(ISNUMBER(SEARCH(Dictionary!$A$8,Data!$H10)),1,0)</f>
        <v>1</v>
      </c>
      <c r="F10" s="15" t="n">
        <f aca="false">IF(ISNUMBER(SEARCH(Dictionary!$A$9,Data!$H10)),1,0)</f>
        <v>1</v>
      </c>
      <c r="G10" s="15" t="n">
        <f aca="false">IF(ISNUMBER(SEARCH(Dictionary!$A$10,Data!$H10)),1,0)</f>
        <v>1</v>
      </c>
      <c r="H10" s="15" t="n">
        <f aca="false">IF(ISNUMBER(SEARCH(Dictionary!$A$11,Data!$H10)),1,0)</f>
        <v>0</v>
      </c>
      <c r="I10" s="15" t="n">
        <f aca="false">IF(ISNUMBER(SEARCH(Dictionary!$A$12,Data!$H10)),1,0)</f>
        <v>1</v>
      </c>
      <c r="J10" s="15" t="n">
        <f aca="false">IF(ISNUMBER(SEARCH(Dictionary!$A$13,Data!$H10)),1,0)</f>
        <v>1</v>
      </c>
      <c r="K10" s="15" t="n">
        <f aca="false">IF(ISNUMBER(SEARCH(Dictionary!$A$14,Data!$H10)),1,0)</f>
        <v>0</v>
      </c>
      <c r="L10" s="15" t="n">
        <f aca="false">IF(ISNUMBER(SEARCH(Dictionary!$A$15,Data!$H10)),1,0)</f>
        <v>0</v>
      </c>
      <c r="M10" s="15" t="n">
        <f aca="false">IF(ISNUMBER(SEARCH(Dictionary!$A$16,Data!$H10)),1,0)</f>
        <v>1</v>
      </c>
      <c r="N10" s="15" t="n">
        <f aca="false">IF(SUMPRODUCT((Dictionary!$C$5:$C$96=Dictionary!$A$5)*(Dictionary!$D$5:$D$96&lt;&gt;"")*ISNUMBER(SEARCH(Dictionary!$D$5:$D$96,Data!$I10)))&gt;0,1,0)</f>
        <v>0</v>
      </c>
      <c r="O10" s="15" t="n">
        <f aca="false">IF(SUMPRODUCT((Dictionary!$C$5:$C$96=Dictionary!$A$6)*(Dictionary!$D$5:$D$96&lt;&gt;"")*ISNUMBER(SEARCH(Dictionary!$D$5:$D$96,Data!$I10)))&gt;0,1,0)</f>
        <v>0</v>
      </c>
      <c r="P10" s="15" t="n">
        <f aca="false">IF(SUMPRODUCT((Dictionary!$C$5:$C$96=Dictionary!$A$7)*(Dictionary!$D$5:$D$96&lt;&gt;"")*ISNUMBER(SEARCH(Dictionary!$D$5:$D$96,Data!$I10)))&gt;0,1,0)</f>
        <v>0</v>
      </c>
      <c r="Q10" s="15" t="n">
        <f aca="false">IF(SUMPRODUCT((Dictionary!$C$5:$C$96=Dictionary!$A$8)*(Dictionary!$D$5:$D$96&lt;&gt;"")*ISNUMBER(SEARCH(Dictionary!$D$5:$D$96,Data!$I10)))&gt;0,1,0)</f>
        <v>0</v>
      </c>
      <c r="R10" s="15" t="n">
        <f aca="false">IF(SUMPRODUCT((Dictionary!$C$5:$C$96=Dictionary!$A$9)*(Dictionary!$D$5:$D$96&lt;&gt;"")*ISNUMBER(SEARCH(Dictionary!$D$5:$D$96,Data!$I10)))&gt;0,1,0)</f>
        <v>0</v>
      </c>
      <c r="S10" s="15" t="n">
        <f aca="false">IF(SUMPRODUCT((Dictionary!$C$5:$C$96=Dictionary!$A$10)*(Dictionary!$D$5:$D$96&lt;&gt;"")*ISNUMBER(SEARCH(Dictionary!$D$5:$D$96,Data!$I10)))&gt;0,1,0)</f>
        <v>0</v>
      </c>
      <c r="T10" s="15" t="n">
        <f aca="false">IF(SUMPRODUCT((Dictionary!$C$5:$C$96=Dictionary!$A$11)*(Dictionary!$D$5:$D$96&lt;&gt;"")*ISNUMBER(SEARCH(Dictionary!$D$5:$D$96,Data!$I10)))&gt;0,1,0)</f>
        <v>0</v>
      </c>
      <c r="U10" s="15" t="n">
        <f aca="false">IF(SUMPRODUCT((Dictionary!$C$5:$C$96=Dictionary!$A$12)*(Dictionary!$D$5:$D$96&lt;&gt;"")*ISNUMBER(SEARCH(Dictionary!$D$5:$D$96,Data!$I10)))&gt;0,1,0)</f>
        <v>0</v>
      </c>
      <c r="V10" s="15" t="n">
        <f aca="false">IF(SUMPRODUCT((Dictionary!$C$5:$C$96=Dictionary!$A$13)*(Dictionary!$D$5:$D$96&lt;&gt;"")*ISNUMBER(SEARCH(Dictionary!$D$5:$D$96,Data!$I10)))&gt;0,1,0)</f>
        <v>0</v>
      </c>
      <c r="W10" s="15" t="n">
        <f aca="false">IF(SUMPRODUCT((Dictionary!$C$5:$C$96=Dictionary!$A$14)*(Dictionary!$D$5:$D$96&lt;&gt;"")*ISNUMBER(SEARCH(Dictionary!$D$5:$D$96,Data!$I10)))&gt;0,1,0)</f>
        <v>0</v>
      </c>
      <c r="X10" s="15" t="n">
        <f aca="false">IF(SUMPRODUCT((Dictionary!$C$5:$C$96=Dictionary!$A$15)*(Dictionary!$D$5:$D$96&lt;&gt;"")*ISNUMBER(SEARCH(Dictionary!$D$5:$D$96,Data!$I10)))&gt;0,1,0)</f>
        <v>0</v>
      </c>
      <c r="Y10" s="15" t="n">
        <f aca="false">IF(SUMPRODUCT((Dictionary!$C$5:$C$96=Dictionary!$A$16)*(Dictionary!$D$5:$D$96&lt;&gt;"")*ISNUMBER(SEARCH(Dictionary!$D$5:$D$96,Data!$I10)))&gt;0,1,0)</f>
        <v>0</v>
      </c>
      <c r="Z10" s="15" t="n">
        <f aca="false">IF(ISNUMBER(SEARCH("Other",Data!$H10)),1,0)</f>
        <v>0</v>
      </c>
      <c r="AA10" s="15" t="n">
        <f aca="false">IF(Data!$I10&lt;&gt;"",1,0)</f>
        <v>0</v>
      </c>
      <c r="AB10" s="15" t="n">
        <f aca="false">SUM(B10:M10)</f>
        <v>8</v>
      </c>
      <c r="AC10" s="15" t="n">
        <f aca="false">SUMPRODUCT(--((B10:M10+N10:Y10)&gt;0))</f>
        <v>8</v>
      </c>
      <c r="AD10" s="15" t="n">
        <f aca="false">AC10-AB10</f>
        <v>0</v>
      </c>
      <c r="AE10" s="15" t="n">
        <f aca="false">IF(AND(Z10=1,AA10=1),1,0)</f>
        <v>0</v>
      </c>
      <c r="AF10" s="15" t="n">
        <f aca="false">AC10+AE10</f>
        <v>8</v>
      </c>
      <c r="AG10" s="15" t="n">
        <f aca="false">AB10+AE10</f>
        <v>8</v>
      </c>
      <c r="AH10" s="15" t="n">
        <f aca="false">IF(AND(Data!$H10&lt;&gt;"",Data!$I10&lt;&gt;""),1,0)</f>
        <v>0</v>
      </c>
      <c r="AI10" s="15" t="str">
        <f aca="false">IF(AH10=1,SUMPRODUCT(N10:Y10*B10:M10),"")</f>
        <v/>
      </c>
      <c r="AJ10" s="15" t="str">
        <f aca="false">IF(AH10=1,SUMPRODUCT(--(N10:Y10&gt;B10:M10)),"")</f>
        <v/>
      </c>
      <c r="AK10" s="15" t="str">
        <f aca="false">IF(AH10=1,AB10,"")</f>
        <v/>
      </c>
    </row>
    <row r="11" customFormat="false" ht="15" hidden="false" customHeight="true" outlineLevel="0" collapsed="false">
      <c r="A11" s="15" t="str">
        <f aca="false">Data!$A11</f>
        <v>arXiv</v>
      </c>
      <c r="B11" s="15" t="n">
        <f aca="false">IF(ISNUMBER(SEARCH(Dictionary!$A$5,Data!$H11)),1,0)</f>
        <v>0</v>
      </c>
      <c r="C11" s="15" t="n">
        <f aca="false">IF(ISNUMBER(SEARCH(Dictionary!$A$6,Data!$H11)),1,0)</f>
        <v>0</v>
      </c>
      <c r="D11" s="15" t="n">
        <f aca="false">IF(ISNUMBER(SEARCH(Dictionary!$A$7,Data!$H11)),1,0)</f>
        <v>0</v>
      </c>
      <c r="E11" s="15" t="n">
        <f aca="false">IF(ISNUMBER(SEARCH(Dictionary!$A$8,Data!$H11)),1,0)</f>
        <v>0</v>
      </c>
      <c r="F11" s="15" t="n">
        <f aca="false">IF(ISNUMBER(SEARCH(Dictionary!$A$9,Data!$H11)),1,0)</f>
        <v>0</v>
      </c>
      <c r="G11" s="15" t="n">
        <f aca="false">IF(ISNUMBER(SEARCH(Dictionary!$A$10,Data!$H11)),1,0)</f>
        <v>0</v>
      </c>
      <c r="H11" s="15" t="n">
        <f aca="false">IF(ISNUMBER(SEARCH(Dictionary!$A$11,Data!$H11)),1,0)</f>
        <v>0</v>
      </c>
      <c r="I11" s="15" t="n">
        <f aca="false">IF(ISNUMBER(SEARCH(Dictionary!$A$12,Data!$H11)),1,0)</f>
        <v>0</v>
      </c>
      <c r="J11" s="15" t="n">
        <f aca="false">IF(ISNUMBER(SEARCH(Dictionary!$A$13,Data!$H11)),1,0)</f>
        <v>0</v>
      </c>
      <c r="K11" s="15" t="n">
        <f aca="false">IF(ISNUMBER(SEARCH(Dictionary!$A$14,Data!$H11)),1,0)</f>
        <v>0</v>
      </c>
      <c r="L11" s="15" t="n">
        <f aca="false">IF(ISNUMBER(SEARCH(Dictionary!$A$15,Data!$H11)),1,0)</f>
        <v>0</v>
      </c>
      <c r="M11" s="15" t="n">
        <f aca="false">IF(ISNUMBER(SEARCH(Dictionary!$A$16,Data!$H11)),1,0)</f>
        <v>0</v>
      </c>
      <c r="N11" s="15" t="n">
        <f aca="false">IF(SUMPRODUCT((Dictionary!$C$5:$C$96=Dictionary!$A$5)*(Dictionary!$D$5:$D$96&lt;&gt;"")*ISNUMBER(SEARCH(Dictionary!$D$5:$D$96,Data!$I11)))&gt;0,1,0)</f>
        <v>0</v>
      </c>
      <c r="O11" s="15" t="n">
        <f aca="false">IF(SUMPRODUCT((Dictionary!$C$5:$C$96=Dictionary!$A$6)*(Dictionary!$D$5:$D$96&lt;&gt;"")*ISNUMBER(SEARCH(Dictionary!$D$5:$D$96,Data!$I11)))&gt;0,1,0)</f>
        <v>0</v>
      </c>
      <c r="P11" s="15" t="n">
        <f aca="false">IF(SUMPRODUCT((Dictionary!$C$5:$C$96=Dictionary!$A$7)*(Dictionary!$D$5:$D$96&lt;&gt;"")*ISNUMBER(SEARCH(Dictionary!$D$5:$D$96,Data!$I11)))&gt;0,1,0)</f>
        <v>0</v>
      </c>
      <c r="Q11" s="15" t="n">
        <f aca="false">IF(SUMPRODUCT((Dictionary!$C$5:$C$96=Dictionary!$A$8)*(Dictionary!$D$5:$D$96&lt;&gt;"")*ISNUMBER(SEARCH(Dictionary!$D$5:$D$96,Data!$I11)))&gt;0,1,0)</f>
        <v>0</v>
      </c>
      <c r="R11" s="15" t="n">
        <f aca="false">IF(SUMPRODUCT((Dictionary!$C$5:$C$96=Dictionary!$A$9)*(Dictionary!$D$5:$D$96&lt;&gt;"")*ISNUMBER(SEARCH(Dictionary!$D$5:$D$96,Data!$I11)))&gt;0,1,0)</f>
        <v>0</v>
      </c>
      <c r="S11" s="15" t="n">
        <f aca="false">IF(SUMPRODUCT((Dictionary!$C$5:$C$96=Dictionary!$A$10)*(Dictionary!$D$5:$D$96&lt;&gt;"")*ISNUMBER(SEARCH(Dictionary!$D$5:$D$96,Data!$I11)))&gt;0,1,0)</f>
        <v>1</v>
      </c>
      <c r="T11" s="15" t="n">
        <f aca="false">IF(SUMPRODUCT((Dictionary!$C$5:$C$96=Dictionary!$A$11)*(Dictionary!$D$5:$D$96&lt;&gt;"")*ISNUMBER(SEARCH(Dictionary!$D$5:$D$96,Data!$I11)))&gt;0,1,0)</f>
        <v>0</v>
      </c>
      <c r="U11" s="15" t="n">
        <f aca="false">IF(SUMPRODUCT((Dictionary!$C$5:$C$96=Dictionary!$A$12)*(Dictionary!$D$5:$D$96&lt;&gt;"")*ISNUMBER(SEARCH(Dictionary!$D$5:$D$96,Data!$I11)))&gt;0,1,0)</f>
        <v>0</v>
      </c>
      <c r="V11" s="15" t="n">
        <f aca="false">IF(SUMPRODUCT((Dictionary!$C$5:$C$96=Dictionary!$A$13)*(Dictionary!$D$5:$D$96&lt;&gt;"")*ISNUMBER(SEARCH(Dictionary!$D$5:$D$96,Data!$I11)))&gt;0,1,0)</f>
        <v>0</v>
      </c>
      <c r="W11" s="15" t="n">
        <f aca="false">IF(SUMPRODUCT((Dictionary!$C$5:$C$96=Dictionary!$A$14)*(Dictionary!$D$5:$D$96&lt;&gt;"")*ISNUMBER(SEARCH(Dictionary!$D$5:$D$96,Data!$I11)))&gt;0,1,0)</f>
        <v>0</v>
      </c>
      <c r="X11" s="15" t="n">
        <f aca="false">IF(SUMPRODUCT((Dictionary!$C$5:$C$96=Dictionary!$A$15)*(Dictionary!$D$5:$D$96&lt;&gt;"")*ISNUMBER(SEARCH(Dictionary!$D$5:$D$96,Data!$I11)))&gt;0,1,0)</f>
        <v>0</v>
      </c>
      <c r="Y11" s="15" t="n">
        <f aca="false">IF(SUMPRODUCT((Dictionary!$C$5:$C$96=Dictionary!$A$16)*(Dictionary!$D$5:$D$96&lt;&gt;"")*ISNUMBER(SEARCH(Dictionary!$D$5:$D$96,Data!$I11)))&gt;0,1,0)</f>
        <v>0</v>
      </c>
      <c r="Z11" s="15" t="n">
        <f aca="false">IF(ISNUMBER(SEARCH("Other",Data!$H11)),1,0)</f>
        <v>0</v>
      </c>
      <c r="AA11" s="15" t="n">
        <f aca="false">IF(Data!$I11&lt;&gt;"",1,0)</f>
        <v>1</v>
      </c>
      <c r="AB11" s="15" t="n">
        <f aca="false">SUM(B11:M11)</f>
        <v>0</v>
      </c>
      <c r="AC11" s="15" t="n">
        <f aca="false">SUMPRODUCT(--((B11:M11+N11:Y11)&gt;0))</f>
        <v>1</v>
      </c>
      <c r="AD11" s="15" t="n">
        <f aca="false">AC11-AB11</f>
        <v>1</v>
      </c>
      <c r="AE11" s="15" t="n">
        <f aca="false">IF(AND(Z11=1,AA11=1),1,0)</f>
        <v>0</v>
      </c>
      <c r="AF11" s="15" t="n">
        <f aca="false">AC11+AE11</f>
        <v>1</v>
      </c>
      <c r="AG11" s="15" t="n">
        <f aca="false">AB11+AE11</f>
        <v>0</v>
      </c>
      <c r="AH11" s="15" t="n">
        <f aca="false">IF(AND(Data!$H11&lt;&gt;"",Data!$I11&lt;&gt;""),1,0)</f>
        <v>0</v>
      </c>
      <c r="AI11" s="15" t="str">
        <f aca="false">IF(AH11=1,SUMPRODUCT(N11:Y11*B11:M11),"")</f>
        <v/>
      </c>
      <c r="AJ11" s="15" t="str">
        <f aca="false">IF(AH11=1,SUMPRODUCT(--(N11:Y11&gt;B11:M11)),"")</f>
        <v/>
      </c>
      <c r="AK11" s="15" t="str">
        <f aca="false">IF(AH11=1,AB11,"")</f>
        <v/>
      </c>
    </row>
    <row r="12" customFormat="false" ht="15" hidden="false" customHeight="true" outlineLevel="0" collapsed="false">
      <c r="A12" s="15" t="str">
        <f aca="false">Data!$A12</f>
        <v>AtoM</v>
      </c>
      <c r="B12" s="15" t="n">
        <f aca="false">IF(ISNUMBER(SEARCH(Dictionary!$A$5,Data!$H12)),1,0)</f>
        <v>0</v>
      </c>
      <c r="C12" s="15" t="n">
        <f aca="false">IF(ISNUMBER(SEARCH(Dictionary!$A$6,Data!$H12)),1,0)</f>
        <v>0</v>
      </c>
      <c r="D12" s="15" t="n">
        <f aca="false">IF(ISNUMBER(SEARCH(Dictionary!$A$7,Data!$H12)),1,0)</f>
        <v>0</v>
      </c>
      <c r="E12" s="15" t="n">
        <f aca="false">IF(ISNUMBER(SEARCH(Dictionary!$A$8,Data!$H12)),1,0)</f>
        <v>0</v>
      </c>
      <c r="F12" s="15" t="n">
        <f aca="false">IF(ISNUMBER(SEARCH(Dictionary!$A$9,Data!$H12)),1,0)</f>
        <v>0</v>
      </c>
      <c r="G12" s="15" t="n">
        <f aca="false">IF(ISNUMBER(SEARCH(Dictionary!$A$10,Data!$H12)),1,0)</f>
        <v>0</v>
      </c>
      <c r="H12" s="15" t="n">
        <f aca="false">IF(ISNUMBER(SEARCH(Dictionary!$A$11,Data!$H12)),1,0)</f>
        <v>0</v>
      </c>
      <c r="I12" s="15" t="n">
        <f aca="false">IF(ISNUMBER(SEARCH(Dictionary!$A$12,Data!$H12)),1,0)</f>
        <v>0</v>
      </c>
      <c r="J12" s="15" t="n">
        <f aca="false">IF(ISNUMBER(SEARCH(Dictionary!$A$13,Data!$H12)),1,0)</f>
        <v>0</v>
      </c>
      <c r="K12" s="15" t="n">
        <f aca="false">IF(ISNUMBER(SEARCH(Dictionary!$A$14,Data!$H12)),1,0)</f>
        <v>0</v>
      </c>
      <c r="L12" s="15" t="n">
        <f aca="false">IF(ISNUMBER(SEARCH(Dictionary!$A$15,Data!$H12)),1,0)</f>
        <v>0</v>
      </c>
      <c r="M12" s="15" t="n">
        <f aca="false">IF(ISNUMBER(SEARCH(Dictionary!$A$16,Data!$H12)),1,0)</f>
        <v>0</v>
      </c>
      <c r="N12" s="15" t="n">
        <f aca="false">IF(SUMPRODUCT((Dictionary!$C$5:$C$96=Dictionary!$A$5)*(Dictionary!$D$5:$D$96&lt;&gt;"")*ISNUMBER(SEARCH(Dictionary!$D$5:$D$96,Data!$I12)))&gt;0,1,0)</f>
        <v>0</v>
      </c>
      <c r="O12" s="15" t="n">
        <f aca="false">IF(SUMPRODUCT((Dictionary!$C$5:$C$96=Dictionary!$A$6)*(Dictionary!$D$5:$D$96&lt;&gt;"")*ISNUMBER(SEARCH(Dictionary!$D$5:$D$96,Data!$I12)))&gt;0,1,0)</f>
        <v>0</v>
      </c>
      <c r="P12" s="15" t="n">
        <f aca="false">IF(SUMPRODUCT((Dictionary!$C$5:$C$96=Dictionary!$A$7)*(Dictionary!$D$5:$D$96&lt;&gt;"")*ISNUMBER(SEARCH(Dictionary!$D$5:$D$96,Data!$I12)))&gt;0,1,0)</f>
        <v>0</v>
      </c>
      <c r="Q12" s="15" t="n">
        <f aca="false">IF(SUMPRODUCT((Dictionary!$C$5:$C$96=Dictionary!$A$8)*(Dictionary!$D$5:$D$96&lt;&gt;"")*ISNUMBER(SEARCH(Dictionary!$D$5:$D$96,Data!$I12)))&gt;0,1,0)</f>
        <v>0</v>
      </c>
      <c r="R12" s="15" t="n">
        <f aca="false">IF(SUMPRODUCT((Dictionary!$C$5:$C$96=Dictionary!$A$9)*(Dictionary!$D$5:$D$96&lt;&gt;"")*ISNUMBER(SEARCH(Dictionary!$D$5:$D$96,Data!$I12)))&gt;0,1,0)</f>
        <v>0</v>
      </c>
      <c r="S12" s="15" t="n">
        <f aca="false">IF(SUMPRODUCT((Dictionary!$C$5:$C$96=Dictionary!$A$10)*(Dictionary!$D$5:$D$96&lt;&gt;"")*ISNUMBER(SEARCH(Dictionary!$D$5:$D$96,Data!$I12)))&gt;0,1,0)</f>
        <v>0</v>
      </c>
      <c r="T12" s="15" t="n">
        <f aca="false">IF(SUMPRODUCT((Dictionary!$C$5:$C$96=Dictionary!$A$11)*(Dictionary!$D$5:$D$96&lt;&gt;"")*ISNUMBER(SEARCH(Dictionary!$D$5:$D$96,Data!$I12)))&gt;0,1,0)</f>
        <v>0</v>
      </c>
      <c r="U12" s="15" t="n">
        <f aca="false">IF(SUMPRODUCT((Dictionary!$C$5:$C$96=Dictionary!$A$12)*(Dictionary!$D$5:$D$96&lt;&gt;"")*ISNUMBER(SEARCH(Dictionary!$D$5:$D$96,Data!$I12)))&gt;0,1,0)</f>
        <v>0</v>
      </c>
      <c r="V12" s="15" t="n">
        <f aca="false">IF(SUMPRODUCT((Dictionary!$C$5:$C$96=Dictionary!$A$13)*(Dictionary!$D$5:$D$96&lt;&gt;"")*ISNUMBER(SEARCH(Dictionary!$D$5:$D$96,Data!$I12)))&gt;0,1,0)</f>
        <v>0</v>
      </c>
      <c r="W12" s="15" t="n">
        <f aca="false">IF(SUMPRODUCT((Dictionary!$C$5:$C$96=Dictionary!$A$14)*(Dictionary!$D$5:$D$96&lt;&gt;"")*ISNUMBER(SEARCH(Dictionary!$D$5:$D$96,Data!$I12)))&gt;0,1,0)</f>
        <v>0</v>
      </c>
      <c r="X12" s="15" t="n">
        <f aca="false">IF(SUMPRODUCT((Dictionary!$C$5:$C$96=Dictionary!$A$15)*(Dictionary!$D$5:$D$96&lt;&gt;"")*ISNUMBER(SEARCH(Dictionary!$D$5:$D$96,Data!$I12)))&gt;0,1,0)</f>
        <v>0</v>
      </c>
      <c r="Y12" s="15" t="n">
        <f aca="false">IF(SUMPRODUCT((Dictionary!$C$5:$C$96=Dictionary!$A$16)*(Dictionary!$D$5:$D$96&lt;&gt;"")*ISNUMBER(SEARCH(Dictionary!$D$5:$D$96,Data!$I12)))&gt;0,1,0)</f>
        <v>0</v>
      </c>
      <c r="Z12" s="15" t="n">
        <f aca="false">IF(ISNUMBER(SEARCH("Other",Data!$H12)),1,0)</f>
        <v>0</v>
      </c>
      <c r="AA12" s="15" t="n">
        <f aca="false">IF(Data!$I12&lt;&gt;"",1,0)</f>
        <v>0</v>
      </c>
      <c r="AB12" s="15" t="n">
        <f aca="false">SUM(B12:M12)</f>
        <v>0</v>
      </c>
      <c r="AC12" s="15" t="n">
        <f aca="false">SUMPRODUCT(--((B12:M12+N12:Y12)&gt;0))</f>
        <v>0</v>
      </c>
      <c r="AD12" s="15" t="n">
        <f aca="false">AC12-AB12</f>
        <v>0</v>
      </c>
      <c r="AE12" s="15" t="n">
        <f aca="false">IF(AND(Z12=1,AA12=1),1,0)</f>
        <v>0</v>
      </c>
      <c r="AF12" s="15" t="n">
        <f aca="false">AC12+AE12</f>
        <v>0</v>
      </c>
      <c r="AG12" s="15" t="n">
        <f aca="false">AB12+AE12</f>
        <v>0</v>
      </c>
      <c r="AH12" s="15" t="n">
        <f aca="false">IF(AND(Data!$H12&lt;&gt;"",Data!$I12&lt;&gt;""),1,0)</f>
        <v>0</v>
      </c>
      <c r="AI12" s="15" t="str">
        <f aca="false">IF(AH12=1,SUMPRODUCT(N12:Y12*B12:M12),"")</f>
        <v/>
      </c>
      <c r="AJ12" s="15" t="str">
        <f aca="false">IF(AH12=1,SUMPRODUCT(--(N12:Y12&gt;B12:M12)),"")</f>
        <v/>
      </c>
      <c r="AK12" s="15" t="str">
        <f aca="false">IF(AH12=1,AB12,"")</f>
        <v/>
      </c>
    </row>
    <row r="13" customFormat="false" ht="15" hidden="false" customHeight="true" outlineLevel="0" collapsed="false">
      <c r="A13" s="15" t="str">
        <f aca="false">Data!$A13</f>
        <v>Avalon Media System</v>
      </c>
      <c r="B13" s="15" t="n">
        <f aca="false">IF(ISNUMBER(SEARCH(Dictionary!$A$5,Data!$H13)),1,0)</f>
        <v>1</v>
      </c>
      <c r="C13" s="15" t="n">
        <f aca="false">IF(ISNUMBER(SEARCH(Dictionary!$A$6,Data!$H13)),1,0)</f>
        <v>0</v>
      </c>
      <c r="D13" s="15" t="n">
        <f aca="false">IF(ISNUMBER(SEARCH(Dictionary!$A$7,Data!$H13)),1,0)</f>
        <v>1</v>
      </c>
      <c r="E13" s="15" t="n">
        <f aca="false">IF(ISNUMBER(SEARCH(Dictionary!$A$8,Data!$H13)),1,0)</f>
        <v>1</v>
      </c>
      <c r="F13" s="15" t="n">
        <f aca="false">IF(ISNUMBER(SEARCH(Dictionary!$A$9,Data!$H13)),1,0)</f>
        <v>0</v>
      </c>
      <c r="G13" s="15" t="n">
        <f aca="false">IF(ISNUMBER(SEARCH(Dictionary!$A$10,Data!$H13)),1,0)</f>
        <v>1</v>
      </c>
      <c r="H13" s="15" t="n">
        <f aca="false">IF(ISNUMBER(SEARCH(Dictionary!$A$11,Data!$H13)),1,0)</f>
        <v>1</v>
      </c>
      <c r="I13" s="15" t="n">
        <f aca="false">IF(ISNUMBER(SEARCH(Dictionary!$A$12,Data!$H13)),1,0)</f>
        <v>0</v>
      </c>
      <c r="J13" s="15" t="n">
        <f aca="false">IF(ISNUMBER(SEARCH(Dictionary!$A$13,Data!$H13)),1,0)</f>
        <v>0</v>
      </c>
      <c r="K13" s="15" t="n">
        <f aca="false">IF(ISNUMBER(SEARCH(Dictionary!$A$14,Data!$H13)),1,0)</f>
        <v>0</v>
      </c>
      <c r="L13" s="15" t="n">
        <f aca="false">IF(ISNUMBER(SEARCH(Dictionary!$A$15,Data!$H13)),1,0)</f>
        <v>0</v>
      </c>
      <c r="M13" s="15" t="n">
        <f aca="false">IF(ISNUMBER(SEARCH(Dictionary!$A$16,Data!$H13)),1,0)</f>
        <v>0</v>
      </c>
      <c r="N13" s="15" t="n">
        <f aca="false">IF(SUMPRODUCT((Dictionary!$C$5:$C$96=Dictionary!$A$5)*(Dictionary!$D$5:$D$96&lt;&gt;"")*ISNUMBER(SEARCH(Dictionary!$D$5:$D$96,Data!$I13)))&gt;0,1,0)</f>
        <v>0</v>
      </c>
      <c r="O13" s="15" t="n">
        <f aca="false">IF(SUMPRODUCT((Dictionary!$C$5:$C$96=Dictionary!$A$6)*(Dictionary!$D$5:$D$96&lt;&gt;"")*ISNUMBER(SEARCH(Dictionary!$D$5:$D$96,Data!$I13)))&gt;0,1,0)</f>
        <v>0</v>
      </c>
      <c r="P13" s="15" t="n">
        <f aca="false">IF(SUMPRODUCT((Dictionary!$C$5:$C$96=Dictionary!$A$7)*(Dictionary!$D$5:$D$96&lt;&gt;"")*ISNUMBER(SEARCH(Dictionary!$D$5:$D$96,Data!$I13)))&gt;0,1,0)</f>
        <v>0</v>
      </c>
      <c r="Q13" s="15" t="n">
        <f aca="false">IF(SUMPRODUCT((Dictionary!$C$5:$C$96=Dictionary!$A$8)*(Dictionary!$D$5:$D$96&lt;&gt;"")*ISNUMBER(SEARCH(Dictionary!$D$5:$D$96,Data!$I13)))&gt;0,1,0)</f>
        <v>0</v>
      </c>
      <c r="R13" s="15" t="n">
        <f aca="false">IF(SUMPRODUCT((Dictionary!$C$5:$C$96=Dictionary!$A$9)*(Dictionary!$D$5:$D$96&lt;&gt;"")*ISNUMBER(SEARCH(Dictionary!$D$5:$D$96,Data!$I13)))&gt;0,1,0)</f>
        <v>0</v>
      </c>
      <c r="S13" s="15" t="n">
        <f aca="false">IF(SUMPRODUCT((Dictionary!$C$5:$C$96=Dictionary!$A$10)*(Dictionary!$D$5:$D$96&lt;&gt;"")*ISNUMBER(SEARCH(Dictionary!$D$5:$D$96,Data!$I13)))&gt;0,1,0)</f>
        <v>0</v>
      </c>
      <c r="T13" s="15" t="n">
        <f aca="false">IF(SUMPRODUCT((Dictionary!$C$5:$C$96=Dictionary!$A$11)*(Dictionary!$D$5:$D$96&lt;&gt;"")*ISNUMBER(SEARCH(Dictionary!$D$5:$D$96,Data!$I13)))&gt;0,1,0)</f>
        <v>0</v>
      </c>
      <c r="U13" s="15" t="n">
        <f aca="false">IF(SUMPRODUCT((Dictionary!$C$5:$C$96=Dictionary!$A$12)*(Dictionary!$D$5:$D$96&lt;&gt;"")*ISNUMBER(SEARCH(Dictionary!$D$5:$D$96,Data!$I13)))&gt;0,1,0)</f>
        <v>0</v>
      </c>
      <c r="V13" s="15" t="n">
        <f aca="false">IF(SUMPRODUCT((Dictionary!$C$5:$C$96=Dictionary!$A$13)*(Dictionary!$D$5:$D$96&lt;&gt;"")*ISNUMBER(SEARCH(Dictionary!$D$5:$D$96,Data!$I13)))&gt;0,1,0)</f>
        <v>0</v>
      </c>
      <c r="W13" s="15" t="n">
        <f aca="false">IF(SUMPRODUCT((Dictionary!$C$5:$C$96=Dictionary!$A$14)*(Dictionary!$D$5:$D$96&lt;&gt;"")*ISNUMBER(SEARCH(Dictionary!$D$5:$D$96,Data!$I13)))&gt;0,1,0)</f>
        <v>0</v>
      </c>
      <c r="X13" s="15" t="n">
        <f aca="false">IF(SUMPRODUCT((Dictionary!$C$5:$C$96=Dictionary!$A$15)*(Dictionary!$D$5:$D$96&lt;&gt;"")*ISNUMBER(SEARCH(Dictionary!$D$5:$D$96,Data!$I13)))&gt;0,1,0)</f>
        <v>0</v>
      </c>
      <c r="Y13" s="15" t="n">
        <f aca="false">IF(SUMPRODUCT((Dictionary!$C$5:$C$96=Dictionary!$A$16)*(Dictionary!$D$5:$D$96&lt;&gt;"")*ISNUMBER(SEARCH(Dictionary!$D$5:$D$96,Data!$I13)))&gt;0,1,0)</f>
        <v>0</v>
      </c>
      <c r="Z13" s="15" t="n">
        <f aca="false">IF(ISNUMBER(SEARCH("Other",Data!$H13)),1,0)</f>
        <v>0</v>
      </c>
      <c r="AA13" s="15" t="n">
        <f aca="false">IF(Data!$I13&lt;&gt;"",1,0)</f>
        <v>0</v>
      </c>
      <c r="AB13" s="15" t="n">
        <f aca="false">SUM(B13:M13)</f>
        <v>5</v>
      </c>
      <c r="AC13" s="15" t="n">
        <f aca="false">SUMPRODUCT(--((B13:M13+N13:Y13)&gt;0))</f>
        <v>5</v>
      </c>
      <c r="AD13" s="15" t="n">
        <f aca="false">AC13-AB13</f>
        <v>0</v>
      </c>
      <c r="AE13" s="15" t="n">
        <f aca="false">IF(AND(Z13=1,AA13=1),1,0)</f>
        <v>0</v>
      </c>
      <c r="AF13" s="15" t="n">
        <f aca="false">AC13+AE13</f>
        <v>5</v>
      </c>
      <c r="AG13" s="15" t="n">
        <f aca="false">AB13+AE13</f>
        <v>5</v>
      </c>
      <c r="AH13" s="15" t="n">
        <f aca="false">IF(AND(Data!$H13&lt;&gt;"",Data!$I13&lt;&gt;""),1,0)</f>
        <v>0</v>
      </c>
      <c r="AI13" s="15" t="str">
        <f aca="false">IF(AH13=1,SUMPRODUCT(N13:Y13*B13:M13),"")</f>
        <v/>
      </c>
      <c r="AJ13" s="15" t="str">
        <f aca="false">IF(AH13=1,SUMPRODUCT(--(N13:Y13&gt;B13:M13)),"")</f>
        <v/>
      </c>
      <c r="AK13" s="15" t="str">
        <f aca="false">IF(AH13=1,AB13,"")</f>
        <v/>
      </c>
    </row>
    <row r="14" customFormat="false" ht="15" hidden="false" customHeight="true" outlineLevel="0" collapsed="false">
      <c r="A14" s="15" t="str">
        <f aca="false">Data!$A14</f>
        <v>Biodiversity Heritage Library</v>
      </c>
      <c r="B14" s="15" t="n">
        <f aca="false">IF(ISNUMBER(SEARCH(Dictionary!$A$5,Data!$H14)),1,0)</f>
        <v>1</v>
      </c>
      <c r="C14" s="15" t="n">
        <f aca="false">IF(ISNUMBER(SEARCH(Dictionary!$A$6,Data!$H14)),1,0)</f>
        <v>1</v>
      </c>
      <c r="D14" s="15" t="n">
        <f aca="false">IF(ISNUMBER(SEARCH(Dictionary!$A$7,Data!$H14)),1,0)</f>
        <v>0</v>
      </c>
      <c r="E14" s="15" t="n">
        <f aca="false">IF(ISNUMBER(SEARCH(Dictionary!$A$8,Data!$H14)),1,0)</f>
        <v>1</v>
      </c>
      <c r="F14" s="15" t="n">
        <f aca="false">IF(ISNUMBER(SEARCH(Dictionary!$A$9,Data!$H14)),1,0)</f>
        <v>0</v>
      </c>
      <c r="G14" s="15" t="n">
        <f aca="false">IF(ISNUMBER(SEARCH(Dictionary!$A$10,Data!$H14)),1,0)</f>
        <v>0</v>
      </c>
      <c r="H14" s="15" t="n">
        <f aca="false">IF(ISNUMBER(SEARCH(Dictionary!$A$11,Data!$H14)),1,0)</f>
        <v>1</v>
      </c>
      <c r="I14" s="15" t="n">
        <f aca="false">IF(ISNUMBER(SEARCH(Dictionary!$A$12,Data!$H14)),1,0)</f>
        <v>1</v>
      </c>
      <c r="J14" s="15" t="n">
        <f aca="false">IF(ISNUMBER(SEARCH(Dictionary!$A$13,Data!$H14)),1,0)</f>
        <v>0</v>
      </c>
      <c r="K14" s="15" t="n">
        <f aca="false">IF(ISNUMBER(SEARCH(Dictionary!$A$14,Data!$H14)),1,0)</f>
        <v>0</v>
      </c>
      <c r="L14" s="15" t="n">
        <f aca="false">IF(ISNUMBER(SEARCH(Dictionary!$A$15,Data!$H14)),1,0)</f>
        <v>1</v>
      </c>
      <c r="M14" s="15" t="n">
        <f aca="false">IF(ISNUMBER(SEARCH(Dictionary!$A$16,Data!$H14)),1,0)</f>
        <v>1</v>
      </c>
      <c r="N14" s="15" t="n">
        <f aca="false">IF(SUMPRODUCT((Dictionary!$C$5:$C$96=Dictionary!$A$5)*(Dictionary!$D$5:$D$96&lt;&gt;"")*ISNUMBER(SEARCH(Dictionary!$D$5:$D$96,Data!$I14)))&gt;0,1,0)</f>
        <v>0</v>
      </c>
      <c r="O14" s="15" t="n">
        <f aca="false">IF(SUMPRODUCT((Dictionary!$C$5:$C$96=Dictionary!$A$6)*(Dictionary!$D$5:$D$96&lt;&gt;"")*ISNUMBER(SEARCH(Dictionary!$D$5:$D$96,Data!$I14)))&gt;0,1,0)</f>
        <v>0</v>
      </c>
      <c r="P14" s="15" t="n">
        <f aca="false">IF(SUMPRODUCT((Dictionary!$C$5:$C$96=Dictionary!$A$7)*(Dictionary!$D$5:$D$96&lt;&gt;"")*ISNUMBER(SEARCH(Dictionary!$D$5:$D$96,Data!$I14)))&gt;0,1,0)</f>
        <v>0</v>
      </c>
      <c r="Q14" s="15" t="n">
        <f aca="false">IF(SUMPRODUCT((Dictionary!$C$5:$C$96=Dictionary!$A$8)*(Dictionary!$D$5:$D$96&lt;&gt;"")*ISNUMBER(SEARCH(Dictionary!$D$5:$D$96,Data!$I14)))&gt;0,1,0)</f>
        <v>0</v>
      </c>
      <c r="R14" s="15" t="n">
        <f aca="false">IF(SUMPRODUCT((Dictionary!$C$5:$C$96=Dictionary!$A$9)*(Dictionary!$D$5:$D$96&lt;&gt;"")*ISNUMBER(SEARCH(Dictionary!$D$5:$D$96,Data!$I14)))&gt;0,1,0)</f>
        <v>0</v>
      </c>
      <c r="S14" s="15" t="n">
        <f aca="false">IF(SUMPRODUCT((Dictionary!$C$5:$C$96=Dictionary!$A$10)*(Dictionary!$D$5:$D$96&lt;&gt;"")*ISNUMBER(SEARCH(Dictionary!$D$5:$D$96,Data!$I14)))&gt;0,1,0)</f>
        <v>0</v>
      </c>
      <c r="T14" s="15" t="n">
        <f aca="false">IF(SUMPRODUCT((Dictionary!$C$5:$C$96=Dictionary!$A$11)*(Dictionary!$D$5:$D$96&lt;&gt;"")*ISNUMBER(SEARCH(Dictionary!$D$5:$D$96,Data!$I14)))&gt;0,1,0)</f>
        <v>0</v>
      </c>
      <c r="U14" s="15" t="n">
        <f aca="false">IF(SUMPRODUCT((Dictionary!$C$5:$C$96=Dictionary!$A$12)*(Dictionary!$D$5:$D$96&lt;&gt;"")*ISNUMBER(SEARCH(Dictionary!$D$5:$D$96,Data!$I14)))&gt;0,1,0)</f>
        <v>0</v>
      </c>
      <c r="V14" s="15" t="n">
        <f aca="false">IF(SUMPRODUCT((Dictionary!$C$5:$C$96=Dictionary!$A$13)*(Dictionary!$D$5:$D$96&lt;&gt;"")*ISNUMBER(SEARCH(Dictionary!$D$5:$D$96,Data!$I14)))&gt;0,1,0)</f>
        <v>0</v>
      </c>
      <c r="W14" s="15" t="n">
        <f aca="false">IF(SUMPRODUCT((Dictionary!$C$5:$C$96=Dictionary!$A$14)*(Dictionary!$D$5:$D$96&lt;&gt;"")*ISNUMBER(SEARCH(Dictionary!$D$5:$D$96,Data!$I14)))&gt;0,1,0)</f>
        <v>0</v>
      </c>
      <c r="X14" s="15" t="n">
        <f aca="false">IF(SUMPRODUCT((Dictionary!$C$5:$C$96=Dictionary!$A$15)*(Dictionary!$D$5:$D$96&lt;&gt;"")*ISNUMBER(SEARCH(Dictionary!$D$5:$D$96,Data!$I14)))&gt;0,1,0)</f>
        <v>0</v>
      </c>
      <c r="Y14" s="15" t="n">
        <f aca="false">IF(SUMPRODUCT((Dictionary!$C$5:$C$96=Dictionary!$A$16)*(Dictionary!$D$5:$D$96&lt;&gt;"")*ISNUMBER(SEARCH(Dictionary!$D$5:$D$96,Data!$I14)))&gt;0,1,0)</f>
        <v>0</v>
      </c>
      <c r="Z14" s="15" t="n">
        <f aca="false">IF(ISNUMBER(SEARCH("Other",Data!$H14)),1,0)</f>
        <v>0</v>
      </c>
      <c r="AA14" s="15" t="n">
        <f aca="false">IF(Data!$I14&lt;&gt;"",1,0)</f>
        <v>0</v>
      </c>
      <c r="AB14" s="15" t="n">
        <f aca="false">SUM(B14:M14)</f>
        <v>7</v>
      </c>
      <c r="AC14" s="15" t="n">
        <f aca="false">SUMPRODUCT(--((B14:M14+N14:Y14)&gt;0))</f>
        <v>7</v>
      </c>
      <c r="AD14" s="15" t="n">
        <f aca="false">AC14-AB14</f>
        <v>0</v>
      </c>
      <c r="AE14" s="15" t="n">
        <f aca="false">IF(AND(Z14=1,AA14=1),1,0)</f>
        <v>0</v>
      </c>
      <c r="AF14" s="15" t="n">
        <f aca="false">AC14+AE14</f>
        <v>7</v>
      </c>
      <c r="AG14" s="15" t="n">
        <f aca="false">AB14+AE14</f>
        <v>7</v>
      </c>
      <c r="AH14" s="15" t="n">
        <f aca="false">IF(AND(Data!$H14&lt;&gt;"",Data!$I14&lt;&gt;""),1,0)</f>
        <v>0</v>
      </c>
      <c r="AI14" s="15" t="str">
        <f aca="false">IF(AH14=1,SUMPRODUCT(N14:Y14*B14:M14),"")</f>
        <v/>
      </c>
      <c r="AJ14" s="15" t="str">
        <f aca="false">IF(AH14=1,SUMPRODUCT(--(N14:Y14&gt;B14:M14)),"")</f>
        <v/>
      </c>
      <c r="AK14" s="15" t="str">
        <f aca="false">IF(AH14=1,AB14,"")</f>
        <v/>
      </c>
    </row>
    <row r="15" customFormat="false" ht="15" hidden="false" customHeight="true" outlineLevel="0" collapsed="false">
      <c r="A15" s="15" t="str">
        <f aca="false">Data!$A15</f>
        <v>bioRxiv</v>
      </c>
      <c r="B15" s="15" t="n">
        <f aca="false">IF(ISNUMBER(SEARCH(Dictionary!$A$5,Data!$H15)),1,0)</f>
        <v>0</v>
      </c>
      <c r="C15" s="15" t="n">
        <f aca="false">IF(ISNUMBER(SEARCH(Dictionary!$A$6,Data!$H15)),1,0)</f>
        <v>0</v>
      </c>
      <c r="D15" s="15" t="n">
        <f aca="false">IF(ISNUMBER(SEARCH(Dictionary!$A$7,Data!$H15)),1,0)</f>
        <v>0</v>
      </c>
      <c r="E15" s="15" t="n">
        <f aca="false">IF(ISNUMBER(SEARCH(Dictionary!$A$8,Data!$H15)),1,0)</f>
        <v>0</v>
      </c>
      <c r="F15" s="15" t="n">
        <f aca="false">IF(ISNUMBER(SEARCH(Dictionary!$A$9,Data!$H15)),1,0)</f>
        <v>0</v>
      </c>
      <c r="G15" s="15" t="n">
        <f aca="false">IF(ISNUMBER(SEARCH(Dictionary!$A$10,Data!$H15)),1,0)</f>
        <v>0</v>
      </c>
      <c r="H15" s="15" t="n">
        <f aca="false">IF(ISNUMBER(SEARCH(Dictionary!$A$11,Data!$H15)),1,0)</f>
        <v>0</v>
      </c>
      <c r="I15" s="15" t="n">
        <f aca="false">IF(ISNUMBER(SEARCH(Dictionary!$A$12,Data!$H15)),1,0)</f>
        <v>0</v>
      </c>
      <c r="J15" s="15" t="n">
        <f aca="false">IF(ISNUMBER(SEARCH(Dictionary!$A$13,Data!$H15)),1,0)</f>
        <v>0</v>
      </c>
      <c r="K15" s="15" t="n">
        <f aca="false">IF(ISNUMBER(SEARCH(Dictionary!$A$14,Data!$H15)),1,0)</f>
        <v>0</v>
      </c>
      <c r="L15" s="15" t="n">
        <f aca="false">IF(ISNUMBER(SEARCH(Dictionary!$A$15,Data!$H15)),1,0)</f>
        <v>0</v>
      </c>
      <c r="M15" s="15" t="n">
        <f aca="false">IF(ISNUMBER(SEARCH(Dictionary!$A$16,Data!$H15)),1,0)</f>
        <v>0</v>
      </c>
      <c r="N15" s="15" t="n">
        <f aca="false">IF(SUMPRODUCT((Dictionary!$C$5:$C$96=Dictionary!$A$5)*(Dictionary!$D$5:$D$96&lt;&gt;"")*ISNUMBER(SEARCH(Dictionary!$D$5:$D$96,Data!$I15)))&gt;0,1,0)</f>
        <v>0</v>
      </c>
      <c r="O15" s="15" t="n">
        <f aca="false">IF(SUMPRODUCT((Dictionary!$C$5:$C$96=Dictionary!$A$6)*(Dictionary!$D$5:$D$96&lt;&gt;"")*ISNUMBER(SEARCH(Dictionary!$D$5:$D$96,Data!$I15)))&gt;0,1,0)</f>
        <v>0</v>
      </c>
      <c r="P15" s="15" t="n">
        <f aca="false">IF(SUMPRODUCT((Dictionary!$C$5:$C$96=Dictionary!$A$7)*(Dictionary!$D$5:$D$96&lt;&gt;"")*ISNUMBER(SEARCH(Dictionary!$D$5:$D$96,Data!$I15)))&gt;0,1,0)</f>
        <v>0</v>
      </c>
      <c r="Q15" s="15" t="n">
        <f aca="false">IF(SUMPRODUCT((Dictionary!$C$5:$C$96=Dictionary!$A$8)*(Dictionary!$D$5:$D$96&lt;&gt;"")*ISNUMBER(SEARCH(Dictionary!$D$5:$D$96,Data!$I15)))&gt;0,1,0)</f>
        <v>0</v>
      </c>
      <c r="R15" s="15" t="n">
        <f aca="false">IF(SUMPRODUCT((Dictionary!$C$5:$C$96=Dictionary!$A$9)*(Dictionary!$D$5:$D$96&lt;&gt;"")*ISNUMBER(SEARCH(Dictionary!$D$5:$D$96,Data!$I15)))&gt;0,1,0)</f>
        <v>0</v>
      </c>
      <c r="S15" s="15" t="n">
        <f aca="false">IF(SUMPRODUCT((Dictionary!$C$5:$C$96=Dictionary!$A$10)*(Dictionary!$D$5:$D$96&lt;&gt;"")*ISNUMBER(SEARCH(Dictionary!$D$5:$D$96,Data!$I15)))&gt;0,1,0)</f>
        <v>0</v>
      </c>
      <c r="T15" s="15" t="n">
        <f aca="false">IF(SUMPRODUCT((Dictionary!$C$5:$C$96=Dictionary!$A$11)*(Dictionary!$D$5:$D$96&lt;&gt;"")*ISNUMBER(SEARCH(Dictionary!$D$5:$D$96,Data!$I15)))&gt;0,1,0)</f>
        <v>0</v>
      </c>
      <c r="U15" s="15" t="n">
        <f aca="false">IF(SUMPRODUCT((Dictionary!$C$5:$C$96=Dictionary!$A$12)*(Dictionary!$D$5:$D$96&lt;&gt;"")*ISNUMBER(SEARCH(Dictionary!$D$5:$D$96,Data!$I15)))&gt;0,1,0)</f>
        <v>0</v>
      </c>
      <c r="V15" s="15" t="n">
        <f aca="false">IF(SUMPRODUCT((Dictionary!$C$5:$C$96=Dictionary!$A$13)*(Dictionary!$D$5:$D$96&lt;&gt;"")*ISNUMBER(SEARCH(Dictionary!$D$5:$D$96,Data!$I15)))&gt;0,1,0)</f>
        <v>0</v>
      </c>
      <c r="W15" s="15" t="n">
        <f aca="false">IF(SUMPRODUCT((Dictionary!$C$5:$C$96=Dictionary!$A$14)*(Dictionary!$D$5:$D$96&lt;&gt;"")*ISNUMBER(SEARCH(Dictionary!$D$5:$D$96,Data!$I15)))&gt;0,1,0)</f>
        <v>0</v>
      </c>
      <c r="X15" s="15" t="n">
        <f aca="false">IF(SUMPRODUCT((Dictionary!$C$5:$C$96=Dictionary!$A$15)*(Dictionary!$D$5:$D$96&lt;&gt;"")*ISNUMBER(SEARCH(Dictionary!$D$5:$D$96,Data!$I15)))&gt;0,1,0)</f>
        <v>0</v>
      </c>
      <c r="Y15" s="15" t="n">
        <f aca="false">IF(SUMPRODUCT((Dictionary!$C$5:$C$96=Dictionary!$A$16)*(Dictionary!$D$5:$D$96&lt;&gt;"")*ISNUMBER(SEARCH(Dictionary!$D$5:$D$96,Data!$I15)))&gt;0,1,0)</f>
        <v>0</v>
      </c>
      <c r="Z15" s="15" t="n">
        <f aca="false">IF(ISNUMBER(SEARCH("Other",Data!$H15)),1,0)</f>
        <v>0</v>
      </c>
      <c r="AA15" s="15" t="n">
        <f aca="false">IF(Data!$I15&lt;&gt;"",1,0)</f>
        <v>1</v>
      </c>
      <c r="AB15" s="15" t="n">
        <f aca="false">SUM(B15:M15)</f>
        <v>0</v>
      </c>
      <c r="AC15" s="15" t="n">
        <f aca="false">SUMPRODUCT(--((B15:M15+N15:Y15)&gt;0))</f>
        <v>0</v>
      </c>
      <c r="AD15" s="15" t="n">
        <f aca="false">AC15-AB15</f>
        <v>0</v>
      </c>
      <c r="AE15" s="15" t="n">
        <f aca="false">IF(AND(Z15=1,AA15=1),1,0)</f>
        <v>0</v>
      </c>
      <c r="AF15" s="15" t="n">
        <f aca="false">AC15+AE15</f>
        <v>0</v>
      </c>
      <c r="AG15" s="15" t="n">
        <f aca="false">AB15+AE15</f>
        <v>0</v>
      </c>
      <c r="AH15" s="15" t="n">
        <f aca="false">IF(AND(Data!$H15&lt;&gt;"",Data!$I15&lt;&gt;""),1,0)</f>
        <v>0</v>
      </c>
      <c r="AI15" s="15" t="str">
        <f aca="false">IF(AH15=1,SUMPRODUCT(N15:Y15*B15:M15),"")</f>
        <v/>
      </c>
      <c r="AJ15" s="15" t="str">
        <f aca="false">IF(AH15=1,SUMPRODUCT(--(N15:Y15&gt;B15:M15)),"")</f>
        <v/>
      </c>
      <c r="AK15" s="15" t="str">
        <f aca="false">IF(AH15=1,AB15,"")</f>
        <v/>
      </c>
    </row>
    <row r="16" customFormat="false" ht="15" hidden="false" customHeight="true" outlineLevel="0" collapsed="false">
      <c r="A16" s="15" t="str">
        <f aca="false">Data!$A16</f>
        <v>BitCurator Environment</v>
      </c>
      <c r="B16" s="15" t="n">
        <f aca="false">IF(ISNUMBER(SEARCH(Dictionary!$A$5,Data!$H16)),1,0)</f>
        <v>1</v>
      </c>
      <c r="C16" s="15" t="n">
        <f aca="false">IF(ISNUMBER(SEARCH(Dictionary!$A$6,Data!$H16)),1,0)</f>
        <v>1</v>
      </c>
      <c r="D16" s="15" t="n">
        <f aca="false">IF(ISNUMBER(SEARCH(Dictionary!$A$7,Data!$H16)),1,0)</f>
        <v>1</v>
      </c>
      <c r="E16" s="15" t="n">
        <f aca="false">IF(ISNUMBER(SEARCH(Dictionary!$A$8,Data!$H16)),1,0)</f>
        <v>0</v>
      </c>
      <c r="F16" s="15" t="n">
        <f aca="false">IF(ISNUMBER(SEARCH(Dictionary!$A$9,Data!$H16)),1,0)</f>
        <v>0</v>
      </c>
      <c r="G16" s="15" t="n">
        <f aca="false">IF(ISNUMBER(SEARCH(Dictionary!$A$10,Data!$H16)),1,0)</f>
        <v>1</v>
      </c>
      <c r="H16" s="15" t="n">
        <f aca="false">IF(ISNUMBER(SEARCH(Dictionary!$A$11,Data!$H16)),1,0)</f>
        <v>1</v>
      </c>
      <c r="I16" s="15" t="n">
        <f aca="false">IF(ISNUMBER(SEARCH(Dictionary!$A$12,Data!$H16)),1,0)</f>
        <v>0</v>
      </c>
      <c r="J16" s="15" t="n">
        <f aca="false">IF(ISNUMBER(SEARCH(Dictionary!$A$13,Data!$H16)),1,0)</f>
        <v>1</v>
      </c>
      <c r="K16" s="15" t="n">
        <f aca="false">IF(ISNUMBER(SEARCH(Dictionary!$A$14,Data!$H16)),1,0)</f>
        <v>0</v>
      </c>
      <c r="L16" s="15" t="n">
        <f aca="false">IF(ISNUMBER(SEARCH(Dictionary!$A$15,Data!$H16)),1,0)</f>
        <v>0</v>
      </c>
      <c r="M16" s="15" t="n">
        <f aca="false">IF(ISNUMBER(SEARCH(Dictionary!$A$16,Data!$H16)),1,0)</f>
        <v>1</v>
      </c>
      <c r="N16" s="15" t="n">
        <f aca="false">IF(SUMPRODUCT((Dictionary!$C$5:$C$96=Dictionary!$A$5)*(Dictionary!$D$5:$D$96&lt;&gt;"")*ISNUMBER(SEARCH(Dictionary!$D$5:$D$96,Data!$I16)))&gt;0,1,0)</f>
        <v>0</v>
      </c>
      <c r="O16" s="15" t="n">
        <f aca="false">IF(SUMPRODUCT((Dictionary!$C$5:$C$96=Dictionary!$A$6)*(Dictionary!$D$5:$D$96&lt;&gt;"")*ISNUMBER(SEARCH(Dictionary!$D$5:$D$96,Data!$I16)))&gt;0,1,0)</f>
        <v>0</v>
      </c>
      <c r="P16" s="15" t="n">
        <f aca="false">IF(SUMPRODUCT((Dictionary!$C$5:$C$96=Dictionary!$A$7)*(Dictionary!$D$5:$D$96&lt;&gt;"")*ISNUMBER(SEARCH(Dictionary!$D$5:$D$96,Data!$I16)))&gt;0,1,0)</f>
        <v>0</v>
      </c>
      <c r="Q16" s="15" t="n">
        <f aca="false">IF(SUMPRODUCT((Dictionary!$C$5:$C$96=Dictionary!$A$8)*(Dictionary!$D$5:$D$96&lt;&gt;"")*ISNUMBER(SEARCH(Dictionary!$D$5:$D$96,Data!$I16)))&gt;0,1,0)</f>
        <v>0</v>
      </c>
      <c r="R16" s="15" t="n">
        <f aca="false">IF(SUMPRODUCT((Dictionary!$C$5:$C$96=Dictionary!$A$9)*(Dictionary!$D$5:$D$96&lt;&gt;"")*ISNUMBER(SEARCH(Dictionary!$D$5:$D$96,Data!$I16)))&gt;0,1,0)</f>
        <v>0</v>
      </c>
      <c r="S16" s="15" t="n">
        <f aca="false">IF(SUMPRODUCT((Dictionary!$C$5:$C$96=Dictionary!$A$10)*(Dictionary!$D$5:$D$96&lt;&gt;"")*ISNUMBER(SEARCH(Dictionary!$D$5:$D$96,Data!$I16)))&gt;0,1,0)</f>
        <v>0</v>
      </c>
      <c r="T16" s="15" t="n">
        <f aca="false">IF(SUMPRODUCT((Dictionary!$C$5:$C$96=Dictionary!$A$11)*(Dictionary!$D$5:$D$96&lt;&gt;"")*ISNUMBER(SEARCH(Dictionary!$D$5:$D$96,Data!$I16)))&gt;0,1,0)</f>
        <v>0</v>
      </c>
      <c r="U16" s="15" t="n">
        <f aca="false">IF(SUMPRODUCT((Dictionary!$C$5:$C$96=Dictionary!$A$12)*(Dictionary!$D$5:$D$96&lt;&gt;"")*ISNUMBER(SEARCH(Dictionary!$D$5:$D$96,Data!$I16)))&gt;0,1,0)</f>
        <v>0</v>
      </c>
      <c r="V16" s="15" t="n">
        <f aca="false">IF(SUMPRODUCT((Dictionary!$C$5:$C$96=Dictionary!$A$13)*(Dictionary!$D$5:$D$96&lt;&gt;"")*ISNUMBER(SEARCH(Dictionary!$D$5:$D$96,Data!$I16)))&gt;0,1,0)</f>
        <v>0</v>
      </c>
      <c r="W16" s="15" t="n">
        <f aca="false">IF(SUMPRODUCT((Dictionary!$C$5:$C$96=Dictionary!$A$14)*(Dictionary!$D$5:$D$96&lt;&gt;"")*ISNUMBER(SEARCH(Dictionary!$D$5:$D$96,Data!$I16)))&gt;0,1,0)</f>
        <v>0</v>
      </c>
      <c r="X16" s="15" t="n">
        <f aca="false">IF(SUMPRODUCT((Dictionary!$C$5:$C$96=Dictionary!$A$15)*(Dictionary!$D$5:$D$96&lt;&gt;"")*ISNUMBER(SEARCH(Dictionary!$D$5:$D$96,Data!$I16)))&gt;0,1,0)</f>
        <v>0</v>
      </c>
      <c r="Y16" s="15" t="n">
        <f aca="false">IF(SUMPRODUCT((Dictionary!$C$5:$C$96=Dictionary!$A$16)*(Dictionary!$D$5:$D$96&lt;&gt;"")*ISNUMBER(SEARCH(Dictionary!$D$5:$D$96,Data!$I16)))&gt;0,1,0)</f>
        <v>0</v>
      </c>
      <c r="Z16" s="15" t="n">
        <f aca="false">IF(ISNUMBER(SEARCH("Other",Data!$H16)),1,0)</f>
        <v>0</v>
      </c>
      <c r="AA16" s="15" t="n">
        <f aca="false">IF(Data!$I16&lt;&gt;"",1,0)</f>
        <v>0</v>
      </c>
      <c r="AB16" s="15" t="n">
        <f aca="false">SUM(B16:M16)</f>
        <v>7</v>
      </c>
      <c r="AC16" s="15" t="n">
        <f aca="false">SUMPRODUCT(--((B16:M16+N16:Y16)&gt;0))</f>
        <v>7</v>
      </c>
      <c r="AD16" s="15" t="n">
        <f aca="false">AC16-AB16</f>
        <v>0</v>
      </c>
      <c r="AE16" s="15" t="n">
        <f aca="false">IF(AND(Z16=1,AA16=1),1,0)</f>
        <v>0</v>
      </c>
      <c r="AF16" s="15" t="n">
        <f aca="false">AC16+AE16</f>
        <v>7</v>
      </c>
      <c r="AG16" s="15" t="n">
        <f aca="false">AB16+AE16</f>
        <v>7</v>
      </c>
      <c r="AH16" s="15" t="n">
        <f aca="false">IF(AND(Data!$H16&lt;&gt;"",Data!$I16&lt;&gt;""),1,0)</f>
        <v>0</v>
      </c>
      <c r="AI16" s="15" t="str">
        <f aca="false">IF(AH16=1,SUMPRODUCT(N16:Y16*B16:M16),"")</f>
        <v/>
      </c>
      <c r="AJ16" s="15" t="str">
        <f aca="false">IF(AH16=1,SUMPRODUCT(--(N16:Y16&gt;B16:M16)),"")</f>
        <v/>
      </c>
      <c r="AK16" s="15" t="str">
        <f aca="false">IF(AH16=1,AB16,"")</f>
        <v/>
      </c>
    </row>
    <row r="17" customFormat="false" ht="15" hidden="false" customHeight="true" outlineLevel="0" collapsed="false">
      <c r="A17" s="15" t="str">
        <f aca="false">Data!$A17</f>
        <v>Blacklight</v>
      </c>
      <c r="B17" s="15" t="n">
        <f aca="false">IF(ISNUMBER(SEARCH(Dictionary!$A$5,Data!$H17)),1,0)</f>
        <v>0</v>
      </c>
      <c r="C17" s="15" t="n">
        <f aca="false">IF(ISNUMBER(SEARCH(Dictionary!$A$6,Data!$H17)),1,0)</f>
        <v>1</v>
      </c>
      <c r="D17" s="15" t="n">
        <f aca="false">IF(ISNUMBER(SEARCH(Dictionary!$A$7,Data!$H17)),1,0)</f>
        <v>1</v>
      </c>
      <c r="E17" s="15" t="n">
        <f aca="false">IF(ISNUMBER(SEARCH(Dictionary!$A$8,Data!$H17)),1,0)</f>
        <v>1</v>
      </c>
      <c r="F17" s="15" t="n">
        <f aca="false">IF(ISNUMBER(SEARCH(Dictionary!$A$9,Data!$H17)),1,0)</f>
        <v>1</v>
      </c>
      <c r="G17" s="15" t="n">
        <f aca="false">IF(ISNUMBER(SEARCH(Dictionary!$A$10,Data!$H17)),1,0)</f>
        <v>0</v>
      </c>
      <c r="H17" s="15" t="n">
        <f aca="false">IF(ISNUMBER(SEARCH(Dictionary!$A$11,Data!$H17)),1,0)</f>
        <v>1</v>
      </c>
      <c r="I17" s="15" t="n">
        <f aca="false">IF(ISNUMBER(SEARCH(Dictionary!$A$12,Data!$H17)),1,0)</f>
        <v>1</v>
      </c>
      <c r="J17" s="15" t="n">
        <f aca="false">IF(ISNUMBER(SEARCH(Dictionary!$A$13,Data!$H17)),1,0)</f>
        <v>0</v>
      </c>
      <c r="K17" s="15" t="n">
        <f aca="false">IF(ISNUMBER(SEARCH(Dictionary!$A$14,Data!$H17)),1,0)</f>
        <v>1</v>
      </c>
      <c r="L17" s="15" t="n">
        <f aca="false">IF(ISNUMBER(SEARCH(Dictionary!$A$15,Data!$H17)),1,0)</f>
        <v>1</v>
      </c>
      <c r="M17" s="15" t="n">
        <f aca="false">IF(ISNUMBER(SEARCH(Dictionary!$A$16,Data!$H17)),1,0)</f>
        <v>1</v>
      </c>
      <c r="N17" s="15" t="n">
        <f aca="false">IF(SUMPRODUCT((Dictionary!$C$5:$C$96=Dictionary!$A$5)*(Dictionary!$D$5:$D$96&lt;&gt;"")*ISNUMBER(SEARCH(Dictionary!$D$5:$D$96,Data!$I17)))&gt;0,1,0)</f>
        <v>0</v>
      </c>
      <c r="O17" s="15" t="n">
        <f aca="false">IF(SUMPRODUCT((Dictionary!$C$5:$C$96=Dictionary!$A$6)*(Dictionary!$D$5:$D$96&lt;&gt;"")*ISNUMBER(SEARCH(Dictionary!$D$5:$D$96,Data!$I17)))&gt;0,1,0)</f>
        <v>0</v>
      </c>
      <c r="P17" s="15" t="n">
        <f aca="false">IF(SUMPRODUCT((Dictionary!$C$5:$C$96=Dictionary!$A$7)*(Dictionary!$D$5:$D$96&lt;&gt;"")*ISNUMBER(SEARCH(Dictionary!$D$5:$D$96,Data!$I17)))&gt;0,1,0)</f>
        <v>0</v>
      </c>
      <c r="Q17" s="15" t="n">
        <f aca="false">IF(SUMPRODUCT((Dictionary!$C$5:$C$96=Dictionary!$A$8)*(Dictionary!$D$5:$D$96&lt;&gt;"")*ISNUMBER(SEARCH(Dictionary!$D$5:$D$96,Data!$I17)))&gt;0,1,0)</f>
        <v>0</v>
      </c>
      <c r="R17" s="15" t="n">
        <f aca="false">IF(SUMPRODUCT((Dictionary!$C$5:$C$96=Dictionary!$A$9)*(Dictionary!$D$5:$D$96&lt;&gt;"")*ISNUMBER(SEARCH(Dictionary!$D$5:$D$96,Data!$I17)))&gt;0,1,0)</f>
        <v>0</v>
      </c>
      <c r="S17" s="15" t="n">
        <f aca="false">IF(SUMPRODUCT((Dictionary!$C$5:$C$96=Dictionary!$A$10)*(Dictionary!$D$5:$D$96&lt;&gt;"")*ISNUMBER(SEARCH(Dictionary!$D$5:$D$96,Data!$I17)))&gt;0,1,0)</f>
        <v>0</v>
      </c>
      <c r="T17" s="15" t="n">
        <f aca="false">IF(SUMPRODUCT((Dictionary!$C$5:$C$96=Dictionary!$A$11)*(Dictionary!$D$5:$D$96&lt;&gt;"")*ISNUMBER(SEARCH(Dictionary!$D$5:$D$96,Data!$I17)))&gt;0,1,0)</f>
        <v>0</v>
      </c>
      <c r="U17" s="15" t="n">
        <f aca="false">IF(SUMPRODUCT((Dictionary!$C$5:$C$96=Dictionary!$A$12)*(Dictionary!$D$5:$D$96&lt;&gt;"")*ISNUMBER(SEARCH(Dictionary!$D$5:$D$96,Data!$I17)))&gt;0,1,0)</f>
        <v>0</v>
      </c>
      <c r="V17" s="15" t="n">
        <f aca="false">IF(SUMPRODUCT((Dictionary!$C$5:$C$96=Dictionary!$A$13)*(Dictionary!$D$5:$D$96&lt;&gt;"")*ISNUMBER(SEARCH(Dictionary!$D$5:$D$96,Data!$I17)))&gt;0,1,0)</f>
        <v>0</v>
      </c>
      <c r="W17" s="15" t="n">
        <f aca="false">IF(SUMPRODUCT((Dictionary!$C$5:$C$96=Dictionary!$A$14)*(Dictionary!$D$5:$D$96&lt;&gt;"")*ISNUMBER(SEARCH(Dictionary!$D$5:$D$96,Data!$I17)))&gt;0,1,0)</f>
        <v>0</v>
      </c>
      <c r="X17" s="15" t="n">
        <f aca="false">IF(SUMPRODUCT((Dictionary!$C$5:$C$96=Dictionary!$A$15)*(Dictionary!$D$5:$D$96&lt;&gt;"")*ISNUMBER(SEARCH(Dictionary!$D$5:$D$96,Data!$I17)))&gt;0,1,0)</f>
        <v>0</v>
      </c>
      <c r="Y17" s="15" t="n">
        <f aca="false">IF(SUMPRODUCT((Dictionary!$C$5:$C$96=Dictionary!$A$16)*(Dictionary!$D$5:$D$96&lt;&gt;"")*ISNUMBER(SEARCH(Dictionary!$D$5:$D$96,Data!$I17)))&gt;0,1,0)</f>
        <v>0</v>
      </c>
      <c r="Z17" s="15" t="n">
        <f aca="false">IF(ISNUMBER(SEARCH("Other",Data!$H17)),1,0)</f>
        <v>0</v>
      </c>
      <c r="AA17" s="15" t="n">
        <f aca="false">IF(Data!$I17&lt;&gt;"",1,0)</f>
        <v>0</v>
      </c>
      <c r="AB17" s="15" t="n">
        <f aca="false">SUM(B17:M17)</f>
        <v>9</v>
      </c>
      <c r="AC17" s="15" t="n">
        <f aca="false">SUMPRODUCT(--((B17:M17+N17:Y17)&gt;0))</f>
        <v>9</v>
      </c>
      <c r="AD17" s="15" t="n">
        <f aca="false">AC17-AB17</f>
        <v>0</v>
      </c>
      <c r="AE17" s="15" t="n">
        <f aca="false">IF(AND(Z17=1,AA17=1),1,0)</f>
        <v>0</v>
      </c>
      <c r="AF17" s="15" t="n">
        <f aca="false">AC17+AE17</f>
        <v>9</v>
      </c>
      <c r="AG17" s="15" t="n">
        <f aca="false">AB17+AE17</f>
        <v>9</v>
      </c>
      <c r="AH17" s="15" t="n">
        <f aca="false">IF(AND(Data!$H17&lt;&gt;"",Data!$I17&lt;&gt;""),1,0)</f>
        <v>0</v>
      </c>
      <c r="AI17" s="15" t="str">
        <f aca="false">IF(AH17=1,SUMPRODUCT(N17:Y17*B17:M17),"")</f>
        <v/>
      </c>
      <c r="AJ17" s="15" t="str">
        <f aca="false">IF(AH17=1,SUMPRODUCT(--(N17:Y17&gt;B17:M17)),"")</f>
        <v/>
      </c>
      <c r="AK17" s="15" t="str">
        <f aca="false">IF(AH17=1,AB17,"")</f>
        <v/>
      </c>
    </row>
    <row r="18" customFormat="false" ht="15" hidden="false" customHeight="true" outlineLevel="0" collapsed="false">
      <c r="A18" s="15" t="str">
        <f aca="false">Data!$A18</f>
        <v>BrCRIS</v>
      </c>
      <c r="B18" s="15" t="n">
        <f aca="false">IF(ISNUMBER(SEARCH(Dictionary!$A$5,Data!$H18)),1,0)</f>
        <v>0</v>
      </c>
      <c r="C18" s="15" t="n">
        <f aca="false">IF(ISNUMBER(SEARCH(Dictionary!$A$6,Data!$H18)),1,0)</f>
        <v>0</v>
      </c>
      <c r="D18" s="15" t="n">
        <f aca="false">IF(ISNUMBER(SEARCH(Dictionary!$A$7,Data!$H18)),1,0)</f>
        <v>0</v>
      </c>
      <c r="E18" s="15" t="n">
        <f aca="false">IF(ISNUMBER(SEARCH(Dictionary!$A$8,Data!$H18)),1,0)</f>
        <v>0</v>
      </c>
      <c r="F18" s="15" t="n">
        <f aca="false">IF(ISNUMBER(SEARCH(Dictionary!$A$9,Data!$H18)),1,0)</f>
        <v>0</v>
      </c>
      <c r="G18" s="15" t="n">
        <f aca="false">IF(ISNUMBER(SEARCH(Dictionary!$A$10,Data!$H18)),1,0)</f>
        <v>0</v>
      </c>
      <c r="H18" s="15" t="n">
        <f aca="false">IF(ISNUMBER(SEARCH(Dictionary!$A$11,Data!$H18)),1,0)</f>
        <v>0</v>
      </c>
      <c r="I18" s="15" t="n">
        <f aca="false">IF(ISNUMBER(SEARCH(Dictionary!$A$12,Data!$H18)),1,0)</f>
        <v>0</v>
      </c>
      <c r="J18" s="15" t="n">
        <f aca="false">IF(ISNUMBER(SEARCH(Dictionary!$A$13,Data!$H18)),1,0)</f>
        <v>0</v>
      </c>
      <c r="K18" s="15" t="n">
        <f aca="false">IF(ISNUMBER(SEARCH(Dictionary!$A$14,Data!$H18)),1,0)</f>
        <v>0</v>
      </c>
      <c r="L18" s="15" t="n">
        <f aca="false">IF(ISNUMBER(SEARCH(Dictionary!$A$15,Data!$H18)),1,0)</f>
        <v>0</v>
      </c>
      <c r="M18" s="15" t="n">
        <f aca="false">IF(ISNUMBER(SEARCH(Dictionary!$A$16,Data!$H18)),1,0)</f>
        <v>0</v>
      </c>
      <c r="N18" s="15" t="n">
        <f aca="false">IF(SUMPRODUCT((Dictionary!$C$5:$C$96=Dictionary!$A$5)*(Dictionary!$D$5:$D$96&lt;&gt;"")*ISNUMBER(SEARCH(Dictionary!$D$5:$D$96,Data!$I18)))&gt;0,1,0)</f>
        <v>0</v>
      </c>
      <c r="O18" s="15" t="n">
        <f aca="false">IF(SUMPRODUCT((Dictionary!$C$5:$C$96=Dictionary!$A$6)*(Dictionary!$D$5:$D$96&lt;&gt;"")*ISNUMBER(SEARCH(Dictionary!$D$5:$D$96,Data!$I18)))&gt;0,1,0)</f>
        <v>0</v>
      </c>
      <c r="P18" s="15" t="n">
        <f aca="false">IF(SUMPRODUCT((Dictionary!$C$5:$C$96=Dictionary!$A$7)*(Dictionary!$D$5:$D$96&lt;&gt;"")*ISNUMBER(SEARCH(Dictionary!$D$5:$D$96,Data!$I18)))&gt;0,1,0)</f>
        <v>0</v>
      </c>
      <c r="Q18" s="15" t="n">
        <f aca="false">IF(SUMPRODUCT((Dictionary!$C$5:$C$96=Dictionary!$A$8)*(Dictionary!$D$5:$D$96&lt;&gt;"")*ISNUMBER(SEARCH(Dictionary!$D$5:$D$96,Data!$I18)))&gt;0,1,0)</f>
        <v>0</v>
      </c>
      <c r="R18" s="15" t="n">
        <f aca="false">IF(SUMPRODUCT((Dictionary!$C$5:$C$96=Dictionary!$A$9)*(Dictionary!$D$5:$D$96&lt;&gt;"")*ISNUMBER(SEARCH(Dictionary!$D$5:$D$96,Data!$I18)))&gt;0,1,0)</f>
        <v>0</v>
      </c>
      <c r="S18" s="15" t="n">
        <f aca="false">IF(SUMPRODUCT((Dictionary!$C$5:$C$96=Dictionary!$A$10)*(Dictionary!$D$5:$D$96&lt;&gt;"")*ISNUMBER(SEARCH(Dictionary!$D$5:$D$96,Data!$I18)))&gt;0,1,0)</f>
        <v>0</v>
      </c>
      <c r="T18" s="15" t="n">
        <f aca="false">IF(SUMPRODUCT((Dictionary!$C$5:$C$96=Dictionary!$A$11)*(Dictionary!$D$5:$D$96&lt;&gt;"")*ISNUMBER(SEARCH(Dictionary!$D$5:$D$96,Data!$I18)))&gt;0,1,0)</f>
        <v>0</v>
      </c>
      <c r="U18" s="15" t="n">
        <f aca="false">IF(SUMPRODUCT((Dictionary!$C$5:$C$96=Dictionary!$A$12)*(Dictionary!$D$5:$D$96&lt;&gt;"")*ISNUMBER(SEARCH(Dictionary!$D$5:$D$96,Data!$I18)))&gt;0,1,0)</f>
        <v>0</v>
      </c>
      <c r="V18" s="15" t="n">
        <f aca="false">IF(SUMPRODUCT((Dictionary!$C$5:$C$96=Dictionary!$A$13)*(Dictionary!$D$5:$D$96&lt;&gt;"")*ISNUMBER(SEARCH(Dictionary!$D$5:$D$96,Data!$I18)))&gt;0,1,0)</f>
        <v>0</v>
      </c>
      <c r="W18" s="15" t="n">
        <f aca="false">IF(SUMPRODUCT((Dictionary!$C$5:$C$96=Dictionary!$A$14)*(Dictionary!$D$5:$D$96&lt;&gt;"")*ISNUMBER(SEARCH(Dictionary!$D$5:$D$96,Data!$I18)))&gt;0,1,0)</f>
        <v>0</v>
      </c>
      <c r="X18" s="15" t="n">
        <f aca="false">IF(SUMPRODUCT((Dictionary!$C$5:$C$96=Dictionary!$A$15)*(Dictionary!$D$5:$D$96&lt;&gt;"")*ISNUMBER(SEARCH(Dictionary!$D$5:$D$96,Data!$I18)))&gt;0,1,0)</f>
        <v>0</v>
      </c>
      <c r="Y18" s="15" t="n">
        <f aca="false">IF(SUMPRODUCT((Dictionary!$C$5:$C$96=Dictionary!$A$16)*(Dictionary!$D$5:$D$96&lt;&gt;"")*ISNUMBER(SEARCH(Dictionary!$D$5:$D$96,Data!$I18)))&gt;0,1,0)</f>
        <v>0</v>
      </c>
      <c r="Z18" s="15" t="n">
        <f aca="false">IF(ISNUMBER(SEARCH("Other",Data!$H18)),1,0)</f>
        <v>0</v>
      </c>
      <c r="AA18" s="15" t="n">
        <f aca="false">IF(Data!$I18&lt;&gt;"",1,0)</f>
        <v>0</v>
      </c>
      <c r="AB18" s="15" t="n">
        <f aca="false">SUM(B18:M18)</f>
        <v>0</v>
      </c>
      <c r="AC18" s="15" t="n">
        <f aca="false">SUMPRODUCT(--((B18:M18+N18:Y18)&gt;0))</f>
        <v>0</v>
      </c>
      <c r="AD18" s="15" t="n">
        <f aca="false">AC18-AB18</f>
        <v>0</v>
      </c>
      <c r="AE18" s="15" t="n">
        <f aca="false">IF(AND(Z18=1,AA18=1),1,0)</f>
        <v>0</v>
      </c>
      <c r="AF18" s="15" t="n">
        <f aca="false">AC18+AE18</f>
        <v>0</v>
      </c>
      <c r="AG18" s="15" t="n">
        <f aca="false">AB18+AE18</f>
        <v>0</v>
      </c>
      <c r="AH18" s="15" t="n">
        <f aca="false">IF(AND(Data!$H18&lt;&gt;"",Data!$I18&lt;&gt;""),1,0)</f>
        <v>0</v>
      </c>
      <c r="AI18" s="15" t="str">
        <f aca="false">IF(AH18=1,SUMPRODUCT(N18:Y18*B18:M18),"")</f>
        <v/>
      </c>
      <c r="AJ18" s="15" t="str">
        <f aca="false">IF(AH18=1,SUMPRODUCT(--(N18:Y18&gt;B18:M18)),"")</f>
        <v/>
      </c>
      <c r="AK18" s="15" t="str">
        <f aca="false">IF(AH18=1,AB18,"")</f>
        <v/>
      </c>
    </row>
    <row r="19" customFormat="false" ht="15" hidden="false" customHeight="true" outlineLevel="0" collapsed="false">
      <c r="A19" s="15" t="str">
        <f aca="false">Data!$A19</f>
        <v>Browsertrix</v>
      </c>
      <c r="B19" s="15" t="n">
        <f aca="false">IF(ISNUMBER(SEARCH(Dictionary!$A$5,Data!$H19)),1,0)</f>
        <v>0</v>
      </c>
      <c r="C19" s="15" t="n">
        <f aca="false">IF(ISNUMBER(SEARCH(Dictionary!$A$6,Data!$H19)),1,0)</f>
        <v>0</v>
      </c>
      <c r="D19" s="15" t="n">
        <f aca="false">IF(ISNUMBER(SEARCH(Dictionary!$A$7,Data!$H19)),1,0)</f>
        <v>0</v>
      </c>
      <c r="E19" s="15" t="n">
        <f aca="false">IF(ISNUMBER(SEARCH(Dictionary!$A$8,Data!$H19)),1,0)</f>
        <v>0</v>
      </c>
      <c r="F19" s="15" t="n">
        <f aca="false">IF(ISNUMBER(SEARCH(Dictionary!$A$9,Data!$H19)),1,0)</f>
        <v>0</v>
      </c>
      <c r="G19" s="15" t="n">
        <f aca="false">IF(ISNUMBER(SEARCH(Dictionary!$A$10,Data!$H19)),1,0)</f>
        <v>0</v>
      </c>
      <c r="H19" s="15" t="n">
        <f aca="false">IF(ISNUMBER(SEARCH(Dictionary!$A$11,Data!$H19)),1,0)</f>
        <v>0</v>
      </c>
      <c r="I19" s="15" t="n">
        <f aca="false">IF(ISNUMBER(SEARCH(Dictionary!$A$12,Data!$H19)),1,0)</f>
        <v>1</v>
      </c>
      <c r="J19" s="15" t="n">
        <f aca="false">IF(ISNUMBER(SEARCH(Dictionary!$A$13,Data!$H19)),1,0)</f>
        <v>0</v>
      </c>
      <c r="K19" s="15" t="n">
        <f aca="false">IF(ISNUMBER(SEARCH(Dictionary!$A$14,Data!$H19)),1,0)</f>
        <v>0</v>
      </c>
      <c r="L19" s="15" t="n">
        <f aca="false">IF(ISNUMBER(SEARCH(Dictionary!$A$15,Data!$H19)),1,0)</f>
        <v>0</v>
      </c>
      <c r="M19" s="15" t="n">
        <f aca="false">IF(ISNUMBER(SEARCH(Dictionary!$A$16,Data!$H19)),1,0)</f>
        <v>0</v>
      </c>
      <c r="N19" s="15" t="n">
        <f aca="false">IF(SUMPRODUCT((Dictionary!$C$5:$C$96=Dictionary!$A$5)*(Dictionary!$D$5:$D$96&lt;&gt;"")*ISNUMBER(SEARCH(Dictionary!$D$5:$D$96,Data!$I19)))&gt;0,1,0)</f>
        <v>0</v>
      </c>
      <c r="O19" s="15" t="n">
        <f aca="false">IF(SUMPRODUCT((Dictionary!$C$5:$C$96=Dictionary!$A$6)*(Dictionary!$D$5:$D$96&lt;&gt;"")*ISNUMBER(SEARCH(Dictionary!$D$5:$D$96,Data!$I19)))&gt;0,1,0)</f>
        <v>0</v>
      </c>
      <c r="P19" s="15" t="n">
        <f aca="false">IF(SUMPRODUCT((Dictionary!$C$5:$C$96=Dictionary!$A$7)*(Dictionary!$D$5:$D$96&lt;&gt;"")*ISNUMBER(SEARCH(Dictionary!$D$5:$D$96,Data!$I19)))&gt;0,1,0)</f>
        <v>0</v>
      </c>
      <c r="Q19" s="15" t="n">
        <f aca="false">IF(SUMPRODUCT((Dictionary!$C$5:$C$96=Dictionary!$A$8)*(Dictionary!$D$5:$D$96&lt;&gt;"")*ISNUMBER(SEARCH(Dictionary!$D$5:$D$96,Data!$I19)))&gt;0,1,0)</f>
        <v>0</v>
      </c>
      <c r="R19" s="15" t="n">
        <f aca="false">IF(SUMPRODUCT((Dictionary!$C$5:$C$96=Dictionary!$A$9)*(Dictionary!$D$5:$D$96&lt;&gt;"")*ISNUMBER(SEARCH(Dictionary!$D$5:$D$96,Data!$I19)))&gt;0,1,0)</f>
        <v>0</v>
      </c>
      <c r="S19" s="15" t="n">
        <f aca="false">IF(SUMPRODUCT((Dictionary!$C$5:$C$96=Dictionary!$A$10)*(Dictionary!$D$5:$D$96&lt;&gt;"")*ISNUMBER(SEARCH(Dictionary!$D$5:$D$96,Data!$I19)))&gt;0,1,0)</f>
        <v>0</v>
      </c>
      <c r="T19" s="15" t="n">
        <f aca="false">IF(SUMPRODUCT((Dictionary!$C$5:$C$96=Dictionary!$A$11)*(Dictionary!$D$5:$D$96&lt;&gt;"")*ISNUMBER(SEARCH(Dictionary!$D$5:$D$96,Data!$I19)))&gt;0,1,0)</f>
        <v>0</v>
      </c>
      <c r="U19" s="15" t="n">
        <f aca="false">IF(SUMPRODUCT((Dictionary!$C$5:$C$96=Dictionary!$A$12)*(Dictionary!$D$5:$D$96&lt;&gt;"")*ISNUMBER(SEARCH(Dictionary!$D$5:$D$96,Data!$I19)))&gt;0,1,0)</f>
        <v>0</v>
      </c>
      <c r="V19" s="15" t="n">
        <f aca="false">IF(SUMPRODUCT((Dictionary!$C$5:$C$96=Dictionary!$A$13)*(Dictionary!$D$5:$D$96&lt;&gt;"")*ISNUMBER(SEARCH(Dictionary!$D$5:$D$96,Data!$I19)))&gt;0,1,0)</f>
        <v>0</v>
      </c>
      <c r="W19" s="15" t="n">
        <f aca="false">IF(SUMPRODUCT((Dictionary!$C$5:$C$96=Dictionary!$A$14)*(Dictionary!$D$5:$D$96&lt;&gt;"")*ISNUMBER(SEARCH(Dictionary!$D$5:$D$96,Data!$I19)))&gt;0,1,0)</f>
        <v>0</v>
      </c>
      <c r="X19" s="15" t="n">
        <f aca="false">IF(SUMPRODUCT((Dictionary!$C$5:$C$96=Dictionary!$A$15)*(Dictionary!$D$5:$D$96&lt;&gt;"")*ISNUMBER(SEARCH(Dictionary!$D$5:$D$96,Data!$I19)))&gt;0,1,0)</f>
        <v>0</v>
      </c>
      <c r="Y19" s="15" t="n">
        <f aca="false">IF(SUMPRODUCT((Dictionary!$C$5:$C$96=Dictionary!$A$16)*(Dictionary!$D$5:$D$96&lt;&gt;"")*ISNUMBER(SEARCH(Dictionary!$D$5:$D$96,Data!$I19)))&gt;0,1,0)</f>
        <v>0</v>
      </c>
      <c r="Z19" s="15" t="n">
        <f aca="false">IF(ISNUMBER(SEARCH("Other",Data!$H19)),1,0)</f>
        <v>0</v>
      </c>
      <c r="AA19" s="15" t="n">
        <f aca="false">IF(Data!$I19&lt;&gt;"",1,0)</f>
        <v>0</v>
      </c>
      <c r="AB19" s="15" t="n">
        <f aca="false">SUM(B19:M19)</f>
        <v>1</v>
      </c>
      <c r="AC19" s="15" t="n">
        <f aca="false">SUMPRODUCT(--((B19:M19+N19:Y19)&gt;0))</f>
        <v>1</v>
      </c>
      <c r="AD19" s="15" t="n">
        <f aca="false">AC19-AB19</f>
        <v>0</v>
      </c>
      <c r="AE19" s="15" t="n">
        <f aca="false">IF(AND(Z19=1,AA19=1),1,0)</f>
        <v>0</v>
      </c>
      <c r="AF19" s="15" t="n">
        <f aca="false">AC19+AE19</f>
        <v>1</v>
      </c>
      <c r="AG19" s="15" t="n">
        <f aca="false">AB19+AE19</f>
        <v>1</v>
      </c>
      <c r="AH19" s="15" t="n">
        <f aca="false">IF(AND(Data!$H19&lt;&gt;"",Data!$I19&lt;&gt;""),1,0)</f>
        <v>0</v>
      </c>
      <c r="AI19" s="15" t="str">
        <f aca="false">IF(AH19=1,SUMPRODUCT(N19:Y19*B19:M19),"")</f>
        <v/>
      </c>
      <c r="AJ19" s="15" t="str">
        <f aca="false">IF(AH19=1,SUMPRODUCT(--(N19:Y19&gt;B19:M19)),"")</f>
        <v/>
      </c>
      <c r="AK19" s="15" t="str">
        <f aca="false">IF(AH19=1,AB19,"")</f>
        <v/>
      </c>
    </row>
    <row r="20" customFormat="false" ht="15" hidden="false" customHeight="true" outlineLevel="0" collapsed="false">
      <c r="A20" s="15" t="str">
        <f aca="false">Data!$A20</f>
        <v>CLOCKSS</v>
      </c>
      <c r="B20" s="15" t="n">
        <f aca="false">IF(ISNUMBER(SEARCH(Dictionary!$A$5,Data!$H20)),1,0)</f>
        <v>0</v>
      </c>
      <c r="C20" s="15" t="n">
        <f aca="false">IF(ISNUMBER(SEARCH(Dictionary!$A$6,Data!$H20)),1,0)</f>
        <v>0</v>
      </c>
      <c r="D20" s="15" t="n">
        <f aca="false">IF(ISNUMBER(SEARCH(Dictionary!$A$7,Data!$H20)),1,0)</f>
        <v>0</v>
      </c>
      <c r="E20" s="15" t="n">
        <f aca="false">IF(ISNUMBER(SEARCH(Dictionary!$A$8,Data!$H20)),1,0)</f>
        <v>0</v>
      </c>
      <c r="F20" s="15" t="n">
        <f aca="false">IF(ISNUMBER(SEARCH(Dictionary!$A$9,Data!$H20)),1,0)</f>
        <v>0</v>
      </c>
      <c r="G20" s="15" t="n">
        <f aca="false">IF(ISNUMBER(SEARCH(Dictionary!$A$10,Data!$H20)),1,0)</f>
        <v>0</v>
      </c>
      <c r="H20" s="15" t="n">
        <f aca="false">IF(ISNUMBER(SEARCH(Dictionary!$A$11,Data!$H20)),1,0)</f>
        <v>0</v>
      </c>
      <c r="I20" s="15" t="n">
        <f aca="false">IF(ISNUMBER(SEARCH(Dictionary!$A$12,Data!$H20)),1,0)</f>
        <v>0</v>
      </c>
      <c r="J20" s="15" t="n">
        <f aca="false">IF(ISNUMBER(SEARCH(Dictionary!$A$13,Data!$H20)),1,0)</f>
        <v>0</v>
      </c>
      <c r="K20" s="15" t="n">
        <f aca="false">IF(ISNUMBER(SEARCH(Dictionary!$A$14,Data!$H20)),1,0)</f>
        <v>0</v>
      </c>
      <c r="L20" s="15" t="n">
        <f aca="false">IF(ISNUMBER(SEARCH(Dictionary!$A$15,Data!$H20)),1,0)</f>
        <v>0</v>
      </c>
      <c r="M20" s="15" t="n">
        <f aca="false">IF(ISNUMBER(SEARCH(Dictionary!$A$16,Data!$H20)),1,0)</f>
        <v>0</v>
      </c>
      <c r="N20" s="15" t="n">
        <f aca="false">IF(SUMPRODUCT((Dictionary!$C$5:$C$96=Dictionary!$A$5)*(Dictionary!$D$5:$D$96&lt;&gt;"")*ISNUMBER(SEARCH(Dictionary!$D$5:$D$96,Data!$I20)))&gt;0,1,0)</f>
        <v>0</v>
      </c>
      <c r="O20" s="15" t="n">
        <f aca="false">IF(SUMPRODUCT((Dictionary!$C$5:$C$96=Dictionary!$A$6)*(Dictionary!$D$5:$D$96&lt;&gt;"")*ISNUMBER(SEARCH(Dictionary!$D$5:$D$96,Data!$I20)))&gt;0,1,0)</f>
        <v>0</v>
      </c>
      <c r="P20" s="15" t="n">
        <f aca="false">IF(SUMPRODUCT((Dictionary!$C$5:$C$96=Dictionary!$A$7)*(Dictionary!$D$5:$D$96&lt;&gt;"")*ISNUMBER(SEARCH(Dictionary!$D$5:$D$96,Data!$I20)))&gt;0,1,0)</f>
        <v>0</v>
      </c>
      <c r="Q20" s="15" t="n">
        <f aca="false">IF(SUMPRODUCT((Dictionary!$C$5:$C$96=Dictionary!$A$8)*(Dictionary!$D$5:$D$96&lt;&gt;"")*ISNUMBER(SEARCH(Dictionary!$D$5:$D$96,Data!$I20)))&gt;0,1,0)</f>
        <v>0</v>
      </c>
      <c r="R20" s="15" t="n">
        <f aca="false">IF(SUMPRODUCT((Dictionary!$C$5:$C$96=Dictionary!$A$9)*(Dictionary!$D$5:$D$96&lt;&gt;"")*ISNUMBER(SEARCH(Dictionary!$D$5:$D$96,Data!$I20)))&gt;0,1,0)</f>
        <v>0</v>
      </c>
      <c r="S20" s="15" t="n">
        <f aca="false">IF(SUMPRODUCT((Dictionary!$C$5:$C$96=Dictionary!$A$10)*(Dictionary!$D$5:$D$96&lt;&gt;"")*ISNUMBER(SEARCH(Dictionary!$D$5:$D$96,Data!$I20)))&gt;0,1,0)</f>
        <v>0</v>
      </c>
      <c r="T20" s="15" t="n">
        <f aca="false">IF(SUMPRODUCT((Dictionary!$C$5:$C$96=Dictionary!$A$11)*(Dictionary!$D$5:$D$96&lt;&gt;"")*ISNUMBER(SEARCH(Dictionary!$D$5:$D$96,Data!$I20)))&gt;0,1,0)</f>
        <v>0</v>
      </c>
      <c r="U20" s="15" t="n">
        <f aca="false">IF(SUMPRODUCT((Dictionary!$C$5:$C$96=Dictionary!$A$12)*(Dictionary!$D$5:$D$96&lt;&gt;"")*ISNUMBER(SEARCH(Dictionary!$D$5:$D$96,Data!$I20)))&gt;0,1,0)</f>
        <v>0</v>
      </c>
      <c r="V20" s="15" t="n">
        <f aca="false">IF(SUMPRODUCT((Dictionary!$C$5:$C$96=Dictionary!$A$13)*(Dictionary!$D$5:$D$96&lt;&gt;"")*ISNUMBER(SEARCH(Dictionary!$D$5:$D$96,Data!$I20)))&gt;0,1,0)</f>
        <v>0</v>
      </c>
      <c r="W20" s="15" t="n">
        <f aca="false">IF(SUMPRODUCT((Dictionary!$C$5:$C$96=Dictionary!$A$14)*(Dictionary!$D$5:$D$96&lt;&gt;"")*ISNUMBER(SEARCH(Dictionary!$D$5:$D$96,Data!$I20)))&gt;0,1,0)</f>
        <v>0</v>
      </c>
      <c r="X20" s="15" t="n">
        <f aca="false">IF(SUMPRODUCT((Dictionary!$C$5:$C$96=Dictionary!$A$15)*(Dictionary!$D$5:$D$96&lt;&gt;"")*ISNUMBER(SEARCH(Dictionary!$D$5:$D$96,Data!$I20)))&gt;0,1,0)</f>
        <v>0</v>
      </c>
      <c r="Y20" s="15" t="n">
        <f aca="false">IF(SUMPRODUCT((Dictionary!$C$5:$C$96=Dictionary!$A$16)*(Dictionary!$D$5:$D$96&lt;&gt;"")*ISNUMBER(SEARCH(Dictionary!$D$5:$D$96,Data!$I20)))&gt;0,1,0)</f>
        <v>0</v>
      </c>
      <c r="Z20" s="15" t="n">
        <f aca="false">IF(ISNUMBER(SEARCH("Other",Data!$H20)),1,0)</f>
        <v>0</v>
      </c>
      <c r="AA20" s="15" t="n">
        <f aca="false">IF(Data!$I20&lt;&gt;"",1,0)</f>
        <v>0</v>
      </c>
      <c r="AB20" s="15" t="n">
        <f aca="false">SUM(B20:M20)</f>
        <v>0</v>
      </c>
      <c r="AC20" s="15" t="n">
        <f aca="false">SUMPRODUCT(--((B20:M20+N20:Y20)&gt;0))</f>
        <v>0</v>
      </c>
      <c r="AD20" s="15" t="n">
        <f aca="false">AC20-AB20</f>
        <v>0</v>
      </c>
      <c r="AE20" s="15" t="n">
        <f aca="false">IF(AND(Z20=1,AA20=1),1,0)</f>
        <v>0</v>
      </c>
      <c r="AF20" s="15" t="n">
        <f aca="false">AC20+AE20</f>
        <v>0</v>
      </c>
      <c r="AG20" s="15" t="n">
        <f aca="false">AB20+AE20</f>
        <v>0</v>
      </c>
      <c r="AH20" s="15" t="n">
        <f aca="false">IF(AND(Data!$H20&lt;&gt;"",Data!$I20&lt;&gt;""),1,0)</f>
        <v>0</v>
      </c>
      <c r="AI20" s="15" t="str">
        <f aca="false">IF(AH20=1,SUMPRODUCT(N20:Y20*B20:M20),"")</f>
        <v/>
      </c>
      <c r="AJ20" s="15" t="str">
        <f aca="false">IF(AH20=1,SUMPRODUCT(--(N20:Y20&gt;B20:M20)),"")</f>
        <v/>
      </c>
      <c r="AK20" s="15" t="str">
        <f aca="false">IF(AH20=1,AB20,"")</f>
        <v/>
      </c>
    </row>
    <row r="21" customFormat="false" ht="15" hidden="false" customHeight="true" outlineLevel="0" collapsed="false">
      <c r="A21" s="15" t="str">
        <f aca="false">Data!$A21</f>
        <v>COAR International Repository Directory (IRD)</v>
      </c>
      <c r="B21" s="15" t="n">
        <f aca="false">IF(ISNUMBER(SEARCH(Dictionary!$A$5,Data!$H21)),1,0)</f>
        <v>0</v>
      </c>
      <c r="C21" s="15" t="n">
        <f aca="false">IF(ISNUMBER(SEARCH(Dictionary!$A$6,Data!$H21)),1,0)</f>
        <v>1</v>
      </c>
      <c r="D21" s="15" t="n">
        <f aca="false">IF(ISNUMBER(SEARCH(Dictionary!$A$7,Data!$H21)),1,0)</f>
        <v>1</v>
      </c>
      <c r="E21" s="15" t="n">
        <f aca="false">IF(ISNUMBER(SEARCH(Dictionary!$A$8,Data!$H21)),1,0)</f>
        <v>0</v>
      </c>
      <c r="F21" s="15" t="n">
        <f aca="false">IF(ISNUMBER(SEARCH(Dictionary!$A$9,Data!$H21)),1,0)</f>
        <v>1</v>
      </c>
      <c r="G21" s="15" t="n">
        <f aca="false">IF(ISNUMBER(SEARCH(Dictionary!$A$10,Data!$H21)),1,0)</f>
        <v>0</v>
      </c>
      <c r="H21" s="15" t="n">
        <f aca="false">IF(ISNUMBER(SEARCH(Dictionary!$A$11,Data!$H21)),1,0)</f>
        <v>0</v>
      </c>
      <c r="I21" s="15" t="n">
        <f aca="false">IF(ISNUMBER(SEARCH(Dictionary!$A$12,Data!$H21)),1,0)</f>
        <v>0</v>
      </c>
      <c r="J21" s="15" t="n">
        <f aca="false">IF(ISNUMBER(SEARCH(Dictionary!$A$13,Data!$H21)),1,0)</f>
        <v>0</v>
      </c>
      <c r="K21" s="15" t="n">
        <f aca="false">IF(ISNUMBER(SEARCH(Dictionary!$A$14,Data!$H21)),1,0)</f>
        <v>0</v>
      </c>
      <c r="L21" s="15" t="n">
        <f aca="false">IF(ISNUMBER(SEARCH(Dictionary!$A$15,Data!$H21)),1,0)</f>
        <v>1</v>
      </c>
      <c r="M21" s="15" t="n">
        <f aca="false">IF(ISNUMBER(SEARCH(Dictionary!$A$16,Data!$H21)),1,0)</f>
        <v>0</v>
      </c>
      <c r="N21" s="15" t="n">
        <f aca="false">IF(SUMPRODUCT((Dictionary!$C$5:$C$96=Dictionary!$A$5)*(Dictionary!$D$5:$D$96&lt;&gt;"")*ISNUMBER(SEARCH(Dictionary!$D$5:$D$96,Data!$I21)))&gt;0,1,0)</f>
        <v>0</v>
      </c>
      <c r="O21" s="15" t="n">
        <f aca="false">IF(SUMPRODUCT((Dictionary!$C$5:$C$96=Dictionary!$A$6)*(Dictionary!$D$5:$D$96&lt;&gt;"")*ISNUMBER(SEARCH(Dictionary!$D$5:$D$96,Data!$I21)))&gt;0,1,0)</f>
        <v>0</v>
      </c>
      <c r="P21" s="15" t="n">
        <f aca="false">IF(SUMPRODUCT((Dictionary!$C$5:$C$96=Dictionary!$A$7)*(Dictionary!$D$5:$D$96&lt;&gt;"")*ISNUMBER(SEARCH(Dictionary!$D$5:$D$96,Data!$I21)))&gt;0,1,0)</f>
        <v>0</v>
      </c>
      <c r="Q21" s="15" t="n">
        <f aca="false">IF(SUMPRODUCT((Dictionary!$C$5:$C$96=Dictionary!$A$8)*(Dictionary!$D$5:$D$96&lt;&gt;"")*ISNUMBER(SEARCH(Dictionary!$D$5:$D$96,Data!$I21)))&gt;0,1,0)</f>
        <v>0</v>
      </c>
      <c r="R21" s="15" t="n">
        <f aca="false">IF(SUMPRODUCT((Dictionary!$C$5:$C$96=Dictionary!$A$9)*(Dictionary!$D$5:$D$96&lt;&gt;"")*ISNUMBER(SEARCH(Dictionary!$D$5:$D$96,Data!$I21)))&gt;0,1,0)</f>
        <v>0</v>
      </c>
      <c r="S21" s="15" t="n">
        <f aca="false">IF(SUMPRODUCT((Dictionary!$C$5:$C$96=Dictionary!$A$10)*(Dictionary!$D$5:$D$96&lt;&gt;"")*ISNUMBER(SEARCH(Dictionary!$D$5:$D$96,Data!$I21)))&gt;0,1,0)</f>
        <v>0</v>
      </c>
      <c r="T21" s="15" t="n">
        <f aca="false">IF(SUMPRODUCT((Dictionary!$C$5:$C$96=Dictionary!$A$11)*(Dictionary!$D$5:$D$96&lt;&gt;"")*ISNUMBER(SEARCH(Dictionary!$D$5:$D$96,Data!$I21)))&gt;0,1,0)</f>
        <v>0</v>
      </c>
      <c r="U21" s="15" t="n">
        <f aca="false">IF(SUMPRODUCT((Dictionary!$C$5:$C$96=Dictionary!$A$12)*(Dictionary!$D$5:$D$96&lt;&gt;"")*ISNUMBER(SEARCH(Dictionary!$D$5:$D$96,Data!$I21)))&gt;0,1,0)</f>
        <v>0</v>
      </c>
      <c r="V21" s="15" t="n">
        <f aca="false">IF(SUMPRODUCT((Dictionary!$C$5:$C$96=Dictionary!$A$13)*(Dictionary!$D$5:$D$96&lt;&gt;"")*ISNUMBER(SEARCH(Dictionary!$D$5:$D$96,Data!$I21)))&gt;0,1,0)</f>
        <v>0</v>
      </c>
      <c r="W21" s="15" t="n">
        <f aca="false">IF(SUMPRODUCT((Dictionary!$C$5:$C$96=Dictionary!$A$14)*(Dictionary!$D$5:$D$96&lt;&gt;"")*ISNUMBER(SEARCH(Dictionary!$D$5:$D$96,Data!$I21)))&gt;0,1,0)</f>
        <v>0</v>
      </c>
      <c r="X21" s="15" t="n">
        <f aca="false">IF(SUMPRODUCT((Dictionary!$C$5:$C$96=Dictionary!$A$15)*(Dictionary!$D$5:$D$96&lt;&gt;"")*ISNUMBER(SEARCH(Dictionary!$D$5:$D$96,Data!$I21)))&gt;0,1,0)</f>
        <v>0</v>
      </c>
      <c r="Y21" s="15" t="n">
        <f aca="false">IF(SUMPRODUCT((Dictionary!$C$5:$C$96=Dictionary!$A$16)*(Dictionary!$D$5:$D$96&lt;&gt;"")*ISNUMBER(SEARCH(Dictionary!$D$5:$D$96,Data!$I21)))&gt;0,1,0)</f>
        <v>0</v>
      </c>
      <c r="Z21" s="15" t="n">
        <f aca="false">IF(ISNUMBER(SEARCH("Other",Data!$H21)),1,0)</f>
        <v>0</v>
      </c>
      <c r="AA21" s="15" t="n">
        <f aca="false">IF(Data!$I21&lt;&gt;"",1,0)</f>
        <v>0</v>
      </c>
      <c r="AB21" s="15" t="n">
        <f aca="false">SUM(B21:M21)</f>
        <v>4</v>
      </c>
      <c r="AC21" s="15" t="n">
        <f aca="false">SUMPRODUCT(--((B21:M21+N21:Y21)&gt;0))</f>
        <v>4</v>
      </c>
      <c r="AD21" s="15" t="n">
        <f aca="false">AC21-AB21</f>
        <v>0</v>
      </c>
      <c r="AE21" s="15" t="n">
        <f aca="false">IF(AND(Z21=1,AA21=1),1,0)</f>
        <v>0</v>
      </c>
      <c r="AF21" s="15" t="n">
        <f aca="false">AC21+AE21</f>
        <v>4</v>
      </c>
      <c r="AG21" s="15" t="n">
        <f aca="false">AB21+AE21</f>
        <v>4</v>
      </c>
      <c r="AH21" s="15" t="n">
        <f aca="false">IF(AND(Data!$H21&lt;&gt;"",Data!$I21&lt;&gt;""),1,0)</f>
        <v>0</v>
      </c>
      <c r="AI21" s="15" t="str">
        <f aca="false">IF(AH21=1,SUMPRODUCT(N21:Y21*B21:M21),"")</f>
        <v/>
      </c>
      <c r="AJ21" s="15" t="str">
        <f aca="false">IF(AH21=1,SUMPRODUCT(--(N21:Y21&gt;B21:M21)),"")</f>
        <v/>
      </c>
      <c r="AK21" s="15" t="str">
        <f aca="false">IF(AH21=1,AB21,"")</f>
        <v/>
      </c>
    </row>
    <row r="22" customFormat="false" ht="15" hidden="false" customHeight="true" outlineLevel="0" collapsed="false">
      <c r="A22" s="15" t="str">
        <f aca="false">Data!$A22</f>
        <v>COAR Notify</v>
      </c>
      <c r="B22" s="15" t="n">
        <f aca="false">IF(ISNUMBER(SEARCH(Dictionary!$A$5,Data!$H22)),1,0)</f>
        <v>0</v>
      </c>
      <c r="C22" s="15" t="n">
        <f aca="false">IF(ISNUMBER(SEARCH(Dictionary!$A$6,Data!$H22)),1,0)</f>
        <v>1</v>
      </c>
      <c r="D22" s="15" t="n">
        <f aca="false">IF(ISNUMBER(SEARCH(Dictionary!$A$7,Data!$H22)),1,0)</f>
        <v>0</v>
      </c>
      <c r="E22" s="15" t="n">
        <f aca="false">IF(ISNUMBER(SEARCH(Dictionary!$A$8,Data!$H22)),1,0)</f>
        <v>1</v>
      </c>
      <c r="F22" s="15" t="n">
        <f aca="false">IF(ISNUMBER(SEARCH(Dictionary!$A$9,Data!$H22)),1,0)</f>
        <v>0</v>
      </c>
      <c r="G22" s="15" t="n">
        <f aca="false">IF(ISNUMBER(SEARCH(Dictionary!$A$10,Data!$H22)),1,0)</f>
        <v>1</v>
      </c>
      <c r="H22" s="15" t="n">
        <f aca="false">IF(ISNUMBER(SEARCH(Dictionary!$A$11,Data!$H22)),1,0)</f>
        <v>1</v>
      </c>
      <c r="I22" s="15" t="n">
        <f aca="false">IF(ISNUMBER(SEARCH(Dictionary!$A$12,Data!$H22)),1,0)</f>
        <v>0</v>
      </c>
      <c r="J22" s="15" t="n">
        <f aca="false">IF(ISNUMBER(SEARCH(Dictionary!$A$13,Data!$H22)),1,0)</f>
        <v>0</v>
      </c>
      <c r="K22" s="15" t="n">
        <f aca="false">IF(ISNUMBER(SEARCH(Dictionary!$A$14,Data!$H22)),1,0)</f>
        <v>0</v>
      </c>
      <c r="L22" s="15" t="n">
        <f aca="false">IF(ISNUMBER(SEARCH(Dictionary!$A$15,Data!$H22)),1,0)</f>
        <v>0</v>
      </c>
      <c r="M22" s="15" t="n">
        <f aca="false">IF(ISNUMBER(SEARCH(Dictionary!$A$16,Data!$H22)),1,0)</f>
        <v>1</v>
      </c>
      <c r="N22" s="15" t="n">
        <f aca="false">IF(SUMPRODUCT((Dictionary!$C$5:$C$96=Dictionary!$A$5)*(Dictionary!$D$5:$D$96&lt;&gt;"")*ISNUMBER(SEARCH(Dictionary!$D$5:$D$96,Data!$I22)))&gt;0,1,0)</f>
        <v>0</v>
      </c>
      <c r="O22" s="15" t="n">
        <f aca="false">IF(SUMPRODUCT((Dictionary!$C$5:$C$96=Dictionary!$A$6)*(Dictionary!$D$5:$D$96&lt;&gt;"")*ISNUMBER(SEARCH(Dictionary!$D$5:$D$96,Data!$I22)))&gt;0,1,0)</f>
        <v>0</v>
      </c>
      <c r="P22" s="15" t="n">
        <f aca="false">IF(SUMPRODUCT((Dictionary!$C$5:$C$96=Dictionary!$A$7)*(Dictionary!$D$5:$D$96&lt;&gt;"")*ISNUMBER(SEARCH(Dictionary!$D$5:$D$96,Data!$I22)))&gt;0,1,0)</f>
        <v>0</v>
      </c>
      <c r="Q22" s="15" t="n">
        <f aca="false">IF(SUMPRODUCT((Dictionary!$C$5:$C$96=Dictionary!$A$8)*(Dictionary!$D$5:$D$96&lt;&gt;"")*ISNUMBER(SEARCH(Dictionary!$D$5:$D$96,Data!$I22)))&gt;0,1,0)</f>
        <v>0</v>
      </c>
      <c r="R22" s="15" t="n">
        <f aca="false">IF(SUMPRODUCT((Dictionary!$C$5:$C$96=Dictionary!$A$9)*(Dictionary!$D$5:$D$96&lt;&gt;"")*ISNUMBER(SEARCH(Dictionary!$D$5:$D$96,Data!$I22)))&gt;0,1,0)</f>
        <v>0</v>
      </c>
      <c r="S22" s="15" t="n">
        <f aca="false">IF(SUMPRODUCT((Dictionary!$C$5:$C$96=Dictionary!$A$10)*(Dictionary!$D$5:$D$96&lt;&gt;"")*ISNUMBER(SEARCH(Dictionary!$D$5:$D$96,Data!$I22)))&gt;0,1,0)</f>
        <v>0</v>
      </c>
      <c r="T22" s="15" t="n">
        <f aca="false">IF(SUMPRODUCT((Dictionary!$C$5:$C$96=Dictionary!$A$11)*(Dictionary!$D$5:$D$96&lt;&gt;"")*ISNUMBER(SEARCH(Dictionary!$D$5:$D$96,Data!$I22)))&gt;0,1,0)</f>
        <v>0</v>
      </c>
      <c r="U22" s="15" t="n">
        <f aca="false">IF(SUMPRODUCT((Dictionary!$C$5:$C$96=Dictionary!$A$12)*(Dictionary!$D$5:$D$96&lt;&gt;"")*ISNUMBER(SEARCH(Dictionary!$D$5:$D$96,Data!$I22)))&gt;0,1,0)</f>
        <v>0</v>
      </c>
      <c r="V22" s="15" t="n">
        <f aca="false">IF(SUMPRODUCT((Dictionary!$C$5:$C$96=Dictionary!$A$13)*(Dictionary!$D$5:$D$96&lt;&gt;"")*ISNUMBER(SEARCH(Dictionary!$D$5:$D$96,Data!$I22)))&gt;0,1,0)</f>
        <v>0</v>
      </c>
      <c r="W22" s="15" t="n">
        <f aca="false">IF(SUMPRODUCT((Dictionary!$C$5:$C$96=Dictionary!$A$14)*(Dictionary!$D$5:$D$96&lt;&gt;"")*ISNUMBER(SEARCH(Dictionary!$D$5:$D$96,Data!$I22)))&gt;0,1,0)</f>
        <v>0</v>
      </c>
      <c r="X22" s="15" t="n">
        <f aca="false">IF(SUMPRODUCT((Dictionary!$C$5:$C$96=Dictionary!$A$15)*(Dictionary!$D$5:$D$96&lt;&gt;"")*ISNUMBER(SEARCH(Dictionary!$D$5:$D$96,Data!$I22)))&gt;0,1,0)</f>
        <v>0</v>
      </c>
      <c r="Y22" s="15" t="n">
        <f aca="false">IF(SUMPRODUCT((Dictionary!$C$5:$C$96=Dictionary!$A$16)*(Dictionary!$D$5:$D$96&lt;&gt;"")*ISNUMBER(SEARCH(Dictionary!$D$5:$D$96,Data!$I22)))&gt;0,1,0)</f>
        <v>0</v>
      </c>
      <c r="Z22" s="15" t="n">
        <f aca="false">IF(ISNUMBER(SEARCH("Other",Data!$H22)),1,0)</f>
        <v>0</v>
      </c>
      <c r="AA22" s="15" t="n">
        <f aca="false">IF(Data!$I22&lt;&gt;"",1,0)</f>
        <v>0</v>
      </c>
      <c r="AB22" s="15" t="n">
        <f aca="false">SUM(B22:M22)</f>
        <v>5</v>
      </c>
      <c r="AC22" s="15" t="n">
        <f aca="false">SUMPRODUCT(--((B22:M22+N22:Y22)&gt;0))</f>
        <v>5</v>
      </c>
      <c r="AD22" s="15" t="n">
        <f aca="false">AC22-AB22</f>
        <v>0</v>
      </c>
      <c r="AE22" s="15" t="n">
        <f aca="false">IF(AND(Z22=1,AA22=1),1,0)</f>
        <v>0</v>
      </c>
      <c r="AF22" s="15" t="n">
        <f aca="false">AC22+AE22</f>
        <v>5</v>
      </c>
      <c r="AG22" s="15" t="n">
        <f aca="false">AB22+AE22</f>
        <v>5</v>
      </c>
      <c r="AH22" s="15" t="n">
        <f aca="false">IF(AND(Data!$H22&lt;&gt;"",Data!$I22&lt;&gt;""),1,0)</f>
        <v>0</v>
      </c>
      <c r="AI22" s="15" t="str">
        <f aca="false">IF(AH22=1,SUMPRODUCT(N22:Y22*B22:M22),"")</f>
        <v/>
      </c>
      <c r="AJ22" s="15" t="str">
        <f aca="false">IF(AH22=1,SUMPRODUCT(--(N22:Y22&gt;B22:M22)),"")</f>
        <v/>
      </c>
      <c r="AK22" s="15" t="str">
        <f aca="false">IF(AH22=1,AB22,"")</f>
        <v/>
      </c>
    </row>
    <row r="23" customFormat="false" ht="15" hidden="false" customHeight="true" outlineLevel="0" collapsed="false">
      <c r="A23" s="15" t="str">
        <f aca="false">Data!$A23</f>
        <v>CollectiveAccess</v>
      </c>
      <c r="B23" s="15" t="n">
        <f aca="false">IF(ISNUMBER(SEARCH(Dictionary!$A$5,Data!$H23)),1,0)</f>
        <v>0</v>
      </c>
      <c r="C23" s="15" t="n">
        <f aca="false">IF(ISNUMBER(SEARCH(Dictionary!$A$6,Data!$H23)),1,0)</f>
        <v>0</v>
      </c>
      <c r="D23" s="15" t="n">
        <f aca="false">IF(ISNUMBER(SEARCH(Dictionary!$A$7,Data!$H23)),1,0)</f>
        <v>0</v>
      </c>
      <c r="E23" s="15" t="n">
        <f aca="false">IF(ISNUMBER(SEARCH(Dictionary!$A$8,Data!$H23)),1,0)</f>
        <v>0</v>
      </c>
      <c r="F23" s="15" t="n">
        <f aca="false">IF(ISNUMBER(SEARCH(Dictionary!$A$9,Data!$H23)),1,0)</f>
        <v>0</v>
      </c>
      <c r="G23" s="15" t="n">
        <f aca="false">IF(ISNUMBER(SEARCH(Dictionary!$A$10,Data!$H23)),1,0)</f>
        <v>0</v>
      </c>
      <c r="H23" s="15" t="n">
        <f aca="false">IF(ISNUMBER(SEARCH(Dictionary!$A$11,Data!$H23)),1,0)</f>
        <v>0</v>
      </c>
      <c r="I23" s="15" t="n">
        <f aca="false">IF(ISNUMBER(SEARCH(Dictionary!$A$12,Data!$H23)),1,0)</f>
        <v>0</v>
      </c>
      <c r="J23" s="15" t="n">
        <f aca="false">IF(ISNUMBER(SEARCH(Dictionary!$A$13,Data!$H23)),1,0)</f>
        <v>0</v>
      </c>
      <c r="K23" s="15" t="n">
        <f aca="false">IF(ISNUMBER(SEARCH(Dictionary!$A$14,Data!$H23)),1,0)</f>
        <v>0</v>
      </c>
      <c r="L23" s="15" t="n">
        <f aca="false">IF(ISNUMBER(SEARCH(Dictionary!$A$15,Data!$H23)),1,0)</f>
        <v>0</v>
      </c>
      <c r="M23" s="15" t="n">
        <f aca="false">IF(ISNUMBER(SEARCH(Dictionary!$A$16,Data!$H23)),1,0)</f>
        <v>0</v>
      </c>
      <c r="N23" s="15" t="n">
        <f aca="false">IF(SUMPRODUCT((Dictionary!$C$5:$C$96=Dictionary!$A$5)*(Dictionary!$D$5:$D$96&lt;&gt;"")*ISNUMBER(SEARCH(Dictionary!$D$5:$D$96,Data!$I23)))&gt;0,1,0)</f>
        <v>0</v>
      </c>
      <c r="O23" s="15" t="n">
        <f aca="false">IF(SUMPRODUCT((Dictionary!$C$5:$C$96=Dictionary!$A$6)*(Dictionary!$D$5:$D$96&lt;&gt;"")*ISNUMBER(SEARCH(Dictionary!$D$5:$D$96,Data!$I23)))&gt;0,1,0)</f>
        <v>0</v>
      </c>
      <c r="P23" s="15" t="n">
        <f aca="false">IF(SUMPRODUCT((Dictionary!$C$5:$C$96=Dictionary!$A$7)*(Dictionary!$D$5:$D$96&lt;&gt;"")*ISNUMBER(SEARCH(Dictionary!$D$5:$D$96,Data!$I23)))&gt;0,1,0)</f>
        <v>0</v>
      </c>
      <c r="Q23" s="15" t="n">
        <f aca="false">IF(SUMPRODUCT((Dictionary!$C$5:$C$96=Dictionary!$A$8)*(Dictionary!$D$5:$D$96&lt;&gt;"")*ISNUMBER(SEARCH(Dictionary!$D$5:$D$96,Data!$I23)))&gt;0,1,0)</f>
        <v>0</v>
      </c>
      <c r="R23" s="15" t="n">
        <f aca="false">IF(SUMPRODUCT((Dictionary!$C$5:$C$96=Dictionary!$A$9)*(Dictionary!$D$5:$D$96&lt;&gt;"")*ISNUMBER(SEARCH(Dictionary!$D$5:$D$96,Data!$I23)))&gt;0,1,0)</f>
        <v>0</v>
      </c>
      <c r="S23" s="15" t="n">
        <f aca="false">IF(SUMPRODUCT((Dictionary!$C$5:$C$96=Dictionary!$A$10)*(Dictionary!$D$5:$D$96&lt;&gt;"")*ISNUMBER(SEARCH(Dictionary!$D$5:$D$96,Data!$I23)))&gt;0,1,0)</f>
        <v>0</v>
      </c>
      <c r="T23" s="15" t="n">
        <f aca="false">IF(SUMPRODUCT((Dictionary!$C$5:$C$96=Dictionary!$A$11)*(Dictionary!$D$5:$D$96&lt;&gt;"")*ISNUMBER(SEARCH(Dictionary!$D$5:$D$96,Data!$I23)))&gt;0,1,0)</f>
        <v>0</v>
      </c>
      <c r="U23" s="15" t="n">
        <f aca="false">IF(SUMPRODUCT((Dictionary!$C$5:$C$96=Dictionary!$A$12)*(Dictionary!$D$5:$D$96&lt;&gt;"")*ISNUMBER(SEARCH(Dictionary!$D$5:$D$96,Data!$I23)))&gt;0,1,0)</f>
        <v>0</v>
      </c>
      <c r="V23" s="15" t="n">
        <f aca="false">IF(SUMPRODUCT((Dictionary!$C$5:$C$96=Dictionary!$A$13)*(Dictionary!$D$5:$D$96&lt;&gt;"")*ISNUMBER(SEARCH(Dictionary!$D$5:$D$96,Data!$I23)))&gt;0,1,0)</f>
        <v>0</v>
      </c>
      <c r="W23" s="15" t="n">
        <f aca="false">IF(SUMPRODUCT((Dictionary!$C$5:$C$96=Dictionary!$A$14)*(Dictionary!$D$5:$D$96&lt;&gt;"")*ISNUMBER(SEARCH(Dictionary!$D$5:$D$96,Data!$I23)))&gt;0,1,0)</f>
        <v>0</v>
      </c>
      <c r="X23" s="15" t="n">
        <f aca="false">IF(SUMPRODUCT((Dictionary!$C$5:$C$96=Dictionary!$A$15)*(Dictionary!$D$5:$D$96&lt;&gt;"")*ISNUMBER(SEARCH(Dictionary!$D$5:$D$96,Data!$I23)))&gt;0,1,0)</f>
        <v>0</v>
      </c>
      <c r="Y23" s="15" t="n">
        <f aca="false">IF(SUMPRODUCT((Dictionary!$C$5:$C$96=Dictionary!$A$16)*(Dictionary!$D$5:$D$96&lt;&gt;"")*ISNUMBER(SEARCH(Dictionary!$D$5:$D$96,Data!$I23)))&gt;0,1,0)</f>
        <v>0</v>
      </c>
      <c r="Z23" s="15" t="n">
        <f aca="false">IF(ISNUMBER(SEARCH("Other",Data!$H23)),1,0)</f>
        <v>0</v>
      </c>
      <c r="AA23" s="15" t="n">
        <f aca="false">IF(Data!$I23&lt;&gt;"",1,0)</f>
        <v>0</v>
      </c>
      <c r="AB23" s="15" t="n">
        <f aca="false">SUM(B23:M23)</f>
        <v>0</v>
      </c>
      <c r="AC23" s="15" t="n">
        <f aca="false">SUMPRODUCT(--((B23:M23+N23:Y23)&gt;0))</f>
        <v>0</v>
      </c>
      <c r="AD23" s="15" t="n">
        <f aca="false">AC23-AB23</f>
        <v>0</v>
      </c>
      <c r="AE23" s="15" t="n">
        <f aca="false">IF(AND(Z23=1,AA23=1),1,0)</f>
        <v>0</v>
      </c>
      <c r="AF23" s="15" t="n">
        <f aca="false">AC23+AE23</f>
        <v>0</v>
      </c>
      <c r="AG23" s="15" t="n">
        <f aca="false">AB23+AE23</f>
        <v>0</v>
      </c>
      <c r="AH23" s="15" t="n">
        <f aca="false">IF(AND(Data!$H23&lt;&gt;"",Data!$I23&lt;&gt;""),1,0)</f>
        <v>0</v>
      </c>
      <c r="AI23" s="15" t="str">
        <f aca="false">IF(AH23=1,SUMPRODUCT(N23:Y23*B23:M23),"")</f>
        <v/>
      </c>
      <c r="AJ23" s="15" t="str">
        <f aca="false">IF(AH23=1,SUMPRODUCT(--(N23:Y23&gt;B23:M23)),"")</f>
        <v/>
      </c>
      <c r="AK23" s="15" t="str">
        <f aca="false">IF(AH23=1,AB23,"")</f>
        <v/>
      </c>
    </row>
    <row r="24" customFormat="false" ht="15" hidden="false" customHeight="true" outlineLevel="0" collapsed="false">
      <c r="A24" s="15" t="str">
        <f aca="false">Data!$A24</f>
        <v>CORE</v>
      </c>
      <c r="B24" s="15" t="n">
        <f aca="false">IF(ISNUMBER(SEARCH(Dictionary!$A$5,Data!$H24)),1,0)</f>
        <v>0</v>
      </c>
      <c r="C24" s="15" t="n">
        <f aca="false">IF(ISNUMBER(SEARCH(Dictionary!$A$6,Data!$H24)),1,0)</f>
        <v>0</v>
      </c>
      <c r="D24" s="15" t="n">
        <f aca="false">IF(ISNUMBER(SEARCH(Dictionary!$A$7,Data!$H24)),1,0)</f>
        <v>0</v>
      </c>
      <c r="E24" s="15" t="n">
        <f aca="false">IF(ISNUMBER(SEARCH(Dictionary!$A$8,Data!$H24)),1,0)</f>
        <v>0</v>
      </c>
      <c r="F24" s="15" t="n">
        <f aca="false">IF(ISNUMBER(SEARCH(Dictionary!$A$9,Data!$H24)),1,0)</f>
        <v>0</v>
      </c>
      <c r="G24" s="15" t="n">
        <f aca="false">IF(ISNUMBER(SEARCH(Dictionary!$A$10,Data!$H24)),1,0)</f>
        <v>0</v>
      </c>
      <c r="H24" s="15" t="n">
        <f aca="false">IF(ISNUMBER(SEARCH(Dictionary!$A$11,Data!$H24)),1,0)</f>
        <v>0</v>
      </c>
      <c r="I24" s="15" t="n">
        <f aca="false">IF(ISNUMBER(SEARCH(Dictionary!$A$12,Data!$H24)),1,0)</f>
        <v>0</v>
      </c>
      <c r="J24" s="15" t="n">
        <f aca="false">IF(ISNUMBER(SEARCH(Dictionary!$A$13,Data!$H24)),1,0)</f>
        <v>0</v>
      </c>
      <c r="K24" s="15" t="n">
        <f aca="false">IF(ISNUMBER(SEARCH(Dictionary!$A$14,Data!$H24)),1,0)</f>
        <v>0</v>
      </c>
      <c r="L24" s="15" t="n">
        <f aca="false">IF(ISNUMBER(SEARCH(Dictionary!$A$15,Data!$H24)),1,0)</f>
        <v>0</v>
      </c>
      <c r="M24" s="15" t="n">
        <f aca="false">IF(ISNUMBER(SEARCH(Dictionary!$A$16,Data!$H24)),1,0)</f>
        <v>0</v>
      </c>
      <c r="N24" s="15" t="n">
        <f aca="false">IF(SUMPRODUCT((Dictionary!$C$5:$C$96=Dictionary!$A$5)*(Dictionary!$D$5:$D$96&lt;&gt;"")*ISNUMBER(SEARCH(Dictionary!$D$5:$D$96,Data!$I24)))&gt;0,1,0)</f>
        <v>0</v>
      </c>
      <c r="O24" s="15" t="n">
        <f aca="false">IF(SUMPRODUCT((Dictionary!$C$5:$C$96=Dictionary!$A$6)*(Dictionary!$D$5:$D$96&lt;&gt;"")*ISNUMBER(SEARCH(Dictionary!$D$5:$D$96,Data!$I24)))&gt;0,1,0)</f>
        <v>0</v>
      </c>
      <c r="P24" s="15" t="n">
        <f aca="false">IF(SUMPRODUCT((Dictionary!$C$5:$C$96=Dictionary!$A$7)*(Dictionary!$D$5:$D$96&lt;&gt;"")*ISNUMBER(SEARCH(Dictionary!$D$5:$D$96,Data!$I24)))&gt;0,1,0)</f>
        <v>0</v>
      </c>
      <c r="Q24" s="15" t="n">
        <f aca="false">IF(SUMPRODUCT((Dictionary!$C$5:$C$96=Dictionary!$A$8)*(Dictionary!$D$5:$D$96&lt;&gt;"")*ISNUMBER(SEARCH(Dictionary!$D$5:$D$96,Data!$I24)))&gt;0,1,0)</f>
        <v>0</v>
      </c>
      <c r="R24" s="15" t="n">
        <f aca="false">IF(SUMPRODUCT((Dictionary!$C$5:$C$96=Dictionary!$A$9)*(Dictionary!$D$5:$D$96&lt;&gt;"")*ISNUMBER(SEARCH(Dictionary!$D$5:$D$96,Data!$I24)))&gt;0,1,0)</f>
        <v>0</v>
      </c>
      <c r="S24" s="15" t="n">
        <f aca="false">IF(SUMPRODUCT((Dictionary!$C$5:$C$96=Dictionary!$A$10)*(Dictionary!$D$5:$D$96&lt;&gt;"")*ISNUMBER(SEARCH(Dictionary!$D$5:$D$96,Data!$I24)))&gt;0,1,0)</f>
        <v>0</v>
      </c>
      <c r="T24" s="15" t="n">
        <f aca="false">IF(SUMPRODUCT((Dictionary!$C$5:$C$96=Dictionary!$A$11)*(Dictionary!$D$5:$D$96&lt;&gt;"")*ISNUMBER(SEARCH(Dictionary!$D$5:$D$96,Data!$I24)))&gt;0,1,0)</f>
        <v>0</v>
      </c>
      <c r="U24" s="15" t="n">
        <f aca="false">IF(SUMPRODUCT((Dictionary!$C$5:$C$96=Dictionary!$A$12)*(Dictionary!$D$5:$D$96&lt;&gt;"")*ISNUMBER(SEARCH(Dictionary!$D$5:$D$96,Data!$I24)))&gt;0,1,0)</f>
        <v>0</v>
      </c>
      <c r="V24" s="15" t="n">
        <f aca="false">IF(SUMPRODUCT((Dictionary!$C$5:$C$96=Dictionary!$A$13)*(Dictionary!$D$5:$D$96&lt;&gt;"")*ISNUMBER(SEARCH(Dictionary!$D$5:$D$96,Data!$I24)))&gt;0,1,0)</f>
        <v>0</v>
      </c>
      <c r="W24" s="15" t="n">
        <f aca="false">IF(SUMPRODUCT((Dictionary!$C$5:$C$96=Dictionary!$A$14)*(Dictionary!$D$5:$D$96&lt;&gt;"")*ISNUMBER(SEARCH(Dictionary!$D$5:$D$96,Data!$I24)))&gt;0,1,0)</f>
        <v>0</v>
      </c>
      <c r="X24" s="15" t="n">
        <f aca="false">IF(SUMPRODUCT((Dictionary!$C$5:$C$96=Dictionary!$A$15)*(Dictionary!$D$5:$D$96&lt;&gt;"")*ISNUMBER(SEARCH(Dictionary!$D$5:$D$96,Data!$I24)))&gt;0,1,0)</f>
        <v>0</v>
      </c>
      <c r="Y24" s="15" t="n">
        <f aca="false">IF(SUMPRODUCT((Dictionary!$C$5:$C$96=Dictionary!$A$16)*(Dictionary!$D$5:$D$96&lt;&gt;"")*ISNUMBER(SEARCH(Dictionary!$D$5:$D$96,Data!$I24)))&gt;0,1,0)</f>
        <v>0</v>
      </c>
      <c r="Z24" s="15" t="n">
        <f aca="false">IF(ISNUMBER(SEARCH("Other",Data!$H24)),1,0)</f>
        <v>0</v>
      </c>
      <c r="AA24" s="15" t="n">
        <f aca="false">IF(Data!$I24&lt;&gt;"",1,0)</f>
        <v>1</v>
      </c>
      <c r="AB24" s="15" t="n">
        <f aca="false">SUM(B24:M24)</f>
        <v>0</v>
      </c>
      <c r="AC24" s="15" t="n">
        <f aca="false">SUMPRODUCT(--((B24:M24+N24:Y24)&gt;0))</f>
        <v>0</v>
      </c>
      <c r="AD24" s="15" t="n">
        <f aca="false">AC24-AB24</f>
        <v>0</v>
      </c>
      <c r="AE24" s="15" t="n">
        <f aca="false">IF(AND(Z24=1,AA24=1),1,0)</f>
        <v>0</v>
      </c>
      <c r="AF24" s="15" t="n">
        <f aca="false">AC24+AE24</f>
        <v>0</v>
      </c>
      <c r="AG24" s="15" t="n">
        <f aca="false">AB24+AE24</f>
        <v>0</v>
      </c>
      <c r="AH24" s="15" t="n">
        <f aca="false">IF(AND(Data!$H24&lt;&gt;"",Data!$I24&lt;&gt;""),1,0)</f>
        <v>0</v>
      </c>
      <c r="AI24" s="15" t="str">
        <f aca="false">IF(AH24=1,SUMPRODUCT(N24:Y24*B24:M24),"")</f>
        <v/>
      </c>
      <c r="AJ24" s="15" t="str">
        <f aca="false">IF(AH24=1,SUMPRODUCT(--(N24:Y24&gt;B24:M24)),"")</f>
        <v/>
      </c>
      <c r="AK24" s="15" t="str">
        <f aca="false">IF(AH24=1,AB24,"")</f>
        <v/>
      </c>
    </row>
    <row r="25" customFormat="false" ht="15" hidden="false" customHeight="true" outlineLevel="0" collapsed="false">
      <c r="A25" s="15" t="str">
        <f aca="false">Data!$A25</f>
        <v>COUNTER Code of Practice</v>
      </c>
      <c r="B25" s="15" t="n">
        <f aca="false">IF(ISNUMBER(SEARCH(Dictionary!$A$5,Data!$H25)),1,0)</f>
        <v>1</v>
      </c>
      <c r="C25" s="15" t="n">
        <f aca="false">IF(ISNUMBER(SEARCH(Dictionary!$A$6,Data!$H25)),1,0)</f>
        <v>1</v>
      </c>
      <c r="D25" s="15" t="n">
        <f aca="false">IF(ISNUMBER(SEARCH(Dictionary!$A$7,Data!$H25)),1,0)</f>
        <v>1</v>
      </c>
      <c r="E25" s="15" t="n">
        <f aca="false">IF(ISNUMBER(SEARCH(Dictionary!$A$8,Data!$H25)),1,0)</f>
        <v>1</v>
      </c>
      <c r="F25" s="15" t="n">
        <f aca="false">IF(ISNUMBER(SEARCH(Dictionary!$A$9,Data!$H25)),1,0)</f>
        <v>0</v>
      </c>
      <c r="G25" s="15" t="n">
        <f aca="false">IF(ISNUMBER(SEARCH(Dictionary!$A$10,Data!$H25)),1,0)</f>
        <v>1</v>
      </c>
      <c r="H25" s="15" t="n">
        <f aca="false">IF(ISNUMBER(SEARCH(Dictionary!$A$11,Data!$H25)),1,0)</f>
        <v>1</v>
      </c>
      <c r="I25" s="15" t="n">
        <f aca="false">IF(ISNUMBER(SEARCH(Dictionary!$A$12,Data!$H25)),1,0)</f>
        <v>1</v>
      </c>
      <c r="J25" s="15" t="n">
        <f aca="false">IF(ISNUMBER(SEARCH(Dictionary!$A$13,Data!$H25)),1,0)</f>
        <v>0</v>
      </c>
      <c r="K25" s="15" t="n">
        <f aca="false">IF(ISNUMBER(SEARCH(Dictionary!$A$14,Data!$H25)),1,0)</f>
        <v>0</v>
      </c>
      <c r="L25" s="15" t="n">
        <f aca="false">IF(ISNUMBER(SEARCH(Dictionary!$A$15,Data!$H25)),1,0)</f>
        <v>0</v>
      </c>
      <c r="M25" s="15" t="n">
        <f aca="false">IF(ISNUMBER(SEARCH(Dictionary!$A$16,Data!$H25)),1,0)</f>
        <v>1</v>
      </c>
      <c r="N25" s="15" t="n">
        <f aca="false">IF(SUMPRODUCT((Dictionary!$C$5:$C$96=Dictionary!$A$5)*(Dictionary!$D$5:$D$96&lt;&gt;"")*ISNUMBER(SEARCH(Dictionary!$D$5:$D$96,Data!$I25)))&gt;0,1,0)</f>
        <v>1</v>
      </c>
      <c r="O25" s="15" t="n">
        <f aca="false">IF(SUMPRODUCT((Dictionary!$C$5:$C$96=Dictionary!$A$6)*(Dictionary!$D$5:$D$96&lt;&gt;"")*ISNUMBER(SEARCH(Dictionary!$D$5:$D$96,Data!$I25)))&gt;0,1,0)</f>
        <v>0</v>
      </c>
      <c r="P25" s="15" t="n">
        <f aca="false">IF(SUMPRODUCT((Dictionary!$C$5:$C$96=Dictionary!$A$7)*(Dictionary!$D$5:$D$96&lt;&gt;"")*ISNUMBER(SEARCH(Dictionary!$D$5:$D$96,Data!$I25)))&gt;0,1,0)</f>
        <v>0</v>
      </c>
      <c r="Q25" s="15" t="n">
        <f aca="false">IF(SUMPRODUCT((Dictionary!$C$5:$C$96=Dictionary!$A$8)*(Dictionary!$D$5:$D$96&lt;&gt;"")*ISNUMBER(SEARCH(Dictionary!$D$5:$D$96,Data!$I25)))&gt;0,1,0)</f>
        <v>0</v>
      </c>
      <c r="R25" s="15" t="n">
        <f aca="false">IF(SUMPRODUCT((Dictionary!$C$5:$C$96=Dictionary!$A$9)*(Dictionary!$D$5:$D$96&lt;&gt;"")*ISNUMBER(SEARCH(Dictionary!$D$5:$D$96,Data!$I25)))&gt;0,1,0)</f>
        <v>0</v>
      </c>
      <c r="S25" s="15" t="n">
        <f aca="false">IF(SUMPRODUCT((Dictionary!$C$5:$C$96=Dictionary!$A$10)*(Dictionary!$D$5:$D$96&lt;&gt;"")*ISNUMBER(SEARCH(Dictionary!$D$5:$D$96,Data!$I25)))&gt;0,1,0)</f>
        <v>1</v>
      </c>
      <c r="T25" s="15" t="n">
        <f aca="false">IF(SUMPRODUCT((Dictionary!$C$5:$C$96=Dictionary!$A$11)*(Dictionary!$D$5:$D$96&lt;&gt;"")*ISNUMBER(SEARCH(Dictionary!$D$5:$D$96,Data!$I25)))&gt;0,1,0)</f>
        <v>0</v>
      </c>
      <c r="U25" s="15" t="n">
        <f aca="false">IF(SUMPRODUCT((Dictionary!$C$5:$C$96=Dictionary!$A$12)*(Dictionary!$D$5:$D$96&lt;&gt;"")*ISNUMBER(SEARCH(Dictionary!$D$5:$D$96,Data!$I25)))&gt;0,1,0)</f>
        <v>0</v>
      </c>
      <c r="V25" s="15" t="n">
        <f aca="false">IF(SUMPRODUCT((Dictionary!$C$5:$C$96=Dictionary!$A$13)*(Dictionary!$D$5:$D$96&lt;&gt;"")*ISNUMBER(SEARCH(Dictionary!$D$5:$D$96,Data!$I25)))&gt;0,1,0)</f>
        <v>0</v>
      </c>
      <c r="W25" s="15" t="n">
        <f aca="false">IF(SUMPRODUCT((Dictionary!$C$5:$C$96=Dictionary!$A$14)*(Dictionary!$D$5:$D$96&lt;&gt;"")*ISNUMBER(SEARCH(Dictionary!$D$5:$D$96,Data!$I25)))&gt;0,1,0)</f>
        <v>0</v>
      </c>
      <c r="X25" s="15" t="n">
        <f aca="false">IF(SUMPRODUCT((Dictionary!$C$5:$C$96=Dictionary!$A$15)*(Dictionary!$D$5:$D$96&lt;&gt;"")*ISNUMBER(SEARCH(Dictionary!$D$5:$D$96,Data!$I25)))&gt;0,1,0)</f>
        <v>0</v>
      </c>
      <c r="Y25" s="15" t="n">
        <f aca="false">IF(SUMPRODUCT((Dictionary!$C$5:$C$96=Dictionary!$A$16)*(Dictionary!$D$5:$D$96&lt;&gt;"")*ISNUMBER(SEARCH(Dictionary!$D$5:$D$96,Data!$I25)))&gt;0,1,0)</f>
        <v>1</v>
      </c>
      <c r="Z25" s="15" t="n">
        <f aca="false">IF(ISNUMBER(SEARCH("Other",Data!$H25)),1,0)</f>
        <v>0</v>
      </c>
      <c r="AA25" s="15" t="n">
        <f aca="false">IF(Data!$I25&lt;&gt;"",1,0)</f>
        <v>1</v>
      </c>
      <c r="AB25" s="15" t="n">
        <f aca="false">SUM(B25:M25)</f>
        <v>8</v>
      </c>
      <c r="AC25" s="15" t="n">
        <f aca="false">SUMPRODUCT(--((B25:M25+N25:Y25)&gt;0))</f>
        <v>8</v>
      </c>
      <c r="AD25" s="15" t="n">
        <f aca="false">AC25-AB25</f>
        <v>0</v>
      </c>
      <c r="AE25" s="15" t="n">
        <f aca="false">IF(AND(Z25=1,AA25=1),1,0)</f>
        <v>0</v>
      </c>
      <c r="AF25" s="15" t="n">
        <f aca="false">AC25+AE25</f>
        <v>8</v>
      </c>
      <c r="AG25" s="15" t="n">
        <f aca="false">AB25+AE25</f>
        <v>8</v>
      </c>
      <c r="AH25" s="15" t="n">
        <f aca="false">IF(AND(Data!$H25&lt;&gt;"",Data!$I25&lt;&gt;""),1,0)</f>
        <v>1</v>
      </c>
      <c r="AI25" s="15" t="n">
        <f aca="false">IF(AH25=1,SUMPRODUCT(N25:Y25*B25:M25),"")</f>
        <v>3</v>
      </c>
      <c r="AJ25" s="15" t="n">
        <f aca="false">IF(AH25=1,SUMPRODUCT(--(N25:Y25&gt;B25:M25)),"")</f>
        <v>0</v>
      </c>
      <c r="AK25" s="15" t="n">
        <f aca="false">IF(AH25=1,AB25,"")</f>
        <v>8</v>
      </c>
    </row>
    <row r="26" customFormat="false" ht="15" hidden="false" customHeight="true" outlineLevel="0" collapsed="false">
      <c r="A26" s="15" t="str">
        <f aca="false">Data!$A26</f>
        <v>Creative Commons Licenses</v>
      </c>
      <c r="B26" s="15" t="n">
        <f aca="false">IF(ISNUMBER(SEARCH(Dictionary!$A$5,Data!$H26)),1,0)</f>
        <v>0</v>
      </c>
      <c r="C26" s="15" t="n">
        <f aca="false">IF(ISNUMBER(SEARCH(Dictionary!$A$6,Data!$H26)),1,0)</f>
        <v>0</v>
      </c>
      <c r="D26" s="15" t="n">
        <f aca="false">IF(ISNUMBER(SEARCH(Dictionary!$A$7,Data!$H26)),1,0)</f>
        <v>0</v>
      </c>
      <c r="E26" s="15" t="n">
        <f aca="false">IF(ISNUMBER(SEARCH(Dictionary!$A$8,Data!$H26)),1,0)</f>
        <v>0</v>
      </c>
      <c r="F26" s="15" t="n">
        <f aca="false">IF(ISNUMBER(SEARCH(Dictionary!$A$9,Data!$H26)),1,0)</f>
        <v>0</v>
      </c>
      <c r="G26" s="15" t="n">
        <f aca="false">IF(ISNUMBER(SEARCH(Dictionary!$A$10,Data!$H26)),1,0)</f>
        <v>0</v>
      </c>
      <c r="H26" s="15" t="n">
        <f aca="false">IF(ISNUMBER(SEARCH(Dictionary!$A$11,Data!$H26)),1,0)</f>
        <v>0</v>
      </c>
      <c r="I26" s="15" t="n">
        <f aca="false">IF(ISNUMBER(SEARCH(Dictionary!$A$12,Data!$H26)),1,0)</f>
        <v>0</v>
      </c>
      <c r="J26" s="15" t="n">
        <f aca="false">IF(ISNUMBER(SEARCH(Dictionary!$A$13,Data!$H26)),1,0)</f>
        <v>0</v>
      </c>
      <c r="K26" s="15" t="n">
        <f aca="false">IF(ISNUMBER(SEARCH(Dictionary!$A$14,Data!$H26)),1,0)</f>
        <v>0</v>
      </c>
      <c r="L26" s="15" t="n">
        <f aca="false">IF(ISNUMBER(SEARCH(Dictionary!$A$15,Data!$H26)),1,0)</f>
        <v>0</v>
      </c>
      <c r="M26" s="15" t="n">
        <f aca="false">IF(ISNUMBER(SEARCH(Dictionary!$A$16,Data!$H26)),1,0)</f>
        <v>0</v>
      </c>
      <c r="N26" s="15" t="n">
        <f aca="false">IF(SUMPRODUCT((Dictionary!$C$5:$C$96=Dictionary!$A$5)*(Dictionary!$D$5:$D$96&lt;&gt;"")*ISNUMBER(SEARCH(Dictionary!$D$5:$D$96,Data!$I26)))&gt;0,1,0)</f>
        <v>1</v>
      </c>
      <c r="O26" s="15" t="n">
        <f aca="false">IF(SUMPRODUCT((Dictionary!$C$5:$C$96=Dictionary!$A$6)*(Dictionary!$D$5:$D$96&lt;&gt;"")*ISNUMBER(SEARCH(Dictionary!$D$5:$D$96,Data!$I26)))&gt;0,1,0)</f>
        <v>1</v>
      </c>
      <c r="P26" s="15" t="n">
        <f aca="false">IF(SUMPRODUCT((Dictionary!$C$5:$C$96=Dictionary!$A$7)*(Dictionary!$D$5:$D$96&lt;&gt;"")*ISNUMBER(SEARCH(Dictionary!$D$5:$D$96,Data!$I26)))&gt;0,1,0)</f>
        <v>1</v>
      </c>
      <c r="Q26" s="15" t="n">
        <f aca="false">IF(SUMPRODUCT((Dictionary!$C$5:$C$96=Dictionary!$A$8)*(Dictionary!$D$5:$D$96&lt;&gt;"")*ISNUMBER(SEARCH(Dictionary!$D$5:$D$96,Data!$I26)))&gt;0,1,0)</f>
        <v>0</v>
      </c>
      <c r="R26" s="15" t="n">
        <f aca="false">IF(SUMPRODUCT((Dictionary!$C$5:$C$96=Dictionary!$A$9)*(Dictionary!$D$5:$D$96&lt;&gt;"")*ISNUMBER(SEARCH(Dictionary!$D$5:$D$96,Data!$I26)))&gt;0,1,0)</f>
        <v>0</v>
      </c>
      <c r="S26" s="15" t="n">
        <f aca="false">IF(SUMPRODUCT((Dictionary!$C$5:$C$96=Dictionary!$A$10)*(Dictionary!$D$5:$D$96&lt;&gt;"")*ISNUMBER(SEARCH(Dictionary!$D$5:$D$96,Data!$I26)))&gt;0,1,0)</f>
        <v>0</v>
      </c>
      <c r="T26" s="15" t="n">
        <f aca="false">IF(SUMPRODUCT((Dictionary!$C$5:$C$96=Dictionary!$A$11)*(Dictionary!$D$5:$D$96&lt;&gt;"")*ISNUMBER(SEARCH(Dictionary!$D$5:$D$96,Data!$I26)))&gt;0,1,0)</f>
        <v>0</v>
      </c>
      <c r="U26" s="15" t="n">
        <f aca="false">IF(SUMPRODUCT((Dictionary!$C$5:$C$96=Dictionary!$A$12)*(Dictionary!$D$5:$D$96&lt;&gt;"")*ISNUMBER(SEARCH(Dictionary!$D$5:$D$96,Data!$I26)))&gt;0,1,0)</f>
        <v>0</v>
      </c>
      <c r="V26" s="15" t="n">
        <f aca="false">IF(SUMPRODUCT((Dictionary!$C$5:$C$96=Dictionary!$A$13)*(Dictionary!$D$5:$D$96&lt;&gt;"")*ISNUMBER(SEARCH(Dictionary!$D$5:$D$96,Data!$I26)))&gt;0,1,0)</f>
        <v>1</v>
      </c>
      <c r="W26" s="15" t="n">
        <f aca="false">IF(SUMPRODUCT((Dictionary!$C$5:$C$96=Dictionary!$A$14)*(Dictionary!$D$5:$D$96&lt;&gt;"")*ISNUMBER(SEARCH(Dictionary!$D$5:$D$96,Data!$I26)))&gt;0,1,0)</f>
        <v>0</v>
      </c>
      <c r="X26" s="15" t="n">
        <f aca="false">IF(SUMPRODUCT((Dictionary!$C$5:$C$96=Dictionary!$A$15)*(Dictionary!$D$5:$D$96&lt;&gt;"")*ISNUMBER(SEARCH(Dictionary!$D$5:$D$96,Data!$I26)))&gt;0,1,0)</f>
        <v>0</v>
      </c>
      <c r="Y26" s="15" t="n">
        <f aca="false">IF(SUMPRODUCT((Dictionary!$C$5:$C$96=Dictionary!$A$16)*(Dictionary!$D$5:$D$96&lt;&gt;"")*ISNUMBER(SEARCH(Dictionary!$D$5:$D$96,Data!$I26)))&gt;0,1,0)</f>
        <v>0</v>
      </c>
      <c r="Z26" s="15" t="n">
        <f aca="false">IF(ISNUMBER(SEARCH("Other",Data!$H26)),1,0)</f>
        <v>0</v>
      </c>
      <c r="AA26" s="15" t="n">
        <f aca="false">IF(Data!$I26&lt;&gt;"",1,0)</f>
        <v>1</v>
      </c>
      <c r="AB26" s="15" t="n">
        <f aca="false">SUM(B26:M26)</f>
        <v>0</v>
      </c>
      <c r="AC26" s="15" t="n">
        <f aca="false">SUMPRODUCT(--((B26:M26+N26:Y26)&gt;0))</f>
        <v>4</v>
      </c>
      <c r="AD26" s="15" t="n">
        <f aca="false">AC26-AB26</f>
        <v>4</v>
      </c>
      <c r="AE26" s="15" t="n">
        <f aca="false">IF(AND(Z26=1,AA26=1),1,0)</f>
        <v>0</v>
      </c>
      <c r="AF26" s="15" t="n">
        <f aca="false">AC26+AE26</f>
        <v>4</v>
      </c>
      <c r="AG26" s="15" t="n">
        <f aca="false">AB26+AE26</f>
        <v>0</v>
      </c>
      <c r="AH26" s="15" t="n">
        <f aca="false">IF(AND(Data!$H26&lt;&gt;"",Data!$I26&lt;&gt;""),1,0)</f>
        <v>0</v>
      </c>
      <c r="AI26" s="15" t="str">
        <f aca="false">IF(AH26=1,SUMPRODUCT(N26:Y26*B26:M26),"")</f>
        <v/>
      </c>
      <c r="AJ26" s="15" t="str">
        <f aca="false">IF(AH26=1,SUMPRODUCT(--(N26:Y26&gt;B26:M26)),"")</f>
        <v/>
      </c>
      <c r="AK26" s="15" t="str">
        <f aca="false">IF(AH26=1,AB26,"")</f>
        <v/>
      </c>
    </row>
    <row r="27" customFormat="false" ht="15" hidden="false" customHeight="true" outlineLevel="0" collapsed="false">
      <c r="A27" s="15" t="str">
        <f aca="false">Data!$A27</f>
        <v>Crossref Metadata Retrieval</v>
      </c>
      <c r="B27" s="15" t="n">
        <f aca="false">IF(ISNUMBER(SEARCH(Dictionary!$A$5,Data!$H27)),1,0)</f>
        <v>0</v>
      </c>
      <c r="C27" s="15" t="n">
        <f aca="false">IF(ISNUMBER(SEARCH(Dictionary!$A$6,Data!$H27)),1,0)</f>
        <v>0</v>
      </c>
      <c r="D27" s="15" t="n">
        <f aca="false">IF(ISNUMBER(SEARCH(Dictionary!$A$7,Data!$H27)),1,0)</f>
        <v>0</v>
      </c>
      <c r="E27" s="15" t="n">
        <f aca="false">IF(ISNUMBER(SEARCH(Dictionary!$A$8,Data!$H27)),1,0)</f>
        <v>0</v>
      </c>
      <c r="F27" s="15" t="n">
        <f aca="false">IF(ISNUMBER(SEARCH(Dictionary!$A$9,Data!$H27)),1,0)</f>
        <v>0</v>
      </c>
      <c r="G27" s="15" t="n">
        <f aca="false">IF(ISNUMBER(SEARCH(Dictionary!$A$10,Data!$H27)),1,0)</f>
        <v>0</v>
      </c>
      <c r="H27" s="15" t="n">
        <f aca="false">IF(ISNUMBER(SEARCH(Dictionary!$A$11,Data!$H27)),1,0)</f>
        <v>0</v>
      </c>
      <c r="I27" s="15" t="n">
        <f aca="false">IF(ISNUMBER(SEARCH(Dictionary!$A$12,Data!$H27)),1,0)</f>
        <v>0</v>
      </c>
      <c r="J27" s="15" t="n">
        <f aca="false">IF(ISNUMBER(SEARCH(Dictionary!$A$13,Data!$H27)),1,0)</f>
        <v>0</v>
      </c>
      <c r="K27" s="15" t="n">
        <f aca="false">IF(ISNUMBER(SEARCH(Dictionary!$A$14,Data!$H27)),1,0)</f>
        <v>0</v>
      </c>
      <c r="L27" s="15" t="n">
        <f aca="false">IF(ISNUMBER(SEARCH(Dictionary!$A$15,Data!$H27)),1,0)</f>
        <v>0</v>
      </c>
      <c r="M27" s="15" t="n">
        <f aca="false">IF(ISNUMBER(SEARCH(Dictionary!$A$16,Data!$H27)),1,0)</f>
        <v>0</v>
      </c>
      <c r="N27" s="15" t="n">
        <f aca="false">IF(SUMPRODUCT((Dictionary!$C$5:$C$96=Dictionary!$A$5)*(Dictionary!$D$5:$D$96&lt;&gt;"")*ISNUMBER(SEARCH(Dictionary!$D$5:$D$96,Data!$I27)))&gt;0,1,0)</f>
        <v>0</v>
      </c>
      <c r="O27" s="15" t="n">
        <f aca="false">IF(SUMPRODUCT((Dictionary!$C$5:$C$96=Dictionary!$A$6)*(Dictionary!$D$5:$D$96&lt;&gt;"")*ISNUMBER(SEARCH(Dictionary!$D$5:$D$96,Data!$I27)))&gt;0,1,0)</f>
        <v>0</v>
      </c>
      <c r="P27" s="15" t="n">
        <f aca="false">IF(SUMPRODUCT((Dictionary!$C$5:$C$96=Dictionary!$A$7)*(Dictionary!$D$5:$D$96&lt;&gt;"")*ISNUMBER(SEARCH(Dictionary!$D$5:$D$96,Data!$I27)))&gt;0,1,0)</f>
        <v>0</v>
      </c>
      <c r="Q27" s="15" t="n">
        <f aca="false">IF(SUMPRODUCT((Dictionary!$C$5:$C$96=Dictionary!$A$8)*(Dictionary!$D$5:$D$96&lt;&gt;"")*ISNUMBER(SEARCH(Dictionary!$D$5:$D$96,Data!$I27)))&gt;0,1,0)</f>
        <v>1</v>
      </c>
      <c r="R27" s="15" t="n">
        <f aca="false">IF(SUMPRODUCT((Dictionary!$C$5:$C$96=Dictionary!$A$9)*(Dictionary!$D$5:$D$96&lt;&gt;"")*ISNUMBER(SEARCH(Dictionary!$D$5:$D$96,Data!$I27)))&gt;0,1,0)</f>
        <v>0</v>
      </c>
      <c r="S27" s="15" t="n">
        <f aca="false">IF(SUMPRODUCT((Dictionary!$C$5:$C$96=Dictionary!$A$10)*(Dictionary!$D$5:$D$96&lt;&gt;"")*ISNUMBER(SEARCH(Dictionary!$D$5:$D$96,Data!$I27)))&gt;0,1,0)</f>
        <v>1</v>
      </c>
      <c r="T27" s="15" t="n">
        <f aca="false">IF(SUMPRODUCT((Dictionary!$C$5:$C$96=Dictionary!$A$11)*(Dictionary!$D$5:$D$96&lt;&gt;"")*ISNUMBER(SEARCH(Dictionary!$D$5:$D$96,Data!$I27)))&gt;0,1,0)</f>
        <v>1</v>
      </c>
      <c r="U27" s="15" t="n">
        <f aca="false">IF(SUMPRODUCT((Dictionary!$C$5:$C$96=Dictionary!$A$12)*(Dictionary!$D$5:$D$96&lt;&gt;"")*ISNUMBER(SEARCH(Dictionary!$D$5:$D$96,Data!$I27)))&gt;0,1,0)</f>
        <v>0</v>
      </c>
      <c r="V27" s="15" t="n">
        <f aca="false">IF(SUMPRODUCT((Dictionary!$C$5:$C$96=Dictionary!$A$13)*(Dictionary!$D$5:$D$96&lt;&gt;"")*ISNUMBER(SEARCH(Dictionary!$D$5:$D$96,Data!$I27)))&gt;0,1,0)</f>
        <v>0</v>
      </c>
      <c r="W27" s="15" t="n">
        <f aca="false">IF(SUMPRODUCT((Dictionary!$C$5:$C$96=Dictionary!$A$14)*(Dictionary!$D$5:$D$96&lt;&gt;"")*ISNUMBER(SEARCH(Dictionary!$D$5:$D$96,Data!$I27)))&gt;0,1,0)</f>
        <v>0</v>
      </c>
      <c r="X27" s="15" t="n">
        <f aca="false">IF(SUMPRODUCT((Dictionary!$C$5:$C$96=Dictionary!$A$15)*(Dictionary!$D$5:$D$96&lt;&gt;"")*ISNUMBER(SEARCH(Dictionary!$D$5:$D$96,Data!$I27)))&gt;0,1,0)</f>
        <v>1</v>
      </c>
      <c r="Y27" s="15" t="n">
        <f aca="false">IF(SUMPRODUCT((Dictionary!$C$5:$C$96=Dictionary!$A$16)*(Dictionary!$D$5:$D$96&lt;&gt;"")*ISNUMBER(SEARCH(Dictionary!$D$5:$D$96,Data!$I27)))&gt;0,1,0)</f>
        <v>1</v>
      </c>
      <c r="Z27" s="15" t="n">
        <f aca="false">IF(ISNUMBER(SEARCH("Other",Data!$H27)),1,0)</f>
        <v>0</v>
      </c>
      <c r="AA27" s="15" t="n">
        <f aca="false">IF(Data!$I27&lt;&gt;"",1,0)</f>
        <v>1</v>
      </c>
      <c r="AB27" s="15" t="n">
        <f aca="false">SUM(B27:M27)</f>
        <v>0</v>
      </c>
      <c r="AC27" s="15" t="n">
        <f aca="false">SUMPRODUCT(--((B27:M27+N27:Y27)&gt;0))</f>
        <v>5</v>
      </c>
      <c r="AD27" s="15" t="n">
        <f aca="false">AC27-AB27</f>
        <v>5</v>
      </c>
      <c r="AE27" s="15" t="n">
        <f aca="false">IF(AND(Z27=1,AA27=1),1,0)</f>
        <v>0</v>
      </c>
      <c r="AF27" s="15" t="n">
        <f aca="false">AC27+AE27</f>
        <v>5</v>
      </c>
      <c r="AG27" s="15" t="n">
        <f aca="false">AB27+AE27</f>
        <v>0</v>
      </c>
      <c r="AH27" s="15" t="n">
        <f aca="false">IF(AND(Data!$H27&lt;&gt;"",Data!$I27&lt;&gt;""),1,0)</f>
        <v>0</v>
      </c>
      <c r="AI27" s="15" t="str">
        <f aca="false">IF(AH27=1,SUMPRODUCT(N27:Y27*B27:M27),"")</f>
        <v/>
      </c>
      <c r="AJ27" s="15" t="str">
        <f aca="false">IF(AH27=1,SUMPRODUCT(--(N27:Y27&gt;B27:M27)),"")</f>
        <v/>
      </c>
      <c r="AK27" s="15" t="str">
        <f aca="false">IF(AH27=1,AB27,"")</f>
        <v/>
      </c>
    </row>
    <row r="28" customFormat="false" ht="15" hidden="false" customHeight="true" outlineLevel="0" collapsed="false">
      <c r="A28" s="15" t="str">
        <f aca="false">Data!$A28</f>
        <v>D4Science Infrastructure</v>
      </c>
      <c r="B28" s="15" t="n">
        <f aca="false">IF(ISNUMBER(SEARCH(Dictionary!$A$5,Data!$H28)),1,0)</f>
        <v>0</v>
      </c>
      <c r="C28" s="15" t="n">
        <f aca="false">IF(ISNUMBER(SEARCH(Dictionary!$A$6,Data!$H28)),1,0)</f>
        <v>0</v>
      </c>
      <c r="D28" s="15" t="n">
        <f aca="false">IF(ISNUMBER(SEARCH(Dictionary!$A$7,Data!$H28)),1,0)</f>
        <v>0</v>
      </c>
      <c r="E28" s="15" t="n">
        <f aca="false">IF(ISNUMBER(SEARCH(Dictionary!$A$8,Data!$H28)),1,0)</f>
        <v>0</v>
      </c>
      <c r="F28" s="15" t="n">
        <f aca="false">IF(ISNUMBER(SEARCH(Dictionary!$A$9,Data!$H28)),1,0)</f>
        <v>0</v>
      </c>
      <c r="G28" s="15" t="n">
        <f aca="false">IF(ISNUMBER(SEARCH(Dictionary!$A$10,Data!$H28)),1,0)</f>
        <v>0</v>
      </c>
      <c r="H28" s="15" t="n">
        <f aca="false">IF(ISNUMBER(SEARCH(Dictionary!$A$11,Data!$H28)),1,0)</f>
        <v>0</v>
      </c>
      <c r="I28" s="15" t="n">
        <f aca="false">IF(ISNUMBER(SEARCH(Dictionary!$A$12,Data!$H28)),1,0)</f>
        <v>0</v>
      </c>
      <c r="J28" s="15" t="n">
        <f aca="false">IF(ISNUMBER(SEARCH(Dictionary!$A$13,Data!$H28)),1,0)</f>
        <v>0</v>
      </c>
      <c r="K28" s="15" t="n">
        <f aca="false">IF(ISNUMBER(SEARCH(Dictionary!$A$14,Data!$H28)),1,0)</f>
        <v>0</v>
      </c>
      <c r="L28" s="15" t="n">
        <f aca="false">IF(ISNUMBER(SEARCH(Dictionary!$A$15,Data!$H28)),1,0)</f>
        <v>0</v>
      </c>
      <c r="M28" s="15" t="n">
        <f aca="false">IF(ISNUMBER(SEARCH(Dictionary!$A$16,Data!$H28)),1,0)</f>
        <v>0</v>
      </c>
      <c r="N28" s="15" t="n">
        <f aca="false">IF(SUMPRODUCT((Dictionary!$C$5:$C$96=Dictionary!$A$5)*(Dictionary!$D$5:$D$96&lt;&gt;"")*ISNUMBER(SEARCH(Dictionary!$D$5:$D$96,Data!$I28)))&gt;0,1,0)</f>
        <v>0</v>
      </c>
      <c r="O28" s="15" t="n">
        <f aca="false">IF(SUMPRODUCT((Dictionary!$C$5:$C$96=Dictionary!$A$6)*(Dictionary!$D$5:$D$96&lt;&gt;"")*ISNUMBER(SEARCH(Dictionary!$D$5:$D$96,Data!$I28)))&gt;0,1,0)</f>
        <v>0</v>
      </c>
      <c r="P28" s="15" t="n">
        <f aca="false">IF(SUMPRODUCT((Dictionary!$C$5:$C$96=Dictionary!$A$7)*(Dictionary!$D$5:$D$96&lt;&gt;"")*ISNUMBER(SEARCH(Dictionary!$D$5:$D$96,Data!$I28)))&gt;0,1,0)</f>
        <v>0</v>
      </c>
      <c r="Q28" s="15" t="n">
        <f aca="false">IF(SUMPRODUCT((Dictionary!$C$5:$C$96=Dictionary!$A$8)*(Dictionary!$D$5:$D$96&lt;&gt;"")*ISNUMBER(SEARCH(Dictionary!$D$5:$D$96,Data!$I28)))&gt;0,1,0)</f>
        <v>0</v>
      </c>
      <c r="R28" s="15" t="n">
        <f aca="false">IF(SUMPRODUCT((Dictionary!$C$5:$C$96=Dictionary!$A$9)*(Dictionary!$D$5:$D$96&lt;&gt;"")*ISNUMBER(SEARCH(Dictionary!$D$5:$D$96,Data!$I28)))&gt;0,1,0)</f>
        <v>0</v>
      </c>
      <c r="S28" s="15" t="n">
        <f aca="false">IF(SUMPRODUCT((Dictionary!$C$5:$C$96=Dictionary!$A$10)*(Dictionary!$D$5:$D$96&lt;&gt;"")*ISNUMBER(SEARCH(Dictionary!$D$5:$D$96,Data!$I28)))&gt;0,1,0)</f>
        <v>0</v>
      </c>
      <c r="T28" s="15" t="n">
        <f aca="false">IF(SUMPRODUCT((Dictionary!$C$5:$C$96=Dictionary!$A$11)*(Dictionary!$D$5:$D$96&lt;&gt;"")*ISNUMBER(SEARCH(Dictionary!$D$5:$D$96,Data!$I28)))&gt;0,1,0)</f>
        <v>0</v>
      </c>
      <c r="U28" s="15" t="n">
        <f aca="false">IF(SUMPRODUCT((Dictionary!$C$5:$C$96=Dictionary!$A$12)*(Dictionary!$D$5:$D$96&lt;&gt;"")*ISNUMBER(SEARCH(Dictionary!$D$5:$D$96,Data!$I28)))&gt;0,1,0)</f>
        <v>0</v>
      </c>
      <c r="V28" s="15" t="n">
        <f aca="false">IF(SUMPRODUCT((Dictionary!$C$5:$C$96=Dictionary!$A$13)*(Dictionary!$D$5:$D$96&lt;&gt;"")*ISNUMBER(SEARCH(Dictionary!$D$5:$D$96,Data!$I28)))&gt;0,1,0)</f>
        <v>0</v>
      </c>
      <c r="W28" s="15" t="n">
        <f aca="false">IF(SUMPRODUCT((Dictionary!$C$5:$C$96=Dictionary!$A$14)*(Dictionary!$D$5:$D$96&lt;&gt;"")*ISNUMBER(SEARCH(Dictionary!$D$5:$D$96,Data!$I28)))&gt;0,1,0)</f>
        <v>0</v>
      </c>
      <c r="X28" s="15" t="n">
        <f aca="false">IF(SUMPRODUCT((Dictionary!$C$5:$C$96=Dictionary!$A$15)*(Dictionary!$D$5:$D$96&lt;&gt;"")*ISNUMBER(SEARCH(Dictionary!$D$5:$D$96,Data!$I28)))&gt;0,1,0)</f>
        <v>0</v>
      </c>
      <c r="Y28" s="15" t="n">
        <f aca="false">IF(SUMPRODUCT((Dictionary!$C$5:$C$96=Dictionary!$A$16)*(Dictionary!$D$5:$D$96&lt;&gt;"")*ISNUMBER(SEARCH(Dictionary!$D$5:$D$96,Data!$I28)))&gt;0,1,0)</f>
        <v>0</v>
      </c>
      <c r="Z28" s="15" t="n">
        <f aca="false">IF(ISNUMBER(SEARCH("Other",Data!$H28)),1,0)</f>
        <v>0</v>
      </c>
      <c r="AA28" s="15" t="n">
        <f aca="false">IF(Data!$I28&lt;&gt;"",1,0)</f>
        <v>0</v>
      </c>
      <c r="AB28" s="15" t="n">
        <f aca="false">SUM(B28:M28)</f>
        <v>0</v>
      </c>
      <c r="AC28" s="15" t="n">
        <f aca="false">SUMPRODUCT(--((B28:M28+N28:Y28)&gt;0))</f>
        <v>0</v>
      </c>
      <c r="AD28" s="15" t="n">
        <f aca="false">AC28-AB28</f>
        <v>0</v>
      </c>
      <c r="AE28" s="15" t="n">
        <f aca="false">IF(AND(Z28=1,AA28=1),1,0)</f>
        <v>0</v>
      </c>
      <c r="AF28" s="15" t="n">
        <f aca="false">AC28+AE28</f>
        <v>0</v>
      </c>
      <c r="AG28" s="15" t="n">
        <f aca="false">AB28+AE28</f>
        <v>0</v>
      </c>
      <c r="AH28" s="15" t="n">
        <f aca="false">IF(AND(Data!$H28&lt;&gt;"",Data!$I28&lt;&gt;""),1,0)</f>
        <v>0</v>
      </c>
      <c r="AI28" s="15" t="str">
        <f aca="false">IF(AH28=1,SUMPRODUCT(N28:Y28*B28:M28),"")</f>
        <v/>
      </c>
      <c r="AJ28" s="15" t="str">
        <f aca="false">IF(AH28=1,SUMPRODUCT(--(N28:Y28&gt;B28:M28)),"")</f>
        <v/>
      </c>
      <c r="AK28" s="15" t="str">
        <f aca="false">IF(AH28=1,AB28,"")</f>
        <v/>
      </c>
    </row>
    <row r="29" customFormat="false" ht="15" hidden="false" customHeight="true" outlineLevel="0" collapsed="false">
      <c r="A29" s="15" t="str">
        <f aca="false">Data!$A29</f>
        <v>DART (Digital Archivist's Resource Tool)</v>
      </c>
      <c r="B29" s="15" t="n">
        <f aca="false">IF(ISNUMBER(SEARCH(Dictionary!$A$5,Data!$H29)),1,0)</f>
        <v>0</v>
      </c>
      <c r="C29" s="15" t="n">
        <f aca="false">IF(ISNUMBER(SEARCH(Dictionary!$A$6,Data!$H29)),1,0)</f>
        <v>0</v>
      </c>
      <c r="D29" s="15" t="n">
        <f aca="false">IF(ISNUMBER(SEARCH(Dictionary!$A$7,Data!$H29)),1,0)</f>
        <v>0</v>
      </c>
      <c r="E29" s="15" t="n">
        <f aca="false">IF(ISNUMBER(SEARCH(Dictionary!$A$8,Data!$H29)),1,0)</f>
        <v>0</v>
      </c>
      <c r="F29" s="15" t="n">
        <f aca="false">IF(ISNUMBER(SEARCH(Dictionary!$A$9,Data!$H29)),1,0)</f>
        <v>0</v>
      </c>
      <c r="G29" s="15" t="n">
        <f aca="false">IF(ISNUMBER(SEARCH(Dictionary!$A$10,Data!$H29)),1,0)</f>
        <v>0</v>
      </c>
      <c r="H29" s="15" t="n">
        <f aca="false">IF(ISNUMBER(SEARCH(Dictionary!$A$11,Data!$H29)),1,0)</f>
        <v>0</v>
      </c>
      <c r="I29" s="15" t="n">
        <f aca="false">IF(ISNUMBER(SEARCH(Dictionary!$A$12,Data!$H29)),1,0)</f>
        <v>0</v>
      </c>
      <c r="J29" s="15" t="n">
        <f aca="false">IF(ISNUMBER(SEARCH(Dictionary!$A$13,Data!$H29)),1,0)</f>
        <v>0</v>
      </c>
      <c r="K29" s="15" t="n">
        <f aca="false">IF(ISNUMBER(SEARCH(Dictionary!$A$14,Data!$H29)),1,0)</f>
        <v>0</v>
      </c>
      <c r="L29" s="15" t="n">
        <f aca="false">IF(ISNUMBER(SEARCH(Dictionary!$A$15,Data!$H29)),1,0)</f>
        <v>0</v>
      </c>
      <c r="M29" s="15" t="n">
        <f aca="false">IF(ISNUMBER(SEARCH(Dictionary!$A$16,Data!$H29)),1,0)</f>
        <v>0</v>
      </c>
      <c r="N29" s="15" t="n">
        <f aca="false">IF(SUMPRODUCT((Dictionary!$C$5:$C$96=Dictionary!$A$5)*(Dictionary!$D$5:$D$96&lt;&gt;"")*ISNUMBER(SEARCH(Dictionary!$D$5:$D$96,Data!$I29)))&gt;0,1,0)</f>
        <v>0</v>
      </c>
      <c r="O29" s="15" t="n">
        <f aca="false">IF(SUMPRODUCT((Dictionary!$C$5:$C$96=Dictionary!$A$6)*(Dictionary!$D$5:$D$96&lt;&gt;"")*ISNUMBER(SEARCH(Dictionary!$D$5:$D$96,Data!$I29)))&gt;0,1,0)</f>
        <v>0</v>
      </c>
      <c r="P29" s="15" t="n">
        <f aca="false">IF(SUMPRODUCT((Dictionary!$C$5:$C$96=Dictionary!$A$7)*(Dictionary!$D$5:$D$96&lt;&gt;"")*ISNUMBER(SEARCH(Dictionary!$D$5:$D$96,Data!$I29)))&gt;0,1,0)</f>
        <v>0</v>
      </c>
      <c r="Q29" s="15" t="n">
        <f aca="false">IF(SUMPRODUCT((Dictionary!$C$5:$C$96=Dictionary!$A$8)*(Dictionary!$D$5:$D$96&lt;&gt;"")*ISNUMBER(SEARCH(Dictionary!$D$5:$D$96,Data!$I29)))&gt;0,1,0)</f>
        <v>0</v>
      </c>
      <c r="R29" s="15" t="n">
        <f aca="false">IF(SUMPRODUCT((Dictionary!$C$5:$C$96=Dictionary!$A$9)*(Dictionary!$D$5:$D$96&lt;&gt;"")*ISNUMBER(SEARCH(Dictionary!$D$5:$D$96,Data!$I29)))&gt;0,1,0)</f>
        <v>0</v>
      </c>
      <c r="S29" s="15" t="n">
        <f aca="false">IF(SUMPRODUCT((Dictionary!$C$5:$C$96=Dictionary!$A$10)*(Dictionary!$D$5:$D$96&lt;&gt;"")*ISNUMBER(SEARCH(Dictionary!$D$5:$D$96,Data!$I29)))&gt;0,1,0)</f>
        <v>0</v>
      </c>
      <c r="T29" s="15" t="n">
        <f aca="false">IF(SUMPRODUCT((Dictionary!$C$5:$C$96=Dictionary!$A$11)*(Dictionary!$D$5:$D$96&lt;&gt;"")*ISNUMBER(SEARCH(Dictionary!$D$5:$D$96,Data!$I29)))&gt;0,1,0)</f>
        <v>0</v>
      </c>
      <c r="U29" s="15" t="n">
        <f aca="false">IF(SUMPRODUCT((Dictionary!$C$5:$C$96=Dictionary!$A$12)*(Dictionary!$D$5:$D$96&lt;&gt;"")*ISNUMBER(SEARCH(Dictionary!$D$5:$D$96,Data!$I29)))&gt;0,1,0)</f>
        <v>0</v>
      </c>
      <c r="V29" s="15" t="n">
        <f aca="false">IF(SUMPRODUCT((Dictionary!$C$5:$C$96=Dictionary!$A$13)*(Dictionary!$D$5:$D$96&lt;&gt;"")*ISNUMBER(SEARCH(Dictionary!$D$5:$D$96,Data!$I29)))&gt;0,1,0)</f>
        <v>0</v>
      </c>
      <c r="W29" s="15" t="n">
        <f aca="false">IF(SUMPRODUCT((Dictionary!$C$5:$C$96=Dictionary!$A$14)*(Dictionary!$D$5:$D$96&lt;&gt;"")*ISNUMBER(SEARCH(Dictionary!$D$5:$D$96,Data!$I29)))&gt;0,1,0)</f>
        <v>0</v>
      </c>
      <c r="X29" s="15" t="n">
        <f aca="false">IF(SUMPRODUCT((Dictionary!$C$5:$C$96=Dictionary!$A$15)*(Dictionary!$D$5:$D$96&lt;&gt;"")*ISNUMBER(SEARCH(Dictionary!$D$5:$D$96,Data!$I29)))&gt;0,1,0)</f>
        <v>0</v>
      </c>
      <c r="Y29" s="15" t="n">
        <f aca="false">IF(SUMPRODUCT((Dictionary!$C$5:$C$96=Dictionary!$A$16)*(Dictionary!$D$5:$D$96&lt;&gt;"")*ISNUMBER(SEARCH(Dictionary!$D$5:$D$96,Data!$I29)))&gt;0,1,0)</f>
        <v>0</v>
      </c>
      <c r="Z29" s="15" t="n">
        <f aca="false">IF(ISNUMBER(SEARCH("Other",Data!$H29)),1,0)</f>
        <v>0</v>
      </c>
      <c r="AA29" s="15" t="n">
        <f aca="false">IF(Data!$I29&lt;&gt;"",1,0)</f>
        <v>0</v>
      </c>
      <c r="AB29" s="15" t="n">
        <f aca="false">SUM(B29:M29)</f>
        <v>0</v>
      </c>
      <c r="AC29" s="15" t="n">
        <f aca="false">SUMPRODUCT(--((B29:M29+N29:Y29)&gt;0))</f>
        <v>0</v>
      </c>
      <c r="AD29" s="15" t="n">
        <f aca="false">AC29-AB29</f>
        <v>0</v>
      </c>
      <c r="AE29" s="15" t="n">
        <f aca="false">IF(AND(Z29=1,AA29=1),1,0)</f>
        <v>0</v>
      </c>
      <c r="AF29" s="15" t="n">
        <f aca="false">AC29+AE29</f>
        <v>0</v>
      </c>
      <c r="AG29" s="15" t="n">
        <f aca="false">AB29+AE29</f>
        <v>0</v>
      </c>
      <c r="AH29" s="15" t="n">
        <f aca="false">IF(AND(Data!$H29&lt;&gt;"",Data!$I29&lt;&gt;""),1,0)</f>
        <v>0</v>
      </c>
      <c r="AI29" s="15" t="str">
        <f aca="false">IF(AH29=1,SUMPRODUCT(N29:Y29*B29:M29),"")</f>
        <v/>
      </c>
      <c r="AJ29" s="15" t="str">
        <f aca="false">IF(AH29=1,SUMPRODUCT(--(N29:Y29&gt;B29:M29)),"")</f>
        <v/>
      </c>
      <c r="AK29" s="15" t="str">
        <f aca="false">IF(AH29=1,AB29,"")</f>
        <v/>
      </c>
    </row>
    <row r="30" customFormat="false" ht="15" hidden="false" customHeight="true" outlineLevel="0" collapsed="false">
      <c r="A30" s="15" t="str">
        <f aca="false">Data!$A30</f>
        <v>Database Information System</v>
      </c>
      <c r="B30" s="15" t="n">
        <f aca="false">IF(ISNUMBER(SEARCH(Dictionary!$A$5,Data!$H30)),1,0)</f>
        <v>1</v>
      </c>
      <c r="C30" s="15" t="n">
        <f aca="false">IF(ISNUMBER(SEARCH(Dictionary!$A$6,Data!$H30)),1,0)</f>
        <v>1</v>
      </c>
      <c r="D30" s="15" t="n">
        <f aca="false">IF(ISNUMBER(SEARCH(Dictionary!$A$7,Data!$H30)),1,0)</f>
        <v>0</v>
      </c>
      <c r="E30" s="15" t="n">
        <f aca="false">IF(ISNUMBER(SEARCH(Dictionary!$A$8,Data!$H30)),1,0)</f>
        <v>1</v>
      </c>
      <c r="F30" s="15" t="n">
        <f aca="false">IF(ISNUMBER(SEARCH(Dictionary!$A$9,Data!$H30)),1,0)</f>
        <v>0</v>
      </c>
      <c r="G30" s="15" t="n">
        <f aca="false">IF(ISNUMBER(SEARCH(Dictionary!$A$10,Data!$H30)),1,0)</f>
        <v>0</v>
      </c>
      <c r="H30" s="15" t="n">
        <f aca="false">IF(ISNUMBER(SEARCH(Dictionary!$A$11,Data!$H30)),1,0)</f>
        <v>1</v>
      </c>
      <c r="I30" s="15" t="n">
        <f aca="false">IF(ISNUMBER(SEARCH(Dictionary!$A$12,Data!$H30)),1,0)</f>
        <v>0</v>
      </c>
      <c r="J30" s="15" t="n">
        <f aca="false">IF(ISNUMBER(SEARCH(Dictionary!$A$13,Data!$H30)),1,0)</f>
        <v>1</v>
      </c>
      <c r="K30" s="15" t="n">
        <f aca="false">IF(ISNUMBER(SEARCH(Dictionary!$A$14,Data!$H30)),1,0)</f>
        <v>1</v>
      </c>
      <c r="L30" s="15" t="n">
        <f aca="false">IF(ISNUMBER(SEARCH(Dictionary!$A$15,Data!$H30)),1,0)</f>
        <v>0</v>
      </c>
      <c r="M30" s="15" t="n">
        <f aca="false">IF(ISNUMBER(SEARCH(Dictionary!$A$16,Data!$H30)),1,0)</f>
        <v>1</v>
      </c>
      <c r="N30" s="15" t="n">
        <f aca="false">IF(SUMPRODUCT((Dictionary!$C$5:$C$96=Dictionary!$A$5)*(Dictionary!$D$5:$D$96&lt;&gt;"")*ISNUMBER(SEARCH(Dictionary!$D$5:$D$96,Data!$I30)))&gt;0,1,0)</f>
        <v>0</v>
      </c>
      <c r="O30" s="15" t="n">
        <f aca="false">IF(SUMPRODUCT((Dictionary!$C$5:$C$96=Dictionary!$A$6)*(Dictionary!$D$5:$D$96&lt;&gt;"")*ISNUMBER(SEARCH(Dictionary!$D$5:$D$96,Data!$I30)))&gt;0,1,0)</f>
        <v>0</v>
      </c>
      <c r="P30" s="15" t="n">
        <f aca="false">IF(SUMPRODUCT((Dictionary!$C$5:$C$96=Dictionary!$A$7)*(Dictionary!$D$5:$D$96&lt;&gt;"")*ISNUMBER(SEARCH(Dictionary!$D$5:$D$96,Data!$I30)))&gt;0,1,0)</f>
        <v>0</v>
      </c>
      <c r="Q30" s="15" t="n">
        <f aca="false">IF(SUMPRODUCT((Dictionary!$C$5:$C$96=Dictionary!$A$8)*(Dictionary!$D$5:$D$96&lt;&gt;"")*ISNUMBER(SEARCH(Dictionary!$D$5:$D$96,Data!$I30)))&gt;0,1,0)</f>
        <v>0</v>
      </c>
      <c r="R30" s="15" t="n">
        <f aca="false">IF(SUMPRODUCT((Dictionary!$C$5:$C$96=Dictionary!$A$9)*(Dictionary!$D$5:$D$96&lt;&gt;"")*ISNUMBER(SEARCH(Dictionary!$D$5:$D$96,Data!$I30)))&gt;0,1,0)</f>
        <v>0</v>
      </c>
      <c r="S30" s="15" t="n">
        <f aca="false">IF(SUMPRODUCT((Dictionary!$C$5:$C$96=Dictionary!$A$10)*(Dictionary!$D$5:$D$96&lt;&gt;"")*ISNUMBER(SEARCH(Dictionary!$D$5:$D$96,Data!$I30)))&gt;0,1,0)</f>
        <v>0</v>
      </c>
      <c r="T30" s="15" t="n">
        <f aca="false">IF(SUMPRODUCT((Dictionary!$C$5:$C$96=Dictionary!$A$11)*(Dictionary!$D$5:$D$96&lt;&gt;"")*ISNUMBER(SEARCH(Dictionary!$D$5:$D$96,Data!$I30)))&gt;0,1,0)</f>
        <v>0</v>
      </c>
      <c r="U30" s="15" t="n">
        <f aca="false">IF(SUMPRODUCT((Dictionary!$C$5:$C$96=Dictionary!$A$12)*(Dictionary!$D$5:$D$96&lt;&gt;"")*ISNUMBER(SEARCH(Dictionary!$D$5:$D$96,Data!$I30)))&gt;0,1,0)</f>
        <v>0</v>
      </c>
      <c r="V30" s="15" t="n">
        <f aca="false">IF(SUMPRODUCT((Dictionary!$C$5:$C$96=Dictionary!$A$13)*(Dictionary!$D$5:$D$96&lt;&gt;"")*ISNUMBER(SEARCH(Dictionary!$D$5:$D$96,Data!$I30)))&gt;0,1,0)</f>
        <v>0</v>
      </c>
      <c r="W30" s="15" t="n">
        <f aca="false">IF(SUMPRODUCT((Dictionary!$C$5:$C$96=Dictionary!$A$14)*(Dictionary!$D$5:$D$96&lt;&gt;"")*ISNUMBER(SEARCH(Dictionary!$D$5:$D$96,Data!$I30)))&gt;0,1,0)</f>
        <v>0</v>
      </c>
      <c r="X30" s="15" t="n">
        <f aca="false">IF(SUMPRODUCT((Dictionary!$C$5:$C$96=Dictionary!$A$15)*(Dictionary!$D$5:$D$96&lt;&gt;"")*ISNUMBER(SEARCH(Dictionary!$D$5:$D$96,Data!$I30)))&gt;0,1,0)</f>
        <v>0</v>
      </c>
      <c r="Y30" s="15" t="n">
        <f aca="false">IF(SUMPRODUCT((Dictionary!$C$5:$C$96=Dictionary!$A$16)*(Dictionary!$D$5:$D$96&lt;&gt;"")*ISNUMBER(SEARCH(Dictionary!$D$5:$D$96,Data!$I30)))&gt;0,1,0)</f>
        <v>0</v>
      </c>
      <c r="Z30" s="15" t="n">
        <f aca="false">IF(ISNUMBER(SEARCH("Other",Data!$H30)),1,0)</f>
        <v>0</v>
      </c>
      <c r="AA30" s="15" t="n">
        <f aca="false">IF(Data!$I30&lt;&gt;"",1,0)</f>
        <v>0</v>
      </c>
      <c r="AB30" s="15" t="n">
        <f aca="false">SUM(B30:M30)</f>
        <v>7</v>
      </c>
      <c r="AC30" s="15" t="n">
        <f aca="false">SUMPRODUCT(--((B30:M30+N30:Y30)&gt;0))</f>
        <v>7</v>
      </c>
      <c r="AD30" s="15" t="n">
        <f aca="false">AC30-AB30</f>
        <v>0</v>
      </c>
      <c r="AE30" s="15" t="n">
        <f aca="false">IF(AND(Z30=1,AA30=1),1,0)</f>
        <v>0</v>
      </c>
      <c r="AF30" s="15" t="n">
        <f aca="false">AC30+AE30</f>
        <v>7</v>
      </c>
      <c r="AG30" s="15" t="n">
        <f aca="false">AB30+AE30</f>
        <v>7</v>
      </c>
      <c r="AH30" s="15" t="n">
        <f aca="false">IF(AND(Data!$H30&lt;&gt;"",Data!$I30&lt;&gt;""),1,0)</f>
        <v>0</v>
      </c>
      <c r="AI30" s="15" t="str">
        <f aca="false">IF(AH30=1,SUMPRODUCT(N30:Y30*B30:M30),"")</f>
        <v/>
      </c>
      <c r="AJ30" s="15" t="str">
        <f aca="false">IF(AH30=1,SUMPRODUCT(--(N30:Y30&gt;B30:M30)),"")</f>
        <v/>
      </c>
      <c r="AK30" s="15" t="str">
        <f aca="false">IF(AH30=1,AB30,"")</f>
        <v/>
      </c>
    </row>
    <row r="31" customFormat="false" ht="15" hidden="false" customHeight="true" outlineLevel="0" collapsed="false">
      <c r="A31" s="15" t="str">
        <f aca="false">Data!$A31</f>
        <v>Data Citation Corpus</v>
      </c>
      <c r="B31" s="15" t="n">
        <f aca="false">IF(ISNUMBER(SEARCH(Dictionary!$A$5,Data!$H31)),1,0)</f>
        <v>0</v>
      </c>
      <c r="C31" s="15" t="n">
        <f aca="false">IF(ISNUMBER(SEARCH(Dictionary!$A$6,Data!$H31)),1,0)</f>
        <v>1</v>
      </c>
      <c r="D31" s="15" t="n">
        <f aca="false">IF(ISNUMBER(SEARCH(Dictionary!$A$7,Data!$H31)),1,0)</f>
        <v>0</v>
      </c>
      <c r="E31" s="15" t="n">
        <f aca="false">IF(ISNUMBER(SEARCH(Dictionary!$A$8,Data!$H31)),1,0)</f>
        <v>1</v>
      </c>
      <c r="F31" s="15" t="n">
        <f aca="false">IF(ISNUMBER(SEARCH(Dictionary!$A$9,Data!$H31)),1,0)</f>
        <v>0</v>
      </c>
      <c r="G31" s="15" t="n">
        <f aca="false">IF(ISNUMBER(SEARCH(Dictionary!$A$10,Data!$H31)),1,0)</f>
        <v>1</v>
      </c>
      <c r="H31" s="15" t="n">
        <f aca="false">IF(ISNUMBER(SEARCH(Dictionary!$A$11,Data!$H31)),1,0)</f>
        <v>1</v>
      </c>
      <c r="I31" s="15" t="n">
        <f aca="false">IF(ISNUMBER(SEARCH(Dictionary!$A$12,Data!$H31)),1,0)</f>
        <v>1</v>
      </c>
      <c r="J31" s="15" t="n">
        <f aca="false">IF(ISNUMBER(SEARCH(Dictionary!$A$13,Data!$H31)),1,0)</f>
        <v>0</v>
      </c>
      <c r="K31" s="15" t="n">
        <f aca="false">IF(ISNUMBER(SEARCH(Dictionary!$A$14,Data!$H31)),1,0)</f>
        <v>0</v>
      </c>
      <c r="L31" s="15" t="n">
        <f aca="false">IF(ISNUMBER(SEARCH(Dictionary!$A$15,Data!$H31)),1,0)</f>
        <v>0</v>
      </c>
      <c r="M31" s="15" t="n">
        <f aca="false">IF(ISNUMBER(SEARCH(Dictionary!$A$16,Data!$H31)),1,0)</f>
        <v>1</v>
      </c>
      <c r="N31" s="15" t="n">
        <f aca="false">IF(SUMPRODUCT((Dictionary!$C$5:$C$96=Dictionary!$A$5)*(Dictionary!$D$5:$D$96&lt;&gt;"")*ISNUMBER(SEARCH(Dictionary!$D$5:$D$96,Data!$I31)))&gt;0,1,0)</f>
        <v>0</v>
      </c>
      <c r="O31" s="15" t="n">
        <f aca="false">IF(SUMPRODUCT((Dictionary!$C$5:$C$96=Dictionary!$A$6)*(Dictionary!$D$5:$D$96&lt;&gt;"")*ISNUMBER(SEARCH(Dictionary!$D$5:$D$96,Data!$I31)))&gt;0,1,0)</f>
        <v>0</v>
      </c>
      <c r="P31" s="15" t="n">
        <f aca="false">IF(SUMPRODUCT((Dictionary!$C$5:$C$96=Dictionary!$A$7)*(Dictionary!$D$5:$D$96&lt;&gt;"")*ISNUMBER(SEARCH(Dictionary!$D$5:$D$96,Data!$I31)))&gt;0,1,0)</f>
        <v>0</v>
      </c>
      <c r="Q31" s="15" t="n">
        <f aca="false">IF(SUMPRODUCT((Dictionary!$C$5:$C$96=Dictionary!$A$8)*(Dictionary!$D$5:$D$96&lt;&gt;"")*ISNUMBER(SEARCH(Dictionary!$D$5:$D$96,Data!$I31)))&gt;0,1,0)</f>
        <v>0</v>
      </c>
      <c r="R31" s="15" t="n">
        <f aca="false">IF(SUMPRODUCT((Dictionary!$C$5:$C$96=Dictionary!$A$9)*(Dictionary!$D$5:$D$96&lt;&gt;"")*ISNUMBER(SEARCH(Dictionary!$D$5:$D$96,Data!$I31)))&gt;0,1,0)</f>
        <v>0</v>
      </c>
      <c r="S31" s="15" t="n">
        <f aca="false">IF(SUMPRODUCT((Dictionary!$C$5:$C$96=Dictionary!$A$10)*(Dictionary!$D$5:$D$96&lt;&gt;"")*ISNUMBER(SEARCH(Dictionary!$D$5:$D$96,Data!$I31)))&gt;0,1,0)</f>
        <v>0</v>
      </c>
      <c r="T31" s="15" t="n">
        <f aca="false">IF(SUMPRODUCT((Dictionary!$C$5:$C$96=Dictionary!$A$11)*(Dictionary!$D$5:$D$96&lt;&gt;"")*ISNUMBER(SEARCH(Dictionary!$D$5:$D$96,Data!$I31)))&gt;0,1,0)</f>
        <v>0</v>
      </c>
      <c r="U31" s="15" t="n">
        <f aca="false">IF(SUMPRODUCT((Dictionary!$C$5:$C$96=Dictionary!$A$12)*(Dictionary!$D$5:$D$96&lt;&gt;"")*ISNUMBER(SEARCH(Dictionary!$D$5:$D$96,Data!$I31)))&gt;0,1,0)</f>
        <v>0</v>
      </c>
      <c r="V31" s="15" t="n">
        <f aca="false">IF(SUMPRODUCT((Dictionary!$C$5:$C$96=Dictionary!$A$13)*(Dictionary!$D$5:$D$96&lt;&gt;"")*ISNUMBER(SEARCH(Dictionary!$D$5:$D$96,Data!$I31)))&gt;0,1,0)</f>
        <v>0</v>
      </c>
      <c r="W31" s="15" t="n">
        <f aca="false">IF(SUMPRODUCT((Dictionary!$C$5:$C$96=Dictionary!$A$14)*(Dictionary!$D$5:$D$96&lt;&gt;"")*ISNUMBER(SEARCH(Dictionary!$D$5:$D$96,Data!$I31)))&gt;0,1,0)</f>
        <v>0</v>
      </c>
      <c r="X31" s="15" t="n">
        <f aca="false">IF(SUMPRODUCT((Dictionary!$C$5:$C$96=Dictionary!$A$15)*(Dictionary!$D$5:$D$96&lt;&gt;"")*ISNUMBER(SEARCH(Dictionary!$D$5:$D$96,Data!$I31)))&gt;0,1,0)</f>
        <v>0</v>
      </c>
      <c r="Y31" s="15" t="n">
        <f aca="false">IF(SUMPRODUCT((Dictionary!$C$5:$C$96=Dictionary!$A$16)*(Dictionary!$D$5:$D$96&lt;&gt;"")*ISNUMBER(SEARCH(Dictionary!$D$5:$D$96,Data!$I31)))&gt;0,1,0)</f>
        <v>0</v>
      </c>
      <c r="Z31" s="15" t="n">
        <f aca="false">IF(ISNUMBER(SEARCH("Other",Data!$H31)),1,0)</f>
        <v>0</v>
      </c>
      <c r="AA31" s="15" t="n">
        <f aca="false">IF(Data!$I31&lt;&gt;"",1,0)</f>
        <v>0</v>
      </c>
      <c r="AB31" s="15" t="n">
        <f aca="false">SUM(B31:M31)</f>
        <v>6</v>
      </c>
      <c r="AC31" s="15" t="n">
        <f aca="false">SUMPRODUCT(--((B31:M31+N31:Y31)&gt;0))</f>
        <v>6</v>
      </c>
      <c r="AD31" s="15" t="n">
        <f aca="false">AC31-AB31</f>
        <v>0</v>
      </c>
      <c r="AE31" s="15" t="n">
        <f aca="false">IF(AND(Z31=1,AA31=1),1,0)</f>
        <v>0</v>
      </c>
      <c r="AF31" s="15" t="n">
        <f aca="false">AC31+AE31</f>
        <v>6</v>
      </c>
      <c r="AG31" s="15" t="n">
        <f aca="false">AB31+AE31</f>
        <v>6</v>
      </c>
      <c r="AH31" s="15" t="n">
        <f aca="false">IF(AND(Data!$H31&lt;&gt;"",Data!$I31&lt;&gt;""),1,0)</f>
        <v>0</v>
      </c>
      <c r="AI31" s="15" t="str">
        <f aca="false">IF(AH31=1,SUMPRODUCT(N31:Y31*B31:M31),"")</f>
        <v/>
      </c>
      <c r="AJ31" s="15" t="str">
        <f aca="false">IF(AH31=1,SUMPRODUCT(--(N31:Y31&gt;B31:M31)),"")</f>
        <v/>
      </c>
      <c r="AK31" s="15" t="str">
        <f aca="false">IF(AH31=1,AB31,"")</f>
        <v/>
      </c>
    </row>
    <row r="32" customFormat="false" ht="15" hidden="false" customHeight="true" outlineLevel="0" collapsed="false">
      <c r="A32" s="15" t="str">
        <f aca="false">Data!$A32</f>
        <v>DataCite</v>
      </c>
      <c r="B32" s="15" t="n">
        <f aca="false">IF(ISNUMBER(SEARCH(Dictionary!$A$5,Data!$H32)),1,0)</f>
        <v>0</v>
      </c>
      <c r="C32" s="15" t="n">
        <f aca="false">IF(ISNUMBER(SEARCH(Dictionary!$A$6,Data!$H32)),1,0)</f>
        <v>0</v>
      </c>
      <c r="D32" s="15" t="n">
        <f aca="false">IF(ISNUMBER(SEARCH(Dictionary!$A$7,Data!$H32)),1,0)</f>
        <v>0</v>
      </c>
      <c r="E32" s="15" t="n">
        <f aca="false">IF(ISNUMBER(SEARCH(Dictionary!$A$8,Data!$H32)),1,0)</f>
        <v>0</v>
      </c>
      <c r="F32" s="15" t="n">
        <f aca="false">IF(ISNUMBER(SEARCH(Dictionary!$A$9,Data!$H32)),1,0)</f>
        <v>0</v>
      </c>
      <c r="G32" s="15" t="n">
        <f aca="false">IF(ISNUMBER(SEARCH(Dictionary!$A$10,Data!$H32)),1,0)</f>
        <v>0</v>
      </c>
      <c r="H32" s="15" t="n">
        <f aca="false">IF(ISNUMBER(SEARCH(Dictionary!$A$11,Data!$H32)),1,0)</f>
        <v>0</v>
      </c>
      <c r="I32" s="15" t="n">
        <f aca="false">IF(ISNUMBER(SEARCH(Dictionary!$A$12,Data!$H32)),1,0)</f>
        <v>0</v>
      </c>
      <c r="J32" s="15" t="n">
        <f aca="false">IF(ISNUMBER(SEARCH(Dictionary!$A$13,Data!$H32)),1,0)</f>
        <v>0</v>
      </c>
      <c r="K32" s="15" t="n">
        <f aca="false">IF(ISNUMBER(SEARCH(Dictionary!$A$14,Data!$H32)),1,0)</f>
        <v>0</v>
      </c>
      <c r="L32" s="15" t="n">
        <f aca="false">IF(ISNUMBER(SEARCH(Dictionary!$A$15,Data!$H32)),1,0)</f>
        <v>0</v>
      </c>
      <c r="M32" s="15" t="n">
        <f aca="false">IF(ISNUMBER(SEARCH(Dictionary!$A$16,Data!$H32)),1,0)</f>
        <v>0</v>
      </c>
      <c r="N32" s="15" t="n">
        <f aca="false">IF(SUMPRODUCT((Dictionary!$C$5:$C$96=Dictionary!$A$5)*(Dictionary!$D$5:$D$96&lt;&gt;"")*ISNUMBER(SEARCH(Dictionary!$D$5:$D$96,Data!$I32)))&gt;0,1,0)</f>
        <v>0</v>
      </c>
      <c r="O32" s="15" t="n">
        <f aca="false">IF(SUMPRODUCT((Dictionary!$C$5:$C$96=Dictionary!$A$6)*(Dictionary!$D$5:$D$96&lt;&gt;"")*ISNUMBER(SEARCH(Dictionary!$D$5:$D$96,Data!$I32)))&gt;0,1,0)</f>
        <v>0</v>
      </c>
      <c r="P32" s="15" t="n">
        <f aca="false">IF(SUMPRODUCT((Dictionary!$C$5:$C$96=Dictionary!$A$7)*(Dictionary!$D$5:$D$96&lt;&gt;"")*ISNUMBER(SEARCH(Dictionary!$D$5:$D$96,Data!$I32)))&gt;0,1,0)</f>
        <v>0</v>
      </c>
      <c r="Q32" s="15" t="n">
        <f aca="false">IF(SUMPRODUCT((Dictionary!$C$5:$C$96=Dictionary!$A$8)*(Dictionary!$D$5:$D$96&lt;&gt;"")*ISNUMBER(SEARCH(Dictionary!$D$5:$D$96,Data!$I32)))&gt;0,1,0)</f>
        <v>0</v>
      </c>
      <c r="R32" s="15" t="n">
        <f aca="false">IF(SUMPRODUCT((Dictionary!$C$5:$C$96=Dictionary!$A$9)*(Dictionary!$D$5:$D$96&lt;&gt;"")*ISNUMBER(SEARCH(Dictionary!$D$5:$D$96,Data!$I32)))&gt;0,1,0)</f>
        <v>0</v>
      </c>
      <c r="S32" s="15" t="n">
        <f aca="false">IF(SUMPRODUCT((Dictionary!$C$5:$C$96=Dictionary!$A$10)*(Dictionary!$D$5:$D$96&lt;&gt;"")*ISNUMBER(SEARCH(Dictionary!$D$5:$D$96,Data!$I32)))&gt;0,1,0)</f>
        <v>1</v>
      </c>
      <c r="T32" s="15" t="n">
        <f aca="false">IF(SUMPRODUCT((Dictionary!$C$5:$C$96=Dictionary!$A$11)*(Dictionary!$D$5:$D$96&lt;&gt;"")*ISNUMBER(SEARCH(Dictionary!$D$5:$D$96,Data!$I32)))&gt;0,1,0)</f>
        <v>0</v>
      </c>
      <c r="U32" s="15" t="n">
        <f aca="false">IF(SUMPRODUCT((Dictionary!$C$5:$C$96=Dictionary!$A$12)*(Dictionary!$D$5:$D$96&lt;&gt;"")*ISNUMBER(SEARCH(Dictionary!$D$5:$D$96,Data!$I32)))&gt;0,1,0)</f>
        <v>0</v>
      </c>
      <c r="V32" s="15" t="n">
        <f aca="false">IF(SUMPRODUCT((Dictionary!$C$5:$C$96=Dictionary!$A$13)*(Dictionary!$D$5:$D$96&lt;&gt;"")*ISNUMBER(SEARCH(Dictionary!$D$5:$D$96,Data!$I32)))&gt;0,1,0)</f>
        <v>1</v>
      </c>
      <c r="W32" s="15" t="n">
        <f aca="false">IF(SUMPRODUCT((Dictionary!$C$5:$C$96=Dictionary!$A$14)*(Dictionary!$D$5:$D$96&lt;&gt;"")*ISNUMBER(SEARCH(Dictionary!$D$5:$D$96,Data!$I32)))&gt;0,1,0)</f>
        <v>0</v>
      </c>
      <c r="X32" s="15" t="n">
        <f aca="false">IF(SUMPRODUCT((Dictionary!$C$5:$C$96=Dictionary!$A$15)*(Dictionary!$D$5:$D$96&lt;&gt;"")*ISNUMBER(SEARCH(Dictionary!$D$5:$D$96,Data!$I32)))&gt;0,1,0)</f>
        <v>0</v>
      </c>
      <c r="Y32" s="15" t="n">
        <f aca="false">IF(SUMPRODUCT((Dictionary!$C$5:$C$96=Dictionary!$A$16)*(Dictionary!$D$5:$D$96&lt;&gt;"")*ISNUMBER(SEARCH(Dictionary!$D$5:$D$96,Data!$I32)))&gt;0,1,0)</f>
        <v>0</v>
      </c>
      <c r="Z32" s="15" t="n">
        <f aca="false">IF(ISNUMBER(SEARCH("Other",Data!$H32)),1,0)</f>
        <v>0</v>
      </c>
      <c r="AA32" s="15" t="n">
        <f aca="false">IF(Data!$I32&lt;&gt;"",1,0)</f>
        <v>1</v>
      </c>
      <c r="AB32" s="15" t="n">
        <f aca="false">SUM(B32:M32)</f>
        <v>0</v>
      </c>
      <c r="AC32" s="15" t="n">
        <f aca="false">SUMPRODUCT(--((B32:M32+N32:Y32)&gt;0))</f>
        <v>2</v>
      </c>
      <c r="AD32" s="15" t="n">
        <f aca="false">AC32-AB32</f>
        <v>2</v>
      </c>
      <c r="AE32" s="15" t="n">
        <f aca="false">IF(AND(Z32=1,AA32=1),1,0)</f>
        <v>0</v>
      </c>
      <c r="AF32" s="15" t="n">
        <f aca="false">AC32+AE32</f>
        <v>2</v>
      </c>
      <c r="AG32" s="15" t="n">
        <f aca="false">AB32+AE32</f>
        <v>0</v>
      </c>
      <c r="AH32" s="15" t="n">
        <f aca="false">IF(AND(Data!$H32&lt;&gt;"",Data!$I32&lt;&gt;""),1,0)</f>
        <v>0</v>
      </c>
      <c r="AI32" s="15" t="str">
        <f aca="false">IF(AH32=1,SUMPRODUCT(N32:Y32*B32:M32),"")</f>
        <v/>
      </c>
      <c r="AJ32" s="15" t="str">
        <f aca="false">IF(AH32=1,SUMPRODUCT(--(N32:Y32&gt;B32:M32)),"")</f>
        <v/>
      </c>
      <c r="AK32" s="15" t="str">
        <f aca="false">IF(AH32=1,AB32,"")</f>
        <v/>
      </c>
    </row>
    <row r="33" customFormat="false" ht="15" hidden="false" customHeight="true" outlineLevel="0" collapsed="false">
      <c r="A33" s="15" t="str">
        <f aca="false">Data!$A33</f>
        <v>Data Stewardship Wizard</v>
      </c>
      <c r="B33" s="15" t="n">
        <f aca="false">IF(ISNUMBER(SEARCH(Dictionary!$A$5,Data!$H33)),1,0)</f>
        <v>1</v>
      </c>
      <c r="C33" s="15" t="n">
        <f aca="false">IF(ISNUMBER(SEARCH(Dictionary!$A$6,Data!$H33)),1,0)</f>
        <v>1</v>
      </c>
      <c r="D33" s="15" t="n">
        <f aca="false">IF(ISNUMBER(SEARCH(Dictionary!$A$7,Data!$H33)),1,0)</f>
        <v>1</v>
      </c>
      <c r="E33" s="15" t="n">
        <f aca="false">IF(ISNUMBER(SEARCH(Dictionary!$A$8,Data!$H33)),1,0)</f>
        <v>1</v>
      </c>
      <c r="F33" s="15" t="n">
        <f aca="false">IF(ISNUMBER(SEARCH(Dictionary!$A$9,Data!$H33)),1,0)</f>
        <v>0</v>
      </c>
      <c r="G33" s="15" t="n">
        <f aca="false">IF(ISNUMBER(SEARCH(Dictionary!$A$10,Data!$H33)),1,0)</f>
        <v>1</v>
      </c>
      <c r="H33" s="15" t="n">
        <f aca="false">IF(ISNUMBER(SEARCH(Dictionary!$A$11,Data!$H33)),1,0)</f>
        <v>1</v>
      </c>
      <c r="I33" s="15" t="n">
        <f aca="false">IF(ISNUMBER(SEARCH(Dictionary!$A$12,Data!$H33)),1,0)</f>
        <v>1</v>
      </c>
      <c r="J33" s="15" t="n">
        <f aca="false">IF(ISNUMBER(SEARCH(Dictionary!$A$13,Data!$H33)),1,0)</f>
        <v>0</v>
      </c>
      <c r="K33" s="15" t="n">
        <f aca="false">IF(ISNUMBER(SEARCH(Dictionary!$A$14,Data!$H33)),1,0)</f>
        <v>1</v>
      </c>
      <c r="L33" s="15" t="n">
        <f aca="false">IF(ISNUMBER(SEARCH(Dictionary!$A$15,Data!$H33)),1,0)</f>
        <v>1</v>
      </c>
      <c r="M33" s="15" t="n">
        <f aca="false">IF(ISNUMBER(SEARCH(Dictionary!$A$16,Data!$H33)),1,0)</f>
        <v>1</v>
      </c>
      <c r="N33" s="15" t="n">
        <f aca="false">IF(SUMPRODUCT((Dictionary!$C$5:$C$96=Dictionary!$A$5)*(Dictionary!$D$5:$D$96&lt;&gt;"")*ISNUMBER(SEARCH(Dictionary!$D$5:$D$96,Data!$I33)))&gt;0,1,0)</f>
        <v>0</v>
      </c>
      <c r="O33" s="15" t="n">
        <f aca="false">IF(SUMPRODUCT((Dictionary!$C$5:$C$96=Dictionary!$A$6)*(Dictionary!$D$5:$D$96&lt;&gt;"")*ISNUMBER(SEARCH(Dictionary!$D$5:$D$96,Data!$I33)))&gt;0,1,0)</f>
        <v>0</v>
      </c>
      <c r="P33" s="15" t="n">
        <f aca="false">IF(SUMPRODUCT((Dictionary!$C$5:$C$96=Dictionary!$A$7)*(Dictionary!$D$5:$D$96&lt;&gt;"")*ISNUMBER(SEARCH(Dictionary!$D$5:$D$96,Data!$I33)))&gt;0,1,0)</f>
        <v>0</v>
      </c>
      <c r="Q33" s="15" t="n">
        <f aca="false">IF(SUMPRODUCT((Dictionary!$C$5:$C$96=Dictionary!$A$8)*(Dictionary!$D$5:$D$96&lt;&gt;"")*ISNUMBER(SEARCH(Dictionary!$D$5:$D$96,Data!$I33)))&gt;0,1,0)</f>
        <v>0</v>
      </c>
      <c r="R33" s="15" t="n">
        <f aca="false">IF(SUMPRODUCT((Dictionary!$C$5:$C$96=Dictionary!$A$9)*(Dictionary!$D$5:$D$96&lt;&gt;"")*ISNUMBER(SEARCH(Dictionary!$D$5:$D$96,Data!$I33)))&gt;0,1,0)</f>
        <v>0</v>
      </c>
      <c r="S33" s="15" t="n">
        <f aca="false">IF(SUMPRODUCT((Dictionary!$C$5:$C$96=Dictionary!$A$10)*(Dictionary!$D$5:$D$96&lt;&gt;"")*ISNUMBER(SEARCH(Dictionary!$D$5:$D$96,Data!$I33)))&gt;0,1,0)</f>
        <v>0</v>
      </c>
      <c r="T33" s="15" t="n">
        <f aca="false">IF(SUMPRODUCT((Dictionary!$C$5:$C$96=Dictionary!$A$11)*(Dictionary!$D$5:$D$96&lt;&gt;"")*ISNUMBER(SEARCH(Dictionary!$D$5:$D$96,Data!$I33)))&gt;0,1,0)</f>
        <v>0</v>
      </c>
      <c r="U33" s="15" t="n">
        <f aca="false">IF(SUMPRODUCT((Dictionary!$C$5:$C$96=Dictionary!$A$12)*(Dictionary!$D$5:$D$96&lt;&gt;"")*ISNUMBER(SEARCH(Dictionary!$D$5:$D$96,Data!$I33)))&gt;0,1,0)</f>
        <v>0</v>
      </c>
      <c r="V33" s="15" t="n">
        <f aca="false">IF(SUMPRODUCT((Dictionary!$C$5:$C$96=Dictionary!$A$13)*(Dictionary!$D$5:$D$96&lt;&gt;"")*ISNUMBER(SEARCH(Dictionary!$D$5:$D$96,Data!$I33)))&gt;0,1,0)</f>
        <v>0</v>
      </c>
      <c r="W33" s="15" t="n">
        <f aca="false">IF(SUMPRODUCT((Dictionary!$C$5:$C$96=Dictionary!$A$14)*(Dictionary!$D$5:$D$96&lt;&gt;"")*ISNUMBER(SEARCH(Dictionary!$D$5:$D$96,Data!$I33)))&gt;0,1,0)</f>
        <v>0</v>
      </c>
      <c r="X33" s="15" t="n">
        <f aca="false">IF(SUMPRODUCT((Dictionary!$C$5:$C$96=Dictionary!$A$15)*(Dictionary!$D$5:$D$96&lt;&gt;"")*ISNUMBER(SEARCH(Dictionary!$D$5:$D$96,Data!$I33)))&gt;0,1,0)</f>
        <v>0</v>
      </c>
      <c r="Y33" s="15" t="n">
        <f aca="false">IF(SUMPRODUCT((Dictionary!$C$5:$C$96=Dictionary!$A$16)*(Dictionary!$D$5:$D$96&lt;&gt;"")*ISNUMBER(SEARCH(Dictionary!$D$5:$D$96,Data!$I33)))&gt;0,1,0)</f>
        <v>0</v>
      </c>
      <c r="Z33" s="15" t="n">
        <f aca="false">IF(ISNUMBER(SEARCH("Other",Data!$H33)),1,0)</f>
        <v>0</v>
      </c>
      <c r="AA33" s="15" t="n">
        <f aca="false">IF(Data!$I33&lt;&gt;"",1,0)</f>
        <v>0</v>
      </c>
      <c r="AB33" s="15" t="n">
        <f aca="false">SUM(B33:M33)</f>
        <v>10</v>
      </c>
      <c r="AC33" s="15" t="n">
        <f aca="false">SUMPRODUCT(--((B33:M33+N33:Y33)&gt;0))</f>
        <v>10</v>
      </c>
      <c r="AD33" s="15" t="n">
        <f aca="false">AC33-AB33</f>
        <v>0</v>
      </c>
      <c r="AE33" s="15" t="n">
        <f aca="false">IF(AND(Z33=1,AA33=1),1,0)</f>
        <v>0</v>
      </c>
      <c r="AF33" s="15" t="n">
        <f aca="false">AC33+AE33</f>
        <v>10</v>
      </c>
      <c r="AG33" s="15" t="n">
        <f aca="false">AB33+AE33</f>
        <v>10</v>
      </c>
      <c r="AH33" s="15" t="n">
        <f aca="false">IF(AND(Data!$H33&lt;&gt;"",Data!$I33&lt;&gt;""),1,0)</f>
        <v>0</v>
      </c>
      <c r="AI33" s="15" t="str">
        <f aca="false">IF(AH33=1,SUMPRODUCT(N33:Y33*B33:M33),"")</f>
        <v/>
      </c>
      <c r="AJ33" s="15" t="str">
        <f aca="false">IF(AH33=1,SUMPRODUCT(--(N33:Y33&gt;B33:M33)),"")</f>
        <v/>
      </c>
      <c r="AK33" s="15" t="str">
        <f aca="false">IF(AH33=1,AB33,"")</f>
        <v/>
      </c>
    </row>
    <row r="34" customFormat="false" ht="15" hidden="false" customHeight="true" outlineLevel="0" collapsed="false">
      <c r="A34" s="15" t="str">
        <f aca="false">Data!$A34</f>
        <v>Dataverse</v>
      </c>
      <c r="B34" s="15" t="n">
        <f aca="false">IF(ISNUMBER(SEARCH(Dictionary!$A$5,Data!$H34)),1,0)</f>
        <v>0</v>
      </c>
      <c r="C34" s="15" t="n">
        <f aca="false">IF(ISNUMBER(SEARCH(Dictionary!$A$6,Data!$H34)),1,0)</f>
        <v>0</v>
      </c>
      <c r="D34" s="15" t="n">
        <f aca="false">IF(ISNUMBER(SEARCH(Dictionary!$A$7,Data!$H34)),1,0)</f>
        <v>0</v>
      </c>
      <c r="E34" s="15" t="n">
        <f aca="false">IF(ISNUMBER(SEARCH(Dictionary!$A$8,Data!$H34)),1,0)</f>
        <v>0</v>
      </c>
      <c r="F34" s="15" t="n">
        <f aca="false">IF(ISNUMBER(SEARCH(Dictionary!$A$9,Data!$H34)),1,0)</f>
        <v>0</v>
      </c>
      <c r="G34" s="15" t="n">
        <f aca="false">IF(ISNUMBER(SEARCH(Dictionary!$A$10,Data!$H34)),1,0)</f>
        <v>0</v>
      </c>
      <c r="H34" s="15" t="n">
        <f aca="false">IF(ISNUMBER(SEARCH(Dictionary!$A$11,Data!$H34)),1,0)</f>
        <v>0</v>
      </c>
      <c r="I34" s="15" t="n">
        <f aca="false">IF(ISNUMBER(SEARCH(Dictionary!$A$12,Data!$H34)),1,0)</f>
        <v>0</v>
      </c>
      <c r="J34" s="15" t="n">
        <f aca="false">IF(ISNUMBER(SEARCH(Dictionary!$A$13,Data!$H34)),1,0)</f>
        <v>0</v>
      </c>
      <c r="K34" s="15" t="n">
        <f aca="false">IF(ISNUMBER(SEARCH(Dictionary!$A$14,Data!$H34)),1,0)</f>
        <v>0</v>
      </c>
      <c r="L34" s="15" t="n">
        <f aca="false">IF(ISNUMBER(SEARCH(Dictionary!$A$15,Data!$H34)),1,0)</f>
        <v>0</v>
      </c>
      <c r="M34" s="15" t="n">
        <f aca="false">IF(ISNUMBER(SEARCH(Dictionary!$A$16,Data!$H34)),1,0)</f>
        <v>0</v>
      </c>
      <c r="N34" s="15" t="n">
        <f aca="false">IF(SUMPRODUCT((Dictionary!$C$5:$C$96=Dictionary!$A$5)*(Dictionary!$D$5:$D$96&lt;&gt;"")*ISNUMBER(SEARCH(Dictionary!$D$5:$D$96,Data!$I34)))&gt;0,1,0)</f>
        <v>1</v>
      </c>
      <c r="O34" s="15" t="n">
        <f aca="false">IF(SUMPRODUCT((Dictionary!$C$5:$C$96=Dictionary!$A$6)*(Dictionary!$D$5:$D$96&lt;&gt;"")*ISNUMBER(SEARCH(Dictionary!$D$5:$D$96,Data!$I34)))&gt;0,1,0)</f>
        <v>0</v>
      </c>
      <c r="P34" s="15" t="n">
        <f aca="false">IF(SUMPRODUCT((Dictionary!$C$5:$C$96=Dictionary!$A$7)*(Dictionary!$D$5:$D$96&lt;&gt;"")*ISNUMBER(SEARCH(Dictionary!$D$5:$D$96,Data!$I34)))&gt;0,1,0)</f>
        <v>1</v>
      </c>
      <c r="Q34" s="15" t="n">
        <f aca="false">IF(SUMPRODUCT((Dictionary!$C$5:$C$96=Dictionary!$A$8)*(Dictionary!$D$5:$D$96&lt;&gt;"")*ISNUMBER(SEARCH(Dictionary!$D$5:$D$96,Data!$I34)))&gt;0,1,0)</f>
        <v>0</v>
      </c>
      <c r="R34" s="15" t="n">
        <f aca="false">IF(SUMPRODUCT((Dictionary!$C$5:$C$96=Dictionary!$A$9)*(Dictionary!$D$5:$D$96&lt;&gt;"")*ISNUMBER(SEARCH(Dictionary!$D$5:$D$96,Data!$I34)))&gt;0,1,0)</f>
        <v>0</v>
      </c>
      <c r="S34" s="15" t="n">
        <f aca="false">IF(SUMPRODUCT((Dictionary!$C$5:$C$96=Dictionary!$A$10)*(Dictionary!$D$5:$D$96&lt;&gt;"")*ISNUMBER(SEARCH(Dictionary!$D$5:$D$96,Data!$I34)))&gt;0,1,0)</f>
        <v>0</v>
      </c>
      <c r="T34" s="15" t="n">
        <f aca="false">IF(SUMPRODUCT((Dictionary!$C$5:$C$96=Dictionary!$A$11)*(Dictionary!$D$5:$D$96&lt;&gt;"")*ISNUMBER(SEARCH(Dictionary!$D$5:$D$96,Data!$I34)))&gt;0,1,0)</f>
        <v>1</v>
      </c>
      <c r="U34" s="15" t="n">
        <f aca="false">IF(SUMPRODUCT((Dictionary!$C$5:$C$96=Dictionary!$A$12)*(Dictionary!$D$5:$D$96&lt;&gt;"")*ISNUMBER(SEARCH(Dictionary!$D$5:$D$96,Data!$I34)))&gt;0,1,0)</f>
        <v>0</v>
      </c>
      <c r="V34" s="15" t="n">
        <f aca="false">IF(SUMPRODUCT((Dictionary!$C$5:$C$96=Dictionary!$A$13)*(Dictionary!$D$5:$D$96&lt;&gt;"")*ISNUMBER(SEARCH(Dictionary!$D$5:$D$96,Data!$I34)))&gt;0,1,0)</f>
        <v>0</v>
      </c>
      <c r="W34" s="15" t="n">
        <f aca="false">IF(SUMPRODUCT((Dictionary!$C$5:$C$96=Dictionary!$A$14)*(Dictionary!$D$5:$D$96&lt;&gt;"")*ISNUMBER(SEARCH(Dictionary!$D$5:$D$96,Data!$I34)))&gt;0,1,0)</f>
        <v>0</v>
      </c>
      <c r="X34" s="15" t="n">
        <f aca="false">IF(SUMPRODUCT((Dictionary!$C$5:$C$96=Dictionary!$A$15)*(Dictionary!$D$5:$D$96&lt;&gt;"")*ISNUMBER(SEARCH(Dictionary!$D$5:$D$96,Data!$I34)))&gt;0,1,0)</f>
        <v>0</v>
      </c>
      <c r="Y34" s="15" t="n">
        <f aca="false">IF(SUMPRODUCT((Dictionary!$C$5:$C$96=Dictionary!$A$16)*(Dictionary!$D$5:$D$96&lt;&gt;"")*ISNUMBER(SEARCH(Dictionary!$D$5:$D$96,Data!$I34)))&gt;0,1,0)</f>
        <v>0</v>
      </c>
      <c r="Z34" s="15" t="n">
        <f aca="false">IF(ISNUMBER(SEARCH("Other",Data!$H34)),1,0)</f>
        <v>0</v>
      </c>
      <c r="AA34" s="15" t="n">
        <f aca="false">IF(Data!$I34&lt;&gt;"",1,0)</f>
        <v>1</v>
      </c>
      <c r="AB34" s="15" t="n">
        <f aca="false">SUM(B34:M34)</f>
        <v>0</v>
      </c>
      <c r="AC34" s="15" t="n">
        <f aca="false">SUMPRODUCT(--((B34:M34+N34:Y34)&gt;0))</f>
        <v>3</v>
      </c>
      <c r="AD34" s="15" t="n">
        <f aca="false">AC34-AB34</f>
        <v>3</v>
      </c>
      <c r="AE34" s="15" t="n">
        <f aca="false">IF(AND(Z34=1,AA34=1),1,0)</f>
        <v>0</v>
      </c>
      <c r="AF34" s="15" t="n">
        <f aca="false">AC34+AE34</f>
        <v>3</v>
      </c>
      <c r="AG34" s="15" t="n">
        <f aca="false">AB34+AE34</f>
        <v>0</v>
      </c>
      <c r="AH34" s="15" t="n">
        <f aca="false">IF(AND(Data!$H34&lt;&gt;"",Data!$I34&lt;&gt;""),1,0)</f>
        <v>0</v>
      </c>
      <c r="AI34" s="15" t="str">
        <f aca="false">IF(AH34=1,SUMPRODUCT(N34:Y34*B34:M34),"")</f>
        <v/>
      </c>
      <c r="AJ34" s="15" t="str">
        <f aca="false">IF(AH34=1,SUMPRODUCT(--(N34:Y34&gt;B34:M34)),"")</f>
        <v/>
      </c>
      <c r="AK34" s="15" t="str">
        <f aca="false">IF(AH34=1,AB34,"")</f>
        <v/>
      </c>
    </row>
    <row r="35" customFormat="false" ht="15" hidden="false" customHeight="true" outlineLevel="0" collapsed="false">
      <c r="A35" s="15" t="str">
        <f aca="false">Data!$A35</f>
        <v>DLCM Backend</v>
      </c>
      <c r="B35" s="15" t="n">
        <f aca="false">IF(ISNUMBER(SEARCH(Dictionary!$A$5,Data!$H35)),1,0)</f>
        <v>0</v>
      </c>
      <c r="C35" s="15" t="n">
        <f aca="false">IF(ISNUMBER(SEARCH(Dictionary!$A$6,Data!$H35)),1,0)</f>
        <v>0</v>
      </c>
      <c r="D35" s="15" t="n">
        <f aca="false">IF(ISNUMBER(SEARCH(Dictionary!$A$7,Data!$H35)),1,0)</f>
        <v>1</v>
      </c>
      <c r="E35" s="15" t="n">
        <f aca="false">IF(ISNUMBER(SEARCH(Dictionary!$A$8,Data!$H35)),1,0)</f>
        <v>1</v>
      </c>
      <c r="F35" s="15" t="n">
        <f aca="false">IF(ISNUMBER(SEARCH(Dictionary!$A$9,Data!$H35)),1,0)</f>
        <v>0</v>
      </c>
      <c r="G35" s="15" t="n">
        <f aca="false">IF(ISNUMBER(SEARCH(Dictionary!$A$10,Data!$H35)),1,0)</f>
        <v>1</v>
      </c>
      <c r="H35" s="15" t="n">
        <f aca="false">IF(ISNUMBER(SEARCH(Dictionary!$A$11,Data!$H35)),1,0)</f>
        <v>0</v>
      </c>
      <c r="I35" s="15" t="n">
        <f aca="false">IF(ISNUMBER(SEARCH(Dictionary!$A$12,Data!$H35)),1,0)</f>
        <v>0</v>
      </c>
      <c r="J35" s="15" t="n">
        <f aca="false">IF(ISNUMBER(SEARCH(Dictionary!$A$13,Data!$H35)),1,0)</f>
        <v>0</v>
      </c>
      <c r="K35" s="15" t="n">
        <f aca="false">IF(ISNUMBER(SEARCH(Dictionary!$A$14,Data!$H35)),1,0)</f>
        <v>0</v>
      </c>
      <c r="L35" s="15" t="n">
        <f aca="false">IF(ISNUMBER(SEARCH(Dictionary!$A$15,Data!$H35)),1,0)</f>
        <v>0</v>
      </c>
      <c r="M35" s="15" t="n">
        <f aca="false">IF(ISNUMBER(SEARCH(Dictionary!$A$16,Data!$H35)),1,0)</f>
        <v>1</v>
      </c>
      <c r="N35" s="15" t="n">
        <f aca="false">IF(SUMPRODUCT((Dictionary!$C$5:$C$96=Dictionary!$A$5)*(Dictionary!$D$5:$D$96&lt;&gt;"")*ISNUMBER(SEARCH(Dictionary!$D$5:$D$96,Data!$I35)))&gt;0,1,0)</f>
        <v>0</v>
      </c>
      <c r="O35" s="15" t="n">
        <f aca="false">IF(SUMPRODUCT((Dictionary!$C$5:$C$96=Dictionary!$A$6)*(Dictionary!$D$5:$D$96&lt;&gt;"")*ISNUMBER(SEARCH(Dictionary!$D$5:$D$96,Data!$I35)))&gt;0,1,0)</f>
        <v>0</v>
      </c>
      <c r="P35" s="15" t="n">
        <f aca="false">IF(SUMPRODUCT((Dictionary!$C$5:$C$96=Dictionary!$A$7)*(Dictionary!$D$5:$D$96&lt;&gt;"")*ISNUMBER(SEARCH(Dictionary!$D$5:$D$96,Data!$I35)))&gt;0,1,0)</f>
        <v>0</v>
      </c>
      <c r="Q35" s="15" t="n">
        <f aca="false">IF(SUMPRODUCT((Dictionary!$C$5:$C$96=Dictionary!$A$8)*(Dictionary!$D$5:$D$96&lt;&gt;"")*ISNUMBER(SEARCH(Dictionary!$D$5:$D$96,Data!$I35)))&gt;0,1,0)</f>
        <v>0</v>
      </c>
      <c r="R35" s="15" t="n">
        <f aca="false">IF(SUMPRODUCT((Dictionary!$C$5:$C$96=Dictionary!$A$9)*(Dictionary!$D$5:$D$96&lt;&gt;"")*ISNUMBER(SEARCH(Dictionary!$D$5:$D$96,Data!$I35)))&gt;0,1,0)</f>
        <v>0</v>
      </c>
      <c r="S35" s="15" t="n">
        <f aca="false">IF(SUMPRODUCT((Dictionary!$C$5:$C$96=Dictionary!$A$10)*(Dictionary!$D$5:$D$96&lt;&gt;"")*ISNUMBER(SEARCH(Dictionary!$D$5:$D$96,Data!$I35)))&gt;0,1,0)</f>
        <v>0</v>
      </c>
      <c r="T35" s="15" t="n">
        <f aca="false">IF(SUMPRODUCT((Dictionary!$C$5:$C$96=Dictionary!$A$11)*(Dictionary!$D$5:$D$96&lt;&gt;"")*ISNUMBER(SEARCH(Dictionary!$D$5:$D$96,Data!$I35)))&gt;0,1,0)</f>
        <v>0</v>
      </c>
      <c r="U35" s="15" t="n">
        <f aca="false">IF(SUMPRODUCT((Dictionary!$C$5:$C$96=Dictionary!$A$12)*(Dictionary!$D$5:$D$96&lt;&gt;"")*ISNUMBER(SEARCH(Dictionary!$D$5:$D$96,Data!$I35)))&gt;0,1,0)</f>
        <v>0</v>
      </c>
      <c r="V35" s="15" t="n">
        <f aca="false">IF(SUMPRODUCT((Dictionary!$C$5:$C$96=Dictionary!$A$13)*(Dictionary!$D$5:$D$96&lt;&gt;"")*ISNUMBER(SEARCH(Dictionary!$D$5:$D$96,Data!$I35)))&gt;0,1,0)</f>
        <v>0</v>
      </c>
      <c r="W35" s="15" t="n">
        <f aca="false">IF(SUMPRODUCT((Dictionary!$C$5:$C$96=Dictionary!$A$14)*(Dictionary!$D$5:$D$96&lt;&gt;"")*ISNUMBER(SEARCH(Dictionary!$D$5:$D$96,Data!$I35)))&gt;0,1,0)</f>
        <v>0</v>
      </c>
      <c r="X35" s="15" t="n">
        <f aca="false">IF(SUMPRODUCT((Dictionary!$C$5:$C$96=Dictionary!$A$15)*(Dictionary!$D$5:$D$96&lt;&gt;"")*ISNUMBER(SEARCH(Dictionary!$D$5:$D$96,Data!$I35)))&gt;0,1,0)</f>
        <v>0</v>
      </c>
      <c r="Y35" s="15" t="n">
        <f aca="false">IF(SUMPRODUCT((Dictionary!$C$5:$C$96=Dictionary!$A$16)*(Dictionary!$D$5:$D$96&lt;&gt;"")*ISNUMBER(SEARCH(Dictionary!$D$5:$D$96,Data!$I35)))&gt;0,1,0)</f>
        <v>0</v>
      </c>
      <c r="Z35" s="15" t="n">
        <f aca="false">IF(ISNUMBER(SEARCH("Other",Data!$H35)),1,0)</f>
        <v>0</v>
      </c>
      <c r="AA35" s="15" t="n">
        <f aca="false">IF(Data!$I35&lt;&gt;"",1,0)</f>
        <v>0</v>
      </c>
      <c r="AB35" s="15" t="n">
        <f aca="false">SUM(B35:M35)</f>
        <v>4</v>
      </c>
      <c r="AC35" s="15" t="n">
        <f aca="false">SUMPRODUCT(--((B35:M35+N35:Y35)&gt;0))</f>
        <v>4</v>
      </c>
      <c r="AD35" s="15" t="n">
        <f aca="false">AC35-AB35</f>
        <v>0</v>
      </c>
      <c r="AE35" s="15" t="n">
        <f aca="false">IF(AND(Z35=1,AA35=1),1,0)</f>
        <v>0</v>
      </c>
      <c r="AF35" s="15" t="n">
        <f aca="false">AC35+AE35</f>
        <v>4</v>
      </c>
      <c r="AG35" s="15" t="n">
        <f aca="false">AB35+AE35</f>
        <v>4</v>
      </c>
      <c r="AH35" s="15" t="n">
        <f aca="false">IF(AND(Data!$H35&lt;&gt;"",Data!$I35&lt;&gt;""),1,0)</f>
        <v>0</v>
      </c>
      <c r="AI35" s="15" t="str">
        <f aca="false">IF(AH35=1,SUMPRODUCT(N35:Y35*B35:M35),"")</f>
        <v/>
      </c>
      <c r="AJ35" s="15" t="str">
        <f aca="false">IF(AH35=1,SUMPRODUCT(--(N35:Y35&gt;B35:M35)),"")</f>
        <v/>
      </c>
      <c r="AK35" s="15" t="str">
        <f aca="false">IF(AH35=1,AB35,"")</f>
        <v/>
      </c>
    </row>
    <row r="36" customFormat="false" ht="15" hidden="false" customHeight="true" outlineLevel="0" collapsed="false">
      <c r="A36" s="15" t="str">
        <f aca="false">Data!$A36</f>
        <v>DLCM Portal</v>
      </c>
      <c r="B36" s="15" t="n">
        <f aca="false">IF(ISNUMBER(SEARCH(Dictionary!$A$5,Data!$H36)),1,0)</f>
        <v>0</v>
      </c>
      <c r="C36" s="15" t="n">
        <f aca="false">IF(ISNUMBER(SEARCH(Dictionary!$A$6,Data!$H36)),1,0)</f>
        <v>0</v>
      </c>
      <c r="D36" s="15" t="n">
        <f aca="false">IF(ISNUMBER(SEARCH(Dictionary!$A$7,Data!$H36)),1,0)</f>
        <v>1</v>
      </c>
      <c r="E36" s="15" t="n">
        <f aca="false">IF(ISNUMBER(SEARCH(Dictionary!$A$8,Data!$H36)),1,0)</f>
        <v>1</v>
      </c>
      <c r="F36" s="15" t="n">
        <f aca="false">IF(ISNUMBER(SEARCH(Dictionary!$A$9,Data!$H36)),1,0)</f>
        <v>0</v>
      </c>
      <c r="G36" s="15" t="n">
        <f aca="false">IF(ISNUMBER(SEARCH(Dictionary!$A$10,Data!$H36)),1,0)</f>
        <v>1</v>
      </c>
      <c r="H36" s="15" t="n">
        <f aca="false">IF(ISNUMBER(SEARCH(Dictionary!$A$11,Data!$H36)),1,0)</f>
        <v>0</v>
      </c>
      <c r="I36" s="15" t="n">
        <f aca="false">IF(ISNUMBER(SEARCH(Dictionary!$A$12,Data!$H36)),1,0)</f>
        <v>0</v>
      </c>
      <c r="J36" s="15" t="n">
        <f aca="false">IF(ISNUMBER(SEARCH(Dictionary!$A$13,Data!$H36)),1,0)</f>
        <v>0</v>
      </c>
      <c r="K36" s="15" t="n">
        <f aca="false">IF(ISNUMBER(SEARCH(Dictionary!$A$14,Data!$H36)),1,0)</f>
        <v>0</v>
      </c>
      <c r="L36" s="15" t="n">
        <f aca="false">IF(ISNUMBER(SEARCH(Dictionary!$A$15,Data!$H36)),1,0)</f>
        <v>0</v>
      </c>
      <c r="M36" s="15" t="n">
        <f aca="false">IF(ISNUMBER(SEARCH(Dictionary!$A$16,Data!$H36)),1,0)</f>
        <v>1</v>
      </c>
      <c r="N36" s="15" t="n">
        <f aca="false">IF(SUMPRODUCT((Dictionary!$C$5:$C$96=Dictionary!$A$5)*(Dictionary!$D$5:$D$96&lt;&gt;"")*ISNUMBER(SEARCH(Dictionary!$D$5:$D$96,Data!$I36)))&gt;0,1,0)</f>
        <v>0</v>
      </c>
      <c r="O36" s="15" t="n">
        <f aca="false">IF(SUMPRODUCT((Dictionary!$C$5:$C$96=Dictionary!$A$6)*(Dictionary!$D$5:$D$96&lt;&gt;"")*ISNUMBER(SEARCH(Dictionary!$D$5:$D$96,Data!$I36)))&gt;0,1,0)</f>
        <v>0</v>
      </c>
      <c r="P36" s="15" t="n">
        <f aca="false">IF(SUMPRODUCT((Dictionary!$C$5:$C$96=Dictionary!$A$7)*(Dictionary!$D$5:$D$96&lt;&gt;"")*ISNUMBER(SEARCH(Dictionary!$D$5:$D$96,Data!$I36)))&gt;0,1,0)</f>
        <v>0</v>
      </c>
      <c r="Q36" s="15" t="n">
        <f aca="false">IF(SUMPRODUCT((Dictionary!$C$5:$C$96=Dictionary!$A$8)*(Dictionary!$D$5:$D$96&lt;&gt;"")*ISNUMBER(SEARCH(Dictionary!$D$5:$D$96,Data!$I36)))&gt;0,1,0)</f>
        <v>0</v>
      </c>
      <c r="R36" s="15" t="n">
        <f aca="false">IF(SUMPRODUCT((Dictionary!$C$5:$C$96=Dictionary!$A$9)*(Dictionary!$D$5:$D$96&lt;&gt;"")*ISNUMBER(SEARCH(Dictionary!$D$5:$D$96,Data!$I36)))&gt;0,1,0)</f>
        <v>0</v>
      </c>
      <c r="S36" s="15" t="n">
        <f aca="false">IF(SUMPRODUCT((Dictionary!$C$5:$C$96=Dictionary!$A$10)*(Dictionary!$D$5:$D$96&lt;&gt;"")*ISNUMBER(SEARCH(Dictionary!$D$5:$D$96,Data!$I36)))&gt;0,1,0)</f>
        <v>0</v>
      </c>
      <c r="T36" s="15" t="n">
        <f aca="false">IF(SUMPRODUCT((Dictionary!$C$5:$C$96=Dictionary!$A$11)*(Dictionary!$D$5:$D$96&lt;&gt;"")*ISNUMBER(SEARCH(Dictionary!$D$5:$D$96,Data!$I36)))&gt;0,1,0)</f>
        <v>0</v>
      </c>
      <c r="U36" s="15" t="n">
        <f aca="false">IF(SUMPRODUCT((Dictionary!$C$5:$C$96=Dictionary!$A$12)*(Dictionary!$D$5:$D$96&lt;&gt;"")*ISNUMBER(SEARCH(Dictionary!$D$5:$D$96,Data!$I36)))&gt;0,1,0)</f>
        <v>0</v>
      </c>
      <c r="V36" s="15" t="n">
        <f aca="false">IF(SUMPRODUCT((Dictionary!$C$5:$C$96=Dictionary!$A$13)*(Dictionary!$D$5:$D$96&lt;&gt;"")*ISNUMBER(SEARCH(Dictionary!$D$5:$D$96,Data!$I36)))&gt;0,1,0)</f>
        <v>0</v>
      </c>
      <c r="W36" s="15" t="n">
        <f aca="false">IF(SUMPRODUCT((Dictionary!$C$5:$C$96=Dictionary!$A$14)*(Dictionary!$D$5:$D$96&lt;&gt;"")*ISNUMBER(SEARCH(Dictionary!$D$5:$D$96,Data!$I36)))&gt;0,1,0)</f>
        <v>0</v>
      </c>
      <c r="X36" s="15" t="n">
        <f aca="false">IF(SUMPRODUCT((Dictionary!$C$5:$C$96=Dictionary!$A$15)*(Dictionary!$D$5:$D$96&lt;&gt;"")*ISNUMBER(SEARCH(Dictionary!$D$5:$D$96,Data!$I36)))&gt;0,1,0)</f>
        <v>0</v>
      </c>
      <c r="Y36" s="15" t="n">
        <f aca="false">IF(SUMPRODUCT((Dictionary!$C$5:$C$96=Dictionary!$A$16)*(Dictionary!$D$5:$D$96&lt;&gt;"")*ISNUMBER(SEARCH(Dictionary!$D$5:$D$96,Data!$I36)))&gt;0,1,0)</f>
        <v>0</v>
      </c>
      <c r="Z36" s="15" t="n">
        <f aca="false">IF(ISNUMBER(SEARCH("Other",Data!$H36)),1,0)</f>
        <v>0</v>
      </c>
      <c r="AA36" s="15" t="n">
        <f aca="false">IF(Data!$I36&lt;&gt;"",1,0)</f>
        <v>0</v>
      </c>
      <c r="AB36" s="15" t="n">
        <f aca="false">SUM(B36:M36)</f>
        <v>4</v>
      </c>
      <c r="AC36" s="15" t="n">
        <f aca="false">SUMPRODUCT(--((B36:M36+N36:Y36)&gt;0))</f>
        <v>4</v>
      </c>
      <c r="AD36" s="15" t="n">
        <f aca="false">AC36-AB36</f>
        <v>0</v>
      </c>
      <c r="AE36" s="15" t="n">
        <f aca="false">IF(AND(Z36=1,AA36=1),1,0)</f>
        <v>0</v>
      </c>
      <c r="AF36" s="15" t="n">
        <f aca="false">AC36+AE36</f>
        <v>4</v>
      </c>
      <c r="AG36" s="15" t="n">
        <f aca="false">AB36+AE36</f>
        <v>4</v>
      </c>
      <c r="AH36" s="15" t="n">
        <f aca="false">IF(AND(Data!$H36&lt;&gt;"",Data!$I36&lt;&gt;""),1,0)</f>
        <v>0</v>
      </c>
      <c r="AI36" s="15" t="str">
        <f aca="false">IF(AH36=1,SUMPRODUCT(N36:Y36*B36:M36),"")</f>
        <v/>
      </c>
      <c r="AJ36" s="15" t="str">
        <f aca="false">IF(AH36=1,SUMPRODUCT(--(N36:Y36&gt;B36:M36)),"")</f>
        <v/>
      </c>
      <c r="AK36" s="15" t="str">
        <f aca="false">IF(AH36=1,AB36,"")</f>
        <v/>
      </c>
    </row>
    <row r="37" customFormat="false" ht="15" hidden="false" customHeight="true" outlineLevel="0" collapsed="false">
      <c r="A37" s="15" t="str">
        <f aca="false">Data!$A37</f>
        <v>DMP Tool</v>
      </c>
      <c r="B37" s="15" t="n">
        <f aca="false">IF(ISNUMBER(SEARCH(Dictionary!$A$5,Data!$H37)),1,0)</f>
        <v>0</v>
      </c>
      <c r="C37" s="15" t="n">
        <f aca="false">IF(ISNUMBER(SEARCH(Dictionary!$A$6,Data!$H37)),1,0)</f>
        <v>1</v>
      </c>
      <c r="D37" s="15" t="n">
        <f aca="false">IF(ISNUMBER(SEARCH(Dictionary!$A$7,Data!$H37)),1,0)</f>
        <v>1</v>
      </c>
      <c r="E37" s="15" t="n">
        <f aca="false">IF(ISNUMBER(SEARCH(Dictionary!$A$8,Data!$H37)),1,0)</f>
        <v>1</v>
      </c>
      <c r="F37" s="15" t="n">
        <f aca="false">IF(ISNUMBER(SEARCH(Dictionary!$A$9,Data!$H37)),1,0)</f>
        <v>0</v>
      </c>
      <c r="G37" s="15" t="n">
        <f aca="false">IF(ISNUMBER(SEARCH(Dictionary!$A$10,Data!$H37)),1,0)</f>
        <v>0</v>
      </c>
      <c r="H37" s="15" t="n">
        <f aca="false">IF(ISNUMBER(SEARCH(Dictionary!$A$11,Data!$H37)),1,0)</f>
        <v>1</v>
      </c>
      <c r="I37" s="15" t="n">
        <f aca="false">IF(ISNUMBER(SEARCH(Dictionary!$A$12,Data!$H37)),1,0)</f>
        <v>1</v>
      </c>
      <c r="J37" s="15" t="n">
        <f aca="false">IF(ISNUMBER(SEARCH(Dictionary!$A$13,Data!$H37)),1,0)</f>
        <v>1</v>
      </c>
      <c r="K37" s="15" t="n">
        <f aca="false">IF(ISNUMBER(SEARCH(Dictionary!$A$14,Data!$H37)),1,0)</f>
        <v>1</v>
      </c>
      <c r="L37" s="15" t="n">
        <f aca="false">IF(ISNUMBER(SEARCH(Dictionary!$A$15,Data!$H37)),1,0)</f>
        <v>0</v>
      </c>
      <c r="M37" s="15" t="n">
        <f aca="false">IF(ISNUMBER(SEARCH(Dictionary!$A$16,Data!$H37)),1,0)</f>
        <v>1</v>
      </c>
      <c r="N37" s="15" t="n">
        <f aca="false">IF(SUMPRODUCT((Dictionary!$C$5:$C$96=Dictionary!$A$5)*(Dictionary!$D$5:$D$96&lt;&gt;"")*ISNUMBER(SEARCH(Dictionary!$D$5:$D$96,Data!$I37)))&gt;0,1,0)</f>
        <v>0</v>
      </c>
      <c r="O37" s="15" t="n">
        <f aca="false">IF(SUMPRODUCT((Dictionary!$C$5:$C$96=Dictionary!$A$6)*(Dictionary!$D$5:$D$96&lt;&gt;"")*ISNUMBER(SEARCH(Dictionary!$D$5:$D$96,Data!$I37)))&gt;0,1,0)</f>
        <v>0</v>
      </c>
      <c r="P37" s="15" t="n">
        <f aca="false">IF(SUMPRODUCT((Dictionary!$C$5:$C$96=Dictionary!$A$7)*(Dictionary!$D$5:$D$96&lt;&gt;"")*ISNUMBER(SEARCH(Dictionary!$D$5:$D$96,Data!$I37)))&gt;0,1,0)</f>
        <v>0</v>
      </c>
      <c r="Q37" s="15" t="n">
        <f aca="false">IF(SUMPRODUCT((Dictionary!$C$5:$C$96=Dictionary!$A$8)*(Dictionary!$D$5:$D$96&lt;&gt;"")*ISNUMBER(SEARCH(Dictionary!$D$5:$D$96,Data!$I37)))&gt;0,1,0)</f>
        <v>0</v>
      </c>
      <c r="R37" s="15" t="n">
        <f aca="false">IF(SUMPRODUCT((Dictionary!$C$5:$C$96=Dictionary!$A$9)*(Dictionary!$D$5:$D$96&lt;&gt;"")*ISNUMBER(SEARCH(Dictionary!$D$5:$D$96,Data!$I37)))&gt;0,1,0)</f>
        <v>0</v>
      </c>
      <c r="S37" s="15" t="n">
        <f aca="false">IF(SUMPRODUCT((Dictionary!$C$5:$C$96=Dictionary!$A$10)*(Dictionary!$D$5:$D$96&lt;&gt;"")*ISNUMBER(SEARCH(Dictionary!$D$5:$D$96,Data!$I37)))&gt;0,1,0)</f>
        <v>0</v>
      </c>
      <c r="T37" s="15" t="n">
        <f aca="false">IF(SUMPRODUCT((Dictionary!$C$5:$C$96=Dictionary!$A$11)*(Dictionary!$D$5:$D$96&lt;&gt;"")*ISNUMBER(SEARCH(Dictionary!$D$5:$D$96,Data!$I37)))&gt;0,1,0)</f>
        <v>0</v>
      </c>
      <c r="U37" s="15" t="n">
        <f aca="false">IF(SUMPRODUCT((Dictionary!$C$5:$C$96=Dictionary!$A$12)*(Dictionary!$D$5:$D$96&lt;&gt;"")*ISNUMBER(SEARCH(Dictionary!$D$5:$D$96,Data!$I37)))&gt;0,1,0)</f>
        <v>0</v>
      </c>
      <c r="V37" s="15" t="n">
        <f aca="false">IF(SUMPRODUCT((Dictionary!$C$5:$C$96=Dictionary!$A$13)*(Dictionary!$D$5:$D$96&lt;&gt;"")*ISNUMBER(SEARCH(Dictionary!$D$5:$D$96,Data!$I37)))&gt;0,1,0)</f>
        <v>0</v>
      </c>
      <c r="W37" s="15" t="n">
        <f aca="false">IF(SUMPRODUCT((Dictionary!$C$5:$C$96=Dictionary!$A$14)*(Dictionary!$D$5:$D$96&lt;&gt;"")*ISNUMBER(SEARCH(Dictionary!$D$5:$D$96,Data!$I37)))&gt;0,1,0)</f>
        <v>0</v>
      </c>
      <c r="X37" s="15" t="n">
        <f aca="false">IF(SUMPRODUCT((Dictionary!$C$5:$C$96=Dictionary!$A$15)*(Dictionary!$D$5:$D$96&lt;&gt;"")*ISNUMBER(SEARCH(Dictionary!$D$5:$D$96,Data!$I37)))&gt;0,1,0)</f>
        <v>0</v>
      </c>
      <c r="Y37" s="15" t="n">
        <f aca="false">IF(SUMPRODUCT((Dictionary!$C$5:$C$96=Dictionary!$A$16)*(Dictionary!$D$5:$D$96&lt;&gt;"")*ISNUMBER(SEARCH(Dictionary!$D$5:$D$96,Data!$I37)))&gt;0,1,0)</f>
        <v>0</v>
      </c>
      <c r="Z37" s="15" t="n">
        <f aca="false">IF(ISNUMBER(SEARCH("Other",Data!$H37)),1,0)</f>
        <v>0</v>
      </c>
      <c r="AA37" s="15" t="n">
        <f aca="false">IF(Data!$I37&lt;&gt;"",1,0)</f>
        <v>0</v>
      </c>
      <c r="AB37" s="15" t="n">
        <f aca="false">SUM(B37:M37)</f>
        <v>8</v>
      </c>
      <c r="AC37" s="15" t="n">
        <f aca="false">SUMPRODUCT(--((B37:M37+N37:Y37)&gt;0))</f>
        <v>8</v>
      </c>
      <c r="AD37" s="15" t="n">
        <f aca="false">AC37-AB37</f>
        <v>0</v>
      </c>
      <c r="AE37" s="15" t="n">
        <f aca="false">IF(AND(Z37=1,AA37=1),1,0)</f>
        <v>0</v>
      </c>
      <c r="AF37" s="15" t="n">
        <f aca="false">AC37+AE37</f>
        <v>8</v>
      </c>
      <c r="AG37" s="15" t="n">
        <f aca="false">AB37+AE37</f>
        <v>8</v>
      </c>
      <c r="AH37" s="15" t="n">
        <f aca="false">IF(AND(Data!$H37&lt;&gt;"",Data!$I37&lt;&gt;""),1,0)</f>
        <v>0</v>
      </c>
      <c r="AI37" s="15" t="str">
        <f aca="false">IF(AH37=1,SUMPRODUCT(N37:Y37*B37:M37),"")</f>
        <v/>
      </c>
      <c r="AJ37" s="15" t="str">
        <f aca="false">IF(AH37=1,SUMPRODUCT(--(N37:Y37&gt;B37:M37)),"")</f>
        <v/>
      </c>
      <c r="AK37" s="15" t="str">
        <f aca="false">IF(AH37=1,AB37,"")</f>
        <v/>
      </c>
    </row>
    <row r="38" customFormat="false" ht="15" hidden="false" customHeight="true" outlineLevel="0" collapsed="false">
      <c r="A38" s="15" t="str">
        <f aca="false">Data!$A38</f>
        <v>DOAJ (Directory of Open Access Journals)</v>
      </c>
      <c r="B38" s="15" t="n">
        <f aca="false">IF(ISNUMBER(SEARCH(Dictionary!$A$5,Data!$H38)),1,0)</f>
        <v>0</v>
      </c>
      <c r="C38" s="15" t="n">
        <f aca="false">IF(ISNUMBER(SEARCH(Dictionary!$A$6,Data!$H38)),1,0)</f>
        <v>1</v>
      </c>
      <c r="D38" s="15" t="n">
        <f aca="false">IF(ISNUMBER(SEARCH(Dictionary!$A$7,Data!$H38)),1,0)</f>
        <v>1</v>
      </c>
      <c r="E38" s="15" t="n">
        <f aca="false">IF(ISNUMBER(SEARCH(Dictionary!$A$8,Data!$H38)),1,0)</f>
        <v>1</v>
      </c>
      <c r="F38" s="15" t="n">
        <f aca="false">IF(ISNUMBER(SEARCH(Dictionary!$A$9,Data!$H38)),1,0)</f>
        <v>0</v>
      </c>
      <c r="G38" s="15" t="n">
        <f aca="false">IF(ISNUMBER(SEARCH(Dictionary!$A$10,Data!$H38)),1,0)</f>
        <v>1</v>
      </c>
      <c r="H38" s="15" t="n">
        <f aca="false">IF(ISNUMBER(SEARCH(Dictionary!$A$11,Data!$H38)),1,0)</f>
        <v>0</v>
      </c>
      <c r="I38" s="15" t="n">
        <f aca="false">IF(ISNUMBER(SEARCH(Dictionary!$A$12,Data!$H38)),1,0)</f>
        <v>1</v>
      </c>
      <c r="J38" s="15" t="n">
        <f aca="false">IF(ISNUMBER(SEARCH(Dictionary!$A$13,Data!$H38)),1,0)</f>
        <v>0</v>
      </c>
      <c r="K38" s="15" t="n">
        <f aca="false">IF(ISNUMBER(SEARCH(Dictionary!$A$14,Data!$H38)),1,0)</f>
        <v>1</v>
      </c>
      <c r="L38" s="15" t="n">
        <f aca="false">IF(ISNUMBER(SEARCH(Dictionary!$A$15,Data!$H38)),1,0)</f>
        <v>1</v>
      </c>
      <c r="M38" s="15" t="n">
        <f aca="false">IF(ISNUMBER(SEARCH(Dictionary!$A$16,Data!$H38)),1,0)</f>
        <v>1</v>
      </c>
      <c r="N38" s="15" t="n">
        <f aca="false">IF(SUMPRODUCT((Dictionary!$C$5:$C$96=Dictionary!$A$5)*(Dictionary!$D$5:$D$96&lt;&gt;"")*ISNUMBER(SEARCH(Dictionary!$D$5:$D$96,Data!$I38)))&gt;0,1,0)</f>
        <v>0</v>
      </c>
      <c r="O38" s="15" t="n">
        <f aca="false">IF(SUMPRODUCT((Dictionary!$C$5:$C$96=Dictionary!$A$6)*(Dictionary!$D$5:$D$96&lt;&gt;"")*ISNUMBER(SEARCH(Dictionary!$D$5:$D$96,Data!$I38)))&gt;0,1,0)</f>
        <v>0</v>
      </c>
      <c r="P38" s="15" t="n">
        <f aca="false">IF(SUMPRODUCT((Dictionary!$C$5:$C$96=Dictionary!$A$7)*(Dictionary!$D$5:$D$96&lt;&gt;"")*ISNUMBER(SEARCH(Dictionary!$D$5:$D$96,Data!$I38)))&gt;0,1,0)</f>
        <v>0</v>
      </c>
      <c r="Q38" s="15" t="n">
        <f aca="false">IF(SUMPRODUCT((Dictionary!$C$5:$C$96=Dictionary!$A$8)*(Dictionary!$D$5:$D$96&lt;&gt;"")*ISNUMBER(SEARCH(Dictionary!$D$5:$D$96,Data!$I38)))&gt;0,1,0)</f>
        <v>0</v>
      </c>
      <c r="R38" s="15" t="n">
        <f aca="false">IF(SUMPRODUCT((Dictionary!$C$5:$C$96=Dictionary!$A$9)*(Dictionary!$D$5:$D$96&lt;&gt;"")*ISNUMBER(SEARCH(Dictionary!$D$5:$D$96,Data!$I38)))&gt;0,1,0)</f>
        <v>0</v>
      </c>
      <c r="S38" s="15" t="n">
        <f aca="false">IF(SUMPRODUCT((Dictionary!$C$5:$C$96=Dictionary!$A$10)*(Dictionary!$D$5:$D$96&lt;&gt;"")*ISNUMBER(SEARCH(Dictionary!$D$5:$D$96,Data!$I38)))&gt;0,1,0)</f>
        <v>1</v>
      </c>
      <c r="T38" s="15" t="n">
        <f aca="false">IF(SUMPRODUCT((Dictionary!$C$5:$C$96=Dictionary!$A$11)*(Dictionary!$D$5:$D$96&lt;&gt;"")*ISNUMBER(SEARCH(Dictionary!$D$5:$D$96,Data!$I38)))&gt;0,1,0)</f>
        <v>0</v>
      </c>
      <c r="U38" s="15" t="n">
        <f aca="false">IF(SUMPRODUCT((Dictionary!$C$5:$C$96=Dictionary!$A$12)*(Dictionary!$D$5:$D$96&lt;&gt;"")*ISNUMBER(SEARCH(Dictionary!$D$5:$D$96,Data!$I38)))&gt;0,1,0)</f>
        <v>0</v>
      </c>
      <c r="V38" s="15" t="n">
        <f aca="false">IF(SUMPRODUCT((Dictionary!$C$5:$C$96=Dictionary!$A$13)*(Dictionary!$D$5:$D$96&lt;&gt;"")*ISNUMBER(SEARCH(Dictionary!$D$5:$D$96,Data!$I38)))&gt;0,1,0)</f>
        <v>0</v>
      </c>
      <c r="W38" s="15" t="n">
        <f aca="false">IF(SUMPRODUCT((Dictionary!$C$5:$C$96=Dictionary!$A$14)*(Dictionary!$D$5:$D$96&lt;&gt;"")*ISNUMBER(SEARCH(Dictionary!$D$5:$D$96,Data!$I38)))&gt;0,1,0)</f>
        <v>0</v>
      </c>
      <c r="X38" s="15" t="n">
        <f aca="false">IF(SUMPRODUCT((Dictionary!$C$5:$C$96=Dictionary!$A$15)*(Dictionary!$D$5:$D$96&lt;&gt;"")*ISNUMBER(SEARCH(Dictionary!$D$5:$D$96,Data!$I38)))&gt;0,1,0)</f>
        <v>0</v>
      </c>
      <c r="Y38" s="15" t="n">
        <f aca="false">IF(SUMPRODUCT((Dictionary!$C$5:$C$96=Dictionary!$A$16)*(Dictionary!$D$5:$D$96&lt;&gt;"")*ISNUMBER(SEARCH(Dictionary!$D$5:$D$96,Data!$I38)))&gt;0,1,0)</f>
        <v>0</v>
      </c>
      <c r="Z38" s="15" t="n">
        <f aca="false">IF(ISNUMBER(SEARCH("Other",Data!$H38)),1,0)</f>
        <v>1</v>
      </c>
      <c r="AA38" s="15" t="n">
        <f aca="false">IF(Data!$I38&lt;&gt;"",1,0)</f>
        <v>1</v>
      </c>
      <c r="AB38" s="15" t="n">
        <f aca="false">SUM(B38:M38)</f>
        <v>8</v>
      </c>
      <c r="AC38" s="15" t="n">
        <f aca="false">SUMPRODUCT(--((B38:M38+N38:Y38)&gt;0))</f>
        <v>8</v>
      </c>
      <c r="AD38" s="15" t="n">
        <f aca="false">AC38-AB38</f>
        <v>0</v>
      </c>
      <c r="AE38" s="15" t="n">
        <f aca="false">IF(AND(Z38=1,AA38=1),1,0)</f>
        <v>1</v>
      </c>
      <c r="AF38" s="15" t="n">
        <f aca="false">AC38+AE38</f>
        <v>9</v>
      </c>
      <c r="AG38" s="15" t="n">
        <f aca="false">AB38+AE38</f>
        <v>9</v>
      </c>
      <c r="AH38" s="15" t="n">
        <f aca="false">IF(AND(Data!$H38&lt;&gt;"",Data!$I38&lt;&gt;""),1,0)</f>
        <v>1</v>
      </c>
      <c r="AI38" s="15" t="n">
        <f aca="false">IF(AH38=1,SUMPRODUCT(N38:Y38*B38:M38),"")</f>
        <v>1</v>
      </c>
      <c r="AJ38" s="15" t="n">
        <f aca="false">IF(AH38=1,SUMPRODUCT(--(N38:Y38&gt;B38:M38)),"")</f>
        <v>0</v>
      </c>
      <c r="AK38" s="15" t="n">
        <f aca="false">IF(AH38=1,AB38,"")</f>
        <v>8</v>
      </c>
    </row>
    <row r="39" customFormat="false" ht="15" hidden="false" customHeight="true" outlineLevel="0" collapsed="false">
      <c r="A39" s="15" t="str">
        <f aca="false">Data!$A39</f>
        <v>dokieli</v>
      </c>
      <c r="B39" s="15" t="n">
        <f aca="false">IF(ISNUMBER(SEARCH(Dictionary!$A$5,Data!$H39)),1,0)</f>
        <v>0</v>
      </c>
      <c r="C39" s="15" t="n">
        <f aca="false">IF(ISNUMBER(SEARCH(Dictionary!$A$6,Data!$H39)),1,0)</f>
        <v>0</v>
      </c>
      <c r="D39" s="15" t="n">
        <f aca="false">IF(ISNUMBER(SEARCH(Dictionary!$A$7,Data!$H39)),1,0)</f>
        <v>0</v>
      </c>
      <c r="E39" s="15" t="n">
        <f aca="false">IF(ISNUMBER(SEARCH(Dictionary!$A$8,Data!$H39)),1,0)</f>
        <v>0</v>
      </c>
      <c r="F39" s="15" t="n">
        <f aca="false">IF(ISNUMBER(SEARCH(Dictionary!$A$9,Data!$H39)),1,0)</f>
        <v>0</v>
      </c>
      <c r="G39" s="15" t="n">
        <f aca="false">IF(ISNUMBER(SEARCH(Dictionary!$A$10,Data!$H39)),1,0)</f>
        <v>0</v>
      </c>
      <c r="H39" s="15" t="n">
        <f aca="false">IF(ISNUMBER(SEARCH(Dictionary!$A$11,Data!$H39)),1,0)</f>
        <v>0</v>
      </c>
      <c r="I39" s="15" t="n">
        <f aca="false">IF(ISNUMBER(SEARCH(Dictionary!$A$12,Data!$H39)),1,0)</f>
        <v>0</v>
      </c>
      <c r="J39" s="15" t="n">
        <f aca="false">IF(ISNUMBER(SEARCH(Dictionary!$A$13,Data!$H39)),1,0)</f>
        <v>0</v>
      </c>
      <c r="K39" s="15" t="n">
        <f aca="false">IF(ISNUMBER(SEARCH(Dictionary!$A$14,Data!$H39)),1,0)</f>
        <v>0</v>
      </c>
      <c r="L39" s="15" t="n">
        <f aca="false">IF(ISNUMBER(SEARCH(Dictionary!$A$15,Data!$H39)),1,0)</f>
        <v>0</v>
      </c>
      <c r="M39" s="15" t="n">
        <f aca="false">IF(ISNUMBER(SEARCH(Dictionary!$A$16,Data!$H39)),1,0)</f>
        <v>0</v>
      </c>
      <c r="N39" s="15" t="n">
        <f aca="false">IF(SUMPRODUCT((Dictionary!$C$5:$C$96=Dictionary!$A$5)*(Dictionary!$D$5:$D$96&lt;&gt;"")*ISNUMBER(SEARCH(Dictionary!$D$5:$D$96,Data!$I39)))&gt;0,1,0)</f>
        <v>0</v>
      </c>
      <c r="O39" s="15" t="n">
        <f aca="false">IF(SUMPRODUCT((Dictionary!$C$5:$C$96=Dictionary!$A$6)*(Dictionary!$D$5:$D$96&lt;&gt;"")*ISNUMBER(SEARCH(Dictionary!$D$5:$D$96,Data!$I39)))&gt;0,1,0)</f>
        <v>0</v>
      </c>
      <c r="P39" s="15" t="n">
        <f aca="false">IF(SUMPRODUCT((Dictionary!$C$5:$C$96=Dictionary!$A$7)*(Dictionary!$D$5:$D$96&lt;&gt;"")*ISNUMBER(SEARCH(Dictionary!$D$5:$D$96,Data!$I39)))&gt;0,1,0)</f>
        <v>0</v>
      </c>
      <c r="Q39" s="15" t="n">
        <f aca="false">IF(SUMPRODUCT((Dictionary!$C$5:$C$96=Dictionary!$A$8)*(Dictionary!$D$5:$D$96&lt;&gt;"")*ISNUMBER(SEARCH(Dictionary!$D$5:$D$96,Data!$I39)))&gt;0,1,0)</f>
        <v>1</v>
      </c>
      <c r="R39" s="15" t="n">
        <f aca="false">IF(SUMPRODUCT((Dictionary!$C$5:$C$96=Dictionary!$A$9)*(Dictionary!$D$5:$D$96&lt;&gt;"")*ISNUMBER(SEARCH(Dictionary!$D$5:$D$96,Data!$I39)))&gt;0,1,0)</f>
        <v>0</v>
      </c>
      <c r="S39" s="15" t="n">
        <f aca="false">IF(SUMPRODUCT((Dictionary!$C$5:$C$96=Dictionary!$A$10)*(Dictionary!$D$5:$D$96&lt;&gt;"")*ISNUMBER(SEARCH(Dictionary!$D$5:$D$96,Data!$I39)))&gt;0,1,0)</f>
        <v>0</v>
      </c>
      <c r="T39" s="15" t="n">
        <f aca="false">IF(SUMPRODUCT((Dictionary!$C$5:$C$96=Dictionary!$A$11)*(Dictionary!$D$5:$D$96&lt;&gt;"")*ISNUMBER(SEARCH(Dictionary!$D$5:$D$96,Data!$I39)))&gt;0,1,0)</f>
        <v>1</v>
      </c>
      <c r="U39" s="15" t="n">
        <f aca="false">IF(SUMPRODUCT((Dictionary!$C$5:$C$96=Dictionary!$A$12)*(Dictionary!$D$5:$D$96&lt;&gt;"")*ISNUMBER(SEARCH(Dictionary!$D$5:$D$96,Data!$I39)))&gt;0,1,0)</f>
        <v>0</v>
      </c>
      <c r="V39" s="15" t="n">
        <f aca="false">IF(SUMPRODUCT((Dictionary!$C$5:$C$96=Dictionary!$A$13)*(Dictionary!$D$5:$D$96&lt;&gt;"")*ISNUMBER(SEARCH(Dictionary!$D$5:$D$96,Data!$I39)))&gt;0,1,0)</f>
        <v>0</v>
      </c>
      <c r="W39" s="15" t="n">
        <f aca="false">IF(SUMPRODUCT((Dictionary!$C$5:$C$96=Dictionary!$A$14)*(Dictionary!$D$5:$D$96&lt;&gt;"")*ISNUMBER(SEARCH(Dictionary!$D$5:$D$96,Data!$I39)))&gt;0,1,0)</f>
        <v>0</v>
      </c>
      <c r="X39" s="15" t="n">
        <f aca="false">IF(SUMPRODUCT((Dictionary!$C$5:$C$96=Dictionary!$A$15)*(Dictionary!$D$5:$D$96&lt;&gt;"")*ISNUMBER(SEARCH(Dictionary!$D$5:$D$96,Data!$I39)))&gt;0,1,0)</f>
        <v>0</v>
      </c>
      <c r="Y39" s="15" t="n">
        <f aca="false">IF(SUMPRODUCT((Dictionary!$C$5:$C$96=Dictionary!$A$16)*(Dictionary!$D$5:$D$96&lt;&gt;"")*ISNUMBER(SEARCH(Dictionary!$D$5:$D$96,Data!$I39)))&gt;0,1,0)</f>
        <v>1</v>
      </c>
      <c r="Z39" s="15" t="n">
        <f aca="false">IF(ISNUMBER(SEARCH("Other",Data!$H39)),1,0)</f>
        <v>0</v>
      </c>
      <c r="AA39" s="15" t="n">
        <f aca="false">IF(Data!$I39&lt;&gt;"",1,0)</f>
        <v>1</v>
      </c>
      <c r="AB39" s="15" t="n">
        <f aca="false">SUM(B39:M39)</f>
        <v>0</v>
      </c>
      <c r="AC39" s="15" t="n">
        <f aca="false">SUMPRODUCT(--((B39:M39+N39:Y39)&gt;0))</f>
        <v>3</v>
      </c>
      <c r="AD39" s="15" t="n">
        <f aca="false">AC39-AB39</f>
        <v>3</v>
      </c>
      <c r="AE39" s="15" t="n">
        <f aca="false">IF(AND(Z39=1,AA39=1),1,0)</f>
        <v>0</v>
      </c>
      <c r="AF39" s="15" t="n">
        <f aca="false">AC39+AE39</f>
        <v>3</v>
      </c>
      <c r="AG39" s="15" t="n">
        <f aca="false">AB39+AE39</f>
        <v>0</v>
      </c>
      <c r="AH39" s="15" t="n">
        <f aca="false">IF(AND(Data!$H39&lt;&gt;"",Data!$I39&lt;&gt;""),1,0)</f>
        <v>0</v>
      </c>
      <c r="AI39" s="15" t="str">
        <f aca="false">IF(AH39=1,SUMPRODUCT(N39:Y39*B39:M39),"")</f>
        <v/>
      </c>
      <c r="AJ39" s="15" t="str">
        <f aca="false">IF(AH39=1,SUMPRODUCT(--(N39:Y39&gt;B39:M39)),"")</f>
        <v/>
      </c>
      <c r="AK39" s="15" t="str">
        <f aca="false">IF(AH39=1,AB39,"")</f>
        <v/>
      </c>
    </row>
    <row r="40" customFormat="false" ht="15" hidden="false" customHeight="true" outlineLevel="0" collapsed="false">
      <c r="A40" s="15" t="str">
        <f aca="false">Data!$A40</f>
        <v>Dryad</v>
      </c>
      <c r="B40" s="15" t="n">
        <f aca="false">IF(ISNUMBER(SEARCH(Dictionary!$A$5,Data!$H40)),1,0)</f>
        <v>0</v>
      </c>
      <c r="C40" s="15" t="n">
        <f aca="false">IF(ISNUMBER(SEARCH(Dictionary!$A$6,Data!$H40)),1,0)</f>
        <v>0</v>
      </c>
      <c r="D40" s="15" t="n">
        <f aca="false">IF(ISNUMBER(SEARCH(Dictionary!$A$7,Data!$H40)),1,0)</f>
        <v>0</v>
      </c>
      <c r="E40" s="15" t="n">
        <f aca="false">IF(ISNUMBER(SEARCH(Dictionary!$A$8,Data!$H40)),1,0)</f>
        <v>0</v>
      </c>
      <c r="F40" s="15" t="n">
        <f aca="false">IF(ISNUMBER(SEARCH(Dictionary!$A$9,Data!$H40)),1,0)</f>
        <v>0</v>
      </c>
      <c r="G40" s="15" t="n">
        <f aca="false">IF(ISNUMBER(SEARCH(Dictionary!$A$10,Data!$H40)),1,0)</f>
        <v>0</v>
      </c>
      <c r="H40" s="15" t="n">
        <f aca="false">IF(ISNUMBER(SEARCH(Dictionary!$A$11,Data!$H40)),1,0)</f>
        <v>0</v>
      </c>
      <c r="I40" s="15" t="n">
        <f aca="false">IF(ISNUMBER(SEARCH(Dictionary!$A$12,Data!$H40)),1,0)</f>
        <v>0</v>
      </c>
      <c r="J40" s="15" t="n">
        <f aca="false">IF(ISNUMBER(SEARCH(Dictionary!$A$13,Data!$H40)),1,0)</f>
        <v>0</v>
      </c>
      <c r="K40" s="15" t="n">
        <f aca="false">IF(ISNUMBER(SEARCH(Dictionary!$A$14,Data!$H40)),1,0)</f>
        <v>0</v>
      </c>
      <c r="L40" s="15" t="n">
        <f aca="false">IF(ISNUMBER(SEARCH(Dictionary!$A$15,Data!$H40)),1,0)</f>
        <v>0</v>
      </c>
      <c r="M40" s="15" t="n">
        <f aca="false">IF(ISNUMBER(SEARCH(Dictionary!$A$16,Data!$H40)),1,0)</f>
        <v>0</v>
      </c>
      <c r="N40" s="15" t="n">
        <f aca="false">IF(SUMPRODUCT((Dictionary!$C$5:$C$96=Dictionary!$A$5)*(Dictionary!$D$5:$D$96&lt;&gt;"")*ISNUMBER(SEARCH(Dictionary!$D$5:$D$96,Data!$I40)))&gt;0,1,0)</f>
        <v>0</v>
      </c>
      <c r="O40" s="15" t="n">
        <f aca="false">IF(SUMPRODUCT((Dictionary!$C$5:$C$96=Dictionary!$A$6)*(Dictionary!$D$5:$D$96&lt;&gt;"")*ISNUMBER(SEARCH(Dictionary!$D$5:$D$96,Data!$I40)))&gt;0,1,0)</f>
        <v>0</v>
      </c>
      <c r="P40" s="15" t="n">
        <f aca="false">IF(SUMPRODUCT((Dictionary!$C$5:$C$96=Dictionary!$A$7)*(Dictionary!$D$5:$D$96&lt;&gt;"")*ISNUMBER(SEARCH(Dictionary!$D$5:$D$96,Data!$I40)))&gt;0,1,0)</f>
        <v>0</v>
      </c>
      <c r="Q40" s="15" t="n">
        <f aca="false">IF(SUMPRODUCT((Dictionary!$C$5:$C$96=Dictionary!$A$8)*(Dictionary!$D$5:$D$96&lt;&gt;"")*ISNUMBER(SEARCH(Dictionary!$D$5:$D$96,Data!$I40)))&gt;0,1,0)</f>
        <v>0</v>
      </c>
      <c r="R40" s="15" t="n">
        <f aca="false">IF(SUMPRODUCT((Dictionary!$C$5:$C$96=Dictionary!$A$9)*(Dictionary!$D$5:$D$96&lt;&gt;"")*ISNUMBER(SEARCH(Dictionary!$D$5:$D$96,Data!$I40)))&gt;0,1,0)</f>
        <v>0</v>
      </c>
      <c r="S40" s="15" t="n">
        <f aca="false">IF(SUMPRODUCT((Dictionary!$C$5:$C$96=Dictionary!$A$10)*(Dictionary!$D$5:$D$96&lt;&gt;"")*ISNUMBER(SEARCH(Dictionary!$D$5:$D$96,Data!$I40)))&gt;0,1,0)</f>
        <v>1</v>
      </c>
      <c r="T40" s="15" t="n">
        <f aca="false">IF(SUMPRODUCT((Dictionary!$C$5:$C$96=Dictionary!$A$11)*(Dictionary!$D$5:$D$96&lt;&gt;"")*ISNUMBER(SEARCH(Dictionary!$D$5:$D$96,Data!$I40)))&gt;0,1,0)</f>
        <v>1</v>
      </c>
      <c r="U40" s="15" t="n">
        <f aca="false">IF(SUMPRODUCT((Dictionary!$C$5:$C$96=Dictionary!$A$12)*(Dictionary!$D$5:$D$96&lt;&gt;"")*ISNUMBER(SEARCH(Dictionary!$D$5:$D$96,Data!$I40)))&gt;0,1,0)</f>
        <v>0</v>
      </c>
      <c r="V40" s="15" t="n">
        <f aca="false">IF(SUMPRODUCT((Dictionary!$C$5:$C$96=Dictionary!$A$13)*(Dictionary!$D$5:$D$96&lt;&gt;"")*ISNUMBER(SEARCH(Dictionary!$D$5:$D$96,Data!$I40)))&gt;0,1,0)</f>
        <v>0</v>
      </c>
      <c r="W40" s="15" t="n">
        <f aca="false">IF(SUMPRODUCT((Dictionary!$C$5:$C$96=Dictionary!$A$14)*(Dictionary!$D$5:$D$96&lt;&gt;"")*ISNUMBER(SEARCH(Dictionary!$D$5:$D$96,Data!$I40)))&gt;0,1,0)</f>
        <v>0</v>
      </c>
      <c r="X40" s="15" t="n">
        <f aca="false">IF(SUMPRODUCT((Dictionary!$C$5:$C$96=Dictionary!$A$15)*(Dictionary!$D$5:$D$96&lt;&gt;"")*ISNUMBER(SEARCH(Dictionary!$D$5:$D$96,Data!$I40)))&gt;0,1,0)</f>
        <v>0</v>
      </c>
      <c r="Y40" s="15" t="n">
        <f aca="false">IF(SUMPRODUCT((Dictionary!$C$5:$C$96=Dictionary!$A$16)*(Dictionary!$D$5:$D$96&lt;&gt;"")*ISNUMBER(SEARCH(Dictionary!$D$5:$D$96,Data!$I40)))&gt;0,1,0)</f>
        <v>0</v>
      </c>
      <c r="Z40" s="15" t="n">
        <f aca="false">IF(ISNUMBER(SEARCH("Other",Data!$H40)),1,0)</f>
        <v>0</v>
      </c>
      <c r="AA40" s="15" t="n">
        <f aca="false">IF(Data!$I40&lt;&gt;"",1,0)</f>
        <v>1</v>
      </c>
      <c r="AB40" s="15" t="n">
        <f aca="false">SUM(B40:M40)</f>
        <v>0</v>
      </c>
      <c r="AC40" s="15" t="n">
        <f aca="false">SUMPRODUCT(--((B40:M40+N40:Y40)&gt;0))</f>
        <v>2</v>
      </c>
      <c r="AD40" s="15" t="n">
        <f aca="false">AC40-AB40</f>
        <v>2</v>
      </c>
      <c r="AE40" s="15" t="n">
        <f aca="false">IF(AND(Z40=1,AA40=1),1,0)</f>
        <v>0</v>
      </c>
      <c r="AF40" s="15" t="n">
        <f aca="false">AC40+AE40</f>
        <v>2</v>
      </c>
      <c r="AG40" s="15" t="n">
        <f aca="false">AB40+AE40</f>
        <v>0</v>
      </c>
      <c r="AH40" s="15" t="n">
        <f aca="false">IF(AND(Data!$H40&lt;&gt;"",Data!$I40&lt;&gt;""),1,0)</f>
        <v>0</v>
      </c>
      <c r="AI40" s="15" t="str">
        <f aca="false">IF(AH40=1,SUMPRODUCT(N40:Y40*B40:M40),"")</f>
        <v/>
      </c>
      <c r="AJ40" s="15" t="str">
        <f aca="false">IF(AH40=1,SUMPRODUCT(--(N40:Y40&gt;B40:M40)),"")</f>
        <v/>
      </c>
      <c r="AK40" s="15" t="str">
        <f aca="false">IF(AH40=1,AB40,"")</f>
        <v/>
      </c>
    </row>
    <row r="41" customFormat="false" ht="15" hidden="false" customHeight="true" outlineLevel="0" collapsed="false">
      <c r="A41" s="15" t="str">
        <f aca="false">Data!$A41</f>
        <v>DSpace</v>
      </c>
      <c r="B41" s="15" t="n">
        <f aca="false">IF(ISNUMBER(SEARCH(Dictionary!$A$5,Data!$H41)),1,0)</f>
        <v>1</v>
      </c>
      <c r="C41" s="15" t="n">
        <f aca="false">IF(ISNUMBER(SEARCH(Dictionary!$A$6,Data!$H41)),1,0)</f>
        <v>0</v>
      </c>
      <c r="D41" s="15" t="n">
        <f aca="false">IF(ISNUMBER(SEARCH(Dictionary!$A$7,Data!$H41)),1,0)</f>
        <v>0</v>
      </c>
      <c r="E41" s="15" t="n">
        <f aca="false">IF(ISNUMBER(SEARCH(Dictionary!$A$8,Data!$H41)),1,0)</f>
        <v>1</v>
      </c>
      <c r="F41" s="15" t="n">
        <f aca="false">IF(ISNUMBER(SEARCH(Dictionary!$A$9,Data!$H41)),1,0)</f>
        <v>1</v>
      </c>
      <c r="G41" s="15" t="n">
        <f aca="false">IF(ISNUMBER(SEARCH(Dictionary!$A$10,Data!$H41)),1,0)</f>
        <v>1</v>
      </c>
      <c r="H41" s="15" t="n">
        <f aca="false">IF(ISNUMBER(SEARCH(Dictionary!$A$11,Data!$H41)),1,0)</f>
        <v>1</v>
      </c>
      <c r="I41" s="15" t="n">
        <f aca="false">IF(ISNUMBER(SEARCH(Dictionary!$A$12,Data!$H41)),1,0)</f>
        <v>0</v>
      </c>
      <c r="J41" s="15" t="n">
        <f aca="false">IF(ISNUMBER(SEARCH(Dictionary!$A$13,Data!$H41)),1,0)</f>
        <v>1</v>
      </c>
      <c r="K41" s="15" t="n">
        <f aca="false">IF(ISNUMBER(SEARCH(Dictionary!$A$14,Data!$H41)),1,0)</f>
        <v>0</v>
      </c>
      <c r="L41" s="15" t="n">
        <f aca="false">IF(ISNUMBER(SEARCH(Dictionary!$A$15,Data!$H41)),1,0)</f>
        <v>0</v>
      </c>
      <c r="M41" s="15" t="n">
        <f aca="false">IF(ISNUMBER(SEARCH(Dictionary!$A$16,Data!$H41)),1,0)</f>
        <v>1</v>
      </c>
      <c r="N41" s="15" t="n">
        <f aca="false">IF(SUMPRODUCT((Dictionary!$C$5:$C$96=Dictionary!$A$5)*(Dictionary!$D$5:$D$96&lt;&gt;"")*ISNUMBER(SEARCH(Dictionary!$D$5:$D$96,Data!$I41)))&gt;0,1,0)</f>
        <v>0</v>
      </c>
      <c r="O41" s="15" t="n">
        <f aca="false">IF(SUMPRODUCT((Dictionary!$C$5:$C$96=Dictionary!$A$6)*(Dictionary!$D$5:$D$96&lt;&gt;"")*ISNUMBER(SEARCH(Dictionary!$D$5:$D$96,Data!$I41)))&gt;0,1,0)</f>
        <v>0</v>
      </c>
      <c r="P41" s="15" t="n">
        <f aca="false">IF(SUMPRODUCT((Dictionary!$C$5:$C$96=Dictionary!$A$7)*(Dictionary!$D$5:$D$96&lt;&gt;"")*ISNUMBER(SEARCH(Dictionary!$D$5:$D$96,Data!$I41)))&gt;0,1,0)</f>
        <v>0</v>
      </c>
      <c r="Q41" s="15" t="n">
        <f aca="false">IF(SUMPRODUCT((Dictionary!$C$5:$C$96=Dictionary!$A$8)*(Dictionary!$D$5:$D$96&lt;&gt;"")*ISNUMBER(SEARCH(Dictionary!$D$5:$D$96,Data!$I41)))&gt;0,1,0)</f>
        <v>0</v>
      </c>
      <c r="R41" s="15" t="n">
        <f aca="false">IF(SUMPRODUCT((Dictionary!$C$5:$C$96=Dictionary!$A$9)*(Dictionary!$D$5:$D$96&lt;&gt;"")*ISNUMBER(SEARCH(Dictionary!$D$5:$D$96,Data!$I41)))&gt;0,1,0)</f>
        <v>0</v>
      </c>
      <c r="S41" s="15" t="n">
        <f aca="false">IF(SUMPRODUCT((Dictionary!$C$5:$C$96=Dictionary!$A$10)*(Dictionary!$D$5:$D$96&lt;&gt;"")*ISNUMBER(SEARCH(Dictionary!$D$5:$D$96,Data!$I41)))&gt;0,1,0)</f>
        <v>0</v>
      </c>
      <c r="T41" s="15" t="n">
        <f aca="false">IF(SUMPRODUCT((Dictionary!$C$5:$C$96=Dictionary!$A$11)*(Dictionary!$D$5:$D$96&lt;&gt;"")*ISNUMBER(SEARCH(Dictionary!$D$5:$D$96,Data!$I41)))&gt;0,1,0)</f>
        <v>0</v>
      </c>
      <c r="U41" s="15" t="n">
        <f aca="false">IF(SUMPRODUCT((Dictionary!$C$5:$C$96=Dictionary!$A$12)*(Dictionary!$D$5:$D$96&lt;&gt;"")*ISNUMBER(SEARCH(Dictionary!$D$5:$D$96,Data!$I41)))&gt;0,1,0)</f>
        <v>0</v>
      </c>
      <c r="V41" s="15" t="n">
        <f aca="false">IF(SUMPRODUCT((Dictionary!$C$5:$C$96=Dictionary!$A$13)*(Dictionary!$D$5:$D$96&lt;&gt;"")*ISNUMBER(SEARCH(Dictionary!$D$5:$D$96,Data!$I41)))&gt;0,1,0)</f>
        <v>0</v>
      </c>
      <c r="W41" s="15" t="n">
        <f aca="false">IF(SUMPRODUCT((Dictionary!$C$5:$C$96=Dictionary!$A$14)*(Dictionary!$D$5:$D$96&lt;&gt;"")*ISNUMBER(SEARCH(Dictionary!$D$5:$D$96,Data!$I41)))&gt;0,1,0)</f>
        <v>0</v>
      </c>
      <c r="X41" s="15" t="n">
        <f aca="false">IF(SUMPRODUCT((Dictionary!$C$5:$C$96=Dictionary!$A$15)*(Dictionary!$D$5:$D$96&lt;&gt;"")*ISNUMBER(SEARCH(Dictionary!$D$5:$D$96,Data!$I41)))&gt;0,1,0)</f>
        <v>0</v>
      </c>
      <c r="Y41" s="15" t="n">
        <f aca="false">IF(SUMPRODUCT((Dictionary!$C$5:$C$96=Dictionary!$A$16)*(Dictionary!$D$5:$D$96&lt;&gt;"")*ISNUMBER(SEARCH(Dictionary!$D$5:$D$96,Data!$I41)))&gt;0,1,0)</f>
        <v>0</v>
      </c>
      <c r="Z41" s="15" t="n">
        <f aca="false">IF(ISNUMBER(SEARCH("Other",Data!$H41)),1,0)</f>
        <v>0</v>
      </c>
      <c r="AA41" s="15" t="n">
        <f aca="false">IF(Data!$I41&lt;&gt;"",1,0)</f>
        <v>1</v>
      </c>
      <c r="AB41" s="15" t="n">
        <f aca="false">SUM(B41:M41)</f>
        <v>7</v>
      </c>
      <c r="AC41" s="15" t="n">
        <f aca="false">SUMPRODUCT(--((B41:M41+N41:Y41)&gt;0))</f>
        <v>7</v>
      </c>
      <c r="AD41" s="15" t="n">
        <f aca="false">AC41-AB41</f>
        <v>0</v>
      </c>
      <c r="AE41" s="15" t="n">
        <f aca="false">IF(AND(Z41=1,AA41=1),1,0)</f>
        <v>0</v>
      </c>
      <c r="AF41" s="15" t="n">
        <f aca="false">AC41+AE41</f>
        <v>7</v>
      </c>
      <c r="AG41" s="15" t="n">
        <f aca="false">AB41+AE41</f>
        <v>7</v>
      </c>
      <c r="AH41" s="15" t="n">
        <f aca="false">IF(AND(Data!$H41&lt;&gt;"",Data!$I41&lt;&gt;""),1,0)</f>
        <v>1</v>
      </c>
      <c r="AI41" s="15" t="n">
        <f aca="false">IF(AH41=1,SUMPRODUCT(N41:Y41*B41:M41),"")</f>
        <v>0</v>
      </c>
      <c r="AJ41" s="15" t="n">
        <f aca="false">IF(AH41=1,SUMPRODUCT(--(N41:Y41&gt;B41:M41)),"")</f>
        <v>0</v>
      </c>
      <c r="AK41" s="15" t="n">
        <f aca="false">IF(AH41=1,AB41,"")</f>
        <v>7</v>
      </c>
    </row>
    <row r="42" customFormat="false" ht="15" hidden="false" customHeight="true" outlineLevel="0" collapsed="false">
      <c r="A42" s="15" t="str">
        <f aca="false">Data!$A42</f>
        <v>DuraCloud</v>
      </c>
      <c r="B42" s="15" t="n">
        <f aca="false">IF(ISNUMBER(SEARCH(Dictionary!$A$5,Data!$H42)),1,0)</f>
        <v>0</v>
      </c>
      <c r="C42" s="15" t="n">
        <f aca="false">IF(ISNUMBER(SEARCH(Dictionary!$A$6,Data!$H42)),1,0)</f>
        <v>0</v>
      </c>
      <c r="D42" s="15" t="n">
        <f aca="false">IF(ISNUMBER(SEARCH(Dictionary!$A$7,Data!$H42)),1,0)</f>
        <v>0</v>
      </c>
      <c r="E42" s="15" t="n">
        <f aca="false">IF(ISNUMBER(SEARCH(Dictionary!$A$8,Data!$H42)),1,0)</f>
        <v>0</v>
      </c>
      <c r="F42" s="15" t="n">
        <f aca="false">IF(ISNUMBER(SEARCH(Dictionary!$A$9,Data!$H42)),1,0)</f>
        <v>0</v>
      </c>
      <c r="G42" s="15" t="n">
        <f aca="false">IF(ISNUMBER(SEARCH(Dictionary!$A$10,Data!$H42)),1,0)</f>
        <v>0</v>
      </c>
      <c r="H42" s="15" t="n">
        <f aca="false">IF(ISNUMBER(SEARCH(Dictionary!$A$11,Data!$H42)),1,0)</f>
        <v>0</v>
      </c>
      <c r="I42" s="15" t="n">
        <f aca="false">IF(ISNUMBER(SEARCH(Dictionary!$A$12,Data!$H42)),1,0)</f>
        <v>0</v>
      </c>
      <c r="J42" s="15" t="n">
        <f aca="false">IF(ISNUMBER(SEARCH(Dictionary!$A$13,Data!$H42)),1,0)</f>
        <v>0</v>
      </c>
      <c r="K42" s="15" t="n">
        <f aca="false">IF(ISNUMBER(SEARCH(Dictionary!$A$14,Data!$H42)),1,0)</f>
        <v>0</v>
      </c>
      <c r="L42" s="15" t="n">
        <f aca="false">IF(ISNUMBER(SEARCH(Dictionary!$A$15,Data!$H42)),1,0)</f>
        <v>0</v>
      </c>
      <c r="M42" s="15" t="n">
        <f aca="false">IF(ISNUMBER(SEARCH(Dictionary!$A$16,Data!$H42)),1,0)</f>
        <v>0</v>
      </c>
      <c r="N42" s="15" t="n">
        <f aca="false">IF(SUMPRODUCT((Dictionary!$C$5:$C$96=Dictionary!$A$5)*(Dictionary!$D$5:$D$96&lt;&gt;"")*ISNUMBER(SEARCH(Dictionary!$D$5:$D$96,Data!$I42)))&gt;0,1,0)</f>
        <v>0</v>
      </c>
      <c r="O42" s="15" t="n">
        <f aca="false">IF(SUMPRODUCT((Dictionary!$C$5:$C$96=Dictionary!$A$6)*(Dictionary!$D$5:$D$96&lt;&gt;"")*ISNUMBER(SEARCH(Dictionary!$D$5:$D$96,Data!$I42)))&gt;0,1,0)</f>
        <v>0</v>
      </c>
      <c r="P42" s="15" t="n">
        <f aca="false">IF(SUMPRODUCT((Dictionary!$C$5:$C$96=Dictionary!$A$7)*(Dictionary!$D$5:$D$96&lt;&gt;"")*ISNUMBER(SEARCH(Dictionary!$D$5:$D$96,Data!$I42)))&gt;0,1,0)</f>
        <v>0</v>
      </c>
      <c r="Q42" s="15" t="n">
        <f aca="false">IF(SUMPRODUCT((Dictionary!$C$5:$C$96=Dictionary!$A$8)*(Dictionary!$D$5:$D$96&lt;&gt;"")*ISNUMBER(SEARCH(Dictionary!$D$5:$D$96,Data!$I42)))&gt;0,1,0)</f>
        <v>0</v>
      </c>
      <c r="R42" s="15" t="n">
        <f aca="false">IF(SUMPRODUCT((Dictionary!$C$5:$C$96=Dictionary!$A$9)*(Dictionary!$D$5:$D$96&lt;&gt;"")*ISNUMBER(SEARCH(Dictionary!$D$5:$D$96,Data!$I42)))&gt;0,1,0)</f>
        <v>0</v>
      </c>
      <c r="S42" s="15" t="n">
        <f aca="false">IF(SUMPRODUCT((Dictionary!$C$5:$C$96=Dictionary!$A$10)*(Dictionary!$D$5:$D$96&lt;&gt;"")*ISNUMBER(SEARCH(Dictionary!$D$5:$D$96,Data!$I42)))&gt;0,1,0)</f>
        <v>0</v>
      </c>
      <c r="T42" s="15" t="n">
        <f aca="false">IF(SUMPRODUCT((Dictionary!$C$5:$C$96=Dictionary!$A$11)*(Dictionary!$D$5:$D$96&lt;&gt;"")*ISNUMBER(SEARCH(Dictionary!$D$5:$D$96,Data!$I42)))&gt;0,1,0)</f>
        <v>0</v>
      </c>
      <c r="U42" s="15" t="n">
        <f aca="false">IF(SUMPRODUCT((Dictionary!$C$5:$C$96=Dictionary!$A$12)*(Dictionary!$D$5:$D$96&lt;&gt;"")*ISNUMBER(SEARCH(Dictionary!$D$5:$D$96,Data!$I42)))&gt;0,1,0)</f>
        <v>0</v>
      </c>
      <c r="V42" s="15" t="n">
        <f aca="false">IF(SUMPRODUCT((Dictionary!$C$5:$C$96=Dictionary!$A$13)*(Dictionary!$D$5:$D$96&lt;&gt;"")*ISNUMBER(SEARCH(Dictionary!$D$5:$D$96,Data!$I42)))&gt;0,1,0)</f>
        <v>0</v>
      </c>
      <c r="W42" s="15" t="n">
        <f aca="false">IF(SUMPRODUCT((Dictionary!$C$5:$C$96=Dictionary!$A$14)*(Dictionary!$D$5:$D$96&lt;&gt;"")*ISNUMBER(SEARCH(Dictionary!$D$5:$D$96,Data!$I42)))&gt;0,1,0)</f>
        <v>0</v>
      </c>
      <c r="X42" s="15" t="n">
        <f aca="false">IF(SUMPRODUCT((Dictionary!$C$5:$C$96=Dictionary!$A$15)*(Dictionary!$D$5:$D$96&lt;&gt;"")*ISNUMBER(SEARCH(Dictionary!$D$5:$D$96,Data!$I42)))&gt;0,1,0)</f>
        <v>0</v>
      </c>
      <c r="Y42" s="15" t="n">
        <f aca="false">IF(SUMPRODUCT((Dictionary!$C$5:$C$96=Dictionary!$A$16)*(Dictionary!$D$5:$D$96&lt;&gt;"")*ISNUMBER(SEARCH(Dictionary!$D$5:$D$96,Data!$I42)))&gt;0,1,0)</f>
        <v>0</v>
      </c>
      <c r="Z42" s="15" t="n">
        <f aca="false">IF(ISNUMBER(SEARCH("Other",Data!$H42)),1,0)</f>
        <v>0</v>
      </c>
      <c r="AA42" s="15" t="n">
        <f aca="false">IF(Data!$I42&lt;&gt;"",1,0)</f>
        <v>0</v>
      </c>
      <c r="AB42" s="15" t="n">
        <f aca="false">SUM(B42:M42)</f>
        <v>0</v>
      </c>
      <c r="AC42" s="15" t="n">
        <f aca="false">SUMPRODUCT(--((B42:M42+N42:Y42)&gt;0))</f>
        <v>0</v>
      </c>
      <c r="AD42" s="15" t="n">
        <f aca="false">AC42-AB42</f>
        <v>0</v>
      </c>
      <c r="AE42" s="15" t="n">
        <f aca="false">IF(AND(Z42=1,AA42=1),1,0)</f>
        <v>0</v>
      </c>
      <c r="AF42" s="15" t="n">
        <f aca="false">AC42+AE42</f>
        <v>0</v>
      </c>
      <c r="AG42" s="15" t="n">
        <f aca="false">AB42+AE42</f>
        <v>0</v>
      </c>
      <c r="AH42" s="15" t="n">
        <f aca="false">IF(AND(Data!$H42&lt;&gt;"",Data!$I42&lt;&gt;""),1,0)</f>
        <v>0</v>
      </c>
      <c r="AI42" s="15" t="str">
        <f aca="false">IF(AH42=1,SUMPRODUCT(N42:Y42*B42:M42),"")</f>
        <v/>
      </c>
      <c r="AJ42" s="15" t="str">
        <f aca="false">IF(AH42=1,SUMPRODUCT(--(N42:Y42&gt;B42:M42)),"")</f>
        <v/>
      </c>
      <c r="AK42" s="15" t="str">
        <f aca="false">IF(AH42=1,AB42,"")</f>
        <v/>
      </c>
    </row>
    <row r="43" customFormat="false" ht="15" hidden="false" customHeight="true" outlineLevel="0" collapsed="false">
      <c r="A43" s="15" t="str">
        <f aca="false">Data!$A43</f>
        <v>Episciences</v>
      </c>
      <c r="B43" s="15" t="n">
        <f aca="false">IF(ISNUMBER(SEARCH(Dictionary!$A$5,Data!$H43)),1,0)</f>
        <v>0</v>
      </c>
      <c r="C43" s="15" t="n">
        <f aca="false">IF(ISNUMBER(SEARCH(Dictionary!$A$6,Data!$H43)),1,0)</f>
        <v>0</v>
      </c>
      <c r="D43" s="15" t="n">
        <f aca="false">IF(ISNUMBER(SEARCH(Dictionary!$A$7,Data!$H43)),1,0)</f>
        <v>0</v>
      </c>
      <c r="E43" s="15" t="n">
        <f aca="false">IF(ISNUMBER(SEARCH(Dictionary!$A$8,Data!$H43)),1,0)</f>
        <v>0</v>
      </c>
      <c r="F43" s="15" t="n">
        <f aca="false">IF(ISNUMBER(SEARCH(Dictionary!$A$9,Data!$H43)),1,0)</f>
        <v>0</v>
      </c>
      <c r="G43" s="15" t="n">
        <f aca="false">IF(ISNUMBER(SEARCH(Dictionary!$A$10,Data!$H43)),1,0)</f>
        <v>0</v>
      </c>
      <c r="H43" s="15" t="n">
        <f aca="false">IF(ISNUMBER(SEARCH(Dictionary!$A$11,Data!$H43)),1,0)</f>
        <v>0</v>
      </c>
      <c r="I43" s="15" t="n">
        <f aca="false">IF(ISNUMBER(SEARCH(Dictionary!$A$12,Data!$H43)),1,0)</f>
        <v>0</v>
      </c>
      <c r="J43" s="15" t="n">
        <f aca="false">IF(ISNUMBER(SEARCH(Dictionary!$A$13,Data!$H43)),1,0)</f>
        <v>0</v>
      </c>
      <c r="K43" s="15" t="n">
        <f aca="false">IF(ISNUMBER(SEARCH(Dictionary!$A$14,Data!$H43)),1,0)</f>
        <v>0</v>
      </c>
      <c r="L43" s="15" t="n">
        <f aca="false">IF(ISNUMBER(SEARCH(Dictionary!$A$15,Data!$H43)),1,0)</f>
        <v>0</v>
      </c>
      <c r="M43" s="15" t="n">
        <f aca="false">IF(ISNUMBER(SEARCH(Dictionary!$A$16,Data!$H43)),1,0)</f>
        <v>0</v>
      </c>
      <c r="N43" s="15" t="n">
        <f aca="false">IF(SUMPRODUCT((Dictionary!$C$5:$C$96=Dictionary!$A$5)*(Dictionary!$D$5:$D$96&lt;&gt;"")*ISNUMBER(SEARCH(Dictionary!$D$5:$D$96,Data!$I43)))&gt;0,1,0)</f>
        <v>0</v>
      </c>
      <c r="O43" s="15" t="n">
        <f aca="false">IF(SUMPRODUCT((Dictionary!$C$5:$C$96=Dictionary!$A$6)*(Dictionary!$D$5:$D$96&lt;&gt;"")*ISNUMBER(SEARCH(Dictionary!$D$5:$D$96,Data!$I43)))&gt;0,1,0)</f>
        <v>0</v>
      </c>
      <c r="P43" s="15" t="n">
        <f aca="false">IF(SUMPRODUCT((Dictionary!$C$5:$C$96=Dictionary!$A$7)*(Dictionary!$D$5:$D$96&lt;&gt;"")*ISNUMBER(SEARCH(Dictionary!$D$5:$D$96,Data!$I43)))&gt;0,1,0)</f>
        <v>0</v>
      </c>
      <c r="Q43" s="15" t="n">
        <f aca="false">IF(SUMPRODUCT((Dictionary!$C$5:$C$96=Dictionary!$A$8)*(Dictionary!$D$5:$D$96&lt;&gt;"")*ISNUMBER(SEARCH(Dictionary!$D$5:$D$96,Data!$I43)))&gt;0,1,0)</f>
        <v>0</v>
      </c>
      <c r="R43" s="15" t="n">
        <f aca="false">IF(SUMPRODUCT((Dictionary!$C$5:$C$96=Dictionary!$A$9)*(Dictionary!$D$5:$D$96&lt;&gt;"")*ISNUMBER(SEARCH(Dictionary!$D$5:$D$96,Data!$I43)))&gt;0,1,0)</f>
        <v>0</v>
      </c>
      <c r="S43" s="15" t="n">
        <f aca="false">IF(SUMPRODUCT((Dictionary!$C$5:$C$96=Dictionary!$A$10)*(Dictionary!$D$5:$D$96&lt;&gt;"")*ISNUMBER(SEARCH(Dictionary!$D$5:$D$96,Data!$I43)))&gt;0,1,0)</f>
        <v>0</v>
      </c>
      <c r="T43" s="15" t="n">
        <f aca="false">IF(SUMPRODUCT((Dictionary!$C$5:$C$96=Dictionary!$A$11)*(Dictionary!$D$5:$D$96&lt;&gt;"")*ISNUMBER(SEARCH(Dictionary!$D$5:$D$96,Data!$I43)))&gt;0,1,0)</f>
        <v>0</v>
      </c>
      <c r="U43" s="15" t="n">
        <f aca="false">IF(SUMPRODUCT((Dictionary!$C$5:$C$96=Dictionary!$A$12)*(Dictionary!$D$5:$D$96&lt;&gt;"")*ISNUMBER(SEARCH(Dictionary!$D$5:$D$96,Data!$I43)))&gt;0,1,0)</f>
        <v>0</v>
      </c>
      <c r="V43" s="15" t="n">
        <f aca="false">IF(SUMPRODUCT((Dictionary!$C$5:$C$96=Dictionary!$A$13)*(Dictionary!$D$5:$D$96&lt;&gt;"")*ISNUMBER(SEARCH(Dictionary!$D$5:$D$96,Data!$I43)))&gt;0,1,0)</f>
        <v>0</v>
      </c>
      <c r="W43" s="15" t="n">
        <f aca="false">IF(SUMPRODUCT((Dictionary!$C$5:$C$96=Dictionary!$A$14)*(Dictionary!$D$5:$D$96&lt;&gt;"")*ISNUMBER(SEARCH(Dictionary!$D$5:$D$96,Data!$I43)))&gt;0,1,0)</f>
        <v>0</v>
      </c>
      <c r="X43" s="15" t="n">
        <f aca="false">IF(SUMPRODUCT((Dictionary!$C$5:$C$96=Dictionary!$A$15)*(Dictionary!$D$5:$D$96&lt;&gt;"")*ISNUMBER(SEARCH(Dictionary!$D$5:$D$96,Data!$I43)))&gt;0,1,0)</f>
        <v>0</v>
      </c>
      <c r="Y43" s="15" t="n">
        <f aca="false">IF(SUMPRODUCT((Dictionary!$C$5:$C$96=Dictionary!$A$16)*(Dictionary!$D$5:$D$96&lt;&gt;"")*ISNUMBER(SEARCH(Dictionary!$D$5:$D$96,Data!$I43)))&gt;0,1,0)</f>
        <v>0</v>
      </c>
      <c r="Z43" s="15" t="n">
        <f aca="false">IF(ISNUMBER(SEARCH("Other",Data!$H43)),1,0)</f>
        <v>0</v>
      </c>
      <c r="AA43" s="15" t="n">
        <f aca="false">IF(Data!$I43&lt;&gt;"",1,0)</f>
        <v>0</v>
      </c>
      <c r="AB43" s="15" t="n">
        <f aca="false">SUM(B43:M43)</f>
        <v>0</v>
      </c>
      <c r="AC43" s="15" t="n">
        <f aca="false">SUMPRODUCT(--((B43:M43+N43:Y43)&gt;0))</f>
        <v>0</v>
      </c>
      <c r="AD43" s="15" t="n">
        <f aca="false">AC43-AB43</f>
        <v>0</v>
      </c>
      <c r="AE43" s="15" t="n">
        <f aca="false">IF(AND(Z43=1,AA43=1),1,0)</f>
        <v>0</v>
      </c>
      <c r="AF43" s="15" t="n">
        <f aca="false">AC43+AE43</f>
        <v>0</v>
      </c>
      <c r="AG43" s="15" t="n">
        <f aca="false">AB43+AE43</f>
        <v>0</v>
      </c>
      <c r="AH43" s="15" t="n">
        <f aca="false">IF(AND(Data!$H43&lt;&gt;"",Data!$I43&lt;&gt;""),1,0)</f>
        <v>0</v>
      </c>
      <c r="AI43" s="15" t="str">
        <f aca="false">IF(AH43=1,SUMPRODUCT(N43:Y43*B43:M43),"")</f>
        <v/>
      </c>
      <c r="AJ43" s="15" t="str">
        <f aca="false">IF(AH43=1,SUMPRODUCT(--(N43:Y43&gt;B43:M43)),"")</f>
        <v/>
      </c>
      <c r="AK43" s="15" t="str">
        <f aca="false">IF(AH43=1,AB43,"")</f>
        <v/>
      </c>
    </row>
    <row r="44" customFormat="false" ht="15" hidden="false" customHeight="true" outlineLevel="0" collapsed="false">
      <c r="A44" s="15" t="str">
        <f aca="false">Data!$A44</f>
        <v>EPrints</v>
      </c>
      <c r="B44" s="15" t="n">
        <f aca="false">IF(ISNUMBER(SEARCH(Dictionary!$A$5,Data!$H44)),1,0)</f>
        <v>0</v>
      </c>
      <c r="C44" s="15" t="n">
        <f aca="false">IF(ISNUMBER(SEARCH(Dictionary!$A$6,Data!$H44)),1,0)</f>
        <v>0</v>
      </c>
      <c r="D44" s="15" t="n">
        <f aca="false">IF(ISNUMBER(SEARCH(Dictionary!$A$7,Data!$H44)),1,0)</f>
        <v>0</v>
      </c>
      <c r="E44" s="15" t="n">
        <f aca="false">IF(ISNUMBER(SEARCH(Dictionary!$A$8,Data!$H44)),1,0)</f>
        <v>0</v>
      </c>
      <c r="F44" s="15" t="n">
        <f aca="false">IF(ISNUMBER(SEARCH(Dictionary!$A$9,Data!$H44)),1,0)</f>
        <v>0</v>
      </c>
      <c r="G44" s="15" t="n">
        <f aca="false">IF(ISNUMBER(SEARCH(Dictionary!$A$10,Data!$H44)),1,0)</f>
        <v>0</v>
      </c>
      <c r="H44" s="15" t="n">
        <f aca="false">IF(ISNUMBER(SEARCH(Dictionary!$A$11,Data!$H44)),1,0)</f>
        <v>0</v>
      </c>
      <c r="I44" s="15" t="n">
        <f aca="false">IF(ISNUMBER(SEARCH(Dictionary!$A$12,Data!$H44)),1,0)</f>
        <v>0</v>
      </c>
      <c r="J44" s="15" t="n">
        <f aca="false">IF(ISNUMBER(SEARCH(Dictionary!$A$13,Data!$H44)),1,0)</f>
        <v>0</v>
      </c>
      <c r="K44" s="15" t="n">
        <f aca="false">IF(ISNUMBER(SEARCH(Dictionary!$A$14,Data!$H44)),1,0)</f>
        <v>0</v>
      </c>
      <c r="L44" s="15" t="n">
        <f aca="false">IF(ISNUMBER(SEARCH(Dictionary!$A$15,Data!$H44)),1,0)</f>
        <v>0</v>
      </c>
      <c r="M44" s="15" t="n">
        <f aca="false">IF(ISNUMBER(SEARCH(Dictionary!$A$16,Data!$H44)),1,0)</f>
        <v>0</v>
      </c>
      <c r="N44" s="15" t="n">
        <f aca="false">IF(SUMPRODUCT((Dictionary!$C$5:$C$96=Dictionary!$A$5)*(Dictionary!$D$5:$D$96&lt;&gt;"")*ISNUMBER(SEARCH(Dictionary!$D$5:$D$96,Data!$I44)))&gt;0,1,0)</f>
        <v>0</v>
      </c>
      <c r="O44" s="15" t="n">
        <f aca="false">IF(SUMPRODUCT((Dictionary!$C$5:$C$96=Dictionary!$A$6)*(Dictionary!$D$5:$D$96&lt;&gt;"")*ISNUMBER(SEARCH(Dictionary!$D$5:$D$96,Data!$I44)))&gt;0,1,0)</f>
        <v>0</v>
      </c>
      <c r="P44" s="15" t="n">
        <f aca="false">IF(SUMPRODUCT((Dictionary!$C$5:$C$96=Dictionary!$A$7)*(Dictionary!$D$5:$D$96&lt;&gt;"")*ISNUMBER(SEARCH(Dictionary!$D$5:$D$96,Data!$I44)))&gt;0,1,0)</f>
        <v>0</v>
      </c>
      <c r="Q44" s="15" t="n">
        <f aca="false">IF(SUMPRODUCT((Dictionary!$C$5:$C$96=Dictionary!$A$8)*(Dictionary!$D$5:$D$96&lt;&gt;"")*ISNUMBER(SEARCH(Dictionary!$D$5:$D$96,Data!$I44)))&gt;0,1,0)</f>
        <v>0</v>
      </c>
      <c r="R44" s="15" t="n">
        <f aca="false">IF(SUMPRODUCT((Dictionary!$C$5:$C$96=Dictionary!$A$9)*(Dictionary!$D$5:$D$96&lt;&gt;"")*ISNUMBER(SEARCH(Dictionary!$D$5:$D$96,Data!$I44)))&gt;0,1,0)</f>
        <v>0</v>
      </c>
      <c r="S44" s="15" t="n">
        <f aca="false">IF(SUMPRODUCT((Dictionary!$C$5:$C$96=Dictionary!$A$10)*(Dictionary!$D$5:$D$96&lt;&gt;"")*ISNUMBER(SEARCH(Dictionary!$D$5:$D$96,Data!$I44)))&gt;0,1,0)</f>
        <v>0</v>
      </c>
      <c r="T44" s="15" t="n">
        <f aca="false">IF(SUMPRODUCT((Dictionary!$C$5:$C$96=Dictionary!$A$11)*(Dictionary!$D$5:$D$96&lt;&gt;"")*ISNUMBER(SEARCH(Dictionary!$D$5:$D$96,Data!$I44)))&gt;0,1,0)</f>
        <v>0</v>
      </c>
      <c r="U44" s="15" t="n">
        <f aca="false">IF(SUMPRODUCT((Dictionary!$C$5:$C$96=Dictionary!$A$12)*(Dictionary!$D$5:$D$96&lt;&gt;"")*ISNUMBER(SEARCH(Dictionary!$D$5:$D$96,Data!$I44)))&gt;0,1,0)</f>
        <v>0</v>
      </c>
      <c r="V44" s="15" t="n">
        <f aca="false">IF(SUMPRODUCT((Dictionary!$C$5:$C$96=Dictionary!$A$13)*(Dictionary!$D$5:$D$96&lt;&gt;"")*ISNUMBER(SEARCH(Dictionary!$D$5:$D$96,Data!$I44)))&gt;0,1,0)</f>
        <v>0</v>
      </c>
      <c r="W44" s="15" t="n">
        <f aca="false">IF(SUMPRODUCT((Dictionary!$C$5:$C$96=Dictionary!$A$14)*(Dictionary!$D$5:$D$96&lt;&gt;"")*ISNUMBER(SEARCH(Dictionary!$D$5:$D$96,Data!$I44)))&gt;0,1,0)</f>
        <v>0</v>
      </c>
      <c r="X44" s="15" t="n">
        <f aca="false">IF(SUMPRODUCT((Dictionary!$C$5:$C$96=Dictionary!$A$15)*(Dictionary!$D$5:$D$96&lt;&gt;"")*ISNUMBER(SEARCH(Dictionary!$D$5:$D$96,Data!$I44)))&gt;0,1,0)</f>
        <v>0</v>
      </c>
      <c r="Y44" s="15" t="n">
        <f aca="false">IF(SUMPRODUCT((Dictionary!$C$5:$C$96=Dictionary!$A$16)*(Dictionary!$D$5:$D$96&lt;&gt;"")*ISNUMBER(SEARCH(Dictionary!$D$5:$D$96,Data!$I44)))&gt;0,1,0)</f>
        <v>0</v>
      </c>
      <c r="Z44" s="15" t="n">
        <f aca="false">IF(ISNUMBER(SEARCH("Other",Data!$H44)),1,0)</f>
        <v>0</v>
      </c>
      <c r="AA44" s="15" t="n">
        <f aca="false">IF(Data!$I44&lt;&gt;"",1,0)</f>
        <v>0</v>
      </c>
      <c r="AB44" s="15" t="n">
        <f aca="false">SUM(B44:M44)</f>
        <v>0</v>
      </c>
      <c r="AC44" s="15" t="n">
        <f aca="false">SUMPRODUCT(--((B44:M44+N44:Y44)&gt;0))</f>
        <v>0</v>
      </c>
      <c r="AD44" s="15" t="n">
        <f aca="false">AC44-AB44</f>
        <v>0</v>
      </c>
      <c r="AE44" s="15" t="n">
        <f aca="false">IF(AND(Z44=1,AA44=1),1,0)</f>
        <v>0</v>
      </c>
      <c r="AF44" s="15" t="n">
        <f aca="false">AC44+AE44</f>
        <v>0</v>
      </c>
      <c r="AG44" s="15" t="n">
        <f aca="false">AB44+AE44</f>
        <v>0</v>
      </c>
      <c r="AH44" s="15" t="n">
        <f aca="false">IF(AND(Data!$H44&lt;&gt;"",Data!$I44&lt;&gt;""),1,0)</f>
        <v>0</v>
      </c>
      <c r="AI44" s="15" t="str">
        <f aca="false">IF(AH44=1,SUMPRODUCT(N44:Y44*B44:M44),"")</f>
        <v/>
      </c>
      <c r="AJ44" s="15" t="str">
        <f aca="false">IF(AH44=1,SUMPRODUCT(--(N44:Y44&gt;B44:M44)),"")</f>
        <v/>
      </c>
      <c r="AK44" s="15" t="str">
        <f aca="false">IF(AH44=1,AB44,"")</f>
        <v/>
      </c>
    </row>
    <row r="45" customFormat="false" ht="15" hidden="false" customHeight="true" outlineLevel="0" collapsed="false">
      <c r="A45" s="15" t="str">
        <f aca="false">Data!$A45</f>
        <v>Érudit</v>
      </c>
      <c r="B45" s="15" t="n">
        <f aca="false">IF(ISNUMBER(SEARCH(Dictionary!$A$5,Data!$H45)),1,0)</f>
        <v>0</v>
      </c>
      <c r="C45" s="15" t="n">
        <f aca="false">IF(ISNUMBER(SEARCH(Dictionary!$A$6,Data!$H45)),1,0)</f>
        <v>0</v>
      </c>
      <c r="D45" s="15" t="n">
        <f aca="false">IF(ISNUMBER(SEARCH(Dictionary!$A$7,Data!$H45)),1,0)</f>
        <v>0</v>
      </c>
      <c r="E45" s="15" t="n">
        <f aca="false">IF(ISNUMBER(SEARCH(Dictionary!$A$8,Data!$H45)),1,0)</f>
        <v>0</v>
      </c>
      <c r="F45" s="15" t="n">
        <f aca="false">IF(ISNUMBER(SEARCH(Dictionary!$A$9,Data!$H45)),1,0)</f>
        <v>0</v>
      </c>
      <c r="G45" s="15" t="n">
        <f aca="false">IF(ISNUMBER(SEARCH(Dictionary!$A$10,Data!$H45)),1,0)</f>
        <v>0</v>
      </c>
      <c r="H45" s="15" t="n">
        <f aca="false">IF(ISNUMBER(SEARCH(Dictionary!$A$11,Data!$H45)),1,0)</f>
        <v>0</v>
      </c>
      <c r="I45" s="15" t="n">
        <f aca="false">IF(ISNUMBER(SEARCH(Dictionary!$A$12,Data!$H45)),1,0)</f>
        <v>0</v>
      </c>
      <c r="J45" s="15" t="n">
        <f aca="false">IF(ISNUMBER(SEARCH(Dictionary!$A$13,Data!$H45)),1,0)</f>
        <v>0</v>
      </c>
      <c r="K45" s="15" t="n">
        <f aca="false">IF(ISNUMBER(SEARCH(Dictionary!$A$14,Data!$H45)),1,0)</f>
        <v>0</v>
      </c>
      <c r="L45" s="15" t="n">
        <f aca="false">IF(ISNUMBER(SEARCH(Dictionary!$A$15,Data!$H45)),1,0)</f>
        <v>0</v>
      </c>
      <c r="M45" s="15" t="n">
        <f aca="false">IF(ISNUMBER(SEARCH(Dictionary!$A$16,Data!$H45)),1,0)</f>
        <v>0</v>
      </c>
      <c r="N45" s="15" t="n">
        <f aca="false">IF(SUMPRODUCT((Dictionary!$C$5:$C$96=Dictionary!$A$5)*(Dictionary!$D$5:$D$96&lt;&gt;"")*ISNUMBER(SEARCH(Dictionary!$D$5:$D$96,Data!$I45)))&gt;0,1,0)</f>
        <v>0</v>
      </c>
      <c r="O45" s="15" t="n">
        <f aca="false">IF(SUMPRODUCT((Dictionary!$C$5:$C$96=Dictionary!$A$6)*(Dictionary!$D$5:$D$96&lt;&gt;"")*ISNUMBER(SEARCH(Dictionary!$D$5:$D$96,Data!$I45)))&gt;0,1,0)</f>
        <v>0</v>
      </c>
      <c r="P45" s="15" t="n">
        <f aca="false">IF(SUMPRODUCT((Dictionary!$C$5:$C$96=Dictionary!$A$7)*(Dictionary!$D$5:$D$96&lt;&gt;"")*ISNUMBER(SEARCH(Dictionary!$D$5:$D$96,Data!$I45)))&gt;0,1,0)</f>
        <v>0</v>
      </c>
      <c r="Q45" s="15" t="n">
        <f aca="false">IF(SUMPRODUCT((Dictionary!$C$5:$C$96=Dictionary!$A$8)*(Dictionary!$D$5:$D$96&lt;&gt;"")*ISNUMBER(SEARCH(Dictionary!$D$5:$D$96,Data!$I45)))&gt;0,1,0)</f>
        <v>0</v>
      </c>
      <c r="R45" s="15" t="n">
        <f aca="false">IF(SUMPRODUCT((Dictionary!$C$5:$C$96=Dictionary!$A$9)*(Dictionary!$D$5:$D$96&lt;&gt;"")*ISNUMBER(SEARCH(Dictionary!$D$5:$D$96,Data!$I45)))&gt;0,1,0)</f>
        <v>0</v>
      </c>
      <c r="S45" s="15" t="n">
        <f aca="false">IF(SUMPRODUCT((Dictionary!$C$5:$C$96=Dictionary!$A$10)*(Dictionary!$D$5:$D$96&lt;&gt;"")*ISNUMBER(SEARCH(Dictionary!$D$5:$D$96,Data!$I45)))&gt;0,1,0)</f>
        <v>0</v>
      </c>
      <c r="T45" s="15" t="n">
        <f aca="false">IF(SUMPRODUCT((Dictionary!$C$5:$C$96=Dictionary!$A$11)*(Dictionary!$D$5:$D$96&lt;&gt;"")*ISNUMBER(SEARCH(Dictionary!$D$5:$D$96,Data!$I45)))&gt;0,1,0)</f>
        <v>0</v>
      </c>
      <c r="U45" s="15" t="n">
        <f aca="false">IF(SUMPRODUCT((Dictionary!$C$5:$C$96=Dictionary!$A$12)*(Dictionary!$D$5:$D$96&lt;&gt;"")*ISNUMBER(SEARCH(Dictionary!$D$5:$D$96,Data!$I45)))&gt;0,1,0)</f>
        <v>0</v>
      </c>
      <c r="V45" s="15" t="n">
        <f aca="false">IF(SUMPRODUCT((Dictionary!$C$5:$C$96=Dictionary!$A$13)*(Dictionary!$D$5:$D$96&lt;&gt;"")*ISNUMBER(SEARCH(Dictionary!$D$5:$D$96,Data!$I45)))&gt;0,1,0)</f>
        <v>0</v>
      </c>
      <c r="W45" s="15" t="n">
        <f aca="false">IF(SUMPRODUCT((Dictionary!$C$5:$C$96=Dictionary!$A$14)*(Dictionary!$D$5:$D$96&lt;&gt;"")*ISNUMBER(SEARCH(Dictionary!$D$5:$D$96,Data!$I45)))&gt;0,1,0)</f>
        <v>0</v>
      </c>
      <c r="X45" s="15" t="n">
        <f aca="false">IF(SUMPRODUCT((Dictionary!$C$5:$C$96=Dictionary!$A$15)*(Dictionary!$D$5:$D$96&lt;&gt;"")*ISNUMBER(SEARCH(Dictionary!$D$5:$D$96,Data!$I45)))&gt;0,1,0)</f>
        <v>0</v>
      </c>
      <c r="Y45" s="15" t="n">
        <f aca="false">IF(SUMPRODUCT((Dictionary!$C$5:$C$96=Dictionary!$A$16)*(Dictionary!$D$5:$D$96&lt;&gt;"")*ISNUMBER(SEARCH(Dictionary!$D$5:$D$96,Data!$I45)))&gt;0,1,0)</f>
        <v>0</v>
      </c>
      <c r="Z45" s="15" t="n">
        <f aca="false">IF(ISNUMBER(SEARCH("Other",Data!$H45)),1,0)</f>
        <v>0</v>
      </c>
      <c r="AA45" s="15" t="n">
        <f aca="false">IF(Data!$I45&lt;&gt;"",1,0)</f>
        <v>1</v>
      </c>
      <c r="AB45" s="15" t="n">
        <f aca="false">SUM(B45:M45)</f>
        <v>0</v>
      </c>
      <c r="AC45" s="15" t="n">
        <f aca="false">SUMPRODUCT(--((B45:M45+N45:Y45)&gt;0))</f>
        <v>0</v>
      </c>
      <c r="AD45" s="15" t="n">
        <f aca="false">AC45-AB45</f>
        <v>0</v>
      </c>
      <c r="AE45" s="15" t="n">
        <f aca="false">IF(AND(Z45=1,AA45=1),1,0)</f>
        <v>0</v>
      </c>
      <c r="AF45" s="15" t="n">
        <f aca="false">AC45+AE45</f>
        <v>0</v>
      </c>
      <c r="AG45" s="15" t="n">
        <f aca="false">AB45+AE45</f>
        <v>0</v>
      </c>
      <c r="AH45" s="15" t="n">
        <f aca="false">IF(AND(Data!$H45&lt;&gt;"",Data!$I45&lt;&gt;""),1,0)</f>
        <v>0</v>
      </c>
      <c r="AI45" s="15" t="str">
        <f aca="false">IF(AH45=1,SUMPRODUCT(N45:Y45*B45:M45),"")</f>
        <v/>
      </c>
      <c r="AJ45" s="15" t="str">
        <f aca="false">IF(AH45=1,SUMPRODUCT(--(N45:Y45&gt;B45:M45)),"")</f>
        <v/>
      </c>
      <c r="AK45" s="15" t="str">
        <f aca="false">IF(AH45=1,AB45,"")</f>
        <v/>
      </c>
    </row>
    <row r="46" customFormat="false" ht="15" hidden="false" customHeight="true" outlineLevel="0" collapsed="false">
      <c r="A46" s="15" t="str">
        <f aca="false">Data!$A46</f>
        <v>Europe PMC</v>
      </c>
      <c r="B46" s="15" t="n">
        <f aca="false">IF(ISNUMBER(SEARCH(Dictionary!$A$5,Data!$H46)),1,0)</f>
        <v>0</v>
      </c>
      <c r="C46" s="15" t="n">
        <f aca="false">IF(ISNUMBER(SEARCH(Dictionary!$A$6,Data!$H46)),1,0)</f>
        <v>0</v>
      </c>
      <c r="D46" s="15" t="n">
        <f aca="false">IF(ISNUMBER(SEARCH(Dictionary!$A$7,Data!$H46)),1,0)</f>
        <v>0</v>
      </c>
      <c r="E46" s="15" t="n">
        <f aca="false">IF(ISNUMBER(SEARCH(Dictionary!$A$8,Data!$H46)),1,0)</f>
        <v>0</v>
      </c>
      <c r="F46" s="15" t="n">
        <f aca="false">IF(ISNUMBER(SEARCH(Dictionary!$A$9,Data!$H46)),1,0)</f>
        <v>0</v>
      </c>
      <c r="G46" s="15" t="n">
        <f aca="false">IF(ISNUMBER(SEARCH(Dictionary!$A$10,Data!$H46)),1,0)</f>
        <v>0</v>
      </c>
      <c r="H46" s="15" t="n">
        <f aca="false">IF(ISNUMBER(SEARCH(Dictionary!$A$11,Data!$H46)),1,0)</f>
        <v>0</v>
      </c>
      <c r="I46" s="15" t="n">
        <f aca="false">IF(ISNUMBER(SEARCH(Dictionary!$A$12,Data!$H46)),1,0)</f>
        <v>0</v>
      </c>
      <c r="J46" s="15" t="n">
        <f aca="false">IF(ISNUMBER(SEARCH(Dictionary!$A$13,Data!$H46)),1,0)</f>
        <v>0</v>
      </c>
      <c r="K46" s="15" t="n">
        <f aca="false">IF(ISNUMBER(SEARCH(Dictionary!$A$14,Data!$H46)),1,0)</f>
        <v>0</v>
      </c>
      <c r="L46" s="15" t="n">
        <f aca="false">IF(ISNUMBER(SEARCH(Dictionary!$A$15,Data!$H46)),1,0)</f>
        <v>0</v>
      </c>
      <c r="M46" s="15" t="n">
        <f aca="false">IF(ISNUMBER(SEARCH(Dictionary!$A$16,Data!$H46)),1,0)</f>
        <v>0</v>
      </c>
      <c r="N46" s="15" t="n">
        <f aca="false">IF(SUMPRODUCT((Dictionary!$C$5:$C$96=Dictionary!$A$5)*(Dictionary!$D$5:$D$96&lt;&gt;"")*ISNUMBER(SEARCH(Dictionary!$D$5:$D$96,Data!$I46)))&gt;0,1,0)</f>
        <v>0</v>
      </c>
      <c r="O46" s="15" t="n">
        <f aca="false">IF(SUMPRODUCT((Dictionary!$C$5:$C$96=Dictionary!$A$6)*(Dictionary!$D$5:$D$96&lt;&gt;"")*ISNUMBER(SEARCH(Dictionary!$D$5:$D$96,Data!$I46)))&gt;0,1,0)</f>
        <v>0</v>
      </c>
      <c r="P46" s="15" t="n">
        <f aca="false">IF(SUMPRODUCT((Dictionary!$C$5:$C$96=Dictionary!$A$7)*(Dictionary!$D$5:$D$96&lt;&gt;"")*ISNUMBER(SEARCH(Dictionary!$D$5:$D$96,Data!$I46)))&gt;0,1,0)</f>
        <v>0</v>
      </c>
      <c r="Q46" s="15" t="n">
        <f aca="false">IF(SUMPRODUCT((Dictionary!$C$5:$C$96=Dictionary!$A$8)*(Dictionary!$D$5:$D$96&lt;&gt;"")*ISNUMBER(SEARCH(Dictionary!$D$5:$D$96,Data!$I46)))&gt;0,1,0)</f>
        <v>0</v>
      </c>
      <c r="R46" s="15" t="n">
        <f aca="false">IF(SUMPRODUCT((Dictionary!$C$5:$C$96=Dictionary!$A$9)*(Dictionary!$D$5:$D$96&lt;&gt;"")*ISNUMBER(SEARCH(Dictionary!$D$5:$D$96,Data!$I46)))&gt;0,1,0)</f>
        <v>0</v>
      </c>
      <c r="S46" s="15" t="n">
        <f aca="false">IF(SUMPRODUCT((Dictionary!$C$5:$C$96=Dictionary!$A$10)*(Dictionary!$D$5:$D$96&lt;&gt;"")*ISNUMBER(SEARCH(Dictionary!$D$5:$D$96,Data!$I46)))&gt;0,1,0)</f>
        <v>0</v>
      </c>
      <c r="T46" s="15" t="n">
        <f aca="false">IF(SUMPRODUCT((Dictionary!$C$5:$C$96=Dictionary!$A$11)*(Dictionary!$D$5:$D$96&lt;&gt;"")*ISNUMBER(SEARCH(Dictionary!$D$5:$D$96,Data!$I46)))&gt;0,1,0)</f>
        <v>1</v>
      </c>
      <c r="U46" s="15" t="n">
        <f aca="false">IF(SUMPRODUCT((Dictionary!$C$5:$C$96=Dictionary!$A$12)*(Dictionary!$D$5:$D$96&lt;&gt;"")*ISNUMBER(SEARCH(Dictionary!$D$5:$D$96,Data!$I46)))&gt;0,1,0)</f>
        <v>0</v>
      </c>
      <c r="V46" s="15" t="n">
        <f aca="false">IF(SUMPRODUCT((Dictionary!$C$5:$C$96=Dictionary!$A$13)*(Dictionary!$D$5:$D$96&lt;&gt;"")*ISNUMBER(SEARCH(Dictionary!$D$5:$D$96,Data!$I46)))&gt;0,1,0)</f>
        <v>1</v>
      </c>
      <c r="W46" s="15" t="n">
        <f aca="false">IF(SUMPRODUCT((Dictionary!$C$5:$C$96=Dictionary!$A$14)*(Dictionary!$D$5:$D$96&lt;&gt;"")*ISNUMBER(SEARCH(Dictionary!$D$5:$D$96,Data!$I46)))&gt;0,1,0)</f>
        <v>1</v>
      </c>
      <c r="X46" s="15" t="n">
        <f aca="false">IF(SUMPRODUCT((Dictionary!$C$5:$C$96=Dictionary!$A$15)*(Dictionary!$D$5:$D$96&lt;&gt;"")*ISNUMBER(SEARCH(Dictionary!$D$5:$D$96,Data!$I46)))&gt;0,1,0)</f>
        <v>0</v>
      </c>
      <c r="Y46" s="15" t="n">
        <f aca="false">IF(SUMPRODUCT((Dictionary!$C$5:$C$96=Dictionary!$A$16)*(Dictionary!$D$5:$D$96&lt;&gt;"")*ISNUMBER(SEARCH(Dictionary!$D$5:$D$96,Data!$I46)))&gt;0,1,0)</f>
        <v>1</v>
      </c>
      <c r="Z46" s="15" t="n">
        <f aca="false">IF(ISNUMBER(SEARCH("Other",Data!$H46)),1,0)</f>
        <v>0</v>
      </c>
      <c r="AA46" s="15" t="n">
        <f aca="false">IF(Data!$I46&lt;&gt;"",1,0)</f>
        <v>1</v>
      </c>
      <c r="AB46" s="15" t="n">
        <f aca="false">SUM(B46:M46)</f>
        <v>0</v>
      </c>
      <c r="AC46" s="15" t="n">
        <f aca="false">SUMPRODUCT(--((B46:M46+N46:Y46)&gt;0))</f>
        <v>4</v>
      </c>
      <c r="AD46" s="15" t="n">
        <f aca="false">AC46-AB46</f>
        <v>4</v>
      </c>
      <c r="AE46" s="15" t="n">
        <f aca="false">IF(AND(Z46=1,AA46=1),1,0)</f>
        <v>0</v>
      </c>
      <c r="AF46" s="15" t="n">
        <f aca="false">AC46+AE46</f>
        <v>4</v>
      </c>
      <c r="AG46" s="15" t="n">
        <f aca="false">AB46+AE46</f>
        <v>0</v>
      </c>
      <c r="AH46" s="15" t="n">
        <f aca="false">IF(AND(Data!$H46&lt;&gt;"",Data!$I46&lt;&gt;""),1,0)</f>
        <v>0</v>
      </c>
      <c r="AI46" s="15" t="str">
        <f aca="false">IF(AH46=1,SUMPRODUCT(N46:Y46*B46:M46),"")</f>
        <v/>
      </c>
      <c r="AJ46" s="15" t="str">
        <f aca="false">IF(AH46=1,SUMPRODUCT(--(N46:Y46&gt;B46:M46)),"")</f>
        <v/>
      </c>
      <c r="AK46" s="15" t="str">
        <f aca="false">IF(AH46=1,AB46,"")</f>
        <v/>
      </c>
    </row>
    <row r="47" customFormat="false" ht="15" hidden="false" customHeight="true" outlineLevel="0" collapsed="false">
      <c r="A47" s="15" t="str">
        <f aca="false">Data!$A47</f>
        <v>FAIR Wizard</v>
      </c>
      <c r="B47" s="15" t="n">
        <f aca="false">IF(ISNUMBER(SEARCH(Dictionary!$A$5,Data!$H47)),1,0)</f>
        <v>1</v>
      </c>
      <c r="C47" s="15" t="n">
        <f aca="false">IF(ISNUMBER(SEARCH(Dictionary!$A$6,Data!$H47)),1,0)</f>
        <v>1</v>
      </c>
      <c r="D47" s="15" t="n">
        <f aca="false">IF(ISNUMBER(SEARCH(Dictionary!$A$7,Data!$H47)),1,0)</f>
        <v>0</v>
      </c>
      <c r="E47" s="15" t="n">
        <f aca="false">IF(ISNUMBER(SEARCH(Dictionary!$A$8,Data!$H47)),1,0)</f>
        <v>1</v>
      </c>
      <c r="F47" s="15" t="n">
        <f aca="false">IF(ISNUMBER(SEARCH(Dictionary!$A$9,Data!$H47)),1,0)</f>
        <v>0</v>
      </c>
      <c r="G47" s="15" t="n">
        <f aca="false">IF(ISNUMBER(SEARCH(Dictionary!$A$10,Data!$H47)),1,0)</f>
        <v>0</v>
      </c>
      <c r="H47" s="15" t="n">
        <f aca="false">IF(ISNUMBER(SEARCH(Dictionary!$A$11,Data!$H47)),1,0)</f>
        <v>0</v>
      </c>
      <c r="I47" s="15" t="n">
        <f aca="false">IF(ISNUMBER(SEARCH(Dictionary!$A$12,Data!$H47)),1,0)</f>
        <v>1</v>
      </c>
      <c r="J47" s="15" t="n">
        <f aca="false">IF(ISNUMBER(SEARCH(Dictionary!$A$13,Data!$H47)),1,0)</f>
        <v>0</v>
      </c>
      <c r="K47" s="15" t="n">
        <f aca="false">IF(ISNUMBER(SEARCH(Dictionary!$A$14,Data!$H47)),1,0)</f>
        <v>1</v>
      </c>
      <c r="L47" s="15" t="n">
        <f aca="false">IF(ISNUMBER(SEARCH(Dictionary!$A$15,Data!$H47)),1,0)</f>
        <v>0</v>
      </c>
      <c r="M47" s="15" t="n">
        <f aca="false">IF(ISNUMBER(SEARCH(Dictionary!$A$16,Data!$H47)),1,0)</f>
        <v>1</v>
      </c>
      <c r="N47" s="15" t="n">
        <f aca="false">IF(SUMPRODUCT((Dictionary!$C$5:$C$96=Dictionary!$A$5)*(Dictionary!$D$5:$D$96&lt;&gt;"")*ISNUMBER(SEARCH(Dictionary!$D$5:$D$96,Data!$I47)))&gt;0,1,0)</f>
        <v>0</v>
      </c>
      <c r="O47" s="15" t="n">
        <f aca="false">IF(SUMPRODUCT((Dictionary!$C$5:$C$96=Dictionary!$A$6)*(Dictionary!$D$5:$D$96&lt;&gt;"")*ISNUMBER(SEARCH(Dictionary!$D$5:$D$96,Data!$I47)))&gt;0,1,0)</f>
        <v>0</v>
      </c>
      <c r="P47" s="15" t="n">
        <f aca="false">IF(SUMPRODUCT((Dictionary!$C$5:$C$96=Dictionary!$A$7)*(Dictionary!$D$5:$D$96&lt;&gt;"")*ISNUMBER(SEARCH(Dictionary!$D$5:$D$96,Data!$I47)))&gt;0,1,0)</f>
        <v>0</v>
      </c>
      <c r="Q47" s="15" t="n">
        <f aca="false">IF(SUMPRODUCT((Dictionary!$C$5:$C$96=Dictionary!$A$8)*(Dictionary!$D$5:$D$96&lt;&gt;"")*ISNUMBER(SEARCH(Dictionary!$D$5:$D$96,Data!$I47)))&gt;0,1,0)</f>
        <v>0</v>
      </c>
      <c r="R47" s="15" t="n">
        <f aca="false">IF(SUMPRODUCT((Dictionary!$C$5:$C$96=Dictionary!$A$9)*(Dictionary!$D$5:$D$96&lt;&gt;"")*ISNUMBER(SEARCH(Dictionary!$D$5:$D$96,Data!$I47)))&gt;0,1,0)</f>
        <v>0</v>
      </c>
      <c r="S47" s="15" t="n">
        <f aca="false">IF(SUMPRODUCT((Dictionary!$C$5:$C$96=Dictionary!$A$10)*(Dictionary!$D$5:$D$96&lt;&gt;"")*ISNUMBER(SEARCH(Dictionary!$D$5:$D$96,Data!$I47)))&gt;0,1,0)</f>
        <v>0</v>
      </c>
      <c r="T47" s="15" t="n">
        <f aca="false">IF(SUMPRODUCT((Dictionary!$C$5:$C$96=Dictionary!$A$11)*(Dictionary!$D$5:$D$96&lt;&gt;"")*ISNUMBER(SEARCH(Dictionary!$D$5:$D$96,Data!$I47)))&gt;0,1,0)</f>
        <v>0</v>
      </c>
      <c r="U47" s="15" t="n">
        <f aca="false">IF(SUMPRODUCT((Dictionary!$C$5:$C$96=Dictionary!$A$12)*(Dictionary!$D$5:$D$96&lt;&gt;"")*ISNUMBER(SEARCH(Dictionary!$D$5:$D$96,Data!$I47)))&gt;0,1,0)</f>
        <v>0</v>
      </c>
      <c r="V47" s="15" t="n">
        <f aca="false">IF(SUMPRODUCT((Dictionary!$C$5:$C$96=Dictionary!$A$13)*(Dictionary!$D$5:$D$96&lt;&gt;"")*ISNUMBER(SEARCH(Dictionary!$D$5:$D$96,Data!$I47)))&gt;0,1,0)</f>
        <v>0</v>
      </c>
      <c r="W47" s="15" t="n">
        <f aca="false">IF(SUMPRODUCT((Dictionary!$C$5:$C$96=Dictionary!$A$14)*(Dictionary!$D$5:$D$96&lt;&gt;"")*ISNUMBER(SEARCH(Dictionary!$D$5:$D$96,Data!$I47)))&gt;0,1,0)</f>
        <v>0</v>
      </c>
      <c r="X47" s="15" t="n">
        <f aca="false">IF(SUMPRODUCT((Dictionary!$C$5:$C$96=Dictionary!$A$15)*(Dictionary!$D$5:$D$96&lt;&gt;"")*ISNUMBER(SEARCH(Dictionary!$D$5:$D$96,Data!$I47)))&gt;0,1,0)</f>
        <v>0</v>
      </c>
      <c r="Y47" s="15" t="n">
        <f aca="false">IF(SUMPRODUCT((Dictionary!$C$5:$C$96=Dictionary!$A$16)*(Dictionary!$D$5:$D$96&lt;&gt;"")*ISNUMBER(SEARCH(Dictionary!$D$5:$D$96,Data!$I47)))&gt;0,1,0)</f>
        <v>0</v>
      </c>
      <c r="Z47" s="15" t="n">
        <f aca="false">IF(ISNUMBER(SEARCH("Other",Data!$H47)),1,0)</f>
        <v>0</v>
      </c>
      <c r="AA47" s="15" t="n">
        <f aca="false">IF(Data!$I47&lt;&gt;"",1,0)</f>
        <v>0</v>
      </c>
      <c r="AB47" s="15" t="n">
        <f aca="false">SUM(B47:M47)</f>
        <v>6</v>
      </c>
      <c r="AC47" s="15" t="n">
        <f aca="false">SUMPRODUCT(--((B47:M47+N47:Y47)&gt;0))</f>
        <v>6</v>
      </c>
      <c r="AD47" s="15" t="n">
        <f aca="false">AC47-AB47</f>
        <v>0</v>
      </c>
      <c r="AE47" s="15" t="n">
        <f aca="false">IF(AND(Z47=1,AA47=1),1,0)</f>
        <v>0</v>
      </c>
      <c r="AF47" s="15" t="n">
        <f aca="false">AC47+AE47</f>
        <v>6</v>
      </c>
      <c r="AG47" s="15" t="n">
        <f aca="false">AB47+AE47</f>
        <v>6</v>
      </c>
      <c r="AH47" s="15" t="n">
        <f aca="false">IF(AND(Data!$H47&lt;&gt;"",Data!$I47&lt;&gt;""),1,0)</f>
        <v>0</v>
      </c>
      <c r="AI47" s="15" t="str">
        <f aca="false">IF(AH47=1,SUMPRODUCT(N47:Y47*B47:M47),"")</f>
        <v/>
      </c>
      <c r="AJ47" s="15" t="str">
        <f aca="false">IF(AH47=1,SUMPRODUCT(--(N47:Y47&gt;B47:M47)),"")</f>
        <v/>
      </c>
      <c r="AK47" s="15" t="str">
        <f aca="false">IF(AH47=1,AB47,"")</f>
        <v/>
      </c>
    </row>
    <row r="48" customFormat="false" ht="15" hidden="false" customHeight="true" outlineLevel="0" collapsed="false">
      <c r="A48" s="15" t="str">
        <f aca="false">Data!$A48</f>
        <v>Fedora</v>
      </c>
      <c r="B48" s="15" t="n">
        <f aca="false">IF(ISNUMBER(SEARCH(Dictionary!$A$5,Data!$H48)),1,0)</f>
        <v>1</v>
      </c>
      <c r="C48" s="15" t="n">
        <f aca="false">IF(ISNUMBER(SEARCH(Dictionary!$A$6,Data!$H48)),1,0)</f>
        <v>1</v>
      </c>
      <c r="D48" s="15" t="n">
        <f aca="false">IF(ISNUMBER(SEARCH(Dictionary!$A$7,Data!$H48)),1,0)</f>
        <v>1</v>
      </c>
      <c r="E48" s="15" t="n">
        <f aca="false">IF(ISNUMBER(SEARCH(Dictionary!$A$8,Data!$H48)),1,0)</f>
        <v>1</v>
      </c>
      <c r="F48" s="15" t="n">
        <f aca="false">IF(ISNUMBER(SEARCH(Dictionary!$A$9,Data!$H48)),1,0)</f>
        <v>1</v>
      </c>
      <c r="G48" s="15" t="n">
        <f aca="false">IF(ISNUMBER(SEARCH(Dictionary!$A$10,Data!$H48)),1,0)</f>
        <v>1</v>
      </c>
      <c r="H48" s="15" t="n">
        <f aca="false">IF(ISNUMBER(SEARCH(Dictionary!$A$11,Data!$H48)),1,0)</f>
        <v>1</v>
      </c>
      <c r="I48" s="15" t="n">
        <f aca="false">IF(ISNUMBER(SEARCH(Dictionary!$A$12,Data!$H48)),1,0)</f>
        <v>1</v>
      </c>
      <c r="J48" s="15" t="n">
        <f aca="false">IF(ISNUMBER(SEARCH(Dictionary!$A$13,Data!$H48)),1,0)</f>
        <v>1</v>
      </c>
      <c r="K48" s="15" t="n">
        <f aca="false">IF(ISNUMBER(SEARCH(Dictionary!$A$14,Data!$H48)),1,0)</f>
        <v>0</v>
      </c>
      <c r="L48" s="15" t="n">
        <f aca="false">IF(ISNUMBER(SEARCH(Dictionary!$A$15,Data!$H48)),1,0)</f>
        <v>0</v>
      </c>
      <c r="M48" s="15" t="n">
        <f aca="false">IF(ISNUMBER(SEARCH(Dictionary!$A$16,Data!$H48)),1,0)</f>
        <v>1</v>
      </c>
      <c r="N48" s="15" t="n">
        <f aca="false">IF(SUMPRODUCT((Dictionary!$C$5:$C$96=Dictionary!$A$5)*(Dictionary!$D$5:$D$96&lt;&gt;"")*ISNUMBER(SEARCH(Dictionary!$D$5:$D$96,Data!$I48)))&gt;0,1,0)</f>
        <v>0</v>
      </c>
      <c r="O48" s="15" t="n">
        <f aca="false">IF(SUMPRODUCT((Dictionary!$C$5:$C$96=Dictionary!$A$6)*(Dictionary!$D$5:$D$96&lt;&gt;"")*ISNUMBER(SEARCH(Dictionary!$D$5:$D$96,Data!$I48)))&gt;0,1,0)</f>
        <v>0</v>
      </c>
      <c r="P48" s="15" t="n">
        <f aca="false">IF(SUMPRODUCT((Dictionary!$C$5:$C$96=Dictionary!$A$7)*(Dictionary!$D$5:$D$96&lt;&gt;"")*ISNUMBER(SEARCH(Dictionary!$D$5:$D$96,Data!$I48)))&gt;0,1,0)</f>
        <v>1</v>
      </c>
      <c r="Q48" s="15" t="n">
        <f aca="false">IF(SUMPRODUCT((Dictionary!$C$5:$C$96=Dictionary!$A$8)*(Dictionary!$D$5:$D$96&lt;&gt;"")*ISNUMBER(SEARCH(Dictionary!$D$5:$D$96,Data!$I48)))&gt;0,1,0)</f>
        <v>1</v>
      </c>
      <c r="R48" s="15" t="n">
        <f aca="false">IF(SUMPRODUCT((Dictionary!$C$5:$C$96=Dictionary!$A$9)*(Dictionary!$D$5:$D$96&lt;&gt;"")*ISNUMBER(SEARCH(Dictionary!$D$5:$D$96,Data!$I48)))&gt;0,1,0)</f>
        <v>0</v>
      </c>
      <c r="S48" s="15" t="n">
        <f aca="false">IF(SUMPRODUCT((Dictionary!$C$5:$C$96=Dictionary!$A$10)*(Dictionary!$D$5:$D$96&lt;&gt;"")*ISNUMBER(SEARCH(Dictionary!$D$5:$D$96,Data!$I48)))&gt;0,1,0)</f>
        <v>0</v>
      </c>
      <c r="T48" s="15" t="n">
        <f aca="false">IF(SUMPRODUCT((Dictionary!$C$5:$C$96=Dictionary!$A$11)*(Dictionary!$D$5:$D$96&lt;&gt;"")*ISNUMBER(SEARCH(Dictionary!$D$5:$D$96,Data!$I48)))&gt;0,1,0)</f>
        <v>1</v>
      </c>
      <c r="U48" s="15" t="n">
        <f aca="false">IF(SUMPRODUCT((Dictionary!$C$5:$C$96=Dictionary!$A$12)*(Dictionary!$D$5:$D$96&lt;&gt;"")*ISNUMBER(SEARCH(Dictionary!$D$5:$D$96,Data!$I48)))&gt;0,1,0)</f>
        <v>0</v>
      </c>
      <c r="V48" s="15" t="n">
        <f aca="false">IF(SUMPRODUCT((Dictionary!$C$5:$C$96=Dictionary!$A$13)*(Dictionary!$D$5:$D$96&lt;&gt;"")*ISNUMBER(SEARCH(Dictionary!$D$5:$D$96,Data!$I48)))&gt;0,1,0)</f>
        <v>0</v>
      </c>
      <c r="W48" s="15" t="n">
        <f aca="false">IF(SUMPRODUCT((Dictionary!$C$5:$C$96=Dictionary!$A$14)*(Dictionary!$D$5:$D$96&lt;&gt;"")*ISNUMBER(SEARCH(Dictionary!$D$5:$D$96,Data!$I48)))&gt;0,1,0)</f>
        <v>0</v>
      </c>
      <c r="X48" s="15" t="n">
        <f aca="false">IF(SUMPRODUCT((Dictionary!$C$5:$C$96=Dictionary!$A$15)*(Dictionary!$D$5:$D$96&lt;&gt;"")*ISNUMBER(SEARCH(Dictionary!$D$5:$D$96,Data!$I48)))&gt;0,1,0)</f>
        <v>0</v>
      </c>
      <c r="Y48" s="15" t="n">
        <f aca="false">IF(SUMPRODUCT((Dictionary!$C$5:$C$96=Dictionary!$A$16)*(Dictionary!$D$5:$D$96&lt;&gt;"")*ISNUMBER(SEARCH(Dictionary!$D$5:$D$96,Data!$I48)))&gt;0,1,0)</f>
        <v>0</v>
      </c>
      <c r="Z48" s="15" t="n">
        <f aca="false">IF(ISNUMBER(SEARCH("Other",Data!$H48)),1,0)</f>
        <v>0</v>
      </c>
      <c r="AA48" s="15" t="n">
        <f aca="false">IF(Data!$I48&lt;&gt;"",1,0)</f>
        <v>1</v>
      </c>
      <c r="AB48" s="15" t="n">
        <f aca="false">SUM(B48:M48)</f>
        <v>10</v>
      </c>
      <c r="AC48" s="15" t="n">
        <f aca="false">SUMPRODUCT(--((B48:M48+N48:Y48)&gt;0))</f>
        <v>10</v>
      </c>
      <c r="AD48" s="15" t="n">
        <f aca="false">AC48-AB48</f>
        <v>0</v>
      </c>
      <c r="AE48" s="15" t="n">
        <f aca="false">IF(AND(Z48=1,AA48=1),1,0)</f>
        <v>0</v>
      </c>
      <c r="AF48" s="15" t="n">
        <f aca="false">AC48+AE48</f>
        <v>10</v>
      </c>
      <c r="AG48" s="15" t="n">
        <f aca="false">AB48+AE48</f>
        <v>10</v>
      </c>
      <c r="AH48" s="15" t="n">
        <f aca="false">IF(AND(Data!$H48&lt;&gt;"",Data!$I48&lt;&gt;""),1,0)</f>
        <v>1</v>
      </c>
      <c r="AI48" s="15" t="n">
        <f aca="false">IF(AH48=1,SUMPRODUCT(N48:Y48*B48:M48),"")</f>
        <v>3</v>
      </c>
      <c r="AJ48" s="15" t="n">
        <f aca="false">IF(AH48=1,SUMPRODUCT(--(N48:Y48&gt;B48:M48)),"")</f>
        <v>0</v>
      </c>
      <c r="AK48" s="15" t="n">
        <f aca="false">IF(AH48=1,AB48,"")</f>
        <v>10</v>
      </c>
    </row>
    <row r="49" customFormat="false" ht="15" hidden="false" customHeight="true" outlineLevel="0" collapsed="false">
      <c r="A49" s="15" t="str">
        <f aca="false">Data!$A49</f>
        <v>fido</v>
      </c>
      <c r="B49" s="15" t="n">
        <f aca="false">IF(ISNUMBER(SEARCH(Dictionary!$A$5,Data!$H49)),1,0)</f>
        <v>1</v>
      </c>
      <c r="C49" s="15" t="n">
        <f aca="false">IF(ISNUMBER(SEARCH(Dictionary!$A$6,Data!$H49)),1,0)</f>
        <v>0</v>
      </c>
      <c r="D49" s="15" t="n">
        <f aca="false">IF(ISNUMBER(SEARCH(Dictionary!$A$7,Data!$H49)),1,0)</f>
        <v>0</v>
      </c>
      <c r="E49" s="15" t="n">
        <f aca="false">IF(ISNUMBER(SEARCH(Dictionary!$A$8,Data!$H49)),1,0)</f>
        <v>1</v>
      </c>
      <c r="F49" s="15" t="n">
        <f aca="false">IF(ISNUMBER(SEARCH(Dictionary!$A$9,Data!$H49)),1,0)</f>
        <v>0</v>
      </c>
      <c r="G49" s="15" t="n">
        <f aca="false">IF(ISNUMBER(SEARCH(Dictionary!$A$10,Data!$H49)),1,0)</f>
        <v>1</v>
      </c>
      <c r="H49" s="15" t="n">
        <f aca="false">IF(ISNUMBER(SEARCH(Dictionary!$A$11,Data!$H49)),1,0)</f>
        <v>1</v>
      </c>
      <c r="I49" s="15" t="n">
        <f aca="false">IF(ISNUMBER(SEARCH(Dictionary!$A$12,Data!$H49)),1,0)</f>
        <v>1</v>
      </c>
      <c r="J49" s="15" t="n">
        <f aca="false">IF(ISNUMBER(SEARCH(Dictionary!$A$13,Data!$H49)),1,0)</f>
        <v>1</v>
      </c>
      <c r="K49" s="15" t="n">
        <f aca="false">IF(ISNUMBER(SEARCH(Dictionary!$A$14,Data!$H49)),1,0)</f>
        <v>1</v>
      </c>
      <c r="L49" s="15" t="n">
        <f aca="false">IF(ISNUMBER(SEARCH(Dictionary!$A$15,Data!$H49)),1,0)</f>
        <v>0</v>
      </c>
      <c r="M49" s="15" t="n">
        <f aca="false">IF(ISNUMBER(SEARCH(Dictionary!$A$16,Data!$H49)),1,0)</f>
        <v>1</v>
      </c>
      <c r="N49" s="15" t="n">
        <f aca="false">IF(SUMPRODUCT((Dictionary!$C$5:$C$96=Dictionary!$A$5)*(Dictionary!$D$5:$D$96&lt;&gt;"")*ISNUMBER(SEARCH(Dictionary!$D$5:$D$96,Data!$I49)))&gt;0,1,0)</f>
        <v>0</v>
      </c>
      <c r="O49" s="15" t="n">
        <f aca="false">IF(SUMPRODUCT((Dictionary!$C$5:$C$96=Dictionary!$A$6)*(Dictionary!$D$5:$D$96&lt;&gt;"")*ISNUMBER(SEARCH(Dictionary!$D$5:$D$96,Data!$I49)))&gt;0,1,0)</f>
        <v>0</v>
      </c>
      <c r="P49" s="15" t="n">
        <f aca="false">IF(SUMPRODUCT((Dictionary!$C$5:$C$96=Dictionary!$A$7)*(Dictionary!$D$5:$D$96&lt;&gt;"")*ISNUMBER(SEARCH(Dictionary!$D$5:$D$96,Data!$I49)))&gt;0,1,0)</f>
        <v>0</v>
      </c>
      <c r="Q49" s="15" t="n">
        <f aca="false">IF(SUMPRODUCT((Dictionary!$C$5:$C$96=Dictionary!$A$8)*(Dictionary!$D$5:$D$96&lt;&gt;"")*ISNUMBER(SEARCH(Dictionary!$D$5:$D$96,Data!$I49)))&gt;0,1,0)</f>
        <v>0</v>
      </c>
      <c r="R49" s="15" t="n">
        <f aca="false">IF(SUMPRODUCT((Dictionary!$C$5:$C$96=Dictionary!$A$9)*(Dictionary!$D$5:$D$96&lt;&gt;"")*ISNUMBER(SEARCH(Dictionary!$D$5:$D$96,Data!$I49)))&gt;0,1,0)</f>
        <v>0</v>
      </c>
      <c r="S49" s="15" t="n">
        <f aca="false">IF(SUMPRODUCT((Dictionary!$C$5:$C$96=Dictionary!$A$10)*(Dictionary!$D$5:$D$96&lt;&gt;"")*ISNUMBER(SEARCH(Dictionary!$D$5:$D$96,Data!$I49)))&gt;0,1,0)</f>
        <v>0</v>
      </c>
      <c r="T49" s="15" t="n">
        <f aca="false">IF(SUMPRODUCT((Dictionary!$C$5:$C$96=Dictionary!$A$11)*(Dictionary!$D$5:$D$96&lt;&gt;"")*ISNUMBER(SEARCH(Dictionary!$D$5:$D$96,Data!$I49)))&gt;0,1,0)</f>
        <v>0</v>
      </c>
      <c r="U49" s="15" t="n">
        <f aca="false">IF(SUMPRODUCT((Dictionary!$C$5:$C$96=Dictionary!$A$12)*(Dictionary!$D$5:$D$96&lt;&gt;"")*ISNUMBER(SEARCH(Dictionary!$D$5:$D$96,Data!$I49)))&gt;0,1,0)</f>
        <v>0</v>
      </c>
      <c r="V49" s="15" t="n">
        <f aca="false">IF(SUMPRODUCT((Dictionary!$C$5:$C$96=Dictionary!$A$13)*(Dictionary!$D$5:$D$96&lt;&gt;"")*ISNUMBER(SEARCH(Dictionary!$D$5:$D$96,Data!$I49)))&gt;0,1,0)</f>
        <v>0</v>
      </c>
      <c r="W49" s="15" t="n">
        <f aca="false">IF(SUMPRODUCT((Dictionary!$C$5:$C$96=Dictionary!$A$14)*(Dictionary!$D$5:$D$96&lt;&gt;"")*ISNUMBER(SEARCH(Dictionary!$D$5:$D$96,Data!$I49)))&gt;0,1,0)</f>
        <v>0</v>
      </c>
      <c r="X49" s="15" t="n">
        <f aca="false">IF(SUMPRODUCT((Dictionary!$C$5:$C$96=Dictionary!$A$15)*(Dictionary!$D$5:$D$96&lt;&gt;"")*ISNUMBER(SEARCH(Dictionary!$D$5:$D$96,Data!$I49)))&gt;0,1,0)</f>
        <v>0</v>
      </c>
      <c r="Y49" s="15" t="n">
        <f aca="false">IF(SUMPRODUCT((Dictionary!$C$5:$C$96=Dictionary!$A$16)*(Dictionary!$D$5:$D$96&lt;&gt;"")*ISNUMBER(SEARCH(Dictionary!$D$5:$D$96,Data!$I49)))&gt;0,1,0)</f>
        <v>0</v>
      </c>
      <c r="Z49" s="15" t="n">
        <f aca="false">IF(ISNUMBER(SEARCH("Other",Data!$H49)),1,0)</f>
        <v>0</v>
      </c>
      <c r="AA49" s="15" t="n">
        <f aca="false">IF(Data!$I49&lt;&gt;"",1,0)</f>
        <v>0</v>
      </c>
      <c r="AB49" s="15" t="n">
        <f aca="false">SUM(B49:M49)</f>
        <v>8</v>
      </c>
      <c r="AC49" s="15" t="n">
        <f aca="false">SUMPRODUCT(--((B49:M49+N49:Y49)&gt;0))</f>
        <v>8</v>
      </c>
      <c r="AD49" s="15" t="n">
        <f aca="false">AC49-AB49</f>
        <v>0</v>
      </c>
      <c r="AE49" s="15" t="n">
        <f aca="false">IF(AND(Z49=1,AA49=1),1,0)</f>
        <v>0</v>
      </c>
      <c r="AF49" s="15" t="n">
        <f aca="false">AC49+AE49</f>
        <v>8</v>
      </c>
      <c r="AG49" s="15" t="n">
        <f aca="false">AB49+AE49</f>
        <v>8</v>
      </c>
      <c r="AH49" s="15" t="n">
        <f aca="false">IF(AND(Data!$H49&lt;&gt;"",Data!$I49&lt;&gt;""),1,0)</f>
        <v>0</v>
      </c>
      <c r="AI49" s="15" t="str">
        <f aca="false">IF(AH49=1,SUMPRODUCT(N49:Y49*B49:M49),"")</f>
        <v/>
      </c>
      <c r="AJ49" s="15" t="str">
        <f aca="false">IF(AH49=1,SUMPRODUCT(--(N49:Y49&gt;B49:M49)),"")</f>
        <v/>
      </c>
      <c r="AK49" s="15" t="str">
        <f aca="false">IF(AH49=1,AB49,"")</f>
        <v/>
      </c>
    </row>
    <row r="50" customFormat="false" ht="15" hidden="false" customHeight="true" outlineLevel="0" collapsed="false">
      <c r="A50" s="15" t="str">
        <f aca="false">Data!$A50</f>
        <v>Fulcrum</v>
      </c>
      <c r="B50" s="15" t="n">
        <f aca="false">IF(ISNUMBER(SEARCH(Dictionary!$A$5,Data!$H50)),1,0)</f>
        <v>0</v>
      </c>
      <c r="C50" s="15" t="n">
        <f aca="false">IF(ISNUMBER(SEARCH(Dictionary!$A$6,Data!$H50)),1,0)</f>
        <v>0</v>
      </c>
      <c r="D50" s="15" t="n">
        <f aca="false">IF(ISNUMBER(SEARCH(Dictionary!$A$7,Data!$H50)),1,0)</f>
        <v>0</v>
      </c>
      <c r="E50" s="15" t="n">
        <f aca="false">IF(ISNUMBER(SEARCH(Dictionary!$A$8,Data!$H50)),1,0)</f>
        <v>0</v>
      </c>
      <c r="F50" s="15" t="n">
        <f aca="false">IF(ISNUMBER(SEARCH(Dictionary!$A$9,Data!$H50)),1,0)</f>
        <v>0</v>
      </c>
      <c r="G50" s="15" t="n">
        <f aca="false">IF(ISNUMBER(SEARCH(Dictionary!$A$10,Data!$H50)),1,0)</f>
        <v>0</v>
      </c>
      <c r="H50" s="15" t="n">
        <f aca="false">IF(ISNUMBER(SEARCH(Dictionary!$A$11,Data!$H50)),1,0)</f>
        <v>0</v>
      </c>
      <c r="I50" s="15" t="n">
        <f aca="false">IF(ISNUMBER(SEARCH(Dictionary!$A$12,Data!$H50)),1,0)</f>
        <v>0</v>
      </c>
      <c r="J50" s="15" t="n">
        <f aca="false">IF(ISNUMBER(SEARCH(Dictionary!$A$13,Data!$H50)),1,0)</f>
        <v>0</v>
      </c>
      <c r="K50" s="15" t="n">
        <f aca="false">IF(ISNUMBER(SEARCH(Dictionary!$A$14,Data!$H50)),1,0)</f>
        <v>0</v>
      </c>
      <c r="L50" s="15" t="n">
        <f aca="false">IF(ISNUMBER(SEARCH(Dictionary!$A$15,Data!$H50)),1,0)</f>
        <v>0</v>
      </c>
      <c r="M50" s="15" t="n">
        <f aca="false">IF(ISNUMBER(SEARCH(Dictionary!$A$16,Data!$H50)),1,0)</f>
        <v>0</v>
      </c>
      <c r="N50" s="15" t="n">
        <f aca="false">IF(SUMPRODUCT((Dictionary!$C$5:$C$96=Dictionary!$A$5)*(Dictionary!$D$5:$D$96&lt;&gt;"")*ISNUMBER(SEARCH(Dictionary!$D$5:$D$96,Data!$I50)))&gt;0,1,0)</f>
        <v>0</v>
      </c>
      <c r="O50" s="15" t="n">
        <f aca="false">IF(SUMPRODUCT((Dictionary!$C$5:$C$96=Dictionary!$A$6)*(Dictionary!$D$5:$D$96&lt;&gt;"")*ISNUMBER(SEARCH(Dictionary!$D$5:$D$96,Data!$I50)))&gt;0,1,0)</f>
        <v>0</v>
      </c>
      <c r="P50" s="15" t="n">
        <f aca="false">IF(SUMPRODUCT((Dictionary!$C$5:$C$96=Dictionary!$A$7)*(Dictionary!$D$5:$D$96&lt;&gt;"")*ISNUMBER(SEARCH(Dictionary!$D$5:$D$96,Data!$I50)))&gt;0,1,0)</f>
        <v>0</v>
      </c>
      <c r="Q50" s="15" t="n">
        <f aca="false">IF(SUMPRODUCT((Dictionary!$C$5:$C$96=Dictionary!$A$8)*(Dictionary!$D$5:$D$96&lt;&gt;"")*ISNUMBER(SEARCH(Dictionary!$D$5:$D$96,Data!$I50)))&gt;0,1,0)</f>
        <v>1</v>
      </c>
      <c r="R50" s="15" t="n">
        <f aca="false">IF(SUMPRODUCT((Dictionary!$C$5:$C$96=Dictionary!$A$9)*(Dictionary!$D$5:$D$96&lt;&gt;"")*ISNUMBER(SEARCH(Dictionary!$D$5:$D$96,Data!$I50)))&gt;0,1,0)</f>
        <v>0</v>
      </c>
      <c r="S50" s="15" t="n">
        <f aca="false">IF(SUMPRODUCT((Dictionary!$C$5:$C$96=Dictionary!$A$10)*(Dictionary!$D$5:$D$96&lt;&gt;"")*ISNUMBER(SEARCH(Dictionary!$D$5:$D$96,Data!$I50)))&gt;0,1,0)</f>
        <v>0</v>
      </c>
      <c r="T50" s="15" t="n">
        <f aca="false">IF(SUMPRODUCT((Dictionary!$C$5:$C$96=Dictionary!$A$11)*(Dictionary!$D$5:$D$96&lt;&gt;"")*ISNUMBER(SEARCH(Dictionary!$D$5:$D$96,Data!$I50)))&gt;0,1,0)</f>
        <v>0</v>
      </c>
      <c r="U50" s="15" t="n">
        <f aca="false">IF(SUMPRODUCT((Dictionary!$C$5:$C$96=Dictionary!$A$12)*(Dictionary!$D$5:$D$96&lt;&gt;"")*ISNUMBER(SEARCH(Dictionary!$D$5:$D$96,Data!$I50)))&gt;0,1,0)</f>
        <v>0</v>
      </c>
      <c r="V50" s="15" t="n">
        <f aca="false">IF(SUMPRODUCT((Dictionary!$C$5:$C$96=Dictionary!$A$13)*(Dictionary!$D$5:$D$96&lt;&gt;"")*ISNUMBER(SEARCH(Dictionary!$D$5:$D$96,Data!$I50)))&gt;0,1,0)</f>
        <v>1</v>
      </c>
      <c r="W50" s="15" t="n">
        <f aca="false">IF(SUMPRODUCT((Dictionary!$C$5:$C$96=Dictionary!$A$14)*(Dictionary!$D$5:$D$96&lt;&gt;"")*ISNUMBER(SEARCH(Dictionary!$D$5:$D$96,Data!$I50)))&gt;0,1,0)</f>
        <v>0</v>
      </c>
      <c r="X50" s="15" t="n">
        <f aca="false">IF(SUMPRODUCT((Dictionary!$C$5:$C$96=Dictionary!$A$15)*(Dictionary!$D$5:$D$96&lt;&gt;"")*ISNUMBER(SEARCH(Dictionary!$D$5:$D$96,Data!$I50)))&gt;0,1,0)</f>
        <v>0</v>
      </c>
      <c r="Y50" s="15" t="n">
        <f aca="false">IF(SUMPRODUCT((Dictionary!$C$5:$C$96=Dictionary!$A$16)*(Dictionary!$D$5:$D$96&lt;&gt;"")*ISNUMBER(SEARCH(Dictionary!$D$5:$D$96,Data!$I50)))&gt;0,1,0)</f>
        <v>0</v>
      </c>
      <c r="Z50" s="15" t="n">
        <f aca="false">IF(ISNUMBER(SEARCH("Other",Data!$H50)),1,0)</f>
        <v>0</v>
      </c>
      <c r="AA50" s="15" t="n">
        <f aca="false">IF(Data!$I50&lt;&gt;"",1,0)</f>
        <v>1</v>
      </c>
      <c r="AB50" s="15" t="n">
        <f aca="false">SUM(B50:M50)</f>
        <v>0</v>
      </c>
      <c r="AC50" s="15" t="n">
        <f aca="false">SUMPRODUCT(--((B50:M50+N50:Y50)&gt;0))</f>
        <v>2</v>
      </c>
      <c r="AD50" s="15" t="n">
        <f aca="false">AC50-AB50</f>
        <v>2</v>
      </c>
      <c r="AE50" s="15" t="n">
        <f aca="false">IF(AND(Z50=1,AA50=1),1,0)</f>
        <v>0</v>
      </c>
      <c r="AF50" s="15" t="n">
        <f aca="false">AC50+AE50</f>
        <v>2</v>
      </c>
      <c r="AG50" s="15" t="n">
        <f aca="false">AB50+AE50</f>
        <v>0</v>
      </c>
      <c r="AH50" s="15" t="n">
        <f aca="false">IF(AND(Data!$H50&lt;&gt;"",Data!$I50&lt;&gt;""),1,0)</f>
        <v>0</v>
      </c>
      <c r="AI50" s="15" t="str">
        <f aca="false">IF(AH50=1,SUMPRODUCT(N50:Y50*B50:M50),"")</f>
        <v/>
      </c>
      <c r="AJ50" s="15" t="str">
        <f aca="false">IF(AH50=1,SUMPRODUCT(--(N50:Y50&gt;B50:M50)),"")</f>
        <v/>
      </c>
      <c r="AK50" s="15" t="str">
        <f aca="false">IF(AH50=1,AB50,"")</f>
        <v/>
      </c>
    </row>
    <row r="51" customFormat="false" ht="15" hidden="false" customHeight="true" outlineLevel="0" collapsed="false">
      <c r="A51" s="15" t="str">
        <f aca="false">Data!$A51</f>
        <v>Galaxy</v>
      </c>
      <c r="B51" s="15" t="n">
        <f aca="false">IF(ISNUMBER(SEARCH(Dictionary!$A$5,Data!$H51)),1,0)</f>
        <v>0</v>
      </c>
      <c r="C51" s="15" t="n">
        <f aca="false">IF(ISNUMBER(SEARCH(Dictionary!$A$6,Data!$H51)),1,0)</f>
        <v>0</v>
      </c>
      <c r="D51" s="15" t="n">
        <f aca="false">IF(ISNUMBER(SEARCH(Dictionary!$A$7,Data!$H51)),1,0)</f>
        <v>0</v>
      </c>
      <c r="E51" s="15" t="n">
        <f aca="false">IF(ISNUMBER(SEARCH(Dictionary!$A$8,Data!$H51)),1,0)</f>
        <v>0</v>
      </c>
      <c r="F51" s="15" t="n">
        <f aca="false">IF(ISNUMBER(SEARCH(Dictionary!$A$9,Data!$H51)),1,0)</f>
        <v>0</v>
      </c>
      <c r="G51" s="15" t="n">
        <f aca="false">IF(ISNUMBER(SEARCH(Dictionary!$A$10,Data!$H51)),1,0)</f>
        <v>0</v>
      </c>
      <c r="H51" s="15" t="n">
        <f aca="false">IF(ISNUMBER(SEARCH(Dictionary!$A$11,Data!$H51)),1,0)</f>
        <v>0</v>
      </c>
      <c r="I51" s="15" t="n">
        <f aca="false">IF(ISNUMBER(SEARCH(Dictionary!$A$12,Data!$H51)),1,0)</f>
        <v>0</v>
      </c>
      <c r="J51" s="15" t="n">
        <f aca="false">IF(ISNUMBER(SEARCH(Dictionary!$A$13,Data!$H51)),1,0)</f>
        <v>0</v>
      </c>
      <c r="K51" s="15" t="n">
        <f aca="false">IF(ISNUMBER(SEARCH(Dictionary!$A$14,Data!$H51)),1,0)</f>
        <v>0</v>
      </c>
      <c r="L51" s="15" t="n">
        <f aca="false">IF(ISNUMBER(SEARCH(Dictionary!$A$15,Data!$H51)),1,0)</f>
        <v>0</v>
      </c>
      <c r="M51" s="15" t="n">
        <f aca="false">IF(ISNUMBER(SEARCH(Dictionary!$A$16,Data!$H51)),1,0)</f>
        <v>0</v>
      </c>
      <c r="N51" s="15" t="n">
        <f aca="false">IF(SUMPRODUCT((Dictionary!$C$5:$C$96=Dictionary!$A$5)*(Dictionary!$D$5:$D$96&lt;&gt;"")*ISNUMBER(SEARCH(Dictionary!$D$5:$D$96,Data!$I51)))&gt;0,1,0)</f>
        <v>0</v>
      </c>
      <c r="O51" s="15" t="n">
        <f aca="false">IF(SUMPRODUCT((Dictionary!$C$5:$C$96=Dictionary!$A$6)*(Dictionary!$D$5:$D$96&lt;&gt;"")*ISNUMBER(SEARCH(Dictionary!$D$5:$D$96,Data!$I51)))&gt;0,1,0)</f>
        <v>0</v>
      </c>
      <c r="P51" s="15" t="n">
        <f aca="false">IF(SUMPRODUCT((Dictionary!$C$5:$C$96=Dictionary!$A$7)*(Dictionary!$D$5:$D$96&lt;&gt;"")*ISNUMBER(SEARCH(Dictionary!$D$5:$D$96,Data!$I51)))&gt;0,1,0)</f>
        <v>0</v>
      </c>
      <c r="Q51" s="15" t="n">
        <f aca="false">IF(SUMPRODUCT((Dictionary!$C$5:$C$96=Dictionary!$A$8)*(Dictionary!$D$5:$D$96&lt;&gt;"")*ISNUMBER(SEARCH(Dictionary!$D$5:$D$96,Data!$I51)))&gt;0,1,0)</f>
        <v>0</v>
      </c>
      <c r="R51" s="15" t="n">
        <f aca="false">IF(SUMPRODUCT((Dictionary!$C$5:$C$96=Dictionary!$A$9)*(Dictionary!$D$5:$D$96&lt;&gt;"")*ISNUMBER(SEARCH(Dictionary!$D$5:$D$96,Data!$I51)))&gt;0,1,0)</f>
        <v>0</v>
      </c>
      <c r="S51" s="15" t="n">
        <f aca="false">IF(SUMPRODUCT((Dictionary!$C$5:$C$96=Dictionary!$A$10)*(Dictionary!$D$5:$D$96&lt;&gt;"")*ISNUMBER(SEARCH(Dictionary!$D$5:$D$96,Data!$I51)))&gt;0,1,0)</f>
        <v>0</v>
      </c>
      <c r="T51" s="15" t="n">
        <f aca="false">IF(SUMPRODUCT((Dictionary!$C$5:$C$96=Dictionary!$A$11)*(Dictionary!$D$5:$D$96&lt;&gt;"")*ISNUMBER(SEARCH(Dictionary!$D$5:$D$96,Data!$I51)))&gt;0,1,0)</f>
        <v>0</v>
      </c>
      <c r="U51" s="15" t="n">
        <f aca="false">IF(SUMPRODUCT((Dictionary!$C$5:$C$96=Dictionary!$A$12)*(Dictionary!$D$5:$D$96&lt;&gt;"")*ISNUMBER(SEARCH(Dictionary!$D$5:$D$96,Data!$I51)))&gt;0,1,0)</f>
        <v>0</v>
      </c>
      <c r="V51" s="15" t="n">
        <f aca="false">IF(SUMPRODUCT((Dictionary!$C$5:$C$96=Dictionary!$A$13)*(Dictionary!$D$5:$D$96&lt;&gt;"")*ISNUMBER(SEARCH(Dictionary!$D$5:$D$96,Data!$I51)))&gt;0,1,0)</f>
        <v>0</v>
      </c>
      <c r="W51" s="15" t="n">
        <f aca="false">IF(SUMPRODUCT((Dictionary!$C$5:$C$96=Dictionary!$A$14)*(Dictionary!$D$5:$D$96&lt;&gt;"")*ISNUMBER(SEARCH(Dictionary!$D$5:$D$96,Data!$I51)))&gt;0,1,0)</f>
        <v>0</v>
      </c>
      <c r="X51" s="15" t="n">
        <f aca="false">IF(SUMPRODUCT((Dictionary!$C$5:$C$96=Dictionary!$A$15)*(Dictionary!$D$5:$D$96&lt;&gt;"")*ISNUMBER(SEARCH(Dictionary!$D$5:$D$96,Data!$I51)))&gt;0,1,0)</f>
        <v>0</v>
      </c>
      <c r="Y51" s="15" t="n">
        <f aca="false">IF(SUMPRODUCT((Dictionary!$C$5:$C$96=Dictionary!$A$16)*(Dictionary!$D$5:$D$96&lt;&gt;"")*ISNUMBER(SEARCH(Dictionary!$D$5:$D$96,Data!$I51)))&gt;0,1,0)</f>
        <v>0</v>
      </c>
      <c r="Z51" s="15" t="n">
        <f aca="false">IF(ISNUMBER(SEARCH("Other",Data!$H51)),1,0)</f>
        <v>0</v>
      </c>
      <c r="AA51" s="15" t="n">
        <f aca="false">IF(Data!$I51&lt;&gt;"",1,0)</f>
        <v>0</v>
      </c>
      <c r="AB51" s="15" t="n">
        <f aca="false">SUM(B51:M51)</f>
        <v>0</v>
      </c>
      <c r="AC51" s="15" t="n">
        <f aca="false">SUMPRODUCT(--((B51:M51+N51:Y51)&gt;0))</f>
        <v>0</v>
      </c>
      <c r="AD51" s="15" t="n">
        <f aca="false">AC51-AB51</f>
        <v>0</v>
      </c>
      <c r="AE51" s="15" t="n">
        <f aca="false">IF(AND(Z51=1,AA51=1),1,0)</f>
        <v>0</v>
      </c>
      <c r="AF51" s="15" t="n">
        <f aca="false">AC51+AE51</f>
        <v>0</v>
      </c>
      <c r="AG51" s="15" t="n">
        <f aca="false">AB51+AE51</f>
        <v>0</v>
      </c>
      <c r="AH51" s="15" t="n">
        <f aca="false">IF(AND(Data!$H51&lt;&gt;"",Data!$I51&lt;&gt;""),1,0)</f>
        <v>0</v>
      </c>
      <c r="AI51" s="15" t="str">
        <f aca="false">IF(AH51=1,SUMPRODUCT(N51:Y51*B51:M51),"")</f>
        <v/>
      </c>
      <c r="AJ51" s="15" t="str">
        <f aca="false">IF(AH51=1,SUMPRODUCT(--(N51:Y51&gt;B51:M51)),"")</f>
        <v/>
      </c>
      <c r="AK51" s="15" t="str">
        <f aca="false">IF(AH51=1,AB51,"")</f>
        <v/>
      </c>
    </row>
    <row r="52" customFormat="false" ht="15" hidden="false" customHeight="true" outlineLevel="0" collapsed="false">
      <c r="A52" s="15" t="str">
        <f aca="false">Data!$A52</f>
        <v>GeoServer</v>
      </c>
      <c r="B52" s="15" t="n">
        <f aca="false">IF(ISNUMBER(SEARCH(Dictionary!$A$5,Data!$H52)),1,0)</f>
        <v>0</v>
      </c>
      <c r="C52" s="15" t="n">
        <f aca="false">IF(ISNUMBER(SEARCH(Dictionary!$A$6,Data!$H52)),1,0)</f>
        <v>1</v>
      </c>
      <c r="D52" s="15" t="n">
        <f aca="false">IF(ISNUMBER(SEARCH(Dictionary!$A$7,Data!$H52)),1,0)</f>
        <v>1</v>
      </c>
      <c r="E52" s="15" t="n">
        <f aca="false">IF(ISNUMBER(SEARCH(Dictionary!$A$8,Data!$H52)),1,0)</f>
        <v>1</v>
      </c>
      <c r="F52" s="15" t="n">
        <f aca="false">IF(ISNUMBER(SEARCH(Dictionary!$A$9,Data!$H52)),1,0)</f>
        <v>1</v>
      </c>
      <c r="G52" s="15" t="n">
        <f aca="false">IF(ISNUMBER(SEARCH(Dictionary!$A$10,Data!$H52)),1,0)</f>
        <v>0</v>
      </c>
      <c r="H52" s="15" t="n">
        <f aca="false">IF(ISNUMBER(SEARCH(Dictionary!$A$11,Data!$H52)),1,0)</f>
        <v>1</v>
      </c>
      <c r="I52" s="15" t="n">
        <f aca="false">IF(ISNUMBER(SEARCH(Dictionary!$A$12,Data!$H52)),1,0)</f>
        <v>1</v>
      </c>
      <c r="J52" s="15" t="n">
        <f aca="false">IF(ISNUMBER(SEARCH(Dictionary!$A$13,Data!$H52)),1,0)</f>
        <v>0</v>
      </c>
      <c r="K52" s="15" t="n">
        <f aca="false">IF(ISNUMBER(SEARCH(Dictionary!$A$14,Data!$H52)),1,0)</f>
        <v>0</v>
      </c>
      <c r="L52" s="15" t="n">
        <f aca="false">IF(ISNUMBER(SEARCH(Dictionary!$A$15,Data!$H52)),1,0)</f>
        <v>0</v>
      </c>
      <c r="M52" s="15" t="n">
        <f aca="false">IF(ISNUMBER(SEARCH(Dictionary!$A$16,Data!$H52)),1,0)</f>
        <v>0</v>
      </c>
      <c r="N52" s="15" t="n">
        <f aca="false">IF(SUMPRODUCT((Dictionary!$C$5:$C$96=Dictionary!$A$5)*(Dictionary!$D$5:$D$96&lt;&gt;"")*ISNUMBER(SEARCH(Dictionary!$D$5:$D$96,Data!$I52)))&gt;0,1,0)</f>
        <v>0</v>
      </c>
      <c r="O52" s="15" t="n">
        <f aca="false">IF(SUMPRODUCT((Dictionary!$C$5:$C$96=Dictionary!$A$6)*(Dictionary!$D$5:$D$96&lt;&gt;"")*ISNUMBER(SEARCH(Dictionary!$D$5:$D$96,Data!$I52)))&gt;0,1,0)</f>
        <v>0</v>
      </c>
      <c r="P52" s="15" t="n">
        <f aca="false">IF(SUMPRODUCT((Dictionary!$C$5:$C$96=Dictionary!$A$7)*(Dictionary!$D$5:$D$96&lt;&gt;"")*ISNUMBER(SEARCH(Dictionary!$D$5:$D$96,Data!$I52)))&gt;0,1,0)</f>
        <v>0</v>
      </c>
      <c r="Q52" s="15" t="n">
        <f aca="false">IF(SUMPRODUCT((Dictionary!$C$5:$C$96=Dictionary!$A$8)*(Dictionary!$D$5:$D$96&lt;&gt;"")*ISNUMBER(SEARCH(Dictionary!$D$5:$D$96,Data!$I52)))&gt;0,1,0)</f>
        <v>0</v>
      </c>
      <c r="R52" s="15" t="n">
        <f aca="false">IF(SUMPRODUCT((Dictionary!$C$5:$C$96=Dictionary!$A$9)*(Dictionary!$D$5:$D$96&lt;&gt;"")*ISNUMBER(SEARCH(Dictionary!$D$5:$D$96,Data!$I52)))&gt;0,1,0)</f>
        <v>0</v>
      </c>
      <c r="S52" s="15" t="n">
        <f aca="false">IF(SUMPRODUCT((Dictionary!$C$5:$C$96=Dictionary!$A$10)*(Dictionary!$D$5:$D$96&lt;&gt;"")*ISNUMBER(SEARCH(Dictionary!$D$5:$D$96,Data!$I52)))&gt;0,1,0)</f>
        <v>0</v>
      </c>
      <c r="T52" s="15" t="n">
        <f aca="false">IF(SUMPRODUCT((Dictionary!$C$5:$C$96=Dictionary!$A$11)*(Dictionary!$D$5:$D$96&lt;&gt;"")*ISNUMBER(SEARCH(Dictionary!$D$5:$D$96,Data!$I52)))&gt;0,1,0)</f>
        <v>0</v>
      </c>
      <c r="U52" s="15" t="n">
        <f aca="false">IF(SUMPRODUCT((Dictionary!$C$5:$C$96=Dictionary!$A$12)*(Dictionary!$D$5:$D$96&lt;&gt;"")*ISNUMBER(SEARCH(Dictionary!$D$5:$D$96,Data!$I52)))&gt;0,1,0)</f>
        <v>0</v>
      </c>
      <c r="V52" s="15" t="n">
        <f aca="false">IF(SUMPRODUCT((Dictionary!$C$5:$C$96=Dictionary!$A$13)*(Dictionary!$D$5:$D$96&lt;&gt;"")*ISNUMBER(SEARCH(Dictionary!$D$5:$D$96,Data!$I52)))&gt;0,1,0)</f>
        <v>0</v>
      </c>
      <c r="W52" s="15" t="n">
        <f aca="false">IF(SUMPRODUCT((Dictionary!$C$5:$C$96=Dictionary!$A$14)*(Dictionary!$D$5:$D$96&lt;&gt;"")*ISNUMBER(SEARCH(Dictionary!$D$5:$D$96,Data!$I52)))&gt;0,1,0)</f>
        <v>0</v>
      </c>
      <c r="X52" s="15" t="n">
        <f aca="false">IF(SUMPRODUCT((Dictionary!$C$5:$C$96=Dictionary!$A$15)*(Dictionary!$D$5:$D$96&lt;&gt;"")*ISNUMBER(SEARCH(Dictionary!$D$5:$D$96,Data!$I52)))&gt;0,1,0)</f>
        <v>0</v>
      </c>
      <c r="Y52" s="15" t="n">
        <f aca="false">IF(SUMPRODUCT((Dictionary!$C$5:$C$96=Dictionary!$A$16)*(Dictionary!$D$5:$D$96&lt;&gt;"")*ISNUMBER(SEARCH(Dictionary!$D$5:$D$96,Data!$I52)))&gt;0,1,0)</f>
        <v>0</v>
      </c>
      <c r="Z52" s="15" t="n">
        <f aca="false">IF(ISNUMBER(SEARCH("Other",Data!$H52)),1,0)</f>
        <v>0</v>
      </c>
      <c r="AA52" s="15" t="n">
        <f aca="false">IF(Data!$I52&lt;&gt;"",1,0)</f>
        <v>0</v>
      </c>
      <c r="AB52" s="15" t="n">
        <f aca="false">SUM(B52:M52)</f>
        <v>6</v>
      </c>
      <c r="AC52" s="15" t="n">
        <f aca="false">SUMPRODUCT(--((B52:M52+N52:Y52)&gt;0))</f>
        <v>6</v>
      </c>
      <c r="AD52" s="15" t="n">
        <f aca="false">AC52-AB52</f>
        <v>0</v>
      </c>
      <c r="AE52" s="15" t="n">
        <f aca="false">IF(AND(Z52=1,AA52=1),1,0)</f>
        <v>0</v>
      </c>
      <c r="AF52" s="15" t="n">
        <f aca="false">AC52+AE52</f>
        <v>6</v>
      </c>
      <c r="AG52" s="15" t="n">
        <f aca="false">AB52+AE52</f>
        <v>6</v>
      </c>
      <c r="AH52" s="15" t="n">
        <f aca="false">IF(AND(Data!$H52&lt;&gt;"",Data!$I52&lt;&gt;""),1,0)</f>
        <v>0</v>
      </c>
      <c r="AI52" s="15" t="str">
        <f aca="false">IF(AH52=1,SUMPRODUCT(N52:Y52*B52:M52),"")</f>
        <v/>
      </c>
      <c r="AJ52" s="15" t="str">
        <f aca="false">IF(AH52=1,SUMPRODUCT(--(N52:Y52&gt;B52:M52)),"")</f>
        <v/>
      </c>
      <c r="AK52" s="15" t="str">
        <f aca="false">IF(AH52=1,AB52,"")</f>
        <v/>
      </c>
    </row>
    <row r="53" customFormat="false" ht="15" hidden="false" customHeight="true" outlineLevel="0" collapsed="false">
      <c r="A53" s="15" t="str">
        <f aca="false">Data!$A53</f>
        <v>Hyku</v>
      </c>
      <c r="B53" s="15" t="n">
        <f aca="false">IF(ISNUMBER(SEARCH(Dictionary!$A$5,Data!$H53)),1,0)</f>
        <v>1</v>
      </c>
      <c r="C53" s="15" t="n">
        <f aca="false">IF(ISNUMBER(SEARCH(Dictionary!$A$6,Data!$H53)),1,0)</f>
        <v>1</v>
      </c>
      <c r="D53" s="15" t="n">
        <f aca="false">IF(ISNUMBER(SEARCH(Dictionary!$A$7,Data!$H53)),1,0)</f>
        <v>1</v>
      </c>
      <c r="E53" s="15" t="n">
        <f aca="false">IF(ISNUMBER(SEARCH(Dictionary!$A$8,Data!$H53)),1,0)</f>
        <v>1</v>
      </c>
      <c r="F53" s="15" t="n">
        <f aca="false">IF(ISNUMBER(SEARCH(Dictionary!$A$9,Data!$H53)),1,0)</f>
        <v>1</v>
      </c>
      <c r="G53" s="15" t="n">
        <f aca="false">IF(ISNUMBER(SEARCH(Dictionary!$A$10,Data!$H53)),1,0)</f>
        <v>1</v>
      </c>
      <c r="H53" s="15" t="n">
        <f aca="false">IF(ISNUMBER(SEARCH(Dictionary!$A$11,Data!$H53)),1,0)</f>
        <v>1</v>
      </c>
      <c r="I53" s="15" t="n">
        <f aca="false">IF(ISNUMBER(SEARCH(Dictionary!$A$12,Data!$H53)),1,0)</f>
        <v>0</v>
      </c>
      <c r="J53" s="15" t="n">
        <f aca="false">IF(ISNUMBER(SEARCH(Dictionary!$A$13,Data!$H53)),1,0)</f>
        <v>1</v>
      </c>
      <c r="K53" s="15" t="n">
        <f aca="false">IF(ISNUMBER(SEARCH(Dictionary!$A$14,Data!$H53)),1,0)</f>
        <v>0</v>
      </c>
      <c r="L53" s="15" t="n">
        <f aca="false">IF(ISNUMBER(SEARCH(Dictionary!$A$15,Data!$H53)),1,0)</f>
        <v>0</v>
      </c>
      <c r="M53" s="15" t="n">
        <f aca="false">IF(ISNUMBER(SEARCH(Dictionary!$A$16,Data!$H53)),1,0)</f>
        <v>1</v>
      </c>
      <c r="N53" s="15" t="n">
        <f aca="false">IF(SUMPRODUCT((Dictionary!$C$5:$C$96=Dictionary!$A$5)*(Dictionary!$D$5:$D$96&lt;&gt;"")*ISNUMBER(SEARCH(Dictionary!$D$5:$D$96,Data!$I53)))&gt;0,1,0)</f>
        <v>0</v>
      </c>
      <c r="O53" s="15" t="n">
        <f aca="false">IF(SUMPRODUCT((Dictionary!$C$5:$C$96=Dictionary!$A$6)*(Dictionary!$D$5:$D$96&lt;&gt;"")*ISNUMBER(SEARCH(Dictionary!$D$5:$D$96,Data!$I53)))&gt;0,1,0)</f>
        <v>0</v>
      </c>
      <c r="P53" s="15" t="n">
        <f aca="false">IF(SUMPRODUCT((Dictionary!$C$5:$C$96=Dictionary!$A$7)*(Dictionary!$D$5:$D$96&lt;&gt;"")*ISNUMBER(SEARCH(Dictionary!$D$5:$D$96,Data!$I53)))&gt;0,1,0)</f>
        <v>0</v>
      </c>
      <c r="Q53" s="15" t="n">
        <f aca="false">IF(SUMPRODUCT((Dictionary!$C$5:$C$96=Dictionary!$A$8)*(Dictionary!$D$5:$D$96&lt;&gt;"")*ISNUMBER(SEARCH(Dictionary!$D$5:$D$96,Data!$I53)))&gt;0,1,0)</f>
        <v>0</v>
      </c>
      <c r="R53" s="15" t="n">
        <f aca="false">IF(SUMPRODUCT((Dictionary!$C$5:$C$96=Dictionary!$A$9)*(Dictionary!$D$5:$D$96&lt;&gt;"")*ISNUMBER(SEARCH(Dictionary!$D$5:$D$96,Data!$I53)))&gt;0,1,0)</f>
        <v>0</v>
      </c>
      <c r="S53" s="15" t="n">
        <f aca="false">IF(SUMPRODUCT((Dictionary!$C$5:$C$96=Dictionary!$A$10)*(Dictionary!$D$5:$D$96&lt;&gt;"")*ISNUMBER(SEARCH(Dictionary!$D$5:$D$96,Data!$I53)))&gt;0,1,0)</f>
        <v>1</v>
      </c>
      <c r="T53" s="15" t="n">
        <f aca="false">IF(SUMPRODUCT((Dictionary!$C$5:$C$96=Dictionary!$A$11)*(Dictionary!$D$5:$D$96&lt;&gt;"")*ISNUMBER(SEARCH(Dictionary!$D$5:$D$96,Data!$I53)))&gt;0,1,0)</f>
        <v>0</v>
      </c>
      <c r="U53" s="15" t="n">
        <f aca="false">IF(SUMPRODUCT((Dictionary!$C$5:$C$96=Dictionary!$A$12)*(Dictionary!$D$5:$D$96&lt;&gt;"")*ISNUMBER(SEARCH(Dictionary!$D$5:$D$96,Data!$I53)))&gt;0,1,0)</f>
        <v>0</v>
      </c>
      <c r="V53" s="15" t="n">
        <f aca="false">IF(SUMPRODUCT((Dictionary!$C$5:$C$96=Dictionary!$A$13)*(Dictionary!$D$5:$D$96&lt;&gt;"")*ISNUMBER(SEARCH(Dictionary!$D$5:$D$96,Data!$I53)))&gt;0,1,0)</f>
        <v>0</v>
      </c>
      <c r="W53" s="15" t="n">
        <f aca="false">IF(SUMPRODUCT((Dictionary!$C$5:$C$96=Dictionary!$A$14)*(Dictionary!$D$5:$D$96&lt;&gt;"")*ISNUMBER(SEARCH(Dictionary!$D$5:$D$96,Data!$I53)))&gt;0,1,0)</f>
        <v>0</v>
      </c>
      <c r="X53" s="15" t="n">
        <f aca="false">IF(SUMPRODUCT((Dictionary!$C$5:$C$96=Dictionary!$A$15)*(Dictionary!$D$5:$D$96&lt;&gt;"")*ISNUMBER(SEARCH(Dictionary!$D$5:$D$96,Data!$I53)))&gt;0,1,0)</f>
        <v>0</v>
      </c>
      <c r="Y53" s="15" t="n">
        <f aca="false">IF(SUMPRODUCT((Dictionary!$C$5:$C$96=Dictionary!$A$16)*(Dictionary!$D$5:$D$96&lt;&gt;"")*ISNUMBER(SEARCH(Dictionary!$D$5:$D$96,Data!$I53)))&gt;0,1,0)</f>
        <v>0</v>
      </c>
      <c r="Z53" s="15" t="n">
        <f aca="false">IF(ISNUMBER(SEARCH("Other",Data!$H53)),1,0)</f>
        <v>0</v>
      </c>
      <c r="AA53" s="15" t="n">
        <f aca="false">IF(Data!$I53&lt;&gt;"",1,0)</f>
        <v>1</v>
      </c>
      <c r="AB53" s="15" t="n">
        <f aca="false">SUM(B53:M53)</f>
        <v>9</v>
      </c>
      <c r="AC53" s="15" t="n">
        <f aca="false">SUMPRODUCT(--((B53:M53+N53:Y53)&gt;0))</f>
        <v>9</v>
      </c>
      <c r="AD53" s="15" t="n">
        <f aca="false">AC53-AB53</f>
        <v>0</v>
      </c>
      <c r="AE53" s="15" t="n">
        <f aca="false">IF(AND(Z53=1,AA53=1),1,0)</f>
        <v>0</v>
      </c>
      <c r="AF53" s="15" t="n">
        <f aca="false">AC53+AE53</f>
        <v>9</v>
      </c>
      <c r="AG53" s="15" t="n">
        <f aca="false">AB53+AE53</f>
        <v>9</v>
      </c>
      <c r="AH53" s="15" t="n">
        <f aca="false">IF(AND(Data!$H53&lt;&gt;"",Data!$I53&lt;&gt;""),1,0)</f>
        <v>1</v>
      </c>
      <c r="AI53" s="15" t="n">
        <f aca="false">IF(AH53=1,SUMPRODUCT(N53:Y53*B53:M53),"")</f>
        <v>1</v>
      </c>
      <c r="AJ53" s="15" t="n">
        <f aca="false">IF(AH53=1,SUMPRODUCT(--(N53:Y53&gt;B53:M53)),"")</f>
        <v>0</v>
      </c>
      <c r="AK53" s="15" t="n">
        <f aca="false">IF(AH53=1,AB53,"")</f>
        <v>9</v>
      </c>
    </row>
    <row r="54" customFormat="false" ht="15" hidden="false" customHeight="true" outlineLevel="0" collapsed="false">
      <c r="A54" s="15" t="str">
        <f aca="false">Data!$A54</f>
        <v>Hyrax</v>
      </c>
      <c r="B54" s="15" t="n">
        <f aca="false">IF(ISNUMBER(SEARCH(Dictionary!$A$5,Data!$H54)),1,0)</f>
        <v>1</v>
      </c>
      <c r="C54" s="15" t="n">
        <f aca="false">IF(ISNUMBER(SEARCH(Dictionary!$A$6,Data!$H54)),1,0)</f>
        <v>1</v>
      </c>
      <c r="D54" s="15" t="n">
        <f aca="false">IF(ISNUMBER(SEARCH(Dictionary!$A$7,Data!$H54)),1,0)</f>
        <v>1</v>
      </c>
      <c r="E54" s="15" t="n">
        <f aca="false">IF(ISNUMBER(SEARCH(Dictionary!$A$8,Data!$H54)),1,0)</f>
        <v>1</v>
      </c>
      <c r="F54" s="15" t="n">
        <f aca="false">IF(ISNUMBER(SEARCH(Dictionary!$A$9,Data!$H54)),1,0)</f>
        <v>1</v>
      </c>
      <c r="G54" s="15" t="n">
        <f aca="false">IF(ISNUMBER(SEARCH(Dictionary!$A$10,Data!$H54)),1,0)</f>
        <v>1</v>
      </c>
      <c r="H54" s="15" t="n">
        <f aca="false">IF(ISNUMBER(SEARCH(Dictionary!$A$11,Data!$H54)),1,0)</f>
        <v>1</v>
      </c>
      <c r="I54" s="15" t="n">
        <f aca="false">IF(ISNUMBER(SEARCH(Dictionary!$A$12,Data!$H54)),1,0)</f>
        <v>0</v>
      </c>
      <c r="J54" s="15" t="n">
        <f aca="false">IF(ISNUMBER(SEARCH(Dictionary!$A$13,Data!$H54)),1,0)</f>
        <v>1</v>
      </c>
      <c r="K54" s="15" t="n">
        <f aca="false">IF(ISNUMBER(SEARCH(Dictionary!$A$14,Data!$H54)),1,0)</f>
        <v>0</v>
      </c>
      <c r="L54" s="15" t="n">
        <f aca="false">IF(ISNUMBER(SEARCH(Dictionary!$A$15,Data!$H54)),1,0)</f>
        <v>0</v>
      </c>
      <c r="M54" s="15" t="n">
        <f aca="false">IF(ISNUMBER(SEARCH(Dictionary!$A$16,Data!$H54)),1,0)</f>
        <v>1</v>
      </c>
      <c r="N54" s="15" t="n">
        <f aca="false">IF(SUMPRODUCT((Dictionary!$C$5:$C$96=Dictionary!$A$5)*(Dictionary!$D$5:$D$96&lt;&gt;"")*ISNUMBER(SEARCH(Dictionary!$D$5:$D$96,Data!$I54)))&gt;0,1,0)</f>
        <v>0</v>
      </c>
      <c r="O54" s="15" t="n">
        <f aca="false">IF(SUMPRODUCT((Dictionary!$C$5:$C$96=Dictionary!$A$6)*(Dictionary!$D$5:$D$96&lt;&gt;"")*ISNUMBER(SEARCH(Dictionary!$D$5:$D$96,Data!$I54)))&gt;0,1,0)</f>
        <v>0</v>
      </c>
      <c r="P54" s="15" t="n">
        <f aca="false">IF(SUMPRODUCT((Dictionary!$C$5:$C$96=Dictionary!$A$7)*(Dictionary!$D$5:$D$96&lt;&gt;"")*ISNUMBER(SEARCH(Dictionary!$D$5:$D$96,Data!$I54)))&gt;0,1,0)</f>
        <v>0</v>
      </c>
      <c r="Q54" s="15" t="n">
        <f aca="false">IF(SUMPRODUCT((Dictionary!$C$5:$C$96=Dictionary!$A$8)*(Dictionary!$D$5:$D$96&lt;&gt;"")*ISNUMBER(SEARCH(Dictionary!$D$5:$D$96,Data!$I54)))&gt;0,1,0)</f>
        <v>0</v>
      </c>
      <c r="R54" s="15" t="n">
        <f aca="false">IF(SUMPRODUCT((Dictionary!$C$5:$C$96=Dictionary!$A$9)*(Dictionary!$D$5:$D$96&lt;&gt;"")*ISNUMBER(SEARCH(Dictionary!$D$5:$D$96,Data!$I54)))&gt;0,1,0)</f>
        <v>0</v>
      </c>
      <c r="S54" s="15" t="n">
        <f aca="false">IF(SUMPRODUCT((Dictionary!$C$5:$C$96=Dictionary!$A$10)*(Dictionary!$D$5:$D$96&lt;&gt;"")*ISNUMBER(SEARCH(Dictionary!$D$5:$D$96,Data!$I54)))&gt;0,1,0)</f>
        <v>0</v>
      </c>
      <c r="T54" s="15" t="n">
        <f aca="false">IF(SUMPRODUCT((Dictionary!$C$5:$C$96=Dictionary!$A$11)*(Dictionary!$D$5:$D$96&lt;&gt;"")*ISNUMBER(SEARCH(Dictionary!$D$5:$D$96,Data!$I54)))&gt;0,1,0)</f>
        <v>0</v>
      </c>
      <c r="U54" s="15" t="n">
        <f aca="false">IF(SUMPRODUCT((Dictionary!$C$5:$C$96=Dictionary!$A$12)*(Dictionary!$D$5:$D$96&lt;&gt;"")*ISNUMBER(SEARCH(Dictionary!$D$5:$D$96,Data!$I54)))&gt;0,1,0)</f>
        <v>0</v>
      </c>
      <c r="V54" s="15" t="n">
        <f aca="false">IF(SUMPRODUCT((Dictionary!$C$5:$C$96=Dictionary!$A$13)*(Dictionary!$D$5:$D$96&lt;&gt;"")*ISNUMBER(SEARCH(Dictionary!$D$5:$D$96,Data!$I54)))&gt;0,1,0)</f>
        <v>0</v>
      </c>
      <c r="W54" s="15" t="n">
        <f aca="false">IF(SUMPRODUCT((Dictionary!$C$5:$C$96=Dictionary!$A$14)*(Dictionary!$D$5:$D$96&lt;&gt;"")*ISNUMBER(SEARCH(Dictionary!$D$5:$D$96,Data!$I54)))&gt;0,1,0)</f>
        <v>0</v>
      </c>
      <c r="X54" s="15" t="n">
        <f aca="false">IF(SUMPRODUCT((Dictionary!$C$5:$C$96=Dictionary!$A$15)*(Dictionary!$D$5:$D$96&lt;&gt;"")*ISNUMBER(SEARCH(Dictionary!$D$5:$D$96,Data!$I54)))&gt;0,1,0)</f>
        <v>0</v>
      </c>
      <c r="Y54" s="15" t="n">
        <f aca="false">IF(SUMPRODUCT((Dictionary!$C$5:$C$96=Dictionary!$A$16)*(Dictionary!$D$5:$D$96&lt;&gt;"")*ISNUMBER(SEARCH(Dictionary!$D$5:$D$96,Data!$I54)))&gt;0,1,0)</f>
        <v>0</v>
      </c>
      <c r="Z54" s="15" t="n">
        <f aca="false">IF(ISNUMBER(SEARCH("Other",Data!$H54)),1,0)</f>
        <v>0</v>
      </c>
      <c r="AA54" s="15" t="n">
        <f aca="false">IF(Data!$I54&lt;&gt;"",1,0)</f>
        <v>0</v>
      </c>
      <c r="AB54" s="15" t="n">
        <f aca="false">SUM(B54:M54)</f>
        <v>9</v>
      </c>
      <c r="AC54" s="15" t="n">
        <f aca="false">SUMPRODUCT(--((B54:M54+N54:Y54)&gt;0))</f>
        <v>9</v>
      </c>
      <c r="AD54" s="15" t="n">
        <f aca="false">AC54-AB54</f>
        <v>0</v>
      </c>
      <c r="AE54" s="15" t="n">
        <f aca="false">IF(AND(Z54=1,AA54=1),1,0)</f>
        <v>0</v>
      </c>
      <c r="AF54" s="15" t="n">
        <f aca="false">AC54+AE54</f>
        <v>9</v>
      </c>
      <c r="AG54" s="15" t="n">
        <f aca="false">AB54+AE54</f>
        <v>9</v>
      </c>
      <c r="AH54" s="15" t="n">
        <f aca="false">IF(AND(Data!$H54&lt;&gt;"",Data!$I54&lt;&gt;""),1,0)</f>
        <v>0</v>
      </c>
      <c r="AI54" s="15" t="str">
        <f aca="false">IF(AH54=1,SUMPRODUCT(N54:Y54*B54:M54),"")</f>
        <v/>
      </c>
      <c r="AJ54" s="15" t="str">
        <f aca="false">IF(AH54=1,SUMPRODUCT(--(N54:Y54&gt;B54:M54)),"")</f>
        <v/>
      </c>
      <c r="AK54" s="15" t="str">
        <f aca="false">IF(AH54=1,AB54,"")</f>
        <v/>
      </c>
    </row>
    <row r="55" customFormat="false" ht="15" hidden="false" customHeight="true" outlineLevel="0" collapsed="false">
      <c r="A55" s="15" t="str">
        <f aca="false">Data!$A55</f>
        <v>IIIF</v>
      </c>
      <c r="B55" s="15" t="n">
        <f aca="false">IF(ISNUMBER(SEARCH(Dictionary!$A$5,Data!$H55)),1,0)</f>
        <v>0</v>
      </c>
      <c r="C55" s="15" t="n">
        <f aca="false">IF(ISNUMBER(SEARCH(Dictionary!$A$6,Data!$H55)),1,0)</f>
        <v>0</v>
      </c>
      <c r="D55" s="15" t="n">
        <f aca="false">IF(ISNUMBER(SEARCH(Dictionary!$A$7,Data!$H55)),1,0)</f>
        <v>0</v>
      </c>
      <c r="E55" s="15" t="n">
        <f aca="false">IF(ISNUMBER(SEARCH(Dictionary!$A$8,Data!$H55)),1,0)</f>
        <v>0</v>
      </c>
      <c r="F55" s="15" t="n">
        <f aca="false">IF(ISNUMBER(SEARCH(Dictionary!$A$9,Data!$H55)),1,0)</f>
        <v>0</v>
      </c>
      <c r="G55" s="15" t="n">
        <f aca="false">IF(ISNUMBER(SEARCH(Dictionary!$A$10,Data!$H55)),1,0)</f>
        <v>0</v>
      </c>
      <c r="H55" s="15" t="n">
        <f aca="false">IF(ISNUMBER(SEARCH(Dictionary!$A$11,Data!$H55)),1,0)</f>
        <v>0</v>
      </c>
      <c r="I55" s="15" t="n">
        <f aca="false">IF(ISNUMBER(SEARCH(Dictionary!$A$12,Data!$H55)),1,0)</f>
        <v>0</v>
      </c>
      <c r="J55" s="15" t="n">
        <f aca="false">IF(ISNUMBER(SEARCH(Dictionary!$A$13,Data!$H55)),1,0)</f>
        <v>0</v>
      </c>
      <c r="K55" s="15" t="n">
        <f aca="false">IF(ISNUMBER(SEARCH(Dictionary!$A$14,Data!$H55)),1,0)</f>
        <v>0</v>
      </c>
      <c r="L55" s="15" t="n">
        <f aca="false">IF(ISNUMBER(SEARCH(Dictionary!$A$15,Data!$H55)),1,0)</f>
        <v>0</v>
      </c>
      <c r="M55" s="15" t="n">
        <f aca="false">IF(ISNUMBER(SEARCH(Dictionary!$A$16,Data!$H55)),1,0)</f>
        <v>0</v>
      </c>
      <c r="N55" s="15" t="n">
        <f aca="false">IF(SUMPRODUCT((Dictionary!$C$5:$C$96=Dictionary!$A$5)*(Dictionary!$D$5:$D$96&lt;&gt;"")*ISNUMBER(SEARCH(Dictionary!$D$5:$D$96,Data!$I55)))&gt;0,1,0)</f>
        <v>0</v>
      </c>
      <c r="O55" s="15" t="n">
        <f aca="false">IF(SUMPRODUCT((Dictionary!$C$5:$C$96=Dictionary!$A$6)*(Dictionary!$D$5:$D$96&lt;&gt;"")*ISNUMBER(SEARCH(Dictionary!$D$5:$D$96,Data!$I55)))&gt;0,1,0)</f>
        <v>0</v>
      </c>
      <c r="P55" s="15" t="n">
        <f aca="false">IF(SUMPRODUCT((Dictionary!$C$5:$C$96=Dictionary!$A$7)*(Dictionary!$D$5:$D$96&lt;&gt;"")*ISNUMBER(SEARCH(Dictionary!$D$5:$D$96,Data!$I55)))&gt;0,1,0)</f>
        <v>1</v>
      </c>
      <c r="Q55" s="15" t="n">
        <f aca="false">IF(SUMPRODUCT((Dictionary!$C$5:$C$96=Dictionary!$A$8)*(Dictionary!$D$5:$D$96&lt;&gt;"")*ISNUMBER(SEARCH(Dictionary!$D$5:$D$96,Data!$I55)))&gt;0,1,0)</f>
        <v>0</v>
      </c>
      <c r="R55" s="15" t="n">
        <f aca="false">IF(SUMPRODUCT((Dictionary!$C$5:$C$96=Dictionary!$A$9)*(Dictionary!$D$5:$D$96&lt;&gt;"")*ISNUMBER(SEARCH(Dictionary!$D$5:$D$96,Data!$I55)))&gt;0,1,0)</f>
        <v>0</v>
      </c>
      <c r="S55" s="15" t="n">
        <f aca="false">IF(SUMPRODUCT((Dictionary!$C$5:$C$96=Dictionary!$A$10)*(Dictionary!$D$5:$D$96&lt;&gt;"")*ISNUMBER(SEARCH(Dictionary!$D$5:$D$96,Data!$I55)))&gt;0,1,0)</f>
        <v>1</v>
      </c>
      <c r="T55" s="15" t="n">
        <f aca="false">IF(SUMPRODUCT((Dictionary!$C$5:$C$96=Dictionary!$A$11)*(Dictionary!$D$5:$D$96&lt;&gt;"")*ISNUMBER(SEARCH(Dictionary!$D$5:$D$96,Data!$I55)))&gt;0,1,0)</f>
        <v>1</v>
      </c>
      <c r="U55" s="15" t="n">
        <f aca="false">IF(SUMPRODUCT((Dictionary!$C$5:$C$96=Dictionary!$A$12)*(Dictionary!$D$5:$D$96&lt;&gt;"")*ISNUMBER(SEARCH(Dictionary!$D$5:$D$96,Data!$I55)))&gt;0,1,0)</f>
        <v>0</v>
      </c>
      <c r="V55" s="15" t="n">
        <f aca="false">IF(SUMPRODUCT((Dictionary!$C$5:$C$96=Dictionary!$A$13)*(Dictionary!$D$5:$D$96&lt;&gt;"")*ISNUMBER(SEARCH(Dictionary!$D$5:$D$96,Data!$I55)))&gt;0,1,0)</f>
        <v>1</v>
      </c>
      <c r="W55" s="15" t="n">
        <f aca="false">IF(SUMPRODUCT((Dictionary!$C$5:$C$96=Dictionary!$A$14)*(Dictionary!$D$5:$D$96&lt;&gt;"")*ISNUMBER(SEARCH(Dictionary!$D$5:$D$96,Data!$I55)))&gt;0,1,0)</f>
        <v>0</v>
      </c>
      <c r="X55" s="15" t="n">
        <f aca="false">IF(SUMPRODUCT((Dictionary!$C$5:$C$96=Dictionary!$A$15)*(Dictionary!$D$5:$D$96&lt;&gt;"")*ISNUMBER(SEARCH(Dictionary!$D$5:$D$96,Data!$I55)))&gt;0,1,0)</f>
        <v>0</v>
      </c>
      <c r="Y55" s="15" t="n">
        <f aca="false">IF(SUMPRODUCT((Dictionary!$C$5:$C$96=Dictionary!$A$16)*(Dictionary!$D$5:$D$96&lt;&gt;"")*ISNUMBER(SEARCH(Dictionary!$D$5:$D$96,Data!$I55)))&gt;0,1,0)</f>
        <v>1</v>
      </c>
      <c r="Z55" s="15" t="n">
        <f aca="false">IF(ISNUMBER(SEARCH("Other",Data!$H55)),1,0)</f>
        <v>0</v>
      </c>
      <c r="AA55" s="15" t="n">
        <f aca="false">IF(Data!$I55&lt;&gt;"",1,0)</f>
        <v>1</v>
      </c>
      <c r="AB55" s="15" t="n">
        <f aca="false">SUM(B55:M55)</f>
        <v>0</v>
      </c>
      <c r="AC55" s="15" t="n">
        <f aca="false">SUMPRODUCT(--((B55:M55+N55:Y55)&gt;0))</f>
        <v>5</v>
      </c>
      <c r="AD55" s="15" t="n">
        <f aca="false">AC55-AB55</f>
        <v>5</v>
      </c>
      <c r="AE55" s="15" t="n">
        <f aca="false">IF(AND(Z55=1,AA55=1),1,0)</f>
        <v>0</v>
      </c>
      <c r="AF55" s="15" t="n">
        <f aca="false">AC55+AE55</f>
        <v>5</v>
      </c>
      <c r="AG55" s="15" t="n">
        <f aca="false">AB55+AE55</f>
        <v>0</v>
      </c>
      <c r="AH55" s="15" t="n">
        <f aca="false">IF(AND(Data!$H55&lt;&gt;"",Data!$I55&lt;&gt;""),1,0)</f>
        <v>0</v>
      </c>
      <c r="AI55" s="15" t="str">
        <f aca="false">IF(AH55=1,SUMPRODUCT(N55:Y55*B55:M55),"")</f>
        <v/>
      </c>
      <c r="AJ55" s="15" t="str">
        <f aca="false">IF(AH55=1,SUMPRODUCT(--(N55:Y55&gt;B55:M55)),"")</f>
        <v/>
      </c>
      <c r="AK55" s="15" t="str">
        <f aca="false">IF(AH55=1,AB55,"")</f>
        <v/>
      </c>
    </row>
    <row r="56" customFormat="false" ht="15" hidden="false" customHeight="true" outlineLevel="0" collapsed="false">
      <c r="A56" s="15" t="str">
        <f aca="false">Data!$A56</f>
        <v>ImpactU</v>
      </c>
      <c r="B56" s="15" t="n">
        <f aca="false">IF(ISNUMBER(SEARCH(Dictionary!$A$5,Data!$H56)),1,0)</f>
        <v>0</v>
      </c>
      <c r="C56" s="15" t="n">
        <f aca="false">IF(ISNUMBER(SEARCH(Dictionary!$A$6,Data!$H56)),1,0)</f>
        <v>0</v>
      </c>
      <c r="D56" s="15" t="n">
        <f aca="false">IF(ISNUMBER(SEARCH(Dictionary!$A$7,Data!$H56)),1,0)</f>
        <v>0</v>
      </c>
      <c r="E56" s="15" t="n">
        <f aca="false">IF(ISNUMBER(SEARCH(Dictionary!$A$8,Data!$H56)),1,0)</f>
        <v>0</v>
      </c>
      <c r="F56" s="15" t="n">
        <f aca="false">IF(ISNUMBER(SEARCH(Dictionary!$A$9,Data!$H56)),1,0)</f>
        <v>0</v>
      </c>
      <c r="G56" s="15" t="n">
        <f aca="false">IF(ISNUMBER(SEARCH(Dictionary!$A$10,Data!$H56)),1,0)</f>
        <v>0</v>
      </c>
      <c r="H56" s="15" t="n">
        <f aca="false">IF(ISNUMBER(SEARCH(Dictionary!$A$11,Data!$H56)),1,0)</f>
        <v>0</v>
      </c>
      <c r="I56" s="15" t="n">
        <f aca="false">IF(ISNUMBER(SEARCH(Dictionary!$A$12,Data!$H56)),1,0)</f>
        <v>0</v>
      </c>
      <c r="J56" s="15" t="n">
        <f aca="false">IF(ISNUMBER(SEARCH(Dictionary!$A$13,Data!$H56)),1,0)</f>
        <v>0</v>
      </c>
      <c r="K56" s="15" t="n">
        <f aca="false">IF(ISNUMBER(SEARCH(Dictionary!$A$14,Data!$H56)),1,0)</f>
        <v>0</v>
      </c>
      <c r="L56" s="15" t="n">
        <f aca="false">IF(ISNUMBER(SEARCH(Dictionary!$A$15,Data!$H56)),1,0)</f>
        <v>0</v>
      </c>
      <c r="M56" s="15" t="n">
        <f aca="false">IF(ISNUMBER(SEARCH(Dictionary!$A$16,Data!$H56)),1,0)</f>
        <v>0</v>
      </c>
      <c r="N56" s="15" t="n">
        <f aca="false">IF(SUMPRODUCT((Dictionary!$C$5:$C$96=Dictionary!$A$5)*(Dictionary!$D$5:$D$96&lt;&gt;"")*ISNUMBER(SEARCH(Dictionary!$D$5:$D$96,Data!$I56)))&gt;0,1,0)</f>
        <v>0</v>
      </c>
      <c r="O56" s="15" t="n">
        <f aca="false">IF(SUMPRODUCT((Dictionary!$C$5:$C$96=Dictionary!$A$6)*(Dictionary!$D$5:$D$96&lt;&gt;"")*ISNUMBER(SEARCH(Dictionary!$D$5:$D$96,Data!$I56)))&gt;0,1,0)</f>
        <v>0</v>
      </c>
      <c r="P56" s="15" t="n">
        <f aca="false">IF(SUMPRODUCT((Dictionary!$C$5:$C$96=Dictionary!$A$7)*(Dictionary!$D$5:$D$96&lt;&gt;"")*ISNUMBER(SEARCH(Dictionary!$D$5:$D$96,Data!$I56)))&gt;0,1,0)</f>
        <v>0</v>
      </c>
      <c r="Q56" s="15" t="n">
        <f aca="false">IF(SUMPRODUCT((Dictionary!$C$5:$C$96=Dictionary!$A$8)*(Dictionary!$D$5:$D$96&lt;&gt;"")*ISNUMBER(SEARCH(Dictionary!$D$5:$D$96,Data!$I56)))&gt;0,1,0)</f>
        <v>0</v>
      </c>
      <c r="R56" s="15" t="n">
        <f aca="false">IF(SUMPRODUCT((Dictionary!$C$5:$C$96=Dictionary!$A$9)*(Dictionary!$D$5:$D$96&lt;&gt;"")*ISNUMBER(SEARCH(Dictionary!$D$5:$D$96,Data!$I56)))&gt;0,1,0)</f>
        <v>0</v>
      </c>
      <c r="S56" s="15" t="n">
        <f aca="false">IF(SUMPRODUCT((Dictionary!$C$5:$C$96=Dictionary!$A$10)*(Dictionary!$D$5:$D$96&lt;&gt;"")*ISNUMBER(SEARCH(Dictionary!$D$5:$D$96,Data!$I56)))&gt;0,1,0)</f>
        <v>0</v>
      </c>
      <c r="T56" s="15" t="n">
        <f aca="false">IF(SUMPRODUCT((Dictionary!$C$5:$C$96=Dictionary!$A$11)*(Dictionary!$D$5:$D$96&lt;&gt;"")*ISNUMBER(SEARCH(Dictionary!$D$5:$D$96,Data!$I56)))&gt;0,1,0)</f>
        <v>0</v>
      </c>
      <c r="U56" s="15" t="n">
        <f aca="false">IF(SUMPRODUCT((Dictionary!$C$5:$C$96=Dictionary!$A$12)*(Dictionary!$D$5:$D$96&lt;&gt;"")*ISNUMBER(SEARCH(Dictionary!$D$5:$D$96,Data!$I56)))&gt;0,1,0)</f>
        <v>0</v>
      </c>
      <c r="V56" s="15" t="n">
        <f aca="false">IF(SUMPRODUCT((Dictionary!$C$5:$C$96=Dictionary!$A$13)*(Dictionary!$D$5:$D$96&lt;&gt;"")*ISNUMBER(SEARCH(Dictionary!$D$5:$D$96,Data!$I56)))&gt;0,1,0)</f>
        <v>0</v>
      </c>
      <c r="W56" s="15" t="n">
        <f aca="false">IF(SUMPRODUCT((Dictionary!$C$5:$C$96=Dictionary!$A$14)*(Dictionary!$D$5:$D$96&lt;&gt;"")*ISNUMBER(SEARCH(Dictionary!$D$5:$D$96,Data!$I56)))&gt;0,1,0)</f>
        <v>0</v>
      </c>
      <c r="X56" s="15" t="n">
        <f aca="false">IF(SUMPRODUCT((Dictionary!$C$5:$C$96=Dictionary!$A$15)*(Dictionary!$D$5:$D$96&lt;&gt;"")*ISNUMBER(SEARCH(Dictionary!$D$5:$D$96,Data!$I56)))&gt;0,1,0)</f>
        <v>0</v>
      </c>
      <c r="Y56" s="15" t="n">
        <f aca="false">IF(SUMPRODUCT((Dictionary!$C$5:$C$96=Dictionary!$A$16)*(Dictionary!$D$5:$D$96&lt;&gt;"")*ISNUMBER(SEARCH(Dictionary!$D$5:$D$96,Data!$I56)))&gt;0,1,0)</f>
        <v>0</v>
      </c>
      <c r="Z56" s="15" t="n">
        <f aca="false">IF(ISNUMBER(SEARCH("Other",Data!$H56)),1,0)</f>
        <v>0</v>
      </c>
      <c r="AA56" s="15" t="n">
        <f aca="false">IF(Data!$I56&lt;&gt;"",1,0)</f>
        <v>0</v>
      </c>
      <c r="AB56" s="15" t="n">
        <f aca="false">SUM(B56:M56)</f>
        <v>0</v>
      </c>
      <c r="AC56" s="15" t="n">
        <f aca="false">SUMPRODUCT(--((B56:M56+N56:Y56)&gt;0))</f>
        <v>0</v>
      </c>
      <c r="AD56" s="15" t="n">
        <f aca="false">AC56-AB56</f>
        <v>0</v>
      </c>
      <c r="AE56" s="15" t="n">
        <f aca="false">IF(AND(Z56=1,AA56=1),1,0)</f>
        <v>0</v>
      </c>
      <c r="AF56" s="15" t="n">
        <f aca="false">AC56+AE56</f>
        <v>0</v>
      </c>
      <c r="AG56" s="15" t="n">
        <f aca="false">AB56+AE56</f>
        <v>0</v>
      </c>
      <c r="AH56" s="15" t="n">
        <f aca="false">IF(AND(Data!$H56&lt;&gt;"",Data!$I56&lt;&gt;""),1,0)</f>
        <v>0</v>
      </c>
      <c r="AI56" s="15" t="str">
        <f aca="false">IF(AH56=1,SUMPRODUCT(N56:Y56*B56:M56),"")</f>
        <v/>
      </c>
      <c r="AJ56" s="15" t="str">
        <f aca="false">IF(AH56=1,SUMPRODUCT(--(N56:Y56&gt;B56:M56)),"")</f>
        <v/>
      </c>
      <c r="AK56" s="15" t="str">
        <f aca="false">IF(AH56=1,AB56,"")</f>
        <v/>
      </c>
    </row>
    <row r="57" customFormat="false" ht="15" hidden="false" customHeight="true" outlineLevel="0" collapsed="false">
      <c r="A57" s="15" t="str">
        <f aca="false">Data!$A57</f>
        <v>International Generic Sample Number (IGSN)</v>
      </c>
      <c r="B57" s="15" t="n">
        <f aca="false">IF(ISNUMBER(SEARCH(Dictionary!$A$5,Data!$H57)),1,0)</f>
        <v>0</v>
      </c>
      <c r="C57" s="15" t="n">
        <f aca="false">IF(ISNUMBER(SEARCH(Dictionary!$A$6,Data!$H57)),1,0)</f>
        <v>0</v>
      </c>
      <c r="D57" s="15" t="n">
        <f aca="false">IF(ISNUMBER(SEARCH(Dictionary!$A$7,Data!$H57)),1,0)</f>
        <v>0</v>
      </c>
      <c r="E57" s="15" t="n">
        <f aca="false">IF(ISNUMBER(SEARCH(Dictionary!$A$8,Data!$H57)),1,0)</f>
        <v>0</v>
      </c>
      <c r="F57" s="15" t="n">
        <f aca="false">IF(ISNUMBER(SEARCH(Dictionary!$A$9,Data!$H57)),1,0)</f>
        <v>0</v>
      </c>
      <c r="G57" s="15" t="n">
        <f aca="false">IF(ISNUMBER(SEARCH(Dictionary!$A$10,Data!$H57)),1,0)</f>
        <v>0</v>
      </c>
      <c r="H57" s="15" t="n">
        <f aca="false">IF(ISNUMBER(SEARCH(Dictionary!$A$11,Data!$H57)),1,0)</f>
        <v>0</v>
      </c>
      <c r="I57" s="15" t="n">
        <f aca="false">IF(ISNUMBER(SEARCH(Dictionary!$A$12,Data!$H57)),1,0)</f>
        <v>0</v>
      </c>
      <c r="J57" s="15" t="n">
        <f aca="false">IF(ISNUMBER(SEARCH(Dictionary!$A$13,Data!$H57)),1,0)</f>
        <v>0</v>
      </c>
      <c r="K57" s="15" t="n">
        <f aca="false">IF(ISNUMBER(SEARCH(Dictionary!$A$14,Data!$H57)),1,0)</f>
        <v>0</v>
      </c>
      <c r="L57" s="15" t="n">
        <f aca="false">IF(ISNUMBER(SEARCH(Dictionary!$A$15,Data!$H57)),1,0)</f>
        <v>0</v>
      </c>
      <c r="M57" s="15" t="n">
        <f aca="false">IF(ISNUMBER(SEARCH(Dictionary!$A$16,Data!$H57)),1,0)</f>
        <v>0</v>
      </c>
      <c r="N57" s="15" t="n">
        <f aca="false">IF(SUMPRODUCT((Dictionary!$C$5:$C$96=Dictionary!$A$5)*(Dictionary!$D$5:$D$96&lt;&gt;"")*ISNUMBER(SEARCH(Dictionary!$D$5:$D$96,Data!$I57)))&gt;0,1,0)</f>
        <v>0</v>
      </c>
      <c r="O57" s="15" t="n">
        <f aca="false">IF(SUMPRODUCT((Dictionary!$C$5:$C$96=Dictionary!$A$6)*(Dictionary!$D$5:$D$96&lt;&gt;"")*ISNUMBER(SEARCH(Dictionary!$D$5:$D$96,Data!$I57)))&gt;0,1,0)</f>
        <v>0</v>
      </c>
      <c r="P57" s="15" t="n">
        <f aca="false">IF(SUMPRODUCT((Dictionary!$C$5:$C$96=Dictionary!$A$7)*(Dictionary!$D$5:$D$96&lt;&gt;"")*ISNUMBER(SEARCH(Dictionary!$D$5:$D$96,Data!$I57)))&gt;0,1,0)</f>
        <v>0</v>
      </c>
      <c r="Q57" s="15" t="n">
        <f aca="false">IF(SUMPRODUCT((Dictionary!$C$5:$C$96=Dictionary!$A$8)*(Dictionary!$D$5:$D$96&lt;&gt;"")*ISNUMBER(SEARCH(Dictionary!$D$5:$D$96,Data!$I57)))&gt;0,1,0)</f>
        <v>0</v>
      </c>
      <c r="R57" s="15" t="n">
        <f aca="false">IF(SUMPRODUCT((Dictionary!$C$5:$C$96=Dictionary!$A$9)*(Dictionary!$D$5:$D$96&lt;&gt;"")*ISNUMBER(SEARCH(Dictionary!$D$5:$D$96,Data!$I57)))&gt;0,1,0)</f>
        <v>0</v>
      </c>
      <c r="S57" s="15" t="n">
        <f aca="false">IF(SUMPRODUCT((Dictionary!$C$5:$C$96=Dictionary!$A$10)*(Dictionary!$D$5:$D$96&lt;&gt;"")*ISNUMBER(SEARCH(Dictionary!$D$5:$D$96,Data!$I57)))&gt;0,1,0)</f>
        <v>0</v>
      </c>
      <c r="T57" s="15" t="n">
        <f aca="false">IF(SUMPRODUCT((Dictionary!$C$5:$C$96=Dictionary!$A$11)*(Dictionary!$D$5:$D$96&lt;&gt;"")*ISNUMBER(SEARCH(Dictionary!$D$5:$D$96,Data!$I57)))&gt;0,1,0)</f>
        <v>0</v>
      </c>
      <c r="U57" s="15" t="n">
        <f aca="false">IF(SUMPRODUCT((Dictionary!$C$5:$C$96=Dictionary!$A$12)*(Dictionary!$D$5:$D$96&lt;&gt;"")*ISNUMBER(SEARCH(Dictionary!$D$5:$D$96,Data!$I57)))&gt;0,1,0)</f>
        <v>0</v>
      </c>
      <c r="V57" s="15" t="n">
        <f aca="false">IF(SUMPRODUCT((Dictionary!$C$5:$C$96=Dictionary!$A$13)*(Dictionary!$D$5:$D$96&lt;&gt;"")*ISNUMBER(SEARCH(Dictionary!$D$5:$D$96,Data!$I57)))&gt;0,1,0)</f>
        <v>0</v>
      </c>
      <c r="W57" s="15" t="n">
        <f aca="false">IF(SUMPRODUCT((Dictionary!$C$5:$C$96=Dictionary!$A$14)*(Dictionary!$D$5:$D$96&lt;&gt;"")*ISNUMBER(SEARCH(Dictionary!$D$5:$D$96,Data!$I57)))&gt;0,1,0)</f>
        <v>0</v>
      </c>
      <c r="X57" s="15" t="n">
        <f aca="false">IF(SUMPRODUCT((Dictionary!$C$5:$C$96=Dictionary!$A$15)*(Dictionary!$D$5:$D$96&lt;&gt;"")*ISNUMBER(SEARCH(Dictionary!$D$5:$D$96,Data!$I57)))&gt;0,1,0)</f>
        <v>0</v>
      </c>
      <c r="Y57" s="15" t="n">
        <f aca="false">IF(SUMPRODUCT((Dictionary!$C$5:$C$96=Dictionary!$A$16)*(Dictionary!$D$5:$D$96&lt;&gt;"")*ISNUMBER(SEARCH(Dictionary!$D$5:$D$96,Data!$I57)))&gt;0,1,0)</f>
        <v>0</v>
      </c>
      <c r="Z57" s="15" t="n">
        <f aca="false">IF(ISNUMBER(SEARCH("Other",Data!$H57)),1,0)</f>
        <v>0</v>
      </c>
      <c r="AA57" s="15" t="n">
        <f aca="false">IF(Data!$I57&lt;&gt;"",1,0)</f>
        <v>0</v>
      </c>
      <c r="AB57" s="15" t="n">
        <f aca="false">SUM(B57:M57)</f>
        <v>0</v>
      </c>
      <c r="AC57" s="15" t="n">
        <f aca="false">SUMPRODUCT(--((B57:M57+N57:Y57)&gt;0))</f>
        <v>0</v>
      </c>
      <c r="AD57" s="15" t="n">
        <f aca="false">AC57-AB57</f>
        <v>0</v>
      </c>
      <c r="AE57" s="15" t="n">
        <f aca="false">IF(AND(Z57=1,AA57=1),1,0)</f>
        <v>0</v>
      </c>
      <c r="AF57" s="15" t="n">
        <f aca="false">AC57+AE57</f>
        <v>0</v>
      </c>
      <c r="AG57" s="15" t="n">
        <f aca="false">AB57+AE57</f>
        <v>0</v>
      </c>
      <c r="AH57" s="15" t="n">
        <f aca="false">IF(AND(Data!$H57&lt;&gt;"",Data!$I57&lt;&gt;""),1,0)</f>
        <v>0</v>
      </c>
      <c r="AI57" s="15" t="str">
        <f aca="false">IF(AH57=1,SUMPRODUCT(N57:Y57*B57:M57),"")</f>
        <v/>
      </c>
      <c r="AJ57" s="15" t="str">
        <f aca="false">IF(AH57=1,SUMPRODUCT(--(N57:Y57&gt;B57:M57)),"")</f>
        <v/>
      </c>
      <c r="AK57" s="15" t="str">
        <f aca="false">IF(AH57=1,AB57,"")</f>
        <v/>
      </c>
    </row>
    <row r="58" customFormat="false" ht="15" hidden="false" customHeight="true" outlineLevel="0" collapsed="false">
      <c r="A58" s="15" t="str">
        <f aca="false">Data!$A58</f>
        <v>InvenioRDM</v>
      </c>
      <c r="B58" s="15" t="n">
        <f aca="false">IF(ISNUMBER(SEARCH(Dictionary!$A$5,Data!$H58)),1,0)</f>
        <v>0</v>
      </c>
      <c r="C58" s="15" t="n">
        <f aca="false">IF(ISNUMBER(SEARCH(Dictionary!$A$6,Data!$H58)),1,0)</f>
        <v>0</v>
      </c>
      <c r="D58" s="15" t="n">
        <f aca="false">IF(ISNUMBER(SEARCH(Dictionary!$A$7,Data!$H58)),1,0)</f>
        <v>0</v>
      </c>
      <c r="E58" s="15" t="n">
        <f aca="false">IF(ISNUMBER(SEARCH(Dictionary!$A$8,Data!$H58)),1,0)</f>
        <v>0</v>
      </c>
      <c r="F58" s="15" t="n">
        <f aca="false">IF(ISNUMBER(SEARCH(Dictionary!$A$9,Data!$H58)),1,0)</f>
        <v>0</v>
      </c>
      <c r="G58" s="15" t="n">
        <f aca="false">IF(ISNUMBER(SEARCH(Dictionary!$A$10,Data!$H58)),1,0)</f>
        <v>0</v>
      </c>
      <c r="H58" s="15" t="n">
        <f aca="false">IF(ISNUMBER(SEARCH(Dictionary!$A$11,Data!$H58)),1,0)</f>
        <v>0</v>
      </c>
      <c r="I58" s="15" t="n">
        <f aca="false">IF(ISNUMBER(SEARCH(Dictionary!$A$12,Data!$H58)),1,0)</f>
        <v>0</v>
      </c>
      <c r="J58" s="15" t="n">
        <f aca="false">IF(ISNUMBER(SEARCH(Dictionary!$A$13,Data!$H58)),1,0)</f>
        <v>0</v>
      </c>
      <c r="K58" s="15" t="n">
        <f aca="false">IF(ISNUMBER(SEARCH(Dictionary!$A$14,Data!$H58)),1,0)</f>
        <v>0</v>
      </c>
      <c r="L58" s="15" t="n">
        <f aca="false">IF(ISNUMBER(SEARCH(Dictionary!$A$15,Data!$H58)),1,0)</f>
        <v>0</v>
      </c>
      <c r="M58" s="15" t="n">
        <f aca="false">IF(ISNUMBER(SEARCH(Dictionary!$A$16,Data!$H58)),1,0)</f>
        <v>0</v>
      </c>
      <c r="N58" s="15" t="n">
        <f aca="false">IF(SUMPRODUCT((Dictionary!$C$5:$C$96=Dictionary!$A$5)*(Dictionary!$D$5:$D$96&lt;&gt;"")*ISNUMBER(SEARCH(Dictionary!$D$5:$D$96,Data!$I58)))&gt;0,1,0)</f>
        <v>0</v>
      </c>
      <c r="O58" s="15" t="n">
        <f aca="false">IF(SUMPRODUCT((Dictionary!$C$5:$C$96=Dictionary!$A$6)*(Dictionary!$D$5:$D$96&lt;&gt;"")*ISNUMBER(SEARCH(Dictionary!$D$5:$D$96,Data!$I58)))&gt;0,1,0)</f>
        <v>0</v>
      </c>
      <c r="P58" s="15" t="n">
        <f aca="false">IF(SUMPRODUCT((Dictionary!$C$5:$C$96=Dictionary!$A$7)*(Dictionary!$D$5:$D$96&lt;&gt;"")*ISNUMBER(SEARCH(Dictionary!$D$5:$D$96,Data!$I58)))&gt;0,1,0)</f>
        <v>0</v>
      </c>
      <c r="Q58" s="15" t="n">
        <f aca="false">IF(SUMPRODUCT((Dictionary!$C$5:$C$96=Dictionary!$A$8)*(Dictionary!$D$5:$D$96&lt;&gt;"")*ISNUMBER(SEARCH(Dictionary!$D$5:$D$96,Data!$I58)))&gt;0,1,0)</f>
        <v>0</v>
      </c>
      <c r="R58" s="15" t="n">
        <f aca="false">IF(SUMPRODUCT((Dictionary!$C$5:$C$96=Dictionary!$A$9)*(Dictionary!$D$5:$D$96&lt;&gt;"")*ISNUMBER(SEARCH(Dictionary!$D$5:$D$96,Data!$I58)))&gt;0,1,0)</f>
        <v>0</v>
      </c>
      <c r="S58" s="15" t="n">
        <f aca="false">IF(SUMPRODUCT((Dictionary!$C$5:$C$96=Dictionary!$A$10)*(Dictionary!$D$5:$D$96&lt;&gt;"")*ISNUMBER(SEARCH(Dictionary!$D$5:$D$96,Data!$I58)))&gt;0,1,0)</f>
        <v>0</v>
      </c>
      <c r="T58" s="15" t="n">
        <f aca="false">IF(SUMPRODUCT((Dictionary!$C$5:$C$96=Dictionary!$A$11)*(Dictionary!$D$5:$D$96&lt;&gt;"")*ISNUMBER(SEARCH(Dictionary!$D$5:$D$96,Data!$I58)))&gt;0,1,0)</f>
        <v>0</v>
      </c>
      <c r="U58" s="15" t="n">
        <f aca="false">IF(SUMPRODUCT((Dictionary!$C$5:$C$96=Dictionary!$A$12)*(Dictionary!$D$5:$D$96&lt;&gt;"")*ISNUMBER(SEARCH(Dictionary!$D$5:$D$96,Data!$I58)))&gt;0,1,0)</f>
        <v>0</v>
      </c>
      <c r="V58" s="15" t="n">
        <f aca="false">IF(SUMPRODUCT((Dictionary!$C$5:$C$96=Dictionary!$A$13)*(Dictionary!$D$5:$D$96&lt;&gt;"")*ISNUMBER(SEARCH(Dictionary!$D$5:$D$96,Data!$I58)))&gt;0,1,0)</f>
        <v>1</v>
      </c>
      <c r="W58" s="15" t="n">
        <f aca="false">IF(SUMPRODUCT((Dictionary!$C$5:$C$96=Dictionary!$A$14)*(Dictionary!$D$5:$D$96&lt;&gt;"")*ISNUMBER(SEARCH(Dictionary!$D$5:$D$96,Data!$I58)))&gt;0,1,0)</f>
        <v>0</v>
      </c>
      <c r="X58" s="15" t="n">
        <f aca="false">IF(SUMPRODUCT((Dictionary!$C$5:$C$96=Dictionary!$A$15)*(Dictionary!$D$5:$D$96&lt;&gt;"")*ISNUMBER(SEARCH(Dictionary!$D$5:$D$96,Data!$I58)))&gt;0,1,0)</f>
        <v>0</v>
      </c>
      <c r="Y58" s="15" t="n">
        <f aca="false">IF(SUMPRODUCT((Dictionary!$C$5:$C$96=Dictionary!$A$16)*(Dictionary!$D$5:$D$96&lt;&gt;"")*ISNUMBER(SEARCH(Dictionary!$D$5:$D$96,Data!$I58)))&gt;0,1,0)</f>
        <v>0</v>
      </c>
      <c r="Z58" s="15" t="n">
        <f aca="false">IF(ISNUMBER(SEARCH("Other",Data!$H58)),1,0)</f>
        <v>0</v>
      </c>
      <c r="AA58" s="15" t="n">
        <f aca="false">IF(Data!$I58&lt;&gt;"",1,0)</f>
        <v>1</v>
      </c>
      <c r="AB58" s="15" t="n">
        <f aca="false">SUM(B58:M58)</f>
        <v>0</v>
      </c>
      <c r="AC58" s="15" t="n">
        <f aca="false">SUMPRODUCT(--((B58:M58+N58:Y58)&gt;0))</f>
        <v>1</v>
      </c>
      <c r="AD58" s="15" t="n">
        <f aca="false">AC58-AB58</f>
        <v>1</v>
      </c>
      <c r="AE58" s="15" t="n">
        <f aca="false">IF(AND(Z58=1,AA58=1),1,0)</f>
        <v>0</v>
      </c>
      <c r="AF58" s="15" t="n">
        <f aca="false">AC58+AE58</f>
        <v>1</v>
      </c>
      <c r="AG58" s="15" t="n">
        <f aca="false">AB58+AE58</f>
        <v>0</v>
      </c>
      <c r="AH58" s="15" t="n">
        <f aca="false">IF(AND(Data!$H58&lt;&gt;"",Data!$I58&lt;&gt;""),1,0)</f>
        <v>0</v>
      </c>
      <c r="AI58" s="15" t="str">
        <f aca="false">IF(AH58=1,SUMPRODUCT(N58:Y58*B58:M58),"")</f>
        <v/>
      </c>
      <c r="AJ58" s="15" t="str">
        <f aca="false">IF(AH58=1,SUMPRODUCT(--(N58:Y58&gt;B58:M58)),"")</f>
        <v/>
      </c>
      <c r="AK58" s="15" t="str">
        <f aca="false">IF(AH58=1,AB58,"")</f>
        <v/>
      </c>
    </row>
    <row r="59" customFormat="false" ht="15" hidden="false" customHeight="true" outlineLevel="0" collapsed="false">
      <c r="A59" s="15" t="str">
        <f aca="false">Data!$A59</f>
        <v>iRODS</v>
      </c>
      <c r="B59" s="15" t="n">
        <f aca="false">IF(ISNUMBER(SEARCH(Dictionary!$A$5,Data!$H59)),1,0)</f>
        <v>1</v>
      </c>
      <c r="C59" s="15" t="n">
        <f aca="false">IF(ISNUMBER(SEARCH(Dictionary!$A$6,Data!$H59)),1,0)</f>
        <v>0</v>
      </c>
      <c r="D59" s="15" t="n">
        <f aca="false">IF(ISNUMBER(SEARCH(Dictionary!$A$7,Data!$H59)),1,0)</f>
        <v>1</v>
      </c>
      <c r="E59" s="15" t="n">
        <f aca="false">IF(ISNUMBER(SEARCH(Dictionary!$A$8,Data!$H59)),1,0)</f>
        <v>1</v>
      </c>
      <c r="F59" s="15" t="n">
        <f aca="false">IF(ISNUMBER(SEARCH(Dictionary!$A$9,Data!$H59)),1,0)</f>
        <v>0</v>
      </c>
      <c r="G59" s="15" t="n">
        <f aca="false">IF(ISNUMBER(SEARCH(Dictionary!$A$10,Data!$H59)),1,0)</f>
        <v>1</v>
      </c>
      <c r="H59" s="15" t="n">
        <f aca="false">IF(ISNUMBER(SEARCH(Dictionary!$A$11,Data!$H59)),1,0)</f>
        <v>1</v>
      </c>
      <c r="I59" s="15" t="n">
        <f aca="false">IF(ISNUMBER(SEARCH(Dictionary!$A$12,Data!$H59)),1,0)</f>
        <v>1</v>
      </c>
      <c r="J59" s="15" t="n">
        <f aca="false">IF(ISNUMBER(SEARCH(Dictionary!$A$13,Data!$H59)),1,0)</f>
        <v>1</v>
      </c>
      <c r="K59" s="15" t="n">
        <f aca="false">IF(ISNUMBER(SEARCH(Dictionary!$A$14,Data!$H59)),1,0)</f>
        <v>1</v>
      </c>
      <c r="L59" s="15" t="n">
        <f aca="false">IF(ISNUMBER(SEARCH(Dictionary!$A$15,Data!$H59)),1,0)</f>
        <v>1</v>
      </c>
      <c r="M59" s="15" t="n">
        <f aca="false">IF(ISNUMBER(SEARCH(Dictionary!$A$16,Data!$H59)),1,0)</f>
        <v>1</v>
      </c>
      <c r="N59" s="15" t="n">
        <f aca="false">IF(SUMPRODUCT((Dictionary!$C$5:$C$96=Dictionary!$A$5)*(Dictionary!$D$5:$D$96&lt;&gt;"")*ISNUMBER(SEARCH(Dictionary!$D$5:$D$96,Data!$I59)))&gt;0,1,0)</f>
        <v>0</v>
      </c>
      <c r="O59" s="15" t="n">
        <f aca="false">IF(SUMPRODUCT((Dictionary!$C$5:$C$96=Dictionary!$A$6)*(Dictionary!$D$5:$D$96&lt;&gt;"")*ISNUMBER(SEARCH(Dictionary!$D$5:$D$96,Data!$I59)))&gt;0,1,0)</f>
        <v>0</v>
      </c>
      <c r="P59" s="15" t="n">
        <f aca="false">IF(SUMPRODUCT((Dictionary!$C$5:$C$96=Dictionary!$A$7)*(Dictionary!$D$5:$D$96&lt;&gt;"")*ISNUMBER(SEARCH(Dictionary!$D$5:$D$96,Data!$I59)))&gt;0,1,0)</f>
        <v>0</v>
      </c>
      <c r="Q59" s="15" t="n">
        <f aca="false">IF(SUMPRODUCT((Dictionary!$C$5:$C$96=Dictionary!$A$8)*(Dictionary!$D$5:$D$96&lt;&gt;"")*ISNUMBER(SEARCH(Dictionary!$D$5:$D$96,Data!$I59)))&gt;0,1,0)</f>
        <v>0</v>
      </c>
      <c r="R59" s="15" t="n">
        <f aca="false">IF(SUMPRODUCT((Dictionary!$C$5:$C$96=Dictionary!$A$9)*(Dictionary!$D$5:$D$96&lt;&gt;"")*ISNUMBER(SEARCH(Dictionary!$D$5:$D$96,Data!$I59)))&gt;0,1,0)</f>
        <v>0</v>
      </c>
      <c r="S59" s="15" t="n">
        <f aca="false">IF(SUMPRODUCT((Dictionary!$C$5:$C$96=Dictionary!$A$10)*(Dictionary!$D$5:$D$96&lt;&gt;"")*ISNUMBER(SEARCH(Dictionary!$D$5:$D$96,Data!$I59)))&gt;0,1,0)</f>
        <v>0</v>
      </c>
      <c r="T59" s="15" t="n">
        <f aca="false">IF(SUMPRODUCT((Dictionary!$C$5:$C$96=Dictionary!$A$11)*(Dictionary!$D$5:$D$96&lt;&gt;"")*ISNUMBER(SEARCH(Dictionary!$D$5:$D$96,Data!$I59)))&gt;0,1,0)</f>
        <v>0</v>
      </c>
      <c r="U59" s="15" t="n">
        <f aca="false">IF(SUMPRODUCT((Dictionary!$C$5:$C$96=Dictionary!$A$12)*(Dictionary!$D$5:$D$96&lt;&gt;"")*ISNUMBER(SEARCH(Dictionary!$D$5:$D$96,Data!$I59)))&gt;0,1,0)</f>
        <v>0</v>
      </c>
      <c r="V59" s="15" t="n">
        <f aca="false">IF(SUMPRODUCT((Dictionary!$C$5:$C$96=Dictionary!$A$13)*(Dictionary!$D$5:$D$96&lt;&gt;"")*ISNUMBER(SEARCH(Dictionary!$D$5:$D$96,Data!$I59)))&gt;0,1,0)</f>
        <v>0</v>
      </c>
      <c r="W59" s="15" t="n">
        <f aca="false">IF(SUMPRODUCT((Dictionary!$C$5:$C$96=Dictionary!$A$14)*(Dictionary!$D$5:$D$96&lt;&gt;"")*ISNUMBER(SEARCH(Dictionary!$D$5:$D$96,Data!$I59)))&gt;0,1,0)</f>
        <v>0</v>
      </c>
      <c r="X59" s="15" t="n">
        <f aca="false">IF(SUMPRODUCT((Dictionary!$C$5:$C$96=Dictionary!$A$15)*(Dictionary!$D$5:$D$96&lt;&gt;"")*ISNUMBER(SEARCH(Dictionary!$D$5:$D$96,Data!$I59)))&gt;0,1,0)</f>
        <v>0</v>
      </c>
      <c r="Y59" s="15" t="n">
        <f aca="false">IF(SUMPRODUCT((Dictionary!$C$5:$C$96=Dictionary!$A$16)*(Dictionary!$D$5:$D$96&lt;&gt;"")*ISNUMBER(SEARCH(Dictionary!$D$5:$D$96,Data!$I59)))&gt;0,1,0)</f>
        <v>0</v>
      </c>
      <c r="Z59" s="15" t="n">
        <f aca="false">IF(ISNUMBER(SEARCH("Other",Data!$H59)),1,0)</f>
        <v>0</v>
      </c>
      <c r="AA59" s="15" t="n">
        <f aca="false">IF(Data!$I59&lt;&gt;"",1,0)</f>
        <v>0</v>
      </c>
      <c r="AB59" s="15" t="n">
        <f aca="false">SUM(B59:M59)</f>
        <v>10</v>
      </c>
      <c r="AC59" s="15" t="n">
        <f aca="false">SUMPRODUCT(--((B59:M59+N59:Y59)&gt;0))</f>
        <v>10</v>
      </c>
      <c r="AD59" s="15" t="n">
        <f aca="false">AC59-AB59</f>
        <v>0</v>
      </c>
      <c r="AE59" s="15" t="n">
        <f aca="false">IF(AND(Z59=1,AA59=1),1,0)</f>
        <v>0</v>
      </c>
      <c r="AF59" s="15" t="n">
        <f aca="false">AC59+AE59</f>
        <v>10</v>
      </c>
      <c r="AG59" s="15" t="n">
        <f aca="false">AB59+AE59</f>
        <v>10</v>
      </c>
      <c r="AH59" s="15" t="n">
        <f aca="false">IF(AND(Data!$H59&lt;&gt;"",Data!$I59&lt;&gt;""),1,0)</f>
        <v>0</v>
      </c>
      <c r="AI59" s="15" t="str">
        <f aca="false">IF(AH59=1,SUMPRODUCT(N59:Y59*B59:M59),"")</f>
        <v/>
      </c>
      <c r="AJ59" s="15" t="str">
        <f aca="false">IF(AH59=1,SUMPRODUCT(--(N59:Y59&gt;B59:M59)),"")</f>
        <v/>
      </c>
      <c r="AK59" s="15" t="str">
        <f aca="false">IF(AH59=1,AB59,"")</f>
        <v/>
      </c>
    </row>
    <row r="60" customFormat="false" ht="15" hidden="false" customHeight="true" outlineLevel="0" collapsed="false">
      <c r="A60" s="15" t="str">
        <f aca="false">Data!$A60</f>
        <v>Islandora</v>
      </c>
      <c r="B60" s="15" t="n">
        <f aca="false">IF(ISNUMBER(SEARCH(Dictionary!$A$5,Data!$H60)),1,0)</f>
        <v>1</v>
      </c>
      <c r="C60" s="15" t="n">
        <f aca="false">IF(ISNUMBER(SEARCH(Dictionary!$A$6,Data!$H60)),1,0)</f>
        <v>0</v>
      </c>
      <c r="D60" s="15" t="n">
        <f aca="false">IF(ISNUMBER(SEARCH(Dictionary!$A$7,Data!$H60)),1,0)</f>
        <v>1</v>
      </c>
      <c r="E60" s="15" t="n">
        <f aca="false">IF(ISNUMBER(SEARCH(Dictionary!$A$8,Data!$H60)),1,0)</f>
        <v>1</v>
      </c>
      <c r="F60" s="15" t="n">
        <f aca="false">IF(ISNUMBER(SEARCH(Dictionary!$A$9,Data!$H60)),1,0)</f>
        <v>1</v>
      </c>
      <c r="G60" s="15" t="n">
        <f aca="false">IF(ISNUMBER(SEARCH(Dictionary!$A$10,Data!$H60)),1,0)</f>
        <v>1</v>
      </c>
      <c r="H60" s="15" t="n">
        <f aca="false">IF(ISNUMBER(SEARCH(Dictionary!$A$11,Data!$H60)),1,0)</f>
        <v>1</v>
      </c>
      <c r="I60" s="15" t="n">
        <f aca="false">IF(ISNUMBER(SEARCH(Dictionary!$A$12,Data!$H60)),1,0)</f>
        <v>1</v>
      </c>
      <c r="J60" s="15" t="n">
        <f aca="false">IF(ISNUMBER(SEARCH(Dictionary!$A$13,Data!$H60)),1,0)</f>
        <v>1</v>
      </c>
      <c r="K60" s="15" t="n">
        <f aca="false">IF(ISNUMBER(SEARCH(Dictionary!$A$14,Data!$H60)),1,0)</f>
        <v>1</v>
      </c>
      <c r="L60" s="15" t="n">
        <f aca="false">IF(ISNUMBER(SEARCH(Dictionary!$A$15,Data!$H60)),1,0)</f>
        <v>1</v>
      </c>
      <c r="M60" s="15" t="n">
        <f aca="false">IF(ISNUMBER(SEARCH(Dictionary!$A$16,Data!$H60)),1,0)</f>
        <v>1</v>
      </c>
      <c r="N60" s="15" t="n">
        <f aca="false">IF(SUMPRODUCT((Dictionary!$C$5:$C$96=Dictionary!$A$5)*(Dictionary!$D$5:$D$96&lt;&gt;"")*ISNUMBER(SEARCH(Dictionary!$D$5:$D$96,Data!$I60)))&gt;0,1,0)</f>
        <v>0</v>
      </c>
      <c r="O60" s="15" t="n">
        <f aca="false">IF(SUMPRODUCT((Dictionary!$C$5:$C$96=Dictionary!$A$6)*(Dictionary!$D$5:$D$96&lt;&gt;"")*ISNUMBER(SEARCH(Dictionary!$D$5:$D$96,Data!$I60)))&gt;0,1,0)</f>
        <v>0</v>
      </c>
      <c r="P60" s="15" t="n">
        <f aca="false">IF(SUMPRODUCT((Dictionary!$C$5:$C$96=Dictionary!$A$7)*(Dictionary!$D$5:$D$96&lt;&gt;"")*ISNUMBER(SEARCH(Dictionary!$D$5:$D$96,Data!$I60)))&gt;0,1,0)</f>
        <v>0</v>
      </c>
      <c r="Q60" s="15" t="n">
        <f aca="false">IF(SUMPRODUCT((Dictionary!$C$5:$C$96=Dictionary!$A$8)*(Dictionary!$D$5:$D$96&lt;&gt;"")*ISNUMBER(SEARCH(Dictionary!$D$5:$D$96,Data!$I60)))&gt;0,1,0)</f>
        <v>0</v>
      </c>
      <c r="R60" s="15" t="n">
        <f aca="false">IF(SUMPRODUCT((Dictionary!$C$5:$C$96=Dictionary!$A$9)*(Dictionary!$D$5:$D$96&lt;&gt;"")*ISNUMBER(SEARCH(Dictionary!$D$5:$D$96,Data!$I60)))&gt;0,1,0)</f>
        <v>0</v>
      </c>
      <c r="S60" s="15" t="n">
        <f aca="false">IF(SUMPRODUCT((Dictionary!$C$5:$C$96=Dictionary!$A$10)*(Dictionary!$D$5:$D$96&lt;&gt;"")*ISNUMBER(SEARCH(Dictionary!$D$5:$D$96,Data!$I60)))&gt;0,1,0)</f>
        <v>1</v>
      </c>
      <c r="T60" s="15" t="n">
        <f aca="false">IF(SUMPRODUCT((Dictionary!$C$5:$C$96=Dictionary!$A$11)*(Dictionary!$D$5:$D$96&lt;&gt;"")*ISNUMBER(SEARCH(Dictionary!$D$5:$D$96,Data!$I60)))&gt;0,1,0)</f>
        <v>0</v>
      </c>
      <c r="U60" s="15" t="n">
        <f aca="false">IF(SUMPRODUCT((Dictionary!$C$5:$C$96=Dictionary!$A$12)*(Dictionary!$D$5:$D$96&lt;&gt;"")*ISNUMBER(SEARCH(Dictionary!$D$5:$D$96,Data!$I60)))&gt;0,1,0)</f>
        <v>0</v>
      </c>
      <c r="V60" s="15" t="n">
        <f aca="false">IF(SUMPRODUCT((Dictionary!$C$5:$C$96=Dictionary!$A$13)*(Dictionary!$D$5:$D$96&lt;&gt;"")*ISNUMBER(SEARCH(Dictionary!$D$5:$D$96,Data!$I60)))&gt;0,1,0)</f>
        <v>0</v>
      </c>
      <c r="W60" s="15" t="n">
        <f aca="false">IF(SUMPRODUCT((Dictionary!$C$5:$C$96=Dictionary!$A$14)*(Dictionary!$D$5:$D$96&lt;&gt;"")*ISNUMBER(SEARCH(Dictionary!$D$5:$D$96,Data!$I60)))&gt;0,1,0)</f>
        <v>0</v>
      </c>
      <c r="X60" s="15" t="n">
        <f aca="false">IF(SUMPRODUCT((Dictionary!$C$5:$C$96=Dictionary!$A$15)*(Dictionary!$D$5:$D$96&lt;&gt;"")*ISNUMBER(SEARCH(Dictionary!$D$5:$D$96,Data!$I60)))&gt;0,1,0)</f>
        <v>0</v>
      </c>
      <c r="Y60" s="15" t="n">
        <f aca="false">IF(SUMPRODUCT((Dictionary!$C$5:$C$96=Dictionary!$A$16)*(Dictionary!$D$5:$D$96&lt;&gt;"")*ISNUMBER(SEARCH(Dictionary!$D$5:$D$96,Data!$I60)))&gt;0,1,0)</f>
        <v>0</v>
      </c>
      <c r="Z60" s="15" t="n">
        <f aca="false">IF(ISNUMBER(SEARCH("Other",Data!$H60)),1,0)</f>
        <v>0</v>
      </c>
      <c r="AA60" s="15" t="n">
        <f aca="false">IF(Data!$I60&lt;&gt;"",1,0)</f>
        <v>1</v>
      </c>
      <c r="AB60" s="15" t="n">
        <f aca="false">SUM(B60:M60)</f>
        <v>11</v>
      </c>
      <c r="AC60" s="15" t="n">
        <f aca="false">SUMPRODUCT(--((B60:M60+N60:Y60)&gt;0))</f>
        <v>11</v>
      </c>
      <c r="AD60" s="15" t="n">
        <f aca="false">AC60-AB60</f>
        <v>0</v>
      </c>
      <c r="AE60" s="15" t="n">
        <f aca="false">IF(AND(Z60=1,AA60=1),1,0)</f>
        <v>0</v>
      </c>
      <c r="AF60" s="15" t="n">
        <f aca="false">AC60+AE60</f>
        <v>11</v>
      </c>
      <c r="AG60" s="15" t="n">
        <f aca="false">AB60+AE60</f>
        <v>11</v>
      </c>
      <c r="AH60" s="15" t="n">
        <f aca="false">IF(AND(Data!$H60&lt;&gt;"",Data!$I60&lt;&gt;""),1,0)</f>
        <v>1</v>
      </c>
      <c r="AI60" s="15" t="n">
        <f aca="false">IF(AH60=1,SUMPRODUCT(N60:Y60*B60:M60),"")</f>
        <v>1</v>
      </c>
      <c r="AJ60" s="15" t="n">
        <f aca="false">IF(AH60=1,SUMPRODUCT(--(N60:Y60&gt;B60:M60)),"")</f>
        <v>0</v>
      </c>
      <c r="AK60" s="15" t="n">
        <f aca="false">IF(AH60=1,AB60,"")</f>
        <v>11</v>
      </c>
    </row>
    <row r="61" customFormat="false" ht="15" hidden="false" customHeight="true" outlineLevel="0" collapsed="false">
      <c r="A61" s="15" t="str">
        <f aca="false">Data!$A61</f>
        <v>Janeway</v>
      </c>
      <c r="B61" s="15" t="n">
        <f aca="false">IF(ISNUMBER(SEARCH(Dictionary!$A$5,Data!$H61)),1,0)</f>
        <v>0</v>
      </c>
      <c r="C61" s="15" t="n">
        <f aca="false">IF(ISNUMBER(SEARCH(Dictionary!$A$6,Data!$H61)),1,0)</f>
        <v>0</v>
      </c>
      <c r="D61" s="15" t="n">
        <f aca="false">IF(ISNUMBER(SEARCH(Dictionary!$A$7,Data!$H61)),1,0)</f>
        <v>0</v>
      </c>
      <c r="E61" s="15" t="n">
        <f aca="false">IF(ISNUMBER(SEARCH(Dictionary!$A$8,Data!$H61)),1,0)</f>
        <v>0</v>
      </c>
      <c r="F61" s="15" t="n">
        <f aca="false">IF(ISNUMBER(SEARCH(Dictionary!$A$9,Data!$H61)),1,0)</f>
        <v>0</v>
      </c>
      <c r="G61" s="15" t="n">
        <f aca="false">IF(ISNUMBER(SEARCH(Dictionary!$A$10,Data!$H61)),1,0)</f>
        <v>0</v>
      </c>
      <c r="H61" s="15" t="n">
        <f aca="false">IF(ISNUMBER(SEARCH(Dictionary!$A$11,Data!$H61)),1,0)</f>
        <v>0</v>
      </c>
      <c r="I61" s="15" t="n">
        <f aca="false">IF(ISNUMBER(SEARCH(Dictionary!$A$12,Data!$H61)),1,0)</f>
        <v>0</v>
      </c>
      <c r="J61" s="15" t="n">
        <f aca="false">IF(ISNUMBER(SEARCH(Dictionary!$A$13,Data!$H61)),1,0)</f>
        <v>0</v>
      </c>
      <c r="K61" s="15" t="n">
        <f aca="false">IF(ISNUMBER(SEARCH(Dictionary!$A$14,Data!$H61)),1,0)</f>
        <v>0</v>
      </c>
      <c r="L61" s="15" t="n">
        <f aca="false">IF(ISNUMBER(SEARCH(Dictionary!$A$15,Data!$H61)),1,0)</f>
        <v>0</v>
      </c>
      <c r="M61" s="15" t="n">
        <f aca="false">IF(ISNUMBER(SEARCH(Dictionary!$A$16,Data!$H61)),1,0)</f>
        <v>0</v>
      </c>
      <c r="N61" s="15" t="n">
        <f aca="false">IF(SUMPRODUCT((Dictionary!$C$5:$C$96=Dictionary!$A$5)*(Dictionary!$D$5:$D$96&lt;&gt;"")*ISNUMBER(SEARCH(Dictionary!$D$5:$D$96,Data!$I61)))&gt;0,1,0)</f>
        <v>0</v>
      </c>
      <c r="O61" s="15" t="n">
        <f aca="false">IF(SUMPRODUCT((Dictionary!$C$5:$C$96=Dictionary!$A$6)*(Dictionary!$D$5:$D$96&lt;&gt;"")*ISNUMBER(SEARCH(Dictionary!$D$5:$D$96,Data!$I61)))&gt;0,1,0)</f>
        <v>0</v>
      </c>
      <c r="P61" s="15" t="n">
        <f aca="false">IF(SUMPRODUCT((Dictionary!$C$5:$C$96=Dictionary!$A$7)*(Dictionary!$D$5:$D$96&lt;&gt;"")*ISNUMBER(SEARCH(Dictionary!$D$5:$D$96,Data!$I61)))&gt;0,1,0)</f>
        <v>0</v>
      </c>
      <c r="Q61" s="15" t="n">
        <f aca="false">IF(SUMPRODUCT((Dictionary!$C$5:$C$96=Dictionary!$A$8)*(Dictionary!$D$5:$D$96&lt;&gt;"")*ISNUMBER(SEARCH(Dictionary!$D$5:$D$96,Data!$I61)))&gt;0,1,0)</f>
        <v>0</v>
      </c>
      <c r="R61" s="15" t="n">
        <f aca="false">IF(SUMPRODUCT((Dictionary!$C$5:$C$96=Dictionary!$A$9)*(Dictionary!$D$5:$D$96&lt;&gt;"")*ISNUMBER(SEARCH(Dictionary!$D$5:$D$96,Data!$I61)))&gt;0,1,0)</f>
        <v>0</v>
      </c>
      <c r="S61" s="15" t="n">
        <f aca="false">IF(SUMPRODUCT((Dictionary!$C$5:$C$96=Dictionary!$A$10)*(Dictionary!$D$5:$D$96&lt;&gt;"")*ISNUMBER(SEARCH(Dictionary!$D$5:$D$96,Data!$I61)))&gt;0,1,0)</f>
        <v>0</v>
      </c>
      <c r="T61" s="15" t="n">
        <f aca="false">IF(SUMPRODUCT((Dictionary!$C$5:$C$96=Dictionary!$A$11)*(Dictionary!$D$5:$D$96&lt;&gt;"")*ISNUMBER(SEARCH(Dictionary!$D$5:$D$96,Data!$I61)))&gt;0,1,0)</f>
        <v>0</v>
      </c>
      <c r="U61" s="15" t="n">
        <f aca="false">IF(SUMPRODUCT((Dictionary!$C$5:$C$96=Dictionary!$A$12)*(Dictionary!$D$5:$D$96&lt;&gt;"")*ISNUMBER(SEARCH(Dictionary!$D$5:$D$96,Data!$I61)))&gt;0,1,0)</f>
        <v>0</v>
      </c>
      <c r="V61" s="15" t="n">
        <f aca="false">IF(SUMPRODUCT((Dictionary!$C$5:$C$96=Dictionary!$A$13)*(Dictionary!$D$5:$D$96&lt;&gt;"")*ISNUMBER(SEARCH(Dictionary!$D$5:$D$96,Data!$I61)))&gt;0,1,0)</f>
        <v>0</v>
      </c>
      <c r="W61" s="15" t="n">
        <f aca="false">IF(SUMPRODUCT((Dictionary!$C$5:$C$96=Dictionary!$A$14)*(Dictionary!$D$5:$D$96&lt;&gt;"")*ISNUMBER(SEARCH(Dictionary!$D$5:$D$96,Data!$I61)))&gt;0,1,0)</f>
        <v>0</v>
      </c>
      <c r="X61" s="15" t="n">
        <f aca="false">IF(SUMPRODUCT((Dictionary!$C$5:$C$96=Dictionary!$A$15)*(Dictionary!$D$5:$D$96&lt;&gt;"")*ISNUMBER(SEARCH(Dictionary!$D$5:$D$96,Data!$I61)))&gt;0,1,0)</f>
        <v>0</v>
      </c>
      <c r="Y61" s="15" t="n">
        <f aca="false">IF(SUMPRODUCT((Dictionary!$C$5:$C$96=Dictionary!$A$16)*(Dictionary!$D$5:$D$96&lt;&gt;"")*ISNUMBER(SEARCH(Dictionary!$D$5:$D$96,Data!$I61)))&gt;0,1,0)</f>
        <v>0</v>
      </c>
      <c r="Z61" s="15" t="n">
        <f aca="false">IF(ISNUMBER(SEARCH("Other",Data!$H61)),1,0)</f>
        <v>0</v>
      </c>
      <c r="AA61" s="15" t="n">
        <f aca="false">IF(Data!$I61&lt;&gt;"",1,0)</f>
        <v>1</v>
      </c>
      <c r="AB61" s="15" t="n">
        <f aca="false">SUM(B61:M61)</f>
        <v>0</v>
      </c>
      <c r="AC61" s="15" t="n">
        <f aca="false">SUMPRODUCT(--((B61:M61+N61:Y61)&gt;0))</f>
        <v>0</v>
      </c>
      <c r="AD61" s="15" t="n">
        <f aca="false">AC61-AB61</f>
        <v>0</v>
      </c>
      <c r="AE61" s="15" t="n">
        <f aca="false">IF(AND(Z61=1,AA61=1),1,0)</f>
        <v>0</v>
      </c>
      <c r="AF61" s="15" t="n">
        <f aca="false">AC61+AE61</f>
        <v>0</v>
      </c>
      <c r="AG61" s="15" t="n">
        <f aca="false">AB61+AE61</f>
        <v>0</v>
      </c>
      <c r="AH61" s="15" t="n">
        <f aca="false">IF(AND(Data!$H61&lt;&gt;"",Data!$I61&lt;&gt;""),1,0)</f>
        <v>0</v>
      </c>
      <c r="AI61" s="15" t="str">
        <f aca="false">IF(AH61=1,SUMPRODUCT(N61:Y61*B61:M61),"")</f>
        <v/>
      </c>
      <c r="AJ61" s="15" t="str">
        <f aca="false">IF(AH61=1,SUMPRODUCT(--(N61:Y61&gt;B61:M61)),"")</f>
        <v/>
      </c>
      <c r="AK61" s="15" t="str">
        <f aca="false">IF(AH61=1,AB61,"")</f>
        <v/>
      </c>
    </row>
    <row r="62" customFormat="false" ht="15" hidden="false" customHeight="true" outlineLevel="0" collapsed="false">
      <c r="A62" s="15" t="str">
        <f aca="false">Data!$A62</f>
        <v>JHOVE</v>
      </c>
      <c r="B62" s="15" t="n">
        <f aca="false">IF(ISNUMBER(SEARCH(Dictionary!$A$5,Data!$H62)),1,0)</f>
        <v>1</v>
      </c>
      <c r="C62" s="15" t="n">
        <f aca="false">IF(ISNUMBER(SEARCH(Dictionary!$A$6,Data!$H62)),1,0)</f>
        <v>1</v>
      </c>
      <c r="D62" s="15" t="n">
        <f aca="false">IF(ISNUMBER(SEARCH(Dictionary!$A$7,Data!$H62)),1,0)</f>
        <v>1</v>
      </c>
      <c r="E62" s="15" t="n">
        <f aca="false">IF(ISNUMBER(SEARCH(Dictionary!$A$8,Data!$H62)),1,0)</f>
        <v>0</v>
      </c>
      <c r="F62" s="15" t="n">
        <f aca="false">IF(ISNUMBER(SEARCH(Dictionary!$A$9,Data!$H62)),1,0)</f>
        <v>1</v>
      </c>
      <c r="G62" s="15" t="n">
        <f aca="false">IF(ISNUMBER(SEARCH(Dictionary!$A$10,Data!$H62)),1,0)</f>
        <v>1</v>
      </c>
      <c r="H62" s="15" t="n">
        <f aca="false">IF(ISNUMBER(SEARCH(Dictionary!$A$11,Data!$H62)),1,0)</f>
        <v>1</v>
      </c>
      <c r="I62" s="15" t="n">
        <f aca="false">IF(ISNUMBER(SEARCH(Dictionary!$A$12,Data!$H62)),1,0)</f>
        <v>1</v>
      </c>
      <c r="J62" s="15" t="n">
        <f aca="false">IF(ISNUMBER(SEARCH(Dictionary!$A$13,Data!$H62)),1,0)</f>
        <v>1</v>
      </c>
      <c r="K62" s="15" t="n">
        <f aca="false">IF(ISNUMBER(SEARCH(Dictionary!$A$14,Data!$H62)),1,0)</f>
        <v>0</v>
      </c>
      <c r="L62" s="15" t="n">
        <f aca="false">IF(ISNUMBER(SEARCH(Dictionary!$A$15,Data!$H62)),1,0)</f>
        <v>0</v>
      </c>
      <c r="M62" s="15" t="n">
        <f aca="false">IF(ISNUMBER(SEARCH(Dictionary!$A$16,Data!$H62)),1,0)</f>
        <v>1</v>
      </c>
      <c r="N62" s="15" t="n">
        <f aca="false">IF(SUMPRODUCT((Dictionary!$C$5:$C$96=Dictionary!$A$5)*(Dictionary!$D$5:$D$96&lt;&gt;"")*ISNUMBER(SEARCH(Dictionary!$D$5:$D$96,Data!$I62)))&gt;0,1,0)</f>
        <v>0</v>
      </c>
      <c r="O62" s="15" t="n">
        <f aca="false">IF(SUMPRODUCT((Dictionary!$C$5:$C$96=Dictionary!$A$6)*(Dictionary!$D$5:$D$96&lt;&gt;"")*ISNUMBER(SEARCH(Dictionary!$D$5:$D$96,Data!$I62)))&gt;0,1,0)</f>
        <v>0</v>
      </c>
      <c r="P62" s="15" t="n">
        <f aca="false">IF(SUMPRODUCT((Dictionary!$C$5:$C$96=Dictionary!$A$7)*(Dictionary!$D$5:$D$96&lt;&gt;"")*ISNUMBER(SEARCH(Dictionary!$D$5:$D$96,Data!$I62)))&gt;0,1,0)</f>
        <v>0</v>
      </c>
      <c r="Q62" s="15" t="n">
        <f aca="false">IF(SUMPRODUCT((Dictionary!$C$5:$C$96=Dictionary!$A$8)*(Dictionary!$D$5:$D$96&lt;&gt;"")*ISNUMBER(SEARCH(Dictionary!$D$5:$D$96,Data!$I62)))&gt;0,1,0)</f>
        <v>0</v>
      </c>
      <c r="R62" s="15" t="n">
        <f aca="false">IF(SUMPRODUCT((Dictionary!$C$5:$C$96=Dictionary!$A$9)*(Dictionary!$D$5:$D$96&lt;&gt;"")*ISNUMBER(SEARCH(Dictionary!$D$5:$D$96,Data!$I62)))&gt;0,1,0)</f>
        <v>0</v>
      </c>
      <c r="S62" s="15" t="n">
        <f aca="false">IF(SUMPRODUCT((Dictionary!$C$5:$C$96=Dictionary!$A$10)*(Dictionary!$D$5:$D$96&lt;&gt;"")*ISNUMBER(SEARCH(Dictionary!$D$5:$D$96,Data!$I62)))&gt;0,1,0)</f>
        <v>0</v>
      </c>
      <c r="T62" s="15" t="n">
        <f aca="false">IF(SUMPRODUCT((Dictionary!$C$5:$C$96=Dictionary!$A$11)*(Dictionary!$D$5:$D$96&lt;&gt;"")*ISNUMBER(SEARCH(Dictionary!$D$5:$D$96,Data!$I62)))&gt;0,1,0)</f>
        <v>0</v>
      </c>
      <c r="U62" s="15" t="n">
        <f aca="false">IF(SUMPRODUCT((Dictionary!$C$5:$C$96=Dictionary!$A$12)*(Dictionary!$D$5:$D$96&lt;&gt;"")*ISNUMBER(SEARCH(Dictionary!$D$5:$D$96,Data!$I62)))&gt;0,1,0)</f>
        <v>0</v>
      </c>
      <c r="V62" s="15" t="n">
        <f aca="false">IF(SUMPRODUCT((Dictionary!$C$5:$C$96=Dictionary!$A$13)*(Dictionary!$D$5:$D$96&lt;&gt;"")*ISNUMBER(SEARCH(Dictionary!$D$5:$D$96,Data!$I62)))&gt;0,1,0)</f>
        <v>0</v>
      </c>
      <c r="W62" s="15" t="n">
        <f aca="false">IF(SUMPRODUCT((Dictionary!$C$5:$C$96=Dictionary!$A$14)*(Dictionary!$D$5:$D$96&lt;&gt;"")*ISNUMBER(SEARCH(Dictionary!$D$5:$D$96,Data!$I62)))&gt;0,1,0)</f>
        <v>0</v>
      </c>
      <c r="X62" s="15" t="n">
        <f aca="false">IF(SUMPRODUCT((Dictionary!$C$5:$C$96=Dictionary!$A$15)*(Dictionary!$D$5:$D$96&lt;&gt;"")*ISNUMBER(SEARCH(Dictionary!$D$5:$D$96,Data!$I62)))&gt;0,1,0)</f>
        <v>0</v>
      </c>
      <c r="Y62" s="15" t="n">
        <f aca="false">IF(SUMPRODUCT((Dictionary!$C$5:$C$96=Dictionary!$A$16)*(Dictionary!$D$5:$D$96&lt;&gt;"")*ISNUMBER(SEARCH(Dictionary!$D$5:$D$96,Data!$I62)))&gt;0,1,0)</f>
        <v>0</v>
      </c>
      <c r="Z62" s="15" t="n">
        <f aca="false">IF(ISNUMBER(SEARCH("Other",Data!$H62)),1,0)</f>
        <v>0</v>
      </c>
      <c r="AA62" s="15" t="n">
        <f aca="false">IF(Data!$I62&lt;&gt;"",1,0)</f>
        <v>0</v>
      </c>
      <c r="AB62" s="15" t="n">
        <f aca="false">SUM(B62:M62)</f>
        <v>9</v>
      </c>
      <c r="AC62" s="15" t="n">
        <f aca="false">SUMPRODUCT(--((B62:M62+N62:Y62)&gt;0))</f>
        <v>9</v>
      </c>
      <c r="AD62" s="15" t="n">
        <f aca="false">AC62-AB62</f>
        <v>0</v>
      </c>
      <c r="AE62" s="15" t="n">
        <f aca="false">IF(AND(Z62=1,AA62=1),1,0)</f>
        <v>0</v>
      </c>
      <c r="AF62" s="15" t="n">
        <f aca="false">AC62+AE62</f>
        <v>9</v>
      </c>
      <c r="AG62" s="15" t="n">
        <f aca="false">AB62+AE62</f>
        <v>9</v>
      </c>
      <c r="AH62" s="15" t="n">
        <f aca="false">IF(AND(Data!$H62&lt;&gt;"",Data!$I62&lt;&gt;""),1,0)</f>
        <v>0</v>
      </c>
      <c r="AI62" s="15" t="str">
        <f aca="false">IF(AH62=1,SUMPRODUCT(N62:Y62*B62:M62),"")</f>
        <v/>
      </c>
      <c r="AJ62" s="15" t="str">
        <f aca="false">IF(AH62=1,SUMPRODUCT(--(N62:Y62&gt;B62:M62)),"")</f>
        <v/>
      </c>
      <c r="AK62" s="15" t="str">
        <f aca="false">IF(AH62=1,AB62,"")</f>
        <v/>
      </c>
    </row>
    <row r="63" customFormat="false" ht="15" hidden="false" customHeight="true" outlineLevel="0" collapsed="false">
      <c r="A63" s="15" t="str">
        <f aca="false">Data!$A63</f>
        <v>LA Referencia</v>
      </c>
      <c r="B63" s="15" t="n">
        <f aca="false">IF(ISNUMBER(SEARCH(Dictionary!$A$5,Data!$H63)),1,0)</f>
        <v>0</v>
      </c>
      <c r="C63" s="15" t="n">
        <f aca="false">IF(ISNUMBER(SEARCH(Dictionary!$A$6,Data!$H63)),1,0)</f>
        <v>0</v>
      </c>
      <c r="D63" s="15" t="n">
        <f aca="false">IF(ISNUMBER(SEARCH(Dictionary!$A$7,Data!$H63)),1,0)</f>
        <v>0</v>
      </c>
      <c r="E63" s="15" t="n">
        <f aca="false">IF(ISNUMBER(SEARCH(Dictionary!$A$8,Data!$H63)),1,0)</f>
        <v>0</v>
      </c>
      <c r="F63" s="15" t="n">
        <f aca="false">IF(ISNUMBER(SEARCH(Dictionary!$A$9,Data!$H63)),1,0)</f>
        <v>0</v>
      </c>
      <c r="G63" s="15" t="n">
        <f aca="false">IF(ISNUMBER(SEARCH(Dictionary!$A$10,Data!$H63)),1,0)</f>
        <v>0</v>
      </c>
      <c r="H63" s="15" t="n">
        <f aca="false">IF(ISNUMBER(SEARCH(Dictionary!$A$11,Data!$H63)),1,0)</f>
        <v>0</v>
      </c>
      <c r="I63" s="15" t="n">
        <f aca="false">IF(ISNUMBER(SEARCH(Dictionary!$A$12,Data!$H63)),1,0)</f>
        <v>0</v>
      </c>
      <c r="J63" s="15" t="n">
        <f aca="false">IF(ISNUMBER(SEARCH(Dictionary!$A$13,Data!$H63)),1,0)</f>
        <v>0</v>
      </c>
      <c r="K63" s="15" t="n">
        <f aca="false">IF(ISNUMBER(SEARCH(Dictionary!$A$14,Data!$H63)),1,0)</f>
        <v>0</v>
      </c>
      <c r="L63" s="15" t="n">
        <f aca="false">IF(ISNUMBER(SEARCH(Dictionary!$A$15,Data!$H63)),1,0)</f>
        <v>0</v>
      </c>
      <c r="M63" s="15" t="n">
        <f aca="false">IF(ISNUMBER(SEARCH(Dictionary!$A$16,Data!$H63)),1,0)</f>
        <v>0</v>
      </c>
      <c r="N63" s="15" t="n">
        <f aca="false">IF(SUMPRODUCT((Dictionary!$C$5:$C$96=Dictionary!$A$5)*(Dictionary!$D$5:$D$96&lt;&gt;"")*ISNUMBER(SEARCH(Dictionary!$D$5:$D$96,Data!$I63)))&gt;0,1,0)</f>
        <v>0</v>
      </c>
      <c r="O63" s="15" t="n">
        <f aca="false">IF(SUMPRODUCT((Dictionary!$C$5:$C$96=Dictionary!$A$6)*(Dictionary!$D$5:$D$96&lt;&gt;"")*ISNUMBER(SEARCH(Dictionary!$D$5:$D$96,Data!$I63)))&gt;0,1,0)</f>
        <v>0</v>
      </c>
      <c r="P63" s="15" t="n">
        <f aca="false">IF(SUMPRODUCT((Dictionary!$C$5:$C$96=Dictionary!$A$7)*(Dictionary!$D$5:$D$96&lt;&gt;"")*ISNUMBER(SEARCH(Dictionary!$D$5:$D$96,Data!$I63)))&gt;0,1,0)</f>
        <v>0</v>
      </c>
      <c r="Q63" s="15" t="n">
        <f aca="false">IF(SUMPRODUCT((Dictionary!$C$5:$C$96=Dictionary!$A$8)*(Dictionary!$D$5:$D$96&lt;&gt;"")*ISNUMBER(SEARCH(Dictionary!$D$5:$D$96,Data!$I63)))&gt;0,1,0)</f>
        <v>0</v>
      </c>
      <c r="R63" s="15" t="n">
        <f aca="false">IF(SUMPRODUCT((Dictionary!$C$5:$C$96=Dictionary!$A$9)*(Dictionary!$D$5:$D$96&lt;&gt;"")*ISNUMBER(SEARCH(Dictionary!$D$5:$D$96,Data!$I63)))&gt;0,1,0)</f>
        <v>0</v>
      </c>
      <c r="S63" s="15" t="n">
        <f aca="false">IF(SUMPRODUCT((Dictionary!$C$5:$C$96=Dictionary!$A$10)*(Dictionary!$D$5:$D$96&lt;&gt;"")*ISNUMBER(SEARCH(Dictionary!$D$5:$D$96,Data!$I63)))&gt;0,1,0)</f>
        <v>0</v>
      </c>
      <c r="T63" s="15" t="n">
        <f aca="false">IF(SUMPRODUCT((Dictionary!$C$5:$C$96=Dictionary!$A$11)*(Dictionary!$D$5:$D$96&lt;&gt;"")*ISNUMBER(SEARCH(Dictionary!$D$5:$D$96,Data!$I63)))&gt;0,1,0)</f>
        <v>0</v>
      </c>
      <c r="U63" s="15" t="n">
        <f aca="false">IF(SUMPRODUCT((Dictionary!$C$5:$C$96=Dictionary!$A$12)*(Dictionary!$D$5:$D$96&lt;&gt;"")*ISNUMBER(SEARCH(Dictionary!$D$5:$D$96,Data!$I63)))&gt;0,1,0)</f>
        <v>0</v>
      </c>
      <c r="V63" s="15" t="n">
        <f aca="false">IF(SUMPRODUCT((Dictionary!$C$5:$C$96=Dictionary!$A$13)*(Dictionary!$D$5:$D$96&lt;&gt;"")*ISNUMBER(SEARCH(Dictionary!$D$5:$D$96,Data!$I63)))&gt;0,1,0)</f>
        <v>0</v>
      </c>
      <c r="W63" s="15" t="n">
        <f aca="false">IF(SUMPRODUCT((Dictionary!$C$5:$C$96=Dictionary!$A$14)*(Dictionary!$D$5:$D$96&lt;&gt;"")*ISNUMBER(SEARCH(Dictionary!$D$5:$D$96,Data!$I63)))&gt;0,1,0)</f>
        <v>0</v>
      </c>
      <c r="X63" s="15" t="n">
        <f aca="false">IF(SUMPRODUCT((Dictionary!$C$5:$C$96=Dictionary!$A$15)*(Dictionary!$D$5:$D$96&lt;&gt;"")*ISNUMBER(SEARCH(Dictionary!$D$5:$D$96,Data!$I63)))&gt;0,1,0)</f>
        <v>0</v>
      </c>
      <c r="Y63" s="15" t="n">
        <f aca="false">IF(SUMPRODUCT((Dictionary!$C$5:$C$96=Dictionary!$A$16)*(Dictionary!$D$5:$D$96&lt;&gt;"")*ISNUMBER(SEARCH(Dictionary!$D$5:$D$96,Data!$I63)))&gt;0,1,0)</f>
        <v>0</v>
      </c>
      <c r="Z63" s="15" t="n">
        <f aca="false">IF(ISNUMBER(SEARCH("Other",Data!$H63)),1,0)</f>
        <v>0</v>
      </c>
      <c r="AA63" s="15" t="n">
        <f aca="false">IF(Data!$I63&lt;&gt;"",1,0)</f>
        <v>0</v>
      </c>
      <c r="AB63" s="15" t="n">
        <f aca="false">SUM(B63:M63)</f>
        <v>0</v>
      </c>
      <c r="AC63" s="15" t="n">
        <f aca="false">SUMPRODUCT(--((B63:M63+N63:Y63)&gt;0))</f>
        <v>0</v>
      </c>
      <c r="AD63" s="15" t="n">
        <f aca="false">AC63-AB63</f>
        <v>0</v>
      </c>
      <c r="AE63" s="15" t="n">
        <f aca="false">IF(AND(Z63=1,AA63=1),1,0)</f>
        <v>0</v>
      </c>
      <c r="AF63" s="15" t="n">
        <f aca="false">AC63+AE63</f>
        <v>0</v>
      </c>
      <c r="AG63" s="15" t="n">
        <f aca="false">AB63+AE63</f>
        <v>0</v>
      </c>
      <c r="AH63" s="15" t="n">
        <f aca="false">IF(AND(Data!$H63&lt;&gt;"",Data!$I63&lt;&gt;""),1,0)</f>
        <v>0</v>
      </c>
      <c r="AI63" s="15" t="str">
        <f aca="false">IF(AH63=1,SUMPRODUCT(N63:Y63*B63:M63),"")</f>
        <v/>
      </c>
      <c r="AJ63" s="15" t="str">
        <f aca="false">IF(AH63=1,SUMPRODUCT(--(N63:Y63&gt;B63:M63)),"")</f>
        <v/>
      </c>
      <c r="AK63" s="15" t="str">
        <f aca="false">IF(AH63=1,AB63,"")</f>
        <v/>
      </c>
    </row>
    <row r="64" customFormat="false" ht="15" hidden="false" customHeight="true" outlineLevel="0" collapsed="false">
      <c r="A64" s="15" t="str">
        <f aca="false">Data!$A64</f>
        <v>Manifold</v>
      </c>
      <c r="B64" s="15" t="n">
        <f aca="false">IF(ISNUMBER(SEARCH(Dictionary!$A$5,Data!$H64)),1,0)</f>
        <v>0</v>
      </c>
      <c r="C64" s="15" t="n">
        <f aca="false">IF(ISNUMBER(SEARCH(Dictionary!$A$6,Data!$H64)),1,0)</f>
        <v>0</v>
      </c>
      <c r="D64" s="15" t="n">
        <f aca="false">IF(ISNUMBER(SEARCH(Dictionary!$A$7,Data!$H64)),1,0)</f>
        <v>0</v>
      </c>
      <c r="E64" s="15" t="n">
        <f aca="false">IF(ISNUMBER(SEARCH(Dictionary!$A$8,Data!$H64)),1,0)</f>
        <v>0</v>
      </c>
      <c r="F64" s="15" t="n">
        <f aca="false">IF(ISNUMBER(SEARCH(Dictionary!$A$9,Data!$H64)),1,0)</f>
        <v>0</v>
      </c>
      <c r="G64" s="15" t="n">
        <f aca="false">IF(ISNUMBER(SEARCH(Dictionary!$A$10,Data!$H64)),1,0)</f>
        <v>0</v>
      </c>
      <c r="H64" s="15" t="n">
        <f aca="false">IF(ISNUMBER(SEARCH(Dictionary!$A$11,Data!$H64)),1,0)</f>
        <v>0</v>
      </c>
      <c r="I64" s="15" t="n">
        <f aca="false">IF(ISNUMBER(SEARCH(Dictionary!$A$12,Data!$H64)),1,0)</f>
        <v>0</v>
      </c>
      <c r="J64" s="15" t="n">
        <f aca="false">IF(ISNUMBER(SEARCH(Dictionary!$A$13,Data!$H64)),1,0)</f>
        <v>0</v>
      </c>
      <c r="K64" s="15" t="n">
        <f aca="false">IF(ISNUMBER(SEARCH(Dictionary!$A$14,Data!$H64)),1,0)</f>
        <v>0</v>
      </c>
      <c r="L64" s="15" t="n">
        <f aca="false">IF(ISNUMBER(SEARCH(Dictionary!$A$15,Data!$H64)),1,0)</f>
        <v>0</v>
      </c>
      <c r="M64" s="15" t="n">
        <f aca="false">IF(ISNUMBER(SEARCH(Dictionary!$A$16,Data!$H64)),1,0)</f>
        <v>0</v>
      </c>
      <c r="N64" s="15" t="n">
        <f aca="false">IF(SUMPRODUCT((Dictionary!$C$5:$C$96=Dictionary!$A$5)*(Dictionary!$D$5:$D$96&lt;&gt;"")*ISNUMBER(SEARCH(Dictionary!$D$5:$D$96,Data!$I64)))&gt;0,1,0)</f>
        <v>0</v>
      </c>
      <c r="O64" s="15" t="n">
        <f aca="false">IF(SUMPRODUCT((Dictionary!$C$5:$C$96=Dictionary!$A$6)*(Dictionary!$D$5:$D$96&lt;&gt;"")*ISNUMBER(SEARCH(Dictionary!$D$5:$D$96,Data!$I64)))&gt;0,1,0)</f>
        <v>0</v>
      </c>
      <c r="P64" s="15" t="n">
        <f aca="false">IF(SUMPRODUCT((Dictionary!$C$5:$C$96=Dictionary!$A$7)*(Dictionary!$D$5:$D$96&lt;&gt;"")*ISNUMBER(SEARCH(Dictionary!$D$5:$D$96,Data!$I64)))&gt;0,1,0)</f>
        <v>0</v>
      </c>
      <c r="Q64" s="15" t="n">
        <f aca="false">IF(SUMPRODUCT((Dictionary!$C$5:$C$96=Dictionary!$A$8)*(Dictionary!$D$5:$D$96&lt;&gt;"")*ISNUMBER(SEARCH(Dictionary!$D$5:$D$96,Data!$I64)))&gt;0,1,0)</f>
        <v>0</v>
      </c>
      <c r="R64" s="15" t="n">
        <f aca="false">IF(SUMPRODUCT((Dictionary!$C$5:$C$96=Dictionary!$A$9)*(Dictionary!$D$5:$D$96&lt;&gt;"")*ISNUMBER(SEARCH(Dictionary!$D$5:$D$96,Data!$I64)))&gt;0,1,0)</f>
        <v>0</v>
      </c>
      <c r="S64" s="15" t="n">
        <f aca="false">IF(SUMPRODUCT((Dictionary!$C$5:$C$96=Dictionary!$A$10)*(Dictionary!$D$5:$D$96&lt;&gt;"")*ISNUMBER(SEARCH(Dictionary!$D$5:$D$96,Data!$I64)))&gt;0,1,0)</f>
        <v>0</v>
      </c>
      <c r="T64" s="15" t="n">
        <f aca="false">IF(SUMPRODUCT((Dictionary!$C$5:$C$96=Dictionary!$A$11)*(Dictionary!$D$5:$D$96&lt;&gt;"")*ISNUMBER(SEARCH(Dictionary!$D$5:$D$96,Data!$I64)))&gt;0,1,0)</f>
        <v>0</v>
      </c>
      <c r="U64" s="15" t="n">
        <f aca="false">IF(SUMPRODUCT((Dictionary!$C$5:$C$96=Dictionary!$A$12)*(Dictionary!$D$5:$D$96&lt;&gt;"")*ISNUMBER(SEARCH(Dictionary!$D$5:$D$96,Data!$I64)))&gt;0,1,0)</f>
        <v>0</v>
      </c>
      <c r="V64" s="15" t="n">
        <f aca="false">IF(SUMPRODUCT((Dictionary!$C$5:$C$96=Dictionary!$A$13)*(Dictionary!$D$5:$D$96&lt;&gt;"")*ISNUMBER(SEARCH(Dictionary!$D$5:$D$96,Data!$I64)))&gt;0,1,0)</f>
        <v>0</v>
      </c>
      <c r="W64" s="15" t="n">
        <f aca="false">IF(SUMPRODUCT((Dictionary!$C$5:$C$96=Dictionary!$A$14)*(Dictionary!$D$5:$D$96&lt;&gt;"")*ISNUMBER(SEARCH(Dictionary!$D$5:$D$96,Data!$I64)))&gt;0,1,0)</f>
        <v>0</v>
      </c>
      <c r="X64" s="15" t="n">
        <f aca="false">IF(SUMPRODUCT((Dictionary!$C$5:$C$96=Dictionary!$A$15)*(Dictionary!$D$5:$D$96&lt;&gt;"")*ISNUMBER(SEARCH(Dictionary!$D$5:$D$96,Data!$I64)))&gt;0,1,0)</f>
        <v>0</v>
      </c>
      <c r="Y64" s="15" t="n">
        <f aca="false">IF(SUMPRODUCT((Dictionary!$C$5:$C$96=Dictionary!$A$16)*(Dictionary!$D$5:$D$96&lt;&gt;"")*ISNUMBER(SEARCH(Dictionary!$D$5:$D$96,Data!$I64)))&gt;0,1,0)</f>
        <v>0</v>
      </c>
      <c r="Z64" s="15" t="n">
        <f aca="false">IF(ISNUMBER(SEARCH("Other",Data!$H64)),1,0)</f>
        <v>0</v>
      </c>
      <c r="AA64" s="15" t="n">
        <f aca="false">IF(Data!$I64&lt;&gt;"",1,0)</f>
        <v>1</v>
      </c>
      <c r="AB64" s="15" t="n">
        <f aca="false">SUM(B64:M64)</f>
        <v>0</v>
      </c>
      <c r="AC64" s="15" t="n">
        <f aca="false">SUMPRODUCT(--((B64:M64+N64:Y64)&gt;0))</f>
        <v>0</v>
      </c>
      <c r="AD64" s="15" t="n">
        <f aca="false">AC64-AB64</f>
        <v>0</v>
      </c>
      <c r="AE64" s="15" t="n">
        <f aca="false">IF(AND(Z64=1,AA64=1),1,0)</f>
        <v>0</v>
      </c>
      <c r="AF64" s="15" t="n">
        <f aca="false">AC64+AE64</f>
        <v>0</v>
      </c>
      <c r="AG64" s="15" t="n">
        <f aca="false">AB64+AE64</f>
        <v>0</v>
      </c>
      <c r="AH64" s="15" t="n">
        <f aca="false">IF(AND(Data!$H64&lt;&gt;"",Data!$I64&lt;&gt;""),1,0)</f>
        <v>0</v>
      </c>
      <c r="AI64" s="15" t="str">
        <f aca="false">IF(AH64=1,SUMPRODUCT(N64:Y64*B64:M64),"")</f>
        <v/>
      </c>
      <c r="AJ64" s="15" t="str">
        <f aca="false">IF(AH64=1,SUMPRODUCT(--(N64:Y64&gt;B64:M64)),"")</f>
        <v/>
      </c>
      <c r="AK64" s="15" t="str">
        <f aca="false">IF(AH64=1,AB64,"")</f>
        <v/>
      </c>
    </row>
    <row r="65" customFormat="false" ht="15" hidden="false" customHeight="true" outlineLevel="0" collapsed="false">
      <c r="A65" s="15" t="str">
        <f aca="false">Data!$A65</f>
        <v>medRxiv</v>
      </c>
      <c r="B65" s="15" t="n">
        <f aca="false">IF(ISNUMBER(SEARCH(Dictionary!$A$5,Data!$H65)),1,0)</f>
        <v>0</v>
      </c>
      <c r="C65" s="15" t="n">
        <f aca="false">IF(ISNUMBER(SEARCH(Dictionary!$A$6,Data!$H65)),1,0)</f>
        <v>1</v>
      </c>
      <c r="D65" s="15" t="n">
        <f aca="false">IF(ISNUMBER(SEARCH(Dictionary!$A$7,Data!$H65)),1,0)</f>
        <v>0</v>
      </c>
      <c r="E65" s="15" t="n">
        <f aca="false">IF(ISNUMBER(SEARCH(Dictionary!$A$8,Data!$H65)),1,0)</f>
        <v>1</v>
      </c>
      <c r="F65" s="15" t="n">
        <f aca="false">IF(ISNUMBER(SEARCH(Dictionary!$A$9,Data!$H65)),1,0)</f>
        <v>0</v>
      </c>
      <c r="G65" s="15" t="n">
        <f aca="false">IF(ISNUMBER(SEARCH(Dictionary!$A$10,Data!$H65)),1,0)</f>
        <v>0</v>
      </c>
      <c r="H65" s="15" t="n">
        <f aca="false">IF(ISNUMBER(SEARCH(Dictionary!$A$11,Data!$H65)),1,0)</f>
        <v>1</v>
      </c>
      <c r="I65" s="15" t="n">
        <f aca="false">IF(ISNUMBER(SEARCH(Dictionary!$A$12,Data!$H65)),1,0)</f>
        <v>1</v>
      </c>
      <c r="J65" s="15" t="n">
        <f aca="false">IF(ISNUMBER(SEARCH(Dictionary!$A$13,Data!$H65)),1,0)</f>
        <v>1</v>
      </c>
      <c r="K65" s="15" t="n">
        <f aca="false">IF(ISNUMBER(SEARCH(Dictionary!$A$14,Data!$H65)),1,0)</f>
        <v>1</v>
      </c>
      <c r="L65" s="15" t="n">
        <f aca="false">IF(ISNUMBER(SEARCH(Dictionary!$A$15,Data!$H65)),1,0)</f>
        <v>1</v>
      </c>
      <c r="M65" s="15" t="n">
        <f aca="false">IF(ISNUMBER(SEARCH(Dictionary!$A$16,Data!$H65)),1,0)</f>
        <v>1</v>
      </c>
      <c r="N65" s="15" t="n">
        <f aca="false">IF(SUMPRODUCT((Dictionary!$C$5:$C$96=Dictionary!$A$5)*(Dictionary!$D$5:$D$96&lt;&gt;"")*ISNUMBER(SEARCH(Dictionary!$D$5:$D$96,Data!$I65)))&gt;0,1,0)</f>
        <v>0</v>
      </c>
      <c r="O65" s="15" t="n">
        <f aca="false">IF(SUMPRODUCT((Dictionary!$C$5:$C$96=Dictionary!$A$6)*(Dictionary!$D$5:$D$96&lt;&gt;"")*ISNUMBER(SEARCH(Dictionary!$D$5:$D$96,Data!$I65)))&gt;0,1,0)</f>
        <v>0</v>
      </c>
      <c r="P65" s="15" t="n">
        <f aca="false">IF(SUMPRODUCT((Dictionary!$C$5:$C$96=Dictionary!$A$7)*(Dictionary!$D$5:$D$96&lt;&gt;"")*ISNUMBER(SEARCH(Dictionary!$D$5:$D$96,Data!$I65)))&gt;0,1,0)</f>
        <v>0</v>
      </c>
      <c r="Q65" s="15" t="n">
        <f aca="false">IF(SUMPRODUCT((Dictionary!$C$5:$C$96=Dictionary!$A$8)*(Dictionary!$D$5:$D$96&lt;&gt;"")*ISNUMBER(SEARCH(Dictionary!$D$5:$D$96,Data!$I65)))&gt;0,1,0)</f>
        <v>0</v>
      </c>
      <c r="R65" s="15" t="n">
        <f aca="false">IF(SUMPRODUCT((Dictionary!$C$5:$C$96=Dictionary!$A$9)*(Dictionary!$D$5:$D$96&lt;&gt;"")*ISNUMBER(SEARCH(Dictionary!$D$5:$D$96,Data!$I65)))&gt;0,1,0)</f>
        <v>0</v>
      </c>
      <c r="S65" s="15" t="n">
        <f aca="false">IF(SUMPRODUCT((Dictionary!$C$5:$C$96=Dictionary!$A$10)*(Dictionary!$D$5:$D$96&lt;&gt;"")*ISNUMBER(SEARCH(Dictionary!$D$5:$D$96,Data!$I65)))&gt;0,1,0)</f>
        <v>0</v>
      </c>
      <c r="T65" s="15" t="n">
        <f aca="false">IF(SUMPRODUCT((Dictionary!$C$5:$C$96=Dictionary!$A$11)*(Dictionary!$D$5:$D$96&lt;&gt;"")*ISNUMBER(SEARCH(Dictionary!$D$5:$D$96,Data!$I65)))&gt;0,1,0)</f>
        <v>0</v>
      </c>
      <c r="U65" s="15" t="n">
        <f aca="false">IF(SUMPRODUCT((Dictionary!$C$5:$C$96=Dictionary!$A$12)*(Dictionary!$D$5:$D$96&lt;&gt;"")*ISNUMBER(SEARCH(Dictionary!$D$5:$D$96,Data!$I65)))&gt;0,1,0)</f>
        <v>0</v>
      </c>
      <c r="V65" s="15" t="n">
        <f aca="false">IF(SUMPRODUCT((Dictionary!$C$5:$C$96=Dictionary!$A$13)*(Dictionary!$D$5:$D$96&lt;&gt;"")*ISNUMBER(SEARCH(Dictionary!$D$5:$D$96,Data!$I65)))&gt;0,1,0)</f>
        <v>0</v>
      </c>
      <c r="W65" s="15" t="n">
        <f aca="false">IF(SUMPRODUCT((Dictionary!$C$5:$C$96=Dictionary!$A$14)*(Dictionary!$D$5:$D$96&lt;&gt;"")*ISNUMBER(SEARCH(Dictionary!$D$5:$D$96,Data!$I65)))&gt;0,1,0)</f>
        <v>0</v>
      </c>
      <c r="X65" s="15" t="n">
        <f aca="false">IF(SUMPRODUCT((Dictionary!$C$5:$C$96=Dictionary!$A$15)*(Dictionary!$D$5:$D$96&lt;&gt;"")*ISNUMBER(SEARCH(Dictionary!$D$5:$D$96,Data!$I65)))&gt;0,1,0)</f>
        <v>0</v>
      </c>
      <c r="Y65" s="15" t="n">
        <f aca="false">IF(SUMPRODUCT((Dictionary!$C$5:$C$96=Dictionary!$A$16)*(Dictionary!$D$5:$D$96&lt;&gt;"")*ISNUMBER(SEARCH(Dictionary!$D$5:$D$96,Data!$I65)))&gt;0,1,0)</f>
        <v>0</v>
      </c>
      <c r="Z65" s="15" t="n">
        <f aca="false">IF(ISNUMBER(SEARCH("Other",Data!$H65)),1,0)</f>
        <v>1</v>
      </c>
      <c r="AA65" s="15" t="n">
        <f aca="false">IF(Data!$I65&lt;&gt;"",1,0)</f>
        <v>1</v>
      </c>
      <c r="AB65" s="15" t="n">
        <f aca="false">SUM(B65:M65)</f>
        <v>8</v>
      </c>
      <c r="AC65" s="15" t="n">
        <f aca="false">SUMPRODUCT(--((B65:M65+N65:Y65)&gt;0))</f>
        <v>8</v>
      </c>
      <c r="AD65" s="15" t="n">
        <f aca="false">AC65-AB65</f>
        <v>0</v>
      </c>
      <c r="AE65" s="15" t="n">
        <f aca="false">IF(AND(Z65=1,AA65=1),1,0)</f>
        <v>1</v>
      </c>
      <c r="AF65" s="15" t="n">
        <f aca="false">AC65+AE65</f>
        <v>9</v>
      </c>
      <c r="AG65" s="15" t="n">
        <f aca="false">AB65+AE65</f>
        <v>9</v>
      </c>
      <c r="AH65" s="15" t="n">
        <f aca="false">IF(AND(Data!$H65&lt;&gt;"",Data!$I65&lt;&gt;""),1,0)</f>
        <v>1</v>
      </c>
      <c r="AI65" s="15" t="n">
        <f aca="false">IF(AH65=1,SUMPRODUCT(N65:Y65*B65:M65),"")</f>
        <v>0</v>
      </c>
      <c r="AJ65" s="15" t="n">
        <f aca="false">IF(AH65=1,SUMPRODUCT(--(N65:Y65&gt;B65:M65)),"")</f>
        <v>0</v>
      </c>
      <c r="AK65" s="15" t="n">
        <f aca="false">IF(AH65=1,AB65,"")</f>
        <v>8</v>
      </c>
    </row>
    <row r="66" customFormat="false" ht="15" hidden="false" customHeight="true" outlineLevel="0" collapsed="false">
      <c r="A66" s="15" t="str">
        <f aca="false">Data!$A66</f>
        <v>Metadata Encoding and Transmission Standard (METS)</v>
      </c>
      <c r="B66" s="15" t="n">
        <f aca="false">IF(ISNUMBER(SEARCH(Dictionary!$A$5,Data!$H66)),1,0)</f>
        <v>0</v>
      </c>
      <c r="C66" s="15" t="n">
        <f aca="false">IF(ISNUMBER(SEARCH(Dictionary!$A$6,Data!$H66)),1,0)</f>
        <v>0</v>
      </c>
      <c r="D66" s="15" t="n">
        <f aca="false">IF(ISNUMBER(SEARCH(Dictionary!$A$7,Data!$H66)),1,0)</f>
        <v>0</v>
      </c>
      <c r="E66" s="15" t="n">
        <f aca="false">IF(ISNUMBER(SEARCH(Dictionary!$A$8,Data!$H66)),1,0)</f>
        <v>1</v>
      </c>
      <c r="F66" s="15" t="n">
        <f aca="false">IF(ISNUMBER(SEARCH(Dictionary!$A$9,Data!$H66)),1,0)</f>
        <v>0</v>
      </c>
      <c r="G66" s="15" t="n">
        <f aca="false">IF(ISNUMBER(SEARCH(Dictionary!$A$10,Data!$H66)),1,0)</f>
        <v>0</v>
      </c>
      <c r="H66" s="15" t="n">
        <f aca="false">IF(ISNUMBER(SEARCH(Dictionary!$A$11,Data!$H66)),1,0)</f>
        <v>1</v>
      </c>
      <c r="I66" s="15" t="n">
        <f aca="false">IF(ISNUMBER(SEARCH(Dictionary!$A$12,Data!$H66)),1,0)</f>
        <v>0</v>
      </c>
      <c r="J66" s="15" t="n">
        <f aca="false">IF(ISNUMBER(SEARCH(Dictionary!$A$13,Data!$H66)),1,0)</f>
        <v>0</v>
      </c>
      <c r="K66" s="15" t="n">
        <f aca="false">IF(ISNUMBER(SEARCH(Dictionary!$A$14,Data!$H66)),1,0)</f>
        <v>0</v>
      </c>
      <c r="L66" s="15" t="n">
        <f aca="false">IF(ISNUMBER(SEARCH(Dictionary!$A$15,Data!$H66)),1,0)</f>
        <v>0</v>
      </c>
      <c r="M66" s="15" t="n">
        <f aca="false">IF(ISNUMBER(SEARCH(Dictionary!$A$16,Data!$H66)),1,0)</f>
        <v>0</v>
      </c>
      <c r="N66" s="15" t="n">
        <f aca="false">IF(SUMPRODUCT((Dictionary!$C$5:$C$96=Dictionary!$A$5)*(Dictionary!$D$5:$D$96&lt;&gt;"")*ISNUMBER(SEARCH(Dictionary!$D$5:$D$96,Data!$I66)))&gt;0,1,0)</f>
        <v>0</v>
      </c>
      <c r="O66" s="15" t="n">
        <f aca="false">IF(SUMPRODUCT((Dictionary!$C$5:$C$96=Dictionary!$A$6)*(Dictionary!$D$5:$D$96&lt;&gt;"")*ISNUMBER(SEARCH(Dictionary!$D$5:$D$96,Data!$I66)))&gt;0,1,0)</f>
        <v>0</v>
      </c>
      <c r="P66" s="15" t="n">
        <f aca="false">IF(SUMPRODUCT((Dictionary!$C$5:$C$96=Dictionary!$A$7)*(Dictionary!$D$5:$D$96&lt;&gt;"")*ISNUMBER(SEARCH(Dictionary!$D$5:$D$96,Data!$I66)))&gt;0,1,0)</f>
        <v>0</v>
      </c>
      <c r="Q66" s="15" t="n">
        <f aca="false">IF(SUMPRODUCT((Dictionary!$C$5:$C$96=Dictionary!$A$8)*(Dictionary!$D$5:$D$96&lt;&gt;"")*ISNUMBER(SEARCH(Dictionary!$D$5:$D$96,Data!$I66)))&gt;0,1,0)</f>
        <v>0</v>
      </c>
      <c r="R66" s="15" t="n">
        <f aca="false">IF(SUMPRODUCT((Dictionary!$C$5:$C$96=Dictionary!$A$9)*(Dictionary!$D$5:$D$96&lt;&gt;"")*ISNUMBER(SEARCH(Dictionary!$D$5:$D$96,Data!$I66)))&gt;0,1,0)</f>
        <v>0</v>
      </c>
      <c r="S66" s="15" t="n">
        <f aca="false">IF(SUMPRODUCT((Dictionary!$C$5:$C$96=Dictionary!$A$10)*(Dictionary!$D$5:$D$96&lt;&gt;"")*ISNUMBER(SEARCH(Dictionary!$D$5:$D$96,Data!$I66)))&gt;0,1,0)</f>
        <v>0</v>
      </c>
      <c r="T66" s="15" t="n">
        <f aca="false">IF(SUMPRODUCT((Dictionary!$C$5:$C$96=Dictionary!$A$11)*(Dictionary!$D$5:$D$96&lt;&gt;"")*ISNUMBER(SEARCH(Dictionary!$D$5:$D$96,Data!$I66)))&gt;0,1,0)</f>
        <v>0</v>
      </c>
      <c r="U66" s="15" t="n">
        <f aca="false">IF(SUMPRODUCT((Dictionary!$C$5:$C$96=Dictionary!$A$12)*(Dictionary!$D$5:$D$96&lt;&gt;"")*ISNUMBER(SEARCH(Dictionary!$D$5:$D$96,Data!$I66)))&gt;0,1,0)</f>
        <v>0</v>
      </c>
      <c r="V66" s="15" t="n">
        <f aca="false">IF(SUMPRODUCT((Dictionary!$C$5:$C$96=Dictionary!$A$13)*(Dictionary!$D$5:$D$96&lt;&gt;"")*ISNUMBER(SEARCH(Dictionary!$D$5:$D$96,Data!$I66)))&gt;0,1,0)</f>
        <v>0</v>
      </c>
      <c r="W66" s="15" t="n">
        <f aca="false">IF(SUMPRODUCT((Dictionary!$C$5:$C$96=Dictionary!$A$14)*(Dictionary!$D$5:$D$96&lt;&gt;"")*ISNUMBER(SEARCH(Dictionary!$D$5:$D$96,Data!$I66)))&gt;0,1,0)</f>
        <v>0</v>
      </c>
      <c r="X66" s="15" t="n">
        <f aca="false">IF(SUMPRODUCT((Dictionary!$C$5:$C$96=Dictionary!$A$15)*(Dictionary!$D$5:$D$96&lt;&gt;"")*ISNUMBER(SEARCH(Dictionary!$D$5:$D$96,Data!$I66)))&gt;0,1,0)</f>
        <v>0</v>
      </c>
      <c r="Y66" s="15" t="n">
        <f aca="false">IF(SUMPRODUCT((Dictionary!$C$5:$C$96=Dictionary!$A$16)*(Dictionary!$D$5:$D$96&lt;&gt;"")*ISNUMBER(SEARCH(Dictionary!$D$5:$D$96,Data!$I66)))&gt;0,1,0)</f>
        <v>0</v>
      </c>
      <c r="Z66" s="15" t="n">
        <f aca="false">IF(ISNUMBER(SEARCH("Other",Data!$H66)),1,0)</f>
        <v>0</v>
      </c>
      <c r="AA66" s="15" t="n">
        <f aca="false">IF(Data!$I66&lt;&gt;"",1,0)</f>
        <v>0</v>
      </c>
      <c r="AB66" s="15" t="n">
        <f aca="false">SUM(B66:M66)</f>
        <v>2</v>
      </c>
      <c r="AC66" s="15" t="n">
        <f aca="false">SUMPRODUCT(--((B66:M66+N66:Y66)&gt;0))</f>
        <v>2</v>
      </c>
      <c r="AD66" s="15" t="n">
        <f aca="false">AC66-AB66</f>
        <v>0</v>
      </c>
      <c r="AE66" s="15" t="n">
        <f aca="false">IF(AND(Z66=1,AA66=1),1,0)</f>
        <v>0</v>
      </c>
      <c r="AF66" s="15" t="n">
        <f aca="false">AC66+AE66</f>
        <v>2</v>
      </c>
      <c r="AG66" s="15" t="n">
        <f aca="false">AB66+AE66</f>
        <v>2</v>
      </c>
      <c r="AH66" s="15" t="n">
        <f aca="false">IF(AND(Data!$H66&lt;&gt;"",Data!$I66&lt;&gt;""),1,0)</f>
        <v>0</v>
      </c>
      <c r="AI66" s="15" t="str">
        <f aca="false">IF(AH66=1,SUMPRODUCT(N66:Y66*B66:M66),"")</f>
        <v/>
      </c>
      <c r="AJ66" s="15" t="str">
        <f aca="false">IF(AH66=1,SUMPRODUCT(--(N66:Y66&gt;B66:M66)),"")</f>
        <v/>
      </c>
      <c r="AK66" s="15" t="str">
        <f aca="false">IF(AH66=1,AB66,"")</f>
        <v/>
      </c>
    </row>
    <row r="67" customFormat="false" ht="15" hidden="false" customHeight="true" outlineLevel="0" collapsed="false">
      <c r="A67" s="15" t="str">
        <f aca="false">Data!$A67</f>
        <v>Mirador</v>
      </c>
      <c r="B67" s="15" t="n">
        <f aca="false">IF(ISNUMBER(SEARCH(Dictionary!$A$5,Data!$H67)),1,0)</f>
        <v>0</v>
      </c>
      <c r="C67" s="15" t="n">
        <f aca="false">IF(ISNUMBER(SEARCH(Dictionary!$A$6,Data!$H67)),1,0)</f>
        <v>0</v>
      </c>
      <c r="D67" s="15" t="n">
        <f aca="false">IF(ISNUMBER(SEARCH(Dictionary!$A$7,Data!$H67)),1,0)</f>
        <v>0</v>
      </c>
      <c r="E67" s="15" t="n">
        <f aca="false">IF(ISNUMBER(SEARCH(Dictionary!$A$8,Data!$H67)),1,0)</f>
        <v>0</v>
      </c>
      <c r="F67" s="15" t="n">
        <f aca="false">IF(ISNUMBER(SEARCH(Dictionary!$A$9,Data!$H67)),1,0)</f>
        <v>0</v>
      </c>
      <c r="G67" s="15" t="n">
        <f aca="false">IF(ISNUMBER(SEARCH(Dictionary!$A$10,Data!$H67)),1,0)</f>
        <v>0</v>
      </c>
      <c r="H67" s="15" t="n">
        <f aca="false">IF(ISNUMBER(SEARCH(Dictionary!$A$11,Data!$H67)),1,0)</f>
        <v>0</v>
      </c>
      <c r="I67" s="15" t="n">
        <f aca="false">IF(ISNUMBER(SEARCH(Dictionary!$A$12,Data!$H67)),1,0)</f>
        <v>0</v>
      </c>
      <c r="J67" s="15" t="n">
        <f aca="false">IF(ISNUMBER(SEARCH(Dictionary!$A$13,Data!$H67)),1,0)</f>
        <v>0</v>
      </c>
      <c r="K67" s="15" t="n">
        <f aca="false">IF(ISNUMBER(SEARCH(Dictionary!$A$14,Data!$H67)),1,0)</f>
        <v>0</v>
      </c>
      <c r="L67" s="15" t="n">
        <f aca="false">IF(ISNUMBER(SEARCH(Dictionary!$A$15,Data!$H67)),1,0)</f>
        <v>0</v>
      </c>
      <c r="M67" s="15" t="n">
        <f aca="false">IF(ISNUMBER(SEARCH(Dictionary!$A$16,Data!$H67)),1,0)</f>
        <v>0</v>
      </c>
      <c r="N67" s="15" t="n">
        <f aca="false">IF(SUMPRODUCT((Dictionary!$C$5:$C$96=Dictionary!$A$5)*(Dictionary!$D$5:$D$96&lt;&gt;"")*ISNUMBER(SEARCH(Dictionary!$D$5:$D$96,Data!$I67)))&gt;0,1,0)</f>
        <v>0</v>
      </c>
      <c r="O67" s="15" t="n">
        <f aca="false">IF(SUMPRODUCT((Dictionary!$C$5:$C$96=Dictionary!$A$6)*(Dictionary!$D$5:$D$96&lt;&gt;"")*ISNUMBER(SEARCH(Dictionary!$D$5:$D$96,Data!$I67)))&gt;0,1,0)</f>
        <v>0</v>
      </c>
      <c r="P67" s="15" t="n">
        <f aca="false">IF(SUMPRODUCT((Dictionary!$C$5:$C$96=Dictionary!$A$7)*(Dictionary!$D$5:$D$96&lt;&gt;"")*ISNUMBER(SEARCH(Dictionary!$D$5:$D$96,Data!$I67)))&gt;0,1,0)</f>
        <v>1</v>
      </c>
      <c r="Q67" s="15" t="n">
        <f aca="false">IF(SUMPRODUCT((Dictionary!$C$5:$C$96=Dictionary!$A$8)*(Dictionary!$D$5:$D$96&lt;&gt;"")*ISNUMBER(SEARCH(Dictionary!$D$5:$D$96,Data!$I67)))&gt;0,1,0)</f>
        <v>0</v>
      </c>
      <c r="R67" s="15" t="n">
        <f aca="false">IF(SUMPRODUCT((Dictionary!$C$5:$C$96=Dictionary!$A$9)*(Dictionary!$D$5:$D$96&lt;&gt;"")*ISNUMBER(SEARCH(Dictionary!$D$5:$D$96,Data!$I67)))&gt;0,1,0)</f>
        <v>0</v>
      </c>
      <c r="S67" s="15" t="n">
        <f aca="false">IF(SUMPRODUCT((Dictionary!$C$5:$C$96=Dictionary!$A$10)*(Dictionary!$D$5:$D$96&lt;&gt;"")*ISNUMBER(SEARCH(Dictionary!$D$5:$D$96,Data!$I67)))&gt;0,1,0)</f>
        <v>0</v>
      </c>
      <c r="T67" s="15" t="n">
        <f aca="false">IF(SUMPRODUCT((Dictionary!$C$5:$C$96=Dictionary!$A$11)*(Dictionary!$D$5:$D$96&lt;&gt;"")*ISNUMBER(SEARCH(Dictionary!$D$5:$D$96,Data!$I67)))&gt;0,1,0)</f>
        <v>1</v>
      </c>
      <c r="U67" s="15" t="n">
        <f aca="false">IF(SUMPRODUCT((Dictionary!$C$5:$C$96=Dictionary!$A$12)*(Dictionary!$D$5:$D$96&lt;&gt;"")*ISNUMBER(SEARCH(Dictionary!$D$5:$D$96,Data!$I67)))&gt;0,1,0)</f>
        <v>0</v>
      </c>
      <c r="V67" s="15" t="n">
        <f aca="false">IF(SUMPRODUCT((Dictionary!$C$5:$C$96=Dictionary!$A$13)*(Dictionary!$D$5:$D$96&lt;&gt;"")*ISNUMBER(SEARCH(Dictionary!$D$5:$D$96,Data!$I67)))&gt;0,1,0)</f>
        <v>0</v>
      </c>
      <c r="W67" s="15" t="n">
        <f aca="false">IF(SUMPRODUCT((Dictionary!$C$5:$C$96=Dictionary!$A$14)*(Dictionary!$D$5:$D$96&lt;&gt;"")*ISNUMBER(SEARCH(Dictionary!$D$5:$D$96,Data!$I67)))&gt;0,1,0)</f>
        <v>0</v>
      </c>
      <c r="X67" s="15" t="n">
        <f aca="false">IF(SUMPRODUCT((Dictionary!$C$5:$C$96=Dictionary!$A$15)*(Dictionary!$D$5:$D$96&lt;&gt;"")*ISNUMBER(SEARCH(Dictionary!$D$5:$D$96,Data!$I67)))&gt;0,1,0)</f>
        <v>0</v>
      </c>
      <c r="Y67" s="15" t="n">
        <f aca="false">IF(SUMPRODUCT((Dictionary!$C$5:$C$96=Dictionary!$A$16)*(Dictionary!$D$5:$D$96&lt;&gt;"")*ISNUMBER(SEARCH(Dictionary!$D$5:$D$96,Data!$I67)))&gt;0,1,0)</f>
        <v>0</v>
      </c>
      <c r="Z67" s="15" t="n">
        <f aca="false">IF(ISNUMBER(SEARCH("Other",Data!$H67)),1,0)</f>
        <v>0</v>
      </c>
      <c r="AA67" s="15" t="n">
        <f aca="false">IF(Data!$I67&lt;&gt;"",1,0)</f>
        <v>1</v>
      </c>
      <c r="AB67" s="15" t="n">
        <f aca="false">SUM(B67:M67)</f>
        <v>0</v>
      </c>
      <c r="AC67" s="15" t="n">
        <f aca="false">SUMPRODUCT(--((B67:M67+N67:Y67)&gt;0))</f>
        <v>2</v>
      </c>
      <c r="AD67" s="15" t="n">
        <f aca="false">AC67-AB67</f>
        <v>2</v>
      </c>
      <c r="AE67" s="15" t="n">
        <f aca="false">IF(AND(Z67=1,AA67=1),1,0)</f>
        <v>0</v>
      </c>
      <c r="AF67" s="15" t="n">
        <f aca="false">AC67+AE67</f>
        <v>2</v>
      </c>
      <c r="AG67" s="15" t="n">
        <f aca="false">AB67+AE67</f>
        <v>0</v>
      </c>
      <c r="AH67" s="15" t="n">
        <f aca="false">IF(AND(Data!$H67&lt;&gt;"",Data!$I67&lt;&gt;""),1,0)</f>
        <v>0</v>
      </c>
      <c r="AI67" s="15" t="str">
        <f aca="false">IF(AH67=1,SUMPRODUCT(N67:Y67*B67:M67),"")</f>
        <v/>
      </c>
      <c r="AJ67" s="15" t="str">
        <f aca="false">IF(AH67=1,SUMPRODUCT(--(N67:Y67&gt;B67:M67)),"")</f>
        <v/>
      </c>
      <c r="AK67" s="15" t="str">
        <f aca="false">IF(AH67=1,AB67,"")</f>
        <v/>
      </c>
    </row>
    <row r="68" customFormat="false" ht="15" hidden="false" customHeight="true" outlineLevel="0" collapsed="false">
      <c r="A68" s="15" t="str">
        <f aca="false">Data!$A68</f>
        <v>Mukurtu CMS</v>
      </c>
      <c r="B68" s="15" t="n">
        <f aca="false">IF(ISNUMBER(SEARCH(Dictionary!$A$5,Data!$H68)),1,0)</f>
        <v>0</v>
      </c>
      <c r="C68" s="15" t="n">
        <f aca="false">IF(ISNUMBER(SEARCH(Dictionary!$A$6,Data!$H68)),1,0)</f>
        <v>0</v>
      </c>
      <c r="D68" s="15" t="n">
        <f aca="false">IF(ISNUMBER(SEARCH(Dictionary!$A$7,Data!$H68)),1,0)</f>
        <v>0</v>
      </c>
      <c r="E68" s="15" t="n">
        <f aca="false">IF(ISNUMBER(SEARCH(Dictionary!$A$8,Data!$H68)),1,0)</f>
        <v>0</v>
      </c>
      <c r="F68" s="15" t="n">
        <f aca="false">IF(ISNUMBER(SEARCH(Dictionary!$A$9,Data!$H68)),1,0)</f>
        <v>0</v>
      </c>
      <c r="G68" s="15" t="n">
        <f aca="false">IF(ISNUMBER(SEARCH(Dictionary!$A$10,Data!$H68)),1,0)</f>
        <v>0</v>
      </c>
      <c r="H68" s="15" t="n">
        <f aca="false">IF(ISNUMBER(SEARCH(Dictionary!$A$11,Data!$H68)),1,0)</f>
        <v>0</v>
      </c>
      <c r="I68" s="15" t="n">
        <f aca="false">IF(ISNUMBER(SEARCH(Dictionary!$A$12,Data!$H68)),1,0)</f>
        <v>0</v>
      </c>
      <c r="J68" s="15" t="n">
        <f aca="false">IF(ISNUMBER(SEARCH(Dictionary!$A$13,Data!$H68)),1,0)</f>
        <v>0</v>
      </c>
      <c r="K68" s="15" t="n">
        <f aca="false">IF(ISNUMBER(SEARCH(Dictionary!$A$14,Data!$H68)),1,0)</f>
        <v>0</v>
      </c>
      <c r="L68" s="15" t="n">
        <f aca="false">IF(ISNUMBER(SEARCH(Dictionary!$A$15,Data!$H68)),1,0)</f>
        <v>0</v>
      </c>
      <c r="M68" s="15" t="n">
        <f aca="false">IF(ISNUMBER(SEARCH(Dictionary!$A$16,Data!$H68)),1,0)</f>
        <v>0</v>
      </c>
      <c r="N68" s="15" t="n">
        <f aca="false">IF(SUMPRODUCT((Dictionary!$C$5:$C$96=Dictionary!$A$5)*(Dictionary!$D$5:$D$96&lt;&gt;"")*ISNUMBER(SEARCH(Dictionary!$D$5:$D$96,Data!$I68)))&gt;0,1,0)</f>
        <v>0</v>
      </c>
      <c r="O68" s="15" t="n">
        <f aca="false">IF(SUMPRODUCT((Dictionary!$C$5:$C$96=Dictionary!$A$6)*(Dictionary!$D$5:$D$96&lt;&gt;"")*ISNUMBER(SEARCH(Dictionary!$D$5:$D$96,Data!$I68)))&gt;0,1,0)</f>
        <v>0</v>
      </c>
      <c r="P68" s="15" t="n">
        <f aca="false">IF(SUMPRODUCT((Dictionary!$C$5:$C$96=Dictionary!$A$7)*(Dictionary!$D$5:$D$96&lt;&gt;"")*ISNUMBER(SEARCH(Dictionary!$D$5:$D$96,Data!$I68)))&gt;0,1,0)</f>
        <v>0</v>
      </c>
      <c r="Q68" s="15" t="n">
        <f aca="false">IF(SUMPRODUCT((Dictionary!$C$5:$C$96=Dictionary!$A$8)*(Dictionary!$D$5:$D$96&lt;&gt;"")*ISNUMBER(SEARCH(Dictionary!$D$5:$D$96,Data!$I68)))&gt;0,1,0)</f>
        <v>0</v>
      </c>
      <c r="R68" s="15" t="n">
        <f aca="false">IF(SUMPRODUCT((Dictionary!$C$5:$C$96=Dictionary!$A$9)*(Dictionary!$D$5:$D$96&lt;&gt;"")*ISNUMBER(SEARCH(Dictionary!$D$5:$D$96,Data!$I68)))&gt;0,1,0)</f>
        <v>0</v>
      </c>
      <c r="S68" s="15" t="n">
        <f aca="false">IF(SUMPRODUCT((Dictionary!$C$5:$C$96=Dictionary!$A$10)*(Dictionary!$D$5:$D$96&lt;&gt;"")*ISNUMBER(SEARCH(Dictionary!$D$5:$D$96,Data!$I68)))&gt;0,1,0)</f>
        <v>0</v>
      </c>
      <c r="T68" s="15" t="n">
        <f aca="false">IF(SUMPRODUCT((Dictionary!$C$5:$C$96=Dictionary!$A$11)*(Dictionary!$D$5:$D$96&lt;&gt;"")*ISNUMBER(SEARCH(Dictionary!$D$5:$D$96,Data!$I68)))&gt;0,1,0)</f>
        <v>0</v>
      </c>
      <c r="U68" s="15" t="n">
        <f aca="false">IF(SUMPRODUCT((Dictionary!$C$5:$C$96=Dictionary!$A$12)*(Dictionary!$D$5:$D$96&lt;&gt;"")*ISNUMBER(SEARCH(Dictionary!$D$5:$D$96,Data!$I68)))&gt;0,1,0)</f>
        <v>0</v>
      </c>
      <c r="V68" s="15" t="n">
        <f aca="false">IF(SUMPRODUCT((Dictionary!$C$5:$C$96=Dictionary!$A$13)*(Dictionary!$D$5:$D$96&lt;&gt;"")*ISNUMBER(SEARCH(Dictionary!$D$5:$D$96,Data!$I68)))&gt;0,1,0)</f>
        <v>1</v>
      </c>
      <c r="W68" s="15" t="n">
        <f aca="false">IF(SUMPRODUCT((Dictionary!$C$5:$C$96=Dictionary!$A$14)*(Dictionary!$D$5:$D$96&lt;&gt;"")*ISNUMBER(SEARCH(Dictionary!$D$5:$D$96,Data!$I68)))&gt;0,1,0)</f>
        <v>0</v>
      </c>
      <c r="X68" s="15" t="n">
        <f aca="false">IF(SUMPRODUCT((Dictionary!$C$5:$C$96=Dictionary!$A$15)*(Dictionary!$D$5:$D$96&lt;&gt;"")*ISNUMBER(SEARCH(Dictionary!$D$5:$D$96,Data!$I68)))&gt;0,1,0)</f>
        <v>0</v>
      </c>
      <c r="Y68" s="15" t="n">
        <f aca="false">IF(SUMPRODUCT((Dictionary!$C$5:$C$96=Dictionary!$A$16)*(Dictionary!$D$5:$D$96&lt;&gt;"")*ISNUMBER(SEARCH(Dictionary!$D$5:$D$96,Data!$I68)))&gt;0,1,0)</f>
        <v>0</v>
      </c>
      <c r="Z68" s="15" t="n">
        <f aca="false">IF(ISNUMBER(SEARCH("Other",Data!$H68)),1,0)</f>
        <v>0</v>
      </c>
      <c r="AA68" s="15" t="n">
        <f aca="false">IF(Data!$I68&lt;&gt;"",1,0)</f>
        <v>1</v>
      </c>
      <c r="AB68" s="15" t="n">
        <f aca="false">SUM(B68:M68)</f>
        <v>0</v>
      </c>
      <c r="AC68" s="15" t="n">
        <f aca="false">SUMPRODUCT(--((B68:M68+N68:Y68)&gt;0))</f>
        <v>1</v>
      </c>
      <c r="AD68" s="15" t="n">
        <f aca="false">AC68-AB68</f>
        <v>1</v>
      </c>
      <c r="AE68" s="15" t="n">
        <f aca="false">IF(AND(Z68=1,AA68=1),1,0)</f>
        <v>0</v>
      </c>
      <c r="AF68" s="15" t="n">
        <f aca="false">AC68+AE68</f>
        <v>1</v>
      </c>
      <c r="AG68" s="15" t="n">
        <f aca="false">AB68+AE68</f>
        <v>0</v>
      </c>
      <c r="AH68" s="15" t="n">
        <f aca="false">IF(AND(Data!$H68&lt;&gt;"",Data!$I68&lt;&gt;""),1,0)</f>
        <v>0</v>
      </c>
      <c r="AI68" s="15" t="str">
        <f aca="false">IF(AH68=1,SUMPRODUCT(N68:Y68*B68:M68),"")</f>
        <v/>
      </c>
      <c r="AJ68" s="15" t="str">
        <f aca="false">IF(AH68=1,SUMPRODUCT(--(N68:Y68&gt;B68:M68)),"")</f>
        <v/>
      </c>
      <c r="AK68" s="15" t="str">
        <f aca="false">IF(AH68=1,AB68,"")</f>
        <v/>
      </c>
    </row>
    <row r="69" customFormat="false" ht="15" hidden="false" customHeight="true" outlineLevel="0" collapsed="false">
      <c r="A69" s="15" t="str">
        <f aca="false">Data!$A69</f>
        <v>MyCoRe</v>
      </c>
      <c r="B69" s="15" t="n">
        <f aca="false">IF(ISNUMBER(SEARCH(Dictionary!$A$5,Data!$H69)),1,0)</f>
        <v>0</v>
      </c>
      <c r="C69" s="15" t="n">
        <f aca="false">IF(ISNUMBER(SEARCH(Dictionary!$A$6,Data!$H69)),1,0)</f>
        <v>0</v>
      </c>
      <c r="D69" s="15" t="n">
        <f aca="false">IF(ISNUMBER(SEARCH(Dictionary!$A$7,Data!$H69)),1,0)</f>
        <v>0</v>
      </c>
      <c r="E69" s="15" t="n">
        <f aca="false">IF(ISNUMBER(SEARCH(Dictionary!$A$8,Data!$H69)),1,0)</f>
        <v>0</v>
      </c>
      <c r="F69" s="15" t="n">
        <f aca="false">IF(ISNUMBER(SEARCH(Dictionary!$A$9,Data!$H69)),1,0)</f>
        <v>0</v>
      </c>
      <c r="G69" s="15" t="n">
        <f aca="false">IF(ISNUMBER(SEARCH(Dictionary!$A$10,Data!$H69)),1,0)</f>
        <v>0</v>
      </c>
      <c r="H69" s="15" t="n">
        <f aca="false">IF(ISNUMBER(SEARCH(Dictionary!$A$11,Data!$H69)),1,0)</f>
        <v>0</v>
      </c>
      <c r="I69" s="15" t="n">
        <f aca="false">IF(ISNUMBER(SEARCH(Dictionary!$A$12,Data!$H69)),1,0)</f>
        <v>0</v>
      </c>
      <c r="J69" s="15" t="n">
        <f aca="false">IF(ISNUMBER(SEARCH(Dictionary!$A$13,Data!$H69)),1,0)</f>
        <v>0</v>
      </c>
      <c r="K69" s="15" t="n">
        <f aca="false">IF(ISNUMBER(SEARCH(Dictionary!$A$14,Data!$H69)),1,0)</f>
        <v>0</v>
      </c>
      <c r="L69" s="15" t="n">
        <f aca="false">IF(ISNUMBER(SEARCH(Dictionary!$A$15,Data!$H69)),1,0)</f>
        <v>0</v>
      </c>
      <c r="M69" s="15" t="n">
        <f aca="false">IF(ISNUMBER(SEARCH(Dictionary!$A$16,Data!$H69)),1,0)</f>
        <v>0</v>
      </c>
      <c r="N69" s="15" t="n">
        <f aca="false">IF(SUMPRODUCT((Dictionary!$C$5:$C$96=Dictionary!$A$5)*(Dictionary!$D$5:$D$96&lt;&gt;"")*ISNUMBER(SEARCH(Dictionary!$D$5:$D$96,Data!$I69)))&gt;0,1,0)</f>
        <v>0</v>
      </c>
      <c r="O69" s="15" t="n">
        <f aca="false">IF(SUMPRODUCT((Dictionary!$C$5:$C$96=Dictionary!$A$6)*(Dictionary!$D$5:$D$96&lt;&gt;"")*ISNUMBER(SEARCH(Dictionary!$D$5:$D$96,Data!$I69)))&gt;0,1,0)</f>
        <v>0</v>
      </c>
      <c r="P69" s="15" t="n">
        <f aca="false">IF(SUMPRODUCT((Dictionary!$C$5:$C$96=Dictionary!$A$7)*(Dictionary!$D$5:$D$96&lt;&gt;"")*ISNUMBER(SEARCH(Dictionary!$D$5:$D$96,Data!$I69)))&gt;0,1,0)</f>
        <v>0</v>
      </c>
      <c r="Q69" s="15" t="n">
        <f aca="false">IF(SUMPRODUCT((Dictionary!$C$5:$C$96=Dictionary!$A$8)*(Dictionary!$D$5:$D$96&lt;&gt;"")*ISNUMBER(SEARCH(Dictionary!$D$5:$D$96,Data!$I69)))&gt;0,1,0)</f>
        <v>0</v>
      </c>
      <c r="R69" s="15" t="n">
        <f aca="false">IF(SUMPRODUCT((Dictionary!$C$5:$C$96=Dictionary!$A$9)*(Dictionary!$D$5:$D$96&lt;&gt;"")*ISNUMBER(SEARCH(Dictionary!$D$5:$D$96,Data!$I69)))&gt;0,1,0)</f>
        <v>0</v>
      </c>
      <c r="S69" s="15" t="n">
        <f aca="false">IF(SUMPRODUCT((Dictionary!$C$5:$C$96=Dictionary!$A$10)*(Dictionary!$D$5:$D$96&lt;&gt;"")*ISNUMBER(SEARCH(Dictionary!$D$5:$D$96,Data!$I69)))&gt;0,1,0)</f>
        <v>0</v>
      </c>
      <c r="T69" s="15" t="n">
        <f aca="false">IF(SUMPRODUCT((Dictionary!$C$5:$C$96=Dictionary!$A$11)*(Dictionary!$D$5:$D$96&lt;&gt;"")*ISNUMBER(SEARCH(Dictionary!$D$5:$D$96,Data!$I69)))&gt;0,1,0)</f>
        <v>0</v>
      </c>
      <c r="U69" s="15" t="n">
        <f aca="false">IF(SUMPRODUCT((Dictionary!$C$5:$C$96=Dictionary!$A$12)*(Dictionary!$D$5:$D$96&lt;&gt;"")*ISNUMBER(SEARCH(Dictionary!$D$5:$D$96,Data!$I69)))&gt;0,1,0)</f>
        <v>0</v>
      </c>
      <c r="V69" s="15" t="n">
        <f aca="false">IF(SUMPRODUCT((Dictionary!$C$5:$C$96=Dictionary!$A$13)*(Dictionary!$D$5:$D$96&lt;&gt;"")*ISNUMBER(SEARCH(Dictionary!$D$5:$D$96,Data!$I69)))&gt;0,1,0)</f>
        <v>0</v>
      </c>
      <c r="W69" s="15" t="n">
        <f aca="false">IF(SUMPRODUCT((Dictionary!$C$5:$C$96=Dictionary!$A$14)*(Dictionary!$D$5:$D$96&lt;&gt;"")*ISNUMBER(SEARCH(Dictionary!$D$5:$D$96,Data!$I69)))&gt;0,1,0)</f>
        <v>0</v>
      </c>
      <c r="X69" s="15" t="n">
        <f aca="false">IF(SUMPRODUCT((Dictionary!$C$5:$C$96=Dictionary!$A$15)*(Dictionary!$D$5:$D$96&lt;&gt;"")*ISNUMBER(SEARCH(Dictionary!$D$5:$D$96,Data!$I69)))&gt;0,1,0)</f>
        <v>0</v>
      </c>
      <c r="Y69" s="15" t="n">
        <f aca="false">IF(SUMPRODUCT((Dictionary!$C$5:$C$96=Dictionary!$A$16)*(Dictionary!$D$5:$D$96&lt;&gt;"")*ISNUMBER(SEARCH(Dictionary!$D$5:$D$96,Data!$I69)))&gt;0,1,0)</f>
        <v>0</v>
      </c>
      <c r="Z69" s="15" t="n">
        <f aca="false">IF(ISNUMBER(SEARCH("Other",Data!$H69)),1,0)</f>
        <v>0</v>
      </c>
      <c r="AA69" s="15" t="n">
        <f aca="false">IF(Data!$I69&lt;&gt;"",1,0)</f>
        <v>0</v>
      </c>
      <c r="AB69" s="15" t="n">
        <f aca="false">SUM(B69:M69)</f>
        <v>0</v>
      </c>
      <c r="AC69" s="15" t="n">
        <f aca="false">SUMPRODUCT(--((B69:M69+N69:Y69)&gt;0))</f>
        <v>0</v>
      </c>
      <c r="AD69" s="15" t="n">
        <f aca="false">AC69-AB69</f>
        <v>0</v>
      </c>
      <c r="AE69" s="15" t="n">
        <f aca="false">IF(AND(Z69=1,AA69=1),1,0)</f>
        <v>0</v>
      </c>
      <c r="AF69" s="15" t="n">
        <f aca="false">AC69+AE69</f>
        <v>0</v>
      </c>
      <c r="AG69" s="15" t="n">
        <f aca="false">AB69+AE69</f>
        <v>0</v>
      </c>
      <c r="AH69" s="15" t="n">
        <f aca="false">IF(AND(Data!$H69&lt;&gt;"",Data!$I69&lt;&gt;""),1,0)</f>
        <v>0</v>
      </c>
      <c r="AI69" s="15" t="str">
        <f aca="false">IF(AH69=1,SUMPRODUCT(N69:Y69*B69:M69),"")</f>
        <v/>
      </c>
      <c r="AJ69" s="15" t="str">
        <f aca="false">IF(AH69=1,SUMPRODUCT(--(N69:Y69&gt;B69:M69)),"")</f>
        <v/>
      </c>
      <c r="AK69" s="15" t="str">
        <f aca="false">IF(AH69=1,AB69,"")</f>
        <v/>
      </c>
    </row>
    <row r="70" customFormat="false" ht="15" hidden="false" customHeight="true" outlineLevel="0" collapsed="false">
      <c r="A70" s="15" t="str">
        <f aca="false">Data!$A70</f>
        <v>NumPy</v>
      </c>
      <c r="B70" s="15" t="n">
        <f aca="false">IF(ISNUMBER(SEARCH(Dictionary!$A$5,Data!$H70)),1,0)</f>
        <v>0</v>
      </c>
      <c r="C70" s="15" t="n">
        <f aca="false">IF(ISNUMBER(SEARCH(Dictionary!$A$6,Data!$H70)),1,0)</f>
        <v>0</v>
      </c>
      <c r="D70" s="15" t="n">
        <f aca="false">IF(ISNUMBER(SEARCH(Dictionary!$A$7,Data!$H70)),1,0)</f>
        <v>0</v>
      </c>
      <c r="E70" s="15" t="n">
        <f aca="false">IF(ISNUMBER(SEARCH(Dictionary!$A$8,Data!$H70)),1,0)</f>
        <v>0</v>
      </c>
      <c r="F70" s="15" t="n">
        <f aca="false">IF(ISNUMBER(SEARCH(Dictionary!$A$9,Data!$H70)),1,0)</f>
        <v>0</v>
      </c>
      <c r="G70" s="15" t="n">
        <f aca="false">IF(ISNUMBER(SEARCH(Dictionary!$A$10,Data!$H70)),1,0)</f>
        <v>0</v>
      </c>
      <c r="H70" s="15" t="n">
        <f aca="false">IF(ISNUMBER(SEARCH(Dictionary!$A$11,Data!$H70)),1,0)</f>
        <v>0</v>
      </c>
      <c r="I70" s="15" t="n">
        <f aca="false">IF(ISNUMBER(SEARCH(Dictionary!$A$12,Data!$H70)),1,0)</f>
        <v>0</v>
      </c>
      <c r="J70" s="15" t="n">
        <f aca="false">IF(ISNUMBER(SEARCH(Dictionary!$A$13,Data!$H70)),1,0)</f>
        <v>0</v>
      </c>
      <c r="K70" s="15" t="n">
        <f aca="false">IF(ISNUMBER(SEARCH(Dictionary!$A$14,Data!$H70)),1,0)</f>
        <v>0</v>
      </c>
      <c r="L70" s="15" t="n">
        <f aca="false">IF(ISNUMBER(SEARCH(Dictionary!$A$15,Data!$H70)),1,0)</f>
        <v>0</v>
      </c>
      <c r="M70" s="15" t="n">
        <f aca="false">IF(ISNUMBER(SEARCH(Dictionary!$A$16,Data!$H70)),1,0)</f>
        <v>0</v>
      </c>
      <c r="N70" s="15" t="n">
        <f aca="false">IF(SUMPRODUCT((Dictionary!$C$5:$C$96=Dictionary!$A$5)*(Dictionary!$D$5:$D$96&lt;&gt;"")*ISNUMBER(SEARCH(Dictionary!$D$5:$D$96,Data!$I70)))&gt;0,1,0)</f>
        <v>0</v>
      </c>
      <c r="O70" s="15" t="n">
        <f aca="false">IF(SUMPRODUCT((Dictionary!$C$5:$C$96=Dictionary!$A$6)*(Dictionary!$D$5:$D$96&lt;&gt;"")*ISNUMBER(SEARCH(Dictionary!$D$5:$D$96,Data!$I70)))&gt;0,1,0)</f>
        <v>0</v>
      </c>
      <c r="P70" s="15" t="n">
        <f aca="false">IF(SUMPRODUCT((Dictionary!$C$5:$C$96=Dictionary!$A$7)*(Dictionary!$D$5:$D$96&lt;&gt;"")*ISNUMBER(SEARCH(Dictionary!$D$5:$D$96,Data!$I70)))&gt;0,1,0)</f>
        <v>0</v>
      </c>
      <c r="Q70" s="15" t="n">
        <f aca="false">IF(SUMPRODUCT((Dictionary!$C$5:$C$96=Dictionary!$A$8)*(Dictionary!$D$5:$D$96&lt;&gt;"")*ISNUMBER(SEARCH(Dictionary!$D$5:$D$96,Data!$I70)))&gt;0,1,0)</f>
        <v>0</v>
      </c>
      <c r="R70" s="15" t="n">
        <f aca="false">IF(SUMPRODUCT((Dictionary!$C$5:$C$96=Dictionary!$A$9)*(Dictionary!$D$5:$D$96&lt;&gt;"")*ISNUMBER(SEARCH(Dictionary!$D$5:$D$96,Data!$I70)))&gt;0,1,0)</f>
        <v>0</v>
      </c>
      <c r="S70" s="15" t="n">
        <f aca="false">IF(SUMPRODUCT((Dictionary!$C$5:$C$96=Dictionary!$A$10)*(Dictionary!$D$5:$D$96&lt;&gt;"")*ISNUMBER(SEARCH(Dictionary!$D$5:$D$96,Data!$I70)))&gt;0,1,0)</f>
        <v>0</v>
      </c>
      <c r="T70" s="15" t="n">
        <f aca="false">IF(SUMPRODUCT((Dictionary!$C$5:$C$96=Dictionary!$A$11)*(Dictionary!$D$5:$D$96&lt;&gt;"")*ISNUMBER(SEARCH(Dictionary!$D$5:$D$96,Data!$I70)))&gt;0,1,0)</f>
        <v>0</v>
      </c>
      <c r="U70" s="15" t="n">
        <f aca="false">IF(SUMPRODUCT((Dictionary!$C$5:$C$96=Dictionary!$A$12)*(Dictionary!$D$5:$D$96&lt;&gt;"")*ISNUMBER(SEARCH(Dictionary!$D$5:$D$96,Data!$I70)))&gt;0,1,0)</f>
        <v>0</v>
      </c>
      <c r="V70" s="15" t="n">
        <f aca="false">IF(SUMPRODUCT((Dictionary!$C$5:$C$96=Dictionary!$A$13)*(Dictionary!$D$5:$D$96&lt;&gt;"")*ISNUMBER(SEARCH(Dictionary!$D$5:$D$96,Data!$I70)))&gt;0,1,0)</f>
        <v>0</v>
      </c>
      <c r="W70" s="15" t="n">
        <f aca="false">IF(SUMPRODUCT((Dictionary!$C$5:$C$96=Dictionary!$A$14)*(Dictionary!$D$5:$D$96&lt;&gt;"")*ISNUMBER(SEARCH(Dictionary!$D$5:$D$96,Data!$I70)))&gt;0,1,0)</f>
        <v>0</v>
      </c>
      <c r="X70" s="15" t="n">
        <f aca="false">IF(SUMPRODUCT((Dictionary!$C$5:$C$96=Dictionary!$A$15)*(Dictionary!$D$5:$D$96&lt;&gt;"")*ISNUMBER(SEARCH(Dictionary!$D$5:$D$96,Data!$I70)))&gt;0,1,0)</f>
        <v>0</v>
      </c>
      <c r="Y70" s="15" t="n">
        <f aca="false">IF(SUMPRODUCT((Dictionary!$C$5:$C$96=Dictionary!$A$16)*(Dictionary!$D$5:$D$96&lt;&gt;"")*ISNUMBER(SEARCH(Dictionary!$D$5:$D$96,Data!$I70)))&gt;0,1,0)</f>
        <v>0</v>
      </c>
      <c r="Z70" s="15" t="n">
        <f aca="false">IF(ISNUMBER(SEARCH("Other",Data!$H70)),1,0)</f>
        <v>0</v>
      </c>
      <c r="AA70" s="15" t="n">
        <f aca="false">IF(Data!$I70&lt;&gt;"",1,0)</f>
        <v>0</v>
      </c>
      <c r="AB70" s="15" t="n">
        <f aca="false">SUM(B70:M70)</f>
        <v>0</v>
      </c>
      <c r="AC70" s="15" t="n">
        <f aca="false">SUMPRODUCT(--((B70:M70+N70:Y70)&gt;0))</f>
        <v>0</v>
      </c>
      <c r="AD70" s="15" t="n">
        <f aca="false">AC70-AB70</f>
        <v>0</v>
      </c>
      <c r="AE70" s="15" t="n">
        <f aca="false">IF(AND(Z70=1,AA70=1),1,0)</f>
        <v>0</v>
      </c>
      <c r="AF70" s="15" t="n">
        <f aca="false">AC70+AE70</f>
        <v>0</v>
      </c>
      <c r="AG70" s="15" t="n">
        <f aca="false">AB70+AE70</f>
        <v>0</v>
      </c>
      <c r="AH70" s="15" t="n">
        <f aca="false">IF(AND(Data!$H70&lt;&gt;"",Data!$I70&lt;&gt;""),1,0)</f>
        <v>0</v>
      </c>
      <c r="AI70" s="15" t="str">
        <f aca="false">IF(AH70=1,SUMPRODUCT(N70:Y70*B70:M70),"")</f>
        <v/>
      </c>
      <c r="AJ70" s="15" t="str">
        <f aca="false">IF(AH70=1,SUMPRODUCT(--(N70:Y70&gt;B70:M70)),"")</f>
        <v/>
      </c>
      <c r="AK70" s="15" t="str">
        <f aca="false">IF(AH70=1,AB70,"")</f>
        <v/>
      </c>
    </row>
    <row r="71" customFormat="false" ht="15" hidden="false" customHeight="true" outlineLevel="0" collapsed="false">
      <c r="A71" s="15" t="str">
        <f aca="false">Data!$A71</f>
        <v>OA.Report</v>
      </c>
      <c r="B71" s="15" t="n">
        <f aca="false">IF(ISNUMBER(SEARCH(Dictionary!$A$5,Data!$H71)),1,0)</f>
        <v>0</v>
      </c>
      <c r="C71" s="15" t="n">
        <f aca="false">IF(ISNUMBER(SEARCH(Dictionary!$A$6,Data!$H71)),1,0)</f>
        <v>0</v>
      </c>
      <c r="D71" s="15" t="n">
        <f aca="false">IF(ISNUMBER(SEARCH(Dictionary!$A$7,Data!$H71)),1,0)</f>
        <v>0</v>
      </c>
      <c r="E71" s="15" t="n">
        <f aca="false">IF(ISNUMBER(SEARCH(Dictionary!$A$8,Data!$H71)),1,0)</f>
        <v>0</v>
      </c>
      <c r="F71" s="15" t="n">
        <f aca="false">IF(ISNUMBER(SEARCH(Dictionary!$A$9,Data!$H71)),1,0)</f>
        <v>0</v>
      </c>
      <c r="G71" s="15" t="n">
        <f aca="false">IF(ISNUMBER(SEARCH(Dictionary!$A$10,Data!$H71)),1,0)</f>
        <v>0</v>
      </c>
      <c r="H71" s="15" t="n">
        <f aca="false">IF(ISNUMBER(SEARCH(Dictionary!$A$11,Data!$H71)),1,0)</f>
        <v>0</v>
      </c>
      <c r="I71" s="15" t="n">
        <f aca="false">IF(ISNUMBER(SEARCH(Dictionary!$A$12,Data!$H71)),1,0)</f>
        <v>0</v>
      </c>
      <c r="J71" s="15" t="n">
        <f aca="false">IF(ISNUMBER(SEARCH(Dictionary!$A$13,Data!$H71)),1,0)</f>
        <v>0</v>
      </c>
      <c r="K71" s="15" t="n">
        <f aca="false">IF(ISNUMBER(SEARCH(Dictionary!$A$14,Data!$H71)),1,0)</f>
        <v>0</v>
      </c>
      <c r="L71" s="15" t="n">
        <f aca="false">IF(ISNUMBER(SEARCH(Dictionary!$A$15,Data!$H71)),1,0)</f>
        <v>0</v>
      </c>
      <c r="M71" s="15" t="n">
        <f aca="false">IF(ISNUMBER(SEARCH(Dictionary!$A$16,Data!$H71)),1,0)</f>
        <v>0</v>
      </c>
      <c r="N71" s="15" t="n">
        <f aca="false">IF(SUMPRODUCT((Dictionary!$C$5:$C$96=Dictionary!$A$5)*(Dictionary!$D$5:$D$96&lt;&gt;"")*ISNUMBER(SEARCH(Dictionary!$D$5:$D$96,Data!$I71)))&gt;0,1,0)</f>
        <v>0</v>
      </c>
      <c r="O71" s="15" t="n">
        <f aca="false">IF(SUMPRODUCT((Dictionary!$C$5:$C$96=Dictionary!$A$6)*(Dictionary!$D$5:$D$96&lt;&gt;"")*ISNUMBER(SEARCH(Dictionary!$D$5:$D$96,Data!$I71)))&gt;0,1,0)</f>
        <v>0</v>
      </c>
      <c r="P71" s="15" t="n">
        <f aca="false">IF(SUMPRODUCT((Dictionary!$C$5:$C$96=Dictionary!$A$7)*(Dictionary!$D$5:$D$96&lt;&gt;"")*ISNUMBER(SEARCH(Dictionary!$D$5:$D$96,Data!$I71)))&gt;0,1,0)</f>
        <v>0</v>
      </c>
      <c r="Q71" s="15" t="n">
        <f aca="false">IF(SUMPRODUCT((Dictionary!$C$5:$C$96=Dictionary!$A$8)*(Dictionary!$D$5:$D$96&lt;&gt;"")*ISNUMBER(SEARCH(Dictionary!$D$5:$D$96,Data!$I71)))&gt;0,1,0)</f>
        <v>0</v>
      </c>
      <c r="R71" s="15" t="n">
        <f aca="false">IF(SUMPRODUCT((Dictionary!$C$5:$C$96=Dictionary!$A$9)*(Dictionary!$D$5:$D$96&lt;&gt;"")*ISNUMBER(SEARCH(Dictionary!$D$5:$D$96,Data!$I71)))&gt;0,1,0)</f>
        <v>0</v>
      </c>
      <c r="S71" s="15" t="n">
        <f aca="false">IF(SUMPRODUCT((Dictionary!$C$5:$C$96=Dictionary!$A$10)*(Dictionary!$D$5:$D$96&lt;&gt;"")*ISNUMBER(SEARCH(Dictionary!$D$5:$D$96,Data!$I71)))&gt;0,1,0)</f>
        <v>0</v>
      </c>
      <c r="T71" s="15" t="n">
        <f aca="false">IF(SUMPRODUCT((Dictionary!$C$5:$C$96=Dictionary!$A$11)*(Dictionary!$D$5:$D$96&lt;&gt;"")*ISNUMBER(SEARCH(Dictionary!$D$5:$D$96,Data!$I71)))&gt;0,1,0)</f>
        <v>0</v>
      </c>
      <c r="U71" s="15" t="n">
        <f aca="false">IF(SUMPRODUCT((Dictionary!$C$5:$C$96=Dictionary!$A$12)*(Dictionary!$D$5:$D$96&lt;&gt;"")*ISNUMBER(SEARCH(Dictionary!$D$5:$D$96,Data!$I71)))&gt;0,1,0)</f>
        <v>0</v>
      </c>
      <c r="V71" s="15" t="n">
        <f aca="false">IF(SUMPRODUCT((Dictionary!$C$5:$C$96=Dictionary!$A$13)*(Dictionary!$D$5:$D$96&lt;&gt;"")*ISNUMBER(SEARCH(Dictionary!$D$5:$D$96,Data!$I71)))&gt;0,1,0)</f>
        <v>0</v>
      </c>
      <c r="W71" s="15" t="n">
        <f aca="false">IF(SUMPRODUCT((Dictionary!$C$5:$C$96=Dictionary!$A$14)*(Dictionary!$D$5:$D$96&lt;&gt;"")*ISNUMBER(SEARCH(Dictionary!$D$5:$D$96,Data!$I71)))&gt;0,1,0)</f>
        <v>0</v>
      </c>
      <c r="X71" s="15" t="n">
        <f aca="false">IF(SUMPRODUCT((Dictionary!$C$5:$C$96=Dictionary!$A$15)*(Dictionary!$D$5:$D$96&lt;&gt;"")*ISNUMBER(SEARCH(Dictionary!$D$5:$D$96,Data!$I71)))&gt;0,1,0)</f>
        <v>0</v>
      </c>
      <c r="Y71" s="15" t="n">
        <f aca="false">IF(SUMPRODUCT((Dictionary!$C$5:$C$96=Dictionary!$A$16)*(Dictionary!$D$5:$D$96&lt;&gt;"")*ISNUMBER(SEARCH(Dictionary!$D$5:$D$96,Data!$I71)))&gt;0,1,0)</f>
        <v>0</v>
      </c>
      <c r="Z71" s="15" t="n">
        <f aca="false">IF(ISNUMBER(SEARCH("Other",Data!$H71)),1,0)</f>
        <v>0</v>
      </c>
      <c r="AA71" s="15" t="n">
        <f aca="false">IF(Data!$I71&lt;&gt;"",1,0)</f>
        <v>0</v>
      </c>
      <c r="AB71" s="15" t="n">
        <f aca="false">SUM(B71:M71)</f>
        <v>0</v>
      </c>
      <c r="AC71" s="15" t="n">
        <f aca="false">SUMPRODUCT(--((B71:M71+N71:Y71)&gt;0))</f>
        <v>0</v>
      </c>
      <c r="AD71" s="15" t="n">
        <f aca="false">AC71-AB71</f>
        <v>0</v>
      </c>
      <c r="AE71" s="15" t="n">
        <f aca="false">IF(AND(Z71=1,AA71=1),1,0)</f>
        <v>0</v>
      </c>
      <c r="AF71" s="15" t="n">
        <f aca="false">AC71+AE71</f>
        <v>0</v>
      </c>
      <c r="AG71" s="15" t="n">
        <f aca="false">AB71+AE71</f>
        <v>0</v>
      </c>
      <c r="AH71" s="15" t="n">
        <f aca="false">IF(AND(Data!$H71&lt;&gt;"",Data!$I71&lt;&gt;""),1,0)</f>
        <v>0</v>
      </c>
      <c r="AI71" s="15" t="str">
        <f aca="false">IF(AH71=1,SUMPRODUCT(N71:Y71*B71:M71),"")</f>
        <v/>
      </c>
      <c r="AJ71" s="15" t="str">
        <f aca="false">IF(AH71=1,SUMPRODUCT(--(N71:Y71&gt;B71:M71)),"")</f>
        <v/>
      </c>
      <c r="AK71" s="15" t="str">
        <f aca="false">IF(AH71=1,AB71,"")</f>
        <v/>
      </c>
    </row>
    <row r="72" customFormat="false" ht="15" hidden="false" customHeight="true" outlineLevel="0" collapsed="false">
      <c r="A72" s="15" t="str">
        <f aca="false">Data!$A72</f>
        <v>OA Switchboard</v>
      </c>
      <c r="B72" s="15" t="n">
        <f aca="false">IF(ISNUMBER(SEARCH(Dictionary!$A$5,Data!$H72)),1,0)</f>
        <v>0</v>
      </c>
      <c r="C72" s="15" t="n">
        <f aca="false">IF(ISNUMBER(SEARCH(Dictionary!$A$6,Data!$H72)),1,0)</f>
        <v>0</v>
      </c>
      <c r="D72" s="15" t="n">
        <f aca="false">IF(ISNUMBER(SEARCH(Dictionary!$A$7,Data!$H72)),1,0)</f>
        <v>0</v>
      </c>
      <c r="E72" s="15" t="n">
        <f aca="false">IF(ISNUMBER(SEARCH(Dictionary!$A$8,Data!$H72)),1,0)</f>
        <v>0</v>
      </c>
      <c r="F72" s="15" t="n">
        <f aca="false">IF(ISNUMBER(SEARCH(Dictionary!$A$9,Data!$H72)),1,0)</f>
        <v>0</v>
      </c>
      <c r="G72" s="15" t="n">
        <f aca="false">IF(ISNUMBER(SEARCH(Dictionary!$A$10,Data!$H72)),1,0)</f>
        <v>0</v>
      </c>
      <c r="H72" s="15" t="n">
        <f aca="false">IF(ISNUMBER(SEARCH(Dictionary!$A$11,Data!$H72)),1,0)</f>
        <v>0</v>
      </c>
      <c r="I72" s="15" t="n">
        <f aca="false">IF(ISNUMBER(SEARCH(Dictionary!$A$12,Data!$H72)),1,0)</f>
        <v>0</v>
      </c>
      <c r="J72" s="15" t="n">
        <f aca="false">IF(ISNUMBER(SEARCH(Dictionary!$A$13,Data!$H72)),1,0)</f>
        <v>0</v>
      </c>
      <c r="K72" s="15" t="n">
        <f aca="false">IF(ISNUMBER(SEARCH(Dictionary!$A$14,Data!$H72)),1,0)</f>
        <v>0</v>
      </c>
      <c r="L72" s="15" t="n">
        <f aca="false">IF(ISNUMBER(SEARCH(Dictionary!$A$15,Data!$H72)),1,0)</f>
        <v>0</v>
      </c>
      <c r="M72" s="15" t="n">
        <f aca="false">IF(ISNUMBER(SEARCH(Dictionary!$A$16,Data!$H72)),1,0)</f>
        <v>0</v>
      </c>
      <c r="N72" s="15" t="n">
        <f aca="false">IF(SUMPRODUCT((Dictionary!$C$5:$C$96=Dictionary!$A$5)*(Dictionary!$D$5:$D$96&lt;&gt;"")*ISNUMBER(SEARCH(Dictionary!$D$5:$D$96,Data!$I72)))&gt;0,1,0)</f>
        <v>0</v>
      </c>
      <c r="O72" s="15" t="n">
        <f aca="false">IF(SUMPRODUCT((Dictionary!$C$5:$C$96=Dictionary!$A$6)*(Dictionary!$D$5:$D$96&lt;&gt;"")*ISNUMBER(SEARCH(Dictionary!$D$5:$D$96,Data!$I72)))&gt;0,1,0)</f>
        <v>1</v>
      </c>
      <c r="P72" s="15" t="n">
        <f aca="false">IF(SUMPRODUCT((Dictionary!$C$5:$C$96=Dictionary!$A$7)*(Dictionary!$D$5:$D$96&lt;&gt;"")*ISNUMBER(SEARCH(Dictionary!$D$5:$D$96,Data!$I72)))&gt;0,1,0)</f>
        <v>0</v>
      </c>
      <c r="Q72" s="15" t="n">
        <f aca="false">IF(SUMPRODUCT((Dictionary!$C$5:$C$96=Dictionary!$A$8)*(Dictionary!$D$5:$D$96&lt;&gt;"")*ISNUMBER(SEARCH(Dictionary!$D$5:$D$96,Data!$I72)))&gt;0,1,0)</f>
        <v>0</v>
      </c>
      <c r="R72" s="15" t="n">
        <f aca="false">IF(SUMPRODUCT((Dictionary!$C$5:$C$96=Dictionary!$A$9)*(Dictionary!$D$5:$D$96&lt;&gt;"")*ISNUMBER(SEARCH(Dictionary!$D$5:$D$96,Data!$I72)))&gt;0,1,0)</f>
        <v>0</v>
      </c>
      <c r="S72" s="15" t="n">
        <f aca="false">IF(SUMPRODUCT((Dictionary!$C$5:$C$96=Dictionary!$A$10)*(Dictionary!$D$5:$D$96&lt;&gt;"")*ISNUMBER(SEARCH(Dictionary!$D$5:$D$96,Data!$I72)))&gt;0,1,0)</f>
        <v>1</v>
      </c>
      <c r="T72" s="15" t="n">
        <f aca="false">IF(SUMPRODUCT((Dictionary!$C$5:$C$96=Dictionary!$A$11)*(Dictionary!$D$5:$D$96&lt;&gt;"")*ISNUMBER(SEARCH(Dictionary!$D$5:$D$96,Data!$I72)))&gt;0,1,0)</f>
        <v>0</v>
      </c>
      <c r="U72" s="15" t="n">
        <f aca="false">IF(SUMPRODUCT((Dictionary!$C$5:$C$96=Dictionary!$A$12)*(Dictionary!$D$5:$D$96&lt;&gt;"")*ISNUMBER(SEARCH(Dictionary!$D$5:$D$96,Data!$I72)))&gt;0,1,0)</f>
        <v>0</v>
      </c>
      <c r="V72" s="15" t="n">
        <f aca="false">IF(SUMPRODUCT((Dictionary!$C$5:$C$96=Dictionary!$A$13)*(Dictionary!$D$5:$D$96&lt;&gt;"")*ISNUMBER(SEARCH(Dictionary!$D$5:$D$96,Data!$I72)))&gt;0,1,0)</f>
        <v>0</v>
      </c>
      <c r="W72" s="15" t="n">
        <f aca="false">IF(SUMPRODUCT((Dictionary!$C$5:$C$96=Dictionary!$A$14)*(Dictionary!$D$5:$D$96&lt;&gt;"")*ISNUMBER(SEARCH(Dictionary!$D$5:$D$96,Data!$I72)))&gt;0,1,0)</f>
        <v>0</v>
      </c>
      <c r="X72" s="15" t="n">
        <f aca="false">IF(SUMPRODUCT((Dictionary!$C$5:$C$96=Dictionary!$A$15)*(Dictionary!$D$5:$D$96&lt;&gt;"")*ISNUMBER(SEARCH(Dictionary!$D$5:$D$96,Data!$I72)))&gt;0,1,0)</f>
        <v>0</v>
      </c>
      <c r="Y72" s="15" t="n">
        <f aca="false">IF(SUMPRODUCT((Dictionary!$C$5:$C$96=Dictionary!$A$16)*(Dictionary!$D$5:$D$96&lt;&gt;"")*ISNUMBER(SEARCH(Dictionary!$D$5:$D$96,Data!$I72)))&gt;0,1,0)</f>
        <v>0</v>
      </c>
      <c r="Z72" s="15" t="n">
        <f aca="false">IF(ISNUMBER(SEARCH("Other",Data!$H72)),1,0)</f>
        <v>0</v>
      </c>
      <c r="AA72" s="15" t="n">
        <f aca="false">IF(Data!$I72&lt;&gt;"",1,0)</f>
        <v>1</v>
      </c>
      <c r="AB72" s="15" t="n">
        <f aca="false">SUM(B72:M72)</f>
        <v>0</v>
      </c>
      <c r="AC72" s="15" t="n">
        <f aca="false">SUMPRODUCT(--((B72:M72+N72:Y72)&gt;0))</f>
        <v>2</v>
      </c>
      <c r="AD72" s="15" t="n">
        <f aca="false">AC72-AB72</f>
        <v>2</v>
      </c>
      <c r="AE72" s="15" t="n">
        <f aca="false">IF(AND(Z72=1,AA72=1),1,0)</f>
        <v>0</v>
      </c>
      <c r="AF72" s="15" t="n">
        <f aca="false">AC72+AE72</f>
        <v>2</v>
      </c>
      <c r="AG72" s="15" t="n">
        <f aca="false">AB72+AE72</f>
        <v>0</v>
      </c>
      <c r="AH72" s="15" t="n">
        <f aca="false">IF(AND(Data!$H72&lt;&gt;"",Data!$I72&lt;&gt;""),1,0)</f>
        <v>0</v>
      </c>
      <c r="AI72" s="15" t="str">
        <f aca="false">IF(AH72=1,SUMPRODUCT(N72:Y72*B72:M72),"")</f>
        <v/>
      </c>
      <c r="AJ72" s="15" t="str">
        <f aca="false">IF(AH72=1,SUMPRODUCT(--(N72:Y72&gt;B72:M72)),"")</f>
        <v/>
      </c>
      <c r="AK72" s="15" t="str">
        <f aca="false">IF(AH72=1,AB72,"")</f>
        <v/>
      </c>
    </row>
    <row r="73" customFormat="false" ht="15" hidden="false" customHeight="true" outlineLevel="0" collapsed="false">
      <c r="A73" s="15" t="str">
        <f aca="false">Data!$A73</f>
        <v>Omeka</v>
      </c>
      <c r="B73" s="15" t="n">
        <f aca="false">IF(ISNUMBER(SEARCH(Dictionary!$A$5,Data!$H73)),1,0)</f>
        <v>0</v>
      </c>
      <c r="C73" s="15" t="n">
        <f aca="false">IF(ISNUMBER(SEARCH(Dictionary!$A$6,Data!$H73)),1,0)</f>
        <v>0</v>
      </c>
      <c r="D73" s="15" t="n">
        <f aca="false">IF(ISNUMBER(SEARCH(Dictionary!$A$7,Data!$H73)),1,0)</f>
        <v>0</v>
      </c>
      <c r="E73" s="15" t="n">
        <f aca="false">IF(ISNUMBER(SEARCH(Dictionary!$A$8,Data!$H73)),1,0)</f>
        <v>0</v>
      </c>
      <c r="F73" s="15" t="n">
        <f aca="false">IF(ISNUMBER(SEARCH(Dictionary!$A$9,Data!$H73)),1,0)</f>
        <v>0</v>
      </c>
      <c r="G73" s="15" t="n">
        <f aca="false">IF(ISNUMBER(SEARCH(Dictionary!$A$10,Data!$H73)),1,0)</f>
        <v>0</v>
      </c>
      <c r="H73" s="15" t="n">
        <f aca="false">IF(ISNUMBER(SEARCH(Dictionary!$A$11,Data!$H73)),1,0)</f>
        <v>0</v>
      </c>
      <c r="I73" s="15" t="n">
        <f aca="false">IF(ISNUMBER(SEARCH(Dictionary!$A$12,Data!$H73)),1,0)</f>
        <v>0</v>
      </c>
      <c r="J73" s="15" t="n">
        <f aca="false">IF(ISNUMBER(SEARCH(Dictionary!$A$13,Data!$H73)),1,0)</f>
        <v>0</v>
      </c>
      <c r="K73" s="15" t="n">
        <f aca="false">IF(ISNUMBER(SEARCH(Dictionary!$A$14,Data!$H73)),1,0)</f>
        <v>0</v>
      </c>
      <c r="L73" s="15" t="n">
        <f aca="false">IF(ISNUMBER(SEARCH(Dictionary!$A$15,Data!$H73)),1,0)</f>
        <v>0</v>
      </c>
      <c r="M73" s="15" t="n">
        <f aca="false">IF(ISNUMBER(SEARCH(Dictionary!$A$16,Data!$H73)),1,0)</f>
        <v>0</v>
      </c>
      <c r="N73" s="15" t="n">
        <f aca="false">IF(SUMPRODUCT((Dictionary!$C$5:$C$96=Dictionary!$A$5)*(Dictionary!$D$5:$D$96&lt;&gt;"")*ISNUMBER(SEARCH(Dictionary!$D$5:$D$96,Data!$I73)))&gt;0,1,0)</f>
        <v>0</v>
      </c>
      <c r="O73" s="15" t="n">
        <f aca="false">IF(SUMPRODUCT((Dictionary!$C$5:$C$96=Dictionary!$A$6)*(Dictionary!$D$5:$D$96&lt;&gt;"")*ISNUMBER(SEARCH(Dictionary!$D$5:$D$96,Data!$I73)))&gt;0,1,0)</f>
        <v>0</v>
      </c>
      <c r="P73" s="15" t="n">
        <f aca="false">IF(SUMPRODUCT((Dictionary!$C$5:$C$96=Dictionary!$A$7)*(Dictionary!$D$5:$D$96&lt;&gt;"")*ISNUMBER(SEARCH(Dictionary!$D$5:$D$96,Data!$I73)))&gt;0,1,0)</f>
        <v>0</v>
      </c>
      <c r="Q73" s="15" t="n">
        <f aca="false">IF(SUMPRODUCT((Dictionary!$C$5:$C$96=Dictionary!$A$8)*(Dictionary!$D$5:$D$96&lt;&gt;"")*ISNUMBER(SEARCH(Dictionary!$D$5:$D$96,Data!$I73)))&gt;0,1,0)</f>
        <v>0</v>
      </c>
      <c r="R73" s="15" t="n">
        <f aca="false">IF(SUMPRODUCT((Dictionary!$C$5:$C$96=Dictionary!$A$9)*(Dictionary!$D$5:$D$96&lt;&gt;"")*ISNUMBER(SEARCH(Dictionary!$D$5:$D$96,Data!$I73)))&gt;0,1,0)</f>
        <v>0</v>
      </c>
      <c r="S73" s="15" t="n">
        <f aca="false">IF(SUMPRODUCT((Dictionary!$C$5:$C$96=Dictionary!$A$10)*(Dictionary!$D$5:$D$96&lt;&gt;"")*ISNUMBER(SEARCH(Dictionary!$D$5:$D$96,Data!$I73)))&gt;0,1,0)</f>
        <v>0</v>
      </c>
      <c r="T73" s="15" t="n">
        <f aca="false">IF(SUMPRODUCT((Dictionary!$C$5:$C$96=Dictionary!$A$11)*(Dictionary!$D$5:$D$96&lt;&gt;"")*ISNUMBER(SEARCH(Dictionary!$D$5:$D$96,Data!$I73)))&gt;0,1,0)</f>
        <v>0</v>
      </c>
      <c r="U73" s="15" t="n">
        <f aca="false">IF(SUMPRODUCT((Dictionary!$C$5:$C$96=Dictionary!$A$12)*(Dictionary!$D$5:$D$96&lt;&gt;"")*ISNUMBER(SEARCH(Dictionary!$D$5:$D$96,Data!$I73)))&gt;0,1,0)</f>
        <v>0</v>
      </c>
      <c r="V73" s="15" t="n">
        <f aca="false">IF(SUMPRODUCT((Dictionary!$C$5:$C$96=Dictionary!$A$13)*(Dictionary!$D$5:$D$96&lt;&gt;"")*ISNUMBER(SEARCH(Dictionary!$D$5:$D$96,Data!$I73)))&gt;0,1,0)</f>
        <v>0</v>
      </c>
      <c r="W73" s="15" t="n">
        <f aca="false">IF(SUMPRODUCT((Dictionary!$C$5:$C$96=Dictionary!$A$14)*(Dictionary!$D$5:$D$96&lt;&gt;"")*ISNUMBER(SEARCH(Dictionary!$D$5:$D$96,Data!$I73)))&gt;0,1,0)</f>
        <v>0</v>
      </c>
      <c r="X73" s="15" t="n">
        <f aca="false">IF(SUMPRODUCT((Dictionary!$C$5:$C$96=Dictionary!$A$15)*(Dictionary!$D$5:$D$96&lt;&gt;"")*ISNUMBER(SEARCH(Dictionary!$D$5:$D$96,Data!$I73)))&gt;0,1,0)</f>
        <v>0</v>
      </c>
      <c r="Y73" s="15" t="n">
        <f aca="false">IF(SUMPRODUCT((Dictionary!$C$5:$C$96=Dictionary!$A$16)*(Dictionary!$D$5:$D$96&lt;&gt;"")*ISNUMBER(SEARCH(Dictionary!$D$5:$D$96,Data!$I73)))&gt;0,1,0)</f>
        <v>0</v>
      </c>
      <c r="Z73" s="15" t="n">
        <f aca="false">IF(ISNUMBER(SEARCH("Other",Data!$H73)),1,0)</f>
        <v>0</v>
      </c>
      <c r="AA73" s="15" t="n">
        <f aca="false">IF(Data!$I73&lt;&gt;"",1,0)</f>
        <v>1</v>
      </c>
      <c r="AB73" s="15" t="n">
        <f aca="false">SUM(B73:M73)</f>
        <v>0</v>
      </c>
      <c r="AC73" s="15" t="n">
        <f aca="false">SUMPRODUCT(--((B73:M73+N73:Y73)&gt;0))</f>
        <v>0</v>
      </c>
      <c r="AD73" s="15" t="n">
        <f aca="false">AC73-AB73</f>
        <v>0</v>
      </c>
      <c r="AE73" s="15" t="n">
        <f aca="false">IF(AND(Z73=1,AA73=1),1,0)</f>
        <v>0</v>
      </c>
      <c r="AF73" s="15" t="n">
        <f aca="false">AC73+AE73</f>
        <v>0</v>
      </c>
      <c r="AG73" s="15" t="n">
        <f aca="false">AB73+AE73</f>
        <v>0</v>
      </c>
      <c r="AH73" s="15" t="n">
        <f aca="false">IF(AND(Data!$H73&lt;&gt;"",Data!$I73&lt;&gt;""),1,0)</f>
        <v>0</v>
      </c>
      <c r="AI73" s="15" t="str">
        <f aca="false">IF(AH73=1,SUMPRODUCT(N73:Y73*B73:M73),"")</f>
        <v/>
      </c>
      <c r="AJ73" s="15" t="str">
        <f aca="false">IF(AH73=1,SUMPRODUCT(--(N73:Y73&gt;B73:M73)),"")</f>
        <v/>
      </c>
      <c r="AK73" s="15" t="str">
        <f aca="false">IF(AH73=1,AB73,"")</f>
        <v/>
      </c>
    </row>
    <row r="74" customFormat="false" ht="15" hidden="false" customHeight="true" outlineLevel="0" collapsed="false">
      <c r="A74" s="15" t="str">
        <f aca="false">Data!$A74</f>
        <v>OpenAIRE Graph</v>
      </c>
      <c r="B74" s="15" t="n">
        <f aca="false">IF(ISNUMBER(SEARCH(Dictionary!$A$5,Data!$H74)),1,0)</f>
        <v>0</v>
      </c>
      <c r="C74" s="15" t="n">
        <f aca="false">IF(ISNUMBER(SEARCH(Dictionary!$A$6,Data!$H74)),1,0)</f>
        <v>1</v>
      </c>
      <c r="D74" s="15" t="n">
        <f aca="false">IF(ISNUMBER(SEARCH(Dictionary!$A$7,Data!$H74)),1,0)</f>
        <v>1</v>
      </c>
      <c r="E74" s="15" t="n">
        <f aca="false">IF(ISNUMBER(SEARCH(Dictionary!$A$8,Data!$H74)),1,0)</f>
        <v>1</v>
      </c>
      <c r="F74" s="15" t="n">
        <f aca="false">IF(ISNUMBER(SEARCH(Dictionary!$A$9,Data!$H74)),1,0)</f>
        <v>0</v>
      </c>
      <c r="G74" s="15" t="n">
        <f aca="false">IF(ISNUMBER(SEARCH(Dictionary!$A$10,Data!$H74)),1,0)</f>
        <v>1</v>
      </c>
      <c r="H74" s="15" t="n">
        <f aca="false">IF(ISNUMBER(SEARCH(Dictionary!$A$11,Data!$H74)),1,0)</f>
        <v>1</v>
      </c>
      <c r="I74" s="15" t="n">
        <f aca="false">IF(ISNUMBER(SEARCH(Dictionary!$A$12,Data!$H74)),1,0)</f>
        <v>1</v>
      </c>
      <c r="J74" s="15" t="n">
        <f aca="false">IF(ISNUMBER(SEARCH(Dictionary!$A$13,Data!$H74)),1,0)</f>
        <v>1</v>
      </c>
      <c r="K74" s="15" t="n">
        <f aca="false">IF(ISNUMBER(SEARCH(Dictionary!$A$14,Data!$H74)),1,0)</f>
        <v>1</v>
      </c>
      <c r="L74" s="15" t="n">
        <f aca="false">IF(ISNUMBER(SEARCH(Dictionary!$A$15,Data!$H74)),1,0)</f>
        <v>0</v>
      </c>
      <c r="M74" s="15" t="n">
        <f aca="false">IF(ISNUMBER(SEARCH(Dictionary!$A$16,Data!$H74)),1,0)</f>
        <v>1</v>
      </c>
      <c r="N74" s="15" t="n">
        <f aca="false">IF(SUMPRODUCT((Dictionary!$C$5:$C$96=Dictionary!$A$5)*(Dictionary!$D$5:$D$96&lt;&gt;"")*ISNUMBER(SEARCH(Dictionary!$D$5:$D$96,Data!$I74)))&gt;0,1,0)</f>
        <v>0</v>
      </c>
      <c r="O74" s="15" t="n">
        <f aca="false">IF(SUMPRODUCT((Dictionary!$C$5:$C$96=Dictionary!$A$6)*(Dictionary!$D$5:$D$96&lt;&gt;"")*ISNUMBER(SEARCH(Dictionary!$D$5:$D$96,Data!$I74)))&gt;0,1,0)</f>
        <v>0</v>
      </c>
      <c r="P74" s="15" t="n">
        <f aca="false">IF(SUMPRODUCT((Dictionary!$C$5:$C$96=Dictionary!$A$7)*(Dictionary!$D$5:$D$96&lt;&gt;"")*ISNUMBER(SEARCH(Dictionary!$D$5:$D$96,Data!$I74)))&gt;0,1,0)</f>
        <v>0</v>
      </c>
      <c r="Q74" s="15" t="n">
        <f aca="false">IF(SUMPRODUCT((Dictionary!$C$5:$C$96=Dictionary!$A$8)*(Dictionary!$D$5:$D$96&lt;&gt;"")*ISNUMBER(SEARCH(Dictionary!$D$5:$D$96,Data!$I74)))&gt;0,1,0)</f>
        <v>0</v>
      </c>
      <c r="R74" s="15" t="n">
        <f aca="false">IF(SUMPRODUCT((Dictionary!$C$5:$C$96=Dictionary!$A$9)*(Dictionary!$D$5:$D$96&lt;&gt;"")*ISNUMBER(SEARCH(Dictionary!$D$5:$D$96,Data!$I74)))&gt;0,1,0)</f>
        <v>0</v>
      </c>
      <c r="S74" s="15" t="n">
        <f aca="false">IF(SUMPRODUCT((Dictionary!$C$5:$C$96=Dictionary!$A$10)*(Dictionary!$D$5:$D$96&lt;&gt;"")*ISNUMBER(SEARCH(Dictionary!$D$5:$D$96,Data!$I74)))&gt;0,1,0)</f>
        <v>0</v>
      </c>
      <c r="T74" s="15" t="n">
        <f aca="false">IF(SUMPRODUCT((Dictionary!$C$5:$C$96=Dictionary!$A$11)*(Dictionary!$D$5:$D$96&lt;&gt;"")*ISNUMBER(SEARCH(Dictionary!$D$5:$D$96,Data!$I74)))&gt;0,1,0)</f>
        <v>0</v>
      </c>
      <c r="U74" s="15" t="n">
        <f aca="false">IF(SUMPRODUCT((Dictionary!$C$5:$C$96=Dictionary!$A$12)*(Dictionary!$D$5:$D$96&lt;&gt;"")*ISNUMBER(SEARCH(Dictionary!$D$5:$D$96,Data!$I74)))&gt;0,1,0)</f>
        <v>0</v>
      </c>
      <c r="V74" s="15" t="n">
        <f aca="false">IF(SUMPRODUCT((Dictionary!$C$5:$C$96=Dictionary!$A$13)*(Dictionary!$D$5:$D$96&lt;&gt;"")*ISNUMBER(SEARCH(Dictionary!$D$5:$D$96,Data!$I74)))&gt;0,1,0)</f>
        <v>0</v>
      </c>
      <c r="W74" s="15" t="n">
        <f aca="false">IF(SUMPRODUCT((Dictionary!$C$5:$C$96=Dictionary!$A$14)*(Dictionary!$D$5:$D$96&lt;&gt;"")*ISNUMBER(SEARCH(Dictionary!$D$5:$D$96,Data!$I74)))&gt;0,1,0)</f>
        <v>0</v>
      </c>
      <c r="X74" s="15" t="n">
        <f aca="false">IF(SUMPRODUCT((Dictionary!$C$5:$C$96=Dictionary!$A$15)*(Dictionary!$D$5:$D$96&lt;&gt;"")*ISNUMBER(SEARCH(Dictionary!$D$5:$D$96,Data!$I74)))&gt;0,1,0)</f>
        <v>0</v>
      </c>
      <c r="Y74" s="15" t="n">
        <f aca="false">IF(SUMPRODUCT((Dictionary!$C$5:$C$96=Dictionary!$A$16)*(Dictionary!$D$5:$D$96&lt;&gt;"")*ISNUMBER(SEARCH(Dictionary!$D$5:$D$96,Data!$I74)))&gt;0,1,0)</f>
        <v>0</v>
      </c>
      <c r="Z74" s="15" t="n">
        <f aca="false">IF(ISNUMBER(SEARCH("Other",Data!$H74)),1,0)</f>
        <v>0</v>
      </c>
      <c r="AA74" s="15" t="n">
        <f aca="false">IF(Data!$I74&lt;&gt;"",1,0)</f>
        <v>0</v>
      </c>
      <c r="AB74" s="15" t="n">
        <f aca="false">SUM(B74:M74)</f>
        <v>9</v>
      </c>
      <c r="AC74" s="15" t="n">
        <f aca="false">SUMPRODUCT(--((B74:M74+N74:Y74)&gt;0))</f>
        <v>9</v>
      </c>
      <c r="AD74" s="15" t="n">
        <f aca="false">AC74-AB74</f>
        <v>0</v>
      </c>
      <c r="AE74" s="15" t="n">
        <f aca="false">IF(AND(Z74=1,AA74=1),1,0)</f>
        <v>0</v>
      </c>
      <c r="AF74" s="15" t="n">
        <f aca="false">AC74+AE74</f>
        <v>9</v>
      </c>
      <c r="AG74" s="15" t="n">
        <f aca="false">AB74+AE74</f>
        <v>9</v>
      </c>
      <c r="AH74" s="15" t="n">
        <f aca="false">IF(AND(Data!$H74&lt;&gt;"",Data!$I74&lt;&gt;""),1,0)</f>
        <v>0</v>
      </c>
      <c r="AI74" s="15" t="str">
        <f aca="false">IF(AH74=1,SUMPRODUCT(N74:Y74*B74:M74),"")</f>
        <v/>
      </c>
      <c r="AJ74" s="15" t="str">
        <f aca="false">IF(AH74=1,SUMPRODUCT(--(N74:Y74&gt;B74:M74)),"")</f>
        <v/>
      </c>
      <c r="AK74" s="15" t="str">
        <f aca="false">IF(AH74=1,AB74,"")</f>
        <v/>
      </c>
    </row>
    <row r="75" customFormat="false" ht="15" hidden="false" customHeight="true" outlineLevel="0" collapsed="false">
      <c r="A75" s="15" t="str">
        <f aca="false">Data!$A75</f>
        <v>OpenAlex</v>
      </c>
      <c r="B75" s="15" t="n">
        <f aca="false">IF(ISNUMBER(SEARCH(Dictionary!$A$5,Data!$H75)),1,0)</f>
        <v>0</v>
      </c>
      <c r="C75" s="15" t="n">
        <f aca="false">IF(ISNUMBER(SEARCH(Dictionary!$A$6,Data!$H75)),1,0)</f>
        <v>0</v>
      </c>
      <c r="D75" s="15" t="n">
        <f aca="false">IF(ISNUMBER(SEARCH(Dictionary!$A$7,Data!$H75)),1,0)</f>
        <v>0</v>
      </c>
      <c r="E75" s="15" t="n">
        <f aca="false">IF(ISNUMBER(SEARCH(Dictionary!$A$8,Data!$H75)),1,0)</f>
        <v>0</v>
      </c>
      <c r="F75" s="15" t="n">
        <f aca="false">IF(ISNUMBER(SEARCH(Dictionary!$A$9,Data!$H75)),1,0)</f>
        <v>0</v>
      </c>
      <c r="G75" s="15" t="n">
        <f aca="false">IF(ISNUMBER(SEARCH(Dictionary!$A$10,Data!$H75)),1,0)</f>
        <v>0</v>
      </c>
      <c r="H75" s="15" t="n">
        <f aca="false">IF(ISNUMBER(SEARCH(Dictionary!$A$11,Data!$H75)),1,0)</f>
        <v>0</v>
      </c>
      <c r="I75" s="15" t="n">
        <f aca="false">IF(ISNUMBER(SEARCH(Dictionary!$A$12,Data!$H75)),1,0)</f>
        <v>0</v>
      </c>
      <c r="J75" s="15" t="n">
        <f aca="false">IF(ISNUMBER(SEARCH(Dictionary!$A$13,Data!$H75)),1,0)</f>
        <v>0</v>
      </c>
      <c r="K75" s="15" t="n">
        <f aca="false">IF(ISNUMBER(SEARCH(Dictionary!$A$14,Data!$H75)),1,0)</f>
        <v>0</v>
      </c>
      <c r="L75" s="15" t="n">
        <f aca="false">IF(ISNUMBER(SEARCH(Dictionary!$A$15,Data!$H75)),1,0)</f>
        <v>0</v>
      </c>
      <c r="M75" s="15" t="n">
        <f aca="false">IF(ISNUMBER(SEARCH(Dictionary!$A$16,Data!$H75)),1,0)</f>
        <v>0</v>
      </c>
      <c r="N75" s="15" t="n">
        <f aca="false">IF(SUMPRODUCT((Dictionary!$C$5:$C$96=Dictionary!$A$5)*(Dictionary!$D$5:$D$96&lt;&gt;"")*ISNUMBER(SEARCH(Dictionary!$D$5:$D$96,Data!$I75)))&gt;0,1,0)</f>
        <v>0</v>
      </c>
      <c r="O75" s="15" t="n">
        <f aca="false">IF(SUMPRODUCT((Dictionary!$C$5:$C$96=Dictionary!$A$6)*(Dictionary!$D$5:$D$96&lt;&gt;"")*ISNUMBER(SEARCH(Dictionary!$D$5:$D$96,Data!$I75)))&gt;0,1,0)</f>
        <v>0</v>
      </c>
      <c r="P75" s="15" t="n">
        <f aca="false">IF(SUMPRODUCT((Dictionary!$C$5:$C$96=Dictionary!$A$7)*(Dictionary!$D$5:$D$96&lt;&gt;"")*ISNUMBER(SEARCH(Dictionary!$D$5:$D$96,Data!$I75)))&gt;0,1,0)</f>
        <v>0</v>
      </c>
      <c r="Q75" s="15" t="n">
        <f aca="false">IF(SUMPRODUCT((Dictionary!$C$5:$C$96=Dictionary!$A$8)*(Dictionary!$D$5:$D$96&lt;&gt;"")*ISNUMBER(SEARCH(Dictionary!$D$5:$D$96,Data!$I75)))&gt;0,1,0)</f>
        <v>0</v>
      </c>
      <c r="R75" s="15" t="n">
        <f aca="false">IF(SUMPRODUCT((Dictionary!$C$5:$C$96=Dictionary!$A$9)*(Dictionary!$D$5:$D$96&lt;&gt;"")*ISNUMBER(SEARCH(Dictionary!$D$5:$D$96,Data!$I75)))&gt;0,1,0)</f>
        <v>0</v>
      </c>
      <c r="S75" s="15" t="n">
        <f aca="false">IF(SUMPRODUCT((Dictionary!$C$5:$C$96=Dictionary!$A$10)*(Dictionary!$D$5:$D$96&lt;&gt;"")*ISNUMBER(SEARCH(Dictionary!$D$5:$D$96,Data!$I75)))&gt;0,1,0)</f>
        <v>1</v>
      </c>
      <c r="T75" s="15" t="n">
        <f aca="false">IF(SUMPRODUCT((Dictionary!$C$5:$C$96=Dictionary!$A$11)*(Dictionary!$D$5:$D$96&lt;&gt;"")*ISNUMBER(SEARCH(Dictionary!$D$5:$D$96,Data!$I75)))&gt;0,1,0)</f>
        <v>0</v>
      </c>
      <c r="U75" s="15" t="n">
        <f aca="false">IF(SUMPRODUCT((Dictionary!$C$5:$C$96=Dictionary!$A$12)*(Dictionary!$D$5:$D$96&lt;&gt;"")*ISNUMBER(SEARCH(Dictionary!$D$5:$D$96,Data!$I75)))&gt;0,1,0)</f>
        <v>1</v>
      </c>
      <c r="V75" s="15" t="n">
        <f aca="false">IF(SUMPRODUCT((Dictionary!$C$5:$C$96=Dictionary!$A$13)*(Dictionary!$D$5:$D$96&lt;&gt;"")*ISNUMBER(SEARCH(Dictionary!$D$5:$D$96,Data!$I75)))&gt;0,1,0)</f>
        <v>0</v>
      </c>
      <c r="W75" s="15" t="n">
        <f aca="false">IF(SUMPRODUCT((Dictionary!$C$5:$C$96=Dictionary!$A$14)*(Dictionary!$D$5:$D$96&lt;&gt;"")*ISNUMBER(SEARCH(Dictionary!$D$5:$D$96,Data!$I75)))&gt;0,1,0)</f>
        <v>0</v>
      </c>
      <c r="X75" s="15" t="n">
        <f aca="false">IF(SUMPRODUCT((Dictionary!$C$5:$C$96=Dictionary!$A$15)*(Dictionary!$D$5:$D$96&lt;&gt;"")*ISNUMBER(SEARCH(Dictionary!$D$5:$D$96,Data!$I75)))&gt;0,1,0)</f>
        <v>0</v>
      </c>
      <c r="Y75" s="15" t="n">
        <f aca="false">IF(SUMPRODUCT((Dictionary!$C$5:$C$96=Dictionary!$A$16)*(Dictionary!$D$5:$D$96&lt;&gt;"")*ISNUMBER(SEARCH(Dictionary!$D$5:$D$96,Data!$I75)))&gt;0,1,0)</f>
        <v>1</v>
      </c>
      <c r="Z75" s="15" t="n">
        <f aca="false">IF(ISNUMBER(SEARCH("Other",Data!$H75)),1,0)</f>
        <v>0</v>
      </c>
      <c r="AA75" s="15" t="n">
        <f aca="false">IF(Data!$I75&lt;&gt;"",1,0)</f>
        <v>1</v>
      </c>
      <c r="AB75" s="15" t="n">
        <f aca="false">SUM(B75:M75)</f>
        <v>0</v>
      </c>
      <c r="AC75" s="15" t="n">
        <f aca="false">SUMPRODUCT(--((B75:M75+N75:Y75)&gt;0))</f>
        <v>3</v>
      </c>
      <c r="AD75" s="15" t="n">
        <f aca="false">AC75-AB75</f>
        <v>3</v>
      </c>
      <c r="AE75" s="15" t="n">
        <f aca="false">IF(AND(Z75=1,AA75=1),1,0)</f>
        <v>0</v>
      </c>
      <c r="AF75" s="15" t="n">
        <f aca="false">AC75+AE75</f>
        <v>3</v>
      </c>
      <c r="AG75" s="15" t="n">
        <f aca="false">AB75+AE75</f>
        <v>0</v>
      </c>
      <c r="AH75" s="15" t="n">
        <f aca="false">IF(AND(Data!$H75&lt;&gt;"",Data!$I75&lt;&gt;""),1,0)</f>
        <v>0</v>
      </c>
      <c r="AI75" s="15" t="str">
        <f aca="false">IF(AH75=1,SUMPRODUCT(N75:Y75*B75:M75),"")</f>
        <v/>
      </c>
      <c r="AJ75" s="15" t="str">
        <f aca="false">IF(AH75=1,SUMPRODUCT(--(N75:Y75&gt;B75:M75)),"")</f>
        <v/>
      </c>
      <c r="AK75" s="15" t="str">
        <f aca="false">IF(AH75=1,AB75,"")</f>
        <v/>
      </c>
    </row>
    <row r="76" customFormat="false" ht="15" hidden="false" customHeight="true" outlineLevel="0" collapsed="false">
      <c r="A76" s="15" t="str">
        <f aca="false">Data!$A76</f>
        <v>OpenAPC</v>
      </c>
      <c r="B76" s="15" t="n">
        <f aca="false">IF(ISNUMBER(SEARCH(Dictionary!$A$5,Data!$H76)),1,0)</f>
        <v>0</v>
      </c>
      <c r="C76" s="15" t="n">
        <f aca="false">IF(ISNUMBER(SEARCH(Dictionary!$A$6,Data!$H76)),1,0)</f>
        <v>1</v>
      </c>
      <c r="D76" s="15" t="n">
        <f aca="false">IF(ISNUMBER(SEARCH(Dictionary!$A$7,Data!$H76)),1,0)</f>
        <v>0</v>
      </c>
      <c r="E76" s="15" t="n">
        <f aca="false">IF(ISNUMBER(SEARCH(Dictionary!$A$8,Data!$H76)),1,0)</f>
        <v>1</v>
      </c>
      <c r="F76" s="15" t="n">
        <f aca="false">IF(ISNUMBER(SEARCH(Dictionary!$A$9,Data!$H76)),1,0)</f>
        <v>0</v>
      </c>
      <c r="G76" s="15" t="n">
        <f aca="false">IF(ISNUMBER(SEARCH(Dictionary!$A$10,Data!$H76)),1,0)</f>
        <v>0</v>
      </c>
      <c r="H76" s="15" t="n">
        <f aca="false">IF(ISNUMBER(SEARCH(Dictionary!$A$11,Data!$H76)),1,0)</f>
        <v>0</v>
      </c>
      <c r="I76" s="15" t="n">
        <f aca="false">IF(ISNUMBER(SEARCH(Dictionary!$A$12,Data!$H76)),1,0)</f>
        <v>1</v>
      </c>
      <c r="J76" s="15" t="n">
        <f aca="false">IF(ISNUMBER(SEARCH(Dictionary!$A$13,Data!$H76)),1,0)</f>
        <v>0</v>
      </c>
      <c r="K76" s="15" t="n">
        <f aca="false">IF(ISNUMBER(SEARCH(Dictionary!$A$14,Data!$H76)),1,0)</f>
        <v>0</v>
      </c>
      <c r="L76" s="15" t="n">
        <f aca="false">IF(ISNUMBER(SEARCH(Dictionary!$A$15,Data!$H76)),1,0)</f>
        <v>0</v>
      </c>
      <c r="M76" s="15" t="n">
        <f aca="false">IF(ISNUMBER(SEARCH(Dictionary!$A$16,Data!$H76)),1,0)</f>
        <v>1</v>
      </c>
      <c r="N76" s="15" t="n">
        <f aca="false">IF(SUMPRODUCT((Dictionary!$C$5:$C$96=Dictionary!$A$5)*(Dictionary!$D$5:$D$96&lt;&gt;"")*ISNUMBER(SEARCH(Dictionary!$D$5:$D$96,Data!$I76)))&gt;0,1,0)</f>
        <v>0</v>
      </c>
      <c r="O76" s="15" t="n">
        <f aca="false">IF(SUMPRODUCT((Dictionary!$C$5:$C$96=Dictionary!$A$6)*(Dictionary!$D$5:$D$96&lt;&gt;"")*ISNUMBER(SEARCH(Dictionary!$D$5:$D$96,Data!$I76)))&gt;0,1,0)</f>
        <v>0</v>
      </c>
      <c r="P76" s="15" t="n">
        <f aca="false">IF(SUMPRODUCT((Dictionary!$C$5:$C$96=Dictionary!$A$7)*(Dictionary!$D$5:$D$96&lt;&gt;"")*ISNUMBER(SEARCH(Dictionary!$D$5:$D$96,Data!$I76)))&gt;0,1,0)</f>
        <v>0</v>
      </c>
      <c r="Q76" s="15" t="n">
        <f aca="false">IF(SUMPRODUCT((Dictionary!$C$5:$C$96=Dictionary!$A$8)*(Dictionary!$D$5:$D$96&lt;&gt;"")*ISNUMBER(SEARCH(Dictionary!$D$5:$D$96,Data!$I76)))&gt;0,1,0)</f>
        <v>0</v>
      </c>
      <c r="R76" s="15" t="n">
        <f aca="false">IF(SUMPRODUCT((Dictionary!$C$5:$C$96=Dictionary!$A$9)*(Dictionary!$D$5:$D$96&lt;&gt;"")*ISNUMBER(SEARCH(Dictionary!$D$5:$D$96,Data!$I76)))&gt;0,1,0)</f>
        <v>0</v>
      </c>
      <c r="S76" s="15" t="n">
        <f aca="false">IF(SUMPRODUCT((Dictionary!$C$5:$C$96=Dictionary!$A$10)*(Dictionary!$D$5:$D$96&lt;&gt;"")*ISNUMBER(SEARCH(Dictionary!$D$5:$D$96,Data!$I76)))&gt;0,1,0)</f>
        <v>0</v>
      </c>
      <c r="T76" s="15" t="n">
        <f aca="false">IF(SUMPRODUCT((Dictionary!$C$5:$C$96=Dictionary!$A$11)*(Dictionary!$D$5:$D$96&lt;&gt;"")*ISNUMBER(SEARCH(Dictionary!$D$5:$D$96,Data!$I76)))&gt;0,1,0)</f>
        <v>0</v>
      </c>
      <c r="U76" s="15" t="n">
        <f aca="false">IF(SUMPRODUCT((Dictionary!$C$5:$C$96=Dictionary!$A$12)*(Dictionary!$D$5:$D$96&lt;&gt;"")*ISNUMBER(SEARCH(Dictionary!$D$5:$D$96,Data!$I76)))&gt;0,1,0)</f>
        <v>0</v>
      </c>
      <c r="V76" s="15" t="n">
        <f aca="false">IF(SUMPRODUCT((Dictionary!$C$5:$C$96=Dictionary!$A$13)*(Dictionary!$D$5:$D$96&lt;&gt;"")*ISNUMBER(SEARCH(Dictionary!$D$5:$D$96,Data!$I76)))&gt;0,1,0)</f>
        <v>0</v>
      </c>
      <c r="W76" s="15" t="n">
        <f aca="false">IF(SUMPRODUCT((Dictionary!$C$5:$C$96=Dictionary!$A$14)*(Dictionary!$D$5:$D$96&lt;&gt;"")*ISNUMBER(SEARCH(Dictionary!$D$5:$D$96,Data!$I76)))&gt;0,1,0)</f>
        <v>0</v>
      </c>
      <c r="X76" s="15" t="n">
        <f aca="false">IF(SUMPRODUCT((Dictionary!$C$5:$C$96=Dictionary!$A$15)*(Dictionary!$D$5:$D$96&lt;&gt;"")*ISNUMBER(SEARCH(Dictionary!$D$5:$D$96,Data!$I76)))&gt;0,1,0)</f>
        <v>0</v>
      </c>
      <c r="Y76" s="15" t="n">
        <f aca="false">IF(SUMPRODUCT((Dictionary!$C$5:$C$96=Dictionary!$A$16)*(Dictionary!$D$5:$D$96&lt;&gt;"")*ISNUMBER(SEARCH(Dictionary!$D$5:$D$96,Data!$I76)))&gt;0,1,0)</f>
        <v>0</v>
      </c>
      <c r="Z76" s="15" t="n">
        <f aca="false">IF(ISNUMBER(SEARCH("Other",Data!$H76)),1,0)</f>
        <v>0</v>
      </c>
      <c r="AA76" s="15" t="n">
        <f aca="false">IF(Data!$I76&lt;&gt;"",1,0)</f>
        <v>0</v>
      </c>
      <c r="AB76" s="15" t="n">
        <f aca="false">SUM(B76:M76)</f>
        <v>4</v>
      </c>
      <c r="AC76" s="15" t="n">
        <f aca="false">SUMPRODUCT(--((B76:M76+N76:Y76)&gt;0))</f>
        <v>4</v>
      </c>
      <c r="AD76" s="15" t="n">
        <f aca="false">AC76-AB76</f>
        <v>0</v>
      </c>
      <c r="AE76" s="15" t="n">
        <f aca="false">IF(AND(Z76=1,AA76=1),1,0)</f>
        <v>0</v>
      </c>
      <c r="AF76" s="15" t="n">
        <f aca="false">AC76+AE76</f>
        <v>4</v>
      </c>
      <c r="AG76" s="15" t="n">
        <f aca="false">AB76+AE76</f>
        <v>4</v>
      </c>
      <c r="AH76" s="15" t="n">
        <f aca="false">IF(AND(Data!$H76&lt;&gt;"",Data!$I76&lt;&gt;""),1,0)</f>
        <v>0</v>
      </c>
      <c r="AI76" s="15" t="str">
        <f aca="false">IF(AH76=1,SUMPRODUCT(N76:Y76*B76:M76),"")</f>
        <v/>
      </c>
      <c r="AJ76" s="15" t="str">
        <f aca="false">IF(AH76=1,SUMPRODUCT(--(N76:Y76&gt;B76:M76)),"")</f>
        <v/>
      </c>
      <c r="AK76" s="15" t="str">
        <f aca="false">IF(AH76=1,AB76,"")</f>
        <v/>
      </c>
    </row>
    <row r="77" customFormat="false" ht="15" hidden="false" customHeight="true" outlineLevel="0" collapsed="false">
      <c r="A77" s="15" t="str">
        <f aca="false">Data!$A77</f>
        <v>OpenCitations</v>
      </c>
      <c r="B77" s="15" t="n">
        <f aca="false">IF(ISNUMBER(SEARCH(Dictionary!$A$5,Data!$H77)),1,0)</f>
        <v>1</v>
      </c>
      <c r="C77" s="15" t="n">
        <f aca="false">IF(ISNUMBER(SEARCH(Dictionary!$A$6,Data!$H77)),1,0)</f>
        <v>1</v>
      </c>
      <c r="D77" s="15" t="n">
        <f aca="false">IF(ISNUMBER(SEARCH(Dictionary!$A$7,Data!$H77)),1,0)</f>
        <v>0</v>
      </c>
      <c r="E77" s="15" t="n">
        <f aca="false">IF(ISNUMBER(SEARCH(Dictionary!$A$8,Data!$H77)),1,0)</f>
        <v>1</v>
      </c>
      <c r="F77" s="15" t="n">
        <f aca="false">IF(ISNUMBER(SEARCH(Dictionary!$A$9,Data!$H77)),1,0)</f>
        <v>0</v>
      </c>
      <c r="G77" s="15" t="n">
        <f aca="false">IF(ISNUMBER(SEARCH(Dictionary!$A$10,Data!$H77)),1,0)</f>
        <v>1</v>
      </c>
      <c r="H77" s="15" t="n">
        <f aca="false">IF(ISNUMBER(SEARCH(Dictionary!$A$11,Data!$H77)),1,0)</f>
        <v>0</v>
      </c>
      <c r="I77" s="15" t="n">
        <f aca="false">IF(ISNUMBER(SEARCH(Dictionary!$A$12,Data!$H77)),1,0)</f>
        <v>1</v>
      </c>
      <c r="J77" s="15" t="n">
        <f aca="false">IF(ISNUMBER(SEARCH(Dictionary!$A$13,Data!$H77)),1,0)</f>
        <v>1</v>
      </c>
      <c r="K77" s="15" t="n">
        <f aca="false">IF(ISNUMBER(SEARCH(Dictionary!$A$14,Data!$H77)),1,0)</f>
        <v>0</v>
      </c>
      <c r="L77" s="15" t="n">
        <f aca="false">IF(ISNUMBER(SEARCH(Dictionary!$A$15,Data!$H77)),1,0)</f>
        <v>0</v>
      </c>
      <c r="M77" s="15" t="n">
        <f aca="false">IF(ISNUMBER(SEARCH(Dictionary!$A$16,Data!$H77)),1,0)</f>
        <v>1</v>
      </c>
      <c r="N77" s="15" t="n">
        <f aca="false">IF(SUMPRODUCT((Dictionary!$C$5:$C$96=Dictionary!$A$5)*(Dictionary!$D$5:$D$96&lt;&gt;"")*ISNUMBER(SEARCH(Dictionary!$D$5:$D$96,Data!$I77)))&gt;0,1,0)</f>
        <v>0</v>
      </c>
      <c r="O77" s="15" t="n">
        <f aca="false">IF(SUMPRODUCT((Dictionary!$C$5:$C$96=Dictionary!$A$6)*(Dictionary!$D$5:$D$96&lt;&gt;"")*ISNUMBER(SEARCH(Dictionary!$D$5:$D$96,Data!$I77)))&gt;0,1,0)</f>
        <v>0</v>
      </c>
      <c r="P77" s="15" t="n">
        <f aca="false">IF(SUMPRODUCT((Dictionary!$C$5:$C$96=Dictionary!$A$7)*(Dictionary!$D$5:$D$96&lt;&gt;"")*ISNUMBER(SEARCH(Dictionary!$D$5:$D$96,Data!$I77)))&gt;0,1,0)</f>
        <v>0</v>
      </c>
      <c r="Q77" s="15" t="n">
        <f aca="false">IF(SUMPRODUCT((Dictionary!$C$5:$C$96=Dictionary!$A$8)*(Dictionary!$D$5:$D$96&lt;&gt;"")*ISNUMBER(SEARCH(Dictionary!$D$5:$D$96,Data!$I77)))&gt;0,1,0)</f>
        <v>0</v>
      </c>
      <c r="R77" s="15" t="n">
        <f aca="false">IF(SUMPRODUCT((Dictionary!$C$5:$C$96=Dictionary!$A$9)*(Dictionary!$D$5:$D$96&lt;&gt;"")*ISNUMBER(SEARCH(Dictionary!$D$5:$D$96,Data!$I77)))&gt;0,1,0)</f>
        <v>0</v>
      </c>
      <c r="S77" s="15" t="n">
        <f aca="false">IF(SUMPRODUCT((Dictionary!$C$5:$C$96=Dictionary!$A$10)*(Dictionary!$D$5:$D$96&lt;&gt;"")*ISNUMBER(SEARCH(Dictionary!$D$5:$D$96,Data!$I77)))&gt;0,1,0)</f>
        <v>0</v>
      </c>
      <c r="T77" s="15" t="n">
        <f aca="false">IF(SUMPRODUCT((Dictionary!$C$5:$C$96=Dictionary!$A$11)*(Dictionary!$D$5:$D$96&lt;&gt;"")*ISNUMBER(SEARCH(Dictionary!$D$5:$D$96,Data!$I77)))&gt;0,1,0)</f>
        <v>0</v>
      </c>
      <c r="U77" s="15" t="n">
        <f aca="false">IF(SUMPRODUCT((Dictionary!$C$5:$C$96=Dictionary!$A$12)*(Dictionary!$D$5:$D$96&lt;&gt;"")*ISNUMBER(SEARCH(Dictionary!$D$5:$D$96,Data!$I77)))&gt;0,1,0)</f>
        <v>0</v>
      </c>
      <c r="V77" s="15" t="n">
        <f aca="false">IF(SUMPRODUCT((Dictionary!$C$5:$C$96=Dictionary!$A$13)*(Dictionary!$D$5:$D$96&lt;&gt;"")*ISNUMBER(SEARCH(Dictionary!$D$5:$D$96,Data!$I77)))&gt;0,1,0)</f>
        <v>0</v>
      </c>
      <c r="W77" s="15" t="n">
        <f aca="false">IF(SUMPRODUCT((Dictionary!$C$5:$C$96=Dictionary!$A$14)*(Dictionary!$D$5:$D$96&lt;&gt;"")*ISNUMBER(SEARCH(Dictionary!$D$5:$D$96,Data!$I77)))&gt;0,1,0)</f>
        <v>0</v>
      </c>
      <c r="X77" s="15" t="n">
        <f aca="false">IF(SUMPRODUCT((Dictionary!$C$5:$C$96=Dictionary!$A$15)*(Dictionary!$D$5:$D$96&lt;&gt;"")*ISNUMBER(SEARCH(Dictionary!$D$5:$D$96,Data!$I77)))&gt;0,1,0)</f>
        <v>0</v>
      </c>
      <c r="Y77" s="15" t="n">
        <f aca="false">IF(SUMPRODUCT((Dictionary!$C$5:$C$96=Dictionary!$A$16)*(Dictionary!$D$5:$D$96&lt;&gt;"")*ISNUMBER(SEARCH(Dictionary!$D$5:$D$96,Data!$I77)))&gt;0,1,0)</f>
        <v>0</v>
      </c>
      <c r="Z77" s="15" t="n">
        <f aca="false">IF(ISNUMBER(SEARCH("Other",Data!$H77)),1,0)</f>
        <v>0</v>
      </c>
      <c r="AA77" s="15" t="n">
        <f aca="false">IF(Data!$I77&lt;&gt;"",1,0)</f>
        <v>0</v>
      </c>
      <c r="AB77" s="15" t="n">
        <f aca="false">SUM(B77:M77)</f>
        <v>7</v>
      </c>
      <c r="AC77" s="15" t="n">
        <f aca="false">SUMPRODUCT(--((B77:M77+N77:Y77)&gt;0))</f>
        <v>7</v>
      </c>
      <c r="AD77" s="15" t="n">
        <f aca="false">AC77-AB77</f>
        <v>0</v>
      </c>
      <c r="AE77" s="15" t="n">
        <f aca="false">IF(AND(Z77=1,AA77=1),1,0)</f>
        <v>0</v>
      </c>
      <c r="AF77" s="15" t="n">
        <f aca="false">AC77+AE77</f>
        <v>7</v>
      </c>
      <c r="AG77" s="15" t="n">
        <f aca="false">AB77+AE77</f>
        <v>7</v>
      </c>
      <c r="AH77" s="15" t="n">
        <f aca="false">IF(AND(Data!$H77&lt;&gt;"",Data!$I77&lt;&gt;""),1,0)</f>
        <v>0</v>
      </c>
      <c r="AI77" s="15" t="str">
        <f aca="false">IF(AH77=1,SUMPRODUCT(N77:Y77*B77:M77),"")</f>
        <v/>
      </c>
      <c r="AJ77" s="15" t="str">
        <f aca="false">IF(AH77=1,SUMPRODUCT(--(N77:Y77&gt;B77:M77)),"")</f>
        <v/>
      </c>
      <c r="AK77" s="15" t="str">
        <f aca="false">IF(AH77=1,AB77,"")</f>
        <v/>
      </c>
    </row>
    <row r="78" customFormat="false" ht="15" hidden="false" customHeight="true" outlineLevel="0" collapsed="false">
      <c r="A78" s="15" t="str">
        <f aca="false">Data!$A78</f>
        <v>openCost</v>
      </c>
      <c r="B78" s="15" t="n">
        <f aca="false">IF(ISNUMBER(SEARCH(Dictionary!$A$5,Data!$H78)),1,0)</f>
        <v>0</v>
      </c>
      <c r="C78" s="15" t="n">
        <f aca="false">IF(ISNUMBER(SEARCH(Dictionary!$A$6,Data!$H78)),1,0)</f>
        <v>1</v>
      </c>
      <c r="D78" s="15" t="n">
        <f aca="false">IF(ISNUMBER(SEARCH(Dictionary!$A$7,Data!$H78)),1,0)</f>
        <v>1</v>
      </c>
      <c r="E78" s="15" t="n">
        <f aca="false">IF(ISNUMBER(SEARCH(Dictionary!$A$8,Data!$H78)),1,0)</f>
        <v>1</v>
      </c>
      <c r="F78" s="15" t="n">
        <f aca="false">IF(ISNUMBER(SEARCH(Dictionary!$A$9,Data!$H78)),1,0)</f>
        <v>0</v>
      </c>
      <c r="G78" s="15" t="n">
        <f aca="false">IF(ISNUMBER(SEARCH(Dictionary!$A$10,Data!$H78)),1,0)</f>
        <v>0</v>
      </c>
      <c r="H78" s="15" t="n">
        <f aca="false">IF(ISNUMBER(SEARCH(Dictionary!$A$11,Data!$H78)),1,0)</f>
        <v>1</v>
      </c>
      <c r="I78" s="15" t="n">
        <f aca="false">IF(ISNUMBER(SEARCH(Dictionary!$A$12,Data!$H78)),1,0)</f>
        <v>0</v>
      </c>
      <c r="J78" s="15" t="n">
        <f aca="false">IF(ISNUMBER(SEARCH(Dictionary!$A$13,Data!$H78)),1,0)</f>
        <v>0</v>
      </c>
      <c r="K78" s="15" t="n">
        <f aca="false">IF(ISNUMBER(SEARCH(Dictionary!$A$14,Data!$H78)),1,0)</f>
        <v>0</v>
      </c>
      <c r="L78" s="15" t="n">
        <f aca="false">IF(ISNUMBER(SEARCH(Dictionary!$A$15,Data!$H78)),1,0)</f>
        <v>0</v>
      </c>
      <c r="M78" s="15" t="n">
        <f aca="false">IF(ISNUMBER(SEARCH(Dictionary!$A$16,Data!$H78)),1,0)</f>
        <v>1</v>
      </c>
      <c r="N78" s="15" t="n">
        <f aca="false">IF(SUMPRODUCT((Dictionary!$C$5:$C$96=Dictionary!$A$5)*(Dictionary!$D$5:$D$96&lt;&gt;"")*ISNUMBER(SEARCH(Dictionary!$D$5:$D$96,Data!$I78)))&gt;0,1,0)</f>
        <v>0</v>
      </c>
      <c r="O78" s="15" t="n">
        <f aca="false">IF(SUMPRODUCT((Dictionary!$C$5:$C$96=Dictionary!$A$6)*(Dictionary!$D$5:$D$96&lt;&gt;"")*ISNUMBER(SEARCH(Dictionary!$D$5:$D$96,Data!$I78)))&gt;0,1,0)</f>
        <v>0</v>
      </c>
      <c r="P78" s="15" t="n">
        <f aca="false">IF(SUMPRODUCT((Dictionary!$C$5:$C$96=Dictionary!$A$7)*(Dictionary!$D$5:$D$96&lt;&gt;"")*ISNUMBER(SEARCH(Dictionary!$D$5:$D$96,Data!$I78)))&gt;0,1,0)</f>
        <v>0</v>
      </c>
      <c r="Q78" s="15" t="n">
        <f aca="false">IF(SUMPRODUCT((Dictionary!$C$5:$C$96=Dictionary!$A$8)*(Dictionary!$D$5:$D$96&lt;&gt;"")*ISNUMBER(SEARCH(Dictionary!$D$5:$D$96,Data!$I78)))&gt;0,1,0)</f>
        <v>0</v>
      </c>
      <c r="R78" s="15" t="n">
        <f aca="false">IF(SUMPRODUCT((Dictionary!$C$5:$C$96=Dictionary!$A$9)*(Dictionary!$D$5:$D$96&lt;&gt;"")*ISNUMBER(SEARCH(Dictionary!$D$5:$D$96,Data!$I78)))&gt;0,1,0)</f>
        <v>0</v>
      </c>
      <c r="S78" s="15" t="n">
        <f aca="false">IF(SUMPRODUCT((Dictionary!$C$5:$C$96=Dictionary!$A$10)*(Dictionary!$D$5:$D$96&lt;&gt;"")*ISNUMBER(SEARCH(Dictionary!$D$5:$D$96,Data!$I78)))&gt;0,1,0)</f>
        <v>0</v>
      </c>
      <c r="T78" s="15" t="n">
        <f aca="false">IF(SUMPRODUCT((Dictionary!$C$5:$C$96=Dictionary!$A$11)*(Dictionary!$D$5:$D$96&lt;&gt;"")*ISNUMBER(SEARCH(Dictionary!$D$5:$D$96,Data!$I78)))&gt;0,1,0)</f>
        <v>0</v>
      </c>
      <c r="U78" s="15" t="n">
        <f aca="false">IF(SUMPRODUCT((Dictionary!$C$5:$C$96=Dictionary!$A$12)*(Dictionary!$D$5:$D$96&lt;&gt;"")*ISNUMBER(SEARCH(Dictionary!$D$5:$D$96,Data!$I78)))&gt;0,1,0)</f>
        <v>0</v>
      </c>
      <c r="V78" s="15" t="n">
        <f aca="false">IF(SUMPRODUCT((Dictionary!$C$5:$C$96=Dictionary!$A$13)*(Dictionary!$D$5:$D$96&lt;&gt;"")*ISNUMBER(SEARCH(Dictionary!$D$5:$D$96,Data!$I78)))&gt;0,1,0)</f>
        <v>0</v>
      </c>
      <c r="W78" s="15" t="n">
        <f aca="false">IF(SUMPRODUCT((Dictionary!$C$5:$C$96=Dictionary!$A$14)*(Dictionary!$D$5:$D$96&lt;&gt;"")*ISNUMBER(SEARCH(Dictionary!$D$5:$D$96,Data!$I78)))&gt;0,1,0)</f>
        <v>0</v>
      </c>
      <c r="X78" s="15" t="n">
        <f aca="false">IF(SUMPRODUCT((Dictionary!$C$5:$C$96=Dictionary!$A$15)*(Dictionary!$D$5:$D$96&lt;&gt;"")*ISNUMBER(SEARCH(Dictionary!$D$5:$D$96,Data!$I78)))&gt;0,1,0)</f>
        <v>0</v>
      </c>
      <c r="Y78" s="15" t="n">
        <f aca="false">IF(SUMPRODUCT((Dictionary!$C$5:$C$96=Dictionary!$A$16)*(Dictionary!$D$5:$D$96&lt;&gt;"")*ISNUMBER(SEARCH(Dictionary!$D$5:$D$96,Data!$I78)))&gt;0,1,0)</f>
        <v>0</v>
      </c>
      <c r="Z78" s="15" t="n">
        <f aca="false">IF(ISNUMBER(SEARCH("Other",Data!$H78)),1,0)</f>
        <v>0</v>
      </c>
      <c r="AA78" s="15" t="n">
        <f aca="false">IF(Data!$I78&lt;&gt;"",1,0)</f>
        <v>0</v>
      </c>
      <c r="AB78" s="15" t="n">
        <f aca="false">SUM(B78:M78)</f>
        <v>5</v>
      </c>
      <c r="AC78" s="15" t="n">
        <f aca="false">SUMPRODUCT(--((B78:M78+N78:Y78)&gt;0))</f>
        <v>5</v>
      </c>
      <c r="AD78" s="15" t="n">
        <f aca="false">AC78-AB78</f>
        <v>0</v>
      </c>
      <c r="AE78" s="15" t="n">
        <f aca="false">IF(AND(Z78=1,AA78=1),1,0)</f>
        <v>0</v>
      </c>
      <c r="AF78" s="15" t="n">
        <f aca="false">AC78+AE78</f>
        <v>5</v>
      </c>
      <c r="AG78" s="15" t="n">
        <f aca="false">AB78+AE78</f>
        <v>5</v>
      </c>
      <c r="AH78" s="15" t="n">
        <f aca="false">IF(AND(Data!$H78&lt;&gt;"",Data!$I78&lt;&gt;""),1,0)</f>
        <v>0</v>
      </c>
      <c r="AI78" s="15" t="str">
        <f aca="false">IF(AH78=1,SUMPRODUCT(N78:Y78*B78:M78),"")</f>
        <v/>
      </c>
      <c r="AJ78" s="15" t="str">
        <f aca="false">IF(AH78=1,SUMPRODUCT(--(N78:Y78&gt;B78:M78)),"")</f>
        <v/>
      </c>
      <c r="AK78" s="15" t="str">
        <f aca="false">IF(AH78=1,AB78,"")</f>
        <v/>
      </c>
    </row>
    <row r="79" customFormat="false" ht="15" hidden="false" customHeight="true" outlineLevel="0" collapsed="false">
      <c r="A79" s="15" t="str">
        <f aca="false">Data!$A79</f>
        <v>Open Data Editor</v>
      </c>
      <c r="B79" s="15" t="n">
        <f aca="false">IF(ISNUMBER(SEARCH(Dictionary!$A$5,Data!$H79)),1,0)</f>
        <v>0</v>
      </c>
      <c r="C79" s="15" t="n">
        <f aca="false">IF(ISNUMBER(SEARCH(Dictionary!$A$6,Data!$H79)),1,0)</f>
        <v>1</v>
      </c>
      <c r="D79" s="15" t="n">
        <f aca="false">IF(ISNUMBER(SEARCH(Dictionary!$A$7,Data!$H79)),1,0)</f>
        <v>1</v>
      </c>
      <c r="E79" s="15" t="n">
        <f aca="false">IF(ISNUMBER(SEARCH(Dictionary!$A$8,Data!$H79)),1,0)</f>
        <v>0</v>
      </c>
      <c r="F79" s="15" t="n">
        <f aca="false">IF(ISNUMBER(SEARCH(Dictionary!$A$9,Data!$H79)),1,0)</f>
        <v>0</v>
      </c>
      <c r="G79" s="15" t="n">
        <f aca="false">IF(ISNUMBER(SEARCH(Dictionary!$A$10,Data!$H79)),1,0)</f>
        <v>0</v>
      </c>
      <c r="H79" s="15" t="n">
        <f aca="false">IF(ISNUMBER(SEARCH(Dictionary!$A$11,Data!$H79)),1,0)</f>
        <v>0</v>
      </c>
      <c r="I79" s="15" t="n">
        <f aca="false">IF(ISNUMBER(SEARCH(Dictionary!$A$12,Data!$H79)),1,0)</f>
        <v>1</v>
      </c>
      <c r="J79" s="15" t="n">
        <f aca="false">IF(ISNUMBER(SEARCH(Dictionary!$A$13,Data!$H79)),1,0)</f>
        <v>0</v>
      </c>
      <c r="K79" s="15" t="n">
        <f aca="false">IF(ISNUMBER(SEARCH(Dictionary!$A$14,Data!$H79)),1,0)</f>
        <v>0</v>
      </c>
      <c r="L79" s="15" t="n">
        <f aca="false">IF(ISNUMBER(SEARCH(Dictionary!$A$15,Data!$H79)),1,0)</f>
        <v>0</v>
      </c>
      <c r="M79" s="15" t="n">
        <f aca="false">IF(ISNUMBER(SEARCH(Dictionary!$A$16,Data!$H79)),1,0)</f>
        <v>1</v>
      </c>
      <c r="N79" s="15" t="n">
        <f aca="false">IF(SUMPRODUCT((Dictionary!$C$5:$C$96=Dictionary!$A$5)*(Dictionary!$D$5:$D$96&lt;&gt;"")*ISNUMBER(SEARCH(Dictionary!$D$5:$D$96,Data!$I79)))&gt;0,1,0)</f>
        <v>0</v>
      </c>
      <c r="O79" s="15" t="n">
        <f aca="false">IF(SUMPRODUCT((Dictionary!$C$5:$C$96=Dictionary!$A$6)*(Dictionary!$D$5:$D$96&lt;&gt;"")*ISNUMBER(SEARCH(Dictionary!$D$5:$D$96,Data!$I79)))&gt;0,1,0)</f>
        <v>0</v>
      </c>
      <c r="P79" s="15" t="n">
        <f aca="false">IF(SUMPRODUCT((Dictionary!$C$5:$C$96=Dictionary!$A$7)*(Dictionary!$D$5:$D$96&lt;&gt;"")*ISNUMBER(SEARCH(Dictionary!$D$5:$D$96,Data!$I79)))&gt;0,1,0)</f>
        <v>0</v>
      </c>
      <c r="Q79" s="15" t="n">
        <f aca="false">IF(SUMPRODUCT((Dictionary!$C$5:$C$96=Dictionary!$A$8)*(Dictionary!$D$5:$D$96&lt;&gt;"")*ISNUMBER(SEARCH(Dictionary!$D$5:$D$96,Data!$I79)))&gt;0,1,0)</f>
        <v>0</v>
      </c>
      <c r="R79" s="15" t="n">
        <f aca="false">IF(SUMPRODUCT((Dictionary!$C$5:$C$96=Dictionary!$A$9)*(Dictionary!$D$5:$D$96&lt;&gt;"")*ISNUMBER(SEARCH(Dictionary!$D$5:$D$96,Data!$I79)))&gt;0,1,0)</f>
        <v>0</v>
      </c>
      <c r="S79" s="15" t="n">
        <f aca="false">IF(SUMPRODUCT((Dictionary!$C$5:$C$96=Dictionary!$A$10)*(Dictionary!$D$5:$D$96&lt;&gt;"")*ISNUMBER(SEARCH(Dictionary!$D$5:$D$96,Data!$I79)))&gt;0,1,0)</f>
        <v>0</v>
      </c>
      <c r="T79" s="15" t="n">
        <f aca="false">IF(SUMPRODUCT((Dictionary!$C$5:$C$96=Dictionary!$A$11)*(Dictionary!$D$5:$D$96&lt;&gt;"")*ISNUMBER(SEARCH(Dictionary!$D$5:$D$96,Data!$I79)))&gt;0,1,0)</f>
        <v>0</v>
      </c>
      <c r="U79" s="15" t="n">
        <f aca="false">IF(SUMPRODUCT((Dictionary!$C$5:$C$96=Dictionary!$A$12)*(Dictionary!$D$5:$D$96&lt;&gt;"")*ISNUMBER(SEARCH(Dictionary!$D$5:$D$96,Data!$I79)))&gt;0,1,0)</f>
        <v>0</v>
      </c>
      <c r="V79" s="15" t="n">
        <f aca="false">IF(SUMPRODUCT((Dictionary!$C$5:$C$96=Dictionary!$A$13)*(Dictionary!$D$5:$D$96&lt;&gt;"")*ISNUMBER(SEARCH(Dictionary!$D$5:$D$96,Data!$I79)))&gt;0,1,0)</f>
        <v>0</v>
      </c>
      <c r="W79" s="15" t="n">
        <f aca="false">IF(SUMPRODUCT((Dictionary!$C$5:$C$96=Dictionary!$A$14)*(Dictionary!$D$5:$D$96&lt;&gt;"")*ISNUMBER(SEARCH(Dictionary!$D$5:$D$96,Data!$I79)))&gt;0,1,0)</f>
        <v>0</v>
      </c>
      <c r="X79" s="15" t="n">
        <f aca="false">IF(SUMPRODUCT((Dictionary!$C$5:$C$96=Dictionary!$A$15)*(Dictionary!$D$5:$D$96&lt;&gt;"")*ISNUMBER(SEARCH(Dictionary!$D$5:$D$96,Data!$I79)))&gt;0,1,0)</f>
        <v>0</v>
      </c>
      <c r="Y79" s="15" t="n">
        <f aca="false">IF(SUMPRODUCT((Dictionary!$C$5:$C$96=Dictionary!$A$16)*(Dictionary!$D$5:$D$96&lt;&gt;"")*ISNUMBER(SEARCH(Dictionary!$D$5:$D$96,Data!$I79)))&gt;0,1,0)</f>
        <v>0</v>
      </c>
      <c r="Z79" s="15" t="n">
        <f aca="false">IF(ISNUMBER(SEARCH("Other",Data!$H79)),1,0)</f>
        <v>1</v>
      </c>
      <c r="AA79" s="15" t="n">
        <f aca="false">IF(Data!$I79&lt;&gt;"",1,0)</f>
        <v>0</v>
      </c>
      <c r="AB79" s="15" t="n">
        <f aca="false">SUM(B79:M79)</f>
        <v>4</v>
      </c>
      <c r="AC79" s="15" t="n">
        <f aca="false">SUMPRODUCT(--((B79:M79+N79:Y79)&gt;0))</f>
        <v>4</v>
      </c>
      <c r="AD79" s="15" t="n">
        <f aca="false">AC79-AB79</f>
        <v>0</v>
      </c>
      <c r="AE79" s="15" t="n">
        <f aca="false">IF(AND(Z79=1,AA79=1),1,0)</f>
        <v>0</v>
      </c>
      <c r="AF79" s="15" t="n">
        <f aca="false">AC79+AE79</f>
        <v>4</v>
      </c>
      <c r="AG79" s="15" t="n">
        <f aca="false">AB79+AE79</f>
        <v>4</v>
      </c>
      <c r="AH79" s="15" t="n">
        <f aca="false">IF(AND(Data!$H79&lt;&gt;"",Data!$I79&lt;&gt;""),1,0)</f>
        <v>0</v>
      </c>
      <c r="AI79" s="15" t="str">
        <f aca="false">IF(AH79=1,SUMPRODUCT(N79:Y79*B79:M79),"")</f>
        <v/>
      </c>
      <c r="AJ79" s="15" t="str">
        <f aca="false">IF(AH79=1,SUMPRODUCT(--(N79:Y79&gt;B79:M79)),"")</f>
        <v/>
      </c>
      <c r="AK79" s="15" t="str">
        <f aca="false">IF(AH79=1,AB79,"")</f>
        <v/>
      </c>
    </row>
    <row r="80" customFormat="false" ht="15" hidden="false" customHeight="true" outlineLevel="0" collapsed="false">
      <c r="A80" s="15" t="str">
        <f aca="false">Data!$A80</f>
        <v>OpenEdition</v>
      </c>
      <c r="B80" s="15" t="n">
        <f aca="false">IF(ISNUMBER(SEARCH(Dictionary!$A$5,Data!$H80)),1,0)</f>
        <v>0</v>
      </c>
      <c r="C80" s="15" t="n">
        <f aca="false">IF(ISNUMBER(SEARCH(Dictionary!$A$6,Data!$H80)),1,0)</f>
        <v>0</v>
      </c>
      <c r="D80" s="15" t="n">
        <f aca="false">IF(ISNUMBER(SEARCH(Dictionary!$A$7,Data!$H80)),1,0)</f>
        <v>0</v>
      </c>
      <c r="E80" s="15" t="n">
        <f aca="false">IF(ISNUMBER(SEARCH(Dictionary!$A$8,Data!$H80)),1,0)</f>
        <v>0</v>
      </c>
      <c r="F80" s="15" t="n">
        <f aca="false">IF(ISNUMBER(SEARCH(Dictionary!$A$9,Data!$H80)),1,0)</f>
        <v>0</v>
      </c>
      <c r="G80" s="15" t="n">
        <f aca="false">IF(ISNUMBER(SEARCH(Dictionary!$A$10,Data!$H80)),1,0)</f>
        <v>0</v>
      </c>
      <c r="H80" s="15" t="n">
        <f aca="false">IF(ISNUMBER(SEARCH(Dictionary!$A$11,Data!$H80)),1,0)</f>
        <v>0</v>
      </c>
      <c r="I80" s="15" t="n">
        <f aca="false">IF(ISNUMBER(SEARCH(Dictionary!$A$12,Data!$H80)),1,0)</f>
        <v>0</v>
      </c>
      <c r="J80" s="15" t="n">
        <f aca="false">IF(ISNUMBER(SEARCH(Dictionary!$A$13,Data!$H80)),1,0)</f>
        <v>0</v>
      </c>
      <c r="K80" s="15" t="n">
        <f aca="false">IF(ISNUMBER(SEARCH(Dictionary!$A$14,Data!$H80)),1,0)</f>
        <v>0</v>
      </c>
      <c r="L80" s="15" t="n">
        <f aca="false">IF(ISNUMBER(SEARCH(Dictionary!$A$15,Data!$H80)),1,0)</f>
        <v>0</v>
      </c>
      <c r="M80" s="15" t="n">
        <f aca="false">IF(ISNUMBER(SEARCH(Dictionary!$A$16,Data!$H80)),1,0)</f>
        <v>0</v>
      </c>
      <c r="N80" s="15" t="n">
        <f aca="false">IF(SUMPRODUCT((Dictionary!$C$5:$C$96=Dictionary!$A$5)*(Dictionary!$D$5:$D$96&lt;&gt;"")*ISNUMBER(SEARCH(Dictionary!$D$5:$D$96,Data!$I80)))&gt;0,1,0)</f>
        <v>1</v>
      </c>
      <c r="O80" s="15" t="n">
        <f aca="false">IF(SUMPRODUCT((Dictionary!$C$5:$C$96=Dictionary!$A$6)*(Dictionary!$D$5:$D$96&lt;&gt;"")*ISNUMBER(SEARCH(Dictionary!$D$5:$D$96,Data!$I80)))&gt;0,1,0)</f>
        <v>0</v>
      </c>
      <c r="P80" s="15" t="n">
        <f aca="false">IF(SUMPRODUCT((Dictionary!$C$5:$C$96=Dictionary!$A$7)*(Dictionary!$D$5:$D$96&lt;&gt;"")*ISNUMBER(SEARCH(Dictionary!$D$5:$D$96,Data!$I80)))&gt;0,1,0)</f>
        <v>0</v>
      </c>
      <c r="Q80" s="15" t="n">
        <f aca="false">IF(SUMPRODUCT((Dictionary!$C$5:$C$96=Dictionary!$A$8)*(Dictionary!$D$5:$D$96&lt;&gt;"")*ISNUMBER(SEARCH(Dictionary!$D$5:$D$96,Data!$I80)))&gt;0,1,0)</f>
        <v>0</v>
      </c>
      <c r="R80" s="15" t="n">
        <f aca="false">IF(SUMPRODUCT((Dictionary!$C$5:$C$96=Dictionary!$A$9)*(Dictionary!$D$5:$D$96&lt;&gt;"")*ISNUMBER(SEARCH(Dictionary!$D$5:$D$96,Data!$I80)))&gt;0,1,0)</f>
        <v>0</v>
      </c>
      <c r="S80" s="15" t="n">
        <f aca="false">IF(SUMPRODUCT((Dictionary!$C$5:$C$96=Dictionary!$A$10)*(Dictionary!$D$5:$D$96&lt;&gt;"")*ISNUMBER(SEARCH(Dictionary!$D$5:$D$96,Data!$I80)))&gt;0,1,0)</f>
        <v>0</v>
      </c>
      <c r="T80" s="15" t="n">
        <f aca="false">IF(SUMPRODUCT((Dictionary!$C$5:$C$96=Dictionary!$A$11)*(Dictionary!$D$5:$D$96&lt;&gt;"")*ISNUMBER(SEARCH(Dictionary!$D$5:$D$96,Data!$I80)))&gt;0,1,0)</f>
        <v>0</v>
      </c>
      <c r="U80" s="15" t="n">
        <f aca="false">IF(SUMPRODUCT((Dictionary!$C$5:$C$96=Dictionary!$A$12)*(Dictionary!$D$5:$D$96&lt;&gt;"")*ISNUMBER(SEARCH(Dictionary!$D$5:$D$96,Data!$I80)))&gt;0,1,0)</f>
        <v>0</v>
      </c>
      <c r="V80" s="15" t="n">
        <f aca="false">IF(SUMPRODUCT((Dictionary!$C$5:$C$96=Dictionary!$A$13)*(Dictionary!$D$5:$D$96&lt;&gt;"")*ISNUMBER(SEARCH(Dictionary!$D$5:$D$96,Data!$I80)))&gt;0,1,0)</f>
        <v>0</v>
      </c>
      <c r="W80" s="15" t="n">
        <f aca="false">IF(SUMPRODUCT((Dictionary!$C$5:$C$96=Dictionary!$A$14)*(Dictionary!$D$5:$D$96&lt;&gt;"")*ISNUMBER(SEARCH(Dictionary!$D$5:$D$96,Data!$I80)))&gt;0,1,0)</f>
        <v>0</v>
      </c>
      <c r="X80" s="15" t="n">
        <f aca="false">IF(SUMPRODUCT((Dictionary!$C$5:$C$96=Dictionary!$A$15)*(Dictionary!$D$5:$D$96&lt;&gt;"")*ISNUMBER(SEARCH(Dictionary!$D$5:$D$96,Data!$I80)))&gt;0,1,0)</f>
        <v>0</v>
      </c>
      <c r="Y80" s="15" t="n">
        <f aca="false">IF(SUMPRODUCT((Dictionary!$C$5:$C$96=Dictionary!$A$16)*(Dictionary!$D$5:$D$96&lt;&gt;"")*ISNUMBER(SEARCH(Dictionary!$D$5:$D$96,Data!$I80)))&gt;0,1,0)</f>
        <v>1</v>
      </c>
      <c r="Z80" s="15" t="n">
        <f aca="false">IF(ISNUMBER(SEARCH("Other",Data!$H80)),1,0)</f>
        <v>0</v>
      </c>
      <c r="AA80" s="15" t="n">
        <f aca="false">IF(Data!$I80&lt;&gt;"",1,0)</f>
        <v>1</v>
      </c>
      <c r="AB80" s="15" t="n">
        <f aca="false">SUM(B80:M80)</f>
        <v>0</v>
      </c>
      <c r="AC80" s="15" t="n">
        <f aca="false">SUMPRODUCT(--((B80:M80+N80:Y80)&gt;0))</f>
        <v>2</v>
      </c>
      <c r="AD80" s="15" t="n">
        <f aca="false">AC80-AB80</f>
        <v>2</v>
      </c>
      <c r="AE80" s="15" t="n">
        <f aca="false">IF(AND(Z80=1,AA80=1),1,0)</f>
        <v>0</v>
      </c>
      <c r="AF80" s="15" t="n">
        <f aca="false">AC80+AE80</f>
        <v>2</v>
      </c>
      <c r="AG80" s="15" t="n">
        <f aca="false">AB80+AE80</f>
        <v>0</v>
      </c>
      <c r="AH80" s="15" t="n">
        <f aca="false">IF(AND(Data!$H80&lt;&gt;"",Data!$I80&lt;&gt;""),1,0)</f>
        <v>0</v>
      </c>
      <c r="AI80" s="15" t="str">
        <f aca="false">IF(AH80=1,SUMPRODUCT(N80:Y80*B80:M80),"")</f>
        <v/>
      </c>
      <c r="AJ80" s="15" t="str">
        <f aca="false">IF(AH80=1,SUMPRODUCT(--(N80:Y80&gt;B80:M80)),"")</f>
        <v/>
      </c>
      <c r="AK80" s="15" t="str">
        <f aca="false">IF(AH80=1,AB80,"")</f>
        <v/>
      </c>
    </row>
    <row r="81" customFormat="false" ht="15" hidden="false" customHeight="true" outlineLevel="0" collapsed="false">
      <c r="A81" s="15" t="str">
        <f aca="false">Data!$A81</f>
        <v>Open Journal Systems (OJS)</v>
      </c>
      <c r="B81" s="15" t="n">
        <f aca="false">IF(ISNUMBER(SEARCH(Dictionary!$A$5,Data!$H81)),1,0)</f>
        <v>0</v>
      </c>
      <c r="C81" s="15" t="n">
        <f aca="false">IF(ISNUMBER(SEARCH(Dictionary!$A$6,Data!$H81)),1,0)</f>
        <v>0</v>
      </c>
      <c r="D81" s="15" t="n">
        <f aca="false">IF(ISNUMBER(SEARCH(Dictionary!$A$7,Data!$H81)),1,0)</f>
        <v>0</v>
      </c>
      <c r="E81" s="15" t="n">
        <f aca="false">IF(ISNUMBER(SEARCH(Dictionary!$A$8,Data!$H81)),1,0)</f>
        <v>0</v>
      </c>
      <c r="F81" s="15" t="n">
        <f aca="false">IF(ISNUMBER(SEARCH(Dictionary!$A$9,Data!$H81)),1,0)</f>
        <v>0</v>
      </c>
      <c r="G81" s="15" t="n">
        <f aca="false">IF(ISNUMBER(SEARCH(Dictionary!$A$10,Data!$H81)),1,0)</f>
        <v>0</v>
      </c>
      <c r="H81" s="15" t="n">
        <f aca="false">IF(ISNUMBER(SEARCH(Dictionary!$A$11,Data!$H81)),1,0)</f>
        <v>0</v>
      </c>
      <c r="I81" s="15" t="n">
        <f aca="false">IF(ISNUMBER(SEARCH(Dictionary!$A$12,Data!$H81)),1,0)</f>
        <v>0</v>
      </c>
      <c r="J81" s="15" t="n">
        <f aca="false">IF(ISNUMBER(SEARCH(Dictionary!$A$13,Data!$H81)),1,0)</f>
        <v>0</v>
      </c>
      <c r="K81" s="15" t="n">
        <f aca="false">IF(ISNUMBER(SEARCH(Dictionary!$A$14,Data!$H81)),1,0)</f>
        <v>0</v>
      </c>
      <c r="L81" s="15" t="n">
        <f aca="false">IF(ISNUMBER(SEARCH(Dictionary!$A$15,Data!$H81)),1,0)</f>
        <v>0</v>
      </c>
      <c r="M81" s="15" t="n">
        <f aca="false">IF(ISNUMBER(SEARCH(Dictionary!$A$16,Data!$H81)),1,0)</f>
        <v>0</v>
      </c>
      <c r="N81" s="15" t="n">
        <f aca="false">IF(SUMPRODUCT((Dictionary!$C$5:$C$96=Dictionary!$A$5)*(Dictionary!$D$5:$D$96&lt;&gt;"")*ISNUMBER(SEARCH(Dictionary!$D$5:$D$96,Data!$I81)))&gt;0,1,0)</f>
        <v>0</v>
      </c>
      <c r="O81" s="15" t="n">
        <f aca="false">IF(SUMPRODUCT((Dictionary!$C$5:$C$96=Dictionary!$A$6)*(Dictionary!$D$5:$D$96&lt;&gt;"")*ISNUMBER(SEARCH(Dictionary!$D$5:$D$96,Data!$I81)))&gt;0,1,0)</f>
        <v>0</v>
      </c>
      <c r="P81" s="15" t="n">
        <f aca="false">IF(SUMPRODUCT((Dictionary!$C$5:$C$96=Dictionary!$A$7)*(Dictionary!$D$5:$D$96&lt;&gt;"")*ISNUMBER(SEARCH(Dictionary!$D$5:$D$96,Data!$I81)))&gt;0,1,0)</f>
        <v>0</v>
      </c>
      <c r="Q81" s="15" t="n">
        <f aca="false">IF(SUMPRODUCT((Dictionary!$C$5:$C$96=Dictionary!$A$8)*(Dictionary!$D$5:$D$96&lt;&gt;"")*ISNUMBER(SEARCH(Dictionary!$D$5:$D$96,Data!$I81)))&gt;0,1,0)</f>
        <v>0</v>
      </c>
      <c r="R81" s="15" t="n">
        <f aca="false">IF(SUMPRODUCT((Dictionary!$C$5:$C$96=Dictionary!$A$9)*(Dictionary!$D$5:$D$96&lt;&gt;"")*ISNUMBER(SEARCH(Dictionary!$D$5:$D$96,Data!$I81)))&gt;0,1,0)</f>
        <v>1</v>
      </c>
      <c r="S81" s="15" t="n">
        <f aca="false">IF(SUMPRODUCT((Dictionary!$C$5:$C$96=Dictionary!$A$10)*(Dictionary!$D$5:$D$96&lt;&gt;"")*ISNUMBER(SEARCH(Dictionary!$D$5:$D$96,Data!$I81)))&gt;0,1,0)</f>
        <v>1</v>
      </c>
      <c r="T81" s="15" t="n">
        <f aca="false">IF(SUMPRODUCT((Dictionary!$C$5:$C$96=Dictionary!$A$11)*(Dictionary!$D$5:$D$96&lt;&gt;"")*ISNUMBER(SEARCH(Dictionary!$D$5:$D$96,Data!$I81)))&gt;0,1,0)</f>
        <v>1</v>
      </c>
      <c r="U81" s="15" t="n">
        <f aca="false">IF(SUMPRODUCT((Dictionary!$C$5:$C$96=Dictionary!$A$12)*(Dictionary!$D$5:$D$96&lt;&gt;"")*ISNUMBER(SEARCH(Dictionary!$D$5:$D$96,Data!$I81)))&gt;0,1,0)</f>
        <v>0</v>
      </c>
      <c r="V81" s="15" t="n">
        <f aca="false">IF(SUMPRODUCT((Dictionary!$C$5:$C$96=Dictionary!$A$13)*(Dictionary!$D$5:$D$96&lt;&gt;"")*ISNUMBER(SEARCH(Dictionary!$D$5:$D$96,Data!$I81)))&gt;0,1,0)</f>
        <v>1</v>
      </c>
      <c r="W81" s="15" t="n">
        <f aca="false">IF(SUMPRODUCT((Dictionary!$C$5:$C$96=Dictionary!$A$14)*(Dictionary!$D$5:$D$96&lt;&gt;"")*ISNUMBER(SEARCH(Dictionary!$D$5:$D$96,Data!$I81)))&gt;0,1,0)</f>
        <v>0</v>
      </c>
      <c r="X81" s="15" t="n">
        <f aca="false">IF(SUMPRODUCT((Dictionary!$C$5:$C$96=Dictionary!$A$15)*(Dictionary!$D$5:$D$96&lt;&gt;"")*ISNUMBER(SEARCH(Dictionary!$D$5:$D$96,Data!$I81)))&gt;0,1,0)</f>
        <v>0</v>
      </c>
      <c r="Y81" s="15" t="n">
        <f aca="false">IF(SUMPRODUCT((Dictionary!$C$5:$C$96=Dictionary!$A$16)*(Dictionary!$D$5:$D$96&lt;&gt;"")*ISNUMBER(SEARCH(Dictionary!$D$5:$D$96,Data!$I81)))&gt;0,1,0)</f>
        <v>1</v>
      </c>
      <c r="Z81" s="15" t="n">
        <f aca="false">IF(ISNUMBER(SEARCH("Other",Data!$H81)),1,0)</f>
        <v>0</v>
      </c>
      <c r="AA81" s="15" t="n">
        <f aca="false">IF(Data!$I81&lt;&gt;"",1,0)</f>
        <v>1</v>
      </c>
      <c r="AB81" s="15" t="n">
        <f aca="false">SUM(B81:M81)</f>
        <v>0</v>
      </c>
      <c r="AC81" s="15" t="n">
        <f aca="false">SUMPRODUCT(--((B81:M81+N81:Y81)&gt;0))</f>
        <v>5</v>
      </c>
      <c r="AD81" s="15" t="n">
        <f aca="false">AC81-AB81</f>
        <v>5</v>
      </c>
      <c r="AE81" s="15" t="n">
        <f aca="false">IF(AND(Z81=1,AA81=1),1,0)</f>
        <v>0</v>
      </c>
      <c r="AF81" s="15" t="n">
        <f aca="false">AC81+AE81</f>
        <v>5</v>
      </c>
      <c r="AG81" s="15" t="n">
        <f aca="false">AB81+AE81</f>
        <v>0</v>
      </c>
      <c r="AH81" s="15" t="n">
        <f aca="false">IF(AND(Data!$H81&lt;&gt;"",Data!$I81&lt;&gt;""),1,0)</f>
        <v>0</v>
      </c>
      <c r="AI81" s="15" t="str">
        <f aca="false">IF(AH81=1,SUMPRODUCT(N81:Y81*B81:M81),"")</f>
        <v/>
      </c>
      <c r="AJ81" s="15" t="str">
        <f aca="false">IF(AH81=1,SUMPRODUCT(--(N81:Y81&gt;B81:M81)),"")</f>
        <v/>
      </c>
      <c r="AK81" s="15" t="str">
        <f aca="false">IF(AH81=1,AB81,"")</f>
        <v/>
      </c>
    </row>
    <row r="82" customFormat="false" ht="15" hidden="false" customHeight="true" outlineLevel="0" collapsed="false">
      <c r="A82" s="15" t="str">
        <f aca="false">Data!$A82</f>
        <v>Open Monograph Press (OMP)</v>
      </c>
      <c r="B82" s="15" t="n">
        <f aca="false">IF(ISNUMBER(SEARCH(Dictionary!$A$5,Data!$H82)),1,0)</f>
        <v>0</v>
      </c>
      <c r="C82" s="15" t="n">
        <f aca="false">IF(ISNUMBER(SEARCH(Dictionary!$A$6,Data!$H82)),1,0)</f>
        <v>0</v>
      </c>
      <c r="D82" s="15" t="n">
        <f aca="false">IF(ISNUMBER(SEARCH(Dictionary!$A$7,Data!$H82)),1,0)</f>
        <v>0</v>
      </c>
      <c r="E82" s="15" t="n">
        <f aca="false">IF(ISNUMBER(SEARCH(Dictionary!$A$8,Data!$H82)),1,0)</f>
        <v>0</v>
      </c>
      <c r="F82" s="15" t="n">
        <f aca="false">IF(ISNUMBER(SEARCH(Dictionary!$A$9,Data!$H82)),1,0)</f>
        <v>0</v>
      </c>
      <c r="G82" s="15" t="n">
        <f aca="false">IF(ISNUMBER(SEARCH(Dictionary!$A$10,Data!$H82)),1,0)</f>
        <v>0</v>
      </c>
      <c r="H82" s="15" t="n">
        <f aca="false">IF(ISNUMBER(SEARCH(Dictionary!$A$11,Data!$H82)),1,0)</f>
        <v>0</v>
      </c>
      <c r="I82" s="15" t="n">
        <f aca="false">IF(ISNUMBER(SEARCH(Dictionary!$A$12,Data!$H82)),1,0)</f>
        <v>0</v>
      </c>
      <c r="J82" s="15" t="n">
        <f aca="false">IF(ISNUMBER(SEARCH(Dictionary!$A$13,Data!$H82)),1,0)</f>
        <v>0</v>
      </c>
      <c r="K82" s="15" t="n">
        <f aca="false">IF(ISNUMBER(SEARCH(Dictionary!$A$14,Data!$H82)),1,0)</f>
        <v>0</v>
      </c>
      <c r="L82" s="15" t="n">
        <f aca="false">IF(ISNUMBER(SEARCH(Dictionary!$A$15,Data!$H82)),1,0)</f>
        <v>0</v>
      </c>
      <c r="M82" s="15" t="n">
        <f aca="false">IF(ISNUMBER(SEARCH(Dictionary!$A$16,Data!$H82)),1,0)</f>
        <v>0</v>
      </c>
      <c r="N82" s="15" t="n">
        <f aca="false">IF(SUMPRODUCT((Dictionary!$C$5:$C$96=Dictionary!$A$5)*(Dictionary!$D$5:$D$96&lt;&gt;"")*ISNUMBER(SEARCH(Dictionary!$D$5:$D$96,Data!$I82)))&gt;0,1,0)</f>
        <v>0</v>
      </c>
      <c r="O82" s="15" t="n">
        <f aca="false">IF(SUMPRODUCT((Dictionary!$C$5:$C$96=Dictionary!$A$6)*(Dictionary!$D$5:$D$96&lt;&gt;"")*ISNUMBER(SEARCH(Dictionary!$D$5:$D$96,Data!$I82)))&gt;0,1,0)</f>
        <v>0</v>
      </c>
      <c r="P82" s="15" t="n">
        <f aca="false">IF(SUMPRODUCT((Dictionary!$C$5:$C$96=Dictionary!$A$7)*(Dictionary!$D$5:$D$96&lt;&gt;"")*ISNUMBER(SEARCH(Dictionary!$D$5:$D$96,Data!$I82)))&gt;0,1,0)</f>
        <v>0</v>
      </c>
      <c r="Q82" s="15" t="n">
        <f aca="false">IF(SUMPRODUCT((Dictionary!$C$5:$C$96=Dictionary!$A$8)*(Dictionary!$D$5:$D$96&lt;&gt;"")*ISNUMBER(SEARCH(Dictionary!$D$5:$D$96,Data!$I82)))&gt;0,1,0)</f>
        <v>0</v>
      </c>
      <c r="R82" s="15" t="n">
        <f aca="false">IF(SUMPRODUCT((Dictionary!$C$5:$C$96=Dictionary!$A$9)*(Dictionary!$D$5:$D$96&lt;&gt;"")*ISNUMBER(SEARCH(Dictionary!$D$5:$D$96,Data!$I82)))&gt;0,1,0)</f>
        <v>1</v>
      </c>
      <c r="S82" s="15" t="n">
        <f aca="false">IF(SUMPRODUCT((Dictionary!$C$5:$C$96=Dictionary!$A$10)*(Dictionary!$D$5:$D$96&lt;&gt;"")*ISNUMBER(SEARCH(Dictionary!$D$5:$D$96,Data!$I82)))&gt;0,1,0)</f>
        <v>1</v>
      </c>
      <c r="T82" s="15" t="n">
        <f aca="false">IF(SUMPRODUCT((Dictionary!$C$5:$C$96=Dictionary!$A$11)*(Dictionary!$D$5:$D$96&lt;&gt;"")*ISNUMBER(SEARCH(Dictionary!$D$5:$D$96,Data!$I82)))&gt;0,1,0)</f>
        <v>1</v>
      </c>
      <c r="U82" s="15" t="n">
        <f aca="false">IF(SUMPRODUCT((Dictionary!$C$5:$C$96=Dictionary!$A$12)*(Dictionary!$D$5:$D$96&lt;&gt;"")*ISNUMBER(SEARCH(Dictionary!$D$5:$D$96,Data!$I82)))&gt;0,1,0)</f>
        <v>0</v>
      </c>
      <c r="V82" s="15" t="n">
        <f aca="false">IF(SUMPRODUCT((Dictionary!$C$5:$C$96=Dictionary!$A$13)*(Dictionary!$D$5:$D$96&lt;&gt;"")*ISNUMBER(SEARCH(Dictionary!$D$5:$D$96,Data!$I82)))&gt;0,1,0)</f>
        <v>1</v>
      </c>
      <c r="W82" s="15" t="n">
        <f aca="false">IF(SUMPRODUCT((Dictionary!$C$5:$C$96=Dictionary!$A$14)*(Dictionary!$D$5:$D$96&lt;&gt;"")*ISNUMBER(SEARCH(Dictionary!$D$5:$D$96,Data!$I82)))&gt;0,1,0)</f>
        <v>0</v>
      </c>
      <c r="X82" s="15" t="n">
        <f aca="false">IF(SUMPRODUCT((Dictionary!$C$5:$C$96=Dictionary!$A$15)*(Dictionary!$D$5:$D$96&lt;&gt;"")*ISNUMBER(SEARCH(Dictionary!$D$5:$D$96,Data!$I82)))&gt;0,1,0)</f>
        <v>0</v>
      </c>
      <c r="Y82" s="15" t="n">
        <f aca="false">IF(SUMPRODUCT((Dictionary!$C$5:$C$96=Dictionary!$A$16)*(Dictionary!$D$5:$D$96&lt;&gt;"")*ISNUMBER(SEARCH(Dictionary!$D$5:$D$96,Data!$I82)))&gt;0,1,0)</f>
        <v>1</v>
      </c>
      <c r="Z82" s="15" t="n">
        <f aca="false">IF(ISNUMBER(SEARCH("Other",Data!$H82)),1,0)</f>
        <v>0</v>
      </c>
      <c r="AA82" s="15" t="n">
        <f aca="false">IF(Data!$I82&lt;&gt;"",1,0)</f>
        <v>1</v>
      </c>
      <c r="AB82" s="15" t="n">
        <f aca="false">SUM(B82:M82)</f>
        <v>0</v>
      </c>
      <c r="AC82" s="15" t="n">
        <f aca="false">SUMPRODUCT(--((B82:M82+N82:Y82)&gt;0))</f>
        <v>5</v>
      </c>
      <c r="AD82" s="15" t="n">
        <f aca="false">AC82-AB82</f>
        <v>5</v>
      </c>
      <c r="AE82" s="15" t="n">
        <f aca="false">IF(AND(Z82=1,AA82=1),1,0)</f>
        <v>0</v>
      </c>
      <c r="AF82" s="15" t="n">
        <f aca="false">AC82+AE82</f>
        <v>5</v>
      </c>
      <c r="AG82" s="15" t="n">
        <f aca="false">AB82+AE82</f>
        <v>0</v>
      </c>
      <c r="AH82" s="15" t="n">
        <f aca="false">IF(AND(Data!$H82&lt;&gt;"",Data!$I82&lt;&gt;""),1,0)</f>
        <v>0</v>
      </c>
      <c r="AI82" s="15" t="str">
        <f aca="false">IF(AH82=1,SUMPRODUCT(N82:Y82*B82:M82),"")</f>
        <v/>
      </c>
      <c r="AJ82" s="15" t="str">
        <f aca="false">IF(AH82=1,SUMPRODUCT(--(N82:Y82&gt;B82:M82)),"")</f>
        <v/>
      </c>
      <c r="AK82" s="15" t="str">
        <f aca="false">IF(AH82=1,AB82,"")</f>
        <v/>
      </c>
    </row>
    <row r="83" customFormat="false" ht="15" hidden="false" customHeight="true" outlineLevel="0" collapsed="false">
      <c r="A83" s="15" t="str">
        <f aca="false">Data!$A83</f>
        <v>Open Preprint Systems (OPS)</v>
      </c>
      <c r="B83" s="15" t="n">
        <f aca="false">IF(ISNUMBER(SEARCH(Dictionary!$A$5,Data!$H83)),1,0)</f>
        <v>0</v>
      </c>
      <c r="C83" s="15" t="n">
        <f aca="false">IF(ISNUMBER(SEARCH(Dictionary!$A$6,Data!$H83)),1,0)</f>
        <v>0</v>
      </c>
      <c r="D83" s="15" t="n">
        <f aca="false">IF(ISNUMBER(SEARCH(Dictionary!$A$7,Data!$H83)),1,0)</f>
        <v>0</v>
      </c>
      <c r="E83" s="15" t="n">
        <f aca="false">IF(ISNUMBER(SEARCH(Dictionary!$A$8,Data!$H83)),1,0)</f>
        <v>0</v>
      </c>
      <c r="F83" s="15" t="n">
        <f aca="false">IF(ISNUMBER(SEARCH(Dictionary!$A$9,Data!$H83)),1,0)</f>
        <v>0</v>
      </c>
      <c r="G83" s="15" t="n">
        <f aca="false">IF(ISNUMBER(SEARCH(Dictionary!$A$10,Data!$H83)),1,0)</f>
        <v>0</v>
      </c>
      <c r="H83" s="15" t="n">
        <f aca="false">IF(ISNUMBER(SEARCH(Dictionary!$A$11,Data!$H83)),1,0)</f>
        <v>0</v>
      </c>
      <c r="I83" s="15" t="n">
        <f aca="false">IF(ISNUMBER(SEARCH(Dictionary!$A$12,Data!$H83)),1,0)</f>
        <v>0</v>
      </c>
      <c r="J83" s="15" t="n">
        <f aca="false">IF(ISNUMBER(SEARCH(Dictionary!$A$13,Data!$H83)),1,0)</f>
        <v>0</v>
      </c>
      <c r="K83" s="15" t="n">
        <f aca="false">IF(ISNUMBER(SEARCH(Dictionary!$A$14,Data!$H83)),1,0)</f>
        <v>0</v>
      </c>
      <c r="L83" s="15" t="n">
        <f aca="false">IF(ISNUMBER(SEARCH(Dictionary!$A$15,Data!$H83)),1,0)</f>
        <v>0</v>
      </c>
      <c r="M83" s="15" t="n">
        <f aca="false">IF(ISNUMBER(SEARCH(Dictionary!$A$16,Data!$H83)),1,0)</f>
        <v>0</v>
      </c>
      <c r="N83" s="15" t="n">
        <f aca="false">IF(SUMPRODUCT((Dictionary!$C$5:$C$96=Dictionary!$A$5)*(Dictionary!$D$5:$D$96&lt;&gt;"")*ISNUMBER(SEARCH(Dictionary!$D$5:$D$96,Data!$I83)))&gt;0,1,0)</f>
        <v>0</v>
      </c>
      <c r="O83" s="15" t="n">
        <f aca="false">IF(SUMPRODUCT((Dictionary!$C$5:$C$96=Dictionary!$A$6)*(Dictionary!$D$5:$D$96&lt;&gt;"")*ISNUMBER(SEARCH(Dictionary!$D$5:$D$96,Data!$I83)))&gt;0,1,0)</f>
        <v>0</v>
      </c>
      <c r="P83" s="15" t="n">
        <f aca="false">IF(SUMPRODUCT((Dictionary!$C$5:$C$96=Dictionary!$A$7)*(Dictionary!$D$5:$D$96&lt;&gt;"")*ISNUMBER(SEARCH(Dictionary!$D$5:$D$96,Data!$I83)))&gt;0,1,0)</f>
        <v>0</v>
      </c>
      <c r="Q83" s="15" t="n">
        <f aca="false">IF(SUMPRODUCT((Dictionary!$C$5:$C$96=Dictionary!$A$8)*(Dictionary!$D$5:$D$96&lt;&gt;"")*ISNUMBER(SEARCH(Dictionary!$D$5:$D$96,Data!$I83)))&gt;0,1,0)</f>
        <v>0</v>
      </c>
      <c r="R83" s="15" t="n">
        <f aca="false">IF(SUMPRODUCT((Dictionary!$C$5:$C$96=Dictionary!$A$9)*(Dictionary!$D$5:$D$96&lt;&gt;"")*ISNUMBER(SEARCH(Dictionary!$D$5:$D$96,Data!$I83)))&gt;0,1,0)</f>
        <v>1</v>
      </c>
      <c r="S83" s="15" t="n">
        <f aca="false">IF(SUMPRODUCT((Dictionary!$C$5:$C$96=Dictionary!$A$10)*(Dictionary!$D$5:$D$96&lt;&gt;"")*ISNUMBER(SEARCH(Dictionary!$D$5:$D$96,Data!$I83)))&gt;0,1,0)</f>
        <v>1</v>
      </c>
      <c r="T83" s="15" t="n">
        <f aca="false">IF(SUMPRODUCT((Dictionary!$C$5:$C$96=Dictionary!$A$11)*(Dictionary!$D$5:$D$96&lt;&gt;"")*ISNUMBER(SEARCH(Dictionary!$D$5:$D$96,Data!$I83)))&gt;0,1,0)</f>
        <v>1</v>
      </c>
      <c r="U83" s="15" t="n">
        <f aca="false">IF(SUMPRODUCT((Dictionary!$C$5:$C$96=Dictionary!$A$12)*(Dictionary!$D$5:$D$96&lt;&gt;"")*ISNUMBER(SEARCH(Dictionary!$D$5:$D$96,Data!$I83)))&gt;0,1,0)</f>
        <v>0</v>
      </c>
      <c r="V83" s="15" t="n">
        <f aca="false">IF(SUMPRODUCT((Dictionary!$C$5:$C$96=Dictionary!$A$13)*(Dictionary!$D$5:$D$96&lt;&gt;"")*ISNUMBER(SEARCH(Dictionary!$D$5:$D$96,Data!$I83)))&gt;0,1,0)</f>
        <v>1</v>
      </c>
      <c r="W83" s="15" t="n">
        <f aca="false">IF(SUMPRODUCT((Dictionary!$C$5:$C$96=Dictionary!$A$14)*(Dictionary!$D$5:$D$96&lt;&gt;"")*ISNUMBER(SEARCH(Dictionary!$D$5:$D$96,Data!$I83)))&gt;0,1,0)</f>
        <v>0</v>
      </c>
      <c r="X83" s="15" t="n">
        <f aca="false">IF(SUMPRODUCT((Dictionary!$C$5:$C$96=Dictionary!$A$15)*(Dictionary!$D$5:$D$96&lt;&gt;"")*ISNUMBER(SEARCH(Dictionary!$D$5:$D$96,Data!$I83)))&gt;0,1,0)</f>
        <v>0</v>
      </c>
      <c r="Y83" s="15" t="n">
        <f aca="false">IF(SUMPRODUCT((Dictionary!$C$5:$C$96=Dictionary!$A$16)*(Dictionary!$D$5:$D$96&lt;&gt;"")*ISNUMBER(SEARCH(Dictionary!$D$5:$D$96,Data!$I83)))&gt;0,1,0)</f>
        <v>1</v>
      </c>
      <c r="Z83" s="15" t="n">
        <f aca="false">IF(ISNUMBER(SEARCH("Other",Data!$H83)),1,0)</f>
        <v>0</v>
      </c>
      <c r="AA83" s="15" t="n">
        <f aca="false">IF(Data!$I83&lt;&gt;"",1,0)</f>
        <v>1</v>
      </c>
      <c r="AB83" s="15" t="n">
        <f aca="false">SUM(B83:M83)</f>
        <v>0</v>
      </c>
      <c r="AC83" s="15" t="n">
        <f aca="false">SUMPRODUCT(--((B83:M83+N83:Y83)&gt;0))</f>
        <v>5</v>
      </c>
      <c r="AD83" s="15" t="n">
        <f aca="false">AC83-AB83</f>
        <v>5</v>
      </c>
      <c r="AE83" s="15" t="n">
        <f aca="false">IF(AND(Z83=1,AA83=1),1,0)</f>
        <v>0</v>
      </c>
      <c r="AF83" s="15" t="n">
        <f aca="false">AC83+AE83</f>
        <v>5</v>
      </c>
      <c r="AG83" s="15" t="n">
        <f aca="false">AB83+AE83</f>
        <v>0</v>
      </c>
      <c r="AH83" s="15" t="n">
        <f aca="false">IF(AND(Data!$H83&lt;&gt;"",Data!$I83&lt;&gt;""),1,0)</f>
        <v>0</v>
      </c>
      <c r="AI83" s="15" t="str">
        <f aca="false">IF(AH83=1,SUMPRODUCT(N83:Y83*B83:M83),"")</f>
        <v/>
      </c>
      <c r="AJ83" s="15" t="str">
        <f aca="false">IF(AH83=1,SUMPRODUCT(--(N83:Y83&gt;B83:M83)),"")</f>
        <v/>
      </c>
      <c r="AK83" s="15" t="str">
        <f aca="false">IF(AH83=1,AB83,"")</f>
        <v/>
      </c>
    </row>
    <row r="84" customFormat="false" ht="15" hidden="false" customHeight="true" outlineLevel="0" collapsed="false">
      <c r="A84" s="15" t="str">
        <f aca="false">Data!$A84</f>
        <v>Openverse</v>
      </c>
      <c r="B84" s="15" t="n">
        <f aca="false">IF(ISNUMBER(SEARCH(Dictionary!$A$5,Data!$H84)),1,0)</f>
        <v>0</v>
      </c>
      <c r="C84" s="15" t="n">
        <f aca="false">IF(ISNUMBER(SEARCH(Dictionary!$A$6,Data!$H84)),1,0)</f>
        <v>0</v>
      </c>
      <c r="D84" s="15" t="n">
        <f aca="false">IF(ISNUMBER(SEARCH(Dictionary!$A$7,Data!$H84)),1,0)</f>
        <v>0</v>
      </c>
      <c r="E84" s="15" t="n">
        <f aca="false">IF(ISNUMBER(SEARCH(Dictionary!$A$8,Data!$H84)),1,0)</f>
        <v>0</v>
      </c>
      <c r="F84" s="15" t="n">
        <f aca="false">IF(ISNUMBER(SEARCH(Dictionary!$A$9,Data!$H84)),1,0)</f>
        <v>0</v>
      </c>
      <c r="G84" s="15" t="n">
        <f aca="false">IF(ISNUMBER(SEARCH(Dictionary!$A$10,Data!$H84)),1,0)</f>
        <v>0</v>
      </c>
      <c r="H84" s="15" t="n">
        <f aca="false">IF(ISNUMBER(SEARCH(Dictionary!$A$11,Data!$H84)),1,0)</f>
        <v>0</v>
      </c>
      <c r="I84" s="15" t="n">
        <f aca="false">IF(ISNUMBER(SEARCH(Dictionary!$A$12,Data!$H84)),1,0)</f>
        <v>0</v>
      </c>
      <c r="J84" s="15" t="n">
        <f aca="false">IF(ISNUMBER(SEARCH(Dictionary!$A$13,Data!$H84)),1,0)</f>
        <v>0</v>
      </c>
      <c r="K84" s="15" t="n">
        <f aca="false">IF(ISNUMBER(SEARCH(Dictionary!$A$14,Data!$H84)),1,0)</f>
        <v>0</v>
      </c>
      <c r="L84" s="15" t="n">
        <f aca="false">IF(ISNUMBER(SEARCH(Dictionary!$A$15,Data!$H84)),1,0)</f>
        <v>0</v>
      </c>
      <c r="M84" s="15" t="n">
        <f aca="false">IF(ISNUMBER(SEARCH(Dictionary!$A$16,Data!$H84)),1,0)</f>
        <v>0</v>
      </c>
      <c r="N84" s="15" t="n">
        <f aca="false">IF(SUMPRODUCT((Dictionary!$C$5:$C$96=Dictionary!$A$5)*(Dictionary!$D$5:$D$96&lt;&gt;"")*ISNUMBER(SEARCH(Dictionary!$D$5:$D$96,Data!$I84)))&gt;0,1,0)</f>
        <v>0</v>
      </c>
      <c r="O84" s="15" t="n">
        <f aca="false">IF(SUMPRODUCT((Dictionary!$C$5:$C$96=Dictionary!$A$6)*(Dictionary!$D$5:$D$96&lt;&gt;"")*ISNUMBER(SEARCH(Dictionary!$D$5:$D$96,Data!$I84)))&gt;0,1,0)</f>
        <v>0</v>
      </c>
      <c r="P84" s="15" t="n">
        <f aca="false">IF(SUMPRODUCT((Dictionary!$C$5:$C$96=Dictionary!$A$7)*(Dictionary!$D$5:$D$96&lt;&gt;"")*ISNUMBER(SEARCH(Dictionary!$D$5:$D$96,Data!$I84)))&gt;0,1,0)</f>
        <v>0</v>
      </c>
      <c r="Q84" s="15" t="n">
        <f aca="false">IF(SUMPRODUCT((Dictionary!$C$5:$C$96=Dictionary!$A$8)*(Dictionary!$D$5:$D$96&lt;&gt;"")*ISNUMBER(SEARCH(Dictionary!$D$5:$D$96,Data!$I84)))&gt;0,1,0)</f>
        <v>0</v>
      </c>
      <c r="R84" s="15" t="n">
        <f aca="false">IF(SUMPRODUCT((Dictionary!$C$5:$C$96=Dictionary!$A$9)*(Dictionary!$D$5:$D$96&lt;&gt;"")*ISNUMBER(SEARCH(Dictionary!$D$5:$D$96,Data!$I84)))&gt;0,1,0)</f>
        <v>0</v>
      </c>
      <c r="S84" s="15" t="n">
        <f aca="false">IF(SUMPRODUCT((Dictionary!$C$5:$C$96=Dictionary!$A$10)*(Dictionary!$D$5:$D$96&lt;&gt;"")*ISNUMBER(SEARCH(Dictionary!$D$5:$D$96,Data!$I84)))&gt;0,1,0)</f>
        <v>0</v>
      </c>
      <c r="T84" s="15" t="n">
        <f aca="false">IF(SUMPRODUCT((Dictionary!$C$5:$C$96=Dictionary!$A$11)*(Dictionary!$D$5:$D$96&lt;&gt;"")*ISNUMBER(SEARCH(Dictionary!$D$5:$D$96,Data!$I84)))&gt;0,1,0)</f>
        <v>0</v>
      </c>
      <c r="U84" s="15" t="n">
        <f aca="false">IF(SUMPRODUCT((Dictionary!$C$5:$C$96=Dictionary!$A$12)*(Dictionary!$D$5:$D$96&lt;&gt;"")*ISNUMBER(SEARCH(Dictionary!$D$5:$D$96,Data!$I84)))&gt;0,1,0)</f>
        <v>0</v>
      </c>
      <c r="V84" s="15" t="n">
        <f aca="false">IF(SUMPRODUCT((Dictionary!$C$5:$C$96=Dictionary!$A$13)*(Dictionary!$D$5:$D$96&lt;&gt;"")*ISNUMBER(SEARCH(Dictionary!$D$5:$D$96,Data!$I84)))&gt;0,1,0)</f>
        <v>0</v>
      </c>
      <c r="W84" s="15" t="n">
        <f aca="false">IF(SUMPRODUCT((Dictionary!$C$5:$C$96=Dictionary!$A$14)*(Dictionary!$D$5:$D$96&lt;&gt;"")*ISNUMBER(SEARCH(Dictionary!$D$5:$D$96,Data!$I84)))&gt;0,1,0)</f>
        <v>0</v>
      </c>
      <c r="X84" s="15" t="n">
        <f aca="false">IF(SUMPRODUCT((Dictionary!$C$5:$C$96=Dictionary!$A$15)*(Dictionary!$D$5:$D$96&lt;&gt;"")*ISNUMBER(SEARCH(Dictionary!$D$5:$D$96,Data!$I84)))&gt;0,1,0)</f>
        <v>0</v>
      </c>
      <c r="Y84" s="15" t="n">
        <f aca="false">IF(SUMPRODUCT((Dictionary!$C$5:$C$96=Dictionary!$A$16)*(Dictionary!$D$5:$D$96&lt;&gt;"")*ISNUMBER(SEARCH(Dictionary!$D$5:$D$96,Data!$I84)))&gt;0,1,0)</f>
        <v>0</v>
      </c>
      <c r="Z84" s="15" t="n">
        <f aca="false">IF(ISNUMBER(SEARCH("Other",Data!$H84)),1,0)</f>
        <v>0</v>
      </c>
      <c r="AA84" s="15" t="n">
        <f aca="false">IF(Data!$I84&lt;&gt;"",1,0)</f>
        <v>0</v>
      </c>
      <c r="AB84" s="15" t="n">
        <f aca="false">SUM(B84:M84)</f>
        <v>0</v>
      </c>
      <c r="AC84" s="15" t="n">
        <f aca="false">SUMPRODUCT(--((B84:M84+N84:Y84)&gt;0))</f>
        <v>0</v>
      </c>
      <c r="AD84" s="15" t="n">
        <f aca="false">AC84-AB84</f>
        <v>0</v>
      </c>
      <c r="AE84" s="15" t="n">
        <f aca="false">IF(AND(Z84=1,AA84=1),1,0)</f>
        <v>0</v>
      </c>
      <c r="AF84" s="15" t="n">
        <f aca="false">AC84+AE84</f>
        <v>0</v>
      </c>
      <c r="AG84" s="15" t="n">
        <f aca="false">AB84+AE84</f>
        <v>0</v>
      </c>
      <c r="AH84" s="15" t="n">
        <f aca="false">IF(AND(Data!$H84&lt;&gt;"",Data!$I84&lt;&gt;""),1,0)</f>
        <v>0</v>
      </c>
      <c r="AI84" s="15" t="str">
        <f aca="false">IF(AH84=1,SUMPRODUCT(N84:Y84*B84:M84),"")</f>
        <v/>
      </c>
      <c r="AJ84" s="15" t="str">
        <f aca="false">IF(AH84=1,SUMPRODUCT(--(N84:Y84&gt;B84:M84)),"")</f>
        <v/>
      </c>
      <c r="AK84" s="15" t="str">
        <f aca="false">IF(AH84=1,AB84,"")</f>
        <v/>
      </c>
    </row>
    <row r="85" customFormat="false" ht="15" hidden="false" customHeight="true" outlineLevel="0" collapsed="false">
      <c r="A85" s="15" t="str">
        <f aca="false">Data!$A85</f>
        <v>O Portal Brasileiro de Publicações e Dados Científicos em Acesso Aberto (The Brazilian Open Access Publications and Scientific Data Portal) (Oasisbr)</v>
      </c>
      <c r="B85" s="15" t="n">
        <f aca="false">IF(ISNUMBER(SEARCH(Dictionary!$A$5,Data!$H85)),1,0)</f>
        <v>0</v>
      </c>
      <c r="C85" s="15" t="n">
        <f aca="false">IF(ISNUMBER(SEARCH(Dictionary!$A$6,Data!$H85)),1,0)</f>
        <v>0</v>
      </c>
      <c r="D85" s="15" t="n">
        <f aca="false">IF(ISNUMBER(SEARCH(Dictionary!$A$7,Data!$H85)),1,0)</f>
        <v>0</v>
      </c>
      <c r="E85" s="15" t="n">
        <f aca="false">IF(ISNUMBER(SEARCH(Dictionary!$A$8,Data!$H85)),1,0)</f>
        <v>0</v>
      </c>
      <c r="F85" s="15" t="n">
        <f aca="false">IF(ISNUMBER(SEARCH(Dictionary!$A$9,Data!$H85)),1,0)</f>
        <v>0</v>
      </c>
      <c r="G85" s="15" t="n">
        <f aca="false">IF(ISNUMBER(SEARCH(Dictionary!$A$10,Data!$H85)),1,0)</f>
        <v>0</v>
      </c>
      <c r="H85" s="15" t="n">
        <f aca="false">IF(ISNUMBER(SEARCH(Dictionary!$A$11,Data!$H85)),1,0)</f>
        <v>0</v>
      </c>
      <c r="I85" s="15" t="n">
        <f aca="false">IF(ISNUMBER(SEARCH(Dictionary!$A$12,Data!$H85)),1,0)</f>
        <v>0</v>
      </c>
      <c r="J85" s="15" t="n">
        <f aca="false">IF(ISNUMBER(SEARCH(Dictionary!$A$13,Data!$H85)),1,0)</f>
        <v>0</v>
      </c>
      <c r="K85" s="15" t="n">
        <f aca="false">IF(ISNUMBER(SEARCH(Dictionary!$A$14,Data!$H85)),1,0)</f>
        <v>0</v>
      </c>
      <c r="L85" s="15" t="n">
        <f aca="false">IF(ISNUMBER(SEARCH(Dictionary!$A$15,Data!$H85)),1,0)</f>
        <v>0</v>
      </c>
      <c r="M85" s="15" t="n">
        <f aca="false">IF(ISNUMBER(SEARCH(Dictionary!$A$16,Data!$H85)),1,0)</f>
        <v>0</v>
      </c>
      <c r="N85" s="15" t="n">
        <f aca="false">IF(SUMPRODUCT((Dictionary!$C$5:$C$96=Dictionary!$A$5)*(Dictionary!$D$5:$D$96&lt;&gt;"")*ISNUMBER(SEARCH(Dictionary!$D$5:$D$96,Data!$I85)))&gt;0,1,0)</f>
        <v>0</v>
      </c>
      <c r="O85" s="15" t="n">
        <f aca="false">IF(SUMPRODUCT((Dictionary!$C$5:$C$96=Dictionary!$A$6)*(Dictionary!$D$5:$D$96&lt;&gt;"")*ISNUMBER(SEARCH(Dictionary!$D$5:$D$96,Data!$I85)))&gt;0,1,0)</f>
        <v>0</v>
      </c>
      <c r="P85" s="15" t="n">
        <f aca="false">IF(SUMPRODUCT((Dictionary!$C$5:$C$96=Dictionary!$A$7)*(Dictionary!$D$5:$D$96&lt;&gt;"")*ISNUMBER(SEARCH(Dictionary!$D$5:$D$96,Data!$I85)))&gt;0,1,0)</f>
        <v>0</v>
      </c>
      <c r="Q85" s="15" t="n">
        <f aca="false">IF(SUMPRODUCT((Dictionary!$C$5:$C$96=Dictionary!$A$8)*(Dictionary!$D$5:$D$96&lt;&gt;"")*ISNUMBER(SEARCH(Dictionary!$D$5:$D$96,Data!$I85)))&gt;0,1,0)</f>
        <v>0</v>
      </c>
      <c r="R85" s="15" t="n">
        <f aca="false">IF(SUMPRODUCT((Dictionary!$C$5:$C$96=Dictionary!$A$9)*(Dictionary!$D$5:$D$96&lt;&gt;"")*ISNUMBER(SEARCH(Dictionary!$D$5:$D$96,Data!$I85)))&gt;0,1,0)</f>
        <v>0</v>
      </c>
      <c r="S85" s="15" t="n">
        <f aca="false">IF(SUMPRODUCT((Dictionary!$C$5:$C$96=Dictionary!$A$10)*(Dictionary!$D$5:$D$96&lt;&gt;"")*ISNUMBER(SEARCH(Dictionary!$D$5:$D$96,Data!$I85)))&gt;0,1,0)</f>
        <v>0</v>
      </c>
      <c r="T85" s="15" t="n">
        <f aca="false">IF(SUMPRODUCT((Dictionary!$C$5:$C$96=Dictionary!$A$11)*(Dictionary!$D$5:$D$96&lt;&gt;"")*ISNUMBER(SEARCH(Dictionary!$D$5:$D$96,Data!$I85)))&gt;0,1,0)</f>
        <v>0</v>
      </c>
      <c r="U85" s="15" t="n">
        <f aca="false">IF(SUMPRODUCT((Dictionary!$C$5:$C$96=Dictionary!$A$12)*(Dictionary!$D$5:$D$96&lt;&gt;"")*ISNUMBER(SEARCH(Dictionary!$D$5:$D$96,Data!$I85)))&gt;0,1,0)</f>
        <v>0</v>
      </c>
      <c r="V85" s="15" t="n">
        <f aca="false">IF(SUMPRODUCT((Dictionary!$C$5:$C$96=Dictionary!$A$13)*(Dictionary!$D$5:$D$96&lt;&gt;"")*ISNUMBER(SEARCH(Dictionary!$D$5:$D$96,Data!$I85)))&gt;0,1,0)</f>
        <v>0</v>
      </c>
      <c r="W85" s="15" t="n">
        <f aca="false">IF(SUMPRODUCT((Dictionary!$C$5:$C$96=Dictionary!$A$14)*(Dictionary!$D$5:$D$96&lt;&gt;"")*ISNUMBER(SEARCH(Dictionary!$D$5:$D$96,Data!$I85)))&gt;0,1,0)</f>
        <v>0</v>
      </c>
      <c r="X85" s="15" t="n">
        <f aca="false">IF(SUMPRODUCT((Dictionary!$C$5:$C$96=Dictionary!$A$15)*(Dictionary!$D$5:$D$96&lt;&gt;"")*ISNUMBER(SEARCH(Dictionary!$D$5:$D$96,Data!$I85)))&gt;0,1,0)</f>
        <v>0</v>
      </c>
      <c r="Y85" s="15" t="n">
        <f aca="false">IF(SUMPRODUCT((Dictionary!$C$5:$C$96=Dictionary!$A$16)*(Dictionary!$D$5:$D$96&lt;&gt;"")*ISNUMBER(SEARCH(Dictionary!$D$5:$D$96,Data!$I85)))&gt;0,1,0)</f>
        <v>0</v>
      </c>
      <c r="Z85" s="15" t="n">
        <f aca="false">IF(ISNUMBER(SEARCH("Other",Data!$H85)),1,0)</f>
        <v>0</v>
      </c>
      <c r="AA85" s="15" t="n">
        <f aca="false">IF(Data!$I85&lt;&gt;"",1,0)</f>
        <v>0</v>
      </c>
      <c r="AB85" s="15" t="n">
        <f aca="false">SUM(B85:M85)</f>
        <v>0</v>
      </c>
      <c r="AC85" s="15" t="n">
        <f aca="false">SUMPRODUCT(--((B85:M85+N85:Y85)&gt;0))</f>
        <v>0</v>
      </c>
      <c r="AD85" s="15" t="n">
        <f aca="false">AC85-AB85</f>
        <v>0</v>
      </c>
      <c r="AE85" s="15" t="n">
        <f aca="false">IF(AND(Z85=1,AA85=1),1,0)</f>
        <v>0</v>
      </c>
      <c r="AF85" s="15" t="n">
        <f aca="false">AC85+AE85</f>
        <v>0</v>
      </c>
      <c r="AG85" s="15" t="n">
        <f aca="false">AB85+AE85</f>
        <v>0</v>
      </c>
      <c r="AH85" s="15" t="n">
        <f aca="false">IF(AND(Data!$H85&lt;&gt;"",Data!$I85&lt;&gt;""),1,0)</f>
        <v>0</v>
      </c>
      <c r="AI85" s="15" t="str">
        <f aca="false">IF(AH85=1,SUMPRODUCT(N85:Y85*B85:M85),"")</f>
        <v/>
      </c>
      <c r="AJ85" s="15" t="str">
        <f aca="false">IF(AH85=1,SUMPRODUCT(--(N85:Y85&gt;B85:M85)),"")</f>
        <v/>
      </c>
      <c r="AK85" s="15" t="str">
        <f aca="false">IF(AH85=1,AB85,"")</f>
        <v/>
      </c>
    </row>
    <row r="86" customFormat="false" ht="15" hidden="false" customHeight="true" outlineLevel="0" collapsed="false">
      <c r="A86" s="15" t="str">
        <f aca="false">Data!$A86</f>
        <v>OSF (Open Science Framework)</v>
      </c>
      <c r="B86" s="15" t="n">
        <f aca="false">IF(ISNUMBER(SEARCH(Dictionary!$A$5,Data!$H86)),1,0)</f>
        <v>0</v>
      </c>
      <c r="C86" s="15" t="n">
        <f aca="false">IF(ISNUMBER(SEARCH(Dictionary!$A$6,Data!$H86)),1,0)</f>
        <v>0</v>
      </c>
      <c r="D86" s="15" t="n">
        <f aca="false">IF(ISNUMBER(SEARCH(Dictionary!$A$7,Data!$H86)),1,0)</f>
        <v>0</v>
      </c>
      <c r="E86" s="15" t="n">
        <f aca="false">IF(ISNUMBER(SEARCH(Dictionary!$A$8,Data!$H86)),1,0)</f>
        <v>0</v>
      </c>
      <c r="F86" s="15" t="n">
        <f aca="false">IF(ISNUMBER(SEARCH(Dictionary!$A$9,Data!$H86)),1,0)</f>
        <v>0</v>
      </c>
      <c r="G86" s="15" t="n">
        <f aca="false">IF(ISNUMBER(SEARCH(Dictionary!$A$10,Data!$H86)),1,0)</f>
        <v>0</v>
      </c>
      <c r="H86" s="15" t="n">
        <f aca="false">IF(ISNUMBER(SEARCH(Dictionary!$A$11,Data!$H86)),1,0)</f>
        <v>0</v>
      </c>
      <c r="I86" s="15" t="n">
        <f aca="false">IF(ISNUMBER(SEARCH(Dictionary!$A$12,Data!$H86)),1,0)</f>
        <v>0</v>
      </c>
      <c r="J86" s="15" t="n">
        <f aca="false">IF(ISNUMBER(SEARCH(Dictionary!$A$13,Data!$H86)),1,0)</f>
        <v>0</v>
      </c>
      <c r="K86" s="15" t="n">
        <f aca="false">IF(ISNUMBER(SEARCH(Dictionary!$A$14,Data!$H86)),1,0)</f>
        <v>0</v>
      </c>
      <c r="L86" s="15" t="n">
        <f aca="false">IF(ISNUMBER(SEARCH(Dictionary!$A$15,Data!$H86)),1,0)</f>
        <v>0</v>
      </c>
      <c r="M86" s="15" t="n">
        <f aca="false">IF(ISNUMBER(SEARCH(Dictionary!$A$16,Data!$H86)),1,0)</f>
        <v>0</v>
      </c>
      <c r="N86" s="15" t="n">
        <f aca="false">IF(SUMPRODUCT((Dictionary!$C$5:$C$96=Dictionary!$A$5)*(Dictionary!$D$5:$D$96&lt;&gt;"")*ISNUMBER(SEARCH(Dictionary!$D$5:$D$96,Data!$I86)))&gt;0,1,0)</f>
        <v>0</v>
      </c>
      <c r="O86" s="15" t="n">
        <f aca="false">IF(SUMPRODUCT((Dictionary!$C$5:$C$96=Dictionary!$A$6)*(Dictionary!$D$5:$D$96&lt;&gt;"")*ISNUMBER(SEARCH(Dictionary!$D$5:$D$96,Data!$I86)))&gt;0,1,0)</f>
        <v>0</v>
      </c>
      <c r="P86" s="15" t="n">
        <f aca="false">IF(SUMPRODUCT((Dictionary!$C$5:$C$96=Dictionary!$A$7)*(Dictionary!$D$5:$D$96&lt;&gt;"")*ISNUMBER(SEARCH(Dictionary!$D$5:$D$96,Data!$I86)))&gt;0,1,0)</f>
        <v>0</v>
      </c>
      <c r="Q86" s="15" t="n">
        <f aca="false">IF(SUMPRODUCT((Dictionary!$C$5:$C$96=Dictionary!$A$8)*(Dictionary!$D$5:$D$96&lt;&gt;"")*ISNUMBER(SEARCH(Dictionary!$D$5:$D$96,Data!$I86)))&gt;0,1,0)</f>
        <v>0</v>
      </c>
      <c r="R86" s="15" t="n">
        <f aca="false">IF(SUMPRODUCT((Dictionary!$C$5:$C$96=Dictionary!$A$9)*(Dictionary!$D$5:$D$96&lt;&gt;"")*ISNUMBER(SEARCH(Dictionary!$D$5:$D$96,Data!$I86)))&gt;0,1,0)</f>
        <v>0</v>
      </c>
      <c r="S86" s="15" t="n">
        <f aca="false">IF(SUMPRODUCT((Dictionary!$C$5:$C$96=Dictionary!$A$10)*(Dictionary!$D$5:$D$96&lt;&gt;"")*ISNUMBER(SEARCH(Dictionary!$D$5:$D$96,Data!$I86)))&gt;0,1,0)</f>
        <v>0</v>
      </c>
      <c r="T86" s="15" t="n">
        <f aca="false">IF(SUMPRODUCT((Dictionary!$C$5:$C$96=Dictionary!$A$11)*(Dictionary!$D$5:$D$96&lt;&gt;"")*ISNUMBER(SEARCH(Dictionary!$D$5:$D$96,Data!$I86)))&gt;0,1,0)</f>
        <v>0</v>
      </c>
      <c r="U86" s="15" t="n">
        <f aca="false">IF(SUMPRODUCT((Dictionary!$C$5:$C$96=Dictionary!$A$12)*(Dictionary!$D$5:$D$96&lt;&gt;"")*ISNUMBER(SEARCH(Dictionary!$D$5:$D$96,Data!$I86)))&gt;0,1,0)</f>
        <v>0</v>
      </c>
      <c r="V86" s="15" t="n">
        <f aca="false">IF(SUMPRODUCT((Dictionary!$C$5:$C$96=Dictionary!$A$13)*(Dictionary!$D$5:$D$96&lt;&gt;"")*ISNUMBER(SEARCH(Dictionary!$D$5:$D$96,Data!$I86)))&gt;0,1,0)</f>
        <v>0</v>
      </c>
      <c r="W86" s="15" t="n">
        <f aca="false">IF(SUMPRODUCT((Dictionary!$C$5:$C$96=Dictionary!$A$14)*(Dictionary!$D$5:$D$96&lt;&gt;"")*ISNUMBER(SEARCH(Dictionary!$D$5:$D$96,Data!$I86)))&gt;0,1,0)</f>
        <v>0</v>
      </c>
      <c r="X86" s="15" t="n">
        <f aca="false">IF(SUMPRODUCT((Dictionary!$C$5:$C$96=Dictionary!$A$15)*(Dictionary!$D$5:$D$96&lt;&gt;"")*ISNUMBER(SEARCH(Dictionary!$D$5:$D$96,Data!$I86)))&gt;0,1,0)</f>
        <v>0</v>
      </c>
      <c r="Y86" s="15" t="n">
        <f aca="false">IF(SUMPRODUCT((Dictionary!$C$5:$C$96=Dictionary!$A$16)*(Dictionary!$D$5:$D$96&lt;&gt;"")*ISNUMBER(SEARCH(Dictionary!$D$5:$D$96,Data!$I86)))&gt;0,1,0)</f>
        <v>0</v>
      </c>
      <c r="Z86" s="15" t="n">
        <f aca="false">IF(ISNUMBER(SEARCH("Other",Data!$H86)),1,0)</f>
        <v>0</v>
      </c>
      <c r="AA86" s="15" t="n">
        <f aca="false">IF(Data!$I86&lt;&gt;"",1,0)</f>
        <v>1</v>
      </c>
      <c r="AB86" s="15" t="n">
        <f aca="false">SUM(B86:M86)</f>
        <v>0</v>
      </c>
      <c r="AC86" s="15" t="n">
        <f aca="false">SUMPRODUCT(--((B86:M86+N86:Y86)&gt;0))</f>
        <v>0</v>
      </c>
      <c r="AD86" s="15" t="n">
        <f aca="false">AC86-AB86</f>
        <v>0</v>
      </c>
      <c r="AE86" s="15" t="n">
        <f aca="false">IF(AND(Z86=1,AA86=1),1,0)</f>
        <v>0</v>
      </c>
      <c r="AF86" s="15" t="n">
        <f aca="false">AC86+AE86</f>
        <v>0</v>
      </c>
      <c r="AG86" s="15" t="n">
        <f aca="false">AB86+AE86</f>
        <v>0</v>
      </c>
      <c r="AH86" s="15" t="n">
        <f aca="false">IF(AND(Data!$H86&lt;&gt;"",Data!$I86&lt;&gt;""),1,0)</f>
        <v>0</v>
      </c>
      <c r="AI86" s="15" t="str">
        <f aca="false">IF(AH86=1,SUMPRODUCT(N86:Y86*B86:M86),"")</f>
        <v/>
      </c>
      <c r="AJ86" s="15" t="str">
        <f aca="false">IF(AH86=1,SUMPRODUCT(--(N86:Y86&gt;B86:M86)),"")</f>
        <v/>
      </c>
      <c r="AK86" s="15" t="str">
        <f aca="false">IF(AH86=1,AB86,"")</f>
        <v/>
      </c>
    </row>
    <row r="87" customFormat="false" ht="15" hidden="false" customHeight="true" outlineLevel="0" collapsed="false">
      <c r="A87" s="15" t="str">
        <f aca="false">Data!$A87</f>
        <v>Oxford Common File Layout</v>
      </c>
      <c r="B87" s="15" t="n">
        <f aca="false">IF(ISNUMBER(SEARCH(Dictionary!$A$5,Data!$H87)),1,0)</f>
        <v>0</v>
      </c>
      <c r="C87" s="15" t="n">
        <f aca="false">IF(ISNUMBER(SEARCH(Dictionary!$A$6,Data!$H87)),1,0)</f>
        <v>0</v>
      </c>
      <c r="D87" s="15" t="n">
        <f aca="false">IF(ISNUMBER(SEARCH(Dictionary!$A$7,Data!$H87)),1,0)</f>
        <v>0</v>
      </c>
      <c r="E87" s="15" t="n">
        <f aca="false">IF(ISNUMBER(SEARCH(Dictionary!$A$8,Data!$H87)),1,0)</f>
        <v>0</v>
      </c>
      <c r="F87" s="15" t="n">
        <f aca="false">IF(ISNUMBER(SEARCH(Dictionary!$A$9,Data!$H87)),1,0)</f>
        <v>0</v>
      </c>
      <c r="G87" s="15" t="n">
        <f aca="false">IF(ISNUMBER(SEARCH(Dictionary!$A$10,Data!$H87)),1,0)</f>
        <v>0</v>
      </c>
      <c r="H87" s="15" t="n">
        <f aca="false">IF(ISNUMBER(SEARCH(Dictionary!$A$11,Data!$H87)),1,0)</f>
        <v>0</v>
      </c>
      <c r="I87" s="15" t="n">
        <f aca="false">IF(ISNUMBER(SEARCH(Dictionary!$A$12,Data!$H87)),1,0)</f>
        <v>0</v>
      </c>
      <c r="J87" s="15" t="n">
        <f aca="false">IF(ISNUMBER(SEARCH(Dictionary!$A$13,Data!$H87)),1,0)</f>
        <v>0</v>
      </c>
      <c r="K87" s="15" t="n">
        <f aca="false">IF(ISNUMBER(SEARCH(Dictionary!$A$14,Data!$H87)),1,0)</f>
        <v>0</v>
      </c>
      <c r="L87" s="15" t="n">
        <f aca="false">IF(ISNUMBER(SEARCH(Dictionary!$A$15,Data!$H87)),1,0)</f>
        <v>0</v>
      </c>
      <c r="M87" s="15" t="n">
        <f aca="false">IF(ISNUMBER(SEARCH(Dictionary!$A$16,Data!$H87)),1,0)</f>
        <v>0</v>
      </c>
      <c r="N87" s="15" t="n">
        <f aca="false">IF(SUMPRODUCT((Dictionary!$C$5:$C$96=Dictionary!$A$5)*(Dictionary!$D$5:$D$96&lt;&gt;"")*ISNUMBER(SEARCH(Dictionary!$D$5:$D$96,Data!$I87)))&gt;0,1,0)</f>
        <v>0</v>
      </c>
      <c r="O87" s="15" t="n">
        <f aca="false">IF(SUMPRODUCT((Dictionary!$C$5:$C$96=Dictionary!$A$6)*(Dictionary!$D$5:$D$96&lt;&gt;"")*ISNUMBER(SEARCH(Dictionary!$D$5:$D$96,Data!$I87)))&gt;0,1,0)</f>
        <v>0</v>
      </c>
      <c r="P87" s="15" t="n">
        <f aca="false">IF(SUMPRODUCT((Dictionary!$C$5:$C$96=Dictionary!$A$7)*(Dictionary!$D$5:$D$96&lt;&gt;"")*ISNUMBER(SEARCH(Dictionary!$D$5:$D$96,Data!$I87)))&gt;0,1,0)</f>
        <v>0</v>
      </c>
      <c r="Q87" s="15" t="n">
        <f aca="false">IF(SUMPRODUCT((Dictionary!$C$5:$C$96=Dictionary!$A$8)*(Dictionary!$D$5:$D$96&lt;&gt;"")*ISNUMBER(SEARCH(Dictionary!$D$5:$D$96,Data!$I87)))&gt;0,1,0)</f>
        <v>0</v>
      </c>
      <c r="R87" s="15" t="n">
        <f aca="false">IF(SUMPRODUCT((Dictionary!$C$5:$C$96=Dictionary!$A$9)*(Dictionary!$D$5:$D$96&lt;&gt;"")*ISNUMBER(SEARCH(Dictionary!$D$5:$D$96,Data!$I87)))&gt;0,1,0)</f>
        <v>0</v>
      </c>
      <c r="S87" s="15" t="n">
        <f aca="false">IF(SUMPRODUCT((Dictionary!$C$5:$C$96=Dictionary!$A$10)*(Dictionary!$D$5:$D$96&lt;&gt;"")*ISNUMBER(SEARCH(Dictionary!$D$5:$D$96,Data!$I87)))&gt;0,1,0)</f>
        <v>0</v>
      </c>
      <c r="T87" s="15" t="n">
        <f aca="false">IF(SUMPRODUCT((Dictionary!$C$5:$C$96=Dictionary!$A$11)*(Dictionary!$D$5:$D$96&lt;&gt;"")*ISNUMBER(SEARCH(Dictionary!$D$5:$D$96,Data!$I87)))&gt;0,1,0)</f>
        <v>0</v>
      </c>
      <c r="U87" s="15" t="n">
        <f aca="false">IF(SUMPRODUCT((Dictionary!$C$5:$C$96=Dictionary!$A$12)*(Dictionary!$D$5:$D$96&lt;&gt;"")*ISNUMBER(SEARCH(Dictionary!$D$5:$D$96,Data!$I87)))&gt;0,1,0)</f>
        <v>0</v>
      </c>
      <c r="V87" s="15" t="n">
        <f aca="false">IF(SUMPRODUCT((Dictionary!$C$5:$C$96=Dictionary!$A$13)*(Dictionary!$D$5:$D$96&lt;&gt;"")*ISNUMBER(SEARCH(Dictionary!$D$5:$D$96,Data!$I87)))&gt;0,1,0)</f>
        <v>0</v>
      </c>
      <c r="W87" s="15" t="n">
        <f aca="false">IF(SUMPRODUCT((Dictionary!$C$5:$C$96=Dictionary!$A$14)*(Dictionary!$D$5:$D$96&lt;&gt;"")*ISNUMBER(SEARCH(Dictionary!$D$5:$D$96,Data!$I87)))&gt;0,1,0)</f>
        <v>0</v>
      </c>
      <c r="X87" s="15" t="n">
        <f aca="false">IF(SUMPRODUCT((Dictionary!$C$5:$C$96=Dictionary!$A$15)*(Dictionary!$D$5:$D$96&lt;&gt;"")*ISNUMBER(SEARCH(Dictionary!$D$5:$D$96,Data!$I87)))&gt;0,1,0)</f>
        <v>0</v>
      </c>
      <c r="Y87" s="15" t="n">
        <f aca="false">IF(SUMPRODUCT((Dictionary!$C$5:$C$96=Dictionary!$A$16)*(Dictionary!$D$5:$D$96&lt;&gt;"")*ISNUMBER(SEARCH(Dictionary!$D$5:$D$96,Data!$I87)))&gt;0,1,0)</f>
        <v>0</v>
      </c>
      <c r="Z87" s="15" t="n">
        <f aca="false">IF(ISNUMBER(SEARCH("Other",Data!$H87)),1,0)</f>
        <v>0</v>
      </c>
      <c r="AA87" s="15" t="n">
        <f aca="false">IF(Data!$I87&lt;&gt;"",1,0)</f>
        <v>0</v>
      </c>
      <c r="AB87" s="15" t="n">
        <f aca="false">SUM(B87:M87)</f>
        <v>0</v>
      </c>
      <c r="AC87" s="15" t="n">
        <f aca="false">SUMPRODUCT(--((B87:M87+N87:Y87)&gt;0))</f>
        <v>0</v>
      </c>
      <c r="AD87" s="15" t="n">
        <f aca="false">AC87-AB87</f>
        <v>0</v>
      </c>
      <c r="AE87" s="15" t="n">
        <f aca="false">IF(AND(Z87=1,AA87=1),1,0)</f>
        <v>0</v>
      </c>
      <c r="AF87" s="15" t="n">
        <f aca="false">AC87+AE87</f>
        <v>0</v>
      </c>
      <c r="AG87" s="15" t="n">
        <f aca="false">AB87+AE87</f>
        <v>0</v>
      </c>
      <c r="AH87" s="15" t="n">
        <f aca="false">IF(AND(Data!$H87&lt;&gt;"",Data!$I87&lt;&gt;""),1,0)</f>
        <v>0</v>
      </c>
      <c r="AI87" s="15" t="str">
        <f aca="false">IF(AH87=1,SUMPRODUCT(N87:Y87*B87:M87),"")</f>
        <v/>
      </c>
      <c r="AJ87" s="15" t="str">
        <f aca="false">IF(AH87=1,SUMPRODUCT(--(N87:Y87&gt;B87:M87)),"")</f>
        <v/>
      </c>
      <c r="AK87" s="15" t="str">
        <f aca="false">IF(AH87=1,AB87,"")</f>
        <v/>
      </c>
    </row>
    <row r="88" customFormat="false" ht="15" hidden="false" customHeight="true" outlineLevel="0" collapsed="false">
      <c r="A88" s="15" t="str">
        <f aca="false">Data!$A88</f>
        <v>Peer Community In</v>
      </c>
      <c r="B88" s="15" t="n">
        <f aca="false">IF(ISNUMBER(SEARCH(Dictionary!$A$5,Data!$H88)),1,0)</f>
        <v>0</v>
      </c>
      <c r="C88" s="15" t="n">
        <f aca="false">IF(ISNUMBER(SEARCH(Dictionary!$A$6,Data!$H88)),1,0)</f>
        <v>0</v>
      </c>
      <c r="D88" s="15" t="n">
        <f aca="false">IF(ISNUMBER(SEARCH(Dictionary!$A$7,Data!$H88)),1,0)</f>
        <v>0</v>
      </c>
      <c r="E88" s="15" t="n">
        <f aca="false">IF(ISNUMBER(SEARCH(Dictionary!$A$8,Data!$H88)),1,0)</f>
        <v>0</v>
      </c>
      <c r="F88" s="15" t="n">
        <f aca="false">IF(ISNUMBER(SEARCH(Dictionary!$A$9,Data!$H88)),1,0)</f>
        <v>0</v>
      </c>
      <c r="G88" s="15" t="n">
        <f aca="false">IF(ISNUMBER(SEARCH(Dictionary!$A$10,Data!$H88)),1,0)</f>
        <v>0</v>
      </c>
      <c r="H88" s="15" t="n">
        <f aca="false">IF(ISNUMBER(SEARCH(Dictionary!$A$11,Data!$H88)),1,0)</f>
        <v>0</v>
      </c>
      <c r="I88" s="15" t="n">
        <f aca="false">IF(ISNUMBER(SEARCH(Dictionary!$A$12,Data!$H88)),1,0)</f>
        <v>0</v>
      </c>
      <c r="J88" s="15" t="n">
        <f aca="false">IF(ISNUMBER(SEARCH(Dictionary!$A$13,Data!$H88)),1,0)</f>
        <v>0</v>
      </c>
      <c r="K88" s="15" t="n">
        <f aca="false">IF(ISNUMBER(SEARCH(Dictionary!$A$14,Data!$H88)),1,0)</f>
        <v>0</v>
      </c>
      <c r="L88" s="15" t="n">
        <f aca="false">IF(ISNUMBER(SEARCH(Dictionary!$A$15,Data!$H88)),1,0)</f>
        <v>0</v>
      </c>
      <c r="M88" s="15" t="n">
        <f aca="false">IF(ISNUMBER(SEARCH(Dictionary!$A$16,Data!$H88)),1,0)</f>
        <v>0</v>
      </c>
      <c r="N88" s="15" t="n">
        <f aca="false">IF(SUMPRODUCT((Dictionary!$C$5:$C$96=Dictionary!$A$5)*(Dictionary!$D$5:$D$96&lt;&gt;"")*ISNUMBER(SEARCH(Dictionary!$D$5:$D$96,Data!$I88)))&gt;0,1,0)</f>
        <v>0</v>
      </c>
      <c r="O88" s="15" t="n">
        <f aca="false">IF(SUMPRODUCT((Dictionary!$C$5:$C$96=Dictionary!$A$6)*(Dictionary!$D$5:$D$96&lt;&gt;"")*ISNUMBER(SEARCH(Dictionary!$D$5:$D$96,Data!$I88)))&gt;0,1,0)</f>
        <v>0</v>
      </c>
      <c r="P88" s="15" t="n">
        <f aca="false">IF(SUMPRODUCT((Dictionary!$C$5:$C$96=Dictionary!$A$7)*(Dictionary!$D$5:$D$96&lt;&gt;"")*ISNUMBER(SEARCH(Dictionary!$D$5:$D$96,Data!$I88)))&gt;0,1,0)</f>
        <v>0</v>
      </c>
      <c r="Q88" s="15" t="n">
        <f aca="false">IF(SUMPRODUCT((Dictionary!$C$5:$C$96=Dictionary!$A$8)*(Dictionary!$D$5:$D$96&lt;&gt;"")*ISNUMBER(SEARCH(Dictionary!$D$5:$D$96,Data!$I88)))&gt;0,1,0)</f>
        <v>0</v>
      </c>
      <c r="R88" s="15" t="n">
        <f aca="false">IF(SUMPRODUCT((Dictionary!$C$5:$C$96=Dictionary!$A$9)*(Dictionary!$D$5:$D$96&lt;&gt;"")*ISNUMBER(SEARCH(Dictionary!$D$5:$D$96,Data!$I88)))&gt;0,1,0)</f>
        <v>0</v>
      </c>
      <c r="S88" s="15" t="n">
        <f aca="false">IF(SUMPRODUCT((Dictionary!$C$5:$C$96=Dictionary!$A$10)*(Dictionary!$D$5:$D$96&lt;&gt;"")*ISNUMBER(SEARCH(Dictionary!$D$5:$D$96,Data!$I88)))&gt;0,1,0)</f>
        <v>0</v>
      </c>
      <c r="T88" s="15" t="n">
        <f aca="false">IF(SUMPRODUCT((Dictionary!$C$5:$C$96=Dictionary!$A$11)*(Dictionary!$D$5:$D$96&lt;&gt;"")*ISNUMBER(SEARCH(Dictionary!$D$5:$D$96,Data!$I88)))&gt;0,1,0)</f>
        <v>0</v>
      </c>
      <c r="U88" s="15" t="n">
        <f aca="false">IF(SUMPRODUCT((Dictionary!$C$5:$C$96=Dictionary!$A$12)*(Dictionary!$D$5:$D$96&lt;&gt;"")*ISNUMBER(SEARCH(Dictionary!$D$5:$D$96,Data!$I88)))&gt;0,1,0)</f>
        <v>0</v>
      </c>
      <c r="V88" s="15" t="n">
        <f aca="false">IF(SUMPRODUCT((Dictionary!$C$5:$C$96=Dictionary!$A$13)*(Dictionary!$D$5:$D$96&lt;&gt;"")*ISNUMBER(SEARCH(Dictionary!$D$5:$D$96,Data!$I88)))&gt;0,1,0)</f>
        <v>0</v>
      </c>
      <c r="W88" s="15" t="n">
        <f aca="false">IF(SUMPRODUCT((Dictionary!$C$5:$C$96=Dictionary!$A$14)*(Dictionary!$D$5:$D$96&lt;&gt;"")*ISNUMBER(SEARCH(Dictionary!$D$5:$D$96,Data!$I88)))&gt;0,1,0)</f>
        <v>0</v>
      </c>
      <c r="X88" s="15" t="n">
        <f aca="false">IF(SUMPRODUCT((Dictionary!$C$5:$C$96=Dictionary!$A$15)*(Dictionary!$D$5:$D$96&lt;&gt;"")*ISNUMBER(SEARCH(Dictionary!$D$5:$D$96,Data!$I88)))&gt;0,1,0)</f>
        <v>0</v>
      </c>
      <c r="Y88" s="15" t="n">
        <f aca="false">IF(SUMPRODUCT((Dictionary!$C$5:$C$96=Dictionary!$A$16)*(Dictionary!$D$5:$D$96&lt;&gt;"")*ISNUMBER(SEARCH(Dictionary!$D$5:$D$96,Data!$I88)))&gt;0,1,0)</f>
        <v>0</v>
      </c>
      <c r="Z88" s="15" t="n">
        <f aca="false">IF(ISNUMBER(SEARCH("Other",Data!$H88)),1,0)</f>
        <v>0</v>
      </c>
      <c r="AA88" s="15" t="n">
        <f aca="false">IF(Data!$I88&lt;&gt;"",1,0)</f>
        <v>1</v>
      </c>
      <c r="AB88" s="15" t="n">
        <f aca="false">SUM(B88:M88)</f>
        <v>0</v>
      </c>
      <c r="AC88" s="15" t="n">
        <f aca="false">SUMPRODUCT(--((B88:M88+N88:Y88)&gt;0))</f>
        <v>0</v>
      </c>
      <c r="AD88" s="15" t="n">
        <f aca="false">AC88-AB88</f>
        <v>0</v>
      </c>
      <c r="AE88" s="15" t="n">
        <f aca="false">IF(AND(Z88=1,AA88=1),1,0)</f>
        <v>0</v>
      </c>
      <c r="AF88" s="15" t="n">
        <f aca="false">AC88+AE88</f>
        <v>0</v>
      </c>
      <c r="AG88" s="15" t="n">
        <f aca="false">AB88+AE88</f>
        <v>0</v>
      </c>
      <c r="AH88" s="15" t="n">
        <f aca="false">IF(AND(Data!$H88&lt;&gt;"",Data!$I88&lt;&gt;""),1,0)</f>
        <v>0</v>
      </c>
      <c r="AI88" s="15" t="str">
        <f aca="false">IF(AH88=1,SUMPRODUCT(N88:Y88*B88:M88),"")</f>
        <v/>
      </c>
      <c r="AJ88" s="15" t="str">
        <f aca="false">IF(AH88=1,SUMPRODUCT(--(N88:Y88&gt;B88:M88)),"")</f>
        <v/>
      </c>
      <c r="AK88" s="15" t="str">
        <f aca="false">IF(AH88=1,AB88,"")</f>
        <v/>
      </c>
    </row>
    <row r="89" customFormat="false" ht="15" hidden="false" customHeight="true" outlineLevel="0" collapsed="false">
      <c r="A89" s="15" t="str">
        <f aca="false">Data!$A89</f>
        <v>PKP Preservation Network</v>
      </c>
      <c r="B89" s="15" t="n">
        <f aca="false">IF(ISNUMBER(SEARCH(Dictionary!$A$5,Data!$H89)),1,0)</f>
        <v>0</v>
      </c>
      <c r="C89" s="15" t="n">
        <f aca="false">IF(ISNUMBER(SEARCH(Dictionary!$A$6,Data!$H89)),1,0)</f>
        <v>0</v>
      </c>
      <c r="D89" s="15" t="n">
        <f aca="false">IF(ISNUMBER(SEARCH(Dictionary!$A$7,Data!$H89)),1,0)</f>
        <v>0</v>
      </c>
      <c r="E89" s="15" t="n">
        <f aca="false">IF(ISNUMBER(SEARCH(Dictionary!$A$8,Data!$H89)),1,0)</f>
        <v>0</v>
      </c>
      <c r="F89" s="15" t="n">
        <f aca="false">IF(ISNUMBER(SEARCH(Dictionary!$A$9,Data!$H89)),1,0)</f>
        <v>0</v>
      </c>
      <c r="G89" s="15" t="n">
        <f aca="false">IF(ISNUMBER(SEARCH(Dictionary!$A$10,Data!$H89)),1,0)</f>
        <v>0</v>
      </c>
      <c r="H89" s="15" t="n">
        <f aca="false">IF(ISNUMBER(SEARCH(Dictionary!$A$11,Data!$H89)),1,0)</f>
        <v>0</v>
      </c>
      <c r="I89" s="15" t="n">
        <f aca="false">IF(ISNUMBER(SEARCH(Dictionary!$A$12,Data!$H89)),1,0)</f>
        <v>0</v>
      </c>
      <c r="J89" s="15" t="n">
        <f aca="false">IF(ISNUMBER(SEARCH(Dictionary!$A$13,Data!$H89)),1,0)</f>
        <v>0</v>
      </c>
      <c r="K89" s="15" t="n">
        <f aca="false">IF(ISNUMBER(SEARCH(Dictionary!$A$14,Data!$H89)),1,0)</f>
        <v>0</v>
      </c>
      <c r="L89" s="15" t="n">
        <f aca="false">IF(ISNUMBER(SEARCH(Dictionary!$A$15,Data!$H89)),1,0)</f>
        <v>0</v>
      </c>
      <c r="M89" s="15" t="n">
        <f aca="false">IF(ISNUMBER(SEARCH(Dictionary!$A$16,Data!$H89)),1,0)</f>
        <v>0</v>
      </c>
      <c r="N89" s="15" t="n">
        <f aca="false">IF(SUMPRODUCT((Dictionary!$C$5:$C$96=Dictionary!$A$5)*(Dictionary!$D$5:$D$96&lt;&gt;"")*ISNUMBER(SEARCH(Dictionary!$D$5:$D$96,Data!$I89)))&gt;0,1,0)</f>
        <v>0</v>
      </c>
      <c r="O89" s="15" t="n">
        <f aca="false">IF(SUMPRODUCT((Dictionary!$C$5:$C$96=Dictionary!$A$6)*(Dictionary!$D$5:$D$96&lt;&gt;"")*ISNUMBER(SEARCH(Dictionary!$D$5:$D$96,Data!$I89)))&gt;0,1,0)</f>
        <v>0</v>
      </c>
      <c r="P89" s="15" t="n">
        <f aca="false">IF(SUMPRODUCT((Dictionary!$C$5:$C$96=Dictionary!$A$7)*(Dictionary!$D$5:$D$96&lt;&gt;"")*ISNUMBER(SEARCH(Dictionary!$D$5:$D$96,Data!$I89)))&gt;0,1,0)</f>
        <v>0</v>
      </c>
      <c r="Q89" s="15" t="n">
        <f aca="false">IF(SUMPRODUCT((Dictionary!$C$5:$C$96=Dictionary!$A$8)*(Dictionary!$D$5:$D$96&lt;&gt;"")*ISNUMBER(SEARCH(Dictionary!$D$5:$D$96,Data!$I89)))&gt;0,1,0)</f>
        <v>0</v>
      </c>
      <c r="R89" s="15" t="n">
        <f aca="false">IF(SUMPRODUCT((Dictionary!$C$5:$C$96=Dictionary!$A$9)*(Dictionary!$D$5:$D$96&lt;&gt;"")*ISNUMBER(SEARCH(Dictionary!$D$5:$D$96,Data!$I89)))&gt;0,1,0)</f>
        <v>0</v>
      </c>
      <c r="S89" s="15" t="n">
        <f aca="false">IF(SUMPRODUCT((Dictionary!$C$5:$C$96=Dictionary!$A$10)*(Dictionary!$D$5:$D$96&lt;&gt;"")*ISNUMBER(SEARCH(Dictionary!$D$5:$D$96,Data!$I89)))&gt;0,1,0)</f>
        <v>0</v>
      </c>
      <c r="T89" s="15" t="n">
        <f aca="false">IF(SUMPRODUCT((Dictionary!$C$5:$C$96=Dictionary!$A$11)*(Dictionary!$D$5:$D$96&lt;&gt;"")*ISNUMBER(SEARCH(Dictionary!$D$5:$D$96,Data!$I89)))&gt;0,1,0)</f>
        <v>0</v>
      </c>
      <c r="U89" s="15" t="n">
        <f aca="false">IF(SUMPRODUCT((Dictionary!$C$5:$C$96=Dictionary!$A$12)*(Dictionary!$D$5:$D$96&lt;&gt;"")*ISNUMBER(SEARCH(Dictionary!$D$5:$D$96,Data!$I89)))&gt;0,1,0)</f>
        <v>0</v>
      </c>
      <c r="V89" s="15" t="n">
        <f aca="false">IF(SUMPRODUCT((Dictionary!$C$5:$C$96=Dictionary!$A$13)*(Dictionary!$D$5:$D$96&lt;&gt;"")*ISNUMBER(SEARCH(Dictionary!$D$5:$D$96,Data!$I89)))&gt;0,1,0)</f>
        <v>0</v>
      </c>
      <c r="W89" s="15" t="n">
        <f aca="false">IF(SUMPRODUCT((Dictionary!$C$5:$C$96=Dictionary!$A$14)*(Dictionary!$D$5:$D$96&lt;&gt;"")*ISNUMBER(SEARCH(Dictionary!$D$5:$D$96,Data!$I89)))&gt;0,1,0)</f>
        <v>0</v>
      </c>
      <c r="X89" s="15" t="n">
        <f aca="false">IF(SUMPRODUCT((Dictionary!$C$5:$C$96=Dictionary!$A$15)*(Dictionary!$D$5:$D$96&lt;&gt;"")*ISNUMBER(SEARCH(Dictionary!$D$5:$D$96,Data!$I89)))&gt;0,1,0)</f>
        <v>0</v>
      </c>
      <c r="Y89" s="15" t="n">
        <f aca="false">IF(SUMPRODUCT((Dictionary!$C$5:$C$96=Dictionary!$A$16)*(Dictionary!$D$5:$D$96&lt;&gt;"")*ISNUMBER(SEARCH(Dictionary!$D$5:$D$96,Data!$I89)))&gt;0,1,0)</f>
        <v>0</v>
      </c>
      <c r="Z89" s="15" t="n">
        <f aca="false">IF(ISNUMBER(SEARCH("Other",Data!$H89)),1,0)</f>
        <v>0</v>
      </c>
      <c r="AA89" s="15" t="n">
        <f aca="false">IF(Data!$I89&lt;&gt;"",1,0)</f>
        <v>0</v>
      </c>
      <c r="AB89" s="15" t="n">
        <f aca="false">SUM(B89:M89)</f>
        <v>0</v>
      </c>
      <c r="AC89" s="15" t="n">
        <f aca="false">SUMPRODUCT(--((B89:M89+N89:Y89)&gt;0))</f>
        <v>0</v>
      </c>
      <c r="AD89" s="15" t="n">
        <f aca="false">AC89-AB89</f>
        <v>0</v>
      </c>
      <c r="AE89" s="15" t="n">
        <f aca="false">IF(AND(Z89=1,AA89=1),1,0)</f>
        <v>0</v>
      </c>
      <c r="AF89" s="15" t="n">
        <f aca="false">AC89+AE89</f>
        <v>0</v>
      </c>
      <c r="AG89" s="15" t="n">
        <f aca="false">AB89+AE89</f>
        <v>0</v>
      </c>
      <c r="AH89" s="15" t="n">
        <f aca="false">IF(AND(Data!$H89&lt;&gt;"",Data!$I89&lt;&gt;""),1,0)</f>
        <v>0</v>
      </c>
      <c r="AI89" s="15" t="str">
        <f aca="false">IF(AH89=1,SUMPRODUCT(N89:Y89*B89:M89),"")</f>
        <v/>
      </c>
      <c r="AJ89" s="15" t="str">
        <f aca="false">IF(AH89=1,SUMPRODUCT(--(N89:Y89&gt;B89:M89)),"")</f>
        <v/>
      </c>
      <c r="AK89" s="15" t="str">
        <f aca="false">IF(AH89=1,AB89,"")</f>
        <v/>
      </c>
    </row>
    <row r="90" customFormat="false" ht="15" hidden="false" customHeight="true" outlineLevel="0" collapsed="false">
      <c r="A90" s="15" t="str">
        <f aca="false">Data!$A90</f>
        <v>PREreview</v>
      </c>
      <c r="B90" s="15" t="n">
        <f aca="false">IF(ISNUMBER(SEARCH(Dictionary!$A$5,Data!$H90)),1,0)</f>
        <v>0</v>
      </c>
      <c r="C90" s="15" t="n">
        <f aca="false">IF(ISNUMBER(SEARCH(Dictionary!$A$6,Data!$H90)),1,0)</f>
        <v>1</v>
      </c>
      <c r="D90" s="15" t="n">
        <f aca="false">IF(ISNUMBER(SEARCH(Dictionary!$A$7,Data!$H90)),1,0)</f>
        <v>1</v>
      </c>
      <c r="E90" s="15" t="n">
        <f aca="false">IF(ISNUMBER(SEARCH(Dictionary!$A$8,Data!$H90)),1,0)</f>
        <v>1</v>
      </c>
      <c r="F90" s="15" t="n">
        <f aca="false">IF(ISNUMBER(SEARCH(Dictionary!$A$9,Data!$H90)),1,0)</f>
        <v>1</v>
      </c>
      <c r="G90" s="15" t="n">
        <f aca="false">IF(ISNUMBER(SEARCH(Dictionary!$A$10,Data!$H90)),1,0)</f>
        <v>1</v>
      </c>
      <c r="H90" s="15" t="n">
        <f aca="false">IF(ISNUMBER(SEARCH(Dictionary!$A$11,Data!$H90)),1,0)</f>
        <v>1</v>
      </c>
      <c r="I90" s="15" t="n">
        <f aca="false">IF(ISNUMBER(SEARCH(Dictionary!$A$12,Data!$H90)),1,0)</f>
        <v>1</v>
      </c>
      <c r="J90" s="15" t="n">
        <f aca="false">IF(ISNUMBER(SEARCH(Dictionary!$A$13,Data!$H90)),1,0)</f>
        <v>1</v>
      </c>
      <c r="K90" s="15" t="n">
        <f aca="false">IF(ISNUMBER(SEARCH(Dictionary!$A$14,Data!$H90)),1,0)</f>
        <v>1</v>
      </c>
      <c r="L90" s="15" t="n">
        <f aca="false">IF(ISNUMBER(SEARCH(Dictionary!$A$15,Data!$H90)),1,0)</f>
        <v>1</v>
      </c>
      <c r="M90" s="15" t="n">
        <f aca="false">IF(ISNUMBER(SEARCH(Dictionary!$A$16,Data!$H90)),1,0)</f>
        <v>1</v>
      </c>
      <c r="N90" s="15" t="n">
        <f aca="false">IF(SUMPRODUCT((Dictionary!$C$5:$C$96=Dictionary!$A$5)*(Dictionary!$D$5:$D$96&lt;&gt;"")*ISNUMBER(SEARCH(Dictionary!$D$5:$D$96,Data!$I90)))&gt;0,1,0)</f>
        <v>0</v>
      </c>
      <c r="O90" s="15" t="n">
        <f aca="false">IF(SUMPRODUCT((Dictionary!$C$5:$C$96=Dictionary!$A$6)*(Dictionary!$D$5:$D$96&lt;&gt;"")*ISNUMBER(SEARCH(Dictionary!$D$5:$D$96,Data!$I90)))&gt;0,1,0)</f>
        <v>0</v>
      </c>
      <c r="P90" s="15" t="n">
        <f aca="false">IF(SUMPRODUCT((Dictionary!$C$5:$C$96=Dictionary!$A$7)*(Dictionary!$D$5:$D$96&lt;&gt;"")*ISNUMBER(SEARCH(Dictionary!$D$5:$D$96,Data!$I90)))&gt;0,1,0)</f>
        <v>0</v>
      </c>
      <c r="Q90" s="15" t="n">
        <f aca="false">IF(SUMPRODUCT((Dictionary!$C$5:$C$96=Dictionary!$A$8)*(Dictionary!$D$5:$D$96&lt;&gt;"")*ISNUMBER(SEARCH(Dictionary!$D$5:$D$96,Data!$I90)))&gt;0,1,0)</f>
        <v>0</v>
      </c>
      <c r="R90" s="15" t="n">
        <f aca="false">IF(SUMPRODUCT((Dictionary!$C$5:$C$96=Dictionary!$A$9)*(Dictionary!$D$5:$D$96&lt;&gt;"")*ISNUMBER(SEARCH(Dictionary!$D$5:$D$96,Data!$I90)))&gt;0,1,0)</f>
        <v>0</v>
      </c>
      <c r="S90" s="15" t="n">
        <f aca="false">IF(SUMPRODUCT((Dictionary!$C$5:$C$96=Dictionary!$A$10)*(Dictionary!$D$5:$D$96&lt;&gt;"")*ISNUMBER(SEARCH(Dictionary!$D$5:$D$96,Data!$I90)))&gt;0,1,0)</f>
        <v>0</v>
      </c>
      <c r="T90" s="15" t="n">
        <f aca="false">IF(SUMPRODUCT((Dictionary!$C$5:$C$96=Dictionary!$A$11)*(Dictionary!$D$5:$D$96&lt;&gt;"")*ISNUMBER(SEARCH(Dictionary!$D$5:$D$96,Data!$I90)))&gt;0,1,0)</f>
        <v>0</v>
      </c>
      <c r="U90" s="15" t="n">
        <f aca="false">IF(SUMPRODUCT((Dictionary!$C$5:$C$96=Dictionary!$A$12)*(Dictionary!$D$5:$D$96&lt;&gt;"")*ISNUMBER(SEARCH(Dictionary!$D$5:$D$96,Data!$I90)))&gt;0,1,0)</f>
        <v>0</v>
      </c>
      <c r="V90" s="15" t="n">
        <f aca="false">IF(SUMPRODUCT((Dictionary!$C$5:$C$96=Dictionary!$A$13)*(Dictionary!$D$5:$D$96&lt;&gt;"")*ISNUMBER(SEARCH(Dictionary!$D$5:$D$96,Data!$I90)))&gt;0,1,0)</f>
        <v>0</v>
      </c>
      <c r="W90" s="15" t="n">
        <f aca="false">IF(SUMPRODUCT((Dictionary!$C$5:$C$96=Dictionary!$A$14)*(Dictionary!$D$5:$D$96&lt;&gt;"")*ISNUMBER(SEARCH(Dictionary!$D$5:$D$96,Data!$I90)))&gt;0,1,0)</f>
        <v>0</v>
      </c>
      <c r="X90" s="15" t="n">
        <f aca="false">IF(SUMPRODUCT((Dictionary!$C$5:$C$96=Dictionary!$A$15)*(Dictionary!$D$5:$D$96&lt;&gt;"")*ISNUMBER(SEARCH(Dictionary!$D$5:$D$96,Data!$I90)))&gt;0,1,0)</f>
        <v>1</v>
      </c>
      <c r="Y90" s="15" t="n">
        <f aca="false">IF(SUMPRODUCT((Dictionary!$C$5:$C$96=Dictionary!$A$16)*(Dictionary!$D$5:$D$96&lt;&gt;"")*ISNUMBER(SEARCH(Dictionary!$D$5:$D$96,Data!$I90)))&gt;0,1,0)</f>
        <v>1</v>
      </c>
      <c r="Z90" s="15" t="n">
        <f aca="false">IF(ISNUMBER(SEARCH("Other",Data!$H90)),1,0)</f>
        <v>0</v>
      </c>
      <c r="AA90" s="15" t="n">
        <f aca="false">IF(Data!$I90&lt;&gt;"",1,0)</f>
        <v>1</v>
      </c>
      <c r="AB90" s="15" t="n">
        <f aca="false">SUM(B90:M90)</f>
        <v>11</v>
      </c>
      <c r="AC90" s="15" t="n">
        <f aca="false">SUMPRODUCT(--((B90:M90+N90:Y90)&gt;0))</f>
        <v>11</v>
      </c>
      <c r="AD90" s="15" t="n">
        <f aca="false">AC90-AB90</f>
        <v>0</v>
      </c>
      <c r="AE90" s="15" t="n">
        <f aca="false">IF(AND(Z90=1,AA90=1),1,0)</f>
        <v>0</v>
      </c>
      <c r="AF90" s="15" t="n">
        <f aca="false">AC90+AE90</f>
        <v>11</v>
      </c>
      <c r="AG90" s="15" t="n">
        <f aca="false">AB90+AE90</f>
        <v>11</v>
      </c>
      <c r="AH90" s="15" t="n">
        <f aca="false">IF(AND(Data!$H90&lt;&gt;"",Data!$I90&lt;&gt;""),1,0)</f>
        <v>1</v>
      </c>
      <c r="AI90" s="15" t="n">
        <f aca="false">IF(AH90=1,SUMPRODUCT(N90:Y90*B90:M90),"")</f>
        <v>2</v>
      </c>
      <c r="AJ90" s="15" t="n">
        <f aca="false">IF(AH90=1,SUMPRODUCT(--(N90:Y90&gt;B90:M90)),"")</f>
        <v>0</v>
      </c>
      <c r="AK90" s="15" t="n">
        <f aca="false">IF(AH90=1,AB90,"")</f>
        <v>11</v>
      </c>
    </row>
    <row r="91" customFormat="false" ht="15" hidden="false" customHeight="true" outlineLevel="0" collapsed="false">
      <c r="A91" s="15" t="str">
        <f aca="false">Data!$A91</f>
        <v>Pressbooks</v>
      </c>
      <c r="B91" s="15" t="n">
        <f aca="false">IF(ISNUMBER(SEARCH(Dictionary!$A$5,Data!$H91)),1,0)</f>
        <v>0</v>
      </c>
      <c r="C91" s="15" t="n">
        <f aca="false">IF(ISNUMBER(SEARCH(Dictionary!$A$6,Data!$H91)),1,0)</f>
        <v>0</v>
      </c>
      <c r="D91" s="15" t="n">
        <f aca="false">IF(ISNUMBER(SEARCH(Dictionary!$A$7,Data!$H91)),1,0)</f>
        <v>0</v>
      </c>
      <c r="E91" s="15" t="n">
        <f aca="false">IF(ISNUMBER(SEARCH(Dictionary!$A$8,Data!$H91)),1,0)</f>
        <v>0</v>
      </c>
      <c r="F91" s="15" t="n">
        <f aca="false">IF(ISNUMBER(SEARCH(Dictionary!$A$9,Data!$H91)),1,0)</f>
        <v>0</v>
      </c>
      <c r="G91" s="15" t="n">
        <f aca="false">IF(ISNUMBER(SEARCH(Dictionary!$A$10,Data!$H91)),1,0)</f>
        <v>0</v>
      </c>
      <c r="H91" s="15" t="n">
        <f aca="false">IF(ISNUMBER(SEARCH(Dictionary!$A$11,Data!$H91)),1,0)</f>
        <v>0</v>
      </c>
      <c r="I91" s="15" t="n">
        <f aca="false">IF(ISNUMBER(SEARCH(Dictionary!$A$12,Data!$H91)),1,0)</f>
        <v>0</v>
      </c>
      <c r="J91" s="15" t="n">
        <f aca="false">IF(ISNUMBER(SEARCH(Dictionary!$A$13,Data!$H91)),1,0)</f>
        <v>0</v>
      </c>
      <c r="K91" s="15" t="n">
        <f aca="false">IF(ISNUMBER(SEARCH(Dictionary!$A$14,Data!$H91)),1,0)</f>
        <v>0</v>
      </c>
      <c r="L91" s="15" t="n">
        <f aca="false">IF(ISNUMBER(SEARCH(Dictionary!$A$15,Data!$H91)),1,0)</f>
        <v>0</v>
      </c>
      <c r="M91" s="15" t="n">
        <f aca="false">IF(ISNUMBER(SEARCH(Dictionary!$A$16,Data!$H91)),1,0)</f>
        <v>0</v>
      </c>
      <c r="N91" s="15" t="n">
        <f aca="false">IF(SUMPRODUCT((Dictionary!$C$5:$C$96=Dictionary!$A$5)*(Dictionary!$D$5:$D$96&lt;&gt;"")*ISNUMBER(SEARCH(Dictionary!$D$5:$D$96,Data!$I91)))&gt;0,1,0)</f>
        <v>0</v>
      </c>
      <c r="O91" s="15" t="n">
        <f aca="false">IF(SUMPRODUCT((Dictionary!$C$5:$C$96=Dictionary!$A$6)*(Dictionary!$D$5:$D$96&lt;&gt;"")*ISNUMBER(SEARCH(Dictionary!$D$5:$D$96,Data!$I91)))&gt;0,1,0)</f>
        <v>0</v>
      </c>
      <c r="P91" s="15" t="n">
        <f aca="false">IF(SUMPRODUCT((Dictionary!$C$5:$C$96=Dictionary!$A$7)*(Dictionary!$D$5:$D$96&lt;&gt;"")*ISNUMBER(SEARCH(Dictionary!$D$5:$D$96,Data!$I91)))&gt;0,1,0)</f>
        <v>1</v>
      </c>
      <c r="Q91" s="15" t="n">
        <f aca="false">IF(SUMPRODUCT((Dictionary!$C$5:$C$96=Dictionary!$A$8)*(Dictionary!$D$5:$D$96&lt;&gt;"")*ISNUMBER(SEARCH(Dictionary!$D$5:$D$96,Data!$I91)))&gt;0,1,0)</f>
        <v>1</v>
      </c>
      <c r="R91" s="15" t="n">
        <f aca="false">IF(SUMPRODUCT((Dictionary!$C$5:$C$96=Dictionary!$A$9)*(Dictionary!$D$5:$D$96&lt;&gt;"")*ISNUMBER(SEARCH(Dictionary!$D$5:$D$96,Data!$I91)))&gt;0,1,0)</f>
        <v>0</v>
      </c>
      <c r="S91" s="15" t="n">
        <f aca="false">IF(SUMPRODUCT((Dictionary!$C$5:$C$96=Dictionary!$A$10)*(Dictionary!$D$5:$D$96&lt;&gt;"")*ISNUMBER(SEARCH(Dictionary!$D$5:$D$96,Data!$I91)))&gt;0,1,0)</f>
        <v>0</v>
      </c>
      <c r="T91" s="15" t="n">
        <f aca="false">IF(SUMPRODUCT((Dictionary!$C$5:$C$96=Dictionary!$A$11)*(Dictionary!$D$5:$D$96&lt;&gt;"")*ISNUMBER(SEARCH(Dictionary!$D$5:$D$96,Data!$I91)))&gt;0,1,0)</f>
        <v>0</v>
      </c>
      <c r="U91" s="15" t="n">
        <f aca="false">IF(SUMPRODUCT((Dictionary!$C$5:$C$96=Dictionary!$A$12)*(Dictionary!$D$5:$D$96&lt;&gt;"")*ISNUMBER(SEARCH(Dictionary!$D$5:$D$96,Data!$I91)))&gt;0,1,0)</f>
        <v>0</v>
      </c>
      <c r="V91" s="15" t="n">
        <f aca="false">IF(SUMPRODUCT((Dictionary!$C$5:$C$96=Dictionary!$A$13)*(Dictionary!$D$5:$D$96&lt;&gt;"")*ISNUMBER(SEARCH(Dictionary!$D$5:$D$96,Data!$I91)))&gt;0,1,0)</f>
        <v>0</v>
      </c>
      <c r="W91" s="15" t="n">
        <f aca="false">IF(SUMPRODUCT((Dictionary!$C$5:$C$96=Dictionary!$A$14)*(Dictionary!$D$5:$D$96&lt;&gt;"")*ISNUMBER(SEARCH(Dictionary!$D$5:$D$96,Data!$I91)))&gt;0,1,0)</f>
        <v>0</v>
      </c>
      <c r="X91" s="15" t="n">
        <f aca="false">IF(SUMPRODUCT((Dictionary!$C$5:$C$96=Dictionary!$A$15)*(Dictionary!$D$5:$D$96&lt;&gt;"")*ISNUMBER(SEARCH(Dictionary!$D$5:$D$96,Data!$I91)))&gt;0,1,0)</f>
        <v>0</v>
      </c>
      <c r="Y91" s="15" t="n">
        <f aca="false">IF(SUMPRODUCT((Dictionary!$C$5:$C$96=Dictionary!$A$16)*(Dictionary!$D$5:$D$96&lt;&gt;"")*ISNUMBER(SEARCH(Dictionary!$D$5:$D$96,Data!$I91)))&gt;0,1,0)</f>
        <v>0</v>
      </c>
      <c r="Z91" s="15" t="n">
        <f aca="false">IF(ISNUMBER(SEARCH("Other",Data!$H91)),1,0)</f>
        <v>0</v>
      </c>
      <c r="AA91" s="15" t="n">
        <f aca="false">IF(Data!$I91&lt;&gt;"",1,0)</f>
        <v>1</v>
      </c>
      <c r="AB91" s="15" t="n">
        <f aca="false">SUM(B91:M91)</f>
        <v>0</v>
      </c>
      <c r="AC91" s="15" t="n">
        <f aca="false">SUMPRODUCT(--((B91:M91+N91:Y91)&gt;0))</f>
        <v>2</v>
      </c>
      <c r="AD91" s="15" t="n">
        <f aca="false">AC91-AB91</f>
        <v>2</v>
      </c>
      <c r="AE91" s="15" t="n">
        <f aca="false">IF(AND(Z91=1,AA91=1),1,0)</f>
        <v>0</v>
      </c>
      <c r="AF91" s="15" t="n">
        <f aca="false">AC91+AE91</f>
        <v>2</v>
      </c>
      <c r="AG91" s="15" t="n">
        <f aca="false">AB91+AE91</f>
        <v>0</v>
      </c>
      <c r="AH91" s="15" t="n">
        <f aca="false">IF(AND(Data!$H91&lt;&gt;"",Data!$I91&lt;&gt;""),1,0)</f>
        <v>0</v>
      </c>
      <c r="AI91" s="15" t="str">
        <f aca="false">IF(AH91=1,SUMPRODUCT(N91:Y91*B91:M91),"")</f>
        <v/>
      </c>
      <c r="AJ91" s="15" t="str">
        <f aca="false">IF(AH91=1,SUMPRODUCT(--(N91:Y91&gt;B91:M91)),"")</f>
        <v/>
      </c>
      <c r="AK91" s="15" t="str">
        <f aca="false">IF(AH91=1,AB91,"")</f>
        <v/>
      </c>
    </row>
    <row r="92" customFormat="false" ht="15" hidden="false" customHeight="true" outlineLevel="0" collapsed="false">
      <c r="A92" s="15" t="str">
        <f aca="false">Data!$A92</f>
        <v>Public Access Submission System</v>
      </c>
      <c r="B92" s="15" t="n">
        <f aca="false">IF(ISNUMBER(SEARCH(Dictionary!$A$5,Data!$H92)),1,0)</f>
        <v>0</v>
      </c>
      <c r="C92" s="15" t="n">
        <f aca="false">IF(ISNUMBER(SEARCH(Dictionary!$A$6,Data!$H92)),1,0)</f>
        <v>0</v>
      </c>
      <c r="D92" s="15" t="n">
        <f aca="false">IF(ISNUMBER(SEARCH(Dictionary!$A$7,Data!$H92)),1,0)</f>
        <v>0</v>
      </c>
      <c r="E92" s="15" t="n">
        <f aca="false">IF(ISNUMBER(SEARCH(Dictionary!$A$8,Data!$H92)),1,0)</f>
        <v>0</v>
      </c>
      <c r="F92" s="15" t="n">
        <f aca="false">IF(ISNUMBER(SEARCH(Dictionary!$A$9,Data!$H92)),1,0)</f>
        <v>0</v>
      </c>
      <c r="G92" s="15" t="n">
        <f aca="false">IF(ISNUMBER(SEARCH(Dictionary!$A$10,Data!$H92)),1,0)</f>
        <v>0</v>
      </c>
      <c r="H92" s="15" t="n">
        <f aca="false">IF(ISNUMBER(SEARCH(Dictionary!$A$11,Data!$H92)),1,0)</f>
        <v>0</v>
      </c>
      <c r="I92" s="15" t="n">
        <f aca="false">IF(ISNUMBER(SEARCH(Dictionary!$A$12,Data!$H92)),1,0)</f>
        <v>0</v>
      </c>
      <c r="J92" s="15" t="n">
        <f aca="false">IF(ISNUMBER(SEARCH(Dictionary!$A$13,Data!$H92)),1,0)</f>
        <v>0</v>
      </c>
      <c r="K92" s="15" t="n">
        <f aca="false">IF(ISNUMBER(SEARCH(Dictionary!$A$14,Data!$H92)),1,0)</f>
        <v>0</v>
      </c>
      <c r="L92" s="15" t="n">
        <f aca="false">IF(ISNUMBER(SEARCH(Dictionary!$A$15,Data!$H92)),1,0)</f>
        <v>0</v>
      </c>
      <c r="M92" s="15" t="n">
        <f aca="false">IF(ISNUMBER(SEARCH(Dictionary!$A$16,Data!$H92)),1,0)</f>
        <v>0</v>
      </c>
      <c r="N92" s="15" t="n">
        <f aca="false">IF(SUMPRODUCT((Dictionary!$C$5:$C$96=Dictionary!$A$5)*(Dictionary!$D$5:$D$96&lt;&gt;"")*ISNUMBER(SEARCH(Dictionary!$D$5:$D$96,Data!$I92)))&gt;0,1,0)</f>
        <v>0</v>
      </c>
      <c r="O92" s="15" t="n">
        <f aca="false">IF(SUMPRODUCT((Dictionary!$C$5:$C$96=Dictionary!$A$6)*(Dictionary!$D$5:$D$96&lt;&gt;"")*ISNUMBER(SEARCH(Dictionary!$D$5:$D$96,Data!$I92)))&gt;0,1,0)</f>
        <v>0</v>
      </c>
      <c r="P92" s="15" t="n">
        <f aca="false">IF(SUMPRODUCT((Dictionary!$C$5:$C$96=Dictionary!$A$7)*(Dictionary!$D$5:$D$96&lt;&gt;"")*ISNUMBER(SEARCH(Dictionary!$D$5:$D$96,Data!$I92)))&gt;0,1,0)</f>
        <v>0</v>
      </c>
      <c r="Q92" s="15" t="n">
        <f aca="false">IF(SUMPRODUCT((Dictionary!$C$5:$C$96=Dictionary!$A$8)*(Dictionary!$D$5:$D$96&lt;&gt;"")*ISNUMBER(SEARCH(Dictionary!$D$5:$D$96,Data!$I92)))&gt;0,1,0)</f>
        <v>0</v>
      </c>
      <c r="R92" s="15" t="n">
        <f aca="false">IF(SUMPRODUCT((Dictionary!$C$5:$C$96=Dictionary!$A$9)*(Dictionary!$D$5:$D$96&lt;&gt;"")*ISNUMBER(SEARCH(Dictionary!$D$5:$D$96,Data!$I92)))&gt;0,1,0)</f>
        <v>0</v>
      </c>
      <c r="S92" s="15" t="n">
        <f aca="false">IF(SUMPRODUCT((Dictionary!$C$5:$C$96=Dictionary!$A$10)*(Dictionary!$D$5:$D$96&lt;&gt;"")*ISNUMBER(SEARCH(Dictionary!$D$5:$D$96,Data!$I92)))&gt;0,1,0)</f>
        <v>0</v>
      </c>
      <c r="T92" s="15" t="n">
        <f aca="false">IF(SUMPRODUCT((Dictionary!$C$5:$C$96=Dictionary!$A$11)*(Dictionary!$D$5:$D$96&lt;&gt;"")*ISNUMBER(SEARCH(Dictionary!$D$5:$D$96,Data!$I92)))&gt;0,1,0)</f>
        <v>0</v>
      </c>
      <c r="U92" s="15" t="n">
        <f aca="false">IF(SUMPRODUCT((Dictionary!$C$5:$C$96=Dictionary!$A$12)*(Dictionary!$D$5:$D$96&lt;&gt;"")*ISNUMBER(SEARCH(Dictionary!$D$5:$D$96,Data!$I92)))&gt;0,1,0)</f>
        <v>0</v>
      </c>
      <c r="V92" s="15" t="n">
        <f aca="false">IF(SUMPRODUCT((Dictionary!$C$5:$C$96=Dictionary!$A$13)*(Dictionary!$D$5:$D$96&lt;&gt;"")*ISNUMBER(SEARCH(Dictionary!$D$5:$D$96,Data!$I92)))&gt;0,1,0)</f>
        <v>0</v>
      </c>
      <c r="W92" s="15" t="n">
        <f aca="false">IF(SUMPRODUCT((Dictionary!$C$5:$C$96=Dictionary!$A$14)*(Dictionary!$D$5:$D$96&lt;&gt;"")*ISNUMBER(SEARCH(Dictionary!$D$5:$D$96,Data!$I92)))&gt;0,1,0)</f>
        <v>0</v>
      </c>
      <c r="X92" s="15" t="n">
        <f aca="false">IF(SUMPRODUCT((Dictionary!$C$5:$C$96=Dictionary!$A$15)*(Dictionary!$D$5:$D$96&lt;&gt;"")*ISNUMBER(SEARCH(Dictionary!$D$5:$D$96,Data!$I92)))&gt;0,1,0)</f>
        <v>0</v>
      </c>
      <c r="Y92" s="15" t="n">
        <f aca="false">IF(SUMPRODUCT((Dictionary!$C$5:$C$96=Dictionary!$A$16)*(Dictionary!$D$5:$D$96&lt;&gt;"")*ISNUMBER(SEARCH(Dictionary!$D$5:$D$96,Data!$I92)))&gt;0,1,0)</f>
        <v>0</v>
      </c>
      <c r="Z92" s="15" t="n">
        <f aca="false">IF(ISNUMBER(SEARCH("Other",Data!$H92)),1,0)</f>
        <v>0</v>
      </c>
      <c r="AA92" s="15" t="n">
        <f aca="false">IF(Data!$I92&lt;&gt;"",1,0)</f>
        <v>0</v>
      </c>
      <c r="AB92" s="15" t="n">
        <f aca="false">SUM(B92:M92)</f>
        <v>0</v>
      </c>
      <c r="AC92" s="15" t="n">
        <f aca="false">SUMPRODUCT(--((B92:M92+N92:Y92)&gt;0))</f>
        <v>0</v>
      </c>
      <c r="AD92" s="15" t="n">
        <f aca="false">AC92-AB92</f>
        <v>0</v>
      </c>
      <c r="AE92" s="15" t="n">
        <f aca="false">IF(AND(Z92=1,AA92=1),1,0)</f>
        <v>0</v>
      </c>
      <c r="AF92" s="15" t="n">
        <f aca="false">AC92+AE92</f>
        <v>0</v>
      </c>
      <c r="AG92" s="15" t="n">
        <f aca="false">AB92+AE92</f>
        <v>0</v>
      </c>
      <c r="AH92" s="15" t="n">
        <f aca="false">IF(AND(Data!$H92&lt;&gt;"",Data!$I92&lt;&gt;""),1,0)</f>
        <v>0</v>
      </c>
      <c r="AI92" s="15" t="str">
        <f aca="false">IF(AH92=1,SUMPRODUCT(N92:Y92*B92:M92),"")</f>
        <v/>
      </c>
      <c r="AJ92" s="15" t="str">
        <f aca="false">IF(AH92=1,SUMPRODUCT(--(N92:Y92&gt;B92:M92)),"")</f>
        <v/>
      </c>
      <c r="AK92" s="15" t="str">
        <f aca="false">IF(AH92=1,AB92,"")</f>
        <v/>
      </c>
    </row>
    <row r="93" customFormat="false" ht="15" hidden="false" customHeight="true" outlineLevel="0" collapsed="false">
      <c r="A93" s="15" t="str">
        <f aca="false">Data!$A93</f>
        <v>Public Utility Data Liberation (PUDL)</v>
      </c>
      <c r="B93" s="15" t="n">
        <f aca="false">IF(ISNUMBER(SEARCH(Dictionary!$A$5,Data!$H93)),1,0)</f>
        <v>0</v>
      </c>
      <c r="C93" s="15" t="n">
        <f aca="false">IF(ISNUMBER(SEARCH(Dictionary!$A$6,Data!$H93)),1,0)</f>
        <v>1</v>
      </c>
      <c r="D93" s="15" t="n">
        <f aca="false">IF(ISNUMBER(SEARCH(Dictionary!$A$7,Data!$H93)),1,0)</f>
        <v>0</v>
      </c>
      <c r="E93" s="15" t="n">
        <f aca="false">IF(ISNUMBER(SEARCH(Dictionary!$A$8,Data!$H93)),1,0)</f>
        <v>1</v>
      </c>
      <c r="F93" s="15" t="n">
        <f aca="false">IF(ISNUMBER(SEARCH(Dictionary!$A$9,Data!$H93)),1,0)</f>
        <v>1</v>
      </c>
      <c r="G93" s="15" t="n">
        <f aca="false">IF(ISNUMBER(SEARCH(Dictionary!$A$10,Data!$H93)),1,0)</f>
        <v>0</v>
      </c>
      <c r="H93" s="15" t="n">
        <f aca="false">IF(ISNUMBER(SEARCH(Dictionary!$A$11,Data!$H93)),1,0)</f>
        <v>1</v>
      </c>
      <c r="I93" s="15" t="n">
        <f aca="false">IF(ISNUMBER(SEARCH(Dictionary!$A$12,Data!$H93)),1,0)</f>
        <v>1</v>
      </c>
      <c r="J93" s="15" t="n">
        <f aca="false">IF(ISNUMBER(SEARCH(Dictionary!$A$13,Data!$H93)),1,0)</f>
        <v>1</v>
      </c>
      <c r="K93" s="15" t="n">
        <f aca="false">IF(ISNUMBER(SEARCH(Dictionary!$A$14,Data!$H93)),1,0)</f>
        <v>1</v>
      </c>
      <c r="L93" s="15" t="n">
        <f aca="false">IF(ISNUMBER(SEARCH(Dictionary!$A$15,Data!$H93)),1,0)</f>
        <v>0</v>
      </c>
      <c r="M93" s="15" t="n">
        <f aca="false">IF(ISNUMBER(SEARCH(Dictionary!$A$16,Data!$H93)),1,0)</f>
        <v>1</v>
      </c>
      <c r="N93" s="15" t="n">
        <f aca="false">IF(SUMPRODUCT((Dictionary!$C$5:$C$96=Dictionary!$A$5)*(Dictionary!$D$5:$D$96&lt;&gt;"")*ISNUMBER(SEARCH(Dictionary!$D$5:$D$96,Data!$I93)))&gt;0,1,0)</f>
        <v>0</v>
      </c>
      <c r="O93" s="15" t="n">
        <f aca="false">IF(SUMPRODUCT((Dictionary!$C$5:$C$96=Dictionary!$A$6)*(Dictionary!$D$5:$D$96&lt;&gt;"")*ISNUMBER(SEARCH(Dictionary!$D$5:$D$96,Data!$I93)))&gt;0,1,0)</f>
        <v>0</v>
      </c>
      <c r="P93" s="15" t="n">
        <f aca="false">IF(SUMPRODUCT((Dictionary!$C$5:$C$96=Dictionary!$A$7)*(Dictionary!$D$5:$D$96&lt;&gt;"")*ISNUMBER(SEARCH(Dictionary!$D$5:$D$96,Data!$I93)))&gt;0,1,0)</f>
        <v>0</v>
      </c>
      <c r="Q93" s="15" t="n">
        <f aca="false">IF(SUMPRODUCT((Dictionary!$C$5:$C$96=Dictionary!$A$8)*(Dictionary!$D$5:$D$96&lt;&gt;"")*ISNUMBER(SEARCH(Dictionary!$D$5:$D$96,Data!$I93)))&gt;0,1,0)</f>
        <v>0</v>
      </c>
      <c r="R93" s="15" t="n">
        <f aca="false">IF(SUMPRODUCT((Dictionary!$C$5:$C$96=Dictionary!$A$9)*(Dictionary!$D$5:$D$96&lt;&gt;"")*ISNUMBER(SEARCH(Dictionary!$D$5:$D$96,Data!$I93)))&gt;0,1,0)</f>
        <v>0</v>
      </c>
      <c r="S93" s="15" t="n">
        <f aca="false">IF(SUMPRODUCT((Dictionary!$C$5:$C$96=Dictionary!$A$10)*(Dictionary!$D$5:$D$96&lt;&gt;"")*ISNUMBER(SEARCH(Dictionary!$D$5:$D$96,Data!$I93)))&gt;0,1,0)</f>
        <v>0</v>
      </c>
      <c r="T93" s="15" t="n">
        <f aca="false">IF(SUMPRODUCT((Dictionary!$C$5:$C$96=Dictionary!$A$11)*(Dictionary!$D$5:$D$96&lt;&gt;"")*ISNUMBER(SEARCH(Dictionary!$D$5:$D$96,Data!$I93)))&gt;0,1,0)</f>
        <v>0</v>
      </c>
      <c r="U93" s="15" t="n">
        <f aca="false">IF(SUMPRODUCT((Dictionary!$C$5:$C$96=Dictionary!$A$12)*(Dictionary!$D$5:$D$96&lt;&gt;"")*ISNUMBER(SEARCH(Dictionary!$D$5:$D$96,Data!$I93)))&gt;0,1,0)</f>
        <v>0</v>
      </c>
      <c r="V93" s="15" t="n">
        <f aca="false">IF(SUMPRODUCT((Dictionary!$C$5:$C$96=Dictionary!$A$13)*(Dictionary!$D$5:$D$96&lt;&gt;"")*ISNUMBER(SEARCH(Dictionary!$D$5:$D$96,Data!$I93)))&gt;0,1,0)</f>
        <v>0</v>
      </c>
      <c r="W93" s="15" t="n">
        <f aca="false">IF(SUMPRODUCT((Dictionary!$C$5:$C$96=Dictionary!$A$14)*(Dictionary!$D$5:$D$96&lt;&gt;"")*ISNUMBER(SEARCH(Dictionary!$D$5:$D$96,Data!$I93)))&gt;0,1,0)</f>
        <v>0</v>
      </c>
      <c r="X93" s="15" t="n">
        <f aca="false">IF(SUMPRODUCT((Dictionary!$C$5:$C$96=Dictionary!$A$15)*(Dictionary!$D$5:$D$96&lt;&gt;"")*ISNUMBER(SEARCH(Dictionary!$D$5:$D$96,Data!$I93)))&gt;0,1,0)</f>
        <v>0</v>
      </c>
      <c r="Y93" s="15" t="n">
        <f aca="false">IF(SUMPRODUCT((Dictionary!$C$5:$C$96=Dictionary!$A$16)*(Dictionary!$D$5:$D$96&lt;&gt;"")*ISNUMBER(SEARCH(Dictionary!$D$5:$D$96,Data!$I93)))&gt;0,1,0)</f>
        <v>0</v>
      </c>
      <c r="Z93" s="15" t="n">
        <f aca="false">IF(ISNUMBER(SEARCH("Other",Data!$H93)),1,0)</f>
        <v>0</v>
      </c>
      <c r="AA93" s="15" t="n">
        <f aca="false">IF(Data!$I93&lt;&gt;"",1,0)</f>
        <v>0</v>
      </c>
      <c r="AB93" s="15" t="n">
        <f aca="false">SUM(B93:M93)</f>
        <v>8</v>
      </c>
      <c r="AC93" s="15" t="n">
        <f aca="false">SUMPRODUCT(--((B93:M93+N93:Y93)&gt;0))</f>
        <v>8</v>
      </c>
      <c r="AD93" s="15" t="n">
        <f aca="false">AC93-AB93</f>
        <v>0</v>
      </c>
      <c r="AE93" s="15" t="n">
        <f aca="false">IF(AND(Z93=1,AA93=1),1,0)</f>
        <v>0</v>
      </c>
      <c r="AF93" s="15" t="n">
        <f aca="false">AC93+AE93</f>
        <v>8</v>
      </c>
      <c r="AG93" s="15" t="n">
        <f aca="false">AB93+AE93</f>
        <v>8</v>
      </c>
      <c r="AH93" s="15" t="n">
        <f aca="false">IF(AND(Data!$H93&lt;&gt;"",Data!$I93&lt;&gt;""),1,0)</f>
        <v>0</v>
      </c>
      <c r="AI93" s="15" t="str">
        <f aca="false">IF(AH93=1,SUMPRODUCT(N93:Y93*B93:M93),"")</f>
        <v/>
      </c>
      <c r="AJ93" s="15" t="str">
        <f aca="false">IF(AH93=1,SUMPRODUCT(--(N93:Y93&gt;B93:M93)),"")</f>
        <v/>
      </c>
      <c r="AK93" s="15" t="str">
        <f aca="false">IF(AH93=1,AB93,"")</f>
        <v/>
      </c>
    </row>
    <row r="94" customFormat="false" ht="15" hidden="false" customHeight="true" outlineLevel="0" collapsed="false">
      <c r="A94" s="15" t="str">
        <f aca="false">Data!$A94</f>
        <v>PubPub</v>
      </c>
      <c r="B94" s="15" t="n">
        <f aca="false">IF(ISNUMBER(SEARCH(Dictionary!$A$5,Data!$H94)),1,0)</f>
        <v>0</v>
      </c>
      <c r="C94" s="15" t="n">
        <f aca="false">IF(ISNUMBER(SEARCH(Dictionary!$A$6,Data!$H94)),1,0)</f>
        <v>0</v>
      </c>
      <c r="D94" s="15" t="n">
        <f aca="false">IF(ISNUMBER(SEARCH(Dictionary!$A$7,Data!$H94)),1,0)</f>
        <v>0</v>
      </c>
      <c r="E94" s="15" t="n">
        <f aca="false">IF(ISNUMBER(SEARCH(Dictionary!$A$8,Data!$H94)),1,0)</f>
        <v>0</v>
      </c>
      <c r="F94" s="15" t="n">
        <f aca="false">IF(ISNUMBER(SEARCH(Dictionary!$A$9,Data!$H94)),1,0)</f>
        <v>0</v>
      </c>
      <c r="G94" s="15" t="n">
        <f aca="false">IF(ISNUMBER(SEARCH(Dictionary!$A$10,Data!$H94)),1,0)</f>
        <v>0</v>
      </c>
      <c r="H94" s="15" t="n">
        <f aca="false">IF(ISNUMBER(SEARCH(Dictionary!$A$11,Data!$H94)),1,0)</f>
        <v>0</v>
      </c>
      <c r="I94" s="15" t="n">
        <f aca="false">IF(ISNUMBER(SEARCH(Dictionary!$A$12,Data!$H94)),1,0)</f>
        <v>0</v>
      </c>
      <c r="J94" s="15" t="n">
        <f aca="false">IF(ISNUMBER(SEARCH(Dictionary!$A$13,Data!$H94)),1,0)</f>
        <v>0</v>
      </c>
      <c r="K94" s="15" t="n">
        <f aca="false">IF(ISNUMBER(SEARCH(Dictionary!$A$14,Data!$H94)),1,0)</f>
        <v>0</v>
      </c>
      <c r="L94" s="15" t="n">
        <f aca="false">IF(ISNUMBER(SEARCH(Dictionary!$A$15,Data!$H94)),1,0)</f>
        <v>0</v>
      </c>
      <c r="M94" s="15" t="n">
        <f aca="false">IF(ISNUMBER(SEARCH(Dictionary!$A$16,Data!$H94)),1,0)</f>
        <v>0</v>
      </c>
      <c r="N94" s="15" t="n">
        <f aca="false">IF(SUMPRODUCT((Dictionary!$C$5:$C$96=Dictionary!$A$5)*(Dictionary!$D$5:$D$96&lt;&gt;"")*ISNUMBER(SEARCH(Dictionary!$D$5:$D$96,Data!$I94)))&gt;0,1,0)</f>
        <v>0</v>
      </c>
      <c r="O94" s="15" t="n">
        <f aca="false">IF(SUMPRODUCT((Dictionary!$C$5:$C$96=Dictionary!$A$6)*(Dictionary!$D$5:$D$96&lt;&gt;"")*ISNUMBER(SEARCH(Dictionary!$D$5:$D$96,Data!$I94)))&gt;0,1,0)</f>
        <v>0</v>
      </c>
      <c r="P94" s="15" t="n">
        <f aca="false">IF(SUMPRODUCT((Dictionary!$C$5:$C$96=Dictionary!$A$7)*(Dictionary!$D$5:$D$96&lt;&gt;"")*ISNUMBER(SEARCH(Dictionary!$D$5:$D$96,Data!$I94)))&gt;0,1,0)</f>
        <v>0</v>
      </c>
      <c r="Q94" s="15" t="n">
        <f aca="false">IF(SUMPRODUCT((Dictionary!$C$5:$C$96=Dictionary!$A$8)*(Dictionary!$D$5:$D$96&lt;&gt;"")*ISNUMBER(SEARCH(Dictionary!$D$5:$D$96,Data!$I94)))&gt;0,1,0)</f>
        <v>0</v>
      </c>
      <c r="R94" s="15" t="n">
        <f aca="false">IF(SUMPRODUCT((Dictionary!$C$5:$C$96=Dictionary!$A$9)*(Dictionary!$D$5:$D$96&lt;&gt;"")*ISNUMBER(SEARCH(Dictionary!$D$5:$D$96,Data!$I94)))&gt;0,1,0)</f>
        <v>0</v>
      </c>
      <c r="S94" s="15" t="n">
        <f aca="false">IF(SUMPRODUCT((Dictionary!$C$5:$C$96=Dictionary!$A$10)*(Dictionary!$D$5:$D$96&lt;&gt;"")*ISNUMBER(SEARCH(Dictionary!$D$5:$D$96,Data!$I94)))&gt;0,1,0)</f>
        <v>1</v>
      </c>
      <c r="T94" s="15" t="n">
        <f aca="false">IF(SUMPRODUCT((Dictionary!$C$5:$C$96=Dictionary!$A$11)*(Dictionary!$D$5:$D$96&lt;&gt;"")*ISNUMBER(SEARCH(Dictionary!$D$5:$D$96,Data!$I94)))&gt;0,1,0)</f>
        <v>0</v>
      </c>
      <c r="U94" s="15" t="n">
        <f aca="false">IF(SUMPRODUCT((Dictionary!$C$5:$C$96=Dictionary!$A$12)*(Dictionary!$D$5:$D$96&lt;&gt;"")*ISNUMBER(SEARCH(Dictionary!$D$5:$D$96,Data!$I94)))&gt;0,1,0)</f>
        <v>0</v>
      </c>
      <c r="V94" s="15" t="n">
        <f aca="false">IF(SUMPRODUCT((Dictionary!$C$5:$C$96=Dictionary!$A$13)*(Dictionary!$D$5:$D$96&lt;&gt;"")*ISNUMBER(SEARCH(Dictionary!$D$5:$D$96,Data!$I94)))&gt;0,1,0)</f>
        <v>1</v>
      </c>
      <c r="W94" s="15" t="n">
        <f aca="false">IF(SUMPRODUCT((Dictionary!$C$5:$C$96=Dictionary!$A$14)*(Dictionary!$D$5:$D$96&lt;&gt;"")*ISNUMBER(SEARCH(Dictionary!$D$5:$D$96,Data!$I94)))&gt;0,1,0)</f>
        <v>0</v>
      </c>
      <c r="X94" s="15" t="n">
        <f aca="false">IF(SUMPRODUCT((Dictionary!$C$5:$C$96=Dictionary!$A$15)*(Dictionary!$D$5:$D$96&lt;&gt;"")*ISNUMBER(SEARCH(Dictionary!$D$5:$D$96,Data!$I94)))&gt;0,1,0)</f>
        <v>0</v>
      </c>
      <c r="Y94" s="15" t="n">
        <f aca="false">IF(SUMPRODUCT((Dictionary!$C$5:$C$96=Dictionary!$A$16)*(Dictionary!$D$5:$D$96&lt;&gt;"")*ISNUMBER(SEARCH(Dictionary!$D$5:$D$96,Data!$I94)))&gt;0,1,0)</f>
        <v>0</v>
      </c>
      <c r="Z94" s="15" t="n">
        <f aca="false">IF(ISNUMBER(SEARCH("Other",Data!$H94)),1,0)</f>
        <v>0</v>
      </c>
      <c r="AA94" s="15" t="n">
        <f aca="false">IF(Data!$I94&lt;&gt;"",1,0)</f>
        <v>1</v>
      </c>
      <c r="AB94" s="15" t="n">
        <f aca="false">SUM(B94:M94)</f>
        <v>0</v>
      </c>
      <c r="AC94" s="15" t="n">
        <f aca="false">SUMPRODUCT(--((B94:M94+N94:Y94)&gt;0))</f>
        <v>2</v>
      </c>
      <c r="AD94" s="15" t="n">
        <f aca="false">AC94-AB94</f>
        <v>2</v>
      </c>
      <c r="AE94" s="15" t="n">
        <f aca="false">IF(AND(Z94=1,AA94=1),1,0)</f>
        <v>0</v>
      </c>
      <c r="AF94" s="15" t="n">
        <f aca="false">AC94+AE94</f>
        <v>2</v>
      </c>
      <c r="AG94" s="15" t="n">
        <f aca="false">AB94+AE94</f>
        <v>0</v>
      </c>
      <c r="AH94" s="15" t="n">
        <f aca="false">IF(AND(Data!$H94&lt;&gt;"",Data!$I94&lt;&gt;""),1,0)</f>
        <v>0</v>
      </c>
      <c r="AI94" s="15" t="str">
        <f aca="false">IF(AH94=1,SUMPRODUCT(N94:Y94*B94:M94),"")</f>
        <v/>
      </c>
      <c r="AJ94" s="15" t="str">
        <f aca="false">IF(AH94=1,SUMPRODUCT(--(N94:Y94&gt;B94:M94)),"")</f>
        <v/>
      </c>
      <c r="AK94" s="15" t="str">
        <f aca="false">IF(AH94=1,AB94,"")</f>
        <v/>
      </c>
    </row>
    <row r="95" customFormat="false" ht="15" hidden="false" customHeight="true" outlineLevel="0" collapsed="false">
      <c r="A95" s="15" t="str">
        <f aca="false">Data!$A95</f>
        <v>Pundit</v>
      </c>
      <c r="B95" s="15" t="n">
        <f aca="false">IF(ISNUMBER(SEARCH(Dictionary!$A$5,Data!$H95)),1,0)</f>
        <v>0</v>
      </c>
      <c r="C95" s="15" t="n">
        <f aca="false">IF(ISNUMBER(SEARCH(Dictionary!$A$6,Data!$H95)),1,0)</f>
        <v>1</v>
      </c>
      <c r="D95" s="15" t="n">
        <f aca="false">IF(ISNUMBER(SEARCH(Dictionary!$A$7,Data!$H95)),1,0)</f>
        <v>0</v>
      </c>
      <c r="E95" s="15" t="n">
        <f aca="false">IF(ISNUMBER(SEARCH(Dictionary!$A$8,Data!$H95)),1,0)</f>
        <v>1</v>
      </c>
      <c r="F95" s="15" t="n">
        <f aca="false">IF(ISNUMBER(SEARCH(Dictionary!$A$9,Data!$H95)),1,0)</f>
        <v>0</v>
      </c>
      <c r="G95" s="15" t="n">
        <f aca="false">IF(ISNUMBER(SEARCH(Dictionary!$A$10,Data!$H95)),1,0)</f>
        <v>0</v>
      </c>
      <c r="H95" s="15" t="n">
        <f aca="false">IF(ISNUMBER(SEARCH(Dictionary!$A$11,Data!$H95)),1,0)</f>
        <v>0</v>
      </c>
      <c r="I95" s="15" t="n">
        <f aca="false">IF(ISNUMBER(SEARCH(Dictionary!$A$12,Data!$H95)),1,0)</f>
        <v>1</v>
      </c>
      <c r="J95" s="15" t="n">
        <f aca="false">IF(ISNUMBER(SEARCH(Dictionary!$A$13,Data!$H95)),1,0)</f>
        <v>0</v>
      </c>
      <c r="K95" s="15" t="n">
        <f aca="false">IF(ISNUMBER(SEARCH(Dictionary!$A$14,Data!$H95)),1,0)</f>
        <v>0</v>
      </c>
      <c r="L95" s="15" t="n">
        <f aca="false">IF(ISNUMBER(SEARCH(Dictionary!$A$15,Data!$H95)),1,0)</f>
        <v>0</v>
      </c>
      <c r="M95" s="15" t="n">
        <f aca="false">IF(ISNUMBER(SEARCH(Dictionary!$A$16,Data!$H95)),1,0)</f>
        <v>0</v>
      </c>
      <c r="N95" s="15" t="n">
        <f aca="false">IF(SUMPRODUCT((Dictionary!$C$5:$C$96=Dictionary!$A$5)*(Dictionary!$D$5:$D$96&lt;&gt;"")*ISNUMBER(SEARCH(Dictionary!$D$5:$D$96,Data!$I95)))&gt;0,1,0)</f>
        <v>0</v>
      </c>
      <c r="O95" s="15" t="n">
        <f aca="false">IF(SUMPRODUCT((Dictionary!$C$5:$C$96=Dictionary!$A$6)*(Dictionary!$D$5:$D$96&lt;&gt;"")*ISNUMBER(SEARCH(Dictionary!$D$5:$D$96,Data!$I95)))&gt;0,1,0)</f>
        <v>0</v>
      </c>
      <c r="P95" s="15" t="n">
        <f aca="false">IF(SUMPRODUCT((Dictionary!$C$5:$C$96=Dictionary!$A$7)*(Dictionary!$D$5:$D$96&lt;&gt;"")*ISNUMBER(SEARCH(Dictionary!$D$5:$D$96,Data!$I95)))&gt;0,1,0)</f>
        <v>0</v>
      </c>
      <c r="Q95" s="15" t="n">
        <f aca="false">IF(SUMPRODUCT((Dictionary!$C$5:$C$96=Dictionary!$A$8)*(Dictionary!$D$5:$D$96&lt;&gt;"")*ISNUMBER(SEARCH(Dictionary!$D$5:$D$96,Data!$I95)))&gt;0,1,0)</f>
        <v>0</v>
      </c>
      <c r="R95" s="15" t="n">
        <f aca="false">IF(SUMPRODUCT((Dictionary!$C$5:$C$96=Dictionary!$A$9)*(Dictionary!$D$5:$D$96&lt;&gt;"")*ISNUMBER(SEARCH(Dictionary!$D$5:$D$96,Data!$I95)))&gt;0,1,0)</f>
        <v>0</v>
      </c>
      <c r="S95" s="15" t="n">
        <f aca="false">IF(SUMPRODUCT((Dictionary!$C$5:$C$96=Dictionary!$A$10)*(Dictionary!$D$5:$D$96&lt;&gt;"")*ISNUMBER(SEARCH(Dictionary!$D$5:$D$96,Data!$I95)))&gt;0,1,0)</f>
        <v>0</v>
      </c>
      <c r="T95" s="15" t="n">
        <f aca="false">IF(SUMPRODUCT((Dictionary!$C$5:$C$96=Dictionary!$A$11)*(Dictionary!$D$5:$D$96&lt;&gt;"")*ISNUMBER(SEARCH(Dictionary!$D$5:$D$96,Data!$I95)))&gt;0,1,0)</f>
        <v>0</v>
      </c>
      <c r="U95" s="15" t="n">
        <f aca="false">IF(SUMPRODUCT((Dictionary!$C$5:$C$96=Dictionary!$A$12)*(Dictionary!$D$5:$D$96&lt;&gt;"")*ISNUMBER(SEARCH(Dictionary!$D$5:$D$96,Data!$I95)))&gt;0,1,0)</f>
        <v>0</v>
      </c>
      <c r="V95" s="15" t="n">
        <f aca="false">IF(SUMPRODUCT((Dictionary!$C$5:$C$96=Dictionary!$A$13)*(Dictionary!$D$5:$D$96&lt;&gt;"")*ISNUMBER(SEARCH(Dictionary!$D$5:$D$96,Data!$I95)))&gt;0,1,0)</f>
        <v>0</v>
      </c>
      <c r="W95" s="15" t="n">
        <f aca="false">IF(SUMPRODUCT((Dictionary!$C$5:$C$96=Dictionary!$A$14)*(Dictionary!$D$5:$D$96&lt;&gt;"")*ISNUMBER(SEARCH(Dictionary!$D$5:$D$96,Data!$I95)))&gt;0,1,0)</f>
        <v>0</v>
      </c>
      <c r="X95" s="15" t="n">
        <f aca="false">IF(SUMPRODUCT((Dictionary!$C$5:$C$96=Dictionary!$A$15)*(Dictionary!$D$5:$D$96&lt;&gt;"")*ISNUMBER(SEARCH(Dictionary!$D$5:$D$96,Data!$I95)))&gt;0,1,0)</f>
        <v>0</v>
      </c>
      <c r="Y95" s="15" t="n">
        <f aca="false">IF(SUMPRODUCT((Dictionary!$C$5:$C$96=Dictionary!$A$16)*(Dictionary!$D$5:$D$96&lt;&gt;"")*ISNUMBER(SEARCH(Dictionary!$D$5:$D$96,Data!$I95)))&gt;0,1,0)</f>
        <v>0</v>
      </c>
      <c r="Z95" s="15" t="n">
        <f aca="false">IF(ISNUMBER(SEARCH("Other",Data!$H95)),1,0)</f>
        <v>0</v>
      </c>
      <c r="AA95" s="15" t="n">
        <f aca="false">IF(Data!$I95&lt;&gt;"",1,0)</f>
        <v>0</v>
      </c>
      <c r="AB95" s="15" t="n">
        <f aca="false">SUM(B95:M95)</f>
        <v>3</v>
      </c>
      <c r="AC95" s="15" t="n">
        <f aca="false">SUMPRODUCT(--((B95:M95+N95:Y95)&gt;0))</f>
        <v>3</v>
      </c>
      <c r="AD95" s="15" t="n">
        <f aca="false">AC95-AB95</f>
        <v>0</v>
      </c>
      <c r="AE95" s="15" t="n">
        <f aca="false">IF(AND(Z95=1,AA95=1),1,0)</f>
        <v>0</v>
      </c>
      <c r="AF95" s="15" t="n">
        <f aca="false">AC95+AE95</f>
        <v>3</v>
      </c>
      <c r="AG95" s="15" t="n">
        <f aca="false">AB95+AE95</f>
        <v>3</v>
      </c>
      <c r="AH95" s="15" t="n">
        <f aca="false">IF(AND(Data!$H95&lt;&gt;"",Data!$I95&lt;&gt;""),1,0)</f>
        <v>0</v>
      </c>
      <c r="AI95" s="15" t="str">
        <f aca="false">IF(AH95=1,SUMPRODUCT(N95:Y95*B95:M95),"")</f>
        <v/>
      </c>
      <c r="AJ95" s="15" t="str">
        <f aca="false">IF(AH95=1,SUMPRODUCT(--(N95:Y95&gt;B95:M95)),"")</f>
        <v/>
      </c>
      <c r="AK95" s="15" t="str">
        <f aca="false">IF(AH95=1,AB95,"")</f>
        <v/>
      </c>
    </row>
    <row r="96" customFormat="false" ht="15" hidden="false" customHeight="true" outlineLevel="0" collapsed="false">
      <c r="A96" s="15" t="str">
        <f aca="false">Data!$A96</f>
        <v>pyOpenSci</v>
      </c>
      <c r="B96" s="15" t="n">
        <f aca="false">IF(ISNUMBER(SEARCH(Dictionary!$A$5,Data!$H96)),1,0)</f>
        <v>0</v>
      </c>
      <c r="C96" s="15" t="n">
        <f aca="false">IF(ISNUMBER(SEARCH(Dictionary!$A$6,Data!$H96)),1,0)</f>
        <v>0</v>
      </c>
      <c r="D96" s="15" t="n">
        <f aca="false">IF(ISNUMBER(SEARCH(Dictionary!$A$7,Data!$H96)),1,0)</f>
        <v>0</v>
      </c>
      <c r="E96" s="15" t="n">
        <f aca="false">IF(ISNUMBER(SEARCH(Dictionary!$A$8,Data!$H96)),1,0)</f>
        <v>0</v>
      </c>
      <c r="F96" s="15" t="n">
        <f aca="false">IF(ISNUMBER(SEARCH(Dictionary!$A$9,Data!$H96)),1,0)</f>
        <v>0</v>
      </c>
      <c r="G96" s="15" t="n">
        <f aca="false">IF(ISNUMBER(SEARCH(Dictionary!$A$10,Data!$H96)),1,0)</f>
        <v>0</v>
      </c>
      <c r="H96" s="15" t="n">
        <f aca="false">IF(ISNUMBER(SEARCH(Dictionary!$A$11,Data!$H96)),1,0)</f>
        <v>0</v>
      </c>
      <c r="I96" s="15" t="n">
        <f aca="false">IF(ISNUMBER(SEARCH(Dictionary!$A$12,Data!$H96)),1,0)</f>
        <v>0</v>
      </c>
      <c r="J96" s="15" t="n">
        <f aca="false">IF(ISNUMBER(SEARCH(Dictionary!$A$13,Data!$H96)),1,0)</f>
        <v>0</v>
      </c>
      <c r="K96" s="15" t="n">
        <f aca="false">IF(ISNUMBER(SEARCH(Dictionary!$A$14,Data!$H96)),1,0)</f>
        <v>0</v>
      </c>
      <c r="L96" s="15" t="n">
        <f aca="false">IF(ISNUMBER(SEARCH(Dictionary!$A$15,Data!$H96)),1,0)</f>
        <v>0</v>
      </c>
      <c r="M96" s="15" t="n">
        <f aca="false">IF(ISNUMBER(SEARCH(Dictionary!$A$16,Data!$H96)),1,0)</f>
        <v>0</v>
      </c>
      <c r="N96" s="15" t="n">
        <f aca="false">IF(SUMPRODUCT((Dictionary!$C$5:$C$96=Dictionary!$A$5)*(Dictionary!$D$5:$D$96&lt;&gt;"")*ISNUMBER(SEARCH(Dictionary!$D$5:$D$96,Data!$I96)))&gt;0,1,0)</f>
        <v>0</v>
      </c>
      <c r="O96" s="15" t="n">
        <f aca="false">IF(SUMPRODUCT((Dictionary!$C$5:$C$96=Dictionary!$A$6)*(Dictionary!$D$5:$D$96&lt;&gt;"")*ISNUMBER(SEARCH(Dictionary!$D$5:$D$96,Data!$I96)))&gt;0,1,0)</f>
        <v>0</v>
      </c>
      <c r="P96" s="15" t="n">
        <f aca="false">IF(SUMPRODUCT((Dictionary!$C$5:$C$96=Dictionary!$A$7)*(Dictionary!$D$5:$D$96&lt;&gt;"")*ISNUMBER(SEARCH(Dictionary!$D$5:$D$96,Data!$I96)))&gt;0,1,0)</f>
        <v>0</v>
      </c>
      <c r="Q96" s="15" t="n">
        <f aca="false">IF(SUMPRODUCT((Dictionary!$C$5:$C$96=Dictionary!$A$8)*(Dictionary!$D$5:$D$96&lt;&gt;"")*ISNUMBER(SEARCH(Dictionary!$D$5:$D$96,Data!$I96)))&gt;0,1,0)</f>
        <v>0</v>
      </c>
      <c r="R96" s="15" t="n">
        <f aca="false">IF(SUMPRODUCT((Dictionary!$C$5:$C$96=Dictionary!$A$9)*(Dictionary!$D$5:$D$96&lt;&gt;"")*ISNUMBER(SEARCH(Dictionary!$D$5:$D$96,Data!$I96)))&gt;0,1,0)</f>
        <v>0</v>
      </c>
      <c r="S96" s="15" t="n">
        <f aca="false">IF(SUMPRODUCT((Dictionary!$C$5:$C$96=Dictionary!$A$10)*(Dictionary!$D$5:$D$96&lt;&gt;"")*ISNUMBER(SEARCH(Dictionary!$D$5:$D$96,Data!$I96)))&gt;0,1,0)</f>
        <v>0</v>
      </c>
      <c r="T96" s="15" t="n">
        <f aca="false">IF(SUMPRODUCT((Dictionary!$C$5:$C$96=Dictionary!$A$11)*(Dictionary!$D$5:$D$96&lt;&gt;"")*ISNUMBER(SEARCH(Dictionary!$D$5:$D$96,Data!$I96)))&gt;0,1,0)</f>
        <v>0</v>
      </c>
      <c r="U96" s="15" t="n">
        <f aca="false">IF(SUMPRODUCT((Dictionary!$C$5:$C$96=Dictionary!$A$12)*(Dictionary!$D$5:$D$96&lt;&gt;"")*ISNUMBER(SEARCH(Dictionary!$D$5:$D$96,Data!$I96)))&gt;0,1,0)</f>
        <v>0</v>
      </c>
      <c r="V96" s="15" t="n">
        <f aca="false">IF(SUMPRODUCT((Dictionary!$C$5:$C$96=Dictionary!$A$13)*(Dictionary!$D$5:$D$96&lt;&gt;"")*ISNUMBER(SEARCH(Dictionary!$D$5:$D$96,Data!$I96)))&gt;0,1,0)</f>
        <v>0</v>
      </c>
      <c r="W96" s="15" t="n">
        <f aca="false">IF(SUMPRODUCT((Dictionary!$C$5:$C$96=Dictionary!$A$14)*(Dictionary!$D$5:$D$96&lt;&gt;"")*ISNUMBER(SEARCH(Dictionary!$D$5:$D$96,Data!$I96)))&gt;0,1,0)</f>
        <v>0</v>
      </c>
      <c r="X96" s="15" t="n">
        <f aca="false">IF(SUMPRODUCT((Dictionary!$C$5:$C$96=Dictionary!$A$15)*(Dictionary!$D$5:$D$96&lt;&gt;"")*ISNUMBER(SEARCH(Dictionary!$D$5:$D$96,Data!$I96)))&gt;0,1,0)</f>
        <v>0</v>
      </c>
      <c r="Y96" s="15" t="n">
        <f aca="false">IF(SUMPRODUCT((Dictionary!$C$5:$C$96=Dictionary!$A$16)*(Dictionary!$D$5:$D$96&lt;&gt;"")*ISNUMBER(SEARCH(Dictionary!$D$5:$D$96,Data!$I96)))&gt;0,1,0)</f>
        <v>0</v>
      </c>
      <c r="Z96" s="15" t="n">
        <f aca="false">IF(ISNUMBER(SEARCH("Other",Data!$H96)),1,0)</f>
        <v>0</v>
      </c>
      <c r="AA96" s="15" t="n">
        <f aca="false">IF(Data!$I96&lt;&gt;"",1,0)</f>
        <v>0</v>
      </c>
      <c r="AB96" s="15" t="n">
        <f aca="false">SUM(B96:M96)</f>
        <v>0</v>
      </c>
      <c r="AC96" s="15" t="n">
        <f aca="false">SUMPRODUCT(--((B96:M96+N96:Y96)&gt;0))</f>
        <v>0</v>
      </c>
      <c r="AD96" s="15" t="n">
        <f aca="false">AC96-AB96</f>
        <v>0</v>
      </c>
      <c r="AE96" s="15" t="n">
        <f aca="false">IF(AND(Z96=1,AA96=1),1,0)</f>
        <v>0</v>
      </c>
      <c r="AF96" s="15" t="n">
        <f aca="false">AC96+AE96</f>
        <v>0</v>
      </c>
      <c r="AG96" s="15" t="n">
        <f aca="false">AB96+AE96</f>
        <v>0</v>
      </c>
      <c r="AH96" s="15" t="n">
        <f aca="false">IF(AND(Data!$H96&lt;&gt;"",Data!$I96&lt;&gt;""),1,0)</f>
        <v>0</v>
      </c>
      <c r="AI96" s="15" t="str">
        <f aca="false">IF(AH96=1,SUMPRODUCT(N96:Y96*B96:M96),"")</f>
        <v/>
      </c>
      <c r="AJ96" s="15" t="str">
        <f aca="false">IF(AH96=1,SUMPRODUCT(--(N96:Y96&gt;B96:M96)),"")</f>
        <v/>
      </c>
      <c r="AK96" s="15" t="str">
        <f aca="false">IF(AH96=1,AB96,"")</f>
        <v/>
      </c>
    </row>
    <row r="97" customFormat="false" ht="15" hidden="false" customHeight="true" outlineLevel="0" collapsed="false">
      <c r="A97" s="15" t="str">
        <f aca="false">Data!$A97</f>
        <v>Renku</v>
      </c>
      <c r="B97" s="15" t="n">
        <f aca="false">IF(ISNUMBER(SEARCH(Dictionary!$A$5,Data!$H97)),1,0)</f>
        <v>1</v>
      </c>
      <c r="C97" s="15" t="n">
        <f aca="false">IF(ISNUMBER(SEARCH(Dictionary!$A$6,Data!$H97)),1,0)</f>
        <v>1</v>
      </c>
      <c r="D97" s="15" t="n">
        <f aca="false">IF(ISNUMBER(SEARCH(Dictionary!$A$7,Data!$H97)),1,0)</f>
        <v>1</v>
      </c>
      <c r="E97" s="15" t="n">
        <f aca="false">IF(ISNUMBER(SEARCH(Dictionary!$A$8,Data!$H97)),1,0)</f>
        <v>1</v>
      </c>
      <c r="F97" s="15" t="n">
        <f aca="false">IF(ISNUMBER(SEARCH(Dictionary!$A$9,Data!$H97)),1,0)</f>
        <v>0</v>
      </c>
      <c r="G97" s="15" t="n">
        <f aca="false">IF(ISNUMBER(SEARCH(Dictionary!$A$10,Data!$H97)),1,0)</f>
        <v>0</v>
      </c>
      <c r="H97" s="15" t="n">
        <f aca="false">IF(ISNUMBER(SEARCH(Dictionary!$A$11,Data!$H97)),1,0)</f>
        <v>1</v>
      </c>
      <c r="I97" s="15" t="n">
        <f aca="false">IF(ISNUMBER(SEARCH(Dictionary!$A$12,Data!$H97)),1,0)</f>
        <v>0</v>
      </c>
      <c r="J97" s="15" t="n">
        <f aca="false">IF(ISNUMBER(SEARCH(Dictionary!$A$13,Data!$H97)),1,0)</f>
        <v>0</v>
      </c>
      <c r="K97" s="15" t="n">
        <f aca="false">IF(ISNUMBER(SEARCH(Dictionary!$A$14,Data!$H97)),1,0)</f>
        <v>1</v>
      </c>
      <c r="L97" s="15" t="n">
        <f aca="false">IF(ISNUMBER(SEARCH(Dictionary!$A$15,Data!$H97)),1,0)</f>
        <v>0</v>
      </c>
      <c r="M97" s="15" t="n">
        <f aca="false">IF(ISNUMBER(SEARCH(Dictionary!$A$16,Data!$H97)),1,0)</f>
        <v>1</v>
      </c>
      <c r="N97" s="15" t="n">
        <f aca="false">IF(SUMPRODUCT((Dictionary!$C$5:$C$96=Dictionary!$A$5)*(Dictionary!$D$5:$D$96&lt;&gt;"")*ISNUMBER(SEARCH(Dictionary!$D$5:$D$96,Data!$I97)))&gt;0,1,0)</f>
        <v>0</v>
      </c>
      <c r="O97" s="15" t="n">
        <f aca="false">IF(SUMPRODUCT((Dictionary!$C$5:$C$96=Dictionary!$A$6)*(Dictionary!$D$5:$D$96&lt;&gt;"")*ISNUMBER(SEARCH(Dictionary!$D$5:$D$96,Data!$I97)))&gt;0,1,0)</f>
        <v>0</v>
      </c>
      <c r="P97" s="15" t="n">
        <f aca="false">IF(SUMPRODUCT((Dictionary!$C$5:$C$96=Dictionary!$A$7)*(Dictionary!$D$5:$D$96&lt;&gt;"")*ISNUMBER(SEARCH(Dictionary!$D$5:$D$96,Data!$I97)))&gt;0,1,0)</f>
        <v>0</v>
      </c>
      <c r="Q97" s="15" t="n">
        <f aca="false">IF(SUMPRODUCT((Dictionary!$C$5:$C$96=Dictionary!$A$8)*(Dictionary!$D$5:$D$96&lt;&gt;"")*ISNUMBER(SEARCH(Dictionary!$D$5:$D$96,Data!$I97)))&gt;0,1,0)</f>
        <v>0</v>
      </c>
      <c r="R97" s="15" t="n">
        <f aca="false">IF(SUMPRODUCT((Dictionary!$C$5:$C$96=Dictionary!$A$9)*(Dictionary!$D$5:$D$96&lt;&gt;"")*ISNUMBER(SEARCH(Dictionary!$D$5:$D$96,Data!$I97)))&gt;0,1,0)</f>
        <v>0</v>
      </c>
      <c r="S97" s="15" t="n">
        <f aca="false">IF(SUMPRODUCT((Dictionary!$C$5:$C$96=Dictionary!$A$10)*(Dictionary!$D$5:$D$96&lt;&gt;"")*ISNUMBER(SEARCH(Dictionary!$D$5:$D$96,Data!$I97)))&gt;0,1,0)</f>
        <v>0</v>
      </c>
      <c r="T97" s="15" t="n">
        <f aca="false">IF(SUMPRODUCT((Dictionary!$C$5:$C$96=Dictionary!$A$11)*(Dictionary!$D$5:$D$96&lt;&gt;"")*ISNUMBER(SEARCH(Dictionary!$D$5:$D$96,Data!$I97)))&gt;0,1,0)</f>
        <v>0</v>
      </c>
      <c r="U97" s="15" t="n">
        <f aca="false">IF(SUMPRODUCT((Dictionary!$C$5:$C$96=Dictionary!$A$12)*(Dictionary!$D$5:$D$96&lt;&gt;"")*ISNUMBER(SEARCH(Dictionary!$D$5:$D$96,Data!$I97)))&gt;0,1,0)</f>
        <v>0</v>
      </c>
      <c r="V97" s="15" t="n">
        <f aca="false">IF(SUMPRODUCT((Dictionary!$C$5:$C$96=Dictionary!$A$13)*(Dictionary!$D$5:$D$96&lt;&gt;"")*ISNUMBER(SEARCH(Dictionary!$D$5:$D$96,Data!$I97)))&gt;0,1,0)</f>
        <v>0</v>
      </c>
      <c r="W97" s="15" t="n">
        <f aca="false">IF(SUMPRODUCT((Dictionary!$C$5:$C$96=Dictionary!$A$14)*(Dictionary!$D$5:$D$96&lt;&gt;"")*ISNUMBER(SEARCH(Dictionary!$D$5:$D$96,Data!$I97)))&gt;0,1,0)</f>
        <v>0</v>
      </c>
      <c r="X97" s="15" t="n">
        <f aca="false">IF(SUMPRODUCT((Dictionary!$C$5:$C$96=Dictionary!$A$15)*(Dictionary!$D$5:$D$96&lt;&gt;"")*ISNUMBER(SEARCH(Dictionary!$D$5:$D$96,Data!$I97)))&gt;0,1,0)</f>
        <v>0</v>
      </c>
      <c r="Y97" s="15" t="n">
        <f aca="false">IF(SUMPRODUCT((Dictionary!$C$5:$C$96=Dictionary!$A$16)*(Dictionary!$D$5:$D$96&lt;&gt;"")*ISNUMBER(SEARCH(Dictionary!$D$5:$D$96,Data!$I97)))&gt;0,1,0)</f>
        <v>0</v>
      </c>
      <c r="Z97" s="15" t="n">
        <f aca="false">IF(ISNUMBER(SEARCH("Other",Data!$H97)),1,0)</f>
        <v>0</v>
      </c>
      <c r="AA97" s="15" t="n">
        <f aca="false">IF(Data!$I97&lt;&gt;"",1,0)</f>
        <v>0</v>
      </c>
      <c r="AB97" s="15" t="n">
        <f aca="false">SUM(B97:M97)</f>
        <v>7</v>
      </c>
      <c r="AC97" s="15" t="n">
        <f aca="false">SUMPRODUCT(--((B97:M97+N97:Y97)&gt;0))</f>
        <v>7</v>
      </c>
      <c r="AD97" s="15" t="n">
        <f aca="false">AC97-AB97</f>
        <v>0</v>
      </c>
      <c r="AE97" s="15" t="n">
        <f aca="false">IF(AND(Z97=1,AA97=1),1,0)</f>
        <v>0</v>
      </c>
      <c r="AF97" s="15" t="n">
        <f aca="false">AC97+AE97</f>
        <v>7</v>
      </c>
      <c r="AG97" s="15" t="n">
        <f aca="false">AB97+AE97</f>
        <v>7</v>
      </c>
      <c r="AH97" s="15" t="n">
        <f aca="false">IF(AND(Data!$H97&lt;&gt;"",Data!$I97&lt;&gt;""),1,0)</f>
        <v>0</v>
      </c>
      <c r="AI97" s="15" t="str">
        <f aca="false">IF(AH97=1,SUMPRODUCT(N97:Y97*B97:M97),"")</f>
        <v/>
      </c>
      <c r="AJ97" s="15" t="str">
        <f aca="false">IF(AH97=1,SUMPRODUCT(--(N97:Y97&gt;B97:M97)),"")</f>
        <v/>
      </c>
      <c r="AK97" s="15" t="str">
        <f aca="false">IF(AH97=1,AB97,"")</f>
        <v/>
      </c>
    </row>
    <row r="98" customFormat="false" ht="15" hidden="false" customHeight="true" outlineLevel="0" collapsed="false">
      <c r="A98" s="15" t="str">
        <f aca="false">Data!$A98</f>
        <v>RePEc</v>
      </c>
      <c r="B98" s="15" t="n">
        <f aca="false">IF(ISNUMBER(SEARCH(Dictionary!$A$5,Data!$H98)),1,0)</f>
        <v>0</v>
      </c>
      <c r="C98" s="15" t="n">
        <f aca="false">IF(ISNUMBER(SEARCH(Dictionary!$A$6,Data!$H98)),1,0)</f>
        <v>1</v>
      </c>
      <c r="D98" s="15" t="n">
        <f aca="false">IF(ISNUMBER(SEARCH(Dictionary!$A$7,Data!$H98)),1,0)</f>
        <v>0</v>
      </c>
      <c r="E98" s="15" t="n">
        <f aca="false">IF(ISNUMBER(SEARCH(Dictionary!$A$8,Data!$H98)),1,0)</f>
        <v>0</v>
      </c>
      <c r="F98" s="15" t="n">
        <f aca="false">IF(ISNUMBER(SEARCH(Dictionary!$A$9,Data!$H98)),1,0)</f>
        <v>0</v>
      </c>
      <c r="G98" s="15" t="n">
        <f aca="false">IF(ISNUMBER(SEARCH(Dictionary!$A$10,Data!$H98)),1,0)</f>
        <v>0</v>
      </c>
      <c r="H98" s="15" t="n">
        <f aca="false">IF(ISNUMBER(SEARCH(Dictionary!$A$11,Data!$H98)),1,0)</f>
        <v>1</v>
      </c>
      <c r="I98" s="15" t="n">
        <f aca="false">IF(ISNUMBER(SEARCH(Dictionary!$A$12,Data!$H98)),1,0)</f>
        <v>0</v>
      </c>
      <c r="J98" s="15" t="n">
        <f aca="false">IF(ISNUMBER(SEARCH(Dictionary!$A$13,Data!$H98)),1,0)</f>
        <v>1</v>
      </c>
      <c r="K98" s="15" t="n">
        <f aca="false">IF(ISNUMBER(SEARCH(Dictionary!$A$14,Data!$H98)),1,0)</f>
        <v>0</v>
      </c>
      <c r="L98" s="15" t="n">
        <f aca="false">IF(ISNUMBER(SEARCH(Dictionary!$A$15,Data!$H98)),1,0)</f>
        <v>1</v>
      </c>
      <c r="M98" s="15" t="n">
        <f aca="false">IF(ISNUMBER(SEARCH(Dictionary!$A$16,Data!$H98)),1,0)</f>
        <v>0</v>
      </c>
      <c r="N98" s="15" t="n">
        <f aca="false">IF(SUMPRODUCT((Dictionary!$C$5:$C$96=Dictionary!$A$5)*(Dictionary!$D$5:$D$96&lt;&gt;"")*ISNUMBER(SEARCH(Dictionary!$D$5:$D$96,Data!$I98)))&gt;0,1,0)</f>
        <v>0</v>
      </c>
      <c r="O98" s="15" t="n">
        <f aca="false">IF(SUMPRODUCT((Dictionary!$C$5:$C$96=Dictionary!$A$6)*(Dictionary!$D$5:$D$96&lt;&gt;"")*ISNUMBER(SEARCH(Dictionary!$D$5:$D$96,Data!$I98)))&gt;0,1,0)</f>
        <v>0</v>
      </c>
      <c r="P98" s="15" t="n">
        <f aca="false">IF(SUMPRODUCT((Dictionary!$C$5:$C$96=Dictionary!$A$7)*(Dictionary!$D$5:$D$96&lt;&gt;"")*ISNUMBER(SEARCH(Dictionary!$D$5:$D$96,Data!$I98)))&gt;0,1,0)</f>
        <v>0</v>
      </c>
      <c r="Q98" s="15" t="n">
        <f aca="false">IF(SUMPRODUCT((Dictionary!$C$5:$C$96=Dictionary!$A$8)*(Dictionary!$D$5:$D$96&lt;&gt;"")*ISNUMBER(SEARCH(Dictionary!$D$5:$D$96,Data!$I98)))&gt;0,1,0)</f>
        <v>0</v>
      </c>
      <c r="R98" s="15" t="n">
        <f aca="false">IF(SUMPRODUCT((Dictionary!$C$5:$C$96=Dictionary!$A$9)*(Dictionary!$D$5:$D$96&lt;&gt;"")*ISNUMBER(SEARCH(Dictionary!$D$5:$D$96,Data!$I98)))&gt;0,1,0)</f>
        <v>0</v>
      </c>
      <c r="S98" s="15" t="n">
        <f aca="false">IF(SUMPRODUCT((Dictionary!$C$5:$C$96=Dictionary!$A$10)*(Dictionary!$D$5:$D$96&lt;&gt;"")*ISNUMBER(SEARCH(Dictionary!$D$5:$D$96,Data!$I98)))&gt;0,1,0)</f>
        <v>0</v>
      </c>
      <c r="T98" s="15" t="n">
        <f aca="false">IF(SUMPRODUCT((Dictionary!$C$5:$C$96=Dictionary!$A$11)*(Dictionary!$D$5:$D$96&lt;&gt;"")*ISNUMBER(SEARCH(Dictionary!$D$5:$D$96,Data!$I98)))&gt;0,1,0)</f>
        <v>0</v>
      </c>
      <c r="U98" s="15" t="n">
        <f aca="false">IF(SUMPRODUCT((Dictionary!$C$5:$C$96=Dictionary!$A$12)*(Dictionary!$D$5:$D$96&lt;&gt;"")*ISNUMBER(SEARCH(Dictionary!$D$5:$D$96,Data!$I98)))&gt;0,1,0)</f>
        <v>0</v>
      </c>
      <c r="V98" s="15" t="n">
        <f aca="false">IF(SUMPRODUCT((Dictionary!$C$5:$C$96=Dictionary!$A$13)*(Dictionary!$D$5:$D$96&lt;&gt;"")*ISNUMBER(SEARCH(Dictionary!$D$5:$D$96,Data!$I98)))&gt;0,1,0)</f>
        <v>0</v>
      </c>
      <c r="W98" s="15" t="n">
        <f aca="false">IF(SUMPRODUCT((Dictionary!$C$5:$C$96=Dictionary!$A$14)*(Dictionary!$D$5:$D$96&lt;&gt;"")*ISNUMBER(SEARCH(Dictionary!$D$5:$D$96,Data!$I98)))&gt;0,1,0)</f>
        <v>0</v>
      </c>
      <c r="X98" s="15" t="n">
        <f aca="false">IF(SUMPRODUCT((Dictionary!$C$5:$C$96=Dictionary!$A$15)*(Dictionary!$D$5:$D$96&lt;&gt;"")*ISNUMBER(SEARCH(Dictionary!$D$5:$D$96,Data!$I98)))&gt;0,1,0)</f>
        <v>0</v>
      </c>
      <c r="Y98" s="15" t="n">
        <f aca="false">IF(SUMPRODUCT((Dictionary!$C$5:$C$96=Dictionary!$A$16)*(Dictionary!$D$5:$D$96&lt;&gt;"")*ISNUMBER(SEARCH(Dictionary!$D$5:$D$96,Data!$I98)))&gt;0,1,0)</f>
        <v>0</v>
      </c>
      <c r="Z98" s="15" t="n">
        <f aca="false">IF(ISNUMBER(SEARCH("Other",Data!$H98)),1,0)</f>
        <v>0</v>
      </c>
      <c r="AA98" s="15" t="n">
        <f aca="false">IF(Data!$I98&lt;&gt;"",1,0)</f>
        <v>0</v>
      </c>
      <c r="AB98" s="15" t="n">
        <f aca="false">SUM(B98:M98)</f>
        <v>4</v>
      </c>
      <c r="AC98" s="15" t="n">
        <f aca="false">SUMPRODUCT(--((B98:M98+N98:Y98)&gt;0))</f>
        <v>4</v>
      </c>
      <c r="AD98" s="15" t="n">
        <f aca="false">AC98-AB98</f>
        <v>0</v>
      </c>
      <c r="AE98" s="15" t="n">
        <f aca="false">IF(AND(Z98=1,AA98=1),1,0)</f>
        <v>0</v>
      </c>
      <c r="AF98" s="15" t="n">
        <f aca="false">AC98+AE98</f>
        <v>4</v>
      </c>
      <c r="AG98" s="15" t="n">
        <f aca="false">AB98+AE98</f>
        <v>4</v>
      </c>
      <c r="AH98" s="15" t="n">
        <f aca="false">IF(AND(Data!$H98&lt;&gt;"",Data!$I98&lt;&gt;""),1,0)</f>
        <v>0</v>
      </c>
      <c r="AI98" s="15" t="str">
        <f aca="false">IF(AH98=1,SUMPRODUCT(N98:Y98*B98:M98),"")</f>
        <v/>
      </c>
      <c r="AJ98" s="15" t="str">
        <f aca="false">IF(AH98=1,SUMPRODUCT(--(N98:Y98&gt;B98:M98)),"")</f>
        <v/>
      </c>
      <c r="AK98" s="15" t="str">
        <f aca="false">IF(AH98=1,AB98,"")</f>
        <v/>
      </c>
    </row>
    <row r="99" customFormat="false" ht="15" hidden="false" customHeight="true" outlineLevel="0" collapsed="false">
      <c r="A99" s="15" t="str">
        <f aca="false">Data!$A99</f>
        <v>Research Organization Registry (ROR)</v>
      </c>
      <c r="B99" s="15" t="n">
        <f aca="false">IF(ISNUMBER(SEARCH(Dictionary!$A$5,Data!$H99)),1,0)</f>
        <v>1</v>
      </c>
      <c r="C99" s="15" t="n">
        <f aca="false">IF(ISNUMBER(SEARCH(Dictionary!$A$6,Data!$H99)),1,0)</f>
        <v>1</v>
      </c>
      <c r="D99" s="15" t="n">
        <f aca="false">IF(ISNUMBER(SEARCH(Dictionary!$A$7,Data!$H99)),1,0)</f>
        <v>1</v>
      </c>
      <c r="E99" s="15" t="n">
        <f aca="false">IF(ISNUMBER(SEARCH(Dictionary!$A$8,Data!$H99)),1,0)</f>
        <v>1</v>
      </c>
      <c r="F99" s="15" t="n">
        <f aca="false">IF(ISNUMBER(SEARCH(Dictionary!$A$9,Data!$H99)),1,0)</f>
        <v>0</v>
      </c>
      <c r="G99" s="15" t="n">
        <f aca="false">IF(ISNUMBER(SEARCH(Dictionary!$A$10,Data!$H99)),1,0)</f>
        <v>1</v>
      </c>
      <c r="H99" s="15" t="n">
        <f aca="false">IF(ISNUMBER(SEARCH(Dictionary!$A$11,Data!$H99)),1,0)</f>
        <v>1</v>
      </c>
      <c r="I99" s="15" t="n">
        <f aca="false">IF(ISNUMBER(SEARCH(Dictionary!$A$12,Data!$H99)),1,0)</f>
        <v>1</v>
      </c>
      <c r="J99" s="15" t="n">
        <f aca="false">IF(ISNUMBER(SEARCH(Dictionary!$A$13,Data!$H99)),1,0)</f>
        <v>1</v>
      </c>
      <c r="K99" s="15" t="n">
        <f aca="false">IF(ISNUMBER(SEARCH(Dictionary!$A$14,Data!$H99)),1,0)</f>
        <v>0</v>
      </c>
      <c r="L99" s="15" t="n">
        <f aca="false">IF(ISNUMBER(SEARCH(Dictionary!$A$15,Data!$H99)),1,0)</f>
        <v>0</v>
      </c>
      <c r="M99" s="15" t="n">
        <f aca="false">IF(ISNUMBER(SEARCH(Dictionary!$A$16,Data!$H99)),1,0)</f>
        <v>1</v>
      </c>
      <c r="N99" s="15" t="n">
        <f aca="false">IF(SUMPRODUCT((Dictionary!$C$5:$C$96=Dictionary!$A$5)*(Dictionary!$D$5:$D$96&lt;&gt;"")*ISNUMBER(SEARCH(Dictionary!$D$5:$D$96,Data!$I99)))&gt;0,1,0)</f>
        <v>0</v>
      </c>
      <c r="O99" s="15" t="n">
        <f aca="false">IF(SUMPRODUCT((Dictionary!$C$5:$C$96=Dictionary!$A$6)*(Dictionary!$D$5:$D$96&lt;&gt;"")*ISNUMBER(SEARCH(Dictionary!$D$5:$D$96,Data!$I99)))&gt;0,1,0)</f>
        <v>0</v>
      </c>
      <c r="P99" s="15" t="n">
        <f aca="false">IF(SUMPRODUCT((Dictionary!$C$5:$C$96=Dictionary!$A$7)*(Dictionary!$D$5:$D$96&lt;&gt;"")*ISNUMBER(SEARCH(Dictionary!$D$5:$D$96,Data!$I99)))&gt;0,1,0)</f>
        <v>1</v>
      </c>
      <c r="Q99" s="15" t="n">
        <f aca="false">IF(SUMPRODUCT((Dictionary!$C$5:$C$96=Dictionary!$A$8)*(Dictionary!$D$5:$D$96&lt;&gt;"")*ISNUMBER(SEARCH(Dictionary!$D$5:$D$96,Data!$I99)))&gt;0,1,0)</f>
        <v>0</v>
      </c>
      <c r="R99" s="15" t="n">
        <f aca="false">IF(SUMPRODUCT((Dictionary!$C$5:$C$96=Dictionary!$A$9)*(Dictionary!$D$5:$D$96&lt;&gt;"")*ISNUMBER(SEARCH(Dictionary!$D$5:$D$96,Data!$I99)))&gt;0,1,0)</f>
        <v>0</v>
      </c>
      <c r="S99" s="15" t="n">
        <f aca="false">IF(SUMPRODUCT((Dictionary!$C$5:$C$96=Dictionary!$A$10)*(Dictionary!$D$5:$D$96&lt;&gt;"")*ISNUMBER(SEARCH(Dictionary!$D$5:$D$96,Data!$I99)))&gt;0,1,0)</f>
        <v>1</v>
      </c>
      <c r="T99" s="15" t="n">
        <f aca="false">IF(SUMPRODUCT((Dictionary!$C$5:$C$96=Dictionary!$A$11)*(Dictionary!$D$5:$D$96&lt;&gt;"")*ISNUMBER(SEARCH(Dictionary!$D$5:$D$96,Data!$I99)))&gt;0,1,0)</f>
        <v>0</v>
      </c>
      <c r="U99" s="15" t="n">
        <f aca="false">IF(SUMPRODUCT((Dictionary!$C$5:$C$96=Dictionary!$A$12)*(Dictionary!$D$5:$D$96&lt;&gt;"")*ISNUMBER(SEARCH(Dictionary!$D$5:$D$96,Data!$I99)))&gt;0,1,0)</f>
        <v>0</v>
      </c>
      <c r="V99" s="15" t="n">
        <f aca="false">IF(SUMPRODUCT((Dictionary!$C$5:$C$96=Dictionary!$A$13)*(Dictionary!$D$5:$D$96&lt;&gt;"")*ISNUMBER(SEARCH(Dictionary!$D$5:$D$96,Data!$I99)))&gt;0,1,0)</f>
        <v>0</v>
      </c>
      <c r="W99" s="15" t="n">
        <f aca="false">IF(SUMPRODUCT((Dictionary!$C$5:$C$96=Dictionary!$A$14)*(Dictionary!$D$5:$D$96&lt;&gt;"")*ISNUMBER(SEARCH(Dictionary!$D$5:$D$96,Data!$I99)))&gt;0,1,0)</f>
        <v>0</v>
      </c>
      <c r="X99" s="15" t="n">
        <f aca="false">IF(SUMPRODUCT((Dictionary!$C$5:$C$96=Dictionary!$A$15)*(Dictionary!$D$5:$D$96&lt;&gt;"")*ISNUMBER(SEARCH(Dictionary!$D$5:$D$96,Data!$I99)))&gt;0,1,0)</f>
        <v>0</v>
      </c>
      <c r="Y99" s="15" t="n">
        <f aca="false">IF(SUMPRODUCT((Dictionary!$C$5:$C$96=Dictionary!$A$16)*(Dictionary!$D$5:$D$96&lt;&gt;"")*ISNUMBER(SEARCH(Dictionary!$D$5:$D$96,Data!$I99)))&gt;0,1,0)</f>
        <v>0</v>
      </c>
      <c r="Z99" s="15" t="n">
        <f aca="false">IF(ISNUMBER(SEARCH("Other",Data!$H99)),1,0)</f>
        <v>1</v>
      </c>
      <c r="AA99" s="15" t="n">
        <f aca="false">IF(Data!$I99&lt;&gt;"",1,0)</f>
        <v>1</v>
      </c>
      <c r="AB99" s="15" t="n">
        <f aca="false">SUM(B99:M99)</f>
        <v>9</v>
      </c>
      <c r="AC99" s="15" t="n">
        <f aca="false">SUMPRODUCT(--((B99:M99+N99:Y99)&gt;0))</f>
        <v>9</v>
      </c>
      <c r="AD99" s="15" t="n">
        <f aca="false">AC99-AB99</f>
        <v>0</v>
      </c>
      <c r="AE99" s="15" t="n">
        <f aca="false">IF(AND(Z99=1,AA99=1),1,0)</f>
        <v>1</v>
      </c>
      <c r="AF99" s="15" t="n">
        <f aca="false">AC99+AE99</f>
        <v>10</v>
      </c>
      <c r="AG99" s="15" t="n">
        <f aca="false">AB99+AE99</f>
        <v>10</v>
      </c>
      <c r="AH99" s="15" t="n">
        <f aca="false">IF(AND(Data!$H99&lt;&gt;"",Data!$I99&lt;&gt;""),1,0)</f>
        <v>1</v>
      </c>
      <c r="AI99" s="15" t="n">
        <f aca="false">IF(AH99=1,SUMPRODUCT(N99:Y99*B99:M99),"")</f>
        <v>2</v>
      </c>
      <c r="AJ99" s="15" t="n">
        <f aca="false">IF(AH99=1,SUMPRODUCT(--(N99:Y99&gt;B99:M99)),"")</f>
        <v>0</v>
      </c>
      <c r="AK99" s="15" t="n">
        <f aca="false">IF(AH99=1,AB99,"")</f>
        <v>9</v>
      </c>
    </row>
    <row r="100" customFormat="false" ht="15" hidden="false" customHeight="true" outlineLevel="0" collapsed="false">
      <c r="A100" s="15" t="str">
        <f aca="false">Data!$A100</f>
        <v>Rogue Scholar</v>
      </c>
      <c r="B100" s="15" t="n">
        <f aca="false">IF(ISNUMBER(SEARCH(Dictionary!$A$5,Data!$H100)),1,0)</f>
        <v>0</v>
      </c>
      <c r="C100" s="15" t="n">
        <f aca="false">IF(ISNUMBER(SEARCH(Dictionary!$A$6,Data!$H100)),1,0)</f>
        <v>0</v>
      </c>
      <c r="D100" s="15" t="n">
        <f aca="false">IF(ISNUMBER(SEARCH(Dictionary!$A$7,Data!$H100)),1,0)</f>
        <v>0</v>
      </c>
      <c r="E100" s="15" t="n">
        <f aca="false">IF(ISNUMBER(SEARCH(Dictionary!$A$8,Data!$H100)),1,0)</f>
        <v>0</v>
      </c>
      <c r="F100" s="15" t="n">
        <f aca="false">IF(ISNUMBER(SEARCH(Dictionary!$A$9,Data!$H100)),1,0)</f>
        <v>0</v>
      </c>
      <c r="G100" s="15" t="n">
        <f aca="false">IF(ISNUMBER(SEARCH(Dictionary!$A$10,Data!$H100)),1,0)</f>
        <v>0</v>
      </c>
      <c r="H100" s="15" t="n">
        <f aca="false">IF(ISNUMBER(SEARCH(Dictionary!$A$11,Data!$H100)),1,0)</f>
        <v>0</v>
      </c>
      <c r="I100" s="15" t="n">
        <f aca="false">IF(ISNUMBER(SEARCH(Dictionary!$A$12,Data!$H100)),1,0)</f>
        <v>0</v>
      </c>
      <c r="J100" s="15" t="n">
        <f aca="false">IF(ISNUMBER(SEARCH(Dictionary!$A$13,Data!$H100)),1,0)</f>
        <v>0</v>
      </c>
      <c r="K100" s="15" t="n">
        <f aca="false">IF(ISNUMBER(SEARCH(Dictionary!$A$14,Data!$H100)),1,0)</f>
        <v>0</v>
      </c>
      <c r="L100" s="15" t="n">
        <f aca="false">IF(ISNUMBER(SEARCH(Dictionary!$A$15,Data!$H100)),1,0)</f>
        <v>0</v>
      </c>
      <c r="M100" s="15" t="n">
        <f aca="false">IF(ISNUMBER(SEARCH(Dictionary!$A$16,Data!$H100)),1,0)</f>
        <v>0</v>
      </c>
      <c r="N100" s="15" t="n">
        <f aca="false">IF(SUMPRODUCT((Dictionary!$C$5:$C$96=Dictionary!$A$5)*(Dictionary!$D$5:$D$96&lt;&gt;"")*ISNUMBER(SEARCH(Dictionary!$D$5:$D$96,Data!$I100)))&gt;0,1,0)</f>
        <v>0</v>
      </c>
      <c r="O100" s="15" t="n">
        <f aca="false">IF(SUMPRODUCT((Dictionary!$C$5:$C$96=Dictionary!$A$6)*(Dictionary!$D$5:$D$96&lt;&gt;"")*ISNUMBER(SEARCH(Dictionary!$D$5:$D$96,Data!$I100)))&gt;0,1,0)</f>
        <v>0</v>
      </c>
      <c r="P100" s="15" t="n">
        <f aca="false">IF(SUMPRODUCT((Dictionary!$C$5:$C$96=Dictionary!$A$7)*(Dictionary!$D$5:$D$96&lt;&gt;"")*ISNUMBER(SEARCH(Dictionary!$D$5:$D$96,Data!$I100)))&gt;0,1,0)</f>
        <v>0</v>
      </c>
      <c r="Q100" s="15" t="n">
        <f aca="false">IF(SUMPRODUCT((Dictionary!$C$5:$C$96=Dictionary!$A$8)*(Dictionary!$D$5:$D$96&lt;&gt;"")*ISNUMBER(SEARCH(Dictionary!$D$5:$D$96,Data!$I100)))&gt;0,1,0)</f>
        <v>0</v>
      </c>
      <c r="R100" s="15" t="n">
        <f aca="false">IF(SUMPRODUCT((Dictionary!$C$5:$C$96=Dictionary!$A$9)*(Dictionary!$D$5:$D$96&lt;&gt;"")*ISNUMBER(SEARCH(Dictionary!$D$5:$D$96,Data!$I100)))&gt;0,1,0)</f>
        <v>0</v>
      </c>
      <c r="S100" s="15" t="n">
        <f aca="false">IF(SUMPRODUCT((Dictionary!$C$5:$C$96=Dictionary!$A$10)*(Dictionary!$D$5:$D$96&lt;&gt;"")*ISNUMBER(SEARCH(Dictionary!$D$5:$D$96,Data!$I100)))&gt;0,1,0)</f>
        <v>0</v>
      </c>
      <c r="T100" s="15" t="n">
        <f aca="false">IF(SUMPRODUCT((Dictionary!$C$5:$C$96=Dictionary!$A$11)*(Dictionary!$D$5:$D$96&lt;&gt;"")*ISNUMBER(SEARCH(Dictionary!$D$5:$D$96,Data!$I100)))&gt;0,1,0)</f>
        <v>0</v>
      </c>
      <c r="U100" s="15" t="n">
        <f aca="false">IF(SUMPRODUCT((Dictionary!$C$5:$C$96=Dictionary!$A$12)*(Dictionary!$D$5:$D$96&lt;&gt;"")*ISNUMBER(SEARCH(Dictionary!$D$5:$D$96,Data!$I100)))&gt;0,1,0)</f>
        <v>0</v>
      </c>
      <c r="V100" s="15" t="n">
        <f aca="false">IF(SUMPRODUCT((Dictionary!$C$5:$C$96=Dictionary!$A$13)*(Dictionary!$D$5:$D$96&lt;&gt;"")*ISNUMBER(SEARCH(Dictionary!$D$5:$D$96,Data!$I100)))&gt;0,1,0)</f>
        <v>0</v>
      </c>
      <c r="W100" s="15" t="n">
        <f aca="false">IF(SUMPRODUCT((Dictionary!$C$5:$C$96=Dictionary!$A$14)*(Dictionary!$D$5:$D$96&lt;&gt;"")*ISNUMBER(SEARCH(Dictionary!$D$5:$D$96,Data!$I100)))&gt;0,1,0)</f>
        <v>0</v>
      </c>
      <c r="X100" s="15" t="n">
        <f aca="false">IF(SUMPRODUCT((Dictionary!$C$5:$C$96=Dictionary!$A$15)*(Dictionary!$D$5:$D$96&lt;&gt;"")*ISNUMBER(SEARCH(Dictionary!$D$5:$D$96,Data!$I100)))&gt;0,1,0)</f>
        <v>0</v>
      </c>
      <c r="Y100" s="15" t="n">
        <f aca="false">IF(SUMPRODUCT((Dictionary!$C$5:$C$96=Dictionary!$A$16)*(Dictionary!$D$5:$D$96&lt;&gt;"")*ISNUMBER(SEARCH(Dictionary!$D$5:$D$96,Data!$I100)))&gt;0,1,0)</f>
        <v>0</v>
      </c>
      <c r="Z100" s="15" t="n">
        <f aca="false">IF(ISNUMBER(SEARCH("Other",Data!$H100)),1,0)</f>
        <v>0</v>
      </c>
      <c r="AA100" s="15" t="n">
        <f aca="false">IF(Data!$I100&lt;&gt;"",1,0)</f>
        <v>0</v>
      </c>
      <c r="AB100" s="15" t="n">
        <f aca="false">SUM(B100:M100)</f>
        <v>0</v>
      </c>
      <c r="AC100" s="15" t="n">
        <f aca="false">SUMPRODUCT(--((B100:M100+N100:Y100)&gt;0))</f>
        <v>0</v>
      </c>
      <c r="AD100" s="15" t="n">
        <f aca="false">AC100-AB100</f>
        <v>0</v>
      </c>
      <c r="AE100" s="15" t="n">
        <f aca="false">IF(AND(Z100=1,AA100=1),1,0)</f>
        <v>0</v>
      </c>
      <c r="AF100" s="15" t="n">
        <f aca="false">AC100+AE100</f>
        <v>0</v>
      </c>
      <c r="AG100" s="15" t="n">
        <f aca="false">AB100+AE100</f>
        <v>0</v>
      </c>
      <c r="AH100" s="15" t="n">
        <f aca="false">IF(AND(Data!$H100&lt;&gt;"",Data!$I100&lt;&gt;""),1,0)</f>
        <v>0</v>
      </c>
      <c r="AI100" s="15" t="str">
        <f aca="false">IF(AH100=1,SUMPRODUCT(N100:Y100*B100:M100),"")</f>
        <v/>
      </c>
      <c r="AJ100" s="15" t="str">
        <f aca="false">IF(AH100=1,SUMPRODUCT(--(N100:Y100&gt;B100:M100)),"")</f>
        <v/>
      </c>
      <c r="AK100" s="15" t="str">
        <f aca="false">IF(AH100=1,AB100,"")</f>
        <v/>
      </c>
    </row>
    <row r="101" customFormat="false" ht="15" hidden="false" customHeight="true" outlineLevel="0" collapsed="false">
      <c r="A101" s="15" t="str">
        <f aca="false">Data!$A101</f>
        <v>RSpace</v>
      </c>
      <c r="B101" s="15" t="n">
        <f aca="false">IF(ISNUMBER(SEARCH(Dictionary!$A$5,Data!$H101)),1,0)</f>
        <v>1</v>
      </c>
      <c r="C101" s="15" t="n">
        <f aca="false">IF(ISNUMBER(SEARCH(Dictionary!$A$6,Data!$H101)),1,0)</f>
        <v>1</v>
      </c>
      <c r="D101" s="15" t="n">
        <f aca="false">IF(ISNUMBER(SEARCH(Dictionary!$A$7,Data!$H101)),1,0)</f>
        <v>0</v>
      </c>
      <c r="E101" s="15" t="n">
        <f aca="false">IF(ISNUMBER(SEARCH(Dictionary!$A$8,Data!$H101)),1,0)</f>
        <v>1</v>
      </c>
      <c r="F101" s="15" t="n">
        <f aca="false">IF(ISNUMBER(SEARCH(Dictionary!$A$9,Data!$H101)),1,0)</f>
        <v>0</v>
      </c>
      <c r="G101" s="15" t="n">
        <f aca="false">IF(ISNUMBER(SEARCH(Dictionary!$A$10,Data!$H101)),1,0)</f>
        <v>0</v>
      </c>
      <c r="H101" s="15" t="n">
        <f aca="false">IF(ISNUMBER(SEARCH(Dictionary!$A$11,Data!$H101)),1,0)</f>
        <v>1</v>
      </c>
      <c r="I101" s="15" t="n">
        <f aca="false">IF(ISNUMBER(SEARCH(Dictionary!$A$12,Data!$H101)),1,0)</f>
        <v>1</v>
      </c>
      <c r="J101" s="15" t="n">
        <f aca="false">IF(ISNUMBER(SEARCH(Dictionary!$A$13,Data!$H101)),1,0)</f>
        <v>0</v>
      </c>
      <c r="K101" s="15" t="n">
        <f aca="false">IF(ISNUMBER(SEARCH(Dictionary!$A$14,Data!$H101)),1,0)</f>
        <v>1</v>
      </c>
      <c r="L101" s="15" t="n">
        <f aca="false">IF(ISNUMBER(SEARCH(Dictionary!$A$15,Data!$H101)),1,0)</f>
        <v>0</v>
      </c>
      <c r="M101" s="15" t="n">
        <f aca="false">IF(ISNUMBER(SEARCH(Dictionary!$A$16,Data!$H101)),1,0)</f>
        <v>0</v>
      </c>
      <c r="N101" s="15" t="n">
        <f aca="false">IF(SUMPRODUCT((Dictionary!$C$5:$C$96=Dictionary!$A$5)*(Dictionary!$D$5:$D$96&lt;&gt;"")*ISNUMBER(SEARCH(Dictionary!$D$5:$D$96,Data!$I101)))&gt;0,1,0)</f>
        <v>0</v>
      </c>
      <c r="O101" s="15" t="n">
        <f aca="false">IF(SUMPRODUCT((Dictionary!$C$5:$C$96=Dictionary!$A$6)*(Dictionary!$D$5:$D$96&lt;&gt;"")*ISNUMBER(SEARCH(Dictionary!$D$5:$D$96,Data!$I101)))&gt;0,1,0)</f>
        <v>0</v>
      </c>
      <c r="P101" s="15" t="n">
        <f aca="false">IF(SUMPRODUCT((Dictionary!$C$5:$C$96=Dictionary!$A$7)*(Dictionary!$D$5:$D$96&lt;&gt;"")*ISNUMBER(SEARCH(Dictionary!$D$5:$D$96,Data!$I101)))&gt;0,1,0)</f>
        <v>0</v>
      </c>
      <c r="Q101" s="15" t="n">
        <f aca="false">IF(SUMPRODUCT((Dictionary!$C$5:$C$96=Dictionary!$A$8)*(Dictionary!$D$5:$D$96&lt;&gt;"")*ISNUMBER(SEARCH(Dictionary!$D$5:$D$96,Data!$I101)))&gt;0,1,0)</f>
        <v>0</v>
      </c>
      <c r="R101" s="15" t="n">
        <f aca="false">IF(SUMPRODUCT((Dictionary!$C$5:$C$96=Dictionary!$A$9)*(Dictionary!$D$5:$D$96&lt;&gt;"")*ISNUMBER(SEARCH(Dictionary!$D$5:$D$96,Data!$I101)))&gt;0,1,0)</f>
        <v>0</v>
      </c>
      <c r="S101" s="15" t="n">
        <f aca="false">IF(SUMPRODUCT((Dictionary!$C$5:$C$96=Dictionary!$A$10)*(Dictionary!$D$5:$D$96&lt;&gt;"")*ISNUMBER(SEARCH(Dictionary!$D$5:$D$96,Data!$I101)))&gt;0,1,0)</f>
        <v>0</v>
      </c>
      <c r="T101" s="15" t="n">
        <f aca="false">IF(SUMPRODUCT((Dictionary!$C$5:$C$96=Dictionary!$A$11)*(Dictionary!$D$5:$D$96&lt;&gt;"")*ISNUMBER(SEARCH(Dictionary!$D$5:$D$96,Data!$I101)))&gt;0,1,0)</f>
        <v>0</v>
      </c>
      <c r="U101" s="15" t="n">
        <f aca="false">IF(SUMPRODUCT((Dictionary!$C$5:$C$96=Dictionary!$A$12)*(Dictionary!$D$5:$D$96&lt;&gt;"")*ISNUMBER(SEARCH(Dictionary!$D$5:$D$96,Data!$I101)))&gt;0,1,0)</f>
        <v>0</v>
      </c>
      <c r="V101" s="15" t="n">
        <f aca="false">IF(SUMPRODUCT((Dictionary!$C$5:$C$96=Dictionary!$A$13)*(Dictionary!$D$5:$D$96&lt;&gt;"")*ISNUMBER(SEARCH(Dictionary!$D$5:$D$96,Data!$I101)))&gt;0,1,0)</f>
        <v>0</v>
      </c>
      <c r="W101" s="15" t="n">
        <f aca="false">IF(SUMPRODUCT((Dictionary!$C$5:$C$96=Dictionary!$A$14)*(Dictionary!$D$5:$D$96&lt;&gt;"")*ISNUMBER(SEARCH(Dictionary!$D$5:$D$96,Data!$I101)))&gt;0,1,0)</f>
        <v>0</v>
      </c>
      <c r="X101" s="15" t="n">
        <f aca="false">IF(SUMPRODUCT((Dictionary!$C$5:$C$96=Dictionary!$A$15)*(Dictionary!$D$5:$D$96&lt;&gt;"")*ISNUMBER(SEARCH(Dictionary!$D$5:$D$96,Data!$I101)))&gt;0,1,0)</f>
        <v>0</v>
      </c>
      <c r="Y101" s="15" t="n">
        <f aca="false">IF(SUMPRODUCT((Dictionary!$C$5:$C$96=Dictionary!$A$16)*(Dictionary!$D$5:$D$96&lt;&gt;"")*ISNUMBER(SEARCH(Dictionary!$D$5:$D$96,Data!$I101)))&gt;0,1,0)</f>
        <v>0</v>
      </c>
      <c r="Z101" s="15" t="n">
        <f aca="false">IF(ISNUMBER(SEARCH("Other",Data!$H101)),1,0)</f>
        <v>0</v>
      </c>
      <c r="AA101" s="15" t="n">
        <f aca="false">IF(Data!$I101&lt;&gt;"",1,0)</f>
        <v>0</v>
      </c>
      <c r="AB101" s="15" t="n">
        <f aca="false">SUM(B101:M101)</f>
        <v>6</v>
      </c>
      <c r="AC101" s="15" t="n">
        <f aca="false">SUMPRODUCT(--((B101:M101+N101:Y101)&gt;0))</f>
        <v>6</v>
      </c>
      <c r="AD101" s="15" t="n">
        <f aca="false">AC101-AB101</f>
        <v>0</v>
      </c>
      <c r="AE101" s="15" t="n">
        <f aca="false">IF(AND(Z101=1,AA101=1),1,0)</f>
        <v>0</v>
      </c>
      <c r="AF101" s="15" t="n">
        <f aca="false">AC101+AE101</f>
        <v>6</v>
      </c>
      <c r="AG101" s="15" t="n">
        <f aca="false">AB101+AE101</f>
        <v>6</v>
      </c>
      <c r="AH101" s="15" t="n">
        <f aca="false">IF(AND(Data!$H101&lt;&gt;"",Data!$I101&lt;&gt;""),1,0)</f>
        <v>0</v>
      </c>
      <c r="AI101" s="15" t="str">
        <f aca="false">IF(AH101=1,SUMPRODUCT(N101:Y101*B101:M101),"")</f>
        <v/>
      </c>
      <c r="AJ101" s="15" t="str">
        <f aca="false">IF(AH101=1,SUMPRODUCT(--(N101:Y101&gt;B101:M101)),"")</f>
        <v/>
      </c>
      <c r="AK101" s="15" t="str">
        <f aca="false">IF(AH101=1,AB101,"")</f>
        <v/>
      </c>
    </row>
    <row r="102" customFormat="false" ht="15" hidden="false" customHeight="true" outlineLevel="0" collapsed="false">
      <c r="A102" s="15" t="str">
        <f aca="false">Data!$A102</f>
        <v>Sciety</v>
      </c>
      <c r="B102" s="15" t="n">
        <f aca="false">IF(ISNUMBER(SEARCH(Dictionary!$A$5,Data!$H102)),1,0)</f>
        <v>0</v>
      </c>
      <c r="C102" s="15" t="n">
        <f aca="false">IF(ISNUMBER(SEARCH(Dictionary!$A$6,Data!$H102)),1,0)</f>
        <v>0</v>
      </c>
      <c r="D102" s="15" t="n">
        <f aca="false">IF(ISNUMBER(SEARCH(Dictionary!$A$7,Data!$H102)),1,0)</f>
        <v>0</v>
      </c>
      <c r="E102" s="15" t="n">
        <f aca="false">IF(ISNUMBER(SEARCH(Dictionary!$A$8,Data!$H102)),1,0)</f>
        <v>0</v>
      </c>
      <c r="F102" s="15" t="n">
        <f aca="false">IF(ISNUMBER(SEARCH(Dictionary!$A$9,Data!$H102)),1,0)</f>
        <v>0</v>
      </c>
      <c r="G102" s="15" t="n">
        <f aca="false">IF(ISNUMBER(SEARCH(Dictionary!$A$10,Data!$H102)),1,0)</f>
        <v>0</v>
      </c>
      <c r="H102" s="15" t="n">
        <f aca="false">IF(ISNUMBER(SEARCH(Dictionary!$A$11,Data!$H102)),1,0)</f>
        <v>0</v>
      </c>
      <c r="I102" s="15" t="n">
        <f aca="false">IF(ISNUMBER(SEARCH(Dictionary!$A$12,Data!$H102)),1,0)</f>
        <v>0</v>
      </c>
      <c r="J102" s="15" t="n">
        <f aca="false">IF(ISNUMBER(SEARCH(Dictionary!$A$13,Data!$H102)),1,0)</f>
        <v>0</v>
      </c>
      <c r="K102" s="15" t="n">
        <f aca="false">IF(ISNUMBER(SEARCH(Dictionary!$A$14,Data!$H102)),1,0)</f>
        <v>0</v>
      </c>
      <c r="L102" s="15" t="n">
        <f aca="false">IF(ISNUMBER(SEARCH(Dictionary!$A$15,Data!$H102)),1,0)</f>
        <v>0</v>
      </c>
      <c r="M102" s="15" t="n">
        <f aca="false">IF(ISNUMBER(SEARCH(Dictionary!$A$16,Data!$H102)),1,0)</f>
        <v>0</v>
      </c>
      <c r="N102" s="15" t="n">
        <f aca="false">IF(SUMPRODUCT((Dictionary!$C$5:$C$96=Dictionary!$A$5)*(Dictionary!$D$5:$D$96&lt;&gt;"")*ISNUMBER(SEARCH(Dictionary!$D$5:$D$96,Data!$I102)))&gt;0,1,0)</f>
        <v>0</v>
      </c>
      <c r="O102" s="15" t="n">
        <f aca="false">IF(SUMPRODUCT((Dictionary!$C$5:$C$96=Dictionary!$A$6)*(Dictionary!$D$5:$D$96&lt;&gt;"")*ISNUMBER(SEARCH(Dictionary!$D$5:$D$96,Data!$I102)))&gt;0,1,0)</f>
        <v>0</v>
      </c>
      <c r="P102" s="15" t="n">
        <f aca="false">IF(SUMPRODUCT((Dictionary!$C$5:$C$96=Dictionary!$A$7)*(Dictionary!$D$5:$D$96&lt;&gt;"")*ISNUMBER(SEARCH(Dictionary!$D$5:$D$96,Data!$I102)))&gt;0,1,0)</f>
        <v>0</v>
      </c>
      <c r="Q102" s="15" t="n">
        <f aca="false">IF(SUMPRODUCT((Dictionary!$C$5:$C$96=Dictionary!$A$8)*(Dictionary!$D$5:$D$96&lt;&gt;"")*ISNUMBER(SEARCH(Dictionary!$D$5:$D$96,Data!$I102)))&gt;0,1,0)</f>
        <v>0</v>
      </c>
      <c r="R102" s="15" t="n">
        <f aca="false">IF(SUMPRODUCT((Dictionary!$C$5:$C$96=Dictionary!$A$9)*(Dictionary!$D$5:$D$96&lt;&gt;"")*ISNUMBER(SEARCH(Dictionary!$D$5:$D$96,Data!$I102)))&gt;0,1,0)</f>
        <v>0</v>
      </c>
      <c r="S102" s="15" t="n">
        <f aca="false">IF(SUMPRODUCT((Dictionary!$C$5:$C$96=Dictionary!$A$10)*(Dictionary!$D$5:$D$96&lt;&gt;"")*ISNUMBER(SEARCH(Dictionary!$D$5:$D$96,Data!$I102)))&gt;0,1,0)</f>
        <v>0</v>
      </c>
      <c r="T102" s="15" t="n">
        <f aca="false">IF(SUMPRODUCT((Dictionary!$C$5:$C$96=Dictionary!$A$11)*(Dictionary!$D$5:$D$96&lt;&gt;"")*ISNUMBER(SEARCH(Dictionary!$D$5:$D$96,Data!$I102)))&gt;0,1,0)</f>
        <v>0</v>
      </c>
      <c r="U102" s="15" t="n">
        <f aca="false">IF(SUMPRODUCT((Dictionary!$C$5:$C$96=Dictionary!$A$12)*(Dictionary!$D$5:$D$96&lt;&gt;"")*ISNUMBER(SEARCH(Dictionary!$D$5:$D$96,Data!$I102)))&gt;0,1,0)</f>
        <v>0</v>
      </c>
      <c r="V102" s="15" t="n">
        <f aca="false">IF(SUMPRODUCT((Dictionary!$C$5:$C$96=Dictionary!$A$13)*(Dictionary!$D$5:$D$96&lt;&gt;"")*ISNUMBER(SEARCH(Dictionary!$D$5:$D$96,Data!$I102)))&gt;0,1,0)</f>
        <v>0</v>
      </c>
      <c r="W102" s="15" t="n">
        <f aca="false">IF(SUMPRODUCT((Dictionary!$C$5:$C$96=Dictionary!$A$14)*(Dictionary!$D$5:$D$96&lt;&gt;"")*ISNUMBER(SEARCH(Dictionary!$D$5:$D$96,Data!$I102)))&gt;0,1,0)</f>
        <v>0</v>
      </c>
      <c r="X102" s="15" t="n">
        <f aca="false">IF(SUMPRODUCT((Dictionary!$C$5:$C$96=Dictionary!$A$15)*(Dictionary!$D$5:$D$96&lt;&gt;"")*ISNUMBER(SEARCH(Dictionary!$D$5:$D$96,Data!$I102)))&gt;0,1,0)</f>
        <v>0</v>
      </c>
      <c r="Y102" s="15" t="n">
        <f aca="false">IF(SUMPRODUCT((Dictionary!$C$5:$C$96=Dictionary!$A$16)*(Dictionary!$D$5:$D$96&lt;&gt;"")*ISNUMBER(SEARCH(Dictionary!$D$5:$D$96,Data!$I102)))&gt;0,1,0)</f>
        <v>0</v>
      </c>
      <c r="Z102" s="15" t="n">
        <f aca="false">IF(ISNUMBER(SEARCH("Other",Data!$H102)),1,0)</f>
        <v>0</v>
      </c>
      <c r="AA102" s="15" t="n">
        <f aca="false">IF(Data!$I102&lt;&gt;"",1,0)</f>
        <v>0</v>
      </c>
      <c r="AB102" s="15" t="n">
        <f aca="false">SUM(B102:M102)</f>
        <v>0</v>
      </c>
      <c r="AC102" s="15" t="n">
        <f aca="false">SUMPRODUCT(--((B102:M102+N102:Y102)&gt;0))</f>
        <v>0</v>
      </c>
      <c r="AD102" s="15" t="n">
        <f aca="false">AC102-AB102</f>
        <v>0</v>
      </c>
      <c r="AE102" s="15" t="n">
        <f aca="false">IF(AND(Z102=1,AA102=1),1,0)</f>
        <v>0</v>
      </c>
      <c r="AF102" s="15" t="n">
        <f aca="false">AC102+AE102</f>
        <v>0</v>
      </c>
      <c r="AG102" s="15" t="n">
        <f aca="false">AB102+AE102</f>
        <v>0</v>
      </c>
      <c r="AH102" s="15" t="n">
        <f aca="false">IF(AND(Data!$H102&lt;&gt;"",Data!$I102&lt;&gt;""),1,0)</f>
        <v>0</v>
      </c>
      <c r="AI102" s="15" t="str">
        <f aca="false">IF(AH102=1,SUMPRODUCT(N102:Y102*B102:M102),"")</f>
        <v/>
      </c>
      <c r="AJ102" s="15" t="str">
        <f aca="false">IF(AH102=1,SUMPRODUCT(--(N102:Y102&gt;B102:M102)),"")</f>
        <v/>
      </c>
      <c r="AK102" s="15" t="str">
        <f aca="false">IF(AH102=1,AB102,"")</f>
        <v/>
      </c>
    </row>
    <row r="103" customFormat="false" ht="15" hidden="false" customHeight="true" outlineLevel="0" collapsed="false">
      <c r="A103" s="15" t="str">
        <f aca="false">Data!$A103</f>
        <v>Synapse</v>
      </c>
      <c r="B103" s="15" t="n">
        <f aca="false">IF(ISNUMBER(SEARCH(Dictionary!$A$5,Data!$H103)),1,0)</f>
        <v>0</v>
      </c>
      <c r="C103" s="15" t="n">
        <f aca="false">IF(ISNUMBER(SEARCH(Dictionary!$A$6,Data!$H103)),1,0)</f>
        <v>1</v>
      </c>
      <c r="D103" s="15" t="n">
        <f aca="false">IF(ISNUMBER(SEARCH(Dictionary!$A$7,Data!$H103)),1,0)</f>
        <v>0</v>
      </c>
      <c r="E103" s="15" t="n">
        <f aca="false">IF(ISNUMBER(SEARCH(Dictionary!$A$8,Data!$H103)),1,0)</f>
        <v>0</v>
      </c>
      <c r="F103" s="15" t="n">
        <f aca="false">IF(ISNUMBER(SEARCH(Dictionary!$A$9,Data!$H103)),1,0)</f>
        <v>0</v>
      </c>
      <c r="G103" s="15" t="n">
        <f aca="false">IF(ISNUMBER(SEARCH(Dictionary!$A$10,Data!$H103)),1,0)</f>
        <v>0</v>
      </c>
      <c r="H103" s="15" t="n">
        <f aca="false">IF(ISNUMBER(SEARCH(Dictionary!$A$11,Data!$H103)),1,0)</f>
        <v>0</v>
      </c>
      <c r="I103" s="15" t="n">
        <f aca="false">IF(ISNUMBER(SEARCH(Dictionary!$A$12,Data!$H103)),1,0)</f>
        <v>1</v>
      </c>
      <c r="J103" s="15" t="n">
        <f aca="false">IF(ISNUMBER(SEARCH(Dictionary!$A$13,Data!$H103)),1,0)</f>
        <v>1</v>
      </c>
      <c r="K103" s="15" t="n">
        <f aca="false">IF(ISNUMBER(SEARCH(Dictionary!$A$14,Data!$H103)),1,0)</f>
        <v>1</v>
      </c>
      <c r="L103" s="15" t="n">
        <f aca="false">IF(ISNUMBER(SEARCH(Dictionary!$A$15,Data!$H103)),1,0)</f>
        <v>0</v>
      </c>
      <c r="M103" s="15" t="n">
        <f aca="false">IF(ISNUMBER(SEARCH(Dictionary!$A$16,Data!$H103)),1,0)</f>
        <v>0</v>
      </c>
      <c r="N103" s="15" t="n">
        <f aca="false">IF(SUMPRODUCT((Dictionary!$C$5:$C$96=Dictionary!$A$5)*(Dictionary!$D$5:$D$96&lt;&gt;"")*ISNUMBER(SEARCH(Dictionary!$D$5:$D$96,Data!$I103)))&gt;0,1,0)</f>
        <v>0</v>
      </c>
      <c r="O103" s="15" t="n">
        <f aca="false">IF(SUMPRODUCT((Dictionary!$C$5:$C$96=Dictionary!$A$6)*(Dictionary!$D$5:$D$96&lt;&gt;"")*ISNUMBER(SEARCH(Dictionary!$D$5:$D$96,Data!$I103)))&gt;0,1,0)</f>
        <v>0</v>
      </c>
      <c r="P103" s="15" t="n">
        <f aca="false">IF(SUMPRODUCT((Dictionary!$C$5:$C$96=Dictionary!$A$7)*(Dictionary!$D$5:$D$96&lt;&gt;"")*ISNUMBER(SEARCH(Dictionary!$D$5:$D$96,Data!$I103)))&gt;0,1,0)</f>
        <v>0</v>
      </c>
      <c r="Q103" s="15" t="n">
        <f aca="false">IF(SUMPRODUCT((Dictionary!$C$5:$C$96=Dictionary!$A$8)*(Dictionary!$D$5:$D$96&lt;&gt;"")*ISNUMBER(SEARCH(Dictionary!$D$5:$D$96,Data!$I103)))&gt;0,1,0)</f>
        <v>0</v>
      </c>
      <c r="R103" s="15" t="n">
        <f aca="false">IF(SUMPRODUCT((Dictionary!$C$5:$C$96=Dictionary!$A$9)*(Dictionary!$D$5:$D$96&lt;&gt;"")*ISNUMBER(SEARCH(Dictionary!$D$5:$D$96,Data!$I103)))&gt;0,1,0)</f>
        <v>0</v>
      </c>
      <c r="S103" s="15" t="n">
        <f aca="false">IF(SUMPRODUCT((Dictionary!$C$5:$C$96=Dictionary!$A$10)*(Dictionary!$D$5:$D$96&lt;&gt;"")*ISNUMBER(SEARCH(Dictionary!$D$5:$D$96,Data!$I103)))&gt;0,1,0)</f>
        <v>0</v>
      </c>
      <c r="T103" s="15" t="n">
        <f aca="false">IF(SUMPRODUCT((Dictionary!$C$5:$C$96=Dictionary!$A$11)*(Dictionary!$D$5:$D$96&lt;&gt;"")*ISNUMBER(SEARCH(Dictionary!$D$5:$D$96,Data!$I103)))&gt;0,1,0)</f>
        <v>0</v>
      </c>
      <c r="U103" s="15" t="n">
        <f aca="false">IF(SUMPRODUCT((Dictionary!$C$5:$C$96=Dictionary!$A$12)*(Dictionary!$D$5:$D$96&lt;&gt;"")*ISNUMBER(SEARCH(Dictionary!$D$5:$D$96,Data!$I103)))&gt;0,1,0)</f>
        <v>0</v>
      </c>
      <c r="V103" s="15" t="n">
        <f aca="false">IF(SUMPRODUCT((Dictionary!$C$5:$C$96=Dictionary!$A$13)*(Dictionary!$D$5:$D$96&lt;&gt;"")*ISNUMBER(SEARCH(Dictionary!$D$5:$D$96,Data!$I103)))&gt;0,1,0)</f>
        <v>0</v>
      </c>
      <c r="W103" s="15" t="n">
        <f aca="false">IF(SUMPRODUCT((Dictionary!$C$5:$C$96=Dictionary!$A$14)*(Dictionary!$D$5:$D$96&lt;&gt;"")*ISNUMBER(SEARCH(Dictionary!$D$5:$D$96,Data!$I103)))&gt;0,1,0)</f>
        <v>0</v>
      </c>
      <c r="X103" s="15" t="n">
        <f aca="false">IF(SUMPRODUCT((Dictionary!$C$5:$C$96=Dictionary!$A$15)*(Dictionary!$D$5:$D$96&lt;&gt;"")*ISNUMBER(SEARCH(Dictionary!$D$5:$D$96,Data!$I103)))&gt;0,1,0)</f>
        <v>0</v>
      </c>
      <c r="Y103" s="15" t="n">
        <f aca="false">IF(SUMPRODUCT((Dictionary!$C$5:$C$96=Dictionary!$A$16)*(Dictionary!$D$5:$D$96&lt;&gt;"")*ISNUMBER(SEARCH(Dictionary!$D$5:$D$96,Data!$I103)))&gt;0,1,0)</f>
        <v>0</v>
      </c>
      <c r="Z103" s="15" t="n">
        <f aca="false">IF(ISNUMBER(SEARCH("Other",Data!$H103)),1,0)</f>
        <v>0</v>
      </c>
      <c r="AA103" s="15" t="n">
        <f aca="false">IF(Data!$I103&lt;&gt;"",1,0)</f>
        <v>0</v>
      </c>
      <c r="AB103" s="15" t="n">
        <f aca="false">SUM(B103:M103)</f>
        <v>4</v>
      </c>
      <c r="AC103" s="15" t="n">
        <f aca="false">SUMPRODUCT(--((B103:M103+N103:Y103)&gt;0))</f>
        <v>4</v>
      </c>
      <c r="AD103" s="15" t="n">
        <f aca="false">AC103-AB103</f>
        <v>0</v>
      </c>
      <c r="AE103" s="15" t="n">
        <f aca="false">IF(AND(Z103=1,AA103=1),1,0)</f>
        <v>0</v>
      </c>
      <c r="AF103" s="15" t="n">
        <f aca="false">AC103+AE103</f>
        <v>4</v>
      </c>
      <c r="AG103" s="15" t="n">
        <f aca="false">AB103+AE103</f>
        <v>4</v>
      </c>
      <c r="AH103" s="15" t="n">
        <f aca="false">IF(AND(Data!$H103&lt;&gt;"",Data!$I103&lt;&gt;""),1,0)</f>
        <v>0</v>
      </c>
      <c r="AI103" s="15" t="str">
        <f aca="false">IF(AH103=1,SUMPRODUCT(N103:Y103*B103:M103),"")</f>
        <v/>
      </c>
      <c r="AJ103" s="15" t="str">
        <f aca="false">IF(AH103=1,SUMPRODUCT(--(N103:Y103&gt;B103:M103)),"")</f>
        <v/>
      </c>
      <c r="AK103" s="15" t="str">
        <f aca="false">IF(AH103=1,AB103,"")</f>
        <v/>
      </c>
    </row>
    <row r="104" customFormat="false" ht="15" hidden="false" customHeight="true" outlineLevel="0" collapsed="false">
      <c r="A104" s="15" t="str">
        <f aca="false">Data!$A104</f>
        <v>TagTeam</v>
      </c>
      <c r="B104" s="15" t="n">
        <f aca="false">IF(ISNUMBER(SEARCH(Dictionary!$A$5,Data!$H104)),1,0)</f>
        <v>0</v>
      </c>
      <c r="C104" s="15" t="n">
        <f aca="false">IF(ISNUMBER(SEARCH(Dictionary!$A$6,Data!$H104)),1,0)</f>
        <v>0</v>
      </c>
      <c r="D104" s="15" t="n">
        <f aca="false">IF(ISNUMBER(SEARCH(Dictionary!$A$7,Data!$H104)),1,0)</f>
        <v>0</v>
      </c>
      <c r="E104" s="15" t="n">
        <f aca="false">IF(ISNUMBER(SEARCH(Dictionary!$A$8,Data!$H104)),1,0)</f>
        <v>0</v>
      </c>
      <c r="F104" s="15" t="n">
        <f aca="false">IF(ISNUMBER(SEARCH(Dictionary!$A$9,Data!$H104)),1,0)</f>
        <v>0</v>
      </c>
      <c r="G104" s="15" t="n">
        <f aca="false">IF(ISNUMBER(SEARCH(Dictionary!$A$10,Data!$H104)),1,0)</f>
        <v>0</v>
      </c>
      <c r="H104" s="15" t="n">
        <f aca="false">IF(ISNUMBER(SEARCH(Dictionary!$A$11,Data!$H104)),1,0)</f>
        <v>0</v>
      </c>
      <c r="I104" s="15" t="n">
        <f aca="false">IF(ISNUMBER(SEARCH(Dictionary!$A$12,Data!$H104)),1,0)</f>
        <v>0</v>
      </c>
      <c r="J104" s="15" t="n">
        <f aca="false">IF(ISNUMBER(SEARCH(Dictionary!$A$13,Data!$H104)),1,0)</f>
        <v>0</v>
      </c>
      <c r="K104" s="15" t="n">
        <f aca="false">IF(ISNUMBER(SEARCH(Dictionary!$A$14,Data!$H104)),1,0)</f>
        <v>0</v>
      </c>
      <c r="L104" s="15" t="n">
        <f aca="false">IF(ISNUMBER(SEARCH(Dictionary!$A$15,Data!$H104)),1,0)</f>
        <v>0</v>
      </c>
      <c r="M104" s="15" t="n">
        <f aca="false">IF(ISNUMBER(SEARCH(Dictionary!$A$16,Data!$H104)),1,0)</f>
        <v>0</v>
      </c>
      <c r="N104" s="15" t="n">
        <f aca="false">IF(SUMPRODUCT((Dictionary!$C$5:$C$96=Dictionary!$A$5)*(Dictionary!$D$5:$D$96&lt;&gt;"")*ISNUMBER(SEARCH(Dictionary!$D$5:$D$96,Data!$I104)))&gt;0,1,0)</f>
        <v>0</v>
      </c>
      <c r="O104" s="15" t="n">
        <f aca="false">IF(SUMPRODUCT((Dictionary!$C$5:$C$96=Dictionary!$A$6)*(Dictionary!$D$5:$D$96&lt;&gt;"")*ISNUMBER(SEARCH(Dictionary!$D$5:$D$96,Data!$I104)))&gt;0,1,0)</f>
        <v>0</v>
      </c>
      <c r="P104" s="15" t="n">
        <f aca="false">IF(SUMPRODUCT((Dictionary!$C$5:$C$96=Dictionary!$A$7)*(Dictionary!$D$5:$D$96&lt;&gt;"")*ISNUMBER(SEARCH(Dictionary!$D$5:$D$96,Data!$I104)))&gt;0,1,0)</f>
        <v>0</v>
      </c>
      <c r="Q104" s="15" t="n">
        <f aca="false">IF(SUMPRODUCT((Dictionary!$C$5:$C$96=Dictionary!$A$8)*(Dictionary!$D$5:$D$96&lt;&gt;"")*ISNUMBER(SEARCH(Dictionary!$D$5:$D$96,Data!$I104)))&gt;0,1,0)</f>
        <v>0</v>
      </c>
      <c r="R104" s="15" t="n">
        <f aca="false">IF(SUMPRODUCT((Dictionary!$C$5:$C$96=Dictionary!$A$9)*(Dictionary!$D$5:$D$96&lt;&gt;"")*ISNUMBER(SEARCH(Dictionary!$D$5:$D$96,Data!$I104)))&gt;0,1,0)</f>
        <v>0</v>
      </c>
      <c r="S104" s="15" t="n">
        <f aca="false">IF(SUMPRODUCT((Dictionary!$C$5:$C$96=Dictionary!$A$10)*(Dictionary!$D$5:$D$96&lt;&gt;"")*ISNUMBER(SEARCH(Dictionary!$D$5:$D$96,Data!$I104)))&gt;0,1,0)</f>
        <v>0</v>
      </c>
      <c r="T104" s="15" t="n">
        <f aca="false">IF(SUMPRODUCT((Dictionary!$C$5:$C$96=Dictionary!$A$11)*(Dictionary!$D$5:$D$96&lt;&gt;"")*ISNUMBER(SEARCH(Dictionary!$D$5:$D$96,Data!$I104)))&gt;0,1,0)</f>
        <v>0</v>
      </c>
      <c r="U104" s="15" t="n">
        <f aca="false">IF(SUMPRODUCT((Dictionary!$C$5:$C$96=Dictionary!$A$12)*(Dictionary!$D$5:$D$96&lt;&gt;"")*ISNUMBER(SEARCH(Dictionary!$D$5:$D$96,Data!$I104)))&gt;0,1,0)</f>
        <v>0</v>
      </c>
      <c r="V104" s="15" t="n">
        <f aca="false">IF(SUMPRODUCT((Dictionary!$C$5:$C$96=Dictionary!$A$13)*(Dictionary!$D$5:$D$96&lt;&gt;"")*ISNUMBER(SEARCH(Dictionary!$D$5:$D$96,Data!$I104)))&gt;0,1,0)</f>
        <v>0</v>
      </c>
      <c r="W104" s="15" t="n">
        <f aca="false">IF(SUMPRODUCT((Dictionary!$C$5:$C$96=Dictionary!$A$14)*(Dictionary!$D$5:$D$96&lt;&gt;"")*ISNUMBER(SEARCH(Dictionary!$D$5:$D$96,Data!$I104)))&gt;0,1,0)</f>
        <v>0</v>
      </c>
      <c r="X104" s="15" t="n">
        <f aca="false">IF(SUMPRODUCT((Dictionary!$C$5:$C$96=Dictionary!$A$15)*(Dictionary!$D$5:$D$96&lt;&gt;"")*ISNUMBER(SEARCH(Dictionary!$D$5:$D$96,Data!$I104)))&gt;0,1,0)</f>
        <v>0</v>
      </c>
      <c r="Y104" s="15" t="n">
        <f aca="false">IF(SUMPRODUCT((Dictionary!$C$5:$C$96=Dictionary!$A$16)*(Dictionary!$D$5:$D$96&lt;&gt;"")*ISNUMBER(SEARCH(Dictionary!$D$5:$D$96,Data!$I104)))&gt;0,1,0)</f>
        <v>0</v>
      </c>
      <c r="Z104" s="15" t="n">
        <f aca="false">IF(ISNUMBER(SEARCH("Other",Data!$H104)),1,0)</f>
        <v>0</v>
      </c>
      <c r="AA104" s="15" t="n">
        <f aca="false">IF(Data!$I104&lt;&gt;"",1,0)</f>
        <v>0</v>
      </c>
      <c r="AB104" s="15" t="n">
        <f aca="false">SUM(B104:M104)</f>
        <v>0</v>
      </c>
      <c r="AC104" s="15" t="n">
        <f aca="false">SUMPRODUCT(--((B104:M104+N104:Y104)&gt;0))</f>
        <v>0</v>
      </c>
      <c r="AD104" s="15" t="n">
        <f aca="false">AC104-AB104</f>
        <v>0</v>
      </c>
      <c r="AE104" s="15" t="n">
        <f aca="false">IF(AND(Z104=1,AA104=1),1,0)</f>
        <v>0</v>
      </c>
      <c r="AF104" s="15" t="n">
        <f aca="false">AC104+AE104</f>
        <v>0</v>
      </c>
      <c r="AG104" s="15" t="n">
        <f aca="false">AB104+AE104</f>
        <v>0</v>
      </c>
      <c r="AH104" s="15" t="n">
        <f aca="false">IF(AND(Data!$H104&lt;&gt;"",Data!$I104&lt;&gt;""),1,0)</f>
        <v>0</v>
      </c>
      <c r="AI104" s="15" t="str">
        <f aca="false">IF(AH104=1,SUMPRODUCT(N104:Y104*B104:M104),"")</f>
        <v/>
      </c>
      <c r="AJ104" s="15" t="str">
        <f aca="false">IF(AH104=1,SUMPRODUCT(--(N104:Y104&gt;B104:M104)),"")</f>
        <v/>
      </c>
      <c r="AK104" s="15" t="str">
        <f aca="false">IF(AH104=1,AB104,"")</f>
        <v/>
      </c>
    </row>
    <row r="105" customFormat="false" ht="15" hidden="false" customHeight="true" outlineLevel="0" collapsed="false">
      <c r="A105" s="15" t="str">
        <f aca="false">Data!$A105</f>
        <v>Thoth Open Metadata</v>
      </c>
      <c r="B105" s="15" t="n">
        <f aca="false">IF(ISNUMBER(SEARCH(Dictionary!$A$5,Data!$H105)),1,0)</f>
        <v>1</v>
      </c>
      <c r="C105" s="15" t="n">
        <f aca="false">IF(ISNUMBER(SEARCH(Dictionary!$A$6,Data!$H105)),1,0)</f>
        <v>1</v>
      </c>
      <c r="D105" s="15" t="n">
        <f aca="false">IF(ISNUMBER(SEARCH(Dictionary!$A$7,Data!$H105)),1,0)</f>
        <v>1</v>
      </c>
      <c r="E105" s="15" t="n">
        <f aca="false">IF(ISNUMBER(SEARCH(Dictionary!$A$8,Data!$H105)),1,0)</f>
        <v>1</v>
      </c>
      <c r="F105" s="15" t="n">
        <f aca="false">IF(ISNUMBER(SEARCH(Dictionary!$A$9,Data!$H105)),1,0)</f>
        <v>0</v>
      </c>
      <c r="G105" s="15" t="n">
        <f aca="false">IF(ISNUMBER(SEARCH(Dictionary!$A$10,Data!$H105)),1,0)</f>
        <v>1</v>
      </c>
      <c r="H105" s="15" t="n">
        <f aca="false">IF(ISNUMBER(SEARCH(Dictionary!$A$11,Data!$H105)),1,0)</f>
        <v>0</v>
      </c>
      <c r="I105" s="15" t="n">
        <f aca="false">IF(ISNUMBER(SEARCH(Dictionary!$A$12,Data!$H105)),1,0)</f>
        <v>1</v>
      </c>
      <c r="J105" s="15" t="n">
        <f aca="false">IF(ISNUMBER(SEARCH(Dictionary!$A$13,Data!$H105)),1,0)</f>
        <v>0</v>
      </c>
      <c r="K105" s="15" t="n">
        <f aca="false">IF(ISNUMBER(SEARCH(Dictionary!$A$14,Data!$H105)),1,0)</f>
        <v>1</v>
      </c>
      <c r="L105" s="15" t="n">
        <f aca="false">IF(ISNUMBER(SEARCH(Dictionary!$A$15,Data!$H105)),1,0)</f>
        <v>0</v>
      </c>
      <c r="M105" s="15" t="n">
        <f aca="false">IF(ISNUMBER(SEARCH(Dictionary!$A$16,Data!$H105)),1,0)</f>
        <v>1</v>
      </c>
      <c r="N105" s="15" t="n">
        <f aca="false">IF(SUMPRODUCT((Dictionary!$C$5:$C$96=Dictionary!$A$5)*(Dictionary!$D$5:$D$96&lt;&gt;"")*ISNUMBER(SEARCH(Dictionary!$D$5:$D$96,Data!$I105)))&gt;0,1,0)</f>
        <v>0</v>
      </c>
      <c r="O105" s="15" t="n">
        <f aca="false">IF(SUMPRODUCT((Dictionary!$C$5:$C$96=Dictionary!$A$6)*(Dictionary!$D$5:$D$96&lt;&gt;"")*ISNUMBER(SEARCH(Dictionary!$D$5:$D$96,Data!$I105)))&gt;0,1,0)</f>
        <v>0</v>
      </c>
      <c r="P105" s="15" t="n">
        <f aca="false">IF(SUMPRODUCT((Dictionary!$C$5:$C$96=Dictionary!$A$7)*(Dictionary!$D$5:$D$96&lt;&gt;"")*ISNUMBER(SEARCH(Dictionary!$D$5:$D$96,Data!$I105)))&gt;0,1,0)</f>
        <v>0</v>
      </c>
      <c r="Q105" s="15" t="n">
        <f aca="false">IF(SUMPRODUCT((Dictionary!$C$5:$C$96=Dictionary!$A$8)*(Dictionary!$D$5:$D$96&lt;&gt;"")*ISNUMBER(SEARCH(Dictionary!$D$5:$D$96,Data!$I105)))&gt;0,1,0)</f>
        <v>0</v>
      </c>
      <c r="R105" s="15" t="n">
        <f aca="false">IF(SUMPRODUCT((Dictionary!$C$5:$C$96=Dictionary!$A$9)*(Dictionary!$D$5:$D$96&lt;&gt;"")*ISNUMBER(SEARCH(Dictionary!$D$5:$D$96,Data!$I105)))&gt;0,1,0)</f>
        <v>0</v>
      </c>
      <c r="S105" s="15" t="n">
        <f aca="false">IF(SUMPRODUCT((Dictionary!$C$5:$C$96=Dictionary!$A$10)*(Dictionary!$D$5:$D$96&lt;&gt;"")*ISNUMBER(SEARCH(Dictionary!$D$5:$D$96,Data!$I105)))&gt;0,1,0)</f>
        <v>0</v>
      </c>
      <c r="T105" s="15" t="n">
        <f aca="false">IF(SUMPRODUCT((Dictionary!$C$5:$C$96=Dictionary!$A$11)*(Dictionary!$D$5:$D$96&lt;&gt;"")*ISNUMBER(SEARCH(Dictionary!$D$5:$D$96,Data!$I105)))&gt;0,1,0)</f>
        <v>0</v>
      </c>
      <c r="U105" s="15" t="n">
        <f aca="false">IF(SUMPRODUCT((Dictionary!$C$5:$C$96=Dictionary!$A$12)*(Dictionary!$D$5:$D$96&lt;&gt;"")*ISNUMBER(SEARCH(Dictionary!$D$5:$D$96,Data!$I105)))&gt;0,1,0)</f>
        <v>0</v>
      </c>
      <c r="V105" s="15" t="n">
        <f aca="false">IF(SUMPRODUCT((Dictionary!$C$5:$C$96=Dictionary!$A$13)*(Dictionary!$D$5:$D$96&lt;&gt;"")*ISNUMBER(SEARCH(Dictionary!$D$5:$D$96,Data!$I105)))&gt;0,1,0)</f>
        <v>0</v>
      </c>
      <c r="W105" s="15" t="n">
        <f aca="false">IF(SUMPRODUCT((Dictionary!$C$5:$C$96=Dictionary!$A$14)*(Dictionary!$D$5:$D$96&lt;&gt;"")*ISNUMBER(SEARCH(Dictionary!$D$5:$D$96,Data!$I105)))&gt;0,1,0)</f>
        <v>0</v>
      </c>
      <c r="X105" s="15" t="n">
        <f aca="false">IF(SUMPRODUCT((Dictionary!$C$5:$C$96=Dictionary!$A$15)*(Dictionary!$D$5:$D$96&lt;&gt;"")*ISNUMBER(SEARCH(Dictionary!$D$5:$D$96,Data!$I105)))&gt;0,1,0)</f>
        <v>0</v>
      </c>
      <c r="Y105" s="15" t="n">
        <f aca="false">IF(SUMPRODUCT((Dictionary!$C$5:$C$96=Dictionary!$A$16)*(Dictionary!$D$5:$D$96&lt;&gt;"")*ISNUMBER(SEARCH(Dictionary!$D$5:$D$96,Data!$I105)))&gt;0,1,0)</f>
        <v>0</v>
      </c>
      <c r="Z105" s="15" t="n">
        <f aca="false">IF(ISNUMBER(SEARCH("Other",Data!$H105)),1,0)</f>
        <v>0</v>
      </c>
      <c r="AA105" s="15" t="n">
        <f aca="false">IF(Data!$I105&lt;&gt;"",1,0)</f>
        <v>0</v>
      </c>
      <c r="AB105" s="15" t="n">
        <f aca="false">SUM(B105:M105)</f>
        <v>8</v>
      </c>
      <c r="AC105" s="15" t="n">
        <f aca="false">SUMPRODUCT(--((B105:M105+N105:Y105)&gt;0))</f>
        <v>8</v>
      </c>
      <c r="AD105" s="15" t="n">
        <f aca="false">AC105-AB105</f>
        <v>0</v>
      </c>
      <c r="AE105" s="15" t="n">
        <f aca="false">IF(AND(Z105=1,AA105=1),1,0)</f>
        <v>0</v>
      </c>
      <c r="AF105" s="15" t="n">
        <f aca="false">AC105+AE105</f>
        <v>8</v>
      </c>
      <c r="AG105" s="15" t="n">
        <f aca="false">AB105+AE105</f>
        <v>8</v>
      </c>
      <c r="AH105" s="15" t="n">
        <f aca="false">IF(AND(Data!$H105&lt;&gt;"",Data!$I105&lt;&gt;""),1,0)</f>
        <v>0</v>
      </c>
      <c r="AI105" s="15" t="str">
        <f aca="false">IF(AH105=1,SUMPRODUCT(N105:Y105*B105:M105),"")</f>
        <v/>
      </c>
      <c r="AJ105" s="15" t="str">
        <f aca="false">IF(AH105=1,SUMPRODUCT(--(N105:Y105&gt;B105:M105)),"")</f>
        <v/>
      </c>
      <c r="AK105" s="15" t="str">
        <f aca="false">IF(AH105=1,AB105,"")</f>
        <v/>
      </c>
    </row>
    <row r="106" customFormat="false" ht="15" hidden="false" customHeight="true" outlineLevel="0" collapsed="false">
      <c r="A106" s="15" t="str">
        <f aca="false">Data!$A106</f>
        <v>Tropy</v>
      </c>
      <c r="B106" s="15" t="n">
        <f aca="false">IF(ISNUMBER(SEARCH(Dictionary!$A$5,Data!$H106)),1,0)</f>
        <v>0</v>
      </c>
      <c r="C106" s="15" t="n">
        <f aca="false">IF(ISNUMBER(SEARCH(Dictionary!$A$6,Data!$H106)),1,0)</f>
        <v>1</v>
      </c>
      <c r="D106" s="15" t="n">
        <f aca="false">IF(ISNUMBER(SEARCH(Dictionary!$A$7,Data!$H106)),1,0)</f>
        <v>0</v>
      </c>
      <c r="E106" s="15" t="n">
        <f aca="false">IF(ISNUMBER(SEARCH(Dictionary!$A$8,Data!$H106)),1,0)</f>
        <v>0</v>
      </c>
      <c r="F106" s="15" t="n">
        <f aca="false">IF(ISNUMBER(SEARCH(Dictionary!$A$9,Data!$H106)),1,0)</f>
        <v>0</v>
      </c>
      <c r="G106" s="15" t="n">
        <f aca="false">IF(ISNUMBER(SEARCH(Dictionary!$A$10,Data!$H106)),1,0)</f>
        <v>0</v>
      </c>
      <c r="H106" s="15" t="n">
        <f aca="false">IF(ISNUMBER(SEARCH(Dictionary!$A$11,Data!$H106)),1,0)</f>
        <v>1</v>
      </c>
      <c r="I106" s="15" t="n">
        <f aca="false">IF(ISNUMBER(SEARCH(Dictionary!$A$12,Data!$H106)),1,0)</f>
        <v>1</v>
      </c>
      <c r="J106" s="15" t="n">
        <f aca="false">IF(ISNUMBER(SEARCH(Dictionary!$A$13,Data!$H106)),1,0)</f>
        <v>0</v>
      </c>
      <c r="K106" s="15" t="n">
        <f aca="false">IF(ISNUMBER(SEARCH(Dictionary!$A$14,Data!$H106)),1,0)</f>
        <v>0</v>
      </c>
      <c r="L106" s="15" t="n">
        <f aca="false">IF(ISNUMBER(SEARCH(Dictionary!$A$15,Data!$H106)),1,0)</f>
        <v>0</v>
      </c>
      <c r="M106" s="15" t="n">
        <f aca="false">IF(ISNUMBER(SEARCH(Dictionary!$A$16,Data!$H106)),1,0)</f>
        <v>0</v>
      </c>
      <c r="N106" s="15" t="n">
        <f aca="false">IF(SUMPRODUCT((Dictionary!$C$5:$C$96=Dictionary!$A$5)*(Dictionary!$D$5:$D$96&lt;&gt;"")*ISNUMBER(SEARCH(Dictionary!$D$5:$D$96,Data!$I106)))&gt;0,1,0)</f>
        <v>0</v>
      </c>
      <c r="O106" s="15" t="n">
        <f aca="false">IF(SUMPRODUCT((Dictionary!$C$5:$C$96=Dictionary!$A$6)*(Dictionary!$D$5:$D$96&lt;&gt;"")*ISNUMBER(SEARCH(Dictionary!$D$5:$D$96,Data!$I106)))&gt;0,1,0)</f>
        <v>0</v>
      </c>
      <c r="P106" s="15" t="n">
        <f aca="false">IF(SUMPRODUCT((Dictionary!$C$5:$C$96=Dictionary!$A$7)*(Dictionary!$D$5:$D$96&lt;&gt;"")*ISNUMBER(SEARCH(Dictionary!$D$5:$D$96,Data!$I106)))&gt;0,1,0)</f>
        <v>0</v>
      </c>
      <c r="Q106" s="15" t="n">
        <f aca="false">IF(SUMPRODUCT((Dictionary!$C$5:$C$96=Dictionary!$A$8)*(Dictionary!$D$5:$D$96&lt;&gt;"")*ISNUMBER(SEARCH(Dictionary!$D$5:$D$96,Data!$I106)))&gt;0,1,0)</f>
        <v>0</v>
      </c>
      <c r="R106" s="15" t="n">
        <f aca="false">IF(SUMPRODUCT((Dictionary!$C$5:$C$96=Dictionary!$A$9)*(Dictionary!$D$5:$D$96&lt;&gt;"")*ISNUMBER(SEARCH(Dictionary!$D$5:$D$96,Data!$I106)))&gt;0,1,0)</f>
        <v>0</v>
      </c>
      <c r="S106" s="15" t="n">
        <f aca="false">IF(SUMPRODUCT((Dictionary!$C$5:$C$96=Dictionary!$A$10)*(Dictionary!$D$5:$D$96&lt;&gt;"")*ISNUMBER(SEARCH(Dictionary!$D$5:$D$96,Data!$I106)))&gt;0,1,0)</f>
        <v>0</v>
      </c>
      <c r="T106" s="15" t="n">
        <f aca="false">IF(SUMPRODUCT((Dictionary!$C$5:$C$96=Dictionary!$A$11)*(Dictionary!$D$5:$D$96&lt;&gt;"")*ISNUMBER(SEARCH(Dictionary!$D$5:$D$96,Data!$I106)))&gt;0,1,0)</f>
        <v>0</v>
      </c>
      <c r="U106" s="15" t="n">
        <f aca="false">IF(SUMPRODUCT((Dictionary!$C$5:$C$96=Dictionary!$A$12)*(Dictionary!$D$5:$D$96&lt;&gt;"")*ISNUMBER(SEARCH(Dictionary!$D$5:$D$96,Data!$I106)))&gt;0,1,0)</f>
        <v>0</v>
      </c>
      <c r="V106" s="15" t="n">
        <f aca="false">IF(SUMPRODUCT((Dictionary!$C$5:$C$96=Dictionary!$A$13)*(Dictionary!$D$5:$D$96&lt;&gt;"")*ISNUMBER(SEARCH(Dictionary!$D$5:$D$96,Data!$I106)))&gt;0,1,0)</f>
        <v>0</v>
      </c>
      <c r="W106" s="15" t="n">
        <f aca="false">IF(SUMPRODUCT((Dictionary!$C$5:$C$96=Dictionary!$A$14)*(Dictionary!$D$5:$D$96&lt;&gt;"")*ISNUMBER(SEARCH(Dictionary!$D$5:$D$96,Data!$I106)))&gt;0,1,0)</f>
        <v>0</v>
      </c>
      <c r="X106" s="15" t="n">
        <f aca="false">IF(SUMPRODUCT((Dictionary!$C$5:$C$96=Dictionary!$A$15)*(Dictionary!$D$5:$D$96&lt;&gt;"")*ISNUMBER(SEARCH(Dictionary!$D$5:$D$96,Data!$I106)))&gt;0,1,0)</f>
        <v>0</v>
      </c>
      <c r="Y106" s="15" t="n">
        <f aca="false">IF(SUMPRODUCT((Dictionary!$C$5:$C$96=Dictionary!$A$16)*(Dictionary!$D$5:$D$96&lt;&gt;"")*ISNUMBER(SEARCH(Dictionary!$D$5:$D$96,Data!$I106)))&gt;0,1,0)</f>
        <v>0</v>
      </c>
      <c r="Z106" s="15" t="n">
        <f aca="false">IF(ISNUMBER(SEARCH("Other",Data!$H106)),1,0)</f>
        <v>0</v>
      </c>
      <c r="AA106" s="15" t="n">
        <f aca="false">IF(Data!$I106&lt;&gt;"",1,0)</f>
        <v>0</v>
      </c>
      <c r="AB106" s="15" t="n">
        <f aca="false">SUM(B106:M106)</f>
        <v>3</v>
      </c>
      <c r="AC106" s="15" t="n">
        <f aca="false">SUMPRODUCT(--((B106:M106+N106:Y106)&gt;0))</f>
        <v>3</v>
      </c>
      <c r="AD106" s="15" t="n">
        <f aca="false">AC106-AB106</f>
        <v>0</v>
      </c>
      <c r="AE106" s="15" t="n">
        <f aca="false">IF(AND(Z106=1,AA106=1),1,0)</f>
        <v>0</v>
      </c>
      <c r="AF106" s="15" t="n">
        <f aca="false">AC106+AE106</f>
        <v>3</v>
      </c>
      <c r="AG106" s="15" t="n">
        <f aca="false">AB106+AE106</f>
        <v>3</v>
      </c>
      <c r="AH106" s="15" t="n">
        <f aca="false">IF(AND(Data!$H106&lt;&gt;"",Data!$I106&lt;&gt;""),1,0)</f>
        <v>0</v>
      </c>
      <c r="AI106" s="15" t="str">
        <f aca="false">IF(AH106=1,SUMPRODUCT(N106:Y106*B106:M106),"")</f>
        <v/>
      </c>
      <c r="AJ106" s="15" t="str">
        <f aca="false">IF(AH106=1,SUMPRODUCT(--(N106:Y106&gt;B106:M106)),"")</f>
        <v/>
      </c>
      <c r="AK106" s="15" t="str">
        <f aca="false">IF(AH106=1,AB106,"")</f>
        <v/>
      </c>
    </row>
    <row r="107" customFormat="false" ht="15" hidden="false" customHeight="true" outlineLevel="0" collapsed="false">
      <c r="A107" s="15" t="str">
        <f aca="false">Data!$A107</f>
        <v>veraPDF</v>
      </c>
      <c r="B107" s="15" t="n">
        <f aca="false">IF(ISNUMBER(SEARCH(Dictionary!$A$5,Data!$H107)),1,0)</f>
        <v>0</v>
      </c>
      <c r="C107" s="15" t="n">
        <f aca="false">IF(ISNUMBER(SEARCH(Dictionary!$A$6,Data!$H107)),1,0)</f>
        <v>0</v>
      </c>
      <c r="D107" s="15" t="n">
        <f aca="false">IF(ISNUMBER(SEARCH(Dictionary!$A$7,Data!$H107)),1,0)</f>
        <v>0</v>
      </c>
      <c r="E107" s="15" t="n">
        <f aca="false">IF(ISNUMBER(SEARCH(Dictionary!$A$8,Data!$H107)),1,0)</f>
        <v>0</v>
      </c>
      <c r="F107" s="15" t="n">
        <f aca="false">IF(ISNUMBER(SEARCH(Dictionary!$A$9,Data!$H107)),1,0)</f>
        <v>1</v>
      </c>
      <c r="G107" s="15" t="n">
        <f aca="false">IF(ISNUMBER(SEARCH(Dictionary!$A$10,Data!$H107)),1,0)</f>
        <v>1</v>
      </c>
      <c r="H107" s="15" t="n">
        <f aca="false">IF(ISNUMBER(SEARCH(Dictionary!$A$11,Data!$H107)),1,0)</f>
        <v>1</v>
      </c>
      <c r="I107" s="15" t="n">
        <f aca="false">IF(ISNUMBER(SEARCH(Dictionary!$A$12,Data!$H107)),1,0)</f>
        <v>0</v>
      </c>
      <c r="J107" s="15" t="n">
        <f aca="false">IF(ISNUMBER(SEARCH(Dictionary!$A$13,Data!$H107)),1,0)</f>
        <v>1</v>
      </c>
      <c r="K107" s="15" t="n">
        <f aca="false">IF(ISNUMBER(SEARCH(Dictionary!$A$14,Data!$H107)),1,0)</f>
        <v>1</v>
      </c>
      <c r="L107" s="15" t="n">
        <f aca="false">IF(ISNUMBER(SEARCH(Dictionary!$A$15,Data!$H107)),1,0)</f>
        <v>0</v>
      </c>
      <c r="M107" s="15" t="n">
        <f aca="false">IF(ISNUMBER(SEARCH(Dictionary!$A$16,Data!$H107)),1,0)</f>
        <v>0</v>
      </c>
      <c r="N107" s="15" t="n">
        <f aca="false">IF(SUMPRODUCT((Dictionary!$C$5:$C$96=Dictionary!$A$5)*(Dictionary!$D$5:$D$96&lt;&gt;"")*ISNUMBER(SEARCH(Dictionary!$D$5:$D$96,Data!$I107)))&gt;0,1,0)</f>
        <v>0</v>
      </c>
      <c r="O107" s="15" t="n">
        <f aca="false">IF(SUMPRODUCT((Dictionary!$C$5:$C$96=Dictionary!$A$6)*(Dictionary!$D$5:$D$96&lt;&gt;"")*ISNUMBER(SEARCH(Dictionary!$D$5:$D$96,Data!$I107)))&gt;0,1,0)</f>
        <v>0</v>
      </c>
      <c r="P107" s="15" t="n">
        <f aca="false">IF(SUMPRODUCT((Dictionary!$C$5:$C$96=Dictionary!$A$7)*(Dictionary!$D$5:$D$96&lt;&gt;"")*ISNUMBER(SEARCH(Dictionary!$D$5:$D$96,Data!$I107)))&gt;0,1,0)</f>
        <v>0</v>
      </c>
      <c r="Q107" s="15" t="n">
        <f aca="false">IF(SUMPRODUCT((Dictionary!$C$5:$C$96=Dictionary!$A$8)*(Dictionary!$D$5:$D$96&lt;&gt;"")*ISNUMBER(SEARCH(Dictionary!$D$5:$D$96,Data!$I107)))&gt;0,1,0)</f>
        <v>0</v>
      </c>
      <c r="R107" s="15" t="n">
        <f aca="false">IF(SUMPRODUCT((Dictionary!$C$5:$C$96=Dictionary!$A$9)*(Dictionary!$D$5:$D$96&lt;&gt;"")*ISNUMBER(SEARCH(Dictionary!$D$5:$D$96,Data!$I107)))&gt;0,1,0)</f>
        <v>0</v>
      </c>
      <c r="S107" s="15" t="n">
        <f aca="false">IF(SUMPRODUCT((Dictionary!$C$5:$C$96=Dictionary!$A$10)*(Dictionary!$D$5:$D$96&lt;&gt;"")*ISNUMBER(SEARCH(Dictionary!$D$5:$D$96,Data!$I107)))&gt;0,1,0)</f>
        <v>0</v>
      </c>
      <c r="T107" s="15" t="n">
        <f aca="false">IF(SUMPRODUCT((Dictionary!$C$5:$C$96=Dictionary!$A$11)*(Dictionary!$D$5:$D$96&lt;&gt;"")*ISNUMBER(SEARCH(Dictionary!$D$5:$D$96,Data!$I107)))&gt;0,1,0)</f>
        <v>0</v>
      </c>
      <c r="U107" s="15" t="n">
        <f aca="false">IF(SUMPRODUCT((Dictionary!$C$5:$C$96=Dictionary!$A$12)*(Dictionary!$D$5:$D$96&lt;&gt;"")*ISNUMBER(SEARCH(Dictionary!$D$5:$D$96,Data!$I107)))&gt;0,1,0)</f>
        <v>0</v>
      </c>
      <c r="V107" s="15" t="n">
        <f aca="false">IF(SUMPRODUCT((Dictionary!$C$5:$C$96=Dictionary!$A$13)*(Dictionary!$D$5:$D$96&lt;&gt;"")*ISNUMBER(SEARCH(Dictionary!$D$5:$D$96,Data!$I107)))&gt;0,1,0)</f>
        <v>0</v>
      </c>
      <c r="W107" s="15" t="n">
        <f aca="false">IF(SUMPRODUCT((Dictionary!$C$5:$C$96=Dictionary!$A$14)*(Dictionary!$D$5:$D$96&lt;&gt;"")*ISNUMBER(SEARCH(Dictionary!$D$5:$D$96,Data!$I107)))&gt;0,1,0)</f>
        <v>0</v>
      </c>
      <c r="X107" s="15" t="n">
        <f aca="false">IF(SUMPRODUCT((Dictionary!$C$5:$C$96=Dictionary!$A$15)*(Dictionary!$D$5:$D$96&lt;&gt;"")*ISNUMBER(SEARCH(Dictionary!$D$5:$D$96,Data!$I107)))&gt;0,1,0)</f>
        <v>0</v>
      </c>
      <c r="Y107" s="15" t="n">
        <f aca="false">IF(SUMPRODUCT((Dictionary!$C$5:$C$96=Dictionary!$A$16)*(Dictionary!$D$5:$D$96&lt;&gt;"")*ISNUMBER(SEARCH(Dictionary!$D$5:$D$96,Data!$I107)))&gt;0,1,0)</f>
        <v>0</v>
      </c>
      <c r="Z107" s="15" t="n">
        <f aca="false">IF(ISNUMBER(SEARCH("Other",Data!$H107)),1,0)</f>
        <v>0</v>
      </c>
      <c r="AA107" s="15" t="n">
        <f aca="false">IF(Data!$I107&lt;&gt;"",1,0)</f>
        <v>0</v>
      </c>
      <c r="AB107" s="15" t="n">
        <f aca="false">SUM(B107:M107)</f>
        <v>5</v>
      </c>
      <c r="AC107" s="15" t="n">
        <f aca="false">SUMPRODUCT(--((B107:M107+N107:Y107)&gt;0))</f>
        <v>5</v>
      </c>
      <c r="AD107" s="15" t="n">
        <f aca="false">AC107-AB107</f>
        <v>0</v>
      </c>
      <c r="AE107" s="15" t="n">
        <f aca="false">IF(AND(Z107=1,AA107=1),1,0)</f>
        <v>0</v>
      </c>
      <c r="AF107" s="15" t="n">
        <f aca="false">AC107+AE107</f>
        <v>5</v>
      </c>
      <c r="AG107" s="15" t="n">
        <f aca="false">AB107+AE107</f>
        <v>5</v>
      </c>
      <c r="AH107" s="15" t="n">
        <f aca="false">IF(AND(Data!$H107&lt;&gt;"",Data!$I107&lt;&gt;""),1,0)</f>
        <v>0</v>
      </c>
      <c r="AI107" s="15" t="str">
        <f aca="false">IF(AH107=1,SUMPRODUCT(N107:Y107*B107:M107),"")</f>
        <v/>
      </c>
      <c r="AJ107" s="15" t="str">
        <f aca="false">IF(AH107=1,SUMPRODUCT(--(N107:Y107&gt;B107:M107)),"")</f>
        <v/>
      </c>
      <c r="AK107" s="15" t="str">
        <f aca="false">IF(AH107=1,AB107,"")</f>
        <v/>
      </c>
    </row>
    <row r="108" customFormat="false" ht="15" hidden="false" customHeight="true" outlineLevel="0" collapsed="false">
      <c r="A108" s="15" t="str">
        <f aca="false">Data!$A108</f>
        <v>ViPER</v>
      </c>
      <c r="B108" s="15" t="n">
        <f aca="false">IF(ISNUMBER(SEARCH(Dictionary!$A$5,Data!$H108)),1,0)</f>
        <v>1</v>
      </c>
      <c r="C108" s="15" t="n">
        <f aca="false">IF(ISNUMBER(SEARCH(Dictionary!$A$6,Data!$H108)),1,0)</f>
        <v>0</v>
      </c>
      <c r="D108" s="15" t="n">
        <f aca="false">IF(ISNUMBER(SEARCH(Dictionary!$A$7,Data!$H108)),1,0)</f>
        <v>0</v>
      </c>
      <c r="E108" s="15" t="n">
        <f aca="false">IF(ISNUMBER(SEARCH(Dictionary!$A$8,Data!$H108)),1,0)</f>
        <v>1</v>
      </c>
      <c r="F108" s="15" t="n">
        <f aca="false">IF(ISNUMBER(SEARCH(Dictionary!$A$9,Data!$H108)),1,0)</f>
        <v>0</v>
      </c>
      <c r="G108" s="15" t="n">
        <f aca="false">IF(ISNUMBER(SEARCH(Dictionary!$A$10,Data!$H108)),1,0)</f>
        <v>1</v>
      </c>
      <c r="H108" s="15" t="n">
        <f aca="false">IF(ISNUMBER(SEARCH(Dictionary!$A$11,Data!$H108)),1,0)</f>
        <v>1</v>
      </c>
      <c r="I108" s="15" t="n">
        <f aca="false">IF(ISNUMBER(SEARCH(Dictionary!$A$12,Data!$H108)),1,0)</f>
        <v>1</v>
      </c>
      <c r="J108" s="15" t="n">
        <f aca="false">IF(ISNUMBER(SEARCH(Dictionary!$A$13,Data!$H108)),1,0)</f>
        <v>1</v>
      </c>
      <c r="K108" s="15" t="n">
        <f aca="false">IF(ISNUMBER(SEARCH(Dictionary!$A$14,Data!$H108)),1,0)</f>
        <v>1</v>
      </c>
      <c r="L108" s="15" t="n">
        <f aca="false">IF(ISNUMBER(SEARCH(Dictionary!$A$15,Data!$H108)),1,0)</f>
        <v>0</v>
      </c>
      <c r="M108" s="15" t="n">
        <f aca="false">IF(ISNUMBER(SEARCH(Dictionary!$A$16,Data!$H108)),1,0)</f>
        <v>1</v>
      </c>
      <c r="N108" s="15" t="n">
        <f aca="false">IF(SUMPRODUCT((Dictionary!$C$5:$C$96=Dictionary!$A$5)*(Dictionary!$D$5:$D$96&lt;&gt;"")*ISNUMBER(SEARCH(Dictionary!$D$5:$D$96,Data!$I108)))&gt;0,1,0)</f>
        <v>0</v>
      </c>
      <c r="O108" s="15" t="n">
        <f aca="false">IF(SUMPRODUCT((Dictionary!$C$5:$C$96=Dictionary!$A$6)*(Dictionary!$D$5:$D$96&lt;&gt;"")*ISNUMBER(SEARCH(Dictionary!$D$5:$D$96,Data!$I108)))&gt;0,1,0)</f>
        <v>0</v>
      </c>
      <c r="P108" s="15" t="n">
        <f aca="false">IF(SUMPRODUCT((Dictionary!$C$5:$C$96=Dictionary!$A$7)*(Dictionary!$D$5:$D$96&lt;&gt;"")*ISNUMBER(SEARCH(Dictionary!$D$5:$D$96,Data!$I108)))&gt;0,1,0)</f>
        <v>0</v>
      </c>
      <c r="Q108" s="15" t="n">
        <f aca="false">IF(SUMPRODUCT((Dictionary!$C$5:$C$96=Dictionary!$A$8)*(Dictionary!$D$5:$D$96&lt;&gt;"")*ISNUMBER(SEARCH(Dictionary!$D$5:$D$96,Data!$I108)))&gt;0,1,0)</f>
        <v>0</v>
      </c>
      <c r="R108" s="15" t="n">
        <f aca="false">IF(SUMPRODUCT((Dictionary!$C$5:$C$96=Dictionary!$A$9)*(Dictionary!$D$5:$D$96&lt;&gt;"")*ISNUMBER(SEARCH(Dictionary!$D$5:$D$96,Data!$I108)))&gt;0,1,0)</f>
        <v>0</v>
      </c>
      <c r="S108" s="15" t="n">
        <f aca="false">IF(SUMPRODUCT((Dictionary!$C$5:$C$96=Dictionary!$A$10)*(Dictionary!$D$5:$D$96&lt;&gt;"")*ISNUMBER(SEARCH(Dictionary!$D$5:$D$96,Data!$I108)))&gt;0,1,0)</f>
        <v>0</v>
      </c>
      <c r="T108" s="15" t="n">
        <f aca="false">IF(SUMPRODUCT((Dictionary!$C$5:$C$96=Dictionary!$A$11)*(Dictionary!$D$5:$D$96&lt;&gt;"")*ISNUMBER(SEARCH(Dictionary!$D$5:$D$96,Data!$I108)))&gt;0,1,0)</f>
        <v>0</v>
      </c>
      <c r="U108" s="15" t="n">
        <f aca="false">IF(SUMPRODUCT((Dictionary!$C$5:$C$96=Dictionary!$A$12)*(Dictionary!$D$5:$D$96&lt;&gt;"")*ISNUMBER(SEARCH(Dictionary!$D$5:$D$96,Data!$I108)))&gt;0,1,0)</f>
        <v>0</v>
      </c>
      <c r="V108" s="15" t="n">
        <f aca="false">IF(SUMPRODUCT((Dictionary!$C$5:$C$96=Dictionary!$A$13)*(Dictionary!$D$5:$D$96&lt;&gt;"")*ISNUMBER(SEARCH(Dictionary!$D$5:$D$96,Data!$I108)))&gt;0,1,0)</f>
        <v>0</v>
      </c>
      <c r="W108" s="15" t="n">
        <f aca="false">IF(SUMPRODUCT((Dictionary!$C$5:$C$96=Dictionary!$A$14)*(Dictionary!$D$5:$D$96&lt;&gt;"")*ISNUMBER(SEARCH(Dictionary!$D$5:$D$96,Data!$I108)))&gt;0,1,0)</f>
        <v>0</v>
      </c>
      <c r="X108" s="15" t="n">
        <f aca="false">IF(SUMPRODUCT((Dictionary!$C$5:$C$96=Dictionary!$A$15)*(Dictionary!$D$5:$D$96&lt;&gt;"")*ISNUMBER(SEARCH(Dictionary!$D$5:$D$96,Data!$I108)))&gt;0,1,0)</f>
        <v>0</v>
      </c>
      <c r="Y108" s="15" t="n">
        <f aca="false">IF(SUMPRODUCT((Dictionary!$C$5:$C$96=Dictionary!$A$16)*(Dictionary!$D$5:$D$96&lt;&gt;"")*ISNUMBER(SEARCH(Dictionary!$D$5:$D$96,Data!$I108)))&gt;0,1,0)</f>
        <v>0</v>
      </c>
      <c r="Z108" s="15" t="n">
        <f aca="false">IF(ISNUMBER(SEARCH("Other",Data!$H108)),1,0)</f>
        <v>0</v>
      </c>
      <c r="AA108" s="15" t="n">
        <f aca="false">IF(Data!$I108&lt;&gt;"",1,0)</f>
        <v>0</v>
      </c>
      <c r="AB108" s="15" t="n">
        <f aca="false">SUM(B108:M108)</f>
        <v>8</v>
      </c>
      <c r="AC108" s="15" t="n">
        <f aca="false">SUMPRODUCT(--((B108:M108+N108:Y108)&gt;0))</f>
        <v>8</v>
      </c>
      <c r="AD108" s="15" t="n">
        <f aca="false">AC108-AB108</f>
        <v>0</v>
      </c>
      <c r="AE108" s="15" t="n">
        <f aca="false">IF(AND(Z108=1,AA108=1),1,0)</f>
        <v>0</v>
      </c>
      <c r="AF108" s="15" t="n">
        <f aca="false">AC108+AE108</f>
        <v>8</v>
      </c>
      <c r="AG108" s="15" t="n">
        <f aca="false">AB108+AE108</f>
        <v>8</v>
      </c>
      <c r="AH108" s="15" t="n">
        <f aca="false">IF(AND(Data!$H108&lt;&gt;"",Data!$I108&lt;&gt;""),1,0)</f>
        <v>0</v>
      </c>
      <c r="AI108" s="15" t="str">
        <f aca="false">IF(AH108=1,SUMPRODUCT(N108:Y108*B108:M108),"")</f>
        <v/>
      </c>
      <c r="AJ108" s="15" t="str">
        <f aca="false">IF(AH108=1,SUMPRODUCT(--(N108:Y108&gt;B108:M108)),"")</f>
        <v/>
      </c>
      <c r="AK108" s="15" t="str">
        <f aca="false">IF(AH108=1,AB108,"")</f>
        <v/>
      </c>
    </row>
    <row r="109" customFormat="false" ht="15" hidden="false" customHeight="true" outlineLevel="0" collapsed="false">
      <c r="A109" s="15" t="str">
        <f aca="false">Data!$A109</f>
        <v>Vireo ETD</v>
      </c>
      <c r="B109" s="15" t="n">
        <f aca="false">IF(ISNUMBER(SEARCH(Dictionary!$A$5,Data!$H109)),1,0)</f>
        <v>1</v>
      </c>
      <c r="C109" s="15" t="n">
        <f aca="false">IF(ISNUMBER(SEARCH(Dictionary!$A$6,Data!$H109)),1,0)</f>
        <v>0</v>
      </c>
      <c r="D109" s="15" t="n">
        <f aca="false">IF(ISNUMBER(SEARCH(Dictionary!$A$7,Data!$H109)),1,0)</f>
        <v>1</v>
      </c>
      <c r="E109" s="15" t="n">
        <f aca="false">IF(ISNUMBER(SEARCH(Dictionary!$A$8,Data!$H109)),1,0)</f>
        <v>1</v>
      </c>
      <c r="F109" s="15" t="n">
        <f aca="false">IF(ISNUMBER(SEARCH(Dictionary!$A$9,Data!$H109)),1,0)</f>
        <v>1</v>
      </c>
      <c r="G109" s="15" t="n">
        <f aca="false">IF(ISNUMBER(SEARCH(Dictionary!$A$10,Data!$H109)),1,0)</f>
        <v>1</v>
      </c>
      <c r="H109" s="15" t="n">
        <f aca="false">IF(ISNUMBER(SEARCH(Dictionary!$A$11,Data!$H109)),1,0)</f>
        <v>1</v>
      </c>
      <c r="I109" s="15" t="n">
        <f aca="false">IF(ISNUMBER(SEARCH(Dictionary!$A$12,Data!$H109)),1,0)</f>
        <v>1</v>
      </c>
      <c r="J109" s="15" t="n">
        <f aca="false">IF(ISNUMBER(SEARCH(Dictionary!$A$13,Data!$H109)),1,0)</f>
        <v>1</v>
      </c>
      <c r="K109" s="15" t="n">
        <f aca="false">IF(ISNUMBER(SEARCH(Dictionary!$A$14,Data!$H109)),1,0)</f>
        <v>0</v>
      </c>
      <c r="L109" s="15" t="n">
        <f aca="false">IF(ISNUMBER(SEARCH(Dictionary!$A$15,Data!$H109)),1,0)</f>
        <v>1</v>
      </c>
      <c r="M109" s="15" t="n">
        <f aca="false">IF(ISNUMBER(SEARCH(Dictionary!$A$16,Data!$H109)),1,0)</f>
        <v>1</v>
      </c>
      <c r="N109" s="15" t="n">
        <f aca="false">IF(SUMPRODUCT((Dictionary!$C$5:$C$96=Dictionary!$A$5)*(Dictionary!$D$5:$D$96&lt;&gt;"")*ISNUMBER(SEARCH(Dictionary!$D$5:$D$96,Data!$I109)))&gt;0,1,0)</f>
        <v>0</v>
      </c>
      <c r="O109" s="15" t="n">
        <f aca="false">IF(SUMPRODUCT((Dictionary!$C$5:$C$96=Dictionary!$A$6)*(Dictionary!$D$5:$D$96&lt;&gt;"")*ISNUMBER(SEARCH(Dictionary!$D$5:$D$96,Data!$I109)))&gt;0,1,0)</f>
        <v>0</v>
      </c>
      <c r="P109" s="15" t="n">
        <f aca="false">IF(SUMPRODUCT((Dictionary!$C$5:$C$96=Dictionary!$A$7)*(Dictionary!$D$5:$D$96&lt;&gt;"")*ISNUMBER(SEARCH(Dictionary!$D$5:$D$96,Data!$I109)))&gt;0,1,0)</f>
        <v>0</v>
      </c>
      <c r="Q109" s="15" t="n">
        <f aca="false">IF(SUMPRODUCT((Dictionary!$C$5:$C$96=Dictionary!$A$8)*(Dictionary!$D$5:$D$96&lt;&gt;"")*ISNUMBER(SEARCH(Dictionary!$D$5:$D$96,Data!$I109)))&gt;0,1,0)</f>
        <v>0</v>
      </c>
      <c r="R109" s="15" t="n">
        <f aca="false">IF(SUMPRODUCT((Dictionary!$C$5:$C$96=Dictionary!$A$9)*(Dictionary!$D$5:$D$96&lt;&gt;"")*ISNUMBER(SEARCH(Dictionary!$D$5:$D$96,Data!$I109)))&gt;0,1,0)</f>
        <v>0</v>
      </c>
      <c r="S109" s="15" t="n">
        <f aca="false">IF(SUMPRODUCT((Dictionary!$C$5:$C$96=Dictionary!$A$10)*(Dictionary!$D$5:$D$96&lt;&gt;"")*ISNUMBER(SEARCH(Dictionary!$D$5:$D$96,Data!$I109)))&gt;0,1,0)</f>
        <v>0</v>
      </c>
      <c r="T109" s="15" t="n">
        <f aca="false">IF(SUMPRODUCT((Dictionary!$C$5:$C$96=Dictionary!$A$11)*(Dictionary!$D$5:$D$96&lt;&gt;"")*ISNUMBER(SEARCH(Dictionary!$D$5:$D$96,Data!$I109)))&gt;0,1,0)</f>
        <v>0</v>
      </c>
      <c r="U109" s="15" t="n">
        <f aca="false">IF(SUMPRODUCT((Dictionary!$C$5:$C$96=Dictionary!$A$12)*(Dictionary!$D$5:$D$96&lt;&gt;"")*ISNUMBER(SEARCH(Dictionary!$D$5:$D$96,Data!$I109)))&gt;0,1,0)</f>
        <v>0</v>
      </c>
      <c r="V109" s="15" t="n">
        <f aca="false">IF(SUMPRODUCT((Dictionary!$C$5:$C$96=Dictionary!$A$13)*(Dictionary!$D$5:$D$96&lt;&gt;"")*ISNUMBER(SEARCH(Dictionary!$D$5:$D$96,Data!$I109)))&gt;0,1,0)</f>
        <v>0</v>
      </c>
      <c r="W109" s="15" t="n">
        <f aca="false">IF(SUMPRODUCT((Dictionary!$C$5:$C$96=Dictionary!$A$14)*(Dictionary!$D$5:$D$96&lt;&gt;"")*ISNUMBER(SEARCH(Dictionary!$D$5:$D$96,Data!$I109)))&gt;0,1,0)</f>
        <v>0</v>
      </c>
      <c r="X109" s="15" t="n">
        <f aca="false">IF(SUMPRODUCT((Dictionary!$C$5:$C$96=Dictionary!$A$15)*(Dictionary!$D$5:$D$96&lt;&gt;"")*ISNUMBER(SEARCH(Dictionary!$D$5:$D$96,Data!$I109)))&gt;0,1,0)</f>
        <v>0</v>
      </c>
      <c r="Y109" s="15" t="n">
        <f aca="false">IF(SUMPRODUCT((Dictionary!$C$5:$C$96=Dictionary!$A$16)*(Dictionary!$D$5:$D$96&lt;&gt;"")*ISNUMBER(SEARCH(Dictionary!$D$5:$D$96,Data!$I109)))&gt;0,1,0)</f>
        <v>0</v>
      </c>
      <c r="Z109" s="15" t="n">
        <f aca="false">IF(ISNUMBER(SEARCH("Other",Data!$H109)),1,0)</f>
        <v>0</v>
      </c>
      <c r="AA109" s="15" t="n">
        <f aca="false">IF(Data!$I109&lt;&gt;"",1,0)</f>
        <v>0</v>
      </c>
      <c r="AB109" s="15" t="n">
        <f aca="false">SUM(B109:M109)</f>
        <v>10</v>
      </c>
      <c r="AC109" s="15" t="n">
        <f aca="false">SUMPRODUCT(--((B109:M109+N109:Y109)&gt;0))</f>
        <v>10</v>
      </c>
      <c r="AD109" s="15" t="n">
        <f aca="false">AC109-AB109</f>
        <v>0</v>
      </c>
      <c r="AE109" s="15" t="n">
        <f aca="false">IF(AND(Z109=1,AA109=1),1,0)</f>
        <v>0</v>
      </c>
      <c r="AF109" s="15" t="n">
        <f aca="false">AC109+AE109</f>
        <v>10</v>
      </c>
      <c r="AG109" s="15" t="n">
        <f aca="false">AB109+AE109</f>
        <v>10</v>
      </c>
      <c r="AH109" s="15" t="n">
        <f aca="false">IF(AND(Data!$H109&lt;&gt;"",Data!$I109&lt;&gt;""),1,0)</f>
        <v>0</v>
      </c>
      <c r="AI109" s="15" t="str">
        <f aca="false">IF(AH109=1,SUMPRODUCT(N109:Y109*B109:M109),"")</f>
        <v/>
      </c>
      <c r="AJ109" s="15" t="str">
        <f aca="false">IF(AH109=1,SUMPRODUCT(--(N109:Y109&gt;B109:M109)),"")</f>
        <v/>
      </c>
      <c r="AK109" s="15" t="str">
        <f aca="false">IF(AH109=1,AB109,"")</f>
        <v/>
      </c>
    </row>
    <row r="110" customFormat="false" ht="15" hidden="false" customHeight="true" outlineLevel="0" collapsed="false">
      <c r="A110" s="15" t="str">
        <f aca="false">Data!$A110</f>
        <v>VIVO</v>
      </c>
      <c r="B110" s="15" t="n">
        <f aca="false">IF(ISNUMBER(SEARCH(Dictionary!$A$5,Data!$H110)),1,0)</f>
        <v>1</v>
      </c>
      <c r="C110" s="15" t="n">
        <f aca="false">IF(ISNUMBER(SEARCH(Dictionary!$A$6,Data!$H110)),1,0)</f>
        <v>1</v>
      </c>
      <c r="D110" s="15" t="n">
        <f aca="false">IF(ISNUMBER(SEARCH(Dictionary!$A$7,Data!$H110)),1,0)</f>
        <v>1</v>
      </c>
      <c r="E110" s="15" t="n">
        <f aca="false">IF(ISNUMBER(SEARCH(Dictionary!$A$8,Data!$H110)),1,0)</f>
        <v>1</v>
      </c>
      <c r="F110" s="15" t="n">
        <f aca="false">IF(ISNUMBER(SEARCH(Dictionary!$A$9,Data!$H110)),1,0)</f>
        <v>1</v>
      </c>
      <c r="G110" s="15" t="n">
        <f aca="false">IF(ISNUMBER(SEARCH(Dictionary!$A$10,Data!$H110)),1,0)</f>
        <v>0</v>
      </c>
      <c r="H110" s="15" t="n">
        <f aca="false">IF(ISNUMBER(SEARCH(Dictionary!$A$11,Data!$H110)),1,0)</f>
        <v>1</v>
      </c>
      <c r="I110" s="15" t="n">
        <f aca="false">IF(ISNUMBER(SEARCH(Dictionary!$A$12,Data!$H110)),1,0)</f>
        <v>1</v>
      </c>
      <c r="J110" s="15" t="n">
        <f aca="false">IF(ISNUMBER(SEARCH(Dictionary!$A$13,Data!$H110)),1,0)</f>
        <v>1</v>
      </c>
      <c r="K110" s="15" t="n">
        <f aca="false">IF(ISNUMBER(SEARCH(Dictionary!$A$14,Data!$H110)),1,0)</f>
        <v>0</v>
      </c>
      <c r="L110" s="15" t="n">
        <f aca="false">IF(ISNUMBER(SEARCH(Dictionary!$A$15,Data!$H110)),1,0)</f>
        <v>1</v>
      </c>
      <c r="M110" s="15" t="n">
        <f aca="false">IF(ISNUMBER(SEARCH(Dictionary!$A$16,Data!$H110)),1,0)</f>
        <v>1</v>
      </c>
      <c r="N110" s="15" t="n">
        <f aca="false">IF(SUMPRODUCT((Dictionary!$C$5:$C$96=Dictionary!$A$5)*(Dictionary!$D$5:$D$96&lt;&gt;"")*ISNUMBER(SEARCH(Dictionary!$D$5:$D$96,Data!$I110)))&gt;0,1,0)</f>
        <v>0</v>
      </c>
      <c r="O110" s="15" t="n">
        <f aca="false">IF(SUMPRODUCT((Dictionary!$C$5:$C$96=Dictionary!$A$6)*(Dictionary!$D$5:$D$96&lt;&gt;"")*ISNUMBER(SEARCH(Dictionary!$D$5:$D$96,Data!$I110)))&gt;0,1,0)</f>
        <v>0</v>
      </c>
      <c r="P110" s="15" t="n">
        <f aca="false">IF(SUMPRODUCT((Dictionary!$C$5:$C$96=Dictionary!$A$7)*(Dictionary!$D$5:$D$96&lt;&gt;"")*ISNUMBER(SEARCH(Dictionary!$D$5:$D$96,Data!$I110)))&gt;0,1,0)</f>
        <v>0</v>
      </c>
      <c r="Q110" s="15" t="n">
        <f aca="false">IF(SUMPRODUCT((Dictionary!$C$5:$C$96=Dictionary!$A$8)*(Dictionary!$D$5:$D$96&lt;&gt;"")*ISNUMBER(SEARCH(Dictionary!$D$5:$D$96,Data!$I110)))&gt;0,1,0)</f>
        <v>0</v>
      </c>
      <c r="R110" s="15" t="n">
        <f aca="false">IF(SUMPRODUCT((Dictionary!$C$5:$C$96=Dictionary!$A$9)*(Dictionary!$D$5:$D$96&lt;&gt;"")*ISNUMBER(SEARCH(Dictionary!$D$5:$D$96,Data!$I110)))&gt;0,1,0)</f>
        <v>0</v>
      </c>
      <c r="S110" s="15" t="n">
        <f aca="false">IF(SUMPRODUCT((Dictionary!$C$5:$C$96=Dictionary!$A$10)*(Dictionary!$D$5:$D$96&lt;&gt;"")*ISNUMBER(SEARCH(Dictionary!$D$5:$D$96,Data!$I110)))&gt;0,1,0)</f>
        <v>0</v>
      </c>
      <c r="T110" s="15" t="n">
        <f aca="false">IF(SUMPRODUCT((Dictionary!$C$5:$C$96=Dictionary!$A$11)*(Dictionary!$D$5:$D$96&lt;&gt;"")*ISNUMBER(SEARCH(Dictionary!$D$5:$D$96,Data!$I110)))&gt;0,1,0)</f>
        <v>0</v>
      </c>
      <c r="U110" s="15" t="n">
        <f aca="false">IF(SUMPRODUCT((Dictionary!$C$5:$C$96=Dictionary!$A$12)*(Dictionary!$D$5:$D$96&lt;&gt;"")*ISNUMBER(SEARCH(Dictionary!$D$5:$D$96,Data!$I110)))&gt;0,1,0)</f>
        <v>0</v>
      </c>
      <c r="V110" s="15" t="n">
        <f aca="false">IF(SUMPRODUCT((Dictionary!$C$5:$C$96=Dictionary!$A$13)*(Dictionary!$D$5:$D$96&lt;&gt;"")*ISNUMBER(SEARCH(Dictionary!$D$5:$D$96,Data!$I110)))&gt;0,1,0)</f>
        <v>0</v>
      </c>
      <c r="W110" s="15" t="n">
        <f aca="false">IF(SUMPRODUCT((Dictionary!$C$5:$C$96=Dictionary!$A$14)*(Dictionary!$D$5:$D$96&lt;&gt;"")*ISNUMBER(SEARCH(Dictionary!$D$5:$D$96,Data!$I110)))&gt;0,1,0)</f>
        <v>0</v>
      </c>
      <c r="X110" s="15" t="n">
        <f aca="false">IF(SUMPRODUCT((Dictionary!$C$5:$C$96=Dictionary!$A$15)*(Dictionary!$D$5:$D$96&lt;&gt;"")*ISNUMBER(SEARCH(Dictionary!$D$5:$D$96,Data!$I110)))&gt;0,1,0)</f>
        <v>0</v>
      </c>
      <c r="Y110" s="15" t="n">
        <f aca="false">IF(SUMPRODUCT((Dictionary!$C$5:$C$96=Dictionary!$A$16)*(Dictionary!$D$5:$D$96&lt;&gt;"")*ISNUMBER(SEARCH(Dictionary!$D$5:$D$96,Data!$I110)))&gt;0,1,0)</f>
        <v>0</v>
      </c>
      <c r="Z110" s="15" t="n">
        <f aca="false">IF(ISNUMBER(SEARCH("Other",Data!$H110)),1,0)</f>
        <v>0</v>
      </c>
      <c r="AA110" s="15" t="n">
        <f aca="false">IF(Data!$I110&lt;&gt;"",1,0)</f>
        <v>0</v>
      </c>
      <c r="AB110" s="15" t="n">
        <f aca="false">SUM(B110:M110)</f>
        <v>10</v>
      </c>
      <c r="AC110" s="15" t="n">
        <f aca="false">SUMPRODUCT(--((B110:M110+N110:Y110)&gt;0))</f>
        <v>10</v>
      </c>
      <c r="AD110" s="15" t="n">
        <f aca="false">AC110-AB110</f>
        <v>0</v>
      </c>
      <c r="AE110" s="15" t="n">
        <f aca="false">IF(AND(Z110=1,AA110=1),1,0)</f>
        <v>0</v>
      </c>
      <c r="AF110" s="15" t="n">
        <f aca="false">AC110+AE110</f>
        <v>10</v>
      </c>
      <c r="AG110" s="15" t="n">
        <f aca="false">AB110+AE110</f>
        <v>10</v>
      </c>
      <c r="AH110" s="15" t="n">
        <f aca="false">IF(AND(Data!$H110&lt;&gt;"",Data!$I110&lt;&gt;""),1,0)</f>
        <v>0</v>
      </c>
      <c r="AI110" s="15" t="str">
        <f aca="false">IF(AH110=1,SUMPRODUCT(N110:Y110*B110:M110),"")</f>
        <v/>
      </c>
      <c r="AJ110" s="15" t="str">
        <f aca="false">IF(AH110=1,SUMPRODUCT(--(N110:Y110&gt;B110:M110)),"")</f>
        <v/>
      </c>
      <c r="AK110" s="15" t="str">
        <f aca="false">IF(AH110=1,AB110,"")</f>
        <v/>
      </c>
    </row>
    <row r="111" customFormat="false" ht="15" hidden="false" customHeight="true" outlineLevel="0" collapsed="false">
      <c r="A111" s="15" t="str">
        <f aca="false">Data!$A111</f>
        <v>VuFind®</v>
      </c>
      <c r="B111" s="15" t="n">
        <f aca="false">IF(ISNUMBER(SEARCH(Dictionary!$A$5,Data!$H111)),1,0)</f>
        <v>1</v>
      </c>
      <c r="C111" s="15" t="n">
        <f aca="false">IF(ISNUMBER(SEARCH(Dictionary!$A$6,Data!$H111)),1,0)</f>
        <v>0</v>
      </c>
      <c r="D111" s="15" t="n">
        <f aca="false">IF(ISNUMBER(SEARCH(Dictionary!$A$7,Data!$H111)),1,0)</f>
        <v>1</v>
      </c>
      <c r="E111" s="15" t="n">
        <f aca="false">IF(ISNUMBER(SEARCH(Dictionary!$A$8,Data!$H111)),1,0)</f>
        <v>1</v>
      </c>
      <c r="F111" s="15" t="n">
        <f aca="false">IF(ISNUMBER(SEARCH(Dictionary!$A$9,Data!$H111)),1,0)</f>
        <v>0</v>
      </c>
      <c r="G111" s="15" t="n">
        <f aca="false">IF(ISNUMBER(SEARCH(Dictionary!$A$10,Data!$H111)),1,0)</f>
        <v>0</v>
      </c>
      <c r="H111" s="15" t="n">
        <f aca="false">IF(ISNUMBER(SEARCH(Dictionary!$A$11,Data!$H111)),1,0)</f>
        <v>1</v>
      </c>
      <c r="I111" s="15" t="n">
        <f aca="false">IF(ISNUMBER(SEARCH(Dictionary!$A$12,Data!$H111)),1,0)</f>
        <v>1</v>
      </c>
      <c r="J111" s="15" t="n">
        <f aca="false">IF(ISNUMBER(SEARCH(Dictionary!$A$13,Data!$H111)),1,0)</f>
        <v>0</v>
      </c>
      <c r="K111" s="15" t="n">
        <f aca="false">IF(ISNUMBER(SEARCH(Dictionary!$A$14,Data!$H111)),1,0)</f>
        <v>0</v>
      </c>
      <c r="L111" s="15" t="n">
        <f aca="false">IF(ISNUMBER(SEARCH(Dictionary!$A$15,Data!$H111)),1,0)</f>
        <v>0</v>
      </c>
      <c r="M111" s="15" t="n">
        <f aca="false">IF(ISNUMBER(SEARCH(Dictionary!$A$16,Data!$H111)),1,0)</f>
        <v>1</v>
      </c>
      <c r="N111" s="15" t="n">
        <f aca="false">IF(SUMPRODUCT((Dictionary!$C$5:$C$96=Dictionary!$A$5)*(Dictionary!$D$5:$D$96&lt;&gt;"")*ISNUMBER(SEARCH(Dictionary!$D$5:$D$96,Data!$I111)))&gt;0,1,0)</f>
        <v>0</v>
      </c>
      <c r="O111" s="15" t="n">
        <f aca="false">IF(SUMPRODUCT((Dictionary!$C$5:$C$96=Dictionary!$A$6)*(Dictionary!$D$5:$D$96&lt;&gt;"")*ISNUMBER(SEARCH(Dictionary!$D$5:$D$96,Data!$I111)))&gt;0,1,0)</f>
        <v>0</v>
      </c>
      <c r="P111" s="15" t="n">
        <f aca="false">IF(SUMPRODUCT((Dictionary!$C$5:$C$96=Dictionary!$A$7)*(Dictionary!$D$5:$D$96&lt;&gt;"")*ISNUMBER(SEARCH(Dictionary!$D$5:$D$96,Data!$I111)))&gt;0,1,0)</f>
        <v>0</v>
      </c>
      <c r="Q111" s="15" t="n">
        <f aca="false">IF(SUMPRODUCT((Dictionary!$C$5:$C$96=Dictionary!$A$8)*(Dictionary!$D$5:$D$96&lt;&gt;"")*ISNUMBER(SEARCH(Dictionary!$D$5:$D$96,Data!$I111)))&gt;0,1,0)</f>
        <v>0</v>
      </c>
      <c r="R111" s="15" t="n">
        <f aca="false">IF(SUMPRODUCT((Dictionary!$C$5:$C$96=Dictionary!$A$9)*(Dictionary!$D$5:$D$96&lt;&gt;"")*ISNUMBER(SEARCH(Dictionary!$D$5:$D$96,Data!$I111)))&gt;0,1,0)</f>
        <v>0</v>
      </c>
      <c r="S111" s="15" t="n">
        <f aca="false">IF(SUMPRODUCT((Dictionary!$C$5:$C$96=Dictionary!$A$10)*(Dictionary!$D$5:$D$96&lt;&gt;"")*ISNUMBER(SEARCH(Dictionary!$D$5:$D$96,Data!$I111)))&gt;0,1,0)</f>
        <v>0</v>
      </c>
      <c r="T111" s="15" t="n">
        <f aca="false">IF(SUMPRODUCT((Dictionary!$C$5:$C$96=Dictionary!$A$11)*(Dictionary!$D$5:$D$96&lt;&gt;"")*ISNUMBER(SEARCH(Dictionary!$D$5:$D$96,Data!$I111)))&gt;0,1,0)</f>
        <v>0</v>
      </c>
      <c r="U111" s="15" t="n">
        <f aca="false">IF(SUMPRODUCT((Dictionary!$C$5:$C$96=Dictionary!$A$12)*(Dictionary!$D$5:$D$96&lt;&gt;"")*ISNUMBER(SEARCH(Dictionary!$D$5:$D$96,Data!$I111)))&gt;0,1,0)</f>
        <v>0</v>
      </c>
      <c r="V111" s="15" t="n">
        <f aca="false">IF(SUMPRODUCT((Dictionary!$C$5:$C$96=Dictionary!$A$13)*(Dictionary!$D$5:$D$96&lt;&gt;"")*ISNUMBER(SEARCH(Dictionary!$D$5:$D$96,Data!$I111)))&gt;0,1,0)</f>
        <v>0</v>
      </c>
      <c r="W111" s="15" t="n">
        <f aca="false">IF(SUMPRODUCT((Dictionary!$C$5:$C$96=Dictionary!$A$14)*(Dictionary!$D$5:$D$96&lt;&gt;"")*ISNUMBER(SEARCH(Dictionary!$D$5:$D$96,Data!$I111)))&gt;0,1,0)</f>
        <v>0</v>
      </c>
      <c r="X111" s="15" t="n">
        <f aca="false">IF(SUMPRODUCT((Dictionary!$C$5:$C$96=Dictionary!$A$15)*(Dictionary!$D$5:$D$96&lt;&gt;"")*ISNUMBER(SEARCH(Dictionary!$D$5:$D$96,Data!$I111)))&gt;0,1,0)</f>
        <v>0</v>
      </c>
      <c r="Y111" s="15" t="n">
        <f aca="false">IF(SUMPRODUCT((Dictionary!$C$5:$C$96=Dictionary!$A$16)*(Dictionary!$D$5:$D$96&lt;&gt;"")*ISNUMBER(SEARCH(Dictionary!$D$5:$D$96,Data!$I111)))&gt;0,1,0)</f>
        <v>0</v>
      </c>
      <c r="Z111" s="15" t="n">
        <f aca="false">IF(ISNUMBER(SEARCH("Other",Data!$H111)),1,0)</f>
        <v>0</v>
      </c>
      <c r="AA111" s="15" t="n">
        <f aca="false">IF(Data!$I111&lt;&gt;"",1,0)</f>
        <v>1</v>
      </c>
      <c r="AB111" s="15" t="n">
        <f aca="false">SUM(B111:M111)</f>
        <v>6</v>
      </c>
      <c r="AC111" s="15" t="n">
        <f aca="false">SUMPRODUCT(--((B111:M111+N111:Y111)&gt;0))</f>
        <v>6</v>
      </c>
      <c r="AD111" s="15" t="n">
        <f aca="false">AC111-AB111</f>
        <v>0</v>
      </c>
      <c r="AE111" s="15" t="n">
        <f aca="false">IF(AND(Z111=1,AA111=1),1,0)</f>
        <v>0</v>
      </c>
      <c r="AF111" s="15" t="n">
        <f aca="false">AC111+AE111</f>
        <v>6</v>
      </c>
      <c r="AG111" s="15" t="n">
        <f aca="false">AB111+AE111</f>
        <v>6</v>
      </c>
      <c r="AH111" s="15" t="n">
        <f aca="false">IF(AND(Data!$H111&lt;&gt;"",Data!$I111&lt;&gt;""),1,0)</f>
        <v>1</v>
      </c>
      <c r="AI111" s="15" t="n">
        <f aca="false">IF(AH111=1,SUMPRODUCT(N111:Y111*B111:M111),"")</f>
        <v>0</v>
      </c>
      <c r="AJ111" s="15" t="n">
        <f aca="false">IF(AH111=1,SUMPRODUCT(--(N111:Y111&gt;B111:M111)),"")</f>
        <v>0</v>
      </c>
      <c r="AK111" s="15" t="n">
        <f aca="false">IF(AH111=1,AB111,"")</f>
        <v>6</v>
      </c>
    </row>
    <row r="112" customFormat="false" ht="15" hidden="false" customHeight="true" outlineLevel="0" collapsed="false">
      <c r="A112" s="15" t="str">
        <f aca="false">Data!$A112</f>
        <v>Zenodo</v>
      </c>
      <c r="B112" s="15" t="n">
        <f aca="false">IF(ISNUMBER(SEARCH(Dictionary!$A$5,Data!$H112)),1,0)</f>
        <v>0</v>
      </c>
      <c r="C112" s="15" t="n">
        <f aca="false">IF(ISNUMBER(SEARCH(Dictionary!$A$6,Data!$H112)),1,0)</f>
        <v>0</v>
      </c>
      <c r="D112" s="15" t="n">
        <f aca="false">IF(ISNUMBER(SEARCH(Dictionary!$A$7,Data!$H112)),1,0)</f>
        <v>0</v>
      </c>
      <c r="E112" s="15" t="n">
        <f aca="false">IF(ISNUMBER(SEARCH(Dictionary!$A$8,Data!$H112)),1,0)</f>
        <v>0</v>
      </c>
      <c r="F112" s="15" t="n">
        <f aca="false">IF(ISNUMBER(SEARCH(Dictionary!$A$9,Data!$H112)),1,0)</f>
        <v>0</v>
      </c>
      <c r="G112" s="15" t="n">
        <f aca="false">IF(ISNUMBER(SEARCH(Dictionary!$A$10,Data!$H112)),1,0)</f>
        <v>0</v>
      </c>
      <c r="H112" s="15" t="n">
        <f aca="false">IF(ISNUMBER(SEARCH(Dictionary!$A$11,Data!$H112)),1,0)</f>
        <v>0</v>
      </c>
      <c r="I112" s="15" t="n">
        <f aca="false">IF(ISNUMBER(SEARCH(Dictionary!$A$12,Data!$H112)),1,0)</f>
        <v>0</v>
      </c>
      <c r="J112" s="15" t="n">
        <f aca="false">IF(ISNUMBER(SEARCH(Dictionary!$A$13,Data!$H112)),1,0)</f>
        <v>0</v>
      </c>
      <c r="K112" s="15" t="n">
        <f aca="false">IF(ISNUMBER(SEARCH(Dictionary!$A$14,Data!$H112)),1,0)</f>
        <v>0</v>
      </c>
      <c r="L112" s="15" t="n">
        <f aca="false">IF(ISNUMBER(SEARCH(Dictionary!$A$15,Data!$H112)),1,0)</f>
        <v>0</v>
      </c>
      <c r="M112" s="15" t="n">
        <f aca="false">IF(ISNUMBER(SEARCH(Dictionary!$A$16,Data!$H112)),1,0)</f>
        <v>0</v>
      </c>
      <c r="N112" s="15" t="n">
        <f aca="false">IF(SUMPRODUCT((Dictionary!$C$5:$C$96=Dictionary!$A$5)*(Dictionary!$D$5:$D$96&lt;&gt;"")*ISNUMBER(SEARCH(Dictionary!$D$5:$D$96,Data!$I112)))&gt;0,1,0)</f>
        <v>0</v>
      </c>
      <c r="O112" s="15" t="n">
        <f aca="false">IF(SUMPRODUCT((Dictionary!$C$5:$C$96=Dictionary!$A$6)*(Dictionary!$D$5:$D$96&lt;&gt;"")*ISNUMBER(SEARCH(Dictionary!$D$5:$D$96,Data!$I112)))&gt;0,1,0)</f>
        <v>0</v>
      </c>
      <c r="P112" s="15" t="n">
        <f aca="false">IF(SUMPRODUCT((Dictionary!$C$5:$C$96=Dictionary!$A$7)*(Dictionary!$D$5:$D$96&lt;&gt;"")*ISNUMBER(SEARCH(Dictionary!$D$5:$D$96,Data!$I112)))&gt;0,1,0)</f>
        <v>0</v>
      </c>
      <c r="Q112" s="15" t="n">
        <f aca="false">IF(SUMPRODUCT((Dictionary!$C$5:$C$96=Dictionary!$A$8)*(Dictionary!$D$5:$D$96&lt;&gt;"")*ISNUMBER(SEARCH(Dictionary!$D$5:$D$96,Data!$I112)))&gt;0,1,0)</f>
        <v>0</v>
      </c>
      <c r="R112" s="15" t="n">
        <f aca="false">IF(SUMPRODUCT((Dictionary!$C$5:$C$96=Dictionary!$A$9)*(Dictionary!$D$5:$D$96&lt;&gt;"")*ISNUMBER(SEARCH(Dictionary!$D$5:$D$96,Data!$I112)))&gt;0,1,0)</f>
        <v>0</v>
      </c>
      <c r="S112" s="15" t="n">
        <f aca="false">IF(SUMPRODUCT((Dictionary!$C$5:$C$96=Dictionary!$A$10)*(Dictionary!$D$5:$D$96&lt;&gt;"")*ISNUMBER(SEARCH(Dictionary!$D$5:$D$96,Data!$I112)))&gt;0,1,0)</f>
        <v>0</v>
      </c>
      <c r="T112" s="15" t="n">
        <f aca="false">IF(SUMPRODUCT((Dictionary!$C$5:$C$96=Dictionary!$A$11)*(Dictionary!$D$5:$D$96&lt;&gt;"")*ISNUMBER(SEARCH(Dictionary!$D$5:$D$96,Data!$I112)))&gt;0,1,0)</f>
        <v>0</v>
      </c>
      <c r="U112" s="15" t="n">
        <f aca="false">IF(SUMPRODUCT((Dictionary!$C$5:$C$96=Dictionary!$A$12)*(Dictionary!$D$5:$D$96&lt;&gt;"")*ISNUMBER(SEARCH(Dictionary!$D$5:$D$96,Data!$I112)))&gt;0,1,0)</f>
        <v>0</v>
      </c>
      <c r="V112" s="15" t="n">
        <f aca="false">IF(SUMPRODUCT((Dictionary!$C$5:$C$96=Dictionary!$A$13)*(Dictionary!$D$5:$D$96&lt;&gt;"")*ISNUMBER(SEARCH(Dictionary!$D$5:$D$96,Data!$I112)))&gt;0,1,0)</f>
        <v>0</v>
      </c>
      <c r="W112" s="15" t="n">
        <f aca="false">IF(SUMPRODUCT((Dictionary!$C$5:$C$96=Dictionary!$A$14)*(Dictionary!$D$5:$D$96&lt;&gt;"")*ISNUMBER(SEARCH(Dictionary!$D$5:$D$96,Data!$I112)))&gt;0,1,0)</f>
        <v>0</v>
      </c>
      <c r="X112" s="15" t="n">
        <f aca="false">IF(SUMPRODUCT((Dictionary!$C$5:$C$96=Dictionary!$A$15)*(Dictionary!$D$5:$D$96&lt;&gt;"")*ISNUMBER(SEARCH(Dictionary!$D$5:$D$96,Data!$I112)))&gt;0,1,0)</f>
        <v>0</v>
      </c>
      <c r="Y112" s="15" t="n">
        <f aca="false">IF(SUMPRODUCT((Dictionary!$C$5:$C$96=Dictionary!$A$16)*(Dictionary!$D$5:$D$96&lt;&gt;"")*ISNUMBER(SEARCH(Dictionary!$D$5:$D$96,Data!$I112)))&gt;0,1,0)</f>
        <v>0</v>
      </c>
      <c r="Z112" s="15" t="n">
        <f aca="false">IF(ISNUMBER(SEARCH("Other",Data!$H112)),1,0)</f>
        <v>0</v>
      </c>
      <c r="AA112" s="15" t="n">
        <f aca="false">IF(Data!$I112&lt;&gt;"",1,0)</f>
        <v>0</v>
      </c>
      <c r="AB112" s="15" t="n">
        <f aca="false">SUM(B112:M112)</f>
        <v>0</v>
      </c>
      <c r="AC112" s="15" t="n">
        <f aca="false">SUMPRODUCT(--((B112:M112+N112:Y112)&gt;0))</f>
        <v>0</v>
      </c>
      <c r="AD112" s="15" t="n">
        <f aca="false">AC112-AB112</f>
        <v>0</v>
      </c>
      <c r="AE112" s="15" t="n">
        <f aca="false">IF(AND(Z112=1,AA112=1),1,0)</f>
        <v>0</v>
      </c>
      <c r="AF112" s="15" t="n">
        <f aca="false">AC112+AE112</f>
        <v>0</v>
      </c>
      <c r="AG112" s="15" t="n">
        <f aca="false">AB112+AE112</f>
        <v>0</v>
      </c>
      <c r="AH112" s="15" t="n">
        <f aca="false">IF(AND(Data!$H112&lt;&gt;"",Data!$I112&lt;&gt;""),1,0)</f>
        <v>0</v>
      </c>
      <c r="AI112" s="15" t="str">
        <f aca="false">IF(AH112=1,SUMPRODUCT(N112:Y112*B112:M112),"")</f>
        <v/>
      </c>
      <c r="AJ112" s="15" t="str">
        <f aca="false">IF(AH112=1,SUMPRODUCT(--(N112:Y112&gt;B112:M112)),"")</f>
        <v/>
      </c>
      <c r="AK112" s="15" t="str">
        <f aca="false">IF(AH112=1,AB112,"")</f>
        <v/>
      </c>
    </row>
    <row r="113" customFormat="false" ht="15" hidden="false" customHeight="true" outlineLevel="0" collapsed="false">
      <c r="A113" s="15" t="str">
        <f aca="false">Data!$A113</f>
        <v>Zotero</v>
      </c>
      <c r="B113" s="15" t="n">
        <f aca="false">IF(ISNUMBER(SEARCH(Dictionary!$A$5,Data!$H113)),1,0)</f>
        <v>0</v>
      </c>
      <c r="C113" s="15" t="n">
        <f aca="false">IF(ISNUMBER(SEARCH(Dictionary!$A$6,Data!$H113)),1,0)</f>
        <v>1</v>
      </c>
      <c r="D113" s="15" t="n">
        <f aca="false">IF(ISNUMBER(SEARCH(Dictionary!$A$7,Data!$H113)),1,0)</f>
        <v>0</v>
      </c>
      <c r="E113" s="15" t="n">
        <f aca="false">IF(ISNUMBER(SEARCH(Dictionary!$A$8,Data!$H113)),1,0)</f>
        <v>0</v>
      </c>
      <c r="F113" s="15" t="n">
        <f aca="false">IF(ISNUMBER(SEARCH(Dictionary!$A$9,Data!$H113)),1,0)</f>
        <v>0</v>
      </c>
      <c r="G113" s="15" t="n">
        <f aca="false">IF(ISNUMBER(SEARCH(Dictionary!$A$10,Data!$H113)),1,0)</f>
        <v>0</v>
      </c>
      <c r="H113" s="15" t="n">
        <f aca="false">IF(ISNUMBER(SEARCH(Dictionary!$A$11,Data!$H113)),1,0)</f>
        <v>1</v>
      </c>
      <c r="I113" s="15" t="n">
        <f aca="false">IF(ISNUMBER(SEARCH(Dictionary!$A$12,Data!$H113)),1,0)</f>
        <v>1</v>
      </c>
      <c r="J113" s="15" t="n">
        <f aca="false">IF(ISNUMBER(SEARCH(Dictionary!$A$13,Data!$H113)),1,0)</f>
        <v>1</v>
      </c>
      <c r="K113" s="15" t="n">
        <f aca="false">IF(ISNUMBER(SEARCH(Dictionary!$A$14,Data!$H113)),1,0)</f>
        <v>0</v>
      </c>
      <c r="L113" s="15" t="n">
        <f aca="false">IF(ISNUMBER(SEARCH(Dictionary!$A$15,Data!$H113)),1,0)</f>
        <v>0</v>
      </c>
      <c r="M113" s="15" t="n">
        <f aca="false">IF(ISNUMBER(SEARCH(Dictionary!$A$16,Data!$H113)),1,0)</f>
        <v>0</v>
      </c>
      <c r="N113" s="15" t="n">
        <f aca="false">IF(SUMPRODUCT((Dictionary!$C$5:$C$96=Dictionary!$A$5)*(Dictionary!$D$5:$D$96&lt;&gt;"")*ISNUMBER(SEARCH(Dictionary!$D$5:$D$96,Data!$I113)))&gt;0,1,0)</f>
        <v>0</v>
      </c>
      <c r="O113" s="15" t="n">
        <f aca="false">IF(SUMPRODUCT((Dictionary!$C$5:$C$96=Dictionary!$A$6)*(Dictionary!$D$5:$D$96&lt;&gt;"")*ISNUMBER(SEARCH(Dictionary!$D$5:$D$96,Data!$I113)))&gt;0,1,0)</f>
        <v>0</v>
      </c>
      <c r="P113" s="15" t="n">
        <f aca="false">IF(SUMPRODUCT((Dictionary!$C$5:$C$96=Dictionary!$A$7)*(Dictionary!$D$5:$D$96&lt;&gt;"")*ISNUMBER(SEARCH(Dictionary!$D$5:$D$96,Data!$I113)))&gt;0,1,0)</f>
        <v>0</v>
      </c>
      <c r="Q113" s="15" t="n">
        <f aca="false">IF(SUMPRODUCT((Dictionary!$C$5:$C$96=Dictionary!$A$8)*(Dictionary!$D$5:$D$96&lt;&gt;"")*ISNUMBER(SEARCH(Dictionary!$D$5:$D$96,Data!$I113)))&gt;0,1,0)</f>
        <v>0</v>
      </c>
      <c r="R113" s="15" t="n">
        <f aca="false">IF(SUMPRODUCT((Dictionary!$C$5:$C$96=Dictionary!$A$9)*(Dictionary!$D$5:$D$96&lt;&gt;"")*ISNUMBER(SEARCH(Dictionary!$D$5:$D$96,Data!$I113)))&gt;0,1,0)</f>
        <v>0</v>
      </c>
      <c r="S113" s="15" t="n">
        <f aca="false">IF(SUMPRODUCT((Dictionary!$C$5:$C$96=Dictionary!$A$10)*(Dictionary!$D$5:$D$96&lt;&gt;"")*ISNUMBER(SEARCH(Dictionary!$D$5:$D$96,Data!$I113)))&gt;0,1,0)</f>
        <v>0</v>
      </c>
      <c r="T113" s="15" t="n">
        <f aca="false">IF(SUMPRODUCT((Dictionary!$C$5:$C$96=Dictionary!$A$11)*(Dictionary!$D$5:$D$96&lt;&gt;"")*ISNUMBER(SEARCH(Dictionary!$D$5:$D$96,Data!$I113)))&gt;0,1,0)</f>
        <v>0</v>
      </c>
      <c r="U113" s="15" t="n">
        <f aca="false">IF(SUMPRODUCT((Dictionary!$C$5:$C$96=Dictionary!$A$12)*(Dictionary!$D$5:$D$96&lt;&gt;"")*ISNUMBER(SEARCH(Dictionary!$D$5:$D$96,Data!$I113)))&gt;0,1,0)</f>
        <v>0</v>
      </c>
      <c r="V113" s="15" t="n">
        <f aca="false">IF(SUMPRODUCT((Dictionary!$C$5:$C$96=Dictionary!$A$13)*(Dictionary!$D$5:$D$96&lt;&gt;"")*ISNUMBER(SEARCH(Dictionary!$D$5:$D$96,Data!$I113)))&gt;0,1,0)</f>
        <v>0</v>
      </c>
      <c r="W113" s="15" t="n">
        <f aca="false">IF(SUMPRODUCT((Dictionary!$C$5:$C$96=Dictionary!$A$14)*(Dictionary!$D$5:$D$96&lt;&gt;"")*ISNUMBER(SEARCH(Dictionary!$D$5:$D$96,Data!$I113)))&gt;0,1,0)</f>
        <v>0</v>
      </c>
      <c r="X113" s="15" t="n">
        <f aca="false">IF(SUMPRODUCT((Dictionary!$C$5:$C$96=Dictionary!$A$15)*(Dictionary!$D$5:$D$96&lt;&gt;"")*ISNUMBER(SEARCH(Dictionary!$D$5:$D$96,Data!$I113)))&gt;0,1,0)</f>
        <v>0</v>
      </c>
      <c r="Y113" s="15" t="n">
        <f aca="false">IF(SUMPRODUCT((Dictionary!$C$5:$C$96=Dictionary!$A$16)*(Dictionary!$D$5:$D$96&lt;&gt;"")*ISNUMBER(SEARCH(Dictionary!$D$5:$D$96,Data!$I113)))&gt;0,1,0)</f>
        <v>0</v>
      </c>
      <c r="Z113" s="15" t="n">
        <f aca="false">IF(ISNUMBER(SEARCH("Other",Data!$H113)),1,0)</f>
        <v>0</v>
      </c>
      <c r="AA113" s="15" t="n">
        <f aca="false">IF(Data!$I113&lt;&gt;"",1,0)</f>
        <v>0</v>
      </c>
      <c r="AB113" s="15" t="n">
        <f aca="false">SUM(B113:M113)</f>
        <v>4</v>
      </c>
      <c r="AC113" s="15" t="n">
        <f aca="false">SUMPRODUCT(--((B113:M113+N113:Y113)&gt;0))</f>
        <v>4</v>
      </c>
      <c r="AD113" s="15" t="n">
        <f aca="false">AC113-AB113</f>
        <v>0</v>
      </c>
      <c r="AE113" s="15" t="n">
        <f aca="false">IF(AND(Z113=1,AA113=1),1,0)</f>
        <v>0</v>
      </c>
      <c r="AF113" s="15" t="n">
        <f aca="false">AC113+AE113</f>
        <v>4</v>
      </c>
      <c r="AG113" s="15" t="n">
        <f aca="false">AB113+AE113</f>
        <v>4</v>
      </c>
      <c r="AH113" s="15" t="n">
        <f aca="false">IF(AND(Data!$H113&lt;&gt;"",Data!$I113&lt;&gt;""),1,0)</f>
        <v>0</v>
      </c>
      <c r="AI113" s="15" t="str">
        <f aca="false">IF(AH113=1,SUMPRODUCT(N113:Y113*B113:M113),"")</f>
        <v/>
      </c>
      <c r="AJ113" s="15" t="str">
        <f aca="false">IF(AH113=1,SUMPRODUCT(--(N113:Y113&gt;B113:M113)),"")</f>
        <v/>
      </c>
      <c r="AK113" s="15" t="str">
        <f aca="false">IF(AH113=1,AB113,"")</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X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7" min="2" style="1" width="14"/>
    <col collapsed="false" customWidth="true" hidden="false" outlineLevel="0" max="8" min="8" style="1" width="20"/>
    <col collapsed="false" customWidth="true" hidden="false" outlineLevel="0" max="22" min="9" style="1" width="14"/>
  </cols>
  <sheetData>
    <row r="1" customFormat="false" ht="57.75" hidden="false" customHeight="true" outlineLevel="0" collapsed="false">
      <c r="A1" s="7" t="s">
        <v>236</v>
      </c>
      <c r="B1" s="7" t="s">
        <v>306</v>
      </c>
      <c r="C1" s="7" t="s">
        <v>307</v>
      </c>
      <c r="D1" s="7" t="s">
        <v>308</v>
      </c>
      <c r="E1" s="7" t="s">
        <v>309</v>
      </c>
      <c r="F1" s="7" t="s">
        <v>310</v>
      </c>
      <c r="G1" s="7" t="s">
        <v>311</v>
      </c>
      <c r="H1" s="7" t="s">
        <v>312</v>
      </c>
      <c r="I1" s="7" t="s">
        <v>313</v>
      </c>
      <c r="J1" s="7" t="s">
        <v>314</v>
      </c>
      <c r="K1" s="7" t="s">
        <v>315</v>
      </c>
      <c r="L1" s="7" t="s">
        <v>316</v>
      </c>
      <c r="M1" s="7" t="s">
        <v>317</v>
      </c>
      <c r="N1" s="7" t="s">
        <v>318</v>
      </c>
      <c r="O1" s="7" t="s">
        <v>319</v>
      </c>
      <c r="P1" s="7" t="s">
        <v>320</v>
      </c>
      <c r="Q1" s="7" t="s">
        <v>321</v>
      </c>
      <c r="R1" s="7" t="s">
        <v>322</v>
      </c>
      <c r="S1" s="7" t="s">
        <v>323</v>
      </c>
      <c r="T1" s="7" t="s">
        <v>324</v>
      </c>
      <c r="U1" s="7" t="s">
        <v>325</v>
      </c>
      <c r="V1" s="7" t="s">
        <v>326</v>
      </c>
      <c r="X1" s="3" t="s">
        <v>327</v>
      </c>
    </row>
    <row r="2" customFormat="false" ht="15" hidden="false" customHeight="true" outlineLevel="0" collapsed="false">
      <c r="A2" s="15" t="str">
        <f aca="false">Data!$A2</f>
        <v>2i2c</v>
      </c>
      <c r="B2" s="28" t="n">
        <f aca="false">IFERROR(INDEX(Parameters!$C$25:$C$28,MATCH(Data!$G2,Parameters!$B$25:$B$28,0)),"NA")</f>
        <v>1</v>
      </c>
      <c r="C2" s="32" t="str">
        <f aca="false">IF(Coding!AF2=0,"",Coding!AF2)</f>
        <v/>
      </c>
      <c r="D2" s="28" t="str">
        <f aca="false">IF(OR(C2="",C2=0),"NA",IF(AND(Parameters!$C$39=1,ISNUMBER(B2),B2&lt;=Parameters!$C$40),0,MIN(C2,Parameters!$C$37)/Parameters!$C$37))</f>
        <v>NA</v>
      </c>
      <c r="E2" s="28" t="n">
        <f aca="false">IF(Data!$F2="","NA",IF(SUMPRODUCT((Parameters!$B$66:$B$70&lt;&gt;"")*ISNUMBER(SEARCH(Parameters!$B$66:$B$70,Data!$F2)))&gt;0,Parameters!$C$63,Parameters!$C$64))</f>
        <v>1</v>
      </c>
      <c r="F2" s="32" t="str">
        <f aca="false">IF(OR(Data!$L2="",Data!$L2="Not applicable"),"",LEN(Data!$L2)-LEN(SUBSTITUTE(Data!$L2,"|",""))+1-IF(ISNUMBER(SEARCH("Other",Data!$L2)),1,0)-IF(ISNUMBER(SEARCH("Not applicable",Data!$L2)),1,0)+IF(AND(ISNUMBER(SEARCH("Other",Data!$L2)),Data!$M2&lt;&gt;""),1,0))</f>
        <v/>
      </c>
      <c r="G2" s="28" t="str">
        <f aca="false">IF(OR(F2="",F2=0),"NA",MIN(F2,Parameters!$C$38)/Parameters!$C$38)</f>
        <v>NA</v>
      </c>
      <c r="H2" s="15" t="str">
        <f aca="false">IF(Data!$N2="","Blank",IF(SUMPRODUCT((Parameters!$B$49:$B$53&lt;&gt;"")*ISNUMBER(SEARCH(Parameters!$B$49:$B$53,Data!$N2)))&gt;0,"CHECK: suspect URL",IF(ISNUMBER(SEARCH(Parameters!$C$46,Data!$N2)),"Contribution guide","Other page")))</f>
        <v>Blank</v>
      </c>
      <c r="I2" s="28" t="str">
        <f aca="false">IF(H2="Contribution guide",Parameters!$C$44,IF(H2="Other page",Parameters!$C$45,"NA"))</f>
        <v>NA</v>
      </c>
      <c r="J2" s="28" t="n">
        <f aca="false">IFERROR(INDEX(Parameters!$C$25:$C$28,MATCH(Data!$O2,Parameters!$B$25:$B$28,0)),"NA")</f>
        <v>1</v>
      </c>
      <c r="K2" s="28" t="str">
        <f aca="false">IFERROR(INDEX(Parameters!$C$32:$C$34,MATCH(Data!$Q2,Parameters!$B$32:$B$34,0)),"NA")</f>
        <v>NA</v>
      </c>
      <c r="L2" s="32" t="n">
        <f aca="false">IF(AND(Coding!AF2&gt;0,ISNUMBER(B2),B2&lt;=Parameters!$C$40),1,0)</f>
        <v>0</v>
      </c>
      <c r="M2" s="32" t="n">
        <f aca="false">IF(AND(Data!$P2&lt;&gt;"",NOT(AND(ISNUMBER(J2),J2=1))),1,0)</f>
        <v>0</v>
      </c>
      <c r="N2" s="32" t="n">
        <f aca="false">IF(AND(Data!$Q2="Formal",Data!$R2=""),1,0)</f>
        <v>0</v>
      </c>
      <c r="O2" s="32" t="n">
        <f aca="false">IF(AND(Data!$Q2="",Data!$R2&lt;&gt;""),1,0)</f>
        <v>0</v>
      </c>
      <c r="P2" s="32" t="n">
        <f aca="false">IF(AND(ISNUMBER(B2),B2=1,Coding!AF2=0,OR(Data!$I2&lt;&gt;"",Data!$J2&lt;&gt;"")),1,0)</f>
        <v>1</v>
      </c>
      <c r="Q2" s="32" t="n">
        <f aca="false">IF(H2="CHECK: suspect URL",1,0)</f>
        <v>0</v>
      </c>
      <c r="R2" s="32" t="n">
        <f aca="false">IF(AND(OR(Data!$K2="Considering",Data!$K2="Not planning"),OR(AND(ISNUMBER(F2),F2&gt;0),Data!$N2&lt;&gt;"")),1,0)</f>
        <v>0</v>
      </c>
      <c r="S2" s="32" t="n">
        <f aca="false">IF(Data!$F2="",1,0)</f>
        <v>0</v>
      </c>
      <c r="T2" s="32" t="n">
        <f aca="false">SUM(L2:S2)</f>
        <v>1</v>
      </c>
      <c r="U2" s="32" t="str">
        <f aca="false">IF(ISNUMBER(F2),F2-IF(ISNUMBER(SEARCH("Contribute funds",Data!$L2)),1,0),"")</f>
        <v/>
      </c>
      <c r="V2" s="28" t="str">
        <f aca="false">IF(ISNUMBER(U2),MIN(U2,Parameters!$C$38)/Parameters!$C$38,"NA")</f>
        <v>NA</v>
      </c>
    </row>
    <row r="3" customFormat="false" ht="15" hidden="false" customHeight="true" outlineLevel="0" collapsed="false">
      <c r="A3" s="15" t="str">
        <f aca="false">Data!$A3</f>
        <v>Academic Preservation Trust (APTrust)</v>
      </c>
      <c r="B3" s="28" t="n">
        <f aca="false">IFERROR(INDEX(Parameters!$C$25:$C$28,MATCH(Data!$G3,Parameters!$B$25:$B$28,0)),"NA")</f>
        <v>1</v>
      </c>
      <c r="C3" s="32" t="n">
        <f aca="false">IF(Coding!AF3=0,"",Coding!AF3)</f>
        <v>10</v>
      </c>
      <c r="D3" s="28" t="n">
        <f aca="false">IF(OR(C3="",C3=0),"NA",IF(AND(Parameters!$C$39=1,ISNUMBER(B3),B3&lt;=Parameters!$C$40),0,MIN(C3,Parameters!$C$37)/Parameters!$C$37))</f>
        <v>1</v>
      </c>
      <c r="E3" s="28" t="n">
        <f aca="false">IF(Data!$F3="","NA",IF(SUMPRODUCT((Parameters!$B$66:$B$70&lt;&gt;"")*ISNUMBER(SEARCH(Parameters!$B$66:$B$70,Data!$F3)))&gt;0,Parameters!$C$63,Parameters!$C$64))</f>
        <v>1</v>
      </c>
      <c r="F3" s="32" t="n">
        <f aca="false">IF(OR(Data!$L3="",Data!$L3="Not applicable"),"",LEN(Data!$L3)-LEN(SUBSTITUTE(Data!$L3,"|",""))+1-IF(ISNUMBER(SEARCH("Other",Data!$L3)),1,0)-IF(ISNUMBER(SEARCH("Not applicable",Data!$L3)),1,0)+IF(AND(ISNUMBER(SEARCH("Other",Data!$L3)),Data!$M3&lt;&gt;""),1,0))</f>
        <v>7</v>
      </c>
      <c r="G3" s="28" t="n">
        <f aca="false">IF(OR(F3="",F3=0),"NA",MIN(F3,Parameters!$C$38)/Parameters!$C$38)</f>
        <v>1</v>
      </c>
      <c r="H3" s="15" t="str">
        <f aca="false">IF(Data!$N3="","Blank",IF(SUMPRODUCT((Parameters!$B$49:$B$53&lt;&gt;"")*ISNUMBER(SEARCH(Parameters!$B$49:$B$53,Data!$N3)))&gt;0,"CHECK: suspect URL",IF(ISNUMBER(SEARCH(Parameters!$C$46,Data!$N3)),"Contribution guide","Other page")))</f>
        <v>Other page</v>
      </c>
      <c r="I3" s="28" t="n">
        <f aca="false">IF(H3="Contribution guide",Parameters!$C$44,IF(H3="Other page",Parameters!$C$45,"NA"))</f>
        <v>0.5</v>
      </c>
      <c r="J3" s="28" t="n">
        <f aca="false">IFERROR(INDEX(Parameters!$C$25:$C$28,MATCH(Data!$O3,Parameters!$B$25:$B$28,0)),"NA")</f>
        <v>1</v>
      </c>
      <c r="K3" s="28" t="n">
        <f aca="false">IFERROR(INDEX(Parameters!$C$32:$C$34,MATCH(Data!$Q3,Parameters!$B$32:$B$34,0)),"NA")</f>
        <v>1</v>
      </c>
      <c r="L3" s="32" t="n">
        <f aca="false">IF(AND(Coding!AF3&gt;0,ISNUMBER(B3),B3&lt;=Parameters!$C$40),1,0)</f>
        <v>0</v>
      </c>
      <c r="M3" s="32" t="n">
        <f aca="false">IF(AND(Data!$P3&lt;&gt;"",NOT(AND(ISNUMBER(J3),J3=1))),1,0)</f>
        <v>0</v>
      </c>
      <c r="N3" s="32" t="n">
        <f aca="false">IF(AND(Data!$Q3="Formal",Data!$R3=""),1,0)</f>
        <v>0</v>
      </c>
      <c r="O3" s="32" t="n">
        <f aca="false">IF(AND(Data!$Q3="",Data!$R3&lt;&gt;""),1,0)</f>
        <v>0</v>
      </c>
      <c r="P3" s="32" t="n">
        <f aca="false">IF(AND(ISNUMBER(B3),B3=1,Coding!AF3=0,OR(Data!$I3&lt;&gt;"",Data!$J3&lt;&gt;"")),1,0)</f>
        <v>0</v>
      </c>
      <c r="Q3" s="32" t="n">
        <f aca="false">IF(H3="CHECK: suspect URL",1,0)</f>
        <v>0</v>
      </c>
      <c r="R3" s="32" t="n">
        <f aca="false">IF(AND(OR(Data!$K3="Considering",Data!$K3="Not planning"),OR(AND(ISNUMBER(F3),F3&gt;0),Data!$N3&lt;&gt;"")),1,0)</f>
        <v>0</v>
      </c>
      <c r="S3" s="32" t="n">
        <f aca="false">IF(Data!$F3="",1,0)</f>
        <v>0</v>
      </c>
      <c r="T3" s="32" t="n">
        <f aca="false">SUM(L3:S3)</f>
        <v>0</v>
      </c>
      <c r="U3" s="32" t="n">
        <f aca="false">IF(ISNUMBER(F3),F3-IF(ISNUMBER(SEARCH("Contribute funds",Data!$L3)),1,0),"")</f>
        <v>6</v>
      </c>
      <c r="V3" s="28" t="n">
        <f aca="false">IF(ISNUMBER(U3),MIN(U3,Parameters!$C$38)/Parameters!$C$38,"NA")</f>
        <v>1</v>
      </c>
    </row>
    <row r="4" customFormat="false" ht="15" hidden="false" customHeight="true" outlineLevel="0" collapsed="false">
      <c r="A4" s="15" t="str">
        <f aca="false">Data!$A4</f>
        <v>AfricArXiv</v>
      </c>
      <c r="B4" s="28" t="n">
        <f aca="false">IFERROR(INDEX(Parameters!$C$25:$C$28,MATCH(Data!$G4,Parameters!$B$25:$B$28,0)),"NA")</f>
        <v>0.33</v>
      </c>
      <c r="C4" s="32" t="str">
        <f aca="false">IF(Coding!AF4=0,"",Coding!AF4)</f>
        <v/>
      </c>
      <c r="D4" s="28" t="str">
        <f aca="false">IF(OR(C4="",C4=0),"NA",IF(AND(Parameters!$C$39=1,ISNUMBER(B4),B4&lt;=Parameters!$C$40),0,MIN(C4,Parameters!$C$37)/Parameters!$C$37))</f>
        <v>NA</v>
      </c>
      <c r="E4" s="28" t="str">
        <f aca="false">IF(Data!$F4="","NA",IF(SUMPRODUCT((Parameters!$B$66:$B$70&lt;&gt;"")*ISNUMBER(SEARCH(Parameters!$B$66:$B$70,Data!$F4)))&gt;0,Parameters!$C$63,Parameters!$C$64))</f>
        <v>NA</v>
      </c>
      <c r="F4" s="32" t="str">
        <f aca="false">IF(OR(Data!$L4="",Data!$L4="Not applicable"),"",LEN(Data!$L4)-LEN(SUBSTITUTE(Data!$L4,"|",""))+1-IF(ISNUMBER(SEARCH("Other",Data!$L4)),1,0)-IF(ISNUMBER(SEARCH("Not applicable",Data!$L4)),1,0)+IF(AND(ISNUMBER(SEARCH("Other",Data!$L4)),Data!$M4&lt;&gt;""),1,0))</f>
        <v/>
      </c>
      <c r="G4" s="28" t="str">
        <f aca="false">IF(OR(F4="",F4=0),"NA",MIN(F4,Parameters!$C$38)/Parameters!$C$38)</f>
        <v>NA</v>
      </c>
      <c r="H4" s="15" t="str">
        <f aca="false">IF(Data!$N4="","Blank",IF(SUMPRODUCT((Parameters!$B$49:$B$53&lt;&gt;"")*ISNUMBER(SEARCH(Parameters!$B$49:$B$53,Data!$N4)))&gt;0,"CHECK: suspect URL",IF(ISNUMBER(SEARCH(Parameters!$C$46,Data!$N4)),"Contribution guide","Other page")))</f>
        <v>Blank</v>
      </c>
      <c r="I4" s="28" t="str">
        <f aca="false">IF(H4="Contribution guide",Parameters!$C$44,IF(H4="Other page",Parameters!$C$45,"NA"))</f>
        <v>NA</v>
      </c>
      <c r="J4" s="28" t="n">
        <f aca="false">IFERROR(INDEX(Parameters!$C$25:$C$28,MATCH(Data!$O4,Parameters!$B$25:$B$28,0)),"NA")</f>
        <v>1</v>
      </c>
      <c r="K4" s="28" t="n">
        <f aca="false">IFERROR(INDEX(Parameters!$C$32:$C$34,MATCH(Data!$Q4,Parameters!$B$32:$B$34,0)),"NA")</f>
        <v>0.5</v>
      </c>
      <c r="L4" s="32" t="n">
        <f aca="false">IF(AND(Coding!AF4&gt;0,ISNUMBER(B4),B4&lt;=Parameters!$C$40),1,0)</f>
        <v>0</v>
      </c>
      <c r="M4" s="32" t="n">
        <f aca="false">IF(AND(Data!$P4&lt;&gt;"",NOT(AND(ISNUMBER(J4),J4=1))),1,0)</f>
        <v>0</v>
      </c>
      <c r="N4" s="32" t="n">
        <f aca="false">IF(AND(Data!$Q4="Formal",Data!$R4=""),1,0)</f>
        <v>0</v>
      </c>
      <c r="O4" s="32" t="n">
        <f aca="false">IF(AND(Data!$Q4="",Data!$R4&lt;&gt;""),1,0)</f>
        <v>0</v>
      </c>
      <c r="P4" s="32" t="n">
        <f aca="false">IF(AND(ISNUMBER(B4),B4=1,Coding!AF4=0,OR(Data!$I4&lt;&gt;"",Data!$J4&lt;&gt;"")),1,0)</f>
        <v>0</v>
      </c>
      <c r="Q4" s="32" t="n">
        <f aca="false">IF(H4="CHECK: suspect URL",1,0)</f>
        <v>0</v>
      </c>
      <c r="R4" s="32" t="n">
        <f aca="false">IF(AND(OR(Data!$K4="Considering",Data!$K4="Not planning"),OR(AND(ISNUMBER(F4),F4&gt;0),Data!$N4&lt;&gt;"")),1,0)</f>
        <v>0</v>
      </c>
      <c r="S4" s="32" t="n">
        <f aca="false">IF(Data!$F4="",1,0)</f>
        <v>1</v>
      </c>
      <c r="T4" s="32" t="n">
        <f aca="false">SUM(L4:S4)</f>
        <v>1</v>
      </c>
      <c r="U4" s="32" t="str">
        <f aca="false">IF(ISNUMBER(F4),F4-IF(ISNUMBER(SEARCH("Contribute funds",Data!$L4)),1,0),"")</f>
        <v/>
      </c>
      <c r="V4" s="28" t="str">
        <f aca="false">IF(ISNUMBER(U4),MIN(U4,Parameters!$C$38)/Parameters!$C$38,"NA")</f>
        <v>NA</v>
      </c>
    </row>
    <row r="5" customFormat="false" ht="15" hidden="false" customHeight="true" outlineLevel="0" collapsed="false">
      <c r="A5" s="15" t="str">
        <f aca="false">Data!$A5</f>
        <v>Arches Heritage Data Management Platform</v>
      </c>
      <c r="B5" s="28" t="n">
        <f aca="false">IFERROR(INDEX(Parameters!$C$25:$C$28,MATCH(Data!$G5,Parameters!$B$25:$B$28,0)),"NA")</f>
        <v>1</v>
      </c>
      <c r="C5" s="32" t="str">
        <f aca="false">IF(Coding!AF5=0,"",Coding!AF5)</f>
        <v/>
      </c>
      <c r="D5" s="28" t="str">
        <f aca="false">IF(OR(C5="",C5=0),"NA",IF(AND(Parameters!$C$39=1,ISNUMBER(B5),B5&lt;=Parameters!$C$40),0,MIN(C5,Parameters!$C$37)/Parameters!$C$37))</f>
        <v>NA</v>
      </c>
      <c r="E5" s="28" t="n">
        <f aca="false">IF(Data!$F5="","NA",IF(SUMPRODUCT((Parameters!$B$66:$B$70&lt;&gt;"")*ISNUMBER(SEARCH(Parameters!$B$66:$B$70,Data!$F5)))&gt;0,Parameters!$C$63,Parameters!$C$64))</f>
        <v>1</v>
      </c>
      <c r="F5" s="32" t="str">
        <f aca="false">IF(OR(Data!$L5="",Data!$L5="Not applicable"),"",LEN(Data!$L5)-LEN(SUBSTITUTE(Data!$L5,"|",""))+1-IF(ISNUMBER(SEARCH("Other",Data!$L5)),1,0)-IF(ISNUMBER(SEARCH("Not applicable",Data!$L5)),1,0)+IF(AND(ISNUMBER(SEARCH("Other",Data!$L5)),Data!$M5&lt;&gt;""),1,0))</f>
        <v/>
      </c>
      <c r="G5" s="28" t="str">
        <f aca="false">IF(OR(F5="",F5=0),"NA",MIN(F5,Parameters!$C$38)/Parameters!$C$38)</f>
        <v>NA</v>
      </c>
      <c r="H5" s="15" t="str">
        <f aca="false">IF(Data!$N5="","Blank",IF(SUMPRODUCT((Parameters!$B$49:$B$53&lt;&gt;"")*ISNUMBER(SEARCH(Parameters!$B$49:$B$53,Data!$N5)))&gt;0,"CHECK: suspect URL",IF(ISNUMBER(SEARCH(Parameters!$C$46,Data!$N5)),"Contribution guide","Other page")))</f>
        <v>Contribution guide</v>
      </c>
      <c r="I5" s="28" t="n">
        <f aca="false">IF(H5="Contribution guide",Parameters!$C$44,IF(H5="Other page",Parameters!$C$45,"NA"))</f>
        <v>1</v>
      </c>
      <c r="J5" s="28" t="n">
        <f aca="false">IFERROR(INDEX(Parameters!$C$25:$C$28,MATCH(Data!$O5,Parameters!$B$25:$B$28,0)),"NA")</f>
        <v>1</v>
      </c>
      <c r="K5" s="28" t="n">
        <f aca="false">IFERROR(INDEX(Parameters!$C$32:$C$34,MATCH(Data!$Q5,Parameters!$B$32:$B$34,0)),"NA")</f>
        <v>1</v>
      </c>
      <c r="L5" s="32" t="n">
        <f aca="false">IF(AND(Coding!AF5&gt;0,ISNUMBER(B5),B5&lt;=Parameters!$C$40),1,0)</f>
        <v>0</v>
      </c>
      <c r="M5" s="32" t="n">
        <f aca="false">IF(AND(Data!$P5&lt;&gt;"",NOT(AND(ISNUMBER(J5),J5=1))),1,0)</f>
        <v>0</v>
      </c>
      <c r="N5" s="32" t="n">
        <f aca="false">IF(AND(Data!$Q5="Formal",Data!$R5=""),1,0)</f>
        <v>0</v>
      </c>
      <c r="O5" s="32" t="n">
        <f aca="false">IF(AND(Data!$Q5="",Data!$R5&lt;&gt;""),1,0)</f>
        <v>0</v>
      </c>
      <c r="P5" s="32" t="n">
        <f aca="false">IF(AND(ISNUMBER(B5),B5=1,Coding!AF5=0,OR(Data!$I5&lt;&gt;"",Data!$J5&lt;&gt;"")),1,0)</f>
        <v>1</v>
      </c>
      <c r="Q5" s="32" t="n">
        <f aca="false">IF(H5="CHECK: suspect URL",1,0)</f>
        <v>0</v>
      </c>
      <c r="R5" s="32" t="n">
        <f aca="false">IF(AND(OR(Data!$K5="Considering",Data!$K5="Not planning"),OR(AND(ISNUMBER(F5),F5&gt;0),Data!$N5&lt;&gt;"")),1,0)</f>
        <v>0</v>
      </c>
      <c r="S5" s="32" t="n">
        <f aca="false">IF(Data!$F5="",1,0)</f>
        <v>0</v>
      </c>
      <c r="T5" s="32" t="n">
        <f aca="false">SUM(L5:S5)</f>
        <v>1</v>
      </c>
      <c r="U5" s="32" t="str">
        <f aca="false">IF(ISNUMBER(F5),F5-IF(ISNUMBER(SEARCH("Contribute funds",Data!$L5)),1,0),"")</f>
        <v/>
      </c>
      <c r="V5" s="28" t="str">
        <f aca="false">IF(ISNUMBER(U5),MIN(U5,Parameters!$C$38)/Parameters!$C$38,"NA")</f>
        <v>NA</v>
      </c>
    </row>
    <row r="6" customFormat="false" ht="15" hidden="false" customHeight="true" outlineLevel="0" collapsed="false">
      <c r="A6" s="15" t="str">
        <f aca="false">Data!$A6</f>
        <v>Archipelago Commons</v>
      </c>
      <c r="B6" s="28" t="n">
        <f aca="false">IFERROR(INDEX(Parameters!$C$25:$C$28,MATCH(Data!$G6,Parameters!$B$25:$B$28,0)),"NA")</f>
        <v>1</v>
      </c>
      <c r="C6" s="32" t="n">
        <f aca="false">IF(Coding!AF6=0,"",Coding!AF6)</f>
        <v>7</v>
      </c>
      <c r="D6" s="28" t="n">
        <f aca="false">IF(OR(C6="",C6=0),"NA",IF(AND(Parameters!$C$39=1,ISNUMBER(B6),B6&lt;=Parameters!$C$40),0,MIN(C6,Parameters!$C$37)/Parameters!$C$37))</f>
        <v>0.875</v>
      </c>
      <c r="E6" s="28" t="n">
        <f aca="false">IF(Data!$F6="","NA",IF(SUMPRODUCT((Parameters!$B$66:$B$70&lt;&gt;"")*ISNUMBER(SEARCH(Parameters!$B$66:$B$70,Data!$F6)))&gt;0,Parameters!$C$63,Parameters!$C$64))</f>
        <v>1</v>
      </c>
      <c r="F6" s="32" t="n">
        <f aca="false">IF(OR(Data!$L6="",Data!$L6="Not applicable"),"",LEN(Data!$L6)-LEN(SUBSTITUTE(Data!$L6,"|",""))+1-IF(ISNUMBER(SEARCH("Other",Data!$L6)),1,0)-IF(ISNUMBER(SEARCH("Not applicable",Data!$L6)),1,0)+IF(AND(ISNUMBER(SEARCH("Other",Data!$L6)),Data!$M6&lt;&gt;""),1,0))</f>
        <v>3</v>
      </c>
      <c r="G6" s="28" t="n">
        <f aca="false">IF(OR(F6="",F6=0),"NA",MIN(F6,Parameters!$C$38)/Parameters!$C$38)</f>
        <v>0.5</v>
      </c>
      <c r="H6" s="15" t="str">
        <f aca="false">IF(Data!$N6="","Blank",IF(SUMPRODUCT((Parameters!$B$49:$B$53&lt;&gt;"")*ISNUMBER(SEARCH(Parameters!$B$49:$B$53,Data!$N6)))&gt;0,"CHECK: suspect URL",IF(ISNUMBER(SEARCH(Parameters!$C$46,Data!$N6)),"Contribution guide","Other page")))</f>
        <v>Other page</v>
      </c>
      <c r="I6" s="28" t="n">
        <f aca="false">IF(H6="Contribution guide",Parameters!$C$44,IF(H6="Other page",Parameters!$C$45,"NA"))</f>
        <v>0.5</v>
      </c>
      <c r="J6" s="28" t="n">
        <f aca="false">IFERROR(INDEX(Parameters!$C$25:$C$28,MATCH(Data!$O6,Parameters!$B$25:$B$28,0)),"NA")</f>
        <v>1</v>
      </c>
      <c r="K6" s="28" t="n">
        <f aca="false">IFERROR(INDEX(Parameters!$C$32:$C$34,MATCH(Data!$Q6,Parameters!$B$32:$B$34,0)),"NA")</f>
        <v>1</v>
      </c>
      <c r="L6" s="32" t="n">
        <f aca="false">IF(AND(Coding!AF6&gt;0,ISNUMBER(B6),B6&lt;=Parameters!$C$40),1,0)</f>
        <v>0</v>
      </c>
      <c r="M6" s="32" t="n">
        <f aca="false">IF(AND(Data!$P6&lt;&gt;"",NOT(AND(ISNUMBER(J6),J6=1))),1,0)</f>
        <v>0</v>
      </c>
      <c r="N6" s="32" t="n">
        <f aca="false">IF(AND(Data!$Q6="Formal",Data!$R6=""),1,0)</f>
        <v>0</v>
      </c>
      <c r="O6" s="32" t="n">
        <f aca="false">IF(AND(Data!$Q6="",Data!$R6&lt;&gt;""),1,0)</f>
        <v>0</v>
      </c>
      <c r="P6" s="32" t="n">
        <f aca="false">IF(AND(ISNUMBER(B6),B6=1,Coding!AF6=0,OR(Data!$I6&lt;&gt;"",Data!$J6&lt;&gt;"")),1,0)</f>
        <v>0</v>
      </c>
      <c r="Q6" s="32" t="n">
        <f aca="false">IF(H6="CHECK: suspect URL",1,0)</f>
        <v>0</v>
      </c>
      <c r="R6" s="32" t="n">
        <f aca="false">IF(AND(OR(Data!$K6="Considering",Data!$K6="Not planning"),OR(AND(ISNUMBER(F6),F6&gt;0),Data!$N6&lt;&gt;"")),1,0)</f>
        <v>0</v>
      </c>
      <c r="S6" s="32" t="n">
        <f aca="false">IF(Data!$F6="",1,0)</f>
        <v>0</v>
      </c>
      <c r="T6" s="32" t="n">
        <f aca="false">SUM(L6:S6)</f>
        <v>0</v>
      </c>
      <c r="U6" s="32" t="n">
        <f aca="false">IF(ISNUMBER(F6),F6-IF(ISNUMBER(SEARCH("Contribute funds",Data!$L6)),1,0),"")</f>
        <v>3</v>
      </c>
      <c r="V6" s="28" t="n">
        <f aca="false">IF(ISNUMBER(U6),MIN(U6,Parameters!$C$38)/Parameters!$C$38,"NA")</f>
        <v>0.5</v>
      </c>
    </row>
    <row r="7" customFormat="false" ht="15" hidden="false" customHeight="true" outlineLevel="0" collapsed="false">
      <c r="A7" s="15" t="str">
        <f aca="false">Data!$A7</f>
        <v>Archival Resource Key</v>
      </c>
      <c r="B7" s="28" t="n">
        <f aca="false">IFERROR(INDEX(Parameters!$C$25:$C$28,MATCH(Data!$G7,Parameters!$B$25:$B$28,0)),"NA")</f>
        <v>1</v>
      </c>
      <c r="C7" s="32" t="str">
        <f aca="false">IF(Coding!AF7=0,"",Coding!AF7)</f>
        <v/>
      </c>
      <c r="D7" s="28" t="str">
        <f aca="false">IF(OR(C7="",C7=0),"NA",IF(AND(Parameters!$C$39=1,ISNUMBER(B7),B7&lt;=Parameters!$C$40),0,MIN(C7,Parameters!$C$37)/Parameters!$C$37))</f>
        <v>NA</v>
      </c>
      <c r="E7" s="28" t="n">
        <f aca="false">IF(Data!$F7="","NA",IF(SUMPRODUCT((Parameters!$B$66:$B$70&lt;&gt;"")*ISNUMBER(SEARCH(Parameters!$B$66:$B$70,Data!$F7)))&gt;0,Parameters!$C$63,Parameters!$C$64))</f>
        <v>1</v>
      </c>
      <c r="F7" s="32" t="n">
        <f aca="false">IF(OR(Data!$L7="",Data!$L7="Not applicable"),"",LEN(Data!$L7)-LEN(SUBSTITUTE(Data!$L7,"|",""))+1-IF(ISNUMBER(SEARCH("Other",Data!$L7)),1,0)-IF(ISNUMBER(SEARCH("Not applicable",Data!$L7)),1,0)+IF(AND(ISNUMBER(SEARCH("Other",Data!$L7)),Data!$M7&lt;&gt;""),1,0))</f>
        <v>5</v>
      </c>
      <c r="G7" s="28" t="n">
        <f aca="false">IF(OR(F7="",F7=0),"NA",MIN(F7,Parameters!$C$38)/Parameters!$C$38)</f>
        <v>0.833333333333333</v>
      </c>
      <c r="H7" s="15" t="str">
        <f aca="false">IF(Data!$N7="","Blank",IF(SUMPRODUCT((Parameters!$B$49:$B$53&lt;&gt;"")*ISNUMBER(SEARCH(Parameters!$B$49:$B$53,Data!$N7)))&gt;0,"CHECK: suspect URL",IF(ISNUMBER(SEARCH(Parameters!$C$46,Data!$N7)),"Contribution guide","Other page")))</f>
        <v>Other page</v>
      </c>
      <c r="I7" s="28" t="n">
        <f aca="false">IF(H7="Contribution guide",Parameters!$C$44,IF(H7="Other page",Parameters!$C$45,"NA"))</f>
        <v>0.5</v>
      </c>
      <c r="J7" s="28" t="n">
        <f aca="false">IFERROR(INDEX(Parameters!$C$25:$C$28,MATCH(Data!$O7,Parameters!$B$25:$B$28,0)),"NA")</f>
        <v>1</v>
      </c>
      <c r="K7" s="28" t="n">
        <f aca="false">IFERROR(INDEX(Parameters!$C$32:$C$34,MATCH(Data!$Q7,Parameters!$B$32:$B$34,0)),"NA")</f>
        <v>0.5</v>
      </c>
      <c r="L7" s="32" t="n">
        <f aca="false">IF(AND(Coding!AF7&gt;0,ISNUMBER(B7),B7&lt;=Parameters!$C$40),1,0)</f>
        <v>0</v>
      </c>
      <c r="M7" s="32" t="n">
        <f aca="false">IF(AND(Data!$P7&lt;&gt;"",NOT(AND(ISNUMBER(J7),J7=1))),1,0)</f>
        <v>0</v>
      </c>
      <c r="N7" s="32" t="n">
        <f aca="false">IF(AND(Data!$Q7="Formal",Data!$R7=""),1,0)</f>
        <v>0</v>
      </c>
      <c r="O7" s="32" t="n">
        <f aca="false">IF(AND(Data!$Q7="",Data!$R7&lt;&gt;""),1,0)</f>
        <v>0</v>
      </c>
      <c r="P7" s="32" t="n">
        <f aca="false">IF(AND(ISNUMBER(B7),B7=1,Coding!AF7=0,OR(Data!$I7&lt;&gt;"",Data!$J7&lt;&gt;"")),1,0)</f>
        <v>1</v>
      </c>
      <c r="Q7" s="32" t="n">
        <f aca="false">IF(H7="CHECK: suspect URL",1,0)</f>
        <v>0</v>
      </c>
      <c r="R7" s="32" t="n">
        <f aca="false">IF(AND(OR(Data!$K7="Considering",Data!$K7="Not planning"),OR(AND(ISNUMBER(F7),F7&gt;0),Data!$N7&lt;&gt;"")),1,0)</f>
        <v>0</v>
      </c>
      <c r="S7" s="32" t="n">
        <f aca="false">IF(Data!$F7="",1,0)</f>
        <v>0</v>
      </c>
      <c r="T7" s="32" t="n">
        <f aca="false">SUM(L7:S7)</f>
        <v>1</v>
      </c>
      <c r="U7" s="32" t="n">
        <f aca="false">IF(ISNUMBER(F7),F7-IF(ISNUMBER(SEARCH("Contribute funds",Data!$L7)),1,0),"")</f>
        <v>4</v>
      </c>
      <c r="V7" s="28" t="n">
        <f aca="false">IF(ISNUMBER(U7),MIN(U7,Parameters!$C$38)/Parameters!$C$38,"NA")</f>
        <v>0.666666666666667</v>
      </c>
    </row>
    <row r="8" customFormat="false" ht="15" hidden="false" customHeight="true" outlineLevel="0" collapsed="false">
      <c r="A8" s="15" t="str">
        <f aca="false">Data!$A8</f>
        <v>Archivematica</v>
      </c>
      <c r="B8" s="28" t="n">
        <f aca="false">IFERROR(INDEX(Parameters!$C$25:$C$28,MATCH(Data!$G8,Parameters!$B$25:$B$28,0)),"NA")</f>
        <v>1</v>
      </c>
      <c r="C8" s="32" t="str">
        <f aca="false">IF(Coding!AF8=0,"",Coding!AF8)</f>
        <v/>
      </c>
      <c r="D8" s="28" t="str">
        <f aca="false">IF(OR(C8="",C8=0),"NA",IF(AND(Parameters!$C$39=1,ISNUMBER(B8),B8&lt;=Parameters!$C$40),0,MIN(C8,Parameters!$C$37)/Parameters!$C$37))</f>
        <v>NA</v>
      </c>
      <c r="E8" s="28" t="n">
        <f aca="false">IF(Data!$F8="","NA",IF(SUMPRODUCT((Parameters!$B$66:$B$70&lt;&gt;"")*ISNUMBER(SEARCH(Parameters!$B$66:$B$70,Data!$F8)))&gt;0,Parameters!$C$63,Parameters!$C$64))</f>
        <v>1</v>
      </c>
      <c r="F8" s="32" t="str">
        <f aca="false">IF(OR(Data!$L8="",Data!$L8="Not applicable"),"",LEN(Data!$L8)-LEN(SUBSTITUTE(Data!$L8,"|",""))+1-IF(ISNUMBER(SEARCH("Other",Data!$L8)),1,0)-IF(ISNUMBER(SEARCH("Not applicable",Data!$L8)),1,0)+IF(AND(ISNUMBER(SEARCH("Other",Data!$L8)),Data!$M8&lt;&gt;""),1,0))</f>
        <v/>
      </c>
      <c r="G8" s="28" t="str">
        <f aca="false">IF(OR(F8="",F8=0),"NA",MIN(F8,Parameters!$C$38)/Parameters!$C$38)</f>
        <v>NA</v>
      </c>
      <c r="H8" s="15" t="str">
        <f aca="false">IF(Data!$N8="","Blank",IF(SUMPRODUCT((Parameters!$B$49:$B$53&lt;&gt;"")*ISNUMBER(SEARCH(Parameters!$B$49:$B$53,Data!$N8)))&gt;0,"CHECK: suspect URL",IF(ISNUMBER(SEARCH(Parameters!$C$46,Data!$N8)),"Contribution guide","Other page")))</f>
        <v>Contribution guide</v>
      </c>
      <c r="I8" s="28" t="n">
        <f aca="false">IF(H8="Contribution guide",Parameters!$C$44,IF(H8="Other page",Parameters!$C$45,"NA"))</f>
        <v>1</v>
      </c>
      <c r="J8" s="28" t="str">
        <f aca="false">IFERROR(INDEX(Parameters!$C$25:$C$28,MATCH(Data!$O8,Parameters!$B$25:$B$28,0)),"NA")</f>
        <v>NA</v>
      </c>
      <c r="K8" s="28" t="str">
        <f aca="false">IFERROR(INDEX(Parameters!$C$32:$C$34,MATCH(Data!$Q8,Parameters!$B$32:$B$34,0)),"NA")</f>
        <v>NA</v>
      </c>
      <c r="L8" s="32" t="n">
        <f aca="false">IF(AND(Coding!AF8&gt;0,ISNUMBER(B8),B8&lt;=Parameters!$C$40),1,0)</f>
        <v>0</v>
      </c>
      <c r="M8" s="32" t="n">
        <f aca="false">IF(AND(Data!$P8&lt;&gt;"",NOT(AND(ISNUMBER(J8),J8=1))),1,0)</f>
        <v>1</v>
      </c>
      <c r="N8" s="32" t="n">
        <f aca="false">IF(AND(Data!$Q8="Formal",Data!$R8=""),1,0)</f>
        <v>0</v>
      </c>
      <c r="O8" s="32" t="n">
        <f aca="false">IF(AND(Data!$Q8="",Data!$R8&lt;&gt;""),1,0)</f>
        <v>0</v>
      </c>
      <c r="P8" s="32" t="n">
        <f aca="false">IF(AND(ISNUMBER(B8),B8=1,Coding!AF8=0,OR(Data!$I8&lt;&gt;"",Data!$J8&lt;&gt;"")),1,0)</f>
        <v>1</v>
      </c>
      <c r="Q8" s="32" t="n">
        <f aca="false">IF(H8="CHECK: suspect URL",1,0)</f>
        <v>0</v>
      </c>
      <c r="R8" s="32" t="n">
        <f aca="false">IF(AND(OR(Data!$K8="Considering",Data!$K8="Not planning"),OR(AND(ISNUMBER(F8),F8&gt;0),Data!$N8&lt;&gt;"")),1,0)</f>
        <v>0</v>
      </c>
      <c r="S8" s="32" t="n">
        <f aca="false">IF(Data!$F8="",1,0)</f>
        <v>0</v>
      </c>
      <c r="T8" s="32" t="n">
        <f aca="false">SUM(L8:S8)</f>
        <v>2</v>
      </c>
      <c r="U8" s="32" t="str">
        <f aca="false">IF(ISNUMBER(F8),F8-IF(ISNUMBER(SEARCH("Contribute funds",Data!$L8)),1,0),"")</f>
        <v/>
      </c>
      <c r="V8" s="28" t="str">
        <f aca="false">IF(ISNUMBER(U8),MIN(U8,Parameters!$C$38)/Parameters!$C$38,"NA")</f>
        <v>NA</v>
      </c>
    </row>
    <row r="9" customFormat="false" ht="15" hidden="false" customHeight="true" outlineLevel="0" collapsed="false">
      <c r="A9" s="15" t="str">
        <f aca="false">Data!$A9</f>
        <v>ArchivesSpace</v>
      </c>
      <c r="B9" s="28" t="n">
        <f aca="false">IFERROR(INDEX(Parameters!$C$25:$C$28,MATCH(Data!$G9,Parameters!$B$25:$B$28,0)),"NA")</f>
        <v>1</v>
      </c>
      <c r="C9" s="32" t="n">
        <f aca="false">IF(Coding!AF9=0,"",Coding!AF9)</f>
        <v>9</v>
      </c>
      <c r="D9" s="28" t="n">
        <f aca="false">IF(OR(C9="",C9=0),"NA",IF(AND(Parameters!$C$39=1,ISNUMBER(B9),B9&lt;=Parameters!$C$40),0,MIN(C9,Parameters!$C$37)/Parameters!$C$37))</f>
        <v>1</v>
      </c>
      <c r="E9" s="28" t="n">
        <f aca="false">IF(Data!$F9="","NA",IF(SUMPRODUCT((Parameters!$B$66:$B$70&lt;&gt;"")*ISNUMBER(SEARCH(Parameters!$B$66:$B$70,Data!$F9)))&gt;0,Parameters!$C$63,Parameters!$C$64))</f>
        <v>1</v>
      </c>
      <c r="F9" s="32" t="str">
        <f aca="false">IF(OR(Data!$L9="",Data!$L9="Not applicable"),"",LEN(Data!$L9)-LEN(SUBSTITUTE(Data!$L9,"|",""))+1-IF(ISNUMBER(SEARCH("Other",Data!$L9)),1,0)-IF(ISNUMBER(SEARCH("Not applicable",Data!$L9)),1,0)+IF(AND(ISNUMBER(SEARCH("Other",Data!$L9)),Data!$M9&lt;&gt;""),1,0))</f>
        <v/>
      </c>
      <c r="G9" s="28" t="str">
        <f aca="false">IF(OR(F9="",F9=0),"NA",MIN(F9,Parameters!$C$38)/Parameters!$C$38)</f>
        <v>NA</v>
      </c>
      <c r="H9" s="15" t="str">
        <f aca="false">IF(Data!$N9="","Blank",IF(SUMPRODUCT((Parameters!$B$49:$B$53&lt;&gt;"")*ISNUMBER(SEARCH(Parameters!$B$49:$B$53,Data!$N9)))&gt;0,"CHECK: suspect URL",IF(ISNUMBER(SEARCH(Parameters!$C$46,Data!$N9)),"Contribution guide","Other page")))</f>
        <v>Contribution guide</v>
      </c>
      <c r="I9" s="28" t="n">
        <f aca="false">IF(H9="Contribution guide",Parameters!$C$44,IF(H9="Other page",Parameters!$C$45,"NA"))</f>
        <v>1</v>
      </c>
      <c r="J9" s="28" t="n">
        <f aca="false">IFERROR(INDEX(Parameters!$C$25:$C$28,MATCH(Data!$O9,Parameters!$B$25:$B$28,0)),"NA")</f>
        <v>1</v>
      </c>
      <c r="K9" s="28" t="n">
        <f aca="false">IFERROR(INDEX(Parameters!$C$32:$C$34,MATCH(Data!$Q9,Parameters!$B$32:$B$34,0)),"NA")</f>
        <v>1</v>
      </c>
      <c r="L9" s="32" t="n">
        <f aca="false">IF(AND(Coding!AF9&gt;0,ISNUMBER(B9),B9&lt;=Parameters!$C$40),1,0)</f>
        <v>0</v>
      </c>
      <c r="M9" s="32" t="n">
        <f aca="false">IF(AND(Data!$P9&lt;&gt;"",NOT(AND(ISNUMBER(J9),J9=1))),1,0)</f>
        <v>0</v>
      </c>
      <c r="N9" s="32" t="n">
        <f aca="false">IF(AND(Data!$Q9="Formal",Data!$R9=""),1,0)</f>
        <v>0</v>
      </c>
      <c r="O9" s="32" t="n">
        <f aca="false">IF(AND(Data!$Q9="",Data!$R9&lt;&gt;""),1,0)</f>
        <v>0</v>
      </c>
      <c r="P9" s="32" t="n">
        <f aca="false">IF(AND(ISNUMBER(B9),B9=1,Coding!AF9=0,OR(Data!$I9&lt;&gt;"",Data!$J9&lt;&gt;"")),1,0)</f>
        <v>0</v>
      </c>
      <c r="Q9" s="32" t="n">
        <f aca="false">IF(H9="CHECK: suspect URL",1,0)</f>
        <v>0</v>
      </c>
      <c r="R9" s="32" t="n">
        <f aca="false">IF(AND(OR(Data!$K9="Considering",Data!$K9="Not planning"),OR(AND(ISNUMBER(F9),F9&gt;0),Data!$N9&lt;&gt;"")),1,0)</f>
        <v>0</v>
      </c>
      <c r="S9" s="32" t="n">
        <f aca="false">IF(Data!$F9="",1,0)</f>
        <v>0</v>
      </c>
      <c r="T9" s="32" t="n">
        <f aca="false">SUM(L9:S9)</f>
        <v>0</v>
      </c>
      <c r="U9" s="32" t="str">
        <f aca="false">IF(ISNUMBER(F9),F9-IF(ISNUMBER(SEARCH("Contribute funds",Data!$L9)),1,0),"")</f>
        <v/>
      </c>
      <c r="V9" s="28" t="str">
        <f aca="false">IF(ISNUMBER(U9),MIN(U9,Parameters!$C$38)/Parameters!$C$38,"NA")</f>
        <v>NA</v>
      </c>
    </row>
    <row r="10" customFormat="false" ht="15" hidden="false" customHeight="true" outlineLevel="0" collapsed="false">
      <c r="A10" s="15" t="str">
        <f aca="false">Data!$A10</f>
        <v>ARGOS</v>
      </c>
      <c r="B10" s="28" t="n">
        <f aca="false">IFERROR(INDEX(Parameters!$C$25:$C$28,MATCH(Data!$G10,Parameters!$B$25:$B$28,0)),"NA")</f>
        <v>1</v>
      </c>
      <c r="C10" s="32" t="n">
        <f aca="false">IF(Coding!AF10=0,"",Coding!AF10)</f>
        <v>8</v>
      </c>
      <c r="D10" s="28" t="n">
        <f aca="false">IF(OR(C10="",C10=0),"NA",IF(AND(Parameters!$C$39=1,ISNUMBER(B10),B10&lt;=Parameters!$C$40),0,MIN(C10,Parameters!$C$37)/Parameters!$C$37))</f>
        <v>1</v>
      </c>
      <c r="E10" s="28" t="n">
        <f aca="false">IF(Data!$F10="","NA",IF(SUMPRODUCT((Parameters!$B$66:$B$70&lt;&gt;"")*ISNUMBER(SEARCH(Parameters!$B$66:$B$70,Data!$F10)))&gt;0,Parameters!$C$63,Parameters!$C$64))</f>
        <v>1</v>
      </c>
      <c r="F10" s="32" t="str">
        <f aca="false">IF(OR(Data!$L10="",Data!$L10="Not applicable"),"",LEN(Data!$L10)-LEN(SUBSTITUTE(Data!$L10,"|",""))+1-IF(ISNUMBER(SEARCH("Other",Data!$L10)),1,0)-IF(ISNUMBER(SEARCH("Not applicable",Data!$L10)),1,0)+IF(AND(ISNUMBER(SEARCH("Other",Data!$L10)),Data!$M10&lt;&gt;""),1,0))</f>
        <v/>
      </c>
      <c r="G10" s="28" t="str">
        <f aca="false">IF(OR(F10="",F10=0),"NA",MIN(F10,Parameters!$C$38)/Parameters!$C$38)</f>
        <v>NA</v>
      </c>
      <c r="H10" s="15" t="str">
        <f aca="false">IF(Data!$N10="","Blank",IF(SUMPRODUCT((Parameters!$B$49:$B$53&lt;&gt;"")*ISNUMBER(SEARCH(Parameters!$B$49:$B$53,Data!$N10)))&gt;0,"CHECK: suspect URL",IF(ISNUMBER(SEARCH(Parameters!$C$46,Data!$N10)),"Contribution guide","Other page")))</f>
        <v>Blank</v>
      </c>
      <c r="I10" s="28" t="str">
        <f aca="false">IF(H10="Contribution guide",Parameters!$C$44,IF(H10="Other page",Parameters!$C$45,"NA"))</f>
        <v>NA</v>
      </c>
      <c r="J10" s="28" t="n">
        <f aca="false">IFERROR(INDEX(Parameters!$C$25:$C$28,MATCH(Data!$O10,Parameters!$B$25:$B$28,0)),"NA")</f>
        <v>1</v>
      </c>
      <c r="K10" s="28" t="n">
        <f aca="false">IFERROR(INDEX(Parameters!$C$32:$C$34,MATCH(Data!$Q10,Parameters!$B$32:$B$34,0)),"NA")</f>
        <v>1</v>
      </c>
      <c r="L10" s="32" t="n">
        <f aca="false">IF(AND(Coding!AF10&gt;0,ISNUMBER(B10),B10&lt;=Parameters!$C$40),1,0)</f>
        <v>0</v>
      </c>
      <c r="M10" s="32" t="n">
        <f aca="false">IF(AND(Data!$P10&lt;&gt;"",NOT(AND(ISNUMBER(J10),J10=1))),1,0)</f>
        <v>0</v>
      </c>
      <c r="N10" s="32" t="n">
        <f aca="false">IF(AND(Data!$Q10="Formal",Data!$R10=""),1,0)</f>
        <v>0</v>
      </c>
      <c r="O10" s="32" t="n">
        <f aca="false">IF(AND(Data!$Q10="",Data!$R10&lt;&gt;""),1,0)</f>
        <v>0</v>
      </c>
      <c r="P10" s="32" t="n">
        <f aca="false">IF(AND(ISNUMBER(B10),B10=1,Coding!AF10=0,OR(Data!$I10&lt;&gt;"",Data!$J10&lt;&gt;"")),1,0)</f>
        <v>0</v>
      </c>
      <c r="Q10" s="32" t="n">
        <f aca="false">IF(H10="CHECK: suspect URL",1,0)</f>
        <v>0</v>
      </c>
      <c r="R10" s="32" t="n">
        <f aca="false">IF(AND(OR(Data!$K10="Considering",Data!$K10="Not planning"),OR(AND(ISNUMBER(F10),F10&gt;0),Data!$N10&lt;&gt;"")),1,0)</f>
        <v>0</v>
      </c>
      <c r="S10" s="32" t="n">
        <f aca="false">IF(Data!$F10="",1,0)</f>
        <v>0</v>
      </c>
      <c r="T10" s="32" t="n">
        <f aca="false">SUM(L10:S10)</f>
        <v>0</v>
      </c>
      <c r="U10" s="32" t="str">
        <f aca="false">IF(ISNUMBER(F10),F10-IF(ISNUMBER(SEARCH("Contribute funds",Data!$L10)),1,0),"")</f>
        <v/>
      </c>
      <c r="V10" s="28" t="str">
        <f aca="false">IF(ISNUMBER(U10),MIN(U10,Parameters!$C$38)/Parameters!$C$38,"NA")</f>
        <v>NA</v>
      </c>
    </row>
    <row r="11" customFormat="false" ht="15" hidden="false" customHeight="true" outlineLevel="0" collapsed="false">
      <c r="A11" s="15" t="str">
        <f aca="false">Data!$A11</f>
        <v>arXiv</v>
      </c>
      <c r="B11" s="28" t="n">
        <f aca="false">IFERROR(INDEX(Parameters!$C$25:$C$28,MATCH(Data!$G11,Parameters!$B$25:$B$28,0)),"NA")</f>
        <v>1</v>
      </c>
      <c r="C11" s="32" t="n">
        <f aca="false">IF(Coding!AF11=0,"",Coding!AF11)</f>
        <v>1</v>
      </c>
      <c r="D11" s="28" t="n">
        <f aca="false">IF(OR(C11="",C11=0),"NA",IF(AND(Parameters!$C$39=1,ISNUMBER(B11),B11&lt;=Parameters!$C$40),0,MIN(C11,Parameters!$C$37)/Parameters!$C$37))</f>
        <v>0.125</v>
      </c>
      <c r="E11" s="28" t="n">
        <f aca="false">IF(Data!$F11="","NA",IF(SUMPRODUCT((Parameters!$B$66:$B$70&lt;&gt;"")*ISNUMBER(SEARCH(Parameters!$B$66:$B$70,Data!$F11)))&gt;0,Parameters!$C$63,Parameters!$C$64))</f>
        <v>1</v>
      </c>
      <c r="F11" s="32" t="n">
        <f aca="false">IF(OR(Data!$L11="",Data!$L11="Not applicable"),"",LEN(Data!$L11)-LEN(SUBSTITUTE(Data!$L11,"|",""))+1-IF(ISNUMBER(SEARCH("Other",Data!$L11)),1,0)-IF(ISNUMBER(SEARCH("Not applicable",Data!$L11)),1,0)+IF(AND(ISNUMBER(SEARCH("Other",Data!$L11)),Data!$M11&lt;&gt;""),1,0))</f>
        <v>3</v>
      </c>
      <c r="G11" s="28" t="n">
        <f aca="false">IF(OR(F11="",F11=0),"NA",MIN(F11,Parameters!$C$38)/Parameters!$C$38)</f>
        <v>0.5</v>
      </c>
      <c r="H11" s="15" t="str">
        <f aca="false">IF(Data!$N11="","Blank",IF(SUMPRODUCT((Parameters!$B$49:$B$53&lt;&gt;"")*ISNUMBER(SEARCH(Parameters!$B$49:$B$53,Data!$N11)))&gt;0,"CHECK: suspect URL",IF(ISNUMBER(SEARCH(Parameters!$C$46,Data!$N11)),"Contribution guide","Other page")))</f>
        <v>Other page</v>
      </c>
      <c r="I11" s="28" t="n">
        <f aca="false">IF(H11="Contribution guide",Parameters!$C$44,IF(H11="Other page",Parameters!$C$45,"NA"))</f>
        <v>0.5</v>
      </c>
      <c r="J11" s="28" t="n">
        <f aca="false">IFERROR(INDEX(Parameters!$C$25:$C$28,MATCH(Data!$O11,Parameters!$B$25:$B$28,0)),"NA")</f>
        <v>1</v>
      </c>
      <c r="K11" s="28" t="n">
        <f aca="false">IFERROR(INDEX(Parameters!$C$32:$C$34,MATCH(Data!$Q11,Parameters!$B$32:$B$34,0)),"NA")</f>
        <v>1</v>
      </c>
      <c r="L11" s="32" t="n">
        <f aca="false">IF(AND(Coding!AF11&gt;0,ISNUMBER(B11),B11&lt;=Parameters!$C$40),1,0)</f>
        <v>0</v>
      </c>
      <c r="M11" s="32" t="n">
        <f aca="false">IF(AND(Data!$P11&lt;&gt;"",NOT(AND(ISNUMBER(J11),J11=1))),1,0)</f>
        <v>0</v>
      </c>
      <c r="N11" s="32" t="n">
        <f aca="false">IF(AND(Data!$Q11="Formal",Data!$R11=""),1,0)</f>
        <v>0</v>
      </c>
      <c r="O11" s="32" t="n">
        <f aca="false">IF(AND(Data!$Q11="",Data!$R11&lt;&gt;""),1,0)</f>
        <v>0</v>
      </c>
      <c r="P11" s="32" t="n">
        <f aca="false">IF(AND(ISNUMBER(B11),B11=1,Coding!AF11=0,OR(Data!$I11&lt;&gt;"",Data!$J11&lt;&gt;"")),1,0)</f>
        <v>0</v>
      </c>
      <c r="Q11" s="32" t="n">
        <f aca="false">IF(H11="CHECK: suspect URL",1,0)</f>
        <v>0</v>
      </c>
      <c r="R11" s="32" t="n">
        <f aca="false">IF(AND(OR(Data!$K11="Considering",Data!$K11="Not planning"),OR(AND(ISNUMBER(F11),F11&gt;0),Data!$N11&lt;&gt;"")),1,0)</f>
        <v>0</v>
      </c>
      <c r="S11" s="32" t="n">
        <f aca="false">IF(Data!$F11="",1,0)</f>
        <v>0</v>
      </c>
      <c r="T11" s="32" t="n">
        <f aca="false">SUM(L11:S11)</f>
        <v>0</v>
      </c>
      <c r="U11" s="32" t="n">
        <f aca="false">IF(ISNUMBER(F11),F11-IF(ISNUMBER(SEARCH("Contribute funds",Data!$L11)),1,0),"")</f>
        <v>2</v>
      </c>
      <c r="V11" s="28" t="n">
        <f aca="false">IF(ISNUMBER(U11),MIN(U11,Parameters!$C$38)/Parameters!$C$38,"NA")</f>
        <v>0.333333333333333</v>
      </c>
    </row>
    <row r="12" customFormat="false" ht="15" hidden="false" customHeight="true" outlineLevel="0" collapsed="false">
      <c r="A12" s="15" t="str">
        <f aca="false">Data!$A12</f>
        <v>AtoM</v>
      </c>
      <c r="B12" s="28" t="n">
        <f aca="false">IFERROR(INDEX(Parameters!$C$25:$C$28,MATCH(Data!$G12,Parameters!$B$25:$B$28,0)),"NA")</f>
        <v>0.67</v>
      </c>
      <c r="C12" s="32" t="str">
        <f aca="false">IF(Coding!AF12=0,"",Coding!AF12)</f>
        <v/>
      </c>
      <c r="D12" s="28" t="str">
        <f aca="false">IF(OR(C12="",C12=0),"NA",IF(AND(Parameters!$C$39=1,ISNUMBER(B12),B12&lt;=Parameters!$C$40),0,MIN(C12,Parameters!$C$37)/Parameters!$C$37))</f>
        <v>NA</v>
      </c>
      <c r="E12" s="28" t="n">
        <f aca="false">IF(Data!$F12="","NA",IF(SUMPRODUCT((Parameters!$B$66:$B$70&lt;&gt;"")*ISNUMBER(SEARCH(Parameters!$B$66:$B$70,Data!$F12)))&gt;0,Parameters!$C$63,Parameters!$C$64))</f>
        <v>1</v>
      </c>
      <c r="F12" s="32" t="str">
        <f aca="false">IF(OR(Data!$L12="",Data!$L12="Not applicable"),"",LEN(Data!$L12)-LEN(SUBSTITUTE(Data!$L12,"|",""))+1-IF(ISNUMBER(SEARCH("Other",Data!$L12)),1,0)-IF(ISNUMBER(SEARCH("Not applicable",Data!$L12)),1,0)+IF(AND(ISNUMBER(SEARCH("Other",Data!$L12)),Data!$M12&lt;&gt;""),1,0))</f>
        <v/>
      </c>
      <c r="G12" s="28" t="str">
        <f aca="false">IF(OR(F12="",F12=0),"NA",MIN(F12,Parameters!$C$38)/Parameters!$C$38)</f>
        <v>NA</v>
      </c>
      <c r="H12" s="15" t="str">
        <f aca="false">IF(Data!$N12="","Blank",IF(SUMPRODUCT((Parameters!$B$49:$B$53&lt;&gt;"")*ISNUMBER(SEARCH(Parameters!$B$49:$B$53,Data!$N12)))&gt;0,"CHECK: suspect URL",IF(ISNUMBER(SEARCH(Parameters!$C$46,Data!$N12)),"Contribution guide","Other page")))</f>
        <v>CHECK: suspect URL</v>
      </c>
      <c r="I12" s="28" t="str">
        <f aca="false">IF(H12="Contribution guide",Parameters!$C$44,IF(H12="Other page",Parameters!$C$45,"NA"))</f>
        <v>NA</v>
      </c>
      <c r="J12" s="28" t="str">
        <f aca="false">IFERROR(INDEX(Parameters!$C$25:$C$28,MATCH(Data!$O12,Parameters!$B$25:$B$28,0)),"NA")</f>
        <v>NA</v>
      </c>
      <c r="K12" s="28" t="str">
        <f aca="false">IFERROR(INDEX(Parameters!$C$32:$C$34,MATCH(Data!$Q12,Parameters!$B$32:$B$34,0)),"NA")</f>
        <v>NA</v>
      </c>
      <c r="L12" s="32" t="n">
        <f aca="false">IF(AND(Coding!AF12&gt;0,ISNUMBER(B12),B12&lt;=Parameters!$C$40),1,0)</f>
        <v>0</v>
      </c>
      <c r="M12" s="32" t="n">
        <f aca="false">IF(AND(Data!$P12&lt;&gt;"",NOT(AND(ISNUMBER(J12),J12=1))),1,0)</f>
        <v>1</v>
      </c>
      <c r="N12" s="32" t="n">
        <f aca="false">IF(AND(Data!$Q12="Formal",Data!$R12=""),1,0)</f>
        <v>0</v>
      </c>
      <c r="O12" s="32" t="n">
        <f aca="false">IF(AND(Data!$Q12="",Data!$R12&lt;&gt;""),1,0)</f>
        <v>0</v>
      </c>
      <c r="P12" s="32" t="n">
        <f aca="false">IF(AND(ISNUMBER(B12),B12=1,Coding!AF12=0,OR(Data!$I12&lt;&gt;"",Data!$J12&lt;&gt;"")),1,0)</f>
        <v>0</v>
      </c>
      <c r="Q12" s="32" t="n">
        <f aca="false">IF(H12="CHECK: suspect URL",1,0)</f>
        <v>1</v>
      </c>
      <c r="R12" s="32" t="n">
        <f aca="false">IF(AND(OR(Data!$K12="Considering",Data!$K12="Not planning"),OR(AND(ISNUMBER(F12),F12&gt;0),Data!$N12&lt;&gt;"")),1,0)</f>
        <v>0</v>
      </c>
      <c r="S12" s="32" t="n">
        <f aca="false">IF(Data!$F12="",1,0)</f>
        <v>0</v>
      </c>
      <c r="T12" s="32" t="n">
        <f aca="false">SUM(L12:S12)</f>
        <v>2</v>
      </c>
      <c r="U12" s="32" t="str">
        <f aca="false">IF(ISNUMBER(F12),F12-IF(ISNUMBER(SEARCH("Contribute funds",Data!$L12)),1,0),"")</f>
        <v/>
      </c>
      <c r="V12" s="28" t="str">
        <f aca="false">IF(ISNUMBER(U12),MIN(U12,Parameters!$C$38)/Parameters!$C$38,"NA")</f>
        <v>NA</v>
      </c>
    </row>
    <row r="13" customFormat="false" ht="15" hidden="false" customHeight="true" outlineLevel="0" collapsed="false">
      <c r="A13" s="15" t="str">
        <f aca="false">Data!$A13</f>
        <v>Avalon Media System</v>
      </c>
      <c r="B13" s="28" t="n">
        <f aca="false">IFERROR(INDEX(Parameters!$C$25:$C$28,MATCH(Data!$G13,Parameters!$B$25:$B$28,0)),"NA")</f>
        <v>1</v>
      </c>
      <c r="C13" s="32" t="n">
        <f aca="false">IF(Coding!AF13=0,"",Coding!AF13)</f>
        <v>5</v>
      </c>
      <c r="D13" s="28" t="n">
        <f aca="false">IF(OR(C13="",C13=0),"NA",IF(AND(Parameters!$C$39=1,ISNUMBER(B13),B13&lt;=Parameters!$C$40),0,MIN(C13,Parameters!$C$37)/Parameters!$C$37))</f>
        <v>0.625</v>
      </c>
      <c r="E13" s="28" t="n">
        <f aca="false">IF(Data!$F13="","NA",IF(SUMPRODUCT((Parameters!$B$66:$B$70&lt;&gt;"")*ISNUMBER(SEARCH(Parameters!$B$66:$B$70,Data!$F13)))&gt;0,Parameters!$C$63,Parameters!$C$64))</f>
        <v>1</v>
      </c>
      <c r="F13" s="32" t="n">
        <f aca="false">IF(OR(Data!$L13="",Data!$L13="Not applicable"),"",LEN(Data!$L13)-LEN(SUBSTITUTE(Data!$L13,"|",""))+1-IF(ISNUMBER(SEARCH("Other",Data!$L13)),1,0)-IF(ISNUMBER(SEARCH("Not applicable",Data!$L13)),1,0)+IF(AND(ISNUMBER(SEARCH("Other",Data!$L13)),Data!$M13&lt;&gt;""),1,0))</f>
        <v>6</v>
      </c>
      <c r="G13" s="28" t="n">
        <f aca="false">IF(OR(F13="",F13=0),"NA",MIN(F13,Parameters!$C$38)/Parameters!$C$38)</f>
        <v>1</v>
      </c>
      <c r="H13" s="15" t="str">
        <f aca="false">IF(Data!$N13="","Blank",IF(SUMPRODUCT((Parameters!$B$49:$B$53&lt;&gt;"")*ISNUMBER(SEARCH(Parameters!$B$49:$B$53,Data!$N13)))&gt;0,"CHECK: suspect URL",IF(ISNUMBER(SEARCH(Parameters!$C$46,Data!$N13)),"Contribution guide","Other page")))</f>
        <v>Other page</v>
      </c>
      <c r="I13" s="28" t="n">
        <f aca="false">IF(H13="Contribution guide",Parameters!$C$44,IF(H13="Other page",Parameters!$C$45,"NA"))</f>
        <v>0.5</v>
      </c>
      <c r="J13" s="28" t="n">
        <f aca="false">IFERROR(INDEX(Parameters!$C$25:$C$28,MATCH(Data!$O13,Parameters!$B$25:$B$28,0)),"NA")</f>
        <v>1</v>
      </c>
      <c r="K13" s="28" t="n">
        <f aca="false">IFERROR(INDEX(Parameters!$C$32:$C$34,MATCH(Data!$Q13,Parameters!$B$32:$B$34,0)),"NA")</f>
        <v>1</v>
      </c>
      <c r="L13" s="32" t="n">
        <f aca="false">IF(AND(Coding!AF13&gt;0,ISNUMBER(B13),B13&lt;=Parameters!$C$40),1,0)</f>
        <v>0</v>
      </c>
      <c r="M13" s="32" t="n">
        <f aca="false">IF(AND(Data!$P13&lt;&gt;"",NOT(AND(ISNUMBER(J13),J13=1))),1,0)</f>
        <v>0</v>
      </c>
      <c r="N13" s="32" t="n">
        <f aca="false">IF(AND(Data!$Q13="Formal",Data!$R13=""),1,0)</f>
        <v>0</v>
      </c>
      <c r="O13" s="32" t="n">
        <f aca="false">IF(AND(Data!$Q13="",Data!$R13&lt;&gt;""),1,0)</f>
        <v>0</v>
      </c>
      <c r="P13" s="32" t="n">
        <f aca="false">IF(AND(ISNUMBER(B13),B13=1,Coding!AF13=0,OR(Data!$I13&lt;&gt;"",Data!$J13&lt;&gt;"")),1,0)</f>
        <v>0</v>
      </c>
      <c r="Q13" s="32" t="n">
        <f aca="false">IF(H13="CHECK: suspect URL",1,0)</f>
        <v>0</v>
      </c>
      <c r="R13" s="32" t="n">
        <f aca="false">IF(AND(OR(Data!$K13="Considering",Data!$K13="Not planning"),OR(AND(ISNUMBER(F13),F13&gt;0),Data!$N13&lt;&gt;"")),1,0)</f>
        <v>0</v>
      </c>
      <c r="S13" s="32" t="n">
        <f aca="false">IF(Data!$F13="",1,0)</f>
        <v>0</v>
      </c>
      <c r="T13" s="32" t="n">
        <f aca="false">SUM(L13:S13)</f>
        <v>0</v>
      </c>
      <c r="U13" s="32" t="n">
        <f aca="false">IF(ISNUMBER(F13),F13-IF(ISNUMBER(SEARCH("Contribute funds",Data!$L13)),1,0),"")</f>
        <v>5</v>
      </c>
      <c r="V13" s="28" t="n">
        <f aca="false">IF(ISNUMBER(U13),MIN(U13,Parameters!$C$38)/Parameters!$C$38,"NA")</f>
        <v>0.833333333333333</v>
      </c>
    </row>
    <row r="14" customFormat="false" ht="15" hidden="false" customHeight="true" outlineLevel="0" collapsed="false">
      <c r="A14" s="15" t="str">
        <f aca="false">Data!$A14</f>
        <v>Biodiversity Heritage Library</v>
      </c>
      <c r="B14" s="28" t="n">
        <f aca="false">IFERROR(INDEX(Parameters!$C$25:$C$28,MATCH(Data!$G14,Parameters!$B$25:$B$28,0)),"NA")</f>
        <v>1</v>
      </c>
      <c r="C14" s="32" t="n">
        <f aca="false">IF(Coding!AF14=0,"",Coding!AF14)</f>
        <v>7</v>
      </c>
      <c r="D14" s="28" t="n">
        <f aca="false">IF(OR(C14="",C14=0),"NA",IF(AND(Parameters!$C$39=1,ISNUMBER(B14),B14&lt;=Parameters!$C$40),0,MIN(C14,Parameters!$C$37)/Parameters!$C$37))</f>
        <v>0.875</v>
      </c>
      <c r="E14" s="28" t="n">
        <f aca="false">IF(Data!$F14="","NA",IF(SUMPRODUCT((Parameters!$B$66:$B$70&lt;&gt;"")*ISNUMBER(SEARCH(Parameters!$B$66:$B$70,Data!$F14)))&gt;0,Parameters!$C$63,Parameters!$C$64))</f>
        <v>1</v>
      </c>
      <c r="F14" s="32" t="n">
        <f aca="false">IF(OR(Data!$L14="",Data!$L14="Not applicable"),"",LEN(Data!$L14)-LEN(SUBSTITUTE(Data!$L14,"|",""))+1-IF(ISNUMBER(SEARCH("Other",Data!$L14)),1,0)-IF(ISNUMBER(SEARCH("Not applicable",Data!$L14)),1,0)+IF(AND(ISNUMBER(SEARCH("Other",Data!$L14)),Data!$M14&lt;&gt;""),1,0))</f>
        <v>1</v>
      </c>
      <c r="G14" s="28" t="n">
        <f aca="false">IF(OR(F14="",F14=0),"NA",MIN(F14,Parameters!$C$38)/Parameters!$C$38)</f>
        <v>0.166666666666667</v>
      </c>
      <c r="H14" s="15" t="str">
        <f aca="false">IF(Data!$N14="","Blank",IF(SUMPRODUCT((Parameters!$B$49:$B$53&lt;&gt;"")*ISNUMBER(SEARCH(Parameters!$B$49:$B$53,Data!$N14)))&gt;0,"CHECK: suspect URL",IF(ISNUMBER(SEARCH(Parameters!$C$46,Data!$N14)),"Contribution guide","Other page")))</f>
        <v>Other page</v>
      </c>
      <c r="I14" s="28" t="n">
        <f aca="false">IF(H14="Contribution guide",Parameters!$C$44,IF(H14="Other page",Parameters!$C$45,"NA"))</f>
        <v>0.5</v>
      </c>
      <c r="J14" s="28" t="n">
        <f aca="false">IFERROR(INDEX(Parameters!$C$25:$C$28,MATCH(Data!$O14,Parameters!$B$25:$B$28,0)),"NA")</f>
        <v>1</v>
      </c>
      <c r="K14" s="28" t="n">
        <f aca="false">IFERROR(INDEX(Parameters!$C$32:$C$34,MATCH(Data!$Q14,Parameters!$B$32:$B$34,0)),"NA")</f>
        <v>1</v>
      </c>
      <c r="L14" s="32" t="n">
        <f aca="false">IF(AND(Coding!AF14&gt;0,ISNUMBER(B14),B14&lt;=Parameters!$C$40),1,0)</f>
        <v>0</v>
      </c>
      <c r="M14" s="32" t="n">
        <f aca="false">IF(AND(Data!$P14&lt;&gt;"",NOT(AND(ISNUMBER(J14),J14=1))),1,0)</f>
        <v>0</v>
      </c>
      <c r="N14" s="32" t="n">
        <f aca="false">IF(AND(Data!$Q14="Formal",Data!$R14=""),1,0)</f>
        <v>0</v>
      </c>
      <c r="O14" s="32" t="n">
        <f aca="false">IF(AND(Data!$Q14="",Data!$R14&lt;&gt;""),1,0)</f>
        <v>0</v>
      </c>
      <c r="P14" s="32" t="n">
        <f aca="false">IF(AND(ISNUMBER(B14),B14=1,Coding!AF14=0,OR(Data!$I14&lt;&gt;"",Data!$J14&lt;&gt;"")),1,0)</f>
        <v>0</v>
      </c>
      <c r="Q14" s="32" t="n">
        <f aca="false">IF(H14="CHECK: suspect URL",1,0)</f>
        <v>0</v>
      </c>
      <c r="R14" s="32" t="n">
        <f aca="false">IF(AND(OR(Data!$K14="Considering",Data!$K14="Not planning"),OR(AND(ISNUMBER(F14),F14&gt;0),Data!$N14&lt;&gt;"")),1,0)</f>
        <v>0</v>
      </c>
      <c r="S14" s="32" t="n">
        <f aca="false">IF(Data!$F14="",1,0)</f>
        <v>0</v>
      </c>
      <c r="T14" s="32" t="n">
        <f aca="false">SUM(L14:S14)</f>
        <v>0</v>
      </c>
      <c r="U14" s="32" t="n">
        <f aca="false">IF(ISNUMBER(F14),F14-IF(ISNUMBER(SEARCH("Contribute funds",Data!$L14)),1,0),"")</f>
        <v>0</v>
      </c>
      <c r="V14" s="28" t="n">
        <f aca="false">IF(ISNUMBER(U14),MIN(U14,Parameters!$C$38)/Parameters!$C$38,"NA")</f>
        <v>0</v>
      </c>
    </row>
    <row r="15" customFormat="false" ht="15" hidden="false" customHeight="true" outlineLevel="0" collapsed="false">
      <c r="A15" s="15" t="str">
        <f aca="false">Data!$A15</f>
        <v>bioRxiv</v>
      </c>
      <c r="B15" s="28" t="n">
        <f aca="false">IFERROR(INDEX(Parameters!$C$25:$C$28,MATCH(Data!$G15,Parameters!$B$25:$B$28,0)),"NA")</f>
        <v>1</v>
      </c>
      <c r="C15" s="32" t="str">
        <f aca="false">IF(Coding!AF15=0,"",Coding!AF15)</f>
        <v/>
      </c>
      <c r="D15" s="28" t="str">
        <f aca="false">IF(OR(C15="",C15=0),"NA",IF(AND(Parameters!$C$39=1,ISNUMBER(B15),B15&lt;=Parameters!$C$40),0,MIN(C15,Parameters!$C$37)/Parameters!$C$37))</f>
        <v>NA</v>
      </c>
      <c r="E15" s="28" t="str">
        <f aca="false">IF(Data!$F15="","NA",IF(SUMPRODUCT((Parameters!$B$66:$B$70&lt;&gt;"")*ISNUMBER(SEARCH(Parameters!$B$66:$B$70,Data!$F15)))&gt;0,Parameters!$C$63,Parameters!$C$64))</f>
        <v>NA</v>
      </c>
      <c r="F15" s="32" t="str">
        <f aca="false">IF(OR(Data!$L15="",Data!$L15="Not applicable"),"",LEN(Data!$L15)-LEN(SUBSTITUTE(Data!$L15,"|",""))+1-IF(ISNUMBER(SEARCH("Other",Data!$L15)),1,0)-IF(ISNUMBER(SEARCH("Not applicable",Data!$L15)),1,0)+IF(AND(ISNUMBER(SEARCH("Other",Data!$L15)),Data!$M15&lt;&gt;""),1,0))</f>
        <v/>
      </c>
      <c r="G15" s="28" t="str">
        <f aca="false">IF(OR(F15="",F15=0),"NA",MIN(F15,Parameters!$C$38)/Parameters!$C$38)</f>
        <v>NA</v>
      </c>
      <c r="H15" s="15" t="str">
        <f aca="false">IF(Data!$N15="","Blank",IF(SUMPRODUCT((Parameters!$B$49:$B$53&lt;&gt;"")*ISNUMBER(SEARCH(Parameters!$B$49:$B$53,Data!$N15)))&gt;0,"CHECK: suspect URL",IF(ISNUMBER(SEARCH(Parameters!$C$46,Data!$N15)),"Contribution guide","Other page")))</f>
        <v>Blank</v>
      </c>
      <c r="I15" s="28" t="str">
        <f aca="false">IF(H15="Contribution guide",Parameters!$C$44,IF(H15="Other page",Parameters!$C$45,"NA"))</f>
        <v>NA</v>
      </c>
      <c r="J15" s="28" t="n">
        <f aca="false">IFERROR(INDEX(Parameters!$C$25:$C$28,MATCH(Data!$O15,Parameters!$B$25:$B$28,0)),"NA")</f>
        <v>0.33</v>
      </c>
      <c r="K15" s="28" t="n">
        <f aca="false">IFERROR(INDEX(Parameters!$C$32:$C$34,MATCH(Data!$Q15,Parameters!$B$32:$B$34,0)),"NA")</f>
        <v>0.5</v>
      </c>
      <c r="L15" s="32" t="n">
        <f aca="false">IF(AND(Coding!AF15&gt;0,ISNUMBER(B15),B15&lt;=Parameters!$C$40),1,0)</f>
        <v>0</v>
      </c>
      <c r="M15" s="32" t="n">
        <f aca="false">IF(AND(Data!$P15&lt;&gt;"",NOT(AND(ISNUMBER(J15),J15=1))),1,0)</f>
        <v>0</v>
      </c>
      <c r="N15" s="32" t="n">
        <f aca="false">IF(AND(Data!$Q15="Formal",Data!$R15=""),1,0)</f>
        <v>0</v>
      </c>
      <c r="O15" s="32" t="n">
        <f aca="false">IF(AND(Data!$Q15="",Data!$R15&lt;&gt;""),1,0)</f>
        <v>0</v>
      </c>
      <c r="P15" s="32" t="n">
        <f aca="false">IF(AND(ISNUMBER(B15),B15=1,Coding!AF15=0,OR(Data!$I15&lt;&gt;"",Data!$J15&lt;&gt;"")),1,0)</f>
        <v>1</v>
      </c>
      <c r="Q15" s="32" t="n">
        <f aca="false">IF(H15="CHECK: suspect URL",1,0)</f>
        <v>0</v>
      </c>
      <c r="R15" s="32" t="n">
        <f aca="false">IF(AND(OR(Data!$K15="Considering",Data!$K15="Not planning"),OR(AND(ISNUMBER(F15),F15&gt;0),Data!$N15&lt;&gt;"")),1,0)</f>
        <v>0</v>
      </c>
      <c r="S15" s="32" t="n">
        <f aca="false">IF(Data!$F15="",1,0)</f>
        <v>1</v>
      </c>
      <c r="T15" s="32" t="n">
        <f aca="false">SUM(L15:S15)</f>
        <v>2</v>
      </c>
      <c r="U15" s="32" t="str">
        <f aca="false">IF(ISNUMBER(F15),F15-IF(ISNUMBER(SEARCH("Contribute funds",Data!$L15)),1,0),"")</f>
        <v/>
      </c>
      <c r="V15" s="28" t="str">
        <f aca="false">IF(ISNUMBER(U15),MIN(U15,Parameters!$C$38)/Parameters!$C$38,"NA")</f>
        <v>NA</v>
      </c>
    </row>
    <row r="16" customFormat="false" ht="15" hidden="false" customHeight="true" outlineLevel="0" collapsed="false">
      <c r="A16" s="15" t="str">
        <f aca="false">Data!$A16</f>
        <v>BitCurator Environment</v>
      </c>
      <c r="B16" s="28" t="n">
        <f aca="false">IFERROR(INDEX(Parameters!$C$25:$C$28,MATCH(Data!$G16,Parameters!$B$25:$B$28,0)),"NA")</f>
        <v>1</v>
      </c>
      <c r="C16" s="32" t="n">
        <f aca="false">IF(Coding!AF16=0,"",Coding!AF16)</f>
        <v>7</v>
      </c>
      <c r="D16" s="28" t="n">
        <f aca="false">IF(OR(C16="",C16=0),"NA",IF(AND(Parameters!$C$39=1,ISNUMBER(B16),B16&lt;=Parameters!$C$40),0,MIN(C16,Parameters!$C$37)/Parameters!$C$37))</f>
        <v>0.875</v>
      </c>
      <c r="E16" s="28" t="n">
        <f aca="false">IF(Data!$F16="","NA",IF(SUMPRODUCT((Parameters!$B$66:$B$70&lt;&gt;"")*ISNUMBER(SEARCH(Parameters!$B$66:$B$70,Data!$F16)))&gt;0,Parameters!$C$63,Parameters!$C$64))</f>
        <v>1</v>
      </c>
      <c r="F16" s="32" t="n">
        <f aca="false">IF(OR(Data!$L16="",Data!$L16="Not applicable"),"",LEN(Data!$L16)-LEN(SUBSTITUTE(Data!$L16,"|",""))+1-IF(ISNUMBER(SEARCH("Other",Data!$L16)),1,0)-IF(ISNUMBER(SEARCH("Not applicable",Data!$L16)),1,0)+IF(AND(ISNUMBER(SEARCH("Other",Data!$L16)),Data!$M16&lt;&gt;""),1,0))</f>
        <v>5</v>
      </c>
      <c r="G16" s="28" t="n">
        <f aca="false">IF(OR(F16="",F16=0),"NA",MIN(F16,Parameters!$C$38)/Parameters!$C$38)</f>
        <v>0.833333333333333</v>
      </c>
      <c r="H16" s="15" t="str">
        <f aca="false">IF(Data!$N16="","Blank",IF(SUMPRODUCT((Parameters!$B$49:$B$53&lt;&gt;"")*ISNUMBER(SEARCH(Parameters!$B$49:$B$53,Data!$N16)))&gt;0,"CHECK: suspect URL",IF(ISNUMBER(SEARCH(Parameters!$C$46,Data!$N16)),"Contribution guide","Other page")))</f>
        <v>Other page</v>
      </c>
      <c r="I16" s="28" t="n">
        <f aca="false">IF(H16="Contribution guide",Parameters!$C$44,IF(H16="Other page",Parameters!$C$45,"NA"))</f>
        <v>0.5</v>
      </c>
      <c r="J16" s="28" t="n">
        <f aca="false">IFERROR(INDEX(Parameters!$C$25:$C$28,MATCH(Data!$O16,Parameters!$B$25:$B$28,0)),"NA")</f>
        <v>1</v>
      </c>
      <c r="K16" s="28" t="n">
        <f aca="false">IFERROR(INDEX(Parameters!$C$32:$C$34,MATCH(Data!$Q16,Parameters!$B$32:$B$34,0)),"NA")</f>
        <v>1</v>
      </c>
      <c r="L16" s="32" t="n">
        <f aca="false">IF(AND(Coding!AF16&gt;0,ISNUMBER(B16),B16&lt;=Parameters!$C$40),1,0)</f>
        <v>0</v>
      </c>
      <c r="M16" s="32" t="n">
        <f aca="false">IF(AND(Data!$P16&lt;&gt;"",NOT(AND(ISNUMBER(J16),J16=1))),1,0)</f>
        <v>0</v>
      </c>
      <c r="N16" s="32" t="n">
        <f aca="false">IF(AND(Data!$Q16="Formal",Data!$R16=""),1,0)</f>
        <v>0</v>
      </c>
      <c r="O16" s="32" t="n">
        <f aca="false">IF(AND(Data!$Q16="",Data!$R16&lt;&gt;""),1,0)</f>
        <v>0</v>
      </c>
      <c r="P16" s="32" t="n">
        <f aca="false">IF(AND(ISNUMBER(B16),B16=1,Coding!AF16=0,OR(Data!$I16&lt;&gt;"",Data!$J16&lt;&gt;"")),1,0)</f>
        <v>0</v>
      </c>
      <c r="Q16" s="32" t="n">
        <f aca="false">IF(H16="CHECK: suspect URL",1,0)</f>
        <v>0</v>
      </c>
      <c r="R16" s="32" t="n">
        <f aca="false">IF(AND(OR(Data!$K16="Considering",Data!$K16="Not planning"),OR(AND(ISNUMBER(F16),F16&gt;0),Data!$N16&lt;&gt;"")),1,0)</f>
        <v>0</v>
      </c>
      <c r="S16" s="32" t="n">
        <f aca="false">IF(Data!$F16="",1,0)</f>
        <v>0</v>
      </c>
      <c r="T16" s="32" t="n">
        <f aca="false">SUM(L16:S16)</f>
        <v>0</v>
      </c>
      <c r="U16" s="32" t="n">
        <f aca="false">IF(ISNUMBER(F16),F16-IF(ISNUMBER(SEARCH("Contribute funds",Data!$L16)),1,0),"")</f>
        <v>5</v>
      </c>
      <c r="V16" s="28" t="n">
        <f aca="false">IF(ISNUMBER(U16),MIN(U16,Parameters!$C$38)/Parameters!$C$38,"NA")</f>
        <v>0.833333333333333</v>
      </c>
    </row>
    <row r="17" customFormat="false" ht="15" hidden="false" customHeight="true" outlineLevel="0" collapsed="false">
      <c r="A17" s="15" t="str">
        <f aca="false">Data!$A17</f>
        <v>Blacklight</v>
      </c>
      <c r="B17" s="28" t="n">
        <f aca="false">IFERROR(INDEX(Parameters!$C$25:$C$28,MATCH(Data!$G17,Parameters!$B$25:$B$28,0)),"NA")</f>
        <v>1</v>
      </c>
      <c r="C17" s="32" t="n">
        <f aca="false">IF(Coding!AF17=0,"",Coding!AF17)</f>
        <v>9</v>
      </c>
      <c r="D17" s="28" t="n">
        <f aca="false">IF(OR(C17="",C17=0),"NA",IF(AND(Parameters!$C$39=1,ISNUMBER(B17),B17&lt;=Parameters!$C$40),0,MIN(C17,Parameters!$C$37)/Parameters!$C$37))</f>
        <v>1</v>
      </c>
      <c r="E17" s="28" t="n">
        <f aca="false">IF(Data!$F17="","NA",IF(SUMPRODUCT((Parameters!$B$66:$B$70&lt;&gt;"")*ISNUMBER(SEARCH(Parameters!$B$66:$B$70,Data!$F17)))&gt;0,Parameters!$C$63,Parameters!$C$64))</f>
        <v>1</v>
      </c>
      <c r="F17" s="32" t="n">
        <f aca="false">IF(OR(Data!$L17="",Data!$L17="Not applicable"),"",LEN(Data!$L17)-LEN(SUBSTITUTE(Data!$L17,"|",""))+1-IF(ISNUMBER(SEARCH("Other",Data!$L17)),1,0)-IF(ISNUMBER(SEARCH("Not applicable",Data!$L17)),1,0)+IF(AND(ISNUMBER(SEARCH("Other",Data!$L17)),Data!$M17&lt;&gt;""),1,0))</f>
        <v>7</v>
      </c>
      <c r="G17" s="28" t="n">
        <f aca="false">IF(OR(F17="",F17=0),"NA",MIN(F17,Parameters!$C$38)/Parameters!$C$38)</f>
        <v>1</v>
      </c>
      <c r="H17" s="15" t="str">
        <f aca="false">IF(Data!$N17="","Blank",IF(SUMPRODUCT((Parameters!$B$49:$B$53&lt;&gt;"")*ISNUMBER(SEARCH(Parameters!$B$49:$B$53,Data!$N17)))&gt;0,"CHECK: suspect URL",IF(ISNUMBER(SEARCH(Parameters!$C$46,Data!$N17)),"Contribution guide","Other page")))</f>
        <v>Contribution guide</v>
      </c>
      <c r="I17" s="28" t="n">
        <f aca="false">IF(H17="Contribution guide",Parameters!$C$44,IF(H17="Other page",Parameters!$C$45,"NA"))</f>
        <v>1</v>
      </c>
      <c r="J17" s="28" t="n">
        <f aca="false">IFERROR(INDEX(Parameters!$C$25:$C$28,MATCH(Data!$O17,Parameters!$B$25:$B$28,0)),"NA")</f>
        <v>0.67</v>
      </c>
      <c r="K17" s="28" t="n">
        <f aca="false">IFERROR(INDEX(Parameters!$C$32:$C$34,MATCH(Data!$Q17,Parameters!$B$32:$B$34,0)),"NA")</f>
        <v>0.5</v>
      </c>
      <c r="L17" s="32" t="n">
        <f aca="false">IF(AND(Coding!AF17&gt;0,ISNUMBER(B17),B17&lt;=Parameters!$C$40),1,0)</f>
        <v>0</v>
      </c>
      <c r="M17" s="32" t="n">
        <f aca="false">IF(AND(Data!$P17&lt;&gt;"",NOT(AND(ISNUMBER(J17),J17=1))),1,0)</f>
        <v>0</v>
      </c>
      <c r="N17" s="32" t="n">
        <f aca="false">IF(AND(Data!$Q17="Formal",Data!$R17=""),1,0)</f>
        <v>0</v>
      </c>
      <c r="O17" s="32" t="n">
        <f aca="false">IF(AND(Data!$Q17="",Data!$R17&lt;&gt;""),1,0)</f>
        <v>0</v>
      </c>
      <c r="P17" s="32" t="n">
        <f aca="false">IF(AND(ISNUMBER(B17),B17=1,Coding!AF17=0,OR(Data!$I17&lt;&gt;"",Data!$J17&lt;&gt;"")),1,0)</f>
        <v>0</v>
      </c>
      <c r="Q17" s="32" t="n">
        <f aca="false">IF(H17="CHECK: suspect URL",1,0)</f>
        <v>0</v>
      </c>
      <c r="R17" s="32" t="n">
        <f aca="false">IF(AND(OR(Data!$K17="Considering",Data!$K17="Not planning"),OR(AND(ISNUMBER(F17),F17&gt;0),Data!$N17&lt;&gt;"")),1,0)</f>
        <v>0</v>
      </c>
      <c r="S17" s="32" t="n">
        <f aca="false">IF(Data!$F17="",1,0)</f>
        <v>0</v>
      </c>
      <c r="T17" s="32" t="n">
        <f aca="false">SUM(L17:S17)</f>
        <v>0</v>
      </c>
      <c r="U17" s="32" t="n">
        <f aca="false">IF(ISNUMBER(F17),F17-IF(ISNUMBER(SEARCH("Contribute funds",Data!$L17)),1,0),"")</f>
        <v>6</v>
      </c>
      <c r="V17" s="28" t="n">
        <f aca="false">IF(ISNUMBER(U17),MIN(U17,Parameters!$C$38)/Parameters!$C$38,"NA")</f>
        <v>1</v>
      </c>
    </row>
    <row r="18" customFormat="false" ht="15" hidden="false" customHeight="true" outlineLevel="0" collapsed="false">
      <c r="A18" s="15" t="str">
        <f aca="false">Data!$A18</f>
        <v>BrCRIS</v>
      </c>
      <c r="B18" s="28" t="n">
        <f aca="false">IFERROR(INDEX(Parameters!$C$25:$C$28,MATCH(Data!$G18,Parameters!$B$25:$B$28,0)),"NA")</f>
        <v>0.67</v>
      </c>
      <c r="C18" s="32" t="str">
        <f aca="false">IF(Coding!AF18=0,"",Coding!AF18)</f>
        <v/>
      </c>
      <c r="D18" s="28" t="str">
        <f aca="false">IF(OR(C18="",C18=0),"NA",IF(AND(Parameters!$C$39=1,ISNUMBER(B18),B18&lt;=Parameters!$C$40),0,MIN(C18,Parameters!$C$37)/Parameters!$C$37))</f>
        <v>NA</v>
      </c>
      <c r="E18" s="28" t="n">
        <f aca="false">IF(Data!$F18="","NA",IF(SUMPRODUCT((Parameters!$B$66:$B$70&lt;&gt;"")*ISNUMBER(SEARCH(Parameters!$B$66:$B$70,Data!$F18)))&gt;0,Parameters!$C$63,Parameters!$C$64))</f>
        <v>1</v>
      </c>
      <c r="F18" s="32" t="str">
        <f aca="false">IF(OR(Data!$L18="",Data!$L18="Not applicable"),"",LEN(Data!$L18)-LEN(SUBSTITUTE(Data!$L18,"|",""))+1-IF(ISNUMBER(SEARCH("Other",Data!$L18)),1,0)-IF(ISNUMBER(SEARCH("Not applicable",Data!$L18)),1,0)+IF(AND(ISNUMBER(SEARCH("Other",Data!$L18)),Data!$M18&lt;&gt;""),1,0))</f>
        <v/>
      </c>
      <c r="G18" s="28" t="str">
        <f aca="false">IF(OR(F18="",F18=0),"NA",MIN(F18,Parameters!$C$38)/Parameters!$C$38)</f>
        <v>NA</v>
      </c>
      <c r="H18" s="15" t="str">
        <f aca="false">IF(Data!$N18="","Blank",IF(SUMPRODUCT((Parameters!$B$49:$B$53&lt;&gt;"")*ISNUMBER(SEARCH(Parameters!$B$49:$B$53,Data!$N18)))&gt;0,"CHECK: suspect URL",IF(ISNUMBER(SEARCH(Parameters!$C$46,Data!$N18)),"Contribution guide","Other page")))</f>
        <v>Blank</v>
      </c>
      <c r="I18" s="28" t="str">
        <f aca="false">IF(H18="Contribution guide",Parameters!$C$44,IF(H18="Other page",Parameters!$C$45,"NA"))</f>
        <v>NA</v>
      </c>
      <c r="J18" s="28" t="n">
        <f aca="false">IFERROR(INDEX(Parameters!$C$25:$C$28,MATCH(Data!$O18,Parameters!$B$25:$B$28,0)),"NA")</f>
        <v>1</v>
      </c>
      <c r="K18" s="28" t="n">
        <f aca="false">IFERROR(INDEX(Parameters!$C$32:$C$34,MATCH(Data!$Q18,Parameters!$B$32:$B$34,0)),"NA")</f>
        <v>0.5</v>
      </c>
      <c r="L18" s="32" t="n">
        <f aca="false">IF(AND(Coding!AF18&gt;0,ISNUMBER(B18),B18&lt;=Parameters!$C$40),1,0)</f>
        <v>0</v>
      </c>
      <c r="M18" s="32" t="n">
        <f aca="false">IF(AND(Data!$P18&lt;&gt;"",NOT(AND(ISNUMBER(J18),J18=1))),1,0)</f>
        <v>0</v>
      </c>
      <c r="N18" s="32" t="n">
        <f aca="false">IF(AND(Data!$Q18="Formal",Data!$R18=""),1,0)</f>
        <v>0</v>
      </c>
      <c r="O18" s="32" t="n">
        <f aca="false">IF(AND(Data!$Q18="",Data!$R18&lt;&gt;""),1,0)</f>
        <v>0</v>
      </c>
      <c r="P18" s="32" t="n">
        <f aca="false">IF(AND(ISNUMBER(B18),B18=1,Coding!AF18=0,OR(Data!$I18&lt;&gt;"",Data!$J18&lt;&gt;"")),1,0)</f>
        <v>0</v>
      </c>
      <c r="Q18" s="32" t="n">
        <f aca="false">IF(H18="CHECK: suspect URL",1,0)</f>
        <v>0</v>
      </c>
      <c r="R18" s="32" t="n">
        <f aca="false">IF(AND(OR(Data!$K18="Considering",Data!$K18="Not planning"),OR(AND(ISNUMBER(F18),F18&gt;0),Data!$N18&lt;&gt;"")),1,0)</f>
        <v>0</v>
      </c>
      <c r="S18" s="32" t="n">
        <f aca="false">IF(Data!$F18="",1,0)</f>
        <v>0</v>
      </c>
      <c r="T18" s="32" t="n">
        <f aca="false">SUM(L18:S18)</f>
        <v>0</v>
      </c>
      <c r="U18" s="32" t="str">
        <f aca="false">IF(ISNUMBER(F18),F18-IF(ISNUMBER(SEARCH("Contribute funds",Data!$L18)),1,0),"")</f>
        <v/>
      </c>
      <c r="V18" s="28" t="str">
        <f aca="false">IF(ISNUMBER(U18),MIN(U18,Parameters!$C$38)/Parameters!$C$38,"NA")</f>
        <v>NA</v>
      </c>
    </row>
    <row r="19" customFormat="false" ht="15" hidden="false" customHeight="true" outlineLevel="0" collapsed="false">
      <c r="A19" s="15" t="str">
        <f aca="false">Data!$A19</f>
        <v>Browsertrix</v>
      </c>
      <c r="B19" s="28" t="n">
        <f aca="false">IFERROR(INDEX(Parameters!$C$25:$C$28,MATCH(Data!$G19,Parameters!$B$25:$B$28,0)),"NA")</f>
        <v>1</v>
      </c>
      <c r="C19" s="32" t="n">
        <f aca="false">IF(Coding!AF19=0,"",Coding!AF19)</f>
        <v>1</v>
      </c>
      <c r="D19" s="28" t="n">
        <f aca="false">IF(OR(C19="",C19=0),"NA",IF(AND(Parameters!$C$39=1,ISNUMBER(B19),B19&lt;=Parameters!$C$40),0,MIN(C19,Parameters!$C$37)/Parameters!$C$37))</f>
        <v>0.125</v>
      </c>
      <c r="E19" s="28" t="n">
        <f aca="false">IF(Data!$F19="","NA",IF(SUMPRODUCT((Parameters!$B$66:$B$70&lt;&gt;"")*ISNUMBER(SEARCH(Parameters!$B$66:$B$70,Data!$F19)))&gt;0,Parameters!$C$63,Parameters!$C$64))</f>
        <v>1</v>
      </c>
      <c r="F19" s="32" t="n">
        <f aca="false">IF(OR(Data!$L19="",Data!$L19="Not applicable"),"",LEN(Data!$L19)-LEN(SUBSTITUTE(Data!$L19,"|",""))+1-IF(ISNUMBER(SEARCH("Other",Data!$L19)),1,0)-IF(ISNUMBER(SEARCH("Not applicable",Data!$L19)),1,0)+IF(AND(ISNUMBER(SEARCH("Other",Data!$L19)),Data!$M19&lt;&gt;""),1,0))</f>
        <v>2</v>
      </c>
      <c r="G19" s="28" t="n">
        <f aca="false">IF(OR(F19="",F19=0),"NA",MIN(F19,Parameters!$C$38)/Parameters!$C$38)</f>
        <v>0.333333333333333</v>
      </c>
      <c r="H19" s="15" t="str">
        <f aca="false">IF(Data!$N19="","Blank",IF(SUMPRODUCT((Parameters!$B$49:$B$53&lt;&gt;"")*ISNUMBER(SEARCH(Parameters!$B$49:$B$53,Data!$N19)))&gt;0,"CHECK: suspect URL",IF(ISNUMBER(SEARCH(Parameters!$C$46,Data!$N19)),"Contribution guide","Other page")))</f>
        <v>Blank</v>
      </c>
      <c r="I19" s="28" t="str">
        <f aca="false">IF(H19="Contribution guide",Parameters!$C$44,IF(H19="Other page",Parameters!$C$45,"NA"))</f>
        <v>NA</v>
      </c>
      <c r="J19" s="28" t="n">
        <f aca="false">IFERROR(INDEX(Parameters!$C$25:$C$28,MATCH(Data!$O19,Parameters!$B$25:$B$28,0)),"NA")</f>
        <v>1</v>
      </c>
      <c r="K19" s="28" t="str">
        <f aca="false">IFERROR(INDEX(Parameters!$C$32:$C$34,MATCH(Data!$Q19,Parameters!$B$32:$B$34,0)),"NA")</f>
        <v>NA</v>
      </c>
      <c r="L19" s="32" t="n">
        <f aca="false">IF(AND(Coding!AF19&gt;0,ISNUMBER(B19),B19&lt;=Parameters!$C$40),1,0)</f>
        <v>0</v>
      </c>
      <c r="M19" s="32" t="n">
        <f aca="false">IF(AND(Data!$P19&lt;&gt;"",NOT(AND(ISNUMBER(J19),J19=1))),1,0)</f>
        <v>0</v>
      </c>
      <c r="N19" s="32" t="n">
        <f aca="false">IF(AND(Data!$Q19="Formal",Data!$R19=""),1,0)</f>
        <v>0</v>
      </c>
      <c r="O19" s="32" t="n">
        <f aca="false">IF(AND(Data!$Q19="",Data!$R19&lt;&gt;""),1,0)</f>
        <v>0</v>
      </c>
      <c r="P19" s="32" t="n">
        <f aca="false">IF(AND(ISNUMBER(B19),B19=1,Coding!AF19=0,OR(Data!$I19&lt;&gt;"",Data!$J19&lt;&gt;"")),1,0)</f>
        <v>0</v>
      </c>
      <c r="Q19" s="32" t="n">
        <f aca="false">IF(H19="CHECK: suspect URL",1,0)</f>
        <v>0</v>
      </c>
      <c r="R19" s="32" t="n">
        <f aca="false">IF(AND(OR(Data!$K19="Considering",Data!$K19="Not planning"),OR(AND(ISNUMBER(F19),F19&gt;0),Data!$N19&lt;&gt;"")),1,0)</f>
        <v>0</v>
      </c>
      <c r="S19" s="32" t="n">
        <f aca="false">IF(Data!$F19="",1,0)</f>
        <v>0</v>
      </c>
      <c r="T19" s="32" t="n">
        <f aca="false">SUM(L19:S19)</f>
        <v>0</v>
      </c>
      <c r="U19" s="32" t="n">
        <f aca="false">IF(ISNUMBER(F19),F19-IF(ISNUMBER(SEARCH("Contribute funds",Data!$L19)),1,0),"")</f>
        <v>2</v>
      </c>
      <c r="V19" s="28" t="n">
        <f aca="false">IF(ISNUMBER(U19),MIN(U19,Parameters!$C$38)/Parameters!$C$38,"NA")</f>
        <v>0.333333333333333</v>
      </c>
    </row>
    <row r="20" customFormat="false" ht="15" hidden="false" customHeight="true" outlineLevel="0" collapsed="false">
      <c r="A20" s="15" t="str">
        <f aca="false">Data!$A20</f>
        <v>CLOCKSS</v>
      </c>
      <c r="B20" s="28" t="n">
        <f aca="false">IFERROR(INDEX(Parameters!$C$25:$C$28,MATCH(Data!$G20,Parameters!$B$25:$B$28,0)),"NA")</f>
        <v>1</v>
      </c>
      <c r="C20" s="32" t="str">
        <f aca="false">IF(Coding!AF20=0,"",Coding!AF20)</f>
        <v/>
      </c>
      <c r="D20" s="28" t="str">
        <f aca="false">IF(OR(C20="",C20=0),"NA",IF(AND(Parameters!$C$39=1,ISNUMBER(B20),B20&lt;=Parameters!$C$40),0,MIN(C20,Parameters!$C$37)/Parameters!$C$37))</f>
        <v>NA</v>
      </c>
      <c r="E20" s="28" t="n">
        <f aca="false">IF(Data!$F20="","NA",IF(SUMPRODUCT((Parameters!$B$66:$B$70&lt;&gt;"")*ISNUMBER(SEARCH(Parameters!$B$66:$B$70,Data!$F20)))&gt;0,Parameters!$C$63,Parameters!$C$64))</f>
        <v>1</v>
      </c>
      <c r="F20" s="32" t="str">
        <f aca="false">IF(OR(Data!$L20="",Data!$L20="Not applicable"),"",LEN(Data!$L20)-LEN(SUBSTITUTE(Data!$L20,"|",""))+1-IF(ISNUMBER(SEARCH("Other",Data!$L20)),1,0)-IF(ISNUMBER(SEARCH("Not applicable",Data!$L20)),1,0)+IF(AND(ISNUMBER(SEARCH("Other",Data!$L20)),Data!$M20&lt;&gt;""),1,0))</f>
        <v/>
      </c>
      <c r="G20" s="28" t="str">
        <f aca="false">IF(OR(F20="",F20=0),"NA",MIN(F20,Parameters!$C$38)/Parameters!$C$38)</f>
        <v>NA</v>
      </c>
      <c r="H20" s="15" t="str">
        <f aca="false">IF(Data!$N20="","Blank",IF(SUMPRODUCT((Parameters!$B$49:$B$53&lt;&gt;"")*ISNUMBER(SEARCH(Parameters!$B$49:$B$53,Data!$N20)))&gt;0,"CHECK: suspect URL",IF(ISNUMBER(SEARCH(Parameters!$C$46,Data!$N20)),"Contribution guide","Other page")))</f>
        <v>Blank</v>
      </c>
      <c r="I20" s="28" t="str">
        <f aca="false">IF(H20="Contribution guide",Parameters!$C$44,IF(H20="Other page",Parameters!$C$45,"NA"))</f>
        <v>NA</v>
      </c>
      <c r="J20" s="28" t="n">
        <f aca="false">IFERROR(INDEX(Parameters!$C$25:$C$28,MATCH(Data!$O20,Parameters!$B$25:$B$28,0)),"NA")</f>
        <v>0.33</v>
      </c>
      <c r="K20" s="28" t="n">
        <f aca="false">IFERROR(INDEX(Parameters!$C$32:$C$34,MATCH(Data!$Q20,Parameters!$B$32:$B$34,0)),"NA")</f>
        <v>1</v>
      </c>
      <c r="L20" s="32" t="n">
        <f aca="false">IF(AND(Coding!AF20&gt;0,ISNUMBER(B20),B20&lt;=Parameters!$C$40),1,0)</f>
        <v>0</v>
      </c>
      <c r="M20" s="32" t="n">
        <f aca="false">IF(AND(Data!$P20&lt;&gt;"",NOT(AND(ISNUMBER(J20),J20=1))),1,0)</f>
        <v>0</v>
      </c>
      <c r="N20" s="32" t="n">
        <f aca="false">IF(AND(Data!$Q20="Formal",Data!$R20=""),1,0)</f>
        <v>0</v>
      </c>
      <c r="O20" s="32" t="n">
        <f aca="false">IF(AND(Data!$Q20="",Data!$R20&lt;&gt;""),1,0)</f>
        <v>0</v>
      </c>
      <c r="P20" s="32" t="n">
        <f aca="false">IF(AND(ISNUMBER(B20),B20=1,Coding!AF20=0,OR(Data!$I20&lt;&gt;"",Data!$J20&lt;&gt;"")),1,0)</f>
        <v>1</v>
      </c>
      <c r="Q20" s="32" t="n">
        <f aca="false">IF(H20="CHECK: suspect URL",1,0)</f>
        <v>0</v>
      </c>
      <c r="R20" s="32" t="n">
        <f aca="false">IF(AND(OR(Data!$K20="Considering",Data!$K20="Not planning"),OR(AND(ISNUMBER(F20),F20&gt;0),Data!$N20&lt;&gt;"")),1,0)</f>
        <v>0</v>
      </c>
      <c r="S20" s="32" t="n">
        <f aca="false">IF(Data!$F20="",1,0)</f>
        <v>0</v>
      </c>
      <c r="T20" s="32" t="n">
        <f aca="false">SUM(L20:S20)</f>
        <v>1</v>
      </c>
      <c r="U20" s="32" t="str">
        <f aca="false">IF(ISNUMBER(F20),F20-IF(ISNUMBER(SEARCH("Contribute funds",Data!$L20)),1,0),"")</f>
        <v/>
      </c>
      <c r="V20" s="28" t="str">
        <f aca="false">IF(ISNUMBER(U20),MIN(U20,Parameters!$C$38)/Parameters!$C$38,"NA")</f>
        <v>NA</v>
      </c>
    </row>
    <row r="21" customFormat="false" ht="15" hidden="false" customHeight="true" outlineLevel="0" collapsed="false">
      <c r="A21" s="15" t="str">
        <f aca="false">Data!$A21</f>
        <v>COAR International Repository Directory (IRD)</v>
      </c>
      <c r="B21" s="28" t="n">
        <f aca="false">IFERROR(INDEX(Parameters!$C$25:$C$28,MATCH(Data!$G21,Parameters!$B$25:$B$28,0)),"NA")</f>
        <v>1</v>
      </c>
      <c r="C21" s="32" t="n">
        <f aca="false">IF(Coding!AF21=0,"",Coding!AF21)</f>
        <v>4</v>
      </c>
      <c r="D21" s="28" t="n">
        <f aca="false">IF(OR(C21="",C21=0),"NA",IF(AND(Parameters!$C$39=1,ISNUMBER(B21),B21&lt;=Parameters!$C$40),0,MIN(C21,Parameters!$C$37)/Parameters!$C$37))</f>
        <v>0.5</v>
      </c>
      <c r="E21" s="28" t="n">
        <f aca="false">IF(Data!$F21="","NA",IF(SUMPRODUCT((Parameters!$B$66:$B$70&lt;&gt;"")*ISNUMBER(SEARCH(Parameters!$B$66:$B$70,Data!$F21)))&gt;0,Parameters!$C$63,Parameters!$C$64))</f>
        <v>1</v>
      </c>
      <c r="F21" s="32" t="n">
        <f aca="false">IF(OR(Data!$L21="",Data!$L21="Not applicable"),"",LEN(Data!$L21)-LEN(SUBSTITUTE(Data!$L21,"|",""))+1-IF(ISNUMBER(SEARCH("Other",Data!$L21)),1,0)-IF(ISNUMBER(SEARCH("Not applicable",Data!$L21)),1,0)+IF(AND(ISNUMBER(SEARCH("Other",Data!$L21)),Data!$M21&lt;&gt;""),1,0))</f>
        <v>2</v>
      </c>
      <c r="G21" s="28" t="n">
        <f aca="false">IF(OR(F21="",F21=0),"NA",MIN(F21,Parameters!$C$38)/Parameters!$C$38)</f>
        <v>0.333333333333333</v>
      </c>
      <c r="H21" s="15" t="str">
        <f aca="false">IF(Data!$N21="","Blank",IF(SUMPRODUCT((Parameters!$B$49:$B$53&lt;&gt;"")*ISNUMBER(SEARCH(Parameters!$B$49:$B$53,Data!$N21)))&gt;0,"CHECK: suspect URL",IF(ISNUMBER(SEARCH(Parameters!$C$46,Data!$N21)),"Contribution guide","Other page")))</f>
        <v>Other page</v>
      </c>
      <c r="I21" s="28" t="n">
        <f aca="false">IF(H21="Contribution guide",Parameters!$C$44,IF(H21="Other page",Parameters!$C$45,"NA"))</f>
        <v>0.5</v>
      </c>
      <c r="J21" s="28" t="n">
        <f aca="false">IFERROR(INDEX(Parameters!$C$25:$C$28,MATCH(Data!$O21,Parameters!$B$25:$B$28,0)),"NA")</f>
        <v>0.67</v>
      </c>
      <c r="K21" s="28" t="n">
        <f aca="false">IFERROR(INDEX(Parameters!$C$32:$C$34,MATCH(Data!$Q21,Parameters!$B$32:$B$34,0)),"NA")</f>
        <v>0.5</v>
      </c>
      <c r="L21" s="32" t="n">
        <f aca="false">IF(AND(Coding!AF21&gt;0,ISNUMBER(B21),B21&lt;=Parameters!$C$40),1,0)</f>
        <v>0</v>
      </c>
      <c r="M21" s="32" t="n">
        <f aca="false">IF(AND(Data!$P21&lt;&gt;"",NOT(AND(ISNUMBER(J21),J21=1))),1,0)</f>
        <v>0</v>
      </c>
      <c r="N21" s="32" t="n">
        <f aca="false">IF(AND(Data!$Q21="Formal",Data!$R21=""),1,0)</f>
        <v>0</v>
      </c>
      <c r="O21" s="32" t="n">
        <f aca="false">IF(AND(Data!$Q21="",Data!$R21&lt;&gt;""),1,0)</f>
        <v>0</v>
      </c>
      <c r="P21" s="32" t="n">
        <f aca="false">IF(AND(ISNUMBER(B21),B21=1,Coding!AF21=0,OR(Data!$I21&lt;&gt;"",Data!$J21&lt;&gt;"")),1,0)</f>
        <v>0</v>
      </c>
      <c r="Q21" s="32" t="n">
        <f aca="false">IF(H21="CHECK: suspect URL",1,0)</f>
        <v>0</v>
      </c>
      <c r="R21" s="32" t="n">
        <f aca="false">IF(AND(OR(Data!$K21="Considering",Data!$K21="Not planning"),OR(AND(ISNUMBER(F21),F21&gt;0),Data!$N21&lt;&gt;"")),1,0)</f>
        <v>0</v>
      </c>
      <c r="S21" s="32" t="n">
        <f aca="false">IF(Data!$F21="",1,0)</f>
        <v>0</v>
      </c>
      <c r="T21" s="32" t="n">
        <f aca="false">SUM(L21:S21)</f>
        <v>0</v>
      </c>
      <c r="U21" s="32" t="n">
        <f aca="false">IF(ISNUMBER(F21),F21-IF(ISNUMBER(SEARCH("Contribute funds",Data!$L21)),1,0),"")</f>
        <v>2</v>
      </c>
      <c r="V21" s="28" t="n">
        <f aca="false">IF(ISNUMBER(U21),MIN(U21,Parameters!$C$38)/Parameters!$C$38,"NA")</f>
        <v>0.333333333333333</v>
      </c>
    </row>
    <row r="22" customFormat="false" ht="15" hidden="false" customHeight="true" outlineLevel="0" collapsed="false">
      <c r="A22" s="15" t="str">
        <f aca="false">Data!$A22</f>
        <v>COAR Notify</v>
      </c>
      <c r="B22" s="28" t="n">
        <f aca="false">IFERROR(INDEX(Parameters!$C$25:$C$28,MATCH(Data!$G22,Parameters!$B$25:$B$28,0)),"NA")</f>
        <v>1</v>
      </c>
      <c r="C22" s="32" t="n">
        <f aca="false">IF(Coding!AF22=0,"",Coding!AF22)</f>
        <v>5</v>
      </c>
      <c r="D22" s="28" t="n">
        <f aca="false">IF(OR(C22="",C22=0),"NA",IF(AND(Parameters!$C$39=1,ISNUMBER(B22),B22&lt;=Parameters!$C$40),0,MIN(C22,Parameters!$C$37)/Parameters!$C$37))</f>
        <v>0.625</v>
      </c>
      <c r="E22" s="28" t="n">
        <f aca="false">IF(Data!$F22="","NA",IF(SUMPRODUCT((Parameters!$B$66:$B$70&lt;&gt;"")*ISNUMBER(SEARCH(Parameters!$B$66:$B$70,Data!$F22)))&gt;0,Parameters!$C$63,Parameters!$C$64))</f>
        <v>1</v>
      </c>
      <c r="F22" s="32" t="n">
        <f aca="false">IF(OR(Data!$L22="",Data!$L22="Not applicable"),"",LEN(Data!$L22)-LEN(SUBSTITUTE(Data!$L22,"|",""))+1-IF(ISNUMBER(SEARCH("Other",Data!$L22)),1,0)-IF(ISNUMBER(SEARCH("Not applicable",Data!$L22)),1,0)+IF(AND(ISNUMBER(SEARCH("Other",Data!$L22)),Data!$M22&lt;&gt;""),1,0))</f>
        <v>5</v>
      </c>
      <c r="G22" s="28" t="n">
        <f aca="false">IF(OR(F22="",F22=0),"NA",MIN(F22,Parameters!$C$38)/Parameters!$C$38)</f>
        <v>0.833333333333333</v>
      </c>
      <c r="H22" s="15" t="str">
        <f aca="false">IF(Data!$N22="","Blank",IF(SUMPRODUCT((Parameters!$B$49:$B$53&lt;&gt;"")*ISNUMBER(SEARCH(Parameters!$B$49:$B$53,Data!$N22)))&gt;0,"CHECK: suspect URL",IF(ISNUMBER(SEARCH(Parameters!$C$46,Data!$N22)),"Contribution guide","Other page")))</f>
        <v>Other page</v>
      </c>
      <c r="I22" s="28" t="n">
        <f aca="false">IF(H22="Contribution guide",Parameters!$C$44,IF(H22="Other page",Parameters!$C$45,"NA"))</f>
        <v>0.5</v>
      </c>
      <c r="J22" s="28" t="n">
        <f aca="false">IFERROR(INDEX(Parameters!$C$25:$C$28,MATCH(Data!$O22,Parameters!$B$25:$B$28,0)),"NA")</f>
        <v>0.33</v>
      </c>
      <c r="K22" s="28" t="n">
        <f aca="false">IFERROR(INDEX(Parameters!$C$32:$C$34,MATCH(Data!$Q22,Parameters!$B$32:$B$34,0)),"NA")</f>
        <v>0.5</v>
      </c>
      <c r="L22" s="32" t="n">
        <f aca="false">IF(AND(Coding!AF22&gt;0,ISNUMBER(B22),B22&lt;=Parameters!$C$40),1,0)</f>
        <v>0</v>
      </c>
      <c r="M22" s="32" t="n">
        <f aca="false">IF(AND(Data!$P22&lt;&gt;"",NOT(AND(ISNUMBER(J22),J22=1))),1,0)</f>
        <v>0</v>
      </c>
      <c r="N22" s="32" t="n">
        <f aca="false">IF(AND(Data!$Q22="Formal",Data!$R22=""),1,0)</f>
        <v>0</v>
      </c>
      <c r="O22" s="32" t="n">
        <f aca="false">IF(AND(Data!$Q22="",Data!$R22&lt;&gt;""),1,0)</f>
        <v>0</v>
      </c>
      <c r="P22" s="32" t="n">
        <f aca="false">IF(AND(ISNUMBER(B22),B22=1,Coding!AF22=0,OR(Data!$I22&lt;&gt;"",Data!$J22&lt;&gt;"")),1,0)</f>
        <v>0</v>
      </c>
      <c r="Q22" s="32" t="n">
        <f aca="false">IF(H22="CHECK: suspect URL",1,0)</f>
        <v>0</v>
      </c>
      <c r="R22" s="32" t="n">
        <f aca="false">IF(AND(OR(Data!$K22="Considering",Data!$K22="Not planning"),OR(AND(ISNUMBER(F22),F22&gt;0),Data!$N22&lt;&gt;"")),1,0)</f>
        <v>0</v>
      </c>
      <c r="S22" s="32" t="n">
        <f aca="false">IF(Data!$F22="",1,0)</f>
        <v>0</v>
      </c>
      <c r="T22" s="32" t="n">
        <f aca="false">SUM(L22:S22)</f>
        <v>0</v>
      </c>
      <c r="U22" s="32" t="n">
        <f aca="false">IF(ISNUMBER(F22),F22-IF(ISNUMBER(SEARCH("Contribute funds",Data!$L22)),1,0),"")</f>
        <v>5</v>
      </c>
      <c r="V22" s="28" t="n">
        <f aca="false">IF(ISNUMBER(U22),MIN(U22,Parameters!$C$38)/Parameters!$C$38,"NA")</f>
        <v>0.833333333333333</v>
      </c>
    </row>
    <row r="23" customFormat="false" ht="15" hidden="false" customHeight="true" outlineLevel="0" collapsed="false">
      <c r="A23" s="15" t="str">
        <f aca="false">Data!$A23</f>
        <v>CollectiveAccess</v>
      </c>
      <c r="B23" s="28" t="n">
        <f aca="false">IFERROR(INDEX(Parameters!$C$25:$C$28,MATCH(Data!$G23,Parameters!$B$25:$B$28,0)),"NA")</f>
        <v>1</v>
      </c>
      <c r="C23" s="32" t="str">
        <f aca="false">IF(Coding!AF23=0,"",Coding!AF23)</f>
        <v/>
      </c>
      <c r="D23" s="28" t="str">
        <f aca="false">IF(OR(C23="",C23=0),"NA",IF(AND(Parameters!$C$39=1,ISNUMBER(B23),B23&lt;=Parameters!$C$40),0,MIN(C23,Parameters!$C$37)/Parameters!$C$37))</f>
        <v>NA</v>
      </c>
      <c r="E23" s="28" t="n">
        <f aca="false">IF(Data!$F23="","NA",IF(SUMPRODUCT((Parameters!$B$66:$B$70&lt;&gt;"")*ISNUMBER(SEARCH(Parameters!$B$66:$B$70,Data!$F23)))&gt;0,Parameters!$C$63,Parameters!$C$64))</f>
        <v>1</v>
      </c>
      <c r="F23" s="32" t="str">
        <f aca="false">IF(OR(Data!$L23="",Data!$L23="Not applicable"),"",LEN(Data!$L23)-LEN(SUBSTITUTE(Data!$L23,"|",""))+1-IF(ISNUMBER(SEARCH("Other",Data!$L23)),1,0)-IF(ISNUMBER(SEARCH("Not applicable",Data!$L23)),1,0)+IF(AND(ISNUMBER(SEARCH("Other",Data!$L23)),Data!$M23&lt;&gt;""),1,0))</f>
        <v/>
      </c>
      <c r="G23" s="28" t="str">
        <f aca="false">IF(OR(F23="",F23=0),"NA",MIN(F23,Parameters!$C$38)/Parameters!$C$38)</f>
        <v>NA</v>
      </c>
      <c r="H23" s="15" t="str">
        <f aca="false">IF(Data!$N23="","Blank",IF(SUMPRODUCT((Parameters!$B$49:$B$53&lt;&gt;"")*ISNUMBER(SEARCH(Parameters!$B$49:$B$53,Data!$N23)))&gt;0,"CHECK: suspect URL",IF(ISNUMBER(SEARCH(Parameters!$C$46,Data!$N23)),"Contribution guide","Other page")))</f>
        <v>Other page</v>
      </c>
      <c r="I23" s="28" t="n">
        <f aca="false">IF(H23="Contribution guide",Parameters!$C$44,IF(H23="Other page",Parameters!$C$45,"NA"))</f>
        <v>0.5</v>
      </c>
      <c r="J23" s="28" t="str">
        <f aca="false">IFERROR(INDEX(Parameters!$C$25:$C$28,MATCH(Data!$O23,Parameters!$B$25:$B$28,0)),"NA")</f>
        <v>NA</v>
      </c>
      <c r="K23" s="28" t="n">
        <f aca="false">IFERROR(INDEX(Parameters!$C$32:$C$34,MATCH(Data!$Q23,Parameters!$B$32:$B$34,0)),"NA")</f>
        <v>0.5</v>
      </c>
      <c r="L23" s="32" t="n">
        <f aca="false">IF(AND(Coding!AF23&gt;0,ISNUMBER(B23),B23&lt;=Parameters!$C$40),1,0)</f>
        <v>0</v>
      </c>
      <c r="M23" s="32" t="n">
        <f aca="false">IF(AND(Data!$P23&lt;&gt;"",NOT(AND(ISNUMBER(J23),J23=1))),1,0)</f>
        <v>1</v>
      </c>
      <c r="N23" s="32" t="n">
        <f aca="false">IF(AND(Data!$Q23="Formal",Data!$R23=""),1,0)</f>
        <v>0</v>
      </c>
      <c r="O23" s="32" t="n">
        <f aca="false">IF(AND(Data!$Q23="",Data!$R23&lt;&gt;""),1,0)</f>
        <v>0</v>
      </c>
      <c r="P23" s="32" t="n">
        <f aca="false">IF(AND(ISNUMBER(B23),B23=1,Coding!AF23=0,OR(Data!$I23&lt;&gt;"",Data!$J23&lt;&gt;"")),1,0)</f>
        <v>1</v>
      </c>
      <c r="Q23" s="32" t="n">
        <f aca="false">IF(H23="CHECK: suspect URL",1,0)</f>
        <v>0</v>
      </c>
      <c r="R23" s="32" t="n">
        <f aca="false">IF(AND(OR(Data!$K23="Considering",Data!$K23="Not planning"),OR(AND(ISNUMBER(F23),F23&gt;0),Data!$N23&lt;&gt;"")),1,0)</f>
        <v>0</v>
      </c>
      <c r="S23" s="32" t="n">
        <f aca="false">IF(Data!$F23="",1,0)</f>
        <v>0</v>
      </c>
      <c r="T23" s="32" t="n">
        <f aca="false">SUM(L23:S23)</f>
        <v>2</v>
      </c>
      <c r="U23" s="32" t="str">
        <f aca="false">IF(ISNUMBER(F23),F23-IF(ISNUMBER(SEARCH("Contribute funds",Data!$L23)),1,0),"")</f>
        <v/>
      </c>
      <c r="V23" s="28" t="str">
        <f aca="false">IF(ISNUMBER(U23),MIN(U23,Parameters!$C$38)/Parameters!$C$38,"NA")</f>
        <v>NA</v>
      </c>
    </row>
    <row r="24" customFormat="false" ht="15" hidden="false" customHeight="true" outlineLevel="0" collapsed="false">
      <c r="A24" s="15" t="str">
        <f aca="false">Data!$A24</f>
        <v>CORE</v>
      </c>
      <c r="B24" s="28" t="n">
        <f aca="false">IFERROR(INDEX(Parameters!$C$25:$C$28,MATCH(Data!$G24,Parameters!$B$25:$B$28,0)),"NA")</f>
        <v>1</v>
      </c>
      <c r="C24" s="32" t="str">
        <f aca="false">IF(Coding!AF24=0,"",Coding!AF24)</f>
        <v/>
      </c>
      <c r="D24" s="28" t="str">
        <f aca="false">IF(OR(C24="",C24=0),"NA",IF(AND(Parameters!$C$39=1,ISNUMBER(B24),B24&lt;=Parameters!$C$40),0,MIN(C24,Parameters!$C$37)/Parameters!$C$37))</f>
        <v>NA</v>
      </c>
      <c r="E24" s="28" t="n">
        <f aca="false">IF(Data!$F24="","NA",IF(SUMPRODUCT((Parameters!$B$66:$B$70&lt;&gt;"")*ISNUMBER(SEARCH(Parameters!$B$66:$B$70,Data!$F24)))&gt;0,Parameters!$C$63,Parameters!$C$64))</f>
        <v>1</v>
      </c>
      <c r="F24" s="32" t="n">
        <f aca="false">IF(OR(Data!$L24="",Data!$L24="Not applicable"),"",LEN(Data!$L24)-LEN(SUBSTITUTE(Data!$L24,"|",""))+1-IF(ISNUMBER(SEARCH("Other",Data!$L24)),1,0)-IF(ISNUMBER(SEARCH("Not applicable",Data!$L24)),1,0)+IF(AND(ISNUMBER(SEARCH("Other",Data!$L24)),Data!$M24&lt;&gt;""),1,0))</f>
        <v>3</v>
      </c>
      <c r="G24" s="28" t="n">
        <f aca="false">IF(OR(F24="",F24=0),"NA",MIN(F24,Parameters!$C$38)/Parameters!$C$38)</f>
        <v>0.5</v>
      </c>
      <c r="H24" s="15" t="str">
        <f aca="false">IF(Data!$N24="","Blank",IF(SUMPRODUCT((Parameters!$B$49:$B$53&lt;&gt;"")*ISNUMBER(SEARCH(Parameters!$B$49:$B$53,Data!$N24)))&gt;0,"CHECK: suspect URL",IF(ISNUMBER(SEARCH(Parameters!$C$46,Data!$N24)),"Contribution guide","Other page")))</f>
        <v>Other page</v>
      </c>
      <c r="I24" s="28" t="n">
        <f aca="false">IF(H24="Contribution guide",Parameters!$C$44,IF(H24="Other page",Parameters!$C$45,"NA"))</f>
        <v>0.5</v>
      </c>
      <c r="J24" s="28" t="n">
        <f aca="false">IFERROR(INDEX(Parameters!$C$25:$C$28,MATCH(Data!$O24,Parameters!$B$25:$B$28,0)),"NA")</f>
        <v>1</v>
      </c>
      <c r="K24" s="28" t="n">
        <f aca="false">IFERROR(INDEX(Parameters!$C$32:$C$34,MATCH(Data!$Q24,Parameters!$B$32:$B$34,0)),"NA")</f>
        <v>1</v>
      </c>
      <c r="L24" s="32" t="n">
        <f aca="false">IF(AND(Coding!AF24&gt;0,ISNUMBER(B24),B24&lt;=Parameters!$C$40),1,0)</f>
        <v>0</v>
      </c>
      <c r="M24" s="32" t="n">
        <f aca="false">IF(AND(Data!$P24&lt;&gt;"",NOT(AND(ISNUMBER(J24),J24=1))),1,0)</f>
        <v>0</v>
      </c>
      <c r="N24" s="32" t="n">
        <f aca="false">IF(AND(Data!$Q24="Formal",Data!$R24=""),1,0)</f>
        <v>0</v>
      </c>
      <c r="O24" s="32" t="n">
        <f aca="false">IF(AND(Data!$Q24="",Data!$R24&lt;&gt;""),1,0)</f>
        <v>0</v>
      </c>
      <c r="P24" s="32" t="n">
        <f aca="false">IF(AND(ISNUMBER(B24),B24=1,Coding!AF24=0,OR(Data!$I24&lt;&gt;"",Data!$J24&lt;&gt;"")),1,0)</f>
        <v>1</v>
      </c>
      <c r="Q24" s="32" t="n">
        <f aca="false">IF(H24="CHECK: suspect URL",1,0)</f>
        <v>0</v>
      </c>
      <c r="R24" s="32" t="n">
        <f aca="false">IF(AND(OR(Data!$K24="Considering",Data!$K24="Not planning"),OR(AND(ISNUMBER(F24),F24&gt;0),Data!$N24&lt;&gt;"")),1,0)</f>
        <v>0</v>
      </c>
      <c r="S24" s="32" t="n">
        <f aca="false">IF(Data!$F24="",1,0)</f>
        <v>0</v>
      </c>
      <c r="T24" s="32" t="n">
        <f aca="false">SUM(L24:S24)</f>
        <v>1</v>
      </c>
      <c r="U24" s="32" t="n">
        <f aca="false">IF(ISNUMBER(F24),F24-IF(ISNUMBER(SEARCH("Contribute funds",Data!$L24)),1,0),"")</f>
        <v>2</v>
      </c>
      <c r="V24" s="28" t="n">
        <f aca="false">IF(ISNUMBER(U24),MIN(U24,Parameters!$C$38)/Parameters!$C$38,"NA")</f>
        <v>0.333333333333333</v>
      </c>
    </row>
    <row r="25" customFormat="false" ht="15" hidden="false" customHeight="true" outlineLevel="0" collapsed="false">
      <c r="A25" s="15" t="str">
        <f aca="false">Data!$A25</f>
        <v>COUNTER Code of Practice</v>
      </c>
      <c r="B25" s="28" t="n">
        <f aca="false">IFERROR(INDEX(Parameters!$C$25:$C$28,MATCH(Data!$G25,Parameters!$B$25:$B$28,0)),"NA")</f>
        <v>1</v>
      </c>
      <c r="C25" s="32" t="n">
        <f aca="false">IF(Coding!AF25=0,"",Coding!AF25)</f>
        <v>8</v>
      </c>
      <c r="D25" s="28" t="n">
        <f aca="false">IF(OR(C25="",C25=0),"NA",IF(AND(Parameters!$C$39=1,ISNUMBER(B25),B25&lt;=Parameters!$C$40),0,MIN(C25,Parameters!$C$37)/Parameters!$C$37))</f>
        <v>1</v>
      </c>
      <c r="E25" s="28" t="n">
        <f aca="false">IF(Data!$F25="","NA",IF(SUMPRODUCT((Parameters!$B$66:$B$70&lt;&gt;"")*ISNUMBER(SEARCH(Parameters!$B$66:$B$70,Data!$F25)))&gt;0,Parameters!$C$63,Parameters!$C$64))</f>
        <v>0.5</v>
      </c>
      <c r="F25" s="32" t="n">
        <f aca="false">IF(OR(Data!$L25="",Data!$L25="Not applicable"),"",LEN(Data!$L25)-LEN(SUBSTITUTE(Data!$L25,"|",""))+1-IF(ISNUMBER(SEARCH("Other",Data!$L25)),1,0)-IF(ISNUMBER(SEARCH("Not applicable",Data!$L25)),1,0)+IF(AND(ISNUMBER(SEARCH("Other",Data!$L25)),Data!$M25&lt;&gt;""),1,0))</f>
        <v>5</v>
      </c>
      <c r="G25" s="28" t="n">
        <f aca="false">IF(OR(F25="",F25=0),"NA",MIN(F25,Parameters!$C$38)/Parameters!$C$38)</f>
        <v>0.833333333333333</v>
      </c>
      <c r="H25" s="15" t="str">
        <f aca="false">IF(Data!$N25="","Blank",IF(SUMPRODUCT((Parameters!$B$49:$B$53&lt;&gt;"")*ISNUMBER(SEARCH(Parameters!$B$49:$B$53,Data!$N25)))&gt;0,"CHECK: suspect URL",IF(ISNUMBER(SEARCH(Parameters!$C$46,Data!$N25)),"Contribution guide","Other page")))</f>
        <v>Other page</v>
      </c>
      <c r="I25" s="28" t="n">
        <f aca="false">IF(H25="Contribution guide",Parameters!$C$44,IF(H25="Other page",Parameters!$C$45,"NA"))</f>
        <v>0.5</v>
      </c>
      <c r="J25" s="28" t="n">
        <f aca="false">IFERROR(INDEX(Parameters!$C$25:$C$28,MATCH(Data!$O25,Parameters!$B$25:$B$28,0)),"NA")</f>
        <v>1</v>
      </c>
      <c r="K25" s="28" t="n">
        <f aca="false">IFERROR(INDEX(Parameters!$C$32:$C$34,MATCH(Data!$Q25,Parameters!$B$32:$B$34,0)),"NA")</f>
        <v>1</v>
      </c>
      <c r="L25" s="32" t="n">
        <f aca="false">IF(AND(Coding!AF25&gt;0,ISNUMBER(B25),B25&lt;=Parameters!$C$40),1,0)</f>
        <v>0</v>
      </c>
      <c r="M25" s="32" t="n">
        <f aca="false">IF(AND(Data!$P25&lt;&gt;"",NOT(AND(ISNUMBER(J25),J25=1))),1,0)</f>
        <v>0</v>
      </c>
      <c r="N25" s="32" t="n">
        <f aca="false">IF(AND(Data!$Q25="Formal",Data!$R25=""),1,0)</f>
        <v>0</v>
      </c>
      <c r="O25" s="32" t="n">
        <f aca="false">IF(AND(Data!$Q25="",Data!$R25&lt;&gt;""),1,0)</f>
        <v>0</v>
      </c>
      <c r="P25" s="32" t="n">
        <f aca="false">IF(AND(ISNUMBER(B25),B25=1,Coding!AF25=0,OR(Data!$I25&lt;&gt;"",Data!$J25&lt;&gt;"")),1,0)</f>
        <v>0</v>
      </c>
      <c r="Q25" s="32" t="n">
        <f aca="false">IF(H25="CHECK: suspect URL",1,0)</f>
        <v>0</v>
      </c>
      <c r="R25" s="32" t="n">
        <f aca="false">IF(AND(OR(Data!$K25="Considering",Data!$K25="Not planning"),OR(AND(ISNUMBER(F25),F25&gt;0),Data!$N25&lt;&gt;"")),1,0)</f>
        <v>0</v>
      </c>
      <c r="S25" s="32" t="n">
        <f aca="false">IF(Data!$F25="",1,0)</f>
        <v>0</v>
      </c>
      <c r="T25" s="32" t="n">
        <f aca="false">SUM(L25:S25)</f>
        <v>0</v>
      </c>
      <c r="U25" s="32" t="n">
        <f aca="false">IF(ISNUMBER(F25),F25-IF(ISNUMBER(SEARCH("Contribute funds",Data!$L25)),1,0),"")</f>
        <v>4</v>
      </c>
      <c r="V25" s="28" t="n">
        <f aca="false">IF(ISNUMBER(U25),MIN(U25,Parameters!$C$38)/Parameters!$C$38,"NA")</f>
        <v>0.666666666666667</v>
      </c>
    </row>
    <row r="26" customFormat="false" ht="15" hidden="false" customHeight="true" outlineLevel="0" collapsed="false">
      <c r="A26" s="15" t="str">
        <f aca="false">Data!$A26</f>
        <v>Creative Commons Licenses</v>
      </c>
      <c r="B26" s="28" t="n">
        <f aca="false">IFERROR(INDEX(Parameters!$C$25:$C$28,MATCH(Data!$G26,Parameters!$B$25:$B$28,0)),"NA")</f>
        <v>1</v>
      </c>
      <c r="C26" s="32" t="n">
        <f aca="false">IF(Coding!AF26=0,"",Coding!AF26)</f>
        <v>4</v>
      </c>
      <c r="D26" s="28" t="n">
        <f aca="false">IF(OR(C26="",C26=0),"NA",IF(AND(Parameters!$C$39=1,ISNUMBER(B26),B26&lt;=Parameters!$C$40),0,MIN(C26,Parameters!$C$37)/Parameters!$C$37))</f>
        <v>0.5</v>
      </c>
      <c r="E26" s="28" t="n">
        <f aca="false">IF(Data!$F26="","NA",IF(SUMPRODUCT((Parameters!$B$66:$B$70&lt;&gt;"")*ISNUMBER(SEARCH(Parameters!$B$66:$B$70,Data!$F26)))&gt;0,Parameters!$C$63,Parameters!$C$64))</f>
        <v>1</v>
      </c>
      <c r="F26" s="32" t="n">
        <f aca="false">IF(OR(Data!$L26="",Data!$L26="Not applicable"),"",LEN(Data!$L26)-LEN(SUBSTITUTE(Data!$L26,"|",""))+1-IF(ISNUMBER(SEARCH("Other",Data!$L26)),1,0)-IF(ISNUMBER(SEARCH("Not applicable",Data!$L26)),1,0)+IF(AND(ISNUMBER(SEARCH("Other",Data!$L26)),Data!$M26&lt;&gt;""),1,0))</f>
        <v>3</v>
      </c>
      <c r="G26" s="28" t="n">
        <f aca="false">IF(OR(F26="",F26=0),"NA",MIN(F26,Parameters!$C$38)/Parameters!$C$38)</f>
        <v>0.5</v>
      </c>
      <c r="H26" s="15" t="str">
        <f aca="false">IF(Data!$N26="","Blank",IF(SUMPRODUCT((Parameters!$B$49:$B$53&lt;&gt;"")*ISNUMBER(SEARCH(Parameters!$B$49:$B$53,Data!$N26)))&gt;0,"CHECK: suspect URL",IF(ISNUMBER(SEARCH(Parameters!$C$46,Data!$N26)),"Contribution guide","Other page")))</f>
        <v>Other page</v>
      </c>
      <c r="I26" s="28" t="n">
        <f aca="false">IF(H26="Contribution guide",Parameters!$C$44,IF(H26="Other page",Parameters!$C$45,"NA"))</f>
        <v>0.5</v>
      </c>
      <c r="J26" s="28" t="n">
        <f aca="false">IFERROR(INDEX(Parameters!$C$25:$C$28,MATCH(Data!$O26,Parameters!$B$25:$B$28,0)),"NA")</f>
        <v>1</v>
      </c>
      <c r="K26" s="28" t="str">
        <f aca="false">IFERROR(INDEX(Parameters!$C$32:$C$34,MATCH(Data!$Q26,Parameters!$B$32:$B$34,0)),"NA")</f>
        <v>NA</v>
      </c>
      <c r="L26" s="32" t="n">
        <f aca="false">IF(AND(Coding!AF26&gt;0,ISNUMBER(B26),B26&lt;=Parameters!$C$40),1,0)</f>
        <v>0</v>
      </c>
      <c r="M26" s="32" t="n">
        <f aca="false">IF(AND(Data!$P26&lt;&gt;"",NOT(AND(ISNUMBER(J26),J26=1))),1,0)</f>
        <v>0</v>
      </c>
      <c r="N26" s="32" t="n">
        <f aca="false">IF(AND(Data!$Q26="Formal",Data!$R26=""),1,0)</f>
        <v>0</v>
      </c>
      <c r="O26" s="32" t="n">
        <f aca="false">IF(AND(Data!$Q26="",Data!$R26&lt;&gt;""),1,0)</f>
        <v>0</v>
      </c>
      <c r="P26" s="32" t="n">
        <f aca="false">IF(AND(ISNUMBER(B26),B26=1,Coding!AF26=0,OR(Data!$I26&lt;&gt;"",Data!$J26&lt;&gt;"")),1,0)</f>
        <v>0</v>
      </c>
      <c r="Q26" s="32" t="n">
        <f aca="false">IF(H26="CHECK: suspect URL",1,0)</f>
        <v>0</v>
      </c>
      <c r="R26" s="32" t="n">
        <f aca="false">IF(AND(OR(Data!$K26="Considering",Data!$K26="Not planning"),OR(AND(ISNUMBER(F26),F26&gt;0),Data!$N26&lt;&gt;"")),1,0)</f>
        <v>0</v>
      </c>
      <c r="S26" s="32" t="n">
        <f aca="false">IF(Data!$F26="",1,0)</f>
        <v>0</v>
      </c>
      <c r="T26" s="32" t="n">
        <f aca="false">SUM(L26:S26)</f>
        <v>0</v>
      </c>
      <c r="U26" s="32" t="n">
        <f aca="false">IF(ISNUMBER(F26),F26-IF(ISNUMBER(SEARCH("Contribute funds",Data!$L26)),1,0),"")</f>
        <v>2</v>
      </c>
      <c r="V26" s="28" t="n">
        <f aca="false">IF(ISNUMBER(U26),MIN(U26,Parameters!$C$38)/Parameters!$C$38,"NA")</f>
        <v>0.333333333333333</v>
      </c>
    </row>
    <row r="27" customFormat="false" ht="15" hidden="false" customHeight="true" outlineLevel="0" collapsed="false">
      <c r="A27" s="15" t="str">
        <f aca="false">Data!$A27</f>
        <v>Crossref Metadata Retrieval</v>
      </c>
      <c r="B27" s="28" t="n">
        <f aca="false">IFERROR(INDEX(Parameters!$C$25:$C$28,MATCH(Data!$G27,Parameters!$B$25:$B$28,0)),"NA")</f>
        <v>1</v>
      </c>
      <c r="C27" s="32" t="n">
        <f aca="false">IF(Coding!AF27=0,"",Coding!AF27)</f>
        <v>5</v>
      </c>
      <c r="D27" s="28" t="n">
        <f aca="false">IF(OR(C27="",C27=0),"NA",IF(AND(Parameters!$C$39=1,ISNUMBER(B27),B27&lt;=Parameters!$C$40),0,MIN(C27,Parameters!$C$37)/Parameters!$C$37))</f>
        <v>0.625</v>
      </c>
      <c r="E27" s="28" t="n">
        <f aca="false">IF(Data!$F27="","NA",IF(SUMPRODUCT((Parameters!$B$66:$B$70&lt;&gt;"")*ISNUMBER(SEARCH(Parameters!$B$66:$B$70,Data!$F27)))&gt;0,Parameters!$C$63,Parameters!$C$64))</f>
        <v>1</v>
      </c>
      <c r="F27" s="32" t="n">
        <f aca="false">IF(OR(Data!$L27="",Data!$L27="Not applicable"),"",LEN(Data!$L27)-LEN(SUBSTITUTE(Data!$L27,"|",""))+1-IF(ISNUMBER(SEARCH("Other",Data!$L27)),1,0)-IF(ISNUMBER(SEARCH("Not applicable",Data!$L27)),1,0)+IF(AND(ISNUMBER(SEARCH("Other",Data!$L27)),Data!$M27&lt;&gt;""),1,0))</f>
        <v>5</v>
      </c>
      <c r="G27" s="28" t="n">
        <f aca="false">IF(OR(F27="",F27=0),"NA",MIN(F27,Parameters!$C$38)/Parameters!$C$38)</f>
        <v>0.833333333333333</v>
      </c>
      <c r="H27" s="15" t="str">
        <f aca="false">IF(Data!$N27="","Blank",IF(SUMPRODUCT((Parameters!$B$49:$B$53&lt;&gt;"")*ISNUMBER(SEARCH(Parameters!$B$49:$B$53,Data!$N27)))&gt;0,"CHECK: suspect URL",IF(ISNUMBER(SEARCH(Parameters!$C$46,Data!$N27)),"Contribution guide","Other page")))</f>
        <v>Other page</v>
      </c>
      <c r="I27" s="28" t="n">
        <f aca="false">IF(H27="Contribution guide",Parameters!$C$44,IF(H27="Other page",Parameters!$C$45,"NA"))</f>
        <v>0.5</v>
      </c>
      <c r="J27" s="28" t="n">
        <f aca="false">IFERROR(INDEX(Parameters!$C$25:$C$28,MATCH(Data!$O27,Parameters!$B$25:$B$28,0)),"NA")</f>
        <v>1</v>
      </c>
      <c r="K27" s="28" t="n">
        <f aca="false">IFERROR(INDEX(Parameters!$C$32:$C$34,MATCH(Data!$Q27,Parameters!$B$32:$B$34,0)),"NA")</f>
        <v>1</v>
      </c>
      <c r="L27" s="32" t="n">
        <f aca="false">IF(AND(Coding!AF27&gt;0,ISNUMBER(B27),B27&lt;=Parameters!$C$40),1,0)</f>
        <v>0</v>
      </c>
      <c r="M27" s="32" t="n">
        <f aca="false">IF(AND(Data!$P27&lt;&gt;"",NOT(AND(ISNUMBER(J27),J27=1))),1,0)</f>
        <v>0</v>
      </c>
      <c r="N27" s="32" t="n">
        <f aca="false">IF(AND(Data!$Q27="Formal",Data!$R27=""),1,0)</f>
        <v>0</v>
      </c>
      <c r="O27" s="32" t="n">
        <f aca="false">IF(AND(Data!$Q27="",Data!$R27&lt;&gt;""),1,0)</f>
        <v>0</v>
      </c>
      <c r="P27" s="32" t="n">
        <f aca="false">IF(AND(ISNUMBER(B27),B27=1,Coding!AF27=0,OR(Data!$I27&lt;&gt;"",Data!$J27&lt;&gt;"")),1,0)</f>
        <v>0</v>
      </c>
      <c r="Q27" s="32" t="n">
        <f aca="false">IF(H27="CHECK: suspect URL",1,0)</f>
        <v>0</v>
      </c>
      <c r="R27" s="32" t="n">
        <f aca="false">IF(AND(OR(Data!$K27="Considering",Data!$K27="Not planning"),OR(AND(ISNUMBER(F27),F27&gt;0),Data!$N27&lt;&gt;"")),1,0)</f>
        <v>0</v>
      </c>
      <c r="S27" s="32" t="n">
        <f aca="false">IF(Data!$F27="",1,0)</f>
        <v>0</v>
      </c>
      <c r="T27" s="32" t="n">
        <f aca="false">SUM(L27:S27)</f>
        <v>0</v>
      </c>
      <c r="U27" s="32" t="n">
        <f aca="false">IF(ISNUMBER(F27),F27-IF(ISNUMBER(SEARCH("Contribute funds",Data!$L27)),1,0),"")</f>
        <v>4</v>
      </c>
      <c r="V27" s="28" t="n">
        <f aca="false">IF(ISNUMBER(U27),MIN(U27,Parameters!$C$38)/Parameters!$C$38,"NA")</f>
        <v>0.666666666666667</v>
      </c>
    </row>
    <row r="28" customFormat="false" ht="15" hidden="false" customHeight="true" outlineLevel="0" collapsed="false">
      <c r="A28" s="15" t="str">
        <f aca="false">Data!$A28</f>
        <v>D4Science Infrastructure</v>
      </c>
      <c r="B28" s="28" t="n">
        <f aca="false">IFERROR(INDEX(Parameters!$C$25:$C$28,MATCH(Data!$G28,Parameters!$B$25:$B$28,0)),"NA")</f>
        <v>0.33</v>
      </c>
      <c r="C28" s="32" t="str">
        <f aca="false">IF(Coding!AF28=0,"",Coding!AF28)</f>
        <v/>
      </c>
      <c r="D28" s="28" t="str">
        <f aca="false">IF(OR(C28="",C28=0),"NA",IF(AND(Parameters!$C$39=1,ISNUMBER(B28),B28&lt;=Parameters!$C$40),0,MIN(C28,Parameters!$C$37)/Parameters!$C$37))</f>
        <v>NA</v>
      </c>
      <c r="E28" s="28" t="n">
        <f aca="false">IF(Data!$F28="","NA",IF(SUMPRODUCT((Parameters!$B$66:$B$70&lt;&gt;"")*ISNUMBER(SEARCH(Parameters!$B$66:$B$70,Data!$F28)))&gt;0,Parameters!$C$63,Parameters!$C$64))</f>
        <v>0.5</v>
      </c>
      <c r="F28" s="32" t="str">
        <f aca="false">IF(OR(Data!$L28="",Data!$L28="Not applicable"),"",LEN(Data!$L28)-LEN(SUBSTITUTE(Data!$L28,"|",""))+1-IF(ISNUMBER(SEARCH("Other",Data!$L28)),1,0)-IF(ISNUMBER(SEARCH("Not applicable",Data!$L28)),1,0)+IF(AND(ISNUMBER(SEARCH("Other",Data!$L28)),Data!$M28&lt;&gt;""),1,0))</f>
        <v/>
      </c>
      <c r="G28" s="28" t="str">
        <f aca="false">IF(OR(F28="",F28=0),"NA",MIN(F28,Parameters!$C$38)/Parameters!$C$38)</f>
        <v>NA</v>
      </c>
      <c r="H28" s="15" t="str">
        <f aca="false">IF(Data!$N28="","Blank",IF(SUMPRODUCT((Parameters!$B$49:$B$53&lt;&gt;"")*ISNUMBER(SEARCH(Parameters!$B$49:$B$53,Data!$N28)))&gt;0,"CHECK: suspect URL",IF(ISNUMBER(SEARCH(Parameters!$C$46,Data!$N28)),"Contribution guide","Other page")))</f>
        <v>Blank</v>
      </c>
      <c r="I28" s="28" t="str">
        <f aca="false">IF(H28="Contribution guide",Parameters!$C$44,IF(H28="Other page",Parameters!$C$45,"NA"))</f>
        <v>NA</v>
      </c>
      <c r="J28" s="28" t="n">
        <f aca="false">IFERROR(INDEX(Parameters!$C$25:$C$28,MATCH(Data!$O28,Parameters!$B$25:$B$28,0)),"NA")</f>
        <v>0.33</v>
      </c>
      <c r="K28" s="28" t="str">
        <f aca="false">IFERROR(INDEX(Parameters!$C$32:$C$34,MATCH(Data!$Q28,Parameters!$B$32:$B$34,0)),"NA")</f>
        <v>NA</v>
      </c>
      <c r="L28" s="32" t="n">
        <f aca="false">IF(AND(Coding!AF28&gt;0,ISNUMBER(B28),B28&lt;=Parameters!$C$40),1,0)</f>
        <v>0</v>
      </c>
      <c r="M28" s="32" t="n">
        <f aca="false">IF(AND(Data!$P28&lt;&gt;"",NOT(AND(ISNUMBER(J28),J28=1))),1,0)</f>
        <v>0</v>
      </c>
      <c r="N28" s="32" t="n">
        <f aca="false">IF(AND(Data!$Q28="Formal",Data!$R28=""),1,0)</f>
        <v>0</v>
      </c>
      <c r="O28" s="32" t="n">
        <f aca="false">IF(AND(Data!$Q28="",Data!$R28&lt;&gt;""),1,0)</f>
        <v>0</v>
      </c>
      <c r="P28" s="32" t="n">
        <f aca="false">IF(AND(ISNUMBER(B28),B28=1,Coding!AF28=0,OR(Data!$I28&lt;&gt;"",Data!$J28&lt;&gt;"")),1,0)</f>
        <v>0</v>
      </c>
      <c r="Q28" s="32" t="n">
        <f aca="false">IF(H28="CHECK: suspect URL",1,0)</f>
        <v>0</v>
      </c>
      <c r="R28" s="32" t="n">
        <f aca="false">IF(AND(OR(Data!$K28="Considering",Data!$K28="Not planning"),OR(AND(ISNUMBER(F28),F28&gt;0),Data!$N28&lt;&gt;"")),1,0)</f>
        <v>0</v>
      </c>
      <c r="S28" s="32" t="n">
        <f aca="false">IF(Data!$F28="",1,0)</f>
        <v>0</v>
      </c>
      <c r="T28" s="32" t="n">
        <f aca="false">SUM(L28:S28)</f>
        <v>0</v>
      </c>
      <c r="U28" s="32" t="str">
        <f aca="false">IF(ISNUMBER(F28),F28-IF(ISNUMBER(SEARCH("Contribute funds",Data!$L28)),1,0),"")</f>
        <v/>
      </c>
      <c r="V28" s="28" t="str">
        <f aca="false">IF(ISNUMBER(U28),MIN(U28,Parameters!$C$38)/Parameters!$C$38,"NA")</f>
        <v>NA</v>
      </c>
    </row>
    <row r="29" customFormat="false" ht="15" hidden="false" customHeight="true" outlineLevel="0" collapsed="false">
      <c r="A29" s="15" t="str">
        <f aca="false">Data!$A29</f>
        <v>DART (Digital Archivist's Resource Tool)</v>
      </c>
      <c r="B29" s="28" t="n">
        <f aca="false">IFERROR(INDEX(Parameters!$C$25:$C$28,MATCH(Data!$G29,Parameters!$B$25:$B$28,0)),"NA")</f>
        <v>1</v>
      </c>
      <c r="C29" s="32" t="str">
        <f aca="false">IF(Coding!AF29=0,"",Coding!AF29)</f>
        <v/>
      </c>
      <c r="D29" s="28" t="str">
        <f aca="false">IF(OR(C29="",C29=0),"NA",IF(AND(Parameters!$C$39=1,ISNUMBER(B29),B29&lt;=Parameters!$C$40),0,MIN(C29,Parameters!$C$37)/Parameters!$C$37))</f>
        <v>NA</v>
      </c>
      <c r="E29" s="28" t="n">
        <f aca="false">IF(Data!$F29="","NA",IF(SUMPRODUCT((Parameters!$B$66:$B$70&lt;&gt;"")*ISNUMBER(SEARCH(Parameters!$B$66:$B$70,Data!$F29)))&gt;0,Parameters!$C$63,Parameters!$C$64))</f>
        <v>1</v>
      </c>
      <c r="F29" s="32" t="n">
        <f aca="false">IF(OR(Data!$L29="",Data!$L29="Not applicable"),"",LEN(Data!$L29)-LEN(SUBSTITUTE(Data!$L29,"|",""))+1-IF(ISNUMBER(SEARCH("Other",Data!$L29)),1,0)-IF(ISNUMBER(SEARCH("Not applicable",Data!$L29)),1,0)+IF(AND(ISNUMBER(SEARCH("Other",Data!$L29)),Data!$M29&lt;&gt;""),1,0))</f>
        <v>7</v>
      </c>
      <c r="G29" s="28" t="n">
        <f aca="false">IF(OR(F29="",F29=0),"NA",MIN(F29,Parameters!$C$38)/Parameters!$C$38)</f>
        <v>1</v>
      </c>
      <c r="H29" s="15" t="str">
        <f aca="false">IF(Data!$N29="","Blank",IF(SUMPRODUCT((Parameters!$B$49:$B$53&lt;&gt;"")*ISNUMBER(SEARCH(Parameters!$B$49:$B$53,Data!$N29)))&gt;0,"CHECK: suspect URL",IF(ISNUMBER(SEARCH(Parameters!$C$46,Data!$N29)),"Contribution guide","Other page")))</f>
        <v>Other page</v>
      </c>
      <c r="I29" s="28" t="n">
        <f aca="false">IF(H29="Contribution guide",Parameters!$C$44,IF(H29="Other page",Parameters!$C$45,"NA"))</f>
        <v>0.5</v>
      </c>
      <c r="J29" s="28" t="n">
        <f aca="false">IFERROR(INDEX(Parameters!$C$25:$C$28,MATCH(Data!$O29,Parameters!$B$25:$B$28,0)),"NA")</f>
        <v>0.33</v>
      </c>
      <c r="K29" s="28" t="n">
        <f aca="false">IFERROR(INDEX(Parameters!$C$32:$C$34,MATCH(Data!$Q29,Parameters!$B$32:$B$34,0)),"NA")</f>
        <v>1</v>
      </c>
      <c r="L29" s="32" t="n">
        <f aca="false">IF(AND(Coding!AF29&gt;0,ISNUMBER(B29),B29&lt;=Parameters!$C$40),1,0)</f>
        <v>0</v>
      </c>
      <c r="M29" s="32" t="n">
        <f aca="false">IF(AND(Data!$P29&lt;&gt;"",NOT(AND(ISNUMBER(J29),J29=1))),1,0)</f>
        <v>0</v>
      </c>
      <c r="N29" s="32" t="n">
        <f aca="false">IF(AND(Data!$Q29="Formal",Data!$R29=""),1,0)</f>
        <v>0</v>
      </c>
      <c r="O29" s="32" t="n">
        <f aca="false">IF(AND(Data!$Q29="",Data!$R29&lt;&gt;""),1,0)</f>
        <v>0</v>
      </c>
      <c r="P29" s="32" t="n">
        <f aca="false">IF(AND(ISNUMBER(B29),B29=1,Coding!AF29=0,OR(Data!$I29&lt;&gt;"",Data!$J29&lt;&gt;"")),1,0)</f>
        <v>1</v>
      </c>
      <c r="Q29" s="32" t="n">
        <f aca="false">IF(H29="CHECK: suspect URL",1,0)</f>
        <v>0</v>
      </c>
      <c r="R29" s="32" t="n">
        <f aca="false">IF(AND(OR(Data!$K29="Considering",Data!$K29="Not planning"),OR(AND(ISNUMBER(F29),F29&gt;0),Data!$N29&lt;&gt;"")),1,0)</f>
        <v>0</v>
      </c>
      <c r="S29" s="32" t="n">
        <f aca="false">IF(Data!$F29="",1,0)</f>
        <v>0</v>
      </c>
      <c r="T29" s="32" t="n">
        <f aca="false">SUM(L29:S29)</f>
        <v>1</v>
      </c>
      <c r="U29" s="32" t="n">
        <f aca="false">IF(ISNUMBER(F29),F29-IF(ISNUMBER(SEARCH("Contribute funds",Data!$L29)),1,0),"")</f>
        <v>6</v>
      </c>
      <c r="V29" s="28" t="n">
        <f aca="false">IF(ISNUMBER(U29),MIN(U29,Parameters!$C$38)/Parameters!$C$38,"NA")</f>
        <v>1</v>
      </c>
    </row>
    <row r="30" customFormat="false" ht="15" hidden="false" customHeight="true" outlineLevel="0" collapsed="false">
      <c r="A30" s="15" t="str">
        <f aca="false">Data!$A30</f>
        <v>Database Information System</v>
      </c>
      <c r="B30" s="28" t="n">
        <f aca="false">IFERROR(INDEX(Parameters!$C$25:$C$28,MATCH(Data!$G30,Parameters!$B$25:$B$28,0)),"NA")</f>
        <v>1</v>
      </c>
      <c r="C30" s="32" t="n">
        <f aca="false">IF(Coding!AF30=0,"",Coding!AF30)</f>
        <v>7</v>
      </c>
      <c r="D30" s="28" t="n">
        <f aca="false">IF(OR(C30="",C30=0),"NA",IF(AND(Parameters!$C$39=1,ISNUMBER(B30),B30&lt;=Parameters!$C$40),0,MIN(C30,Parameters!$C$37)/Parameters!$C$37))</f>
        <v>0.875</v>
      </c>
      <c r="E30" s="28" t="n">
        <f aca="false">IF(Data!$F30="","NA",IF(SUMPRODUCT((Parameters!$B$66:$B$70&lt;&gt;"")*ISNUMBER(SEARCH(Parameters!$B$66:$B$70,Data!$F30)))&gt;0,Parameters!$C$63,Parameters!$C$64))</f>
        <v>1</v>
      </c>
      <c r="F30" s="32" t="n">
        <f aca="false">IF(OR(Data!$L30="",Data!$L30="Not applicable"),"",LEN(Data!$L30)-LEN(SUBSTITUTE(Data!$L30,"|",""))+1-IF(ISNUMBER(SEARCH("Other",Data!$L30)),1,0)-IF(ISNUMBER(SEARCH("Not applicable",Data!$L30)),1,0)+IF(AND(ISNUMBER(SEARCH("Other",Data!$L30)),Data!$M30&lt;&gt;""),1,0))</f>
        <v>1</v>
      </c>
      <c r="G30" s="28" t="n">
        <f aca="false">IF(OR(F30="",F30=0),"NA",MIN(F30,Parameters!$C$38)/Parameters!$C$38)</f>
        <v>0.166666666666667</v>
      </c>
      <c r="H30" s="15" t="str">
        <f aca="false">IF(Data!$N30="","Blank",IF(SUMPRODUCT((Parameters!$B$49:$B$53&lt;&gt;"")*ISNUMBER(SEARCH(Parameters!$B$49:$B$53,Data!$N30)))&gt;0,"CHECK: suspect URL",IF(ISNUMBER(SEARCH(Parameters!$C$46,Data!$N30)),"Contribution guide","Other page")))</f>
        <v>Blank</v>
      </c>
      <c r="I30" s="28" t="str">
        <f aca="false">IF(H30="Contribution guide",Parameters!$C$44,IF(H30="Other page",Parameters!$C$45,"NA"))</f>
        <v>NA</v>
      </c>
      <c r="J30" s="28" t="n">
        <f aca="false">IFERROR(INDEX(Parameters!$C$25:$C$28,MATCH(Data!$O30,Parameters!$B$25:$B$28,0)),"NA")</f>
        <v>0.33</v>
      </c>
      <c r="K30" s="28" t="n">
        <f aca="false">IFERROR(INDEX(Parameters!$C$32:$C$34,MATCH(Data!$Q30,Parameters!$B$32:$B$34,0)),"NA")</f>
        <v>0.5</v>
      </c>
      <c r="L30" s="32" t="n">
        <f aca="false">IF(AND(Coding!AF30&gt;0,ISNUMBER(B30),B30&lt;=Parameters!$C$40),1,0)</f>
        <v>0</v>
      </c>
      <c r="M30" s="32" t="n">
        <f aca="false">IF(AND(Data!$P30&lt;&gt;"",NOT(AND(ISNUMBER(J30),J30=1))),1,0)</f>
        <v>0</v>
      </c>
      <c r="N30" s="32" t="n">
        <f aca="false">IF(AND(Data!$Q30="Formal",Data!$R30=""),1,0)</f>
        <v>0</v>
      </c>
      <c r="O30" s="32" t="n">
        <f aca="false">IF(AND(Data!$Q30="",Data!$R30&lt;&gt;""),1,0)</f>
        <v>0</v>
      </c>
      <c r="P30" s="32" t="n">
        <f aca="false">IF(AND(ISNUMBER(B30),B30=1,Coding!AF30=0,OR(Data!$I30&lt;&gt;"",Data!$J30&lt;&gt;"")),1,0)</f>
        <v>0</v>
      </c>
      <c r="Q30" s="32" t="n">
        <f aca="false">IF(H30="CHECK: suspect URL",1,0)</f>
        <v>0</v>
      </c>
      <c r="R30" s="32" t="n">
        <f aca="false">IF(AND(OR(Data!$K30="Considering",Data!$K30="Not planning"),OR(AND(ISNUMBER(F30),F30&gt;0),Data!$N30&lt;&gt;"")),1,0)</f>
        <v>0</v>
      </c>
      <c r="S30" s="32" t="n">
        <f aca="false">IF(Data!$F30="",1,0)</f>
        <v>0</v>
      </c>
      <c r="T30" s="32" t="n">
        <f aca="false">SUM(L30:S30)</f>
        <v>0</v>
      </c>
      <c r="U30" s="32" t="n">
        <f aca="false">IF(ISNUMBER(F30),F30-IF(ISNUMBER(SEARCH("Contribute funds",Data!$L30)),1,0),"")</f>
        <v>1</v>
      </c>
      <c r="V30" s="28" t="n">
        <f aca="false">IF(ISNUMBER(U30),MIN(U30,Parameters!$C$38)/Parameters!$C$38,"NA")</f>
        <v>0.166666666666667</v>
      </c>
    </row>
    <row r="31" customFormat="false" ht="15" hidden="false" customHeight="true" outlineLevel="0" collapsed="false">
      <c r="A31" s="15" t="str">
        <f aca="false">Data!$A31</f>
        <v>Data Citation Corpus</v>
      </c>
      <c r="B31" s="28" t="n">
        <f aca="false">IFERROR(INDEX(Parameters!$C$25:$C$28,MATCH(Data!$G31,Parameters!$B$25:$B$28,0)),"NA")</f>
        <v>1</v>
      </c>
      <c r="C31" s="32" t="n">
        <f aca="false">IF(Coding!AF31=0,"",Coding!AF31)</f>
        <v>6</v>
      </c>
      <c r="D31" s="28" t="n">
        <f aca="false">IF(OR(C31="",C31=0),"NA",IF(AND(Parameters!$C$39=1,ISNUMBER(B31),B31&lt;=Parameters!$C$40),0,MIN(C31,Parameters!$C$37)/Parameters!$C$37))</f>
        <v>0.75</v>
      </c>
      <c r="E31" s="28" t="n">
        <f aca="false">IF(Data!$F31="","NA",IF(SUMPRODUCT((Parameters!$B$66:$B$70&lt;&gt;"")*ISNUMBER(SEARCH(Parameters!$B$66:$B$70,Data!$F31)))&gt;0,Parameters!$C$63,Parameters!$C$64))</f>
        <v>1</v>
      </c>
      <c r="F31" s="32" t="n">
        <f aca="false">IF(OR(Data!$L31="",Data!$L31="Not applicable"),"",LEN(Data!$L31)-LEN(SUBSTITUTE(Data!$L31,"|",""))+1-IF(ISNUMBER(SEARCH("Other",Data!$L31)),1,0)-IF(ISNUMBER(SEARCH("Not applicable",Data!$L31)),1,0)+IF(AND(ISNUMBER(SEARCH("Other",Data!$L31)),Data!$M31&lt;&gt;""),1,0))</f>
        <v>1</v>
      </c>
      <c r="G31" s="28" t="n">
        <f aca="false">IF(OR(F31="",F31=0),"NA",MIN(F31,Parameters!$C$38)/Parameters!$C$38)</f>
        <v>0.166666666666667</v>
      </c>
      <c r="H31" s="15" t="str">
        <f aca="false">IF(Data!$N31="","Blank",IF(SUMPRODUCT((Parameters!$B$49:$B$53&lt;&gt;"")*ISNUMBER(SEARCH(Parameters!$B$49:$B$53,Data!$N31)))&gt;0,"CHECK: suspect URL",IF(ISNUMBER(SEARCH(Parameters!$C$46,Data!$N31)),"Contribution guide","Other page")))</f>
        <v>Other page</v>
      </c>
      <c r="I31" s="28" t="n">
        <f aca="false">IF(H31="Contribution guide",Parameters!$C$44,IF(H31="Other page",Parameters!$C$45,"NA"))</f>
        <v>0.5</v>
      </c>
      <c r="J31" s="28" t="n">
        <f aca="false">IFERROR(INDEX(Parameters!$C$25:$C$28,MATCH(Data!$O31,Parameters!$B$25:$B$28,0)),"NA")</f>
        <v>0</v>
      </c>
      <c r="K31" s="28" t="n">
        <f aca="false">IFERROR(INDEX(Parameters!$C$32:$C$34,MATCH(Data!$Q31,Parameters!$B$32:$B$34,0)),"NA")</f>
        <v>0.5</v>
      </c>
      <c r="L31" s="32" t="n">
        <f aca="false">IF(AND(Coding!AF31&gt;0,ISNUMBER(B31),B31&lt;=Parameters!$C$40),1,0)</f>
        <v>0</v>
      </c>
      <c r="M31" s="32" t="n">
        <f aca="false">IF(AND(Data!$P31&lt;&gt;"",NOT(AND(ISNUMBER(J31),J31=1))),1,0)</f>
        <v>0</v>
      </c>
      <c r="N31" s="32" t="n">
        <f aca="false">IF(AND(Data!$Q31="Formal",Data!$R31=""),1,0)</f>
        <v>0</v>
      </c>
      <c r="O31" s="32" t="n">
        <f aca="false">IF(AND(Data!$Q31="",Data!$R31&lt;&gt;""),1,0)</f>
        <v>0</v>
      </c>
      <c r="P31" s="32" t="n">
        <f aca="false">IF(AND(ISNUMBER(B31),B31=1,Coding!AF31=0,OR(Data!$I31&lt;&gt;"",Data!$J31&lt;&gt;"")),1,0)</f>
        <v>0</v>
      </c>
      <c r="Q31" s="32" t="n">
        <f aca="false">IF(H31="CHECK: suspect URL",1,0)</f>
        <v>0</v>
      </c>
      <c r="R31" s="32" t="n">
        <f aca="false">IF(AND(OR(Data!$K31="Considering",Data!$K31="Not planning"),OR(AND(ISNUMBER(F31),F31&gt;0),Data!$N31&lt;&gt;"")),1,0)</f>
        <v>0</v>
      </c>
      <c r="S31" s="32" t="n">
        <f aca="false">IF(Data!$F31="",1,0)</f>
        <v>0</v>
      </c>
      <c r="T31" s="32" t="n">
        <f aca="false">SUM(L31:S31)</f>
        <v>0</v>
      </c>
      <c r="U31" s="32" t="n">
        <f aca="false">IF(ISNUMBER(F31),F31-IF(ISNUMBER(SEARCH("Contribute funds",Data!$L31)),1,0),"")</f>
        <v>1</v>
      </c>
      <c r="V31" s="28" t="n">
        <f aca="false">IF(ISNUMBER(U31),MIN(U31,Parameters!$C$38)/Parameters!$C$38,"NA")</f>
        <v>0.166666666666667</v>
      </c>
    </row>
    <row r="32" customFormat="false" ht="15" hidden="false" customHeight="true" outlineLevel="0" collapsed="false">
      <c r="A32" s="15" t="str">
        <f aca="false">Data!$A32</f>
        <v>DataCite</v>
      </c>
      <c r="B32" s="28" t="n">
        <f aca="false">IFERROR(INDEX(Parameters!$C$25:$C$28,MATCH(Data!$G32,Parameters!$B$25:$B$28,0)),"NA")</f>
        <v>1</v>
      </c>
      <c r="C32" s="32" t="n">
        <f aca="false">IF(Coding!AF32=0,"",Coding!AF32)</f>
        <v>2</v>
      </c>
      <c r="D32" s="28" t="n">
        <f aca="false">IF(OR(C32="",C32=0),"NA",IF(AND(Parameters!$C$39=1,ISNUMBER(B32),B32&lt;=Parameters!$C$40),0,MIN(C32,Parameters!$C$37)/Parameters!$C$37))</f>
        <v>0.25</v>
      </c>
      <c r="E32" s="28" t="n">
        <f aca="false">IF(Data!$F32="","NA",IF(SUMPRODUCT((Parameters!$B$66:$B$70&lt;&gt;"")*ISNUMBER(SEARCH(Parameters!$B$66:$B$70,Data!$F32)))&gt;0,Parameters!$C$63,Parameters!$C$64))</f>
        <v>1</v>
      </c>
      <c r="F32" s="32" t="n">
        <f aca="false">IF(OR(Data!$L32="",Data!$L32="Not applicable"),"",LEN(Data!$L32)-LEN(SUBSTITUTE(Data!$L32,"|",""))+1-IF(ISNUMBER(SEARCH("Other",Data!$L32)),1,0)-IF(ISNUMBER(SEARCH("Not applicable",Data!$L32)),1,0)+IF(AND(ISNUMBER(SEARCH("Other",Data!$L32)),Data!$M32&lt;&gt;""),1,0))</f>
        <v>3</v>
      </c>
      <c r="G32" s="28" t="n">
        <f aca="false">IF(OR(F32="",F32=0),"NA",MIN(F32,Parameters!$C$38)/Parameters!$C$38)</f>
        <v>0.5</v>
      </c>
      <c r="H32" s="15" t="str">
        <f aca="false">IF(Data!$N32="","Blank",IF(SUMPRODUCT((Parameters!$B$49:$B$53&lt;&gt;"")*ISNUMBER(SEARCH(Parameters!$B$49:$B$53,Data!$N32)))&gt;0,"CHECK: suspect URL",IF(ISNUMBER(SEARCH(Parameters!$C$46,Data!$N32)),"Contribution guide","Other page")))</f>
        <v>Other page</v>
      </c>
      <c r="I32" s="28" t="n">
        <f aca="false">IF(H32="Contribution guide",Parameters!$C$44,IF(H32="Other page",Parameters!$C$45,"NA"))</f>
        <v>0.5</v>
      </c>
      <c r="J32" s="28" t="n">
        <f aca="false">IFERROR(INDEX(Parameters!$C$25:$C$28,MATCH(Data!$O32,Parameters!$B$25:$B$28,0)),"NA")</f>
        <v>1</v>
      </c>
      <c r="K32" s="28" t="n">
        <f aca="false">IFERROR(INDEX(Parameters!$C$32:$C$34,MATCH(Data!$Q32,Parameters!$B$32:$B$34,0)),"NA")</f>
        <v>1</v>
      </c>
      <c r="L32" s="32" t="n">
        <f aca="false">IF(AND(Coding!AF32&gt;0,ISNUMBER(B32),B32&lt;=Parameters!$C$40),1,0)</f>
        <v>0</v>
      </c>
      <c r="M32" s="32" t="n">
        <f aca="false">IF(AND(Data!$P32&lt;&gt;"",NOT(AND(ISNUMBER(J32),J32=1))),1,0)</f>
        <v>0</v>
      </c>
      <c r="N32" s="32" t="n">
        <f aca="false">IF(AND(Data!$Q32="Formal",Data!$R32=""),1,0)</f>
        <v>0</v>
      </c>
      <c r="O32" s="32" t="n">
        <f aca="false">IF(AND(Data!$Q32="",Data!$R32&lt;&gt;""),1,0)</f>
        <v>0</v>
      </c>
      <c r="P32" s="32" t="n">
        <f aca="false">IF(AND(ISNUMBER(B32),B32=1,Coding!AF32=0,OR(Data!$I32&lt;&gt;"",Data!$J32&lt;&gt;"")),1,0)</f>
        <v>0</v>
      </c>
      <c r="Q32" s="32" t="n">
        <f aca="false">IF(H32="CHECK: suspect URL",1,0)</f>
        <v>0</v>
      </c>
      <c r="R32" s="32" t="n">
        <f aca="false">IF(AND(OR(Data!$K32="Considering",Data!$K32="Not planning"),OR(AND(ISNUMBER(F32),F32&gt;0),Data!$N32&lt;&gt;"")),1,0)</f>
        <v>1</v>
      </c>
      <c r="S32" s="32" t="n">
        <f aca="false">IF(Data!$F32="",1,0)</f>
        <v>0</v>
      </c>
      <c r="T32" s="32" t="n">
        <f aca="false">SUM(L32:S32)</f>
        <v>1</v>
      </c>
      <c r="U32" s="32" t="n">
        <f aca="false">IF(ISNUMBER(F32),F32-IF(ISNUMBER(SEARCH("Contribute funds",Data!$L32)),1,0),"")</f>
        <v>2</v>
      </c>
      <c r="V32" s="28" t="n">
        <f aca="false">IF(ISNUMBER(U32),MIN(U32,Parameters!$C$38)/Parameters!$C$38,"NA")</f>
        <v>0.333333333333333</v>
      </c>
    </row>
    <row r="33" customFormat="false" ht="15" hidden="false" customHeight="true" outlineLevel="0" collapsed="false">
      <c r="A33" s="15" t="str">
        <f aca="false">Data!$A33</f>
        <v>Data Stewardship Wizard</v>
      </c>
      <c r="B33" s="28" t="n">
        <f aca="false">IFERROR(INDEX(Parameters!$C$25:$C$28,MATCH(Data!$G33,Parameters!$B$25:$B$28,0)),"NA")</f>
        <v>1</v>
      </c>
      <c r="C33" s="32" t="n">
        <f aca="false">IF(Coding!AF33=0,"",Coding!AF33)</f>
        <v>10</v>
      </c>
      <c r="D33" s="28" t="n">
        <f aca="false">IF(OR(C33="",C33=0),"NA",IF(AND(Parameters!$C$39=1,ISNUMBER(B33),B33&lt;=Parameters!$C$40),0,MIN(C33,Parameters!$C$37)/Parameters!$C$37))</f>
        <v>1</v>
      </c>
      <c r="E33" s="28" t="n">
        <f aca="false">IF(Data!$F33="","NA",IF(SUMPRODUCT((Parameters!$B$66:$B$70&lt;&gt;"")*ISNUMBER(SEARCH(Parameters!$B$66:$B$70,Data!$F33)))&gt;0,Parameters!$C$63,Parameters!$C$64))</f>
        <v>1</v>
      </c>
      <c r="F33" s="32" t="n">
        <f aca="false">IF(OR(Data!$L33="",Data!$L33="Not applicable"),"",LEN(Data!$L33)-LEN(SUBSTITUTE(Data!$L33,"|",""))+1-IF(ISNUMBER(SEARCH("Other",Data!$L33)),1,0)-IF(ISNUMBER(SEARCH("Not applicable",Data!$L33)),1,0)+IF(AND(ISNUMBER(SEARCH("Other",Data!$L33)),Data!$M33&lt;&gt;""),1,0))</f>
        <v>5</v>
      </c>
      <c r="G33" s="28" t="n">
        <f aca="false">IF(OR(F33="",F33=0),"NA",MIN(F33,Parameters!$C$38)/Parameters!$C$38)</f>
        <v>0.833333333333333</v>
      </c>
      <c r="H33" s="15" t="str">
        <f aca="false">IF(Data!$N33="","Blank",IF(SUMPRODUCT((Parameters!$B$49:$B$53&lt;&gt;"")*ISNUMBER(SEARCH(Parameters!$B$49:$B$53,Data!$N33)))&gt;0,"CHECK: suspect URL",IF(ISNUMBER(SEARCH(Parameters!$C$46,Data!$N33)),"Contribution guide","Other page")))</f>
        <v>Contribution guide</v>
      </c>
      <c r="I33" s="28" t="n">
        <f aca="false">IF(H33="Contribution guide",Parameters!$C$44,IF(H33="Other page",Parameters!$C$45,"NA"))</f>
        <v>1</v>
      </c>
      <c r="J33" s="28" t="n">
        <f aca="false">IFERROR(INDEX(Parameters!$C$25:$C$28,MATCH(Data!$O33,Parameters!$B$25:$B$28,0)),"NA")</f>
        <v>1</v>
      </c>
      <c r="K33" s="28" t="n">
        <f aca="false">IFERROR(INDEX(Parameters!$C$32:$C$34,MATCH(Data!$Q33,Parameters!$B$32:$B$34,0)),"NA")</f>
        <v>0.5</v>
      </c>
      <c r="L33" s="32" t="n">
        <f aca="false">IF(AND(Coding!AF33&gt;0,ISNUMBER(B33),B33&lt;=Parameters!$C$40),1,0)</f>
        <v>0</v>
      </c>
      <c r="M33" s="32" t="n">
        <f aca="false">IF(AND(Data!$P33&lt;&gt;"",NOT(AND(ISNUMBER(J33),J33=1))),1,0)</f>
        <v>0</v>
      </c>
      <c r="N33" s="32" t="n">
        <f aca="false">IF(AND(Data!$Q33="Formal",Data!$R33=""),1,0)</f>
        <v>0</v>
      </c>
      <c r="O33" s="32" t="n">
        <f aca="false">IF(AND(Data!$Q33="",Data!$R33&lt;&gt;""),1,0)</f>
        <v>0</v>
      </c>
      <c r="P33" s="32" t="n">
        <f aca="false">IF(AND(ISNUMBER(B33),B33=1,Coding!AF33=0,OR(Data!$I33&lt;&gt;"",Data!$J33&lt;&gt;"")),1,0)</f>
        <v>0</v>
      </c>
      <c r="Q33" s="32" t="n">
        <f aca="false">IF(H33="CHECK: suspect URL",1,0)</f>
        <v>0</v>
      </c>
      <c r="R33" s="32" t="n">
        <f aca="false">IF(AND(OR(Data!$K33="Considering",Data!$K33="Not planning"),OR(AND(ISNUMBER(F33),F33&gt;0),Data!$N33&lt;&gt;"")),1,0)</f>
        <v>0</v>
      </c>
      <c r="S33" s="32" t="n">
        <f aca="false">IF(Data!$F33="",1,0)</f>
        <v>0</v>
      </c>
      <c r="T33" s="32" t="n">
        <f aca="false">SUM(L33:S33)</f>
        <v>0</v>
      </c>
      <c r="U33" s="32" t="n">
        <f aca="false">IF(ISNUMBER(F33),F33-IF(ISNUMBER(SEARCH("Contribute funds",Data!$L33)),1,0),"")</f>
        <v>5</v>
      </c>
      <c r="V33" s="28" t="n">
        <f aca="false">IF(ISNUMBER(U33),MIN(U33,Parameters!$C$38)/Parameters!$C$38,"NA")</f>
        <v>0.833333333333333</v>
      </c>
    </row>
    <row r="34" customFormat="false" ht="15" hidden="false" customHeight="true" outlineLevel="0" collapsed="false">
      <c r="A34" s="15" t="str">
        <f aca="false">Data!$A34</f>
        <v>Dataverse</v>
      </c>
      <c r="B34" s="28" t="n">
        <f aca="false">IFERROR(INDEX(Parameters!$C$25:$C$28,MATCH(Data!$G34,Parameters!$B$25:$B$28,0)),"NA")</f>
        <v>1</v>
      </c>
      <c r="C34" s="32" t="n">
        <f aca="false">IF(Coding!AF34=0,"",Coding!AF34)</f>
        <v>3</v>
      </c>
      <c r="D34" s="28" t="n">
        <f aca="false">IF(OR(C34="",C34=0),"NA",IF(AND(Parameters!$C$39=1,ISNUMBER(B34),B34&lt;=Parameters!$C$40),0,MIN(C34,Parameters!$C$37)/Parameters!$C$37))</f>
        <v>0.375</v>
      </c>
      <c r="E34" s="28" t="n">
        <f aca="false">IF(Data!$F34="","NA",IF(SUMPRODUCT((Parameters!$B$66:$B$70&lt;&gt;"")*ISNUMBER(SEARCH(Parameters!$B$66:$B$70,Data!$F34)))&gt;0,Parameters!$C$63,Parameters!$C$64))</f>
        <v>1</v>
      </c>
      <c r="F34" s="32" t="n">
        <f aca="false">IF(OR(Data!$L34="",Data!$L34="Not applicable"),"",LEN(Data!$L34)-LEN(SUBSTITUTE(Data!$L34,"|",""))+1-IF(ISNUMBER(SEARCH("Other",Data!$L34)),1,0)-IF(ISNUMBER(SEARCH("Not applicable",Data!$L34)),1,0)+IF(AND(ISNUMBER(SEARCH("Other",Data!$L34)),Data!$M34&lt;&gt;""),1,0))</f>
        <v>4</v>
      </c>
      <c r="G34" s="28" t="n">
        <f aca="false">IF(OR(F34="",F34=0),"NA",MIN(F34,Parameters!$C$38)/Parameters!$C$38)</f>
        <v>0.666666666666667</v>
      </c>
      <c r="H34" s="15" t="str">
        <f aca="false">IF(Data!$N34="","Blank",IF(SUMPRODUCT((Parameters!$B$49:$B$53&lt;&gt;"")*ISNUMBER(SEARCH(Parameters!$B$49:$B$53,Data!$N34)))&gt;0,"CHECK: suspect URL",IF(ISNUMBER(SEARCH(Parameters!$C$46,Data!$N34)),"Contribution guide","Other page")))</f>
        <v>Other page</v>
      </c>
      <c r="I34" s="28" t="n">
        <f aca="false">IF(H34="Contribution guide",Parameters!$C$44,IF(H34="Other page",Parameters!$C$45,"NA"))</f>
        <v>0.5</v>
      </c>
      <c r="J34" s="28" t="n">
        <f aca="false">IFERROR(INDEX(Parameters!$C$25:$C$28,MATCH(Data!$O34,Parameters!$B$25:$B$28,0)),"NA")</f>
        <v>1</v>
      </c>
      <c r="K34" s="28" t="n">
        <f aca="false">IFERROR(INDEX(Parameters!$C$32:$C$34,MATCH(Data!$Q34,Parameters!$B$32:$B$34,0)),"NA")</f>
        <v>0.5</v>
      </c>
      <c r="L34" s="32" t="n">
        <f aca="false">IF(AND(Coding!AF34&gt;0,ISNUMBER(B34),B34&lt;=Parameters!$C$40),1,0)</f>
        <v>0</v>
      </c>
      <c r="M34" s="32" t="n">
        <f aca="false">IF(AND(Data!$P34&lt;&gt;"",NOT(AND(ISNUMBER(J34),J34=1))),1,0)</f>
        <v>0</v>
      </c>
      <c r="N34" s="32" t="n">
        <f aca="false">IF(AND(Data!$Q34="Formal",Data!$R34=""),1,0)</f>
        <v>0</v>
      </c>
      <c r="O34" s="32" t="n">
        <f aca="false">IF(AND(Data!$Q34="",Data!$R34&lt;&gt;""),1,0)</f>
        <v>0</v>
      </c>
      <c r="P34" s="32" t="n">
        <f aca="false">IF(AND(ISNUMBER(B34),B34=1,Coding!AF34=0,OR(Data!$I34&lt;&gt;"",Data!$J34&lt;&gt;"")),1,0)</f>
        <v>0</v>
      </c>
      <c r="Q34" s="32" t="n">
        <f aca="false">IF(H34="CHECK: suspect URL",1,0)</f>
        <v>0</v>
      </c>
      <c r="R34" s="32" t="n">
        <f aca="false">IF(AND(OR(Data!$K34="Considering",Data!$K34="Not planning"),OR(AND(ISNUMBER(F34),F34&gt;0),Data!$N34&lt;&gt;"")),1,0)</f>
        <v>0</v>
      </c>
      <c r="S34" s="32" t="n">
        <f aca="false">IF(Data!$F34="",1,0)</f>
        <v>0</v>
      </c>
      <c r="T34" s="32" t="n">
        <f aca="false">SUM(L34:S34)</f>
        <v>0</v>
      </c>
      <c r="U34" s="32" t="n">
        <f aca="false">IF(ISNUMBER(F34),F34-IF(ISNUMBER(SEARCH("Contribute funds",Data!$L34)),1,0),"")</f>
        <v>4</v>
      </c>
      <c r="V34" s="28" t="n">
        <f aca="false">IF(ISNUMBER(U34),MIN(U34,Parameters!$C$38)/Parameters!$C$38,"NA")</f>
        <v>0.666666666666667</v>
      </c>
    </row>
    <row r="35" customFormat="false" ht="15" hidden="false" customHeight="true" outlineLevel="0" collapsed="false">
      <c r="A35" s="15" t="str">
        <f aca="false">Data!$A35</f>
        <v>DLCM Backend</v>
      </c>
      <c r="B35" s="28" t="n">
        <f aca="false">IFERROR(INDEX(Parameters!$C$25:$C$28,MATCH(Data!$G35,Parameters!$B$25:$B$28,0)),"NA")</f>
        <v>1</v>
      </c>
      <c r="C35" s="32" t="n">
        <f aca="false">IF(Coding!AF35=0,"",Coding!AF35)</f>
        <v>4</v>
      </c>
      <c r="D35" s="28" t="n">
        <f aca="false">IF(OR(C35="",C35=0),"NA",IF(AND(Parameters!$C$39=1,ISNUMBER(B35),B35&lt;=Parameters!$C$40),0,MIN(C35,Parameters!$C$37)/Parameters!$C$37))</f>
        <v>0.5</v>
      </c>
      <c r="E35" s="28" t="n">
        <f aca="false">IF(Data!$F35="","NA",IF(SUMPRODUCT((Parameters!$B$66:$B$70&lt;&gt;"")*ISNUMBER(SEARCH(Parameters!$B$66:$B$70,Data!$F35)))&gt;0,Parameters!$C$63,Parameters!$C$64))</f>
        <v>0.5</v>
      </c>
      <c r="F35" s="32" t="str">
        <f aca="false">IF(OR(Data!$L35="",Data!$L35="Not applicable"),"",LEN(Data!$L35)-LEN(SUBSTITUTE(Data!$L35,"|",""))+1-IF(ISNUMBER(SEARCH("Other",Data!$L35)),1,0)-IF(ISNUMBER(SEARCH("Not applicable",Data!$L35)),1,0)+IF(AND(ISNUMBER(SEARCH("Other",Data!$L35)),Data!$M35&lt;&gt;""),1,0))</f>
        <v/>
      </c>
      <c r="G35" s="28" t="str">
        <f aca="false">IF(OR(F35="",F35=0),"NA",MIN(F35,Parameters!$C$38)/Parameters!$C$38)</f>
        <v>NA</v>
      </c>
      <c r="H35" s="15" t="str">
        <f aca="false">IF(Data!$N35="","Blank",IF(SUMPRODUCT((Parameters!$B$49:$B$53&lt;&gt;"")*ISNUMBER(SEARCH(Parameters!$B$49:$B$53,Data!$N35)))&gt;0,"CHECK: suspect URL",IF(ISNUMBER(SEARCH(Parameters!$C$46,Data!$N35)),"Contribution guide","Other page")))</f>
        <v>Contribution guide</v>
      </c>
      <c r="I35" s="28" t="n">
        <f aca="false">IF(H35="Contribution guide",Parameters!$C$44,IF(H35="Other page",Parameters!$C$45,"NA"))</f>
        <v>1</v>
      </c>
      <c r="J35" s="28" t="n">
        <f aca="false">IFERROR(INDEX(Parameters!$C$25:$C$28,MATCH(Data!$O35,Parameters!$B$25:$B$28,0)),"NA")</f>
        <v>1</v>
      </c>
      <c r="K35" s="28" t="str">
        <f aca="false">IFERROR(INDEX(Parameters!$C$32:$C$34,MATCH(Data!$Q35,Parameters!$B$32:$B$34,0)),"NA")</f>
        <v>NA</v>
      </c>
      <c r="L35" s="32" t="n">
        <f aca="false">IF(AND(Coding!AF35&gt;0,ISNUMBER(B35),B35&lt;=Parameters!$C$40),1,0)</f>
        <v>0</v>
      </c>
      <c r="M35" s="32" t="n">
        <f aca="false">IF(AND(Data!$P35&lt;&gt;"",NOT(AND(ISNUMBER(J35),J35=1))),1,0)</f>
        <v>0</v>
      </c>
      <c r="N35" s="32" t="n">
        <f aca="false">IF(AND(Data!$Q35="Formal",Data!$R35=""),1,0)</f>
        <v>0</v>
      </c>
      <c r="O35" s="32" t="n">
        <f aca="false">IF(AND(Data!$Q35="",Data!$R35&lt;&gt;""),1,0)</f>
        <v>0</v>
      </c>
      <c r="P35" s="32" t="n">
        <f aca="false">IF(AND(ISNUMBER(B35),B35=1,Coding!AF35=0,OR(Data!$I35&lt;&gt;"",Data!$J35&lt;&gt;"")),1,0)</f>
        <v>0</v>
      </c>
      <c r="Q35" s="32" t="n">
        <f aca="false">IF(H35="CHECK: suspect URL",1,0)</f>
        <v>0</v>
      </c>
      <c r="R35" s="32" t="n">
        <f aca="false">IF(AND(OR(Data!$K35="Considering",Data!$K35="Not planning"),OR(AND(ISNUMBER(F35),F35&gt;0),Data!$N35&lt;&gt;"")),1,0)</f>
        <v>0</v>
      </c>
      <c r="S35" s="32" t="n">
        <f aca="false">IF(Data!$F35="",1,0)</f>
        <v>0</v>
      </c>
      <c r="T35" s="32" t="n">
        <f aca="false">SUM(L35:S35)</f>
        <v>0</v>
      </c>
      <c r="U35" s="32" t="str">
        <f aca="false">IF(ISNUMBER(F35),F35-IF(ISNUMBER(SEARCH("Contribute funds",Data!$L35)),1,0),"")</f>
        <v/>
      </c>
      <c r="V35" s="28" t="str">
        <f aca="false">IF(ISNUMBER(U35),MIN(U35,Parameters!$C$38)/Parameters!$C$38,"NA")</f>
        <v>NA</v>
      </c>
    </row>
    <row r="36" customFormat="false" ht="15" hidden="false" customHeight="true" outlineLevel="0" collapsed="false">
      <c r="A36" s="15" t="str">
        <f aca="false">Data!$A36</f>
        <v>DLCM Portal</v>
      </c>
      <c r="B36" s="28" t="n">
        <f aca="false">IFERROR(INDEX(Parameters!$C$25:$C$28,MATCH(Data!$G36,Parameters!$B$25:$B$28,0)),"NA")</f>
        <v>1</v>
      </c>
      <c r="C36" s="32" t="n">
        <f aca="false">IF(Coding!AF36=0,"",Coding!AF36)</f>
        <v>4</v>
      </c>
      <c r="D36" s="28" t="n">
        <f aca="false">IF(OR(C36="",C36=0),"NA",IF(AND(Parameters!$C$39=1,ISNUMBER(B36),B36&lt;=Parameters!$C$40),0,MIN(C36,Parameters!$C$37)/Parameters!$C$37))</f>
        <v>0.5</v>
      </c>
      <c r="E36" s="28" t="n">
        <f aca="false">IF(Data!$F36="","NA",IF(SUMPRODUCT((Parameters!$B$66:$B$70&lt;&gt;"")*ISNUMBER(SEARCH(Parameters!$B$66:$B$70,Data!$F36)))&gt;0,Parameters!$C$63,Parameters!$C$64))</f>
        <v>0.5</v>
      </c>
      <c r="F36" s="32" t="str">
        <f aca="false">IF(OR(Data!$L36="",Data!$L36="Not applicable"),"",LEN(Data!$L36)-LEN(SUBSTITUTE(Data!$L36,"|",""))+1-IF(ISNUMBER(SEARCH("Other",Data!$L36)),1,0)-IF(ISNUMBER(SEARCH("Not applicable",Data!$L36)),1,0)+IF(AND(ISNUMBER(SEARCH("Other",Data!$L36)),Data!$M36&lt;&gt;""),1,0))</f>
        <v/>
      </c>
      <c r="G36" s="28" t="str">
        <f aca="false">IF(OR(F36="",F36=0),"NA",MIN(F36,Parameters!$C$38)/Parameters!$C$38)</f>
        <v>NA</v>
      </c>
      <c r="H36" s="15" t="str">
        <f aca="false">IF(Data!$N36="","Blank",IF(SUMPRODUCT((Parameters!$B$49:$B$53&lt;&gt;"")*ISNUMBER(SEARCH(Parameters!$B$49:$B$53,Data!$N36)))&gt;0,"CHECK: suspect URL",IF(ISNUMBER(SEARCH(Parameters!$C$46,Data!$N36)),"Contribution guide","Other page")))</f>
        <v>Contribution guide</v>
      </c>
      <c r="I36" s="28" t="n">
        <f aca="false">IF(H36="Contribution guide",Parameters!$C$44,IF(H36="Other page",Parameters!$C$45,"NA"))</f>
        <v>1</v>
      </c>
      <c r="J36" s="28" t="n">
        <f aca="false">IFERROR(INDEX(Parameters!$C$25:$C$28,MATCH(Data!$O36,Parameters!$B$25:$B$28,0)),"NA")</f>
        <v>1</v>
      </c>
      <c r="K36" s="28" t="str">
        <f aca="false">IFERROR(INDEX(Parameters!$C$32:$C$34,MATCH(Data!$Q36,Parameters!$B$32:$B$34,0)),"NA")</f>
        <v>NA</v>
      </c>
      <c r="L36" s="32" t="n">
        <f aca="false">IF(AND(Coding!AF36&gt;0,ISNUMBER(B36),B36&lt;=Parameters!$C$40),1,0)</f>
        <v>0</v>
      </c>
      <c r="M36" s="32" t="n">
        <f aca="false">IF(AND(Data!$P36&lt;&gt;"",NOT(AND(ISNUMBER(J36),J36=1))),1,0)</f>
        <v>0</v>
      </c>
      <c r="N36" s="32" t="n">
        <f aca="false">IF(AND(Data!$Q36="Formal",Data!$R36=""),1,0)</f>
        <v>0</v>
      </c>
      <c r="O36" s="32" t="n">
        <f aca="false">IF(AND(Data!$Q36="",Data!$R36&lt;&gt;""),1,0)</f>
        <v>0</v>
      </c>
      <c r="P36" s="32" t="n">
        <f aca="false">IF(AND(ISNUMBER(B36),B36=1,Coding!AF36=0,OR(Data!$I36&lt;&gt;"",Data!$J36&lt;&gt;"")),1,0)</f>
        <v>0</v>
      </c>
      <c r="Q36" s="32" t="n">
        <f aca="false">IF(H36="CHECK: suspect URL",1,0)</f>
        <v>0</v>
      </c>
      <c r="R36" s="32" t="n">
        <f aca="false">IF(AND(OR(Data!$K36="Considering",Data!$K36="Not planning"),OR(AND(ISNUMBER(F36),F36&gt;0),Data!$N36&lt;&gt;"")),1,0)</f>
        <v>0</v>
      </c>
      <c r="S36" s="32" t="n">
        <f aca="false">IF(Data!$F36="",1,0)</f>
        <v>0</v>
      </c>
      <c r="T36" s="32" t="n">
        <f aca="false">SUM(L36:S36)</f>
        <v>0</v>
      </c>
      <c r="U36" s="32" t="str">
        <f aca="false">IF(ISNUMBER(F36),F36-IF(ISNUMBER(SEARCH("Contribute funds",Data!$L36)),1,0),"")</f>
        <v/>
      </c>
      <c r="V36" s="28" t="str">
        <f aca="false">IF(ISNUMBER(U36),MIN(U36,Parameters!$C$38)/Parameters!$C$38,"NA")</f>
        <v>NA</v>
      </c>
    </row>
    <row r="37" customFormat="false" ht="15" hidden="false" customHeight="true" outlineLevel="0" collapsed="false">
      <c r="A37" s="15" t="str">
        <f aca="false">Data!$A37</f>
        <v>DMP Tool</v>
      </c>
      <c r="B37" s="28" t="n">
        <f aca="false">IFERROR(INDEX(Parameters!$C$25:$C$28,MATCH(Data!$G37,Parameters!$B$25:$B$28,0)),"NA")</f>
        <v>1</v>
      </c>
      <c r="C37" s="32" t="n">
        <f aca="false">IF(Coding!AF37=0,"",Coding!AF37)</f>
        <v>8</v>
      </c>
      <c r="D37" s="28" t="n">
        <f aca="false">IF(OR(C37="",C37=0),"NA",IF(AND(Parameters!$C$39=1,ISNUMBER(B37),B37&lt;=Parameters!$C$40),0,MIN(C37,Parameters!$C$37)/Parameters!$C$37))</f>
        <v>1</v>
      </c>
      <c r="E37" s="28" t="n">
        <f aca="false">IF(Data!$F37="","NA",IF(SUMPRODUCT((Parameters!$B$66:$B$70&lt;&gt;"")*ISNUMBER(SEARCH(Parameters!$B$66:$B$70,Data!$F37)))&gt;0,Parameters!$C$63,Parameters!$C$64))</f>
        <v>1</v>
      </c>
      <c r="F37" s="32" t="n">
        <f aca="false">IF(OR(Data!$L37="",Data!$L37="Not applicable"),"",LEN(Data!$L37)-LEN(SUBSTITUTE(Data!$L37,"|",""))+1-IF(ISNUMBER(SEARCH("Other",Data!$L37)),1,0)-IF(ISNUMBER(SEARCH("Not applicable",Data!$L37)),1,0)+IF(AND(ISNUMBER(SEARCH("Other",Data!$L37)),Data!$M37&lt;&gt;""),1,0))</f>
        <v>0</v>
      </c>
      <c r="G37" s="28" t="str">
        <f aca="false">IF(OR(F37="",F37=0),"NA",MIN(F37,Parameters!$C$38)/Parameters!$C$38)</f>
        <v>NA</v>
      </c>
      <c r="H37" s="15" t="str">
        <f aca="false">IF(Data!$N37="","Blank",IF(SUMPRODUCT((Parameters!$B$49:$B$53&lt;&gt;"")*ISNUMBER(SEARCH(Parameters!$B$49:$B$53,Data!$N37)))&gt;0,"CHECK: suspect URL",IF(ISNUMBER(SEARCH(Parameters!$C$46,Data!$N37)),"Contribution guide","Other page")))</f>
        <v>Blank</v>
      </c>
      <c r="I37" s="28" t="str">
        <f aca="false">IF(H37="Contribution guide",Parameters!$C$44,IF(H37="Other page",Parameters!$C$45,"NA"))</f>
        <v>NA</v>
      </c>
      <c r="J37" s="28" t="n">
        <f aca="false">IFERROR(INDEX(Parameters!$C$25:$C$28,MATCH(Data!$O37,Parameters!$B$25:$B$28,0)),"NA")</f>
        <v>0</v>
      </c>
      <c r="K37" s="28" t="str">
        <f aca="false">IFERROR(INDEX(Parameters!$C$32:$C$34,MATCH(Data!$Q37,Parameters!$B$32:$B$34,0)),"NA")</f>
        <v>NA</v>
      </c>
      <c r="L37" s="32" t="n">
        <f aca="false">IF(AND(Coding!AF37&gt;0,ISNUMBER(B37),B37&lt;=Parameters!$C$40),1,0)</f>
        <v>0</v>
      </c>
      <c r="M37" s="32" t="n">
        <f aca="false">IF(AND(Data!$P37&lt;&gt;"",NOT(AND(ISNUMBER(J37),J37=1))),1,0)</f>
        <v>0</v>
      </c>
      <c r="N37" s="32" t="n">
        <f aca="false">IF(AND(Data!$Q37="Formal",Data!$R37=""),1,0)</f>
        <v>0</v>
      </c>
      <c r="O37" s="32" t="n">
        <f aca="false">IF(AND(Data!$Q37="",Data!$R37&lt;&gt;""),1,0)</f>
        <v>0</v>
      </c>
      <c r="P37" s="32" t="n">
        <f aca="false">IF(AND(ISNUMBER(B37),B37=1,Coding!AF37=0,OR(Data!$I37&lt;&gt;"",Data!$J37&lt;&gt;"")),1,0)</f>
        <v>0</v>
      </c>
      <c r="Q37" s="32" t="n">
        <f aca="false">IF(H37="CHECK: suspect URL",1,0)</f>
        <v>0</v>
      </c>
      <c r="R37" s="32" t="n">
        <f aca="false">IF(AND(OR(Data!$K37="Considering",Data!$K37="Not planning"),OR(AND(ISNUMBER(F37),F37&gt;0),Data!$N37&lt;&gt;"")),1,0)</f>
        <v>0</v>
      </c>
      <c r="S37" s="32" t="n">
        <f aca="false">IF(Data!$F37="",1,0)</f>
        <v>0</v>
      </c>
      <c r="T37" s="32" t="n">
        <f aca="false">SUM(L37:S37)</f>
        <v>0</v>
      </c>
      <c r="U37" s="32" t="n">
        <f aca="false">IF(ISNUMBER(F37),F37-IF(ISNUMBER(SEARCH("Contribute funds",Data!$L37)),1,0),"")</f>
        <v>0</v>
      </c>
      <c r="V37" s="28" t="n">
        <f aca="false">IF(ISNUMBER(U37),MIN(U37,Parameters!$C$38)/Parameters!$C$38,"NA")</f>
        <v>0</v>
      </c>
    </row>
    <row r="38" customFormat="false" ht="15" hidden="false" customHeight="true" outlineLevel="0" collapsed="false">
      <c r="A38" s="15" t="str">
        <f aca="false">Data!$A38</f>
        <v>DOAJ (Directory of Open Access Journals)</v>
      </c>
      <c r="B38" s="28" t="n">
        <f aca="false">IFERROR(INDEX(Parameters!$C$25:$C$28,MATCH(Data!$G38,Parameters!$B$25:$B$28,0)),"NA")</f>
        <v>1</v>
      </c>
      <c r="C38" s="32" t="n">
        <f aca="false">IF(Coding!AF38=0,"",Coding!AF38)</f>
        <v>9</v>
      </c>
      <c r="D38" s="28" t="n">
        <f aca="false">IF(OR(C38="",C38=0),"NA",IF(AND(Parameters!$C$39=1,ISNUMBER(B38),B38&lt;=Parameters!$C$40),0,MIN(C38,Parameters!$C$37)/Parameters!$C$37))</f>
        <v>1</v>
      </c>
      <c r="E38" s="28" t="n">
        <f aca="false">IF(Data!$F38="","NA",IF(SUMPRODUCT((Parameters!$B$66:$B$70&lt;&gt;"")*ISNUMBER(SEARCH(Parameters!$B$66:$B$70,Data!$F38)))&gt;0,Parameters!$C$63,Parameters!$C$64))</f>
        <v>1</v>
      </c>
      <c r="F38" s="32" t="n">
        <f aca="false">IF(OR(Data!$L38="",Data!$L38="Not applicable"),"",LEN(Data!$L38)-LEN(SUBSTITUTE(Data!$L38,"|",""))+1-IF(ISNUMBER(SEARCH("Other",Data!$L38)),1,0)-IF(ISNUMBER(SEARCH("Not applicable",Data!$L38)),1,0)+IF(AND(ISNUMBER(SEARCH("Other",Data!$L38)),Data!$M38&lt;&gt;""),1,0))</f>
        <v>5</v>
      </c>
      <c r="G38" s="28" t="n">
        <f aca="false">IF(OR(F38="",F38=0),"NA",MIN(F38,Parameters!$C$38)/Parameters!$C$38)</f>
        <v>0.833333333333333</v>
      </c>
      <c r="H38" s="15" t="str">
        <f aca="false">IF(Data!$N38="","Blank",IF(SUMPRODUCT((Parameters!$B$49:$B$53&lt;&gt;"")*ISNUMBER(SEARCH(Parameters!$B$49:$B$53,Data!$N38)))&gt;0,"CHECK: suspect URL",IF(ISNUMBER(SEARCH(Parameters!$C$46,Data!$N38)),"Contribution guide","Other page")))</f>
        <v>Blank</v>
      </c>
      <c r="I38" s="28" t="str">
        <f aca="false">IF(H38="Contribution guide",Parameters!$C$44,IF(H38="Other page",Parameters!$C$45,"NA"))</f>
        <v>NA</v>
      </c>
      <c r="J38" s="28" t="n">
        <f aca="false">IFERROR(INDEX(Parameters!$C$25:$C$28,MATCH(Data!$O38,Parameters!$B$25:$B$28,0)),"NA")</f>
        <v>1</v>
      </c>
      <c r="K38" s="28" t="n">
        <f aca="false">IFERROR(INDEX(Parameters!$C$32:$C$34,MATCH(Data!$Q38,Parameters!$B$32:$B$34,0)),"NA")</f>
        <v>1</v>
      </c>
      <c r="L38" s="32" t="n">
        <f aca="false">IF(AND(Coding!AF38&gt;0,ISNUMBER(B38),B38&lt;=Parameters!$C$40),1,0)</f>
        <v>0</v>
      </c>
      <c r="M38" s="32" t="n">
        <f aca="false">IF(AND(Data!$P38&lt;&gt;"",NOT(AND(ISNUMBER(J38),J38=1))),1,0)</f>
        <v>0</v>
      </c>
      <c r="N38" s="32" t="n">
        <f aca="false">IF(AND(Data!$Q38="Formal",Data!$R38=""),1,0)</f>
        <v>0</v>
      </c>
      <c r="O38" s="32" t="n">
        <f aca="false">IF(AND(Data!$Q38="",Data!$R38&lt;&gt;""),1,0)</f>
        <v>0</v>
      </c>
      <c r="P38" s="32" t="n">
        <f aca="false">IF(AND(ISNUMBER(B38),B38=1,Coding!AF38=0,OR(Data!$I38&lt;&gt;"",Data!$J38&lt;&gt;"")),1,0)</f>
        <v>0</v>
      </c>
      <c r="Q38" s="32" t="n">
        <f aca="false">IF(H38="CHECK: suspect URL",1,0)</f>
        <v>0</v>
      </c>
      <c r="R38" s="32" t="n">
        <f aca="false">IF(AND(OR(Data!$K38="Considering",Data!$K38="Not planning"),OR(AND(ISNUMBER(F38),F38&gt;0),Data!$N38&lt;&gt;"")),1,0)</f>
        <v>0</v>
      </c>
      <c r="S38" s="32" t="n">
        <f aca="false">IF(Data!$F38="",1,0)</f>
        <v>0</v>
      </c>
      <c r="T38" s="32" t="n">
        <f aca="false">SUM(L38:S38)</f>
        <v>0</v>
      </c>
      <c r="U38" s="32" t="n">
        <f aca="false">IF(ISNUMBER(F38),F38-IF(ISNUMBER(SEARCH("Contribute funds",Data!$L38)),1,0),"")</f>
        <v>5</v>
      </c>
      <c r="V38" s="28" t="n">
        <f aca="false">IF(ISNUMBER(U38),MIN(U38,Parameters!$C$38)/Parameters!$C$38,"NA")</f>
        <v>0.833333333333333</v>
      </c>
    </row>
    <row r="39" customFormat="false" ht="15" hidden="false" customHeight="true" outlineLevel="0" collapsed="false">
      <c r="A39" s="15" t="str">
        <f aca="false">Data!$A39</f>
        <v>dokieli</v>
      </c>
      <c r="B39" s="28" t="n">
        <f aca="false">IFERROR(INDEX(Parameters!$C$25:$C$28,MATCH(Data!$G39,Parameters!$B$25:$B$28,0)),"NA")</f>
        <v>1</v>
      </c>
      <c r="C39" s="32" t="n">
        <f aca="false">IF(Coding!AF39=0,"",Coding!AF39)</f>
        <v>3</v>
      </c>
      <c r="D39" s="28" t="n">
        <f aca="false">IF(OR(C39="",C39=0),"NA",IF(AND(Parameters!$C$39=1,ISNUMBER(B39),B39&lt;=Parameters!$C$40),0,MIN(C39,Parameters!$C$37)/Parameters!$C$37))</f>
        <v>0.375</v>
      </c>
      <c r="E39" s="28" t="n">
        <f aca="false">IF(Data!$F39="","NA",IF(SUMPRODUCT((Parameters!$B$66:$B$70&lt;&gt;"")*ISNUMBER(SEARCH(Parameters!$B$66:$B$70,Data!$F39)))&gt;0,Parameters!$C$63,Parameters!$C$64))</f>
        <v>1</v>
      </c>
      <c r="F39" s="32" t="n">
        <f aca="false">IF(OR(Data!$L39="",Data!$L39="Not applicable"),"",LEN(Data!$L39)-LEN(SUBSTITUTE(Data!$L39,"|",""))+1-IF(ISNUMBER(SEARCH("Other",Data!$L39)),1,0)-IF(ISNUMBER(SEARCH("Not applicable",Data!$L39)),1,0)+IF(AND(ISNUMBER(SEARCH("Other",Data!$L39)),Data!$M39&lt;&gt;""),1,0))</f>
        <v>4</v>
      </c>
      <c r="G39" s="28" t="n">
        <f aca="false">IF(OR(F39="",F39=0),"NA",MIN(F39,Parameters!$C$38)/Parameters!$C$38)</f>
        <v>0.666666666666667</v>
      </c>
      <c r="H39" s="15" t="str">
        <f aca="false">IF(Data!$N39="","Blank",IF(SUMPRODUCT((Parameters!$B$49:$B$53&lt;&gt;"")*ISNUMBER(SEARCH(Parameters!$B$49:$B$53,Data!$N39)))&gt;0,"CHECK: suspect URL",IF(ISNUMBER(SEARCH(Parameters!$C$46,Data!$N39)),"Contribution guide","Other page")))</f>
        <v>Other page</v>
      </c>
      <c r="I39" s="28" t="n">
        <f aca="false">IF(H39="Contribution guide",Parameters!$C$44,IF(H39="Other page",Parameters!$C$45,"NA"))</f>
        <v>0.5</v>
      </c>
      <c r="J39" s="28" t="n">
        <f aca="false">IFERROR(INDEX(Parameters!$C$25:$C$28,MATCH(Data!$O39,Parameters!$B$25:$B$28,0)),"NA")</f>
        <v>1</v>
      </c>
      <c r="K39" s="28" t="str">
        <f aca="false">IFERROR(INDEX(Parameters!$C$32:$C$34,MATCH(Data!$Q39,Parameters!$B$32:$B$34,0)),"NA")</f>
        <v>NA</v>
      </c>
      <c r="L39" s="32" t="n">
        <f aca="false">IF(AND(Coding!AF39&gt;0,ISNUMBER(B39),B39&lt;=Parameters!$C$40),1,0)</f>
        <v>0</v>
      </c>
      <c r="M39" s="32" t="n">
        <f aca="false">IF(AND(Data!$P39&lt;&gt;"",NOT(AND(ISNUMBER(J39),J39=1))),1,0)</f>
        <v>0</v>
      </c>
      <c r="N39" s="32" t="n">
        <f aca="false">IF(AND(Data!$Q39="Formal",Data!$R39=""),1,0)</f>
        <v>0</v>
      </c>
      <c r="O39" s="32" t="n">
        <f aca="false">IF(AND(Data!$Q39="",Data!$R39&lt;&gt;""),1,0)</f>
        <v>0</v>
      </c>
      <c r="P39" s="32" t="n">
        <f aca="false">IF(AND(ISNUMBER(B39),B39=1,Coding!AF39=0,OR(Data!$I39&lt;&gt;"",Data!$J39&lt;&gt;"")),1,0)</f>
        <v>0</v>
      </c>
      <c r="Q39" s="32" t="n">
        <f aca="false">IF(H39="CHECK: suspect URL",1,0)</f>
        <v>0</v>
      </c>
      <c r="R39" s="32" t="n">
        <f aca="false">IF(AND(OR(Data!$K39="Considering",Data!$K39="Not planning"),OR(AND(ISNUMBER(F39),F39&gt;0),Data!$N39&lt;&gt;"")),1,0)</f>
        <v>0</v>
      </c>
      <c r="S39" s="32" t="n">
        <f aca="false">IF(Data!$F39="",1,0)</f>
        <v>0</v>
      </c>
      <c r="T39" s="32" t="n">
        <f aca="false">SUM(L39:S39)</f>
        <v>0</v>
      </c>
      <c r="U39" s="32" t="n">
        <f aca="false">IF(ISNUMBER(F39),F39-IF(ISNUMBER(SEARCH("Contribute funds",Data!$L39)),1,0),"")</f>
        <v>3</v>
      </c>
      <c r="V39" s="28" t="n">
        <f aca="false">IF(ISNUMBER(U39),MIN(U39,Parameters!$C$38)/Parameters!$C$38,"NA")</f>
        <v>0.5</v>
      </c>
    </row>
    <row r="40" customFormat="false" ht="15" hidden="false" customHeight="true" outlineLevel="0" collapsed="false">
      <c r="A40" s="15" t="str">
        <f aca="false">Data!$A40</f>
        <v>Dryad</v>
      </c>
      <c r="B40" s="28" t="n">
        <f aca="false">IFERROR(INDEX(Parameters!$C$25:$C$28,MATCH(Data!$G40,Parameters!$B$25:$B$28,0)),"NA")</f>
        <v>1</v>
      </c>
      <c r="C40" s="32" t="n">
        <f aca="false">IF(Coding!AF40=0,"",Coding!AF40)</f>
        <v>2</v>
      </c>
      <c r="D40" s="28" t="n">
        <f aca="false">IF(OR(C40="",C40=0),"NA",IF(AND(Parameters!$C$39=1,ISNUMBER(B40),B40&lt;=Parameters!$C$40),0,MIN(C40,Parameters!$C$37)/Parameters!$C$37))</f>
        <v>0.25</v>
      </c>
      <c r="E40" s="28" t="n">
        <f aca="false">IF(Data!$F40="","NA",IF(SUMPRODUCT((Parameters!$B$66:$B$70&lt;&gt;"")*ISNUMBER(SEARCH(Parameters!$B$66:$B$70,Data!$F40)))&gt;0,Parameters!$C$63,Parameters!$C$64))</f>
        <v>1</v>
      </c>
      <c r="F40" s="32" t="n">
        <f aca="false">IF(OR(Data!$L40="",Data!$L40="Not applicable"),"",LEN(Data!$L40)-LEN(SUBSTITUTE(Data!$L40,"|",""))+1-IF(ISNUMBER(SEARCH("Other",Data!$L40)),1,0)-IF(ISNUMBER(SEARCH("Not applicable",Data!$L40)),1,0)+IF(AND(ISNUMBER(SEARCH("Other",Data!$L40)),Data!$M40&lt;&gt;""),1,0))</f>
        <v>4</v>
      </c>
      <c r="G40" s="28" t="n">
        <f aca="false">IF(OR(F40="",F40=0),"NA",MIN(F40,Parameters!$C$38)/Parameters!$C$38)</f>
        <v>0.666666666666667</v>
      </c>
      <c r="H40" s="15" t="str">
        <f aca="false">IF(Data!$N40="","Blank",IF(SUMPRODUCT((Parameters!$B$49:$B$53&lt;&gt;"")*ISNUMBER(SEARCH(Parameters!$B$49:$B$53,Data!$N40)))&gt;0,"CHECK: suspect URL",IF(ISNUMBER(SEARCH(Parameters!$C$46,Data!$N40)),"Contribution guide","Other page")))</f>
        <v>Blank</v>
      </c>
      <c r="I40" s="28" t="str">
        <f aca="false">IF(H40="Contribution guide",Parameters!$C$44,IF(H40="Other page",Parameters!$C$45,"NA"))</f>
        <v>NA</v>
      </c>
      <c r="J40" s="28" t="n">
        <f aca="false">IFERROR(INDEX(Parameters!$C$25:$C$28,MATCH(Data!$O40,Parameters!$B$25:$B$28,0)),"NA")</f>
        <v>1</v>
      </c>
      <c r="K40" s="28" t="n">
        <f aca="false">IFERROR(INDEX(Parameters!$C$32:$C$34,MATCH(Data!$Q40,Parameters!$B$32:$B$34,0)),"NA")</f>
        <v>1</v>
      </c>
      <c r="L40" s="32" t="n">
        <f aca="false">IF(AND(Coding!AF40&gt;0,ISNUMBER(B40),B40&lt;=Parameters!$C$40),1,0)</f>
        <v>0</v>
      </c>
      <c r="M40" s="32" t="n">
        <f aca="false">IF(AND(Data!$P40&lt;&gt;"",NOT(AND(ISNUMBER(J40),J40=1))),1,0)</f>
        <v>0</v>
      </c>
      <c r="N40" s="32" t="n">
        <f aca="false">IF(AND(Data!$Q40="Formal",Data!$R40=""),1,0)</f>
        <v>0</v>
      </c>
      <c r="O40" s="32" t="n">
        <f aca="false">IF(AND(Data!$Q40="",Data!$R40&lt;&gt;""),1,0)</f>
        <v>0</v>
      </c>
      <c r="P40" s="32" t="n">
        <f aca="false">IF(AND(ISNUMBER(B40),B40=1,Coding!AF40=0,OR(Data!$I40&lt;&gt;"",Data!$J40&lt;&gt;"")),1,0)</f>
        <v>0</v>
      </c>
      <c r="Q40" s="32" t="n">
        <f aca="false">IF(H40="CHECK: suspect URL",1,0)</f>
        <v>0</v>
      </c>
      <c r="R40" s="32" t="n">
        <f aca="false">IF(AND(OR(Data!$K40="Considering",Data!$K40="Not planning"),OR(AND(ISNUMBER(F40),F40&gt;0),Data!$N40&lt;&gt;"")),1,0)</f>
        <v>0</v>
      </c>
      <c r="S40" s="32" t="n">
        <f aca="false">IF(Data!$F40="",1,0)</f>
        <v>0</v>
      </c>
      <c r="T40" s="32" t="n">
        <f aca="false">SUM(L40:S40)</f>
        <v>0</v>
      </c>
      <c r="U40" s="32" t="n">
        <f aca="false">IF(ISNUMBER(F40),F40-IF(ISNUMBER(SEARCH("Contribute funds",Data!$L40)),1,0),"")</f>
        <v>3</v>
      </c>
      <c r="V40" s="28" t="n">
        <f aca="false">IF(ISNUMBER(U40),MIN(U40,Parameters!$C$38)/Parameters!$C$38,"NA")</f>
        <v>0.5</v>
      </c>
    </row>
    <row r="41" customFormat="false" ht="15" hidden="false" customHeight="true" outlineLevel="0" collapsed="false">
      <c r="A41" s="15" t="str">
        <f aca="false">Data!$A41</f>
        <v>DSpace</v>
      </c>
      <c r="B41" s="28" t="n">
        <f aca="false">IFERROR(INDEX(Parameters!$C$25:$C$28,MATCH(Data!$G41,Parameters!$B$25:$B$28,0)),"NA")</f>
        <v>1</v>
      </c>
      <c r="C41" s="32" t="n">
        <f aca="false">IF(Coding!AF41=0,"",Coding!AF41)</f>
        <v>7</v>
      </c>
      <c r="D41" s="28" t="n">
        <f aca="false">IF(OR(C41="",C41=0),"NA",IF(AND(Parameters!$C$39=1,ISNUMBER(B41),B41&lt;=Parameters!$C$40),0,MIN(C41,Parameters!$C$37)/Parameters!$C$37))</f>
        <v>0.875</v>
      </c>
      <c r="E41" s="28" t="n">
        <f aca="false">IF(Data!$F41="","NA",IF(SUMPRODUCT((Parameters!$B$66:$B$70&lt;&gt;"")*ISNUMBER(SEARCH(Parameters!$B$66:$B$70,Data!$F41)))&gt;0,Parameters!$C$63,Parameters!$C$64))</f>
        <v>1</v>
      </c>
      <c r="F41" s="32" t="n">
        <f aca="false">IF(OR(Data!$L41="",Data!$L41="Not applicable"),"",LEN(Data!$L41)-LEN(SUBSTITUTE(Data!$L41,"|",""))+1-IF(ISNUMBER(SEARCH("Other",Data!$L41)),1,0)-IF(ISNUMBER(SEARCH("Not applicable",Data!$L41)),1,0)+IF(AND(ISNUMBER(SEARCH("Other",Data!$L41)),Data!$M41&lt;&gt;""),1,0))</f>
        <v>7</v>
      </c>
      <c r="G41" s="28" t="n">
        <f aca="false">IF(OR(F41="",F41=0),"NA",MIN(F41,Parameters!$C$38)/Parameters!$C$38)</f>
        <v>1</v>
      </c>
      <c r="H41" s="15" t="str">
        <f aca="false">IF(Data!$N41="","Blank",IF(SUMPRODUCT((Parameters!$B$49:$B$53&lt;&gt;"")*ISNUMBER(SEARCH(Parameters!$B$49:$B$53,Data!$N41)))&gt;0,"CHECK: suspect URL",IF(ISNUMBER(SEARCH(Parameters!$C$46,Data!$N41)),"Contribution guide","Other page")))</f>
        <v>Contribution guide</v>
      </c>
      <c r="I41" s="28" t="n">
        <f aca="false">IF(H41="Contribution guide",Parameters!$C$44,IF(H41="Other page",Parameters!$C$45,"NA"))</f>
        <v>1</v>
      </c>
      <c r="J41" s="28" t="n">
        <f aca="false">IFERROR(INDEX(Parameters!$C$25:$C$28,MATCH(Data!$O41,Parameters!$B$25:$B$28,0)),"NA")</f>
        <v>1</v>
      </c>
      <c r="K41" s="28" t="n">
        <f aca="false">IFERROR(INDEX(Parameters!$C$32:$C$34,MATCH(Data!$Q41,Parameters!$B$32:$B$34,0)),"NA")</f>
        <v>1</v>
      </c>
      <c r="L41" s="32" t="n">
        <f aca="false">IF(AND(Coding!AF41&gt;0,ISNUMBER(B41),B41&lt;=Parameters!$C$40),1,0)</f>
        <v>0</v>
      </c>
      <c r="M41" s="32" t="n">
        <f aca="false">IF(AND(Data!$P41&lt;&gt;"",NOT(AND(ISNUMBER(J41),J41=1))),1,0)</f>
        <v>0</v>
      </c>
      <c r="N41" s="32" t="n">
        <f aca="false">IF(AND(Data!$Q41="Formal",Data!$R41=""),1,0)</f>
        <v>0</v>
      </c>
      <c r="O41" s="32" t="n">
        <f aca="false">IF(AND(Data!$Q41="",Data!$R41&lt;&gt;""),1,0)</f>
        <v>0</v>
      </c>
      <c r="P41" s="32" t="n">
        <f aca="false">IF(AND(ISNUMBER(B41),B41=1,Coding!AF41=0,OR(Data!$I41&lt;&gt;"",Data!$J41&lt;&gt;"")),1,0)</f>
        <v>0</v>
      </c>
      <c r="Q41" s="32" t="n">
        <f aca="false">IF(H41="CHECK: suspect URL",1,0)</f>
        <v>0</v>
      </c>
      <c r="R41" s="32" t="n">
        <f aca="false">IF(AND(OR(Data!$K41="Considering",Data!$K41="Not planning"),OR(AND(ISNUMBER(F41),F41&gt;0),Data!$N41&lt;&gt;"")),1,0)</f>
        <v>0</v>
      </c>
      <c r="S41" s="32" t="n">
        <f aca="false">IF(Data!$F41="",1,0)</f>
        <v>0</v>
      </c>
      <c r="T41" s="32" t="n">
        <f aca="false">SUM(L41:S41)</f>
        <v>0</v>
      </c>
      <c r="U41" s="32" t="n">
        <f aca="false">IF(ISNUMBER(F41),F41-IF(ISNUMBER(SEARCH("Contribute funds",Data!$L41)),1,0),"")</f>
        <v>6</v>
      </c>
      <c r="V41" s="28" t="n">
        <f aca="false">IF(ISNUMBER(U41),MIN(U41,Parameters!$C$38)/Parameters!$C$38,"NA")</f>
        <v>1</v>
      </c>
    </row>
    <row r="42" customFormat="false" ht="15" hidden="false" customHeight="true" outlineLevel="0" collapsed="false">
      <c r="A42" s="15" t="str">
        <f aca="false">Data!$A42</f>
        <v>DuraCloud</v>
      </c>
      <c r="B42" s="28" t="n">
        <f aca="false">IFERROR(INDEX(Parameters!$C$25:$C$28,MATCH(Data!$G42,Parameters!$B$25:$B$28,0)),"NA")</f>
        <v>1</v>
      </c>
      <c r="C42" s="32" t="str">
        <f aca="false">IF(Coding!AF42=0,"",Coding!AF42)</f>
        <v/>
      </c>
      <c r="D42" s="28" t="str">
        <f aca="false">IF(OR(C42="",C42=0),"NA",IF(AND(Parameters!$C$39=1,ISNUMBER(B42),B42&lt;=Parameters!$C$40),0,MIN(C42,Parameters!$C$37)/Parameters!$C$37))</f>
        <v>NA</v>
      </c>
      <c r="E42" s="28" t="n">
        <f aca="false">IF(Data!$F42="","NA",IF(SUMPRODUCT((Parameters!$B$66:$B$70&lt;&gt;"")*ISNUMBER(SEARCH(Parameters!$B$66:$B$70,Data!$F42)))&gt;0,Parameters!$C$63,Parameters!$C$64))</f>
        <v>1</v>
      </c>
      <c r="F42" s="32" t="str">
        <f aca="false">IF(OR(Data!$L42="",Data!$L42="Not applicable"),"",LEN(Data!$L42)-LEN(SUBSTITUTE(Data!$L42,"|",""))+1-IF(ISNUMBER(SEARCH("Other",Data!$L42)),1,0)-IF(ISNUMBER(SEARCH("Not applicable",Data!$L42)),1,0)+IF(AND(ISNUMBER(SEARCH("Other",Data!$L42)),Data!$M42&lt;&gt;""),1,0))</f>
        <v/>
      </c>
      <c r="G42" s="28" t="str">
        <f aca="false">IF(OR(F42="",F42=0),"NA",MIN(F42,Parameters!$C$38)/Parameters!$C$38)</f>
        <v>NA</v>
      </c>
      <c r="H42" s="15" t="str">
        <f aca="false">IF(Data!$N42="","Blank",IF(SUMPRODUCT((Parameters!$B$49:$B$53&lt;&gt;"")*ISNUMBER(SEARCH(Parameters!$B$49:$B$53,Data!$N42)))&gt;0,"CHECK: suspect URL",IF(ISNUMBER(SEARCH(Parameters!$C$46,Data!$N42)),"Contribution guide","Other page")))</f>
        <v>Contribution guide</v>
      </c>
      <c r="I42" s="28" t="n">
        <f aca="false">IF(H42="Contribution guide",Parameters!$C$44,IF(H42="Other page",Parameters!$C$45,"NA"))</f>
        <v>1</v>
      </c>
      <c r="J42" s="28" t="n">
        <f aca="false">IFERROR(INDEX(Parameters!$C$25:$C$28,MATCH(Data!$O42,Parameters!$B$25:$B$28,0)),"NA")</f>
        <v>1</v>
      </c>
      <c r="K42" s="28" t="str">
        <f aca="false">IFERROR(INDEX(Parameters!$C$32:$C$34,MATCH(Data!$Q42,Parameters!$B$32:$B$34,0)),"NA")</f>
        <v>NA</v>
      </c>
      <c r="L42" s="32" t="n">
        <f aca="false">IF(AND(Coding!AF42&gt;0,ISNUMBER(B42),B42&lt;=Parameters!$C$40),1,0)</f>
        <v>0</v>
      </c>
      <c r="M42" s="32" t="n">
        <f aca="false">IF(AND(Data!$P42&lt;&gt;"",NOT(AND(ISNUMBER(J42),J42=1))),1,0)</f>
        <v>0</v>
      </c>
      <c r="N42" s="32" t="n">
        <f aca="false">IF(AND(Data!$Q42="Formal",Data!$R42=""),1,0)</f>
        <v>0</v>
      </c>
      <c r="O42" s="32" t="n">
        <f aca="false">IF(AND(Data!$Q42="",Data!$R42&lt;&gt;""),1,0)</f>
        <v>0</v>
      </c>
      <c r="P42" s="32" t="n">
        <f aca="false">IF(AND(ISNUMBER(B42),B42=1,Coding!AF42=0,OR(Data!$I42&lt;&gt;"",Data!$J42&lt;&gt;"")),1,0)</f>
        <v>0</v>
      </c>
      <c r="Q42" s="32" t="n">
        <f aca="false">IF(H42="CHECK: suspect URL",1,0)</f>
        <v>0</v>
      </c>
      <c r="R42" s="32" t="n">
        <f aca="false">IF(AND(OR(Data!$K42="Considering",Data!$K42="Not planning"),OR(AND(ISNUMBER(F42),F42&gt;0),Data!$N42&lt;&gt;"")),1,0)</f>
        <v>0</v>
      </c>
      <c r="S42" s="32" t="n">
        <f aca="false">IF(Data!$F42="",1,0)</f>
        <v>0</v>
      </c>
      <c r="T42" s="32" t="n">
        <f aca="false">SUM(L42:S42)</f>
        <v>0</v>
      </c>
      <c r="U42" s="32" t="str">
        <f aca="false">IF(ISNUMBER(F42),F42-IF(ISNUMBER(SEARCH("Contribute funds",Data!$L42)),1,0),"")</f>
        <v/>
      </c>
      <c r="V42" s="28" t="str">
        <f aca="false">IF(ISNUMBER(U42),MIN(U42,Parameters!$C$38)/Parameters!$C$38,"NA")</f>
        <v>NA</v>
      </c>
    </row>
    <row r="43" customFormat="false" ht="15" hidden="false" customHeight="true" outlineLevel="0" collapsed="false">
      <c r="A43" s="15" t="str">
        <f aca="false">Data!$A43</f>
        <v>Episciences</v>
      </c>
      <c r="B43" s="28" t="n">
        <f aca="false">IFERROR(INDEX(Parameters!$C$25:$C$28,MATCH(Data!$G43,Parameters!$B$25:$B$28,0)),"NA")</f>
        <v>0.67</v>
      </c>
      <c r="C43" s="32" t="str">
        <f aca="false">IF(Coding!AF43=0,"",Coding!AF43)</f>
        <v/>
      </c>
      <c r="D43" s="28" t="str">
        <f aca="false">IF(OR(C43="",C43=0),"NA",IF(AND(Parameters!$C$39=1,ISNUMBER(B43),B43&lt;=Parameters!$C$40),0,MIN(C43,Parameters!$C$37)/Parameters!$C$37))</f>
        <v>NA</v>
      </c>
      <c r="E43" s="28" t="n">
        <f aca="false">IF(Data!$F43="","NA",IF(SUMPRODUCT((Parameters!$B$66:$B$70&lt;&gt;"")*ISNUMBER(SEARCH(Parameters!$B$66:$B$70,Data!$F43)))&gt;0,Parameters!$C$63,Parameters!$C$64))</f>
        <v>1</v>
      </c>
      <c r="F43" s="32" t="str">
        <f aca="false">IF(OR(Data!$L43="",Data!$L43="Not applicable"),"",LEN(Data!$L43)-LEN(SUBSTITUTE(Data!$L43,"|",""))+1-IF(ISNUMBER(SEARCH("Other",Data!$L43)),1,0)-IF(ISNUMBER(SEARCH("Not applicable",Data!$L43)),1,0)+IF(AND(ISNUMBER(SEARCH("Other",Data!$L43)),Data!$M43&lt;&gt;""),1,0))</f>
        <v/>
      </c>
      <c r="G43" s="28" t="str">
        <f aca="false">IF(OR(F43="",F43=0),"NA",MIN(F43,Parameters!$C$38)/Parameters!$C$38)</f>
        <v>NA</v>
      </c>
      <c r="H43" s="15" t="str">
        <f aca="false">IF(Data!$N43="","Blank",IF(SUMPRODUCT((Parameters!$B$49:$B$53&lt;&gt;"")*ISNUMBER(SEARCH(Parameters!$B$49:$B$53,Data!$N43)))&gt;0,"CHECK: suspect URL",IF(ISNUMBER(SEARCH(Parameters!$C$46,Data!$N43)),"Contribution guide","Other page")))</f>
        <v>Blank</v>
      </c>
      <c r="I43" s="28" t="str">
        <f aca="false">IF(H43="Contribution guide",Parameters!$C$44,IF(H43="Other page",Parameters!$C$45,"NA"))</f>
        <v>NA</v>
      </c>
      <c r="J43" s="28" t="n">
        <f aca="false">IFERROR(INDEX(Parameters!$C$25:$C$28,MATCH(Data!$O43,Parameters!$B$25:$B$28,0)),"NA")</f>
        <v>0.33</v>
      </c>
      <c r="K43" s="28" t="n">
        <f aca="false">IFERROR(INDEX(Parameters!$C$32:$C$34,MATCH(Data!$Q43,Parameters!$B$32:$B$34,0)),"NA")</f>
        <v>0.5</v>
      </c>
      <c r="L43" s="32" t="n">
        <f aca="false">IF(AND(Coding!AF43&gt;0,ISNUMBER(B43),B43&lt;=Parameters!$C$40),1,0)</f>
        <v>0</v>
      </c>
      <c r="M43" s="32" t="n">
        <f aca="false">IF(AND(Data!$P43&lt;&gt;"",NOT(AND(ISNUMBER(J43),J43=1))),1,0)</f>
        <v>0</v>
      </c>
      <c r="N43" s="32" t="n">
        <f aca="false">IF(AND(Data!$Q43="Formal",Data!$R43=""),1,0)</f>
        <v>0</v>
      </c>
      <c r="O43" s="32" t="n">
        <f aca="false">IF(AND(Data!$Q43="",Data!$R43&lt;&gt;""),1,0)</f>
        <v>0</v>
      </c>
      <c r="P43" s="32" t="n">
        <f aca="false">IF(AND(ISNUMBER(B43),B43=1,Coding!AF43=0,OR(Data!$I43&lt;&gt;"",Data!$J43&lt;&gt;"")),1,0)</f>
        <v>0</v>
      </c>
      <c r="Q43" s="32" t="n">
        <f aca="false">IF(H43="CHECK: suspect URL",1,0)</f>
        <v>0</v>
      </c>
      <c r="R43" s="32" t="n">
        <f aca="false">IF(AND(OR(Data!$K43="Considering",Data!$K43="Not planning"),OR(AND(ISNUMBER(F43),F43&gt;0),Data!$N43&lt;&gt;"")),1,0)</f>
        <v>0</v>
      </c>
      <c r="S43" s="32" t="n">
        <f aca="false">IF(Data!$F43="",1,0)</f>
        <v>0</v>
      </c>
      <c r="T43" s="32" t="n">
        <f aca="false">SUM(L43:S43)</f>
        <v>0</v>
      </c>
      <c r="U43" s="32" t="str">
        <f aca="false">IF(ISNUMBER(F43),F43-IF(ISNUMBER(SEARCH("Contribute funds",Data!$L43)),1,0),"")</f>
        <v/>
      </c>
      <c r="V43" s="28" t="str">
        <f aca="false">IF(ISNUMBER(U43),MIN(U43,Parameters!$C$38)/Parameters!$C$38,"NA")</f>
        <v>NA</v>
      </c>
    </row>
    <row r="44" customFormat="false" ht="15" hidden="false" customHeight="true" outlineLevel="0" collapsed="false">
      <c r="A44" s="15" t="str">
        <f aca="false">Data!$A44</f>
        <v>EPrints</v>
      </c>
      <c r="B44" s="28" t="n">
        <f aca="false">IFERROR(INDEX(Parameters!$C$25:$C$28,MATCH(Data!$G44,Parameters!$B$25:$B$28,0)),"NA")</f>
        <v>1</v>
      </c>
      <c r="C44" s="32" t="str">
        <f aca="false">IF(Coding!AF44=0,"",Coding!AF44)</f>
        <v/>
      </c>
      <c r="D44" s="28" t="str">
        <f aca="false">IF(OR(C44="",C44=0),"NA",IF(AND(Parameters!$C$39=1,ISNUMBER(B44),B44&lt;=Parameters!$C$40),0,MIN(C44,Parameters!$C$37)/Parameters!$C$37))</f>
        <v>NA</v>
      </c>
      <c r="E44" s="28" t="n">
        <f aca="false">IF(Data!$F44="","NA",IF(SUMPRODUCT((Parameters!$B$66:$B$70&lt;&gt;"")*ISNUMBER(SEARCH(Parameters!$B$66:$B$70,Data!$F44)))&gt;0,Parameters!$C$63,Parameters!$C$64))</f>
        <v>1</v>
      </c>
      <c r="F44" s="32" t="str">
        <f aca="false">IF(OR(Data!$L44="",Data!$L44="Not applicable"),"",LEN(Data!$L44)-LEN(SUBSTITUTE(Data!$L44,"|",""))+1-IF(ISNUMBER(SEARCH("Other",Data!$L44)),1,0)-IF(ISNUMBER(SEARCH("Not applicable",Data!$L44)),1,0)+IF(AND(ISNUMBER(SEARCH("Other",Data!$L44)),Data!$M44&lt;&gt;""),1,0))</f>
        <v/>
      </c>
      <c r="G44" s="28" t="str">
        <f aca="false">IF(OR(F44="",F44=0),"NA",MIN(F44,Parameters!$C$38)/Parameters!$C$38)</f>
        <v>NA</v>
      </c>
      <c r="H44" s="15" t="str">
        <f aca="false">IF(Data!$N44="","Blank",IF(SUMPRODUCT((Parameters!$B$49:$B$53&lt;&gt;"")*ISNUMBER(SEARCH(Parameters!$B$49:$B$53,Data!$N44)))&gt;0,"CHECK: suspect URL",IF(ISNUMBER(SEARCH(Parameters!$C$46,Data!$N44)),"Contribution guide","Other page")))</f>
        <v>CHECK: suspect URL</v>
      </c>
      <c r="I44" s="28" t="str">
        <f aca="false">IF(H44="Contribution guide",Parameters!$C$44,IF(H44="Other page",Parameters!$C$45,"NA"))</f>
        <v>NA</v>
      </c>
      <c r="J44" s="28" t="n">
        <f aca="false">IFERROR(INDEX(Parameters!$C$25:$C$28,MATCH(Data!$O44,Parameters!$B$25:$B$28,0)),"NA")</f>
        <v>0.67</v>
      </c>
      <c r="K44" s="28" t="str">
        <f aca="false">IFERROR(INDEX(Parameters!$C$32:$C$34,MATCH(Data!$Q44,Parameters!$B$32:$B$34,0)),"NA")</f>
        <v>NA</v>
      </c>
      <c r="L44" s="32" t="n">
        <f aca="false">IF(AND(Coding!AF44&gt;0,ISNUMBER(B44),B44&lt;=Parameters!$C$40),1,0)</f>
        <v>0</v>
      </c>
      <c r="M44" s="32" t="n">
        <f aca="false">IF(AND(Data!$P44&lt;&gt;"",NOT(AND(ISNUMBER(J44),J44=1))),1,0)</f>
        <v>0</v>
      </c>
      <c r="N44" s="32" t="n">
        <f aca="false">IF(AND(Data!$Q44="Formal",Data!$R44=""),1,0)</f>
        <v>0</v>
      </c>
      <c r="O44" s="32" t="n">
        <f aca="false">IF(AND(Data!$Q44="",Data!$R44&lt;&gt;""),1,0)</f>
        <v>0</v>
      </c>
      <c r="P44" s="32" t="n">
        <f aca="false">IF(AND(ISNUMBER(B44),B44=1,Coding!AF44=0,OR(Data!$I44&lt;&gt;"",Data!$J44&lt;&gt;"")),1,0)</f>
        <v>1</v>
      </c>
      <c r="Q44" s="32" t="n">
        <f aca="false">IF(H44="CHECK: suspect URL",1,0)</f>
        <v>1</v>
      </c>
      <c r="R44" s="32" t="n">
        <f aca="false">IF(AND(OR(Data!$K44="Considering",Data!$K44="Not planning"),OR(AND(ISNUMBER(F44),F44&gt;0),Data!$N44&lt;&gt;"")),1,0)</f>
        <v>0</v>
      </c>
      <c r="S44" s="32" t="n">
        <f aca="false">IF(Data!$F44="",1,0)</f>
        <v>0</v>
      </c>
      <c r="T44" s="32" t="n">
        <f aca="false">SUM(L44:S44)</f>
        <v>2</v>
      </c>
      <c r="U44" s="32" t="str">
        <f aca="false">IF(ISNUMBER(F44),F44-IF(ISNUMBER(SEARCH("Contribute funds",Data!$L44)),1,0),"")</f>
        <v/>
      </c>
      <c r="V44" s="28" t="str">
        <f aca="false">IF(ISNUMBER(U44),MIN(U44,Parameters!$C$38)/Parameters!$C$38,"NA")</f>
        <v>NA</v>
      </c>
    </row>
    <row r="45" customFormat="false" ht="15" hidden="false" customHeight="true" outlineLevel="0" collapsed="false">
      <c r="A45" s="15" t="str">
        <f aca="false">Data!$A45</f>
        <v>Érudit</v>
      </c>
      <c r="B45" s="28" t="n">
        <f aca="false">IFERROR(INDEX(Parameters!$C$25:$C$28,MATCH(Data!$G45,Parameters!$B$25:$B$28,0)),"NA")</f>
        <v>1</v>
      </c>
      <c r="C45" s="32" t="str">
        <f aca="false">IF(Coding!AF45=0,"",Coding!AF45)</f>
        <v/>
      </c>
      <c r="D45" s="28" t="str">
        <f aca="false">IF(OR(C45="",C45=0),"NA",IF(AND(Parameters!$C$39=1,ISNUMBER(B45),B45&lt;=Parameters!$C$40),0,MIN(C45,Parameters!$C$37)/Parameters!$C$37))</f>
        <v>NA</v>
      </c>
      <c r="E45" s="28" t="n">
        <f aca="false">IF(Data!$F45="","NA",IF(SUMPRODUCT((Parameters!$B$66:$B$70&lt;&gt;"")*ISNUMBER(SEARCH(Parameters!$B$66:$B$70,Data!$F45)))&gt;0,Parameters!$C$63,Parameters!$C$64))</f>
        <v>1</v>
      </c>
      <c r="F45" s="32" t="n">
        <f aca="false">IF(OR(Data!$L45="",Data!$L45="Not applicable"),"",LEN(Data!$L45)-LEN(SUBSTITUTE(Data!$L45,"|",""))+1-IF(ISNUMBER(SEARCH("Other",Data!$L45)),1,0)-IF(ISNUMBER(SEARCH("Not applicable",Data!$L45)),1,0)+IF(AND(ISNUMBER(SEARCH("Other",Data!$L45)),Data!$M45&lt;&gt;""),1,0))</f>
        <v>2</v>
      </c>
      <c r="G45" s="28" t="n">
        <f aca="false">IF(OR(F45="",F45=0),"NA",MIN(F45,Parameters!$C$38)/Parameters!$C$38)</f>
        <v>0.333333333333333</v>
      </c>
      <c r="H45" s="15" t="str">
        <f aca="false">IF(Data!$N45="","Blank",IF(SUMPRODUCT((Parameters!$B$49:$B$53&lt;&gt;"")*ISNUMBER(SEARCH(Parameters!$B$49:$B$53,Data!$N45)))&gt;0,"CHECK: suspect URL",IF(ISNUMBER(SEARCH(Parameters!$C$46,Data!$N45)),"Contribution guide","Other page")))</f>
        <v>Other page</v>
      </c>
      <c r="I45" s="28" t="n">
        <f aca="false">IF(H45="Contribution guide",Parameters!$C$44,IF(H45="Other page",Parameters!$C$45,"NA"))</f>
        <v>0.5</v>
      </c>
      <c r="J45" s="28" t="n">
        <f aca="false">IFERROR(INDEX(Parameters!$C$25:$C$28,MATCH(Data!$O45,Parameters!$B$25:$B$28,0)),"NA")</f>
        <v>1</v>
      </c>
      <c r="K45" s="28" t="n">
        <f aca="false">IFERROR(INDEX(Parameters!$C$32:$C$34,MATCH(Data!$Q45,Parameters!$B$32:$B$34,0)),"NA")</f>
        <v>1</v>
      </c>
      <c r="L45" s="32" t="n">
        <f aca="false">IF(AND(Coding!AF45&gt;0,ISNUMBER(B45),B45&lt;=Parameters!$C$40),1,0)</f>
        <v>0</v>
      </c>
      <c r="M45" s="32" t="n">
        <f aca="false">IF(AND(Data!$P45&lt;&gt;"",NOT(AND(ISNUMBER(J45),J45=1))),1,0)</f>
        <v>0</v>
      </c>
      <c r="N45" s="32" t="n">
        <f aca="false">IF(AND(Data!$Q45="Formal",Data!$R45=""),1,0)</f>
        <v>0</v>
      </c>
      <c r="O45" s="32" t="n">
        <f aca="false">IF(AND(Data!$Q45="",Data!$R45&lt;&gt;""),1,0)</f>
        <v>0</v>
      </c>
      <c r="P45" s="32" t="n">
        <f aca="false">IF(AND(ISNUMBER(B45),B45=1,Coding!AF45=0,OR(Data!$I45&lt;&gt;"",Data!$J45&lt;&gt;"")),1,0)</f>
        <v>1</v>
      </c>
      <c r="Q45" s="32" t="n">
        <f aca="false">IF(H45="CHECK: suspect URL",1,0)</f>
        <v>0</v>
      </c>
      <c r="R45" s="32" t="n">
        <f aca="false">IF(AND(OR(Data!$K45="Considering",Data!$K45="Not planning"),OR(AND(ISNUMBER(F45),F45&gt;0),Data!$N45&lt;&gt;"")),1,0)</f>
        <v>0</v>
      </c>
      <c r="S45" s="32" t="n">
        <f aca="false">IF(Data!$F45="",1,0)</f>
        <v>0</v>
      </c>
      <c r="T45" s="32" t="n">
        <f aca="false">SUM(L45:S45)</f>
        <v>1</v>
      </c>
      <c r="U45" s="32" t="n">
        <f aca="false">IF(ISNUMBER(F45),F45-IF(ISNUMBER(SEARCH("Contribute funds",Data!$L45)),1,0),"")</f>
        <v>2</v>
      </c>
      <c r="V45" s="28" t="n">
        <f aca="false">IF(ISNUMBER(U45),MIN(U45,Parameters!$C$38)/Parameters!$C$38,"NA")</f>
        <v>0.333333333333333</v>
      </c>
    </row>
    <row r="46" customFormat="false" ht="15" hidden="false" customHeight="true" outlineLevel="0" collapsed="false">
      <c r="A46" s="15" t="str">
        <f aca="false">Data!$A46</f>
        <v>Europe PMC</v>
      </c>
      <c r="B46" s="28" t="n">
        <f aca="false">IFERROR(INDEX(Parameters!$C$25:$C$28,MATCH(Data!$G46,Parameters!$B$25:$B$28,0)),"NA")</f>
        <v>1</v>
      </c>
      <c r="C46" s="32" t="n">
        <f aca="false">IF(Coding!AF46=0,"",Coding!AF46)</f>
        <v>4</v>
      </c>
      <c r="D46" s="28" t="n">
        <f aca="false">IF(OR(C46="",C46=0),"NA",IF(AND(Parameters!$C$39=1,ISNUMBER(B46),B46&lt;=Parameters!$C$40),0,MIN(C46,Parameters!$C$37)/Parameters!$C$37))</f>
        <v>0.5</v>
      </c>
      <c r="E46" s="28" t="n">
        <f aca="false">IF(Data!$F46="","NA",IF(SUMPRODUCT((Parameters!$B$66:$B$70&lt;&gt;"")*ISNUMBER(SEARCH(Parameters!$B$66:$B$70,Data!$F46)))&gt;0,Parameters!$C$63,Parameters!$C$64))</f>
        <v>1</v>
      </c>
      <c r="F46" s="32" t="n">
        <f aca="false">IF(OR(Data!$L46="",Data!$L46="Not applicable"),"",LEN(Data!$L46)-LEN(SUBSTITUTE(Data!$L46,"|",""))+1-IF(ISNUMBER(SEARCH("Other",Data!$L46)),1,0)-IF(ISNUMBER(SEARCH("Not applicable",Data!$L46)),1,0)+IF(AND(ISNUMBER(SEARCH("Other",Data!$L46)),Data!$M46&lt;&gt;""),1,0))</f>
        <v>3</v>
      </c>
      <c r="G46" s="28" t="n">
        <f aca="false">IF(OR(F46="",F46=0),"NA",MIN(F46,Parameters!$C$38)/Parameters!$C$38)</f>
        <v>0.5</v>
      </c>
      <c r="H46" s="15" t="str">
        <f aca="false">IF(Data!$N46="","Blank",IF(SUMPRODUCT((Parameters!$B$49:$B$53&lt;&gt;"")*ISNUMBER(SEARCH(Parameters!$B$49:$B$53,Data!$N46)))&gt;0,"CHECK: suspect URL",IF(ISNUMBER(SEARCH(Parameters!$C$46,Data!$N46)),"Contribution guide","Other page")))</f>
        <v>Other page</v>
      </c>
      <c r="I46" s="28" t="n">
        <f aca="false">IF(H46="Contribution guide",Parameters!$C$44,IF(H46="Other page",Parameters!$C$45,"NA"))</f>
        <v>0.5</v>
      </c>
      <c r="J46" s="28" t="n">
        <f aca="false">IFERROR(INDEX(Parameters!$C$25:$C$28,MATCH(Data!$O46,Parameters!$B$25:$B$28,0)),"NA")</f>
        <v>1</v>
      </c>
      <c r="K46" s="28" t="n">
        <f aca="false">IFERROR(INDEX(Parameters!$C$32:$C$34,MATCH(Data!$Q46,Parameters!$B$32:$B$34,0)),"NA")</f>
        <v>1</v>
      </c>
      <c r="L46" s="32" t="n">
        <f aca="false">IF(AND(Coding!AF46&gt;0,ISNUMBER(B46),B46&lt;=Parameters!$C$40),1,0)</f>
        <v>0</v>
      </c>
      <c r="M46" s="32" t="n">
        <f aca="false">IF(AND(Data!$P46&lt;&gt;"",NOT(AND(ISNUMBER(J46),J46=1))),1,0)</f>
        <v>0</v>
      </c>
      <c r="N46" s="32" t="n">
        <f aca="false">IF(AND(Data!$Q46="Formal",Data!$R46=""),1,0)</f>
        <v>0</v>
      </c>
      <c r="O46" s="32" t="n">
        <f aca="false">IF(AND(Data!$Q46="",Data!$R46&lt;&gt;""),1,0)</f>
        <v>0</v>
      </c>
      <c r="P46" s="32" t="n">
        <f aca="false">IF(AND(ISNUMBER(B46),B46=1,Coding!AF46=0,OR(Data!$I46&lt;&gt;"",Data!$J46&lt;&gt;"")),1,0)</f>
        <v>0</v>
      </c>
      <c r="Q46" s="32" t="n">
        <f aca="false">IF(H46="CHECK: suspect URL",1,0)</f>
        <v>0</v>
      </c>
      <c r="R46" s="32" t="n">
        <f aca="false">IF(AND(OR(Data!$K46="Considering",Data!$K46="Not planning"),OR(AND(ISNUMBER(F46),F46&gt;0),Data!$N46&lt;&gt;"")),1,0)</f>
        <v>0</v>
      </c>
      <c r="S46" s="32" t="n">
        <f aca="false">IF(Data!$F46="",1,0)</f>
        <v>0</v>
      </c>
      <c r="T46" s="32" t="n">
        <f aca="false">SUM(L46:S46)</f>
        <v>0</v>
      </c>
      <c r="U46" s="32" t="n">
        <f aca="false">IF(ISNUMBER(F46),F46-IF(ISNUMBER(SEARCH("Contribute funds",Data!$L46)),1,0),"")</f>
        <v>3</v>
      </c>
      <c r="V46" s="28" t="n">
        <f aca="false">IF(ISNUMBER(U46),MIN(U46,Parameters!$C$38)/Parameters!$C$38,"NA")</f>
        <v>0.5</v>
      </c>
    </row>
    <row r="47" customFormat="false" ht="15" hidden="false" customHeight="true" outlineLevel="0" collapsed="false">
      <c r="A47" s="15" t="str">
        <f aca="false">Data!$A47</f>
        <v>FAIR Wizard</v>
      </c>
      <c r="B47" s="28" t="n">
        <f aca="false">IFERROR(INDEX(Parameters!$C$25:$C$28,MATCH(Data!$G47,Parameters!$B$25:$B$28,0)),"NA")</f>
        <v>1</v>
      </c>
      <c r="C47" s="32" t="n">
        <f aca="false">IF(Coding!AF47=0,"",Coding!AF47)</f>
        <v>6</v>
      </c>
      <c r="D47" s="28" t="n">
        <f aca="false">IF(OR(C47="",C47=0),"NA",IF(AND(Parameters!$C$39=1,ISNUMBER(B47),B47&lt;=Parameters!$C$40),0,MIN(C47,Parameters!$C$37)/Parameters!$C$37))</f>
        <v>0.75</v>
      </c>
      <c r="E47" s="28" t="str">
        <f aca="false">IF(Data!$F47="","NA",IF(SUMPRODUCT((Parameters!$B$66:$B$70&lt;&gt;"")*ISNUMBER(SEARCH(Parameters!$B$66:$B$70,Data!$F47)))&gt;0,Parameters!$C$63,Parameters!$C$64))</f>
        <v>NA</v>
      </c>
      <c r="F47" s="32" t="n">
        <f aca="false">IF(OR(Data!$L47="",Data!$L47="Not applicable"),"",LEN(Data!$L47)-LEN(SUBSTITUTE(Data!$L47,"|",""))+1-IF(ISNUMBER(SEARCH("Other",Data!$L47)),1,0)-IF(ISNUMBER(SEARCH("Not applicable",Data!$L47)),1,0)+IF(AND(ISNUMBER(SEARCH("Other",Data!$L47)),Data!$M47&lt;&gt;""),1,0))</f>
        <v>4</v>
      </c>
      <c r="G47" s="28" t="n">
        <f aca="false">IF(OR(F47="",F47=0),"NA",MIN(F47,Parameters!$C$38)/Parameters!$C$38)</f>
        <v>0.666666666666667</v>
      </c>
      <c r="H47" s="15" t="str">
        <f aca="false">IF(Data!$N47="","Blank",IF(SUMPRODUCT((Parameters!$B$49:$B$53&lt;&gt;"")*ISNUMBER(SEARCH(Parameters!$B$49:$B$53,Data!$N47)))&gt;0,"CHECK: suspect URL",IF(ISNUMBER(SEARCH(Parameters!$C$46,Data!$N47)),"Contribution guide","Other page")))</f>
        <v>Blank</v>
      </c>
      <c r="I47" s="28" t="str">
        <f aca="false">IF(H47="Contribution guide",Parameters!$C$44,IF(H47="Other page",Parameters!$C$45,"NA"))</f>
        <v>NA</v>
      </c>
      <c r="J47" s="28" t="n">
        <f aca="false">IFERROR(INDEX(Parameters!$C$25:$C$28,MATCH(Data!$O47,Parameters!$B$25:$B$28,0)),"NA")</f>
        <v>0.33</v>
      </c>
      <c r="K47" s="28" t="n">
        <f aca="false">IFERROR(INDEX(Parameters!$C$32:$C$34,MATCH(Data!$Q47,Parameters!$B$32:$B$34,0)),"NA")</f>
        <v>0.5</v>
      </c>
      <c r="L47" s="32" t="n">
        <f aca="false">IF(AND(Coding!AF47&gt;0,ISNUMBER(B47),B47&lt;=Parameters!$C$40),1,0)</f>
        <v>0</v>
      </c>
      <c r="M47" s="32" t="n">
        <f aca="false">IF(AND(Data!$P47&lt;&gt;"",NOT(AND(ISNUMBER(J47),J47=1))),1,0)</f>
        <v>0</v>
      </c>
      <c r="N47" s="32" t="n">
        <f aca="false">IF(AND(Data!$Q47="Formal",Data!$R47=""),1,0)</f>
        <v>0</v>
      </c>
      <c r="O47" s="32" t="n">
        <f aca="false">IF(AND(Data!$Q47="",Data!$R47&lt;&gt;""),1,0)</f>
        <v>0</v>
      </c>
      <c r="P47" s="32" t="n">
        <f aca="false">IF(AND(ISNUMBER(B47),B47=1,Coding!AF47=0,OR(Data!$I47&lt;&gt;"",Data!$J47&lt;&gt;"")),1,0)</f>
        <v>0</v>
      </c>
      <c r="Q47" s="32" t="n">
        <f aca="false">IF(H47="CHECK: suspect URL",1,0)</f>
        <v>0</v>
      </c>
      <c r="R47" s="32" t="n">
        <f aca="false">IF(AND(OR(Data!$K47="Considering",Data!$K47="Not planning"),OR(AND(ISNUMBER(F47),F47&gt;0),Data!$N47&lt;&gt;"")),1,0)</f>
        <v>0</v>
      </c>
      <c r="S47" s="32" t="n">
        <f aca="false">IF(Data!$F47="",1,0)</f>
        <v>1</v>
      </c>
      <c r="T47" s="32" t="n">
        <f aca="false">SUM(L47:S47)</f>
        <v>1</v>
      </c>
      <c r="U47" s="32" t="n">
        <f aca="false">IF(ISNUMBER(F47),F47-IF(ISNUMBER(SEARCH("Contribute funds",Data!$L47)),1,0),"")</f>
        <v>4</v>
      </c>
      <c r="V47" s="28" t="n">
        <f aca="false">IF(ISNUMBER(U47),MIN(U47,Parameters!$C$38)/Parameters!$C$38,"NA")</f>
        <v>0.666666666666667</v>
      </c>
    </row>
    <row r="48" customFormat="false" ht="15" hidden="false" customHeight="true" outlineLevel="0" collapsed="false">
      <c r="A48" s="15" t="str">
        <f aca="false">Data!$A48</f>
        <v>Fedora</v>
      </c>
      <c r="B48" s="28" t="n">
        <f aca="false">IFERROR(INDEX(Parameters!$C$25:$C$28,MATCH(Data!$G48,Parameters!$B$25:$B$28,0)),"NA")</f>
        <v>1</v>
      </c>
      <c r="C48" s="32" t="n">
        <f aca="false">IF(Coding!AF48=0,"",Coding!AF48)</f>
        <v>10</v>
      </c>
      <c r="D48" s="28" t="n">
        <f aca="false">IF(OR(C48="",C48=0),"NA",IF(AND(Parameters!$C$39=1,ISNUMBER(B48),B48&lt;=Parameters!$C$40),0,MIN(C48,Parameters!$C$37)/Parameters!$C$37))</f>
        <v>1</v>
      </c>
      <c r="E48" s="28" t="n">
        <f aca="false">IF(Data!$F48="","NA",IF(SUMPRODUCT((Parameters!$B$66:$B$70&lt;&gt;"")*ISNUMBER(SEARCH(Parameters!$B$66:$B$70,Data!$F48)))&gt;0,Parameters!$C$63,Parameters!$C$64))</f>
        <v>1</v>
      </c>
      <c r="F48" s="32" t="n">
        <f aca="false">IF(OR(Data!$L48="",Data!$L48="Not applicable"),"",LEN(Data!$L48)-LEN(SUBSTITUTE(Data!$L48,"|",""))+1-IF(ISNUMBER(SEARCH("Other",Data!$L48)),1,0)-IF(ISNUMBER(SEARCH("Not applicable",Data!$L48)),1,0)+IF(AND(ISNUMBER(SEARCH("Other",Data!$L48)),Data!$M48&lt;&gt;""),1,0))</f>
        <v>8</v>
      </c>
      <c r="G48" s="28" t="n">
        <f aca="false">IF(OR(F48="",F48=0),"NA",MIN(F48,Parameters!$C$38)/Parameters!$C$38)</f>
        <v>1</v>
      </c>
      <c r="H48" s="15" t="str">
        <f aca="false">IF(Data!$N48="","Blank",IF(SUMPRODUCT((Parameters!$B$49:$B$53&lt;&gt;"")*ISNUMBER(SEARCH(Parameters!$B$49:$B$53,Data!$N48)))&gt;0,"CHECK: suspect URL",IF(ISNUMBER(SEARCH(Parameters!$C$46,Data!$N48)),"Contribution guide","Other page")))</f>
        <v>Other page</v>
      </c>
      <c r="I48" s="28" t="n">
        <f aca="false">IF(H48="Contribution guide",Parameters!$C$44,IF(H48="Other page",Parameters!$C$45,"NA"))</f>
        <v>0.5</v>
      </c>
      <c r="J48" s="28" t="n">
        <f aca="false">IFERROR(INDEX(Parameters!$C$25:$C$28,MATCH(Data!$O48,Parameters!$B$25:$B$28,0)),"NA")</f>
        <v>1</v>
      </c>
      <c r="K48" s="28" t="n">
        <f aca="false">IFERROR(INDEX(Parameters!$C$32:$C$34,MATCH(Data!$Q48,Parameters!$B$32:$B$34,0)),"NA")</f>
        <v>1</v>
      </c>
      <c r="L48" s="32" t="n">
        <f aca="false">IF(AND(Coding!AF48&gt;0,ISNUMBER(B48),B48&lt;=Parameters!$C$40),1,0)</f>
        <v>0</v>
      </c>
      <c r="M48" s="32" t="n">
        <f aca="false">IF(AND(Data!$P48&lt;&gt;"",NOT(AND(ISNUMBER(J48),J48=1))),1,0)</f>
        <v>0</v>
      </c>
      <c r="N48" s="32" t="n">
        <f aca="false">IF(AND(Data!$Q48="Formal",Data!$R48=""),1,0)</f>
        <v>0</v>
      </c>
      <c r="O48" s="32" t="n">
        <f aca="false">IF(AND(Data!$Q48="",Data!$R48&lt;&gt;""),1,0)</f>
        <v>0</v>
      </c>
      <c r="P48" s="32" t="n">
        <f aca="false">IF(AND(ISNUMBER(B48),B48=1,Coding!AF48=0,OR(Data!$I48&lt;&gt;"",Data!$J48&lt;&gt;"")),1,0)</f>
        <v>0</v>
      </c>
      <c r="Q48" s="32" t="n">
        <f aca="false">IF(H48="CHECK: suspect URL",1,0)</f>
        <v>0</v>
      </c>
      <c r="R48" s="32" t="n">
        <f aca="false">IF(AND(OR(Data!$K48="Considering",Data!$K48="Not planning"),OR(AND(ISNUMBER(F48),F48&gt;0),Data!$N48&lt;&gt;"")),1,0)</f>
        <v>0</v>
      </c>
      <c r="S48" s="32" t="n">
        <f aca="false">IF(Data!$F48="",1,0)</f>
        <v>0</v>
      </c>
      <c r="T48" s="32" t="n">
        <f aca="false">SUM(L48:S48)</f>
        <v>0</v>
      </c>
      <c r="U48" s="32" t="n">
        <f aca="false">IF(ISNUMBER(F48),F48-IF(ISNUMBER(SEARCH("Contribute funds",Data!$L48)),1,0),"")</f>
        <v>7</v>
      </c>
      <c r="V48" s="28" t="n">
        <f aca="false">IF(ISNUMBER(U48),MIN(U48,Parameters!$C$38)/Parameters!$C$38,"NA")</f>
        <v>1</v>
      </c>
    </row>
    <row r="49" customFormat="false" ht="15" hidden="false" customHeight="true" outlineLevel="0" collapsed="false">
      <c r="A49" s="15" t="str">
        <f aca="false">Data!$A49</f>
        <v>fido</v>
      </c>
      <c r="B49" s="28" t="n">
        <f aca="false">IFERROR(INDEX(Parameters!$C$25:$C$28,MATCH(Data!$G49,Parameters!$B$25:$B$28,0)),"NA")</f>
        <v>1</v>
      </c>
      <c r="C49" s="32" t="n">
        <f aca="false">IF(Coding!AF49=0,"",Coding!AF49)</f>
        <v>8</v>
      </c>
      <c r="D49" s="28" t="n">
        <f aca="false">IF(OR(C49="",C49=0),"NA",IF(AND(Parameters!$C$39=1,ISNUMBER(B49),B49&lt;=Parameters!$C$40),0,MIN(C49,Parameters!$C$37)/Parameters!$C$37))</f>
        <v>1</v>
      </c>
      <c r="E49" s="28" t="n">
        <f aca="false">IF(Data!$F49="","NA",IF(SUMPRODUCT((Parameters!$B$66:$B$70&lt;&gt;"")*ISNUMBER(SEARCH(Parameters!$B$66:$B$70,Data!$F49)))&gt;0,Parameters!$C$63,Parameters!$C$64))</f>
        <v>1</v>
      </c>
      <c r="F49" s="32" t="n">
        <f aca="false">IF(OR(Data!$L49="",Data!$L49="Not applicable"),"",LEN(Data!$L49)-LEN(SUBSTITUTE(Data!$L49,"|",""))+1-IF(ISNUMBER(SEARCH("Other",Data!$L49)),1,0)-IF(ISNUMBER(SEARCH("Not applicable",Data!$L49)),1,0)+IF(AND(ISNUMBER(SEARCH("Other",Data!$L49)),Data!$M49&lt;&gt;""),1,0))</f>
        <v>3</v>
      </c>
      <c r="G49" s="28" t="n">
        <f aca="false">IF(OR(F49="",F49=0),"NA",MIN(F49,Parameters!$C$38)/Parameters!$C$38)</f>
        <v>0.5</v>
      </c>
      <c r="H49" s="15" t="str">
        <f aca="false">IF(Data!$N49="","Blank",IF(SUMPRODUCT((Parameters!$B$49:$B$53&lt;&gt;"")*ISNUMBER(SEARCH(Parameters!$B$49:$B$53,Data!$N49)))&gt;0,"CHECK: suspect URL",IF(ISNUMBER(SEARCH(Parameters!$C$46,Data!$N49)),"Contribution guide","Other page")))</f>
        <v>Other page</v>
      </c>
      <c r="I49" s="28" t="n">
        <f aca="false">IF(H49="Contribution guide",Parameters!$C$44,IF(H49="Other page",Parameters!$C$45,"NA"))</f>
        <v>0.5</v>
      </c>
      <c r="J49" s="28" t="n">
        <f aca="false">IFERROR(INDEX(Parameters!$C$25:$C$28,MATCH(Data!$O49,Parameters!$B$25:$B$28,0)),"NA")</f>
        <v>0.33</v>
      </c>
      <c r="K49" s="28" t="n">
        <f aca="false">IFERROR(INDEX(Parameters!$C$32:$C$34,MATCH(Data!$Q49,Parameters!$B$32:$B$34,0)),"NA")</f>
        <v>1</v>
      </c>
      <c r="L49" s="32" t="n">
        <f aca="false">IF(AND(Coding!AF49&gt;0,ISNUMBER(B49),B49&lt;=Parameters!$C$40),1,0)</f>
        <v>0</v>
      </c>
      <c r="M49" s="32" t="n">
        <f aca="false">IF(AND(Data!$P49&lt;&gt;"",NOT(AND(ISNUMBER(J49),J49=1))),1,0)</f>
        <v>0</v>
      </c>
      <c r="N49" s="32" t="n">
        <f aca="false">IF(AND(Data!$Q49="Formal",Data!$R49=""),1,0)</f>
        <v>1</v>
      </c>
      <c r="O49" s="32" t="n">
        <f aca="false">IF(AND(Data!$Q49="",Data!$R49&lt;&gt;""),1,0)</f>
        <v>0</v>
      </c>
      <c r="P49" s="32" t="n">
        <f aca="false">IF(AND(ISNUMBER(B49),B49=1,Coding!AF49=0,OR(Data!$I49&lt;&gt;"",Data!$J49&lt;&gt;"")),1,0)</f>
        <v>0</v>
      </c>
      <c r="Q49" s="32" t="n">
        <f aca="false">IF(H49="CHECK: suspect URL",1,0)</f>
        <v>0</v>
      </c>
      <c r="R49" s="32" t="n">
        <f aca="false">IF(AND(OR(Data!$K49="Considering",Data!$K49="Not planning"),OR(AND(ISNUMBER(F49),F49&gt;0),Data!$N49&lt;&gt;"")),1,0)</f>
        <v>0</v>
      </c>
      <c r="S49" s="32" t="n">
        <f aca="false">IF(Data!$F49="",1,0)</f>
        <v>0</v>
      </c>
      <c r="T49" s="32" t="n">
        <f aca="false">SUM(L49:S49)</f>
        <v>1</v>
      </c>
      <c r="U49" s="32" t="n">
        <f aca="false">IF(ISNUMBER(F49),F49-IF(ISNUMBER(SEARCH("Contribute funds",Data!$L49)),1,0),"")</f>
        <v>3</v>
      </c>
      <c r="V49" s="28" t="n">
        <f aca="false">IF(ISNUMBER(U49),MIN(U49,Parameters!$C$38)/Parameters!$C$38,"NA")</f>
        <v>0.5</v>
      </c>
    </row>
    <row r="50" customFormat="false" ht="15" hidden="false" customHeight="true" outlineLevel="0" collapsed="false">
      <c r="A50" s="15" t="str">
        <f aca="false">Data!$A50</f>
        <v>Fulcrum</v>
      </c>
      <c r="B50" s="28" t="n">
        <f aca="false">IFERROR(INDEX(Parameters!$C$25:$C$28,MATCH(Data!$G50,Parameters!$B$25:$B$28,0)),"NA")</f>
        <v>1</v>
      </c>
      <c r="C50" s="32" t="n">
        <f aca="false">IF(Coding!AF50=0,"",Coding!AF50)</f>
        <v>2</v>
      </c>
      <c r="D50" s="28" t="n">
        <f aca="false">IF(OR(C50="",C50=0),"NA",IF(AND(Parameters!$C$39=1,ISNUMBER(B50),B50&lt;=Parameters!$C$40),0,MIN(C50,Parameters!$C$37)/Parameters!$C$37))</f>
        <v>0.25</v>
      </c>
      <c r="E50" s="28" t="n">
        <f aca="false">IF(Data!$F50="","NA",IF(SUMPRODUCT((Parameters!$B$66:$B$70&lt;&gt;"")*ISNUMBER(SEARCH(Parameters!$B$66:$B$70,Data!$F50)))&gt;0,Parameters!$C$63,Parameters!$C$64))</f>
        <v>1</v>
      </c>
      <c r="F50" s="32" t="n">
        <f aca="false">IF(OR(Data!$L50="",Data!$L50="Not applicable"),"",LEN(Data!$L50)-LEN(SUBSTITUTE(Data!$L50,"|",""))+1-IF(ISNUMBER(SEARCH("Other",Data!$L50)),1,0)-IF(ISNUMBER(SEARCH("Not applicable",Data!$L50)),1,0)+IF(AND(ISNUMBER(SEARCH("Other",Data!$L50)),Data!$M50&lt;&gt;""),1,0))</f>
        <v>2</v>
      </c>
      <c r="G50" s="28" t="n">
        <f aca="false">IF(OR(F50="",F50=0),"NA",MIN(F50,Parameters!$C$38)/Parameters!$C$38)</f>
        <v>0.333333333333333</v>
      </c>
      <c r="H50" s="15" t="str">
        <f aca="false">IF(Data!$N50="","Blank",IF(SUMPRODUCT((Parameters!$B$49:$B$53&lt;&gt;"")*ISNUMBER(SEARCH(Parameters!$B$49:$B$53,Data!$N50)))&gt;0,"CHECK: suspect URL",IF(ISNUMBER(SEARCH(Parameters!$C$46,Data!$N50)),"Contribution guide","Other page")))</f>
        <v>Blank</v>
      </c>
      <c r="I50" s="28" t="str">
        <f aca="false">IF(H50="Contribution guide",Parameters!$C$44,IF(H50="Other page",Parameters!$C$45,"NA"))</f>
        <v>NA</v>
      </c>
      <c r="J50" s="28" t="n">
        <f aca="false">IFERROR(INDEX(Parameters!$C$25:$C$28,MATCH(Data!$O50,Parameters!$B$25:$B$28,0)),"NA")</f>
        <v>1</v>
      </c>
      <c r="K50" s="28" t="n">
        <f aca="false">IFERROR(INDEX(Parameters!$C$32:$C$34,MATCH(Data!$Q50,Parameters!$B$32:$B$34,0)),"NA")</f>
        <v>0.5</v>
      </c>
      <c r="L50" s="32" t="n">
        <f aca="false">IF(AND(Coding!AF50&gt;0,ISNUMBER(B50),B50&lt;=Parameters!$C$40),1,0)</f>
        <v>0</v>
      </c>
      <c r="M50" s="32" t="n">
        <f aca="false">IF(AND(Data!$P50&lt;&gt;"",NOT(AND(ISNUMBER(J50),J50=1))),1,0)</f>
        <v>0</v>
      </c>
      <c r="N50" s="32" t="n">
        <f aca="false">IF(AND(Data!$Q50="Formal",Data!$R50=""),1,0)</f>
        <v>0</v>
      </c>
      <c r="O50" s="32" t="n">
        <f aca="false">IF(AND(Data!$Q50="",Data!$R50&lt;&gt;""),1,0)</f>
        <v>0</v>
      </c>
      <c r="P50" s="32" t="n">
        <f aca="false">IF(AND(ISNUMBER(B50),B50=1,Coding!AF50=0,OR(Data!$I50&lt;&gt;"",Data!$J50&lt;&gt;"")),1,0)</f>
        <v>0</v>
      </c>
      <c r="Q50" s="32" t="n">
        <f aca="false">IF(H50="CHECK: suspect URL",1,0)</f>
        <v>0</v>
      </c>
      <c r="R50" s="32" t="n">
        <f aca="false">IF(AND(OR(Data!$K50="Considering",Data!$K50="Not planning"),OR(AND(ISNUMBER(F50),F50&gt;0),Data!$N50&lt;&gt;"")),1,0)</f>
        <v>0</v>
      </c>
      <c r="S50" s="32" t="n">
        <f aca="false">IF(Data!$F50="",1,0)</f>
        <v>0</v>
      </c>
      <c r="T50" s="32" t="n">
        <f aca="false">SUM(L50:S50)</f>
        <v>0</v>
      </c>
      <c r="U50" s="32" t="n">
        <f aca="false">IF(ISNUMBER(F50),F50-IF(ISNUMBER(SEARCH("Contribute funds",Data!$L50)),1,0),"")</f>
        <v>2</v>
      </c>
      <c r="V50" s="28" t="n">
        <f aca="false">IF(ISNUMBER(U50),MIN(U50,Parameters!$C$38)/Parameters!$C$38,"NA")</f>
        <v>0.333333333333333</v>
      </c>
    </row>
    <row r="51" customFormat="false" ht="15" hidden="false" customHeight="true" outlineLevel="0" collapsed="false">
      <c r="A51" s="15" t="str">
        <f aca="false">Data!$A51</f>
        <v>Galaxy</v>
      </c>
      <c r="B51" s="28" t="n">
        <f aca="false">IFERROR(INDEX(Parameters!$C$25:$C$28,MATCH(Data!$G51,Parameters!$B$25:$B$28,0)),"NA")</f>
        <v>1</v>
      </c>
      <c r="C51" s="32" t="str">
        <f aca="false">IF(Coding!AF51=0,"",Coding!AF51)</f>
        <v/>
      </c>
      <c r="D51" s="28" t="str">
        <f aca="false">IF(OR(C51="",C51=0),"NA",IF(AND(Parameters!$C$39=1,ISNUMBER(B51),B51&lt;=Parameters!$C$40),0,MIN(C51,Parameters!$C$37)/Parameters!$C$37))</f>
        <v>NA</v>
      </c>
      <c r="E51" s="28" t="n">
        <f aca="false">IF(Data!$F51="","NA",IF(SUMPRODUCT((Parameters!$B$66:$B$70&lt;&gt;"")*ISNUMBER(SEARCH(Parameters!$B$66:$B$70,Data!$F51)))&gt;0,Parameters!$C$63,Parameters!$C$64))</f>
        <v>1</v>
      </c>
      <c r="F51" s="32" t="str">
        <f aca="false">IF(OR(Data!$L51="",Data!$L51="Not applicable"),"",LEN(Data!$L51)-LEN(SUBSTITUTE(Data!$L51,"|",""))+1-IF(ISNUMBER(SEARCH("Other",Data!$L51)),1,0)-IF(ISNUMBER(SEARCH("Not applicable",Data!$L51)),1,0)+IF(AND(ISNUMBER(SEARCH("Other",Data!$L51)),Data!$M51&lt;&gt;""),1,0))</f>
        <v/>
      </c>
      <c r="G51" s="28" t="str">
        <f aca="false">IF(OR(F51="",F51=0),"NA",MIN(F51,Parameters!$C$38)/Parameters!$C$38)</f>
        <v>NA</v>
      </c>
      <c r="H51" s="15" t="str">
        <f aca="false">IF(Data!$N51="","Blank",IF(SUMPRODUCT((Parameters!$B$49:$B$53&lt;&gt;"")*ISNUMBER(SEARCH(Parameters!$B$49:$B$53,Data!$N51)))&gt;0,"CHECK: suspect URL",IF(ISNUMBER(SEARCH(Parameters!$C$46,Data!$N51)),"Contribution guide","Other page")))</f>
        <v>Contribution guide</v>
      </c>
      <c r="I51" s="28" t="n">
        <f aca="false">IF(H51="Contribution guide",Parameters!$C$44,IF(H51="Other page",Parameters!$C$45,"NA"))</f>
        <v>1</v>
      </c>
      <c r="J51" s="28" t="n">
        <f aca="false">IFERROR(INDEX(Parameters!$C$25:$C$28,MATCH(Data!$O51,Parameters!$B$25:$B$28,0)),"NA")</f>
        <v>1</v>
      </c>
      <c r="K51" s="28" t="n">
        <f aca="false">IFERROR(INDEX(Parameters!$C$32:$C$34,MATCH(Data!$Q51,Parameters!$B$32:$B$34,0)),"NA")</f>
        <v>1</v>
      </c>
      <c r="L51" s="32" t="n">
        <f aca="false">IF(AND(Coding!AF51&gt;0,ISNUMBER(B51),B51&lt;=Parameters!$C$40),1,0)</f>
        <v>0</v>
      </c>
      <c r="M51" s="32" t="n">
        <f aca="false">IF(AND(Data!$P51&lt;&gt;"",NOT(AND(ISNUMBER(J51),J51=1))),1,0)</f>
        <v>0</v>
      </c>
      <c r="N51" s="32" t="n">
        <f aca="false">IF(AND(Data!$Q51="Formal",Data!$R51=""),1,0)</f>
        <v>0</v>
      </c>
      <c r="O51" s="32" t="n">
        <f aca="false">IF(AND(Data!$Q51="",Data!$R51&lt;&gt;""),1,0)</f>
        <v>0</v>
      </c>
      <c r="P51" s="32" t="n">
        <f aca="false">IF(AND(ISNUMBER(B51),B51=1,Coding!AF51=0,OR(Data!$I51&lt;&gt;"",Data!$J51&lt;&gt;"")),1,0)</f>
        <v>1</v>
      </c>
      <c r="Q51" s="32" t="n">
        <f aca="false">IF(H51="CHECK: suspect URL",1,0)</f>
        <v>0</v>
      </c>
      <c r="R51" s="32" t="n">
        <f aca="false">IF(AND(OR(Data!$K51="Considering",Data!$K51="Not planning"),OR(AND(ISNUMBER(F51),F51&gt;0),Data!$N51&lt;&gt;"")),1,0)</f>
        <v>0</v>
      </c>
      <c r="S51" s="32" t="n">
        <f aca="false">IF(Data!$F51="",1,0)</f>
        <v>0</v>
      </c>
      <c r="T51" s="32" t="n">
        <f aca="false">SUM(L51:S51)</f>
        <v>1</v>
      </c>
      <c r="U51" s="32" t="str">
        <f aca="false">IF(ISNUMBER(F51),F51-IF(ISNUMBER(SEARCH("Contribute funds",Data!$L51)),1,0),"")</f>
        <v/>
      </c>
      <c r="V51" s="28" t="str">
        <f aca="false">IF(ISNUMBER(U51),MIN(U51,Parameters!$C$38)/Parameters!$C$38,"NA")</f>
        <v>NA</v>
      </c>
    </row>
    <row r="52" customFormat="false" ht="15" hidden="false" customHeight="true" outlineLevel="0" collapsed="false">
      <c r="A52" s="15" t="str">
        <f aca="false">Data!$A52</f>
        <v>GeoServer</v>
      </c>
      <c r="B52" s="28" t="n">
        <f aca="false">IFERROR(INDEX(Parameters!$C$25:$C$28,MATCH(Data!$G52,Parameters!$B$25:$B$28,0)),"NA")</f>
        <v>1</v>
      </c>
      <c r="C52" s="32" t="n">
        <f aca="false">IF(Coding!AF52=0,"",Coding!AF52)</f>
        <v>6</v>
      </c>
      <c r="D52" s="28" t="n">
        <f aca="false">IF(OR(C52="",C52=0),"NA",IF(AND(Parameters!$C$39=1,ISNUMBER(B52),B52&lt;=Parameters!$C$40),0,MIN(C52,Parameters!$C$37)/Parameters!$C$37))</f>
        <v>0.75</v>
      </c>
      <c r="E52" s="28" t="n">
        <f aca="false">IF(Data!$F52="","NA",IF(SUMPRODUCT((Parameters!$B$66:$B$70&lt;&gt;"")*ISNUMBER(SEARCH(Parameters!$B$66:$B$70,Data!$F52)))&gt;0,Parameters!$C$63,Parameters!$C$64))</f>
        <v>1</v>
      </c>
      <c r="F52" s="32" t="n">
        <f aca="false">IF(OR(Data!$L52="",Data!$L52="Not applicable"),"",LEN(Data!$L52)-LEN(SUBSTITUTE(Data!$L52,"|",""))+1-IF(ISNUMBER(SEARCH("Other",Data!$L52)),1,0)-IF(ISNUMBER(SEARCH("Not applicable",Data!$L52)),1,0)+IF(AND(ISNUMBER(SEARCH("Other",Data!$L52)),Data!$M52&lt;&gt;""),1,0))</f>
        <v>1</v>
      </c>
      <c r="G52" s="28" t="n">
        <f aca="false">IF(OR(F52="",F52=0),"NA",MIN(F52,Parameters!$C$38)/Parameters!$C$38)</f>
        <v>0.166666666666667</v>
      </c>
      <c r="H52" s="15" t="str">
        <f aca="false">IF(Data!$N52="","Blank",IF(SUMPRODUCT((Parameters!$B$49:$B$53&lt;&gt;"")*ISNUMBER(SEARCH(Parameters!$B$49:$B$53,Data!$N52)))&gt;0,"CHECK: suspect URL",IF(ISNUMBER(SEARCH(Parameters!$C$46,Data!$N52)),"Contribution guide","Other page")))</f>
        <v>Contribution guide</v>
      </c>
      <c r="I52" s="28" t="n">
        <f aca="false">IF(H52="Contribution guide",Parameters!$C$44,IF(H52="Other page",Parameters!$C$45,"NA"))</f>
        <v>1</v>
      </c>
      <c r="J52" s="28" t="n">
        <f aca="false">IFERROR(INDEX(Parameters!$C$25:$C$28,MATCH(Data!$O52,Parameters!$B$25:$B$28,0)),"NA")</f>
        <v>1</v>
      </c>
      <c r="K52" s="28" t="n">
        <f aca="false">IFERROR(INDEX(Parameters!$C$32:$C$34,MATCH(Data!$Q52,Parameters!$B$32:$B$34,0)),"NA")</f>
        <v>1</v>
      </c>
      <c r="L52" s="32" t="n">
        <f aca="false">IF(AND(Coding!AF52&gt;0,ISNUMBER(B52),B52&lt;=Parameters!$C$40),1,0)</f>
        <v>0</v>
      </c>
      <c r="M52" s="32" t="n">
        <f aca="false">IF(AND(Data!$P52&lt;&gt;"",NOT(AND(ISNUMBER(J52),J52=1))),1,0)</f>
        <v>0</v>
      </c>
      <c r="N52" s="32" t="n">
        <f aca="false">IF(AND(Data!$Q52="Formal",Data!$R52=""),1,0)</f>
        <v>0</v>
      </c>
      <c r="O52" s="32" t="n">
        <f aca="false">IF(AND(Data!$Q52="",Data!$R52&lt;&gt;""),1,0)</f>
        <v>0</v>
      </c>
      <c r="P52" s="32" t="n">
        <f aca="false">IF(AND(ISNUMBER(B52),B52=1,Coding!AF52=0,OR(Data!$I52&lt;&gt;"",Data!$J52&lt;&gt;"")),1,0)</f>
        <v>0</v>
      </c>
      <c r="Q52" s="32" t="n">
        <f aca="false">IF(H52="CHECK: suspect URL",1,0)</f>
        <v>0</v>
      </c>
      <c r="R52" s="32" t="n">
        <f aca="false">IF(AND(OR(Data!$K52="Considering",Data!$K52="Not planning"),OR(AND(ISNUMBER(F52),F52&gt;0),Data!$N52&lt;&gt;"")),1,0)</f>
        <v>0</v>
      </c>
      <c r="S52" s="32" t="n">
        <f aca="false">IF(Data!$F52="",1,0)</f>
        <v>0</v>
      </c>
      <c r="T52" s="32" t="n">
        <f aca="false">SUM(L52:S52)</f>
        <v>0</v>
      </c>
      <c r="U52" s="32" t="n">
        <f aca="false">IF(ISNUMBER(F52),F52-IF(ISNUMBER(SEARCH("Contribute funds",Data!$L52)),1,0),"")</f>
        <v>1</v>
      </c>
      <c r="V52" s="28" t="n">
        <f aca="false">IF(ISNUMBER(U52),MIN(U52,Parameters!$C$38)/Parameters!$C$38,"NA")</f>
        <v>0.166666666666667</v>
      </c>
    </row>
    <row r="53" customFormat="false" ht="15" hidden="false" customHeight="true" outlineLevel="0" collapsed="false">
      <c r="A53" s="15" t="str">
        <f aca="false">Data!$A53</f>
        <v>Hyku</v>
      </c>
      <c r="B53" s="28" t="n">
        <f aca="false">IFERROR(INDEX(Parameters!$C$25:$C$28,MATCH(Data!$G53,Parameters!$B$25:$B$28,0)),"NA")</f>
        <v>1</v>
      </c>
      <c r="C53" s="32" t="n">
        <f aca="false">IF(Coding!AF53=0,"",Coding!AF53)</f>
        <v>9</v>
      </c>
      <c r="D53" s="28" t="n">
        <f aca="false">IF(OR(C53="",C53=0),"NA",IF(AND(Parameters!$C$39=1,ISNUMBER(B53),B53&lt;=Parameters!$C$40),0,MIN(C53,Parameters!$C$37)/Parameters!$C$37))</f>
        <v>1</v>
      </c>
      <c r="E53" s="28" t="n">
        <f aca="false">IF(Data!$F53="","NA",IF(SUMPRODUCT((Parameters!$B$66:$B$70&lt;&gt;"")*ISNUMBER(SEARCH(Parameters!$B$66:$B$70,Data!$F53)))&gt;0,Parameters!$C$63,Parameters!$C$64))</f>
        <v>1</v>
      </c>
      <c r="F53" s="32" t="n">
        <f aca="false">IF(OR(Data!$L53="",Data!$L53="Not applicable"),"",LEN(Data!$L53)-LEN(SUBSTITUTE(Data!$L53,"|",""))+1-IF(ISNUMBER(SEARCH("Other",Data!$L53)),1,0)-IF(ISNUMBER(SEARCH("Not applicable",Data!$L53)),1,0)+IF(AND(ISNUMBER(SEARCH("Other",Data!$L53)),Data!$M53&lt;&gt;""),1,0))</f>
        <v>6</v>
      </c>
      <c r="G53" s="28" t="n">
        <f aca="false">IF(OR(F53="",F53=0),"NA",MIN(F53,Parameters!$C$38)/Parameters!$C$38)</f>
        <v>1</v>
      </c>
      <c r="H53" s="15" t="str">
        <f aca="false">IF(Data!$N53="","Blank",IF(SUMPRODUCT((Parameters!$B$49:$B$53&lt;&gt;"")*ISNUMBER(SEARCH(Parameters!$B$49:$B$53,Data!$N53)))&gt;0,"CHECK: suspect URL",IF(ISNUMBER(SEARCH(Parameters!$C$46,Data!$N53)),"Contribution guide","Other page")))</f>
        <v>Other page</v>
      </c>
      <c r="I53" s="28" t="n">
        <f aca="false">IF(H53="Contribution guide",Parameters!$C$44,IF(H53="Other page",Parameters!$C$45,"NA"))</f>
        <v>0.5</v>
      </c>
      <c r="J53" s="28" t="n">
        <f aca="false">IFERROR(INDEX(Parameters!$C$25:$C$28,MATCH(Data!$O53,Parameters!$B$25:$B$28,0)),"NA")</f>
        <v>1</v>
      </c>
      <c r="K53" s="28" t="n">
        <f aca="false">IFERROR(INDEX(Parameters!$C$32:$C$34,MATCH(Data!$Q53,Parameters!$B$32:$B$34,0)),"NA")</f>
        <v>1</v>
      </c>
      <c r="L53" s="32" t="n">
        <f aca="false">IF(AND(Coding!AF53&gt;0,ISNUMBER(B53),B53&lt;=Parameters!$C$40),1,0)</f>
        <v>0</v>
      </c>
      <c r="M53" s="32" t="n">
        <f aca="false">IF(AND(Data!$P53&lt;&gt;"",NOT(AND(ISNUMBER(J53),J53=1))),1,0)</f>
        <v>0</v>
      </c>
      <c r="N53" s="32" t="n">
        <f aca="false">IF(AND(Data!$Q53="Formal",Data!$R53=""),1,0)</f>
        <v>0</v>
      </c>
      <c r="O53" s="32" t="n">
        <f aca="false">IF(AND(Data!$Q53="",Data!$R53&lt;&gt;""),1,0)</f>
        <v>0</v>
      </c>
      <c r="P53" s="32" t="n">
        <f aca="false">IF(AND(ISNUMBER(B53),B53=1,Coding!AF53=0,OR(Data!$I53&lt;&gt;"",Data!$J53&lt;&gt;"")),1,0)</f>
        <v>0</v>
      </c>
      <c r="Q53" s="32" t="n">
        <f aca="false">IF(H53="CHECK: suspect URL",1,0)</f>
        <v>0</v>
      </c>
      <c r="R53" s="32" t="n">
        <f aca="false">IF(AND(OR(Data!$K53="Considering",Data!$K53="Not planning"),OR(AND(ISNUMBER(F53),F53&gt;0),Data!$N53&lt;&gt;"")),1,0)</f>
        <v>0</v>
      </c>
      <c r="S53" s="32" t="n">
        <f aca="false">IF(Data!$F53="",1,0)</f>
        <v>0</v>
      </c>
      <c r="T53" s="32" t="n">
        <f aca="false">SUM(L53:S53)</f>
        <v>0</v>
      </c>
      <c r="U53" s="32" t="n">
        <f aca="false">IF(ISNUMBER(F53),F53-IF(ISNUMBER(SEARCH("Contribute funds",Data!$L53)),1,0),"")</f>
        <v>5</v>
      </c>
      <c r="V53" s="28" t="n">
        <f aca="false">IF(ISNUMBER(U53),MIN(U53,Parameters!$C$38)/Parameters!$C$38,"NA")</f>
        <v>0.833333333333333</v>
      </c>
    </row>
    <row r="54" customFormat="false" ht="15" hidden="false" customHeight="true" outlineLevel="0" collapsed="false">
      <c r="A54" s="15" t="str">
        <f aca="false">Data!$A54</f>
        <v>Hyrax</v>
      </c>
      <c r="B54" s="28" t="n">
        <f aca="false">IFERROR(INDEX(Parameters!$C$25:$C$28,MATCH(Data!$G54,Parameters!$B$25:$B$28,0)),"NA")</f>
        <v>1</v>
      </c>
      <c r="C54" s="32" t="n">
        <f aca="false">IF(Coding!AF54=0,"",Coding!AF54)</f>
        <v>9</v>
      </c>
      <c r="D54" s="28" t="n">
        <f aca="false">IF(OR(C54="",C54=0),"NA",IF(AND(Parameters!$C$39=1,ISNUMBER(B54),B54&lt;=Parameters!$C$40),0,MIN(C54,Parameters!$C$37)/Parameters!$C$37))</f>
        <v>1</v>
      </c>
      <c r="E54" s="28" t="n">
        <f aca="false">IF(Data!$F54="","NA",IF(SUMPRODUCT((Parameters!$B$66:$B$70&lt;&gt;"")*ISNUMBER(SEARCH(Parameters!$B$66:$B$70,Data!$F54)))&gt;0,Parameters!$C$63,Parameters!$C$64))</f>
        <v>1</v>
      </c>
      <c r="F54" s="32" t="n">
        <f aca="false">IF(OR(Data!$L54="",Data!$L54="Not applicable"),"",LEN(Data!$L54)-LEN(SUBSTITUTE(Data!$L54,"|",""))+1-IF(ISNUMBER(SEARCH("Other",Data!$L54)),1,0)-IF(ISNUMBER(SEARCH("Not applicable",Data!$L54)),1,0)+IF(AND(ISNUMBER(SEARCH("Other",Data!$L54)),Data!$M54&lt;&gt;""),1,0))</f>
        <v>7</v>
      </c>
      <c r="G54" s="28" t="n">
        <f aca="false">IF(OR(F54="",F54=0),"NA",MIN(F54,Parameters!$C$38)/Parameters!$C$38)</f>
        <v>1</v>
      </c>
      <c r="H54" s="15" t="str">
        <f aca="false">IF(Data!$N54="","Blank",IF(SUMPRODUCT((Parameters!$B$49:$B$53&lt;&gt;"")*ISNUMBER(SEARCH(Parameters!$B$49:$B$53,Data!$N54)))&gt;0,"CHECK: suspect URL",IF(ISNUMBER(SEARCH(Parameters!$C$46,Data!$N54)),"Contribution guide","Other page")))</f>
        <v>Other page</v>
      </c>
      <c r="I54" s="28" t="n">
        <f aca="false">IF(H54="Contribution guide",Parameters!$C$44,IF(H54="Other page",Parameters!$C$45,"NA"))</f>
        <v>0.5</v>
      </c>
      <c r="J54" s="28" t="n">
        <f aca="false">IFERROR(INDEX(Parameters!$C$25:$C$28,MATCH(Data!$O54,Parameters!$B$25:$B$28,0)),"NA")</f>
        <v>1</v>
      </c>
      <c r="K54" s="28" t="n">
        <f aca="false">IFERROR(INDEX(Parameters!$C$32:$C$34,MATCH(Data!$Q54,Parameters!$B$32:$B$34,0)),"NA")</f>
        <v>1</v>
      </c>
      <c r="L54" s="32" t="n">
        <f aca="false">IF(AND(Coding!AF54&gt;0,ISNUMBER(B54),B54&lt;=Parameters!$C$40),1,0)</f>
        <v>0</v>
      </c>
      <c r="M54" s="32" t="n">
        <f aca="false">IF(AND(Data!$P54&lt;&gt;"",NOT(AND(ISNUMBER(J54),J54=1))),1,0)</f>
        <v>0</v>
      </c>
      <c r="N54" s="32" t="n">
        <f aca="false">IF(AND(Data!$Q54="Formal",Data!$R54=""),1,0)</f>
        <v>0</v>
      </c>
      <c r="O54" s="32" t="n">
        <f aca="false">IF(AND(Data!$Q54="",Data!$R54&lt;&gt;""),1,0)</f>
        <v>0</v>
      </c>
      <c r="P54" s="32" t="n">
        <f aca="false">IF(AND(ISNUMBER(B54),B54=1,Coding!AF54=0,OR(Data!$I54&lt;&gt;"",Data!$J54&lt;&gt;"")),1,0)</f>
        <v>0</v>
      </c>
      <c r="Q54" s="32" t="n">
        <f aca="false">IF(H54="CHECK: suspect URL",1,0)</f>
        <v>0</v>
      </c>
      <c r="R54" s="32" t="n">
        <f aca="false">IF(AND(OR(Data!$K54="Considering",Data!$K54="Not planning"),OR(AND(ISNUMBER(F54),F54&gt;0),Data!$N54&lt;&gt;"")),1,0)</f>
        <v>0</v>
      </c>
      <c r="S54" s="32" t="n">
        <f aca="false">IF(Data!$F54="",1,0)</f>
        <v>0</v>
      </c>
      <c r="T54" s="32" t="n">
        <f aca="false">SUM(L54:S54)</f>
        <v>0</v>
      </c>
      <c r="U54" s="32" t="n">
        <f aca="false">IF(ISNUMBER(F54),F54-IF(ISNUMBER(SEARCH("Contribute funds",Data!$L54)),1,0),"")</f>
        <v>6</v>
      </c>
      <c r="V54" s="28" t="n">
        <f aca="false">IF(ISNUMBER(U54),MIN(U54,Parameters!$C$38)/Parameters!$C$38,"NA")</f>
        <v>1</v>
      </c>
    </row>
    <row r="55" customFormat="false" ht="15" hidden="false" customHeight="true" outlineLevel="0" collapsed="false">
      <c r="A55" s="15" t="str">
        <f aca="false">Data!$A55</f>
        <v>IIIF</v>
      </c>
      <c r="B55" s="28" t="n">
        <f aca="false">IFERROR(INDEX(Parameters!$C$25:$C$28,MATCH(Data!$G55,Parameters!$B$25:$B$28,0)),"NA")</f>
        <v>1</v>
      </c>
      <c r="C55" s="32" t="n">
        <f aca="false">IF(Coding!AF55=0,"",Coding!AF55)</f>
        <v>5</v>
      </c>
      <c r="D55" s="28" t="n">
        <f aca="false">IF(OR(C55="",C55=0),"NA",IF(AND(Parameters!$C$39=1,ISNUMBER(B55),B55&lt;=Parameters!$C$40),0,MIN(C55,Parameters!$C$37)/Parameters!$C$37))</f>
        <v>0.625</v>
      </c>
      <c r="E55" s="28" t="n">
        <f aca="false">IF(Data!$F55="","NA",IF(SUMPRODUCT((Parameters!$B$66:$B$70&lt;&gt;"")*ISNUMBER(SEARCH(Parameters!$B$66:$B$70,Data!$F55)))&gt;0,Parameters!$C$63,Parameters!$C$64))</f>
        <v>1</v>
      </c>
      <c r="F55" s="32" t="n">
        <f aca="false">IF(OR(Data!$L55="",Data!$L55="Not applicable"),"",LEN(Data!$L55)-LEN(SUBSTITUTE(Data!$L55,"|",""))+1-IF(ISNUMBER(SEARCH("Other",Data!$L55)),1,0)-IF(ISNUMBER(SEARCH("Not applicable",Data!$L55)),1,0)+IF(AND(ISNUMBER(SEARCH("Other",Data!$L55)),Data!$M55&lt;&gt;""),1,0))</f>
        <v>5</v>
      </c>
      <c r="G55" s="28" t="n">
        <f aca="false">IF(OR(F55="",F55=0),"NA",MIN(F55,Parameters!$C$38)/Parameters!$C$38)</f>
        <v>0.833333333333333</v>
      </c>
      <c r="H55" s="15" t="str">
        <f aca="false">IF(Data!$N55="","Blank",IF(SUMPRODUCT((Parameters!$B$49:$B$53&lt;&gt;"")*ISNUMBER(SEARCH(Parameters!$B$49:$B$53,Data!$N55)))&gt;0,"CHECK: suspect URL",IF(ISNUMBER(SEARCH(Parameters!$C$46,Data!$N55)),"Contribution guide","Other page")))</f>
        <v>Other page</v>
      </c>
      <c r="I55" s="28" t="n">
        <f aca="false">IF(H55="Contribution guide",Parameters!$C$44,IF(H55="Other page",Parameters!$C$45,"NA"))</f>
        <v>0.5</v>
      </c>
      <c r="J55" s="28" t="n">
        <f aca="false">IFERROR(INDEX(Parameters!$C$25:$C$28,MATCH(Data!$O55,Parameters!$B$25:$B$28,0)),"NA")</f>
        <v>1</v>
      </c>
      <c r="K55" s="28" t="n">
        <f aca="false">IFERROR(INDEX(Parameters!$C$32:$C$34,MATCH(Data!$Q55,Parameters!$B$32:$B$34,0)),"NA")</f>
        <v>1</v>
      </c>
      <c r="L55" s="32" t="n">
        <f aca="false">IF(AND(Coding!AF55&gt;0,ISNUMBER(B55),B55&lt;=Parameters!$C$40),1,0)</f>
        <v>0</v>
      </c>
      <c r="M55" s="32" t="n">
        <f aca="false">IF(AND(Data!$P55&lt;&gt;"",NOT(AND(ISNUMBER(J55),J55=1))),1,0)</f>
        <v>0</v>
      </c>
      <c r="N55" s="32" t="n">
        <f aca="false">IF(AND(Data!$Q55="Formal",Data!$R55=""),1,0)</f>
        <v>0</v>
      </c>
      <c r="O55" s="32" t="n">
        <f aca="false">IF(AND(Data!$Q55="",Data!$R55&lt;&gt;""),1,0)</f>
        <v>0</v>
      </c>
      <c r="P55" s="32" t="n">
        <f aca="false">IF(AND(ISNUMBER(B55),B55=1,Coding!AF55=0,OR(Data!$I55&lt;&gt;"",Data!$J55&lt;&gt;"")),1,0)</f>
        <v>0</v>
      </c>
      <c r="Q55" s="32" t="n">
        <f aca="false">IF(H55="CHECK: suspect URL",1,0)</f>
        <v>0</v>
      </c>
      <c r="R55" s="32" t="n">
        <f aca="false">IF(AND(OR(Data!$K55="Considering",Data!$K55="Not planning"),OR(AND(ISNUMBER(F55),F55&gt;0),Data!$N55&lt;&gt;"")),1,0)</f>
        <v>0</v>
      </c>
      <c r="S55" s="32" t="n">
        <f aca="false">IF(Data!$F55="",1,0)</f>
        <v>0</v>
      </c>
      <c r="T55" s="32" t="n">
        <f aca="false">SUM(L55:S55)</f>
        <v>0</v>
      </c>
      <c r="U55" s="32" t="n">
        <f aca="false">IF(ISNUMBER(F55),F55-IF(ISNUMBER(SEARCH("Contribute funds",Data!$L55)),1,0),"")</f>
        <v>4</v>
      </c>
      <c r="V55" s="28" t="n">
        <f aca="false">IF(ISNUMBER(U55),MIN(U55,Parameters!$C$38)/Parameters!$C$38,"NA")</f>
        <v>0.666666666666667</v>
      </c>
    </row>
    <row r="56" customFormat="false" ht="15" hidden="false" customHeight="true" outlineLevel="0" collapsed="false">
      <c r="A56" s="15" t="str">
        <f aca="false">Data!$A56</f>
        <v>ImpactU</v>
      </c>
      <c r="B56" s="28" t="str">
        <f aca="false">IFERROR(INDEX(Parameters!$C$25:$C$28,MATCH(Data!$G56,Parameters!$B$25:$B$28,0)),"NA")</f>
        <v>NA</v>
      </c>
      <c r="C56" s="32" t="str">
        <f aca="false">IF(Coding!AF56=0,"",Coding!AF56)</f>
        <v/>
      </c>
      <c r="D56" s="28" t="str">
        <f aca="false">IF(OR(C56="",C56=0),"NA",IF(AND(Parameters!$C$39=1,ISNUMBER(B56),B56&lt;=Parameters!$C$40),0,MIN(C56,Parameters!$C$37)/Parameters!$C$37))</f>
        <v>NA</v>
      </c>
      <c r="E56" s="28" t="n">
        <f aca="false">IF(Data!$F56="","NA",IF(SUMPRODUCT((Parameters!$B$66:$B$70&lt;&gt;"")*ISNUMBER(SEARCH(Parameters!$B$66:$B$70,Data!$F56)))&gt;0,Parameters!$C$63,Parameters!$C$64))</f>
        <v>1</v>
      </c>
      <c r="F56" s="32" t="str">
        <f aca="false">IF(OR(Data!$L56="",Data!$L56="Not applicable"),"",LEN(Data!$L56)-LEN(SUBSTITUTE(Data!$L56,"|",""))+1-IF(ISNUMBER(SEARCH("Other",Data!$L56)),1,0)-IF(ISNUMBER(SEARCH("Not applicable",Data!$L56)),1,0)+IF(AND(ISNUMBER(SEARCH("Other",Data!$L56)),Data!$M56&lt;&gt;""),1,0))</f>
        <v/>
      </c>
      <c r="G56" s="28" t="str">
        <f aca="false">IF(OR(F56="",F56=0),"NA",MIN(F56,Parameters!$C$38)/Parameters!$C$38)</f>
        <v>NA</v>
      </c>
      <c r="H56" s="15" t="str">
        <f aca="false">IF(Data!$N56="","Blank",IF(SUMPRODUCT((Parameters!$B$49:$B$53&lt;&gt;"")*ISNUMBER(SEARCH(Parameters!$B$49:$B$53,Data!$N56)))&gt;0,"CHECK: suspect URL",IF(ISNUMBER(SEARCH(Parameters!$C$46,Data!$N56)),"Contribution guide","Other page")))</f>
        <v>Blank</v>
      </c>
      <c r="I56" s="28" t="str">
        <f aca="false">IF(H56="Contribution guide",Parameters!$C$44,IF(H56="Other page",Parameters!$C$45,"NA"))</f>
        <v>NA</v>
      </c>
      <c r="J56" s="28" t="str">
        <f aca="false">IFERROR(INDEX(Parameters!$C$25:$C$28,MATCH(Data!$O56,Parameters!$B$25:$B$28,0)),"NA")</f>
        <v>NA</v>
      </c>
      <c r="K56" s="28" t="str">
        <f aca="false">IFERROR(INDEX(Parameters!$C$32:$C$34,MATCH(Data!$Q56,Parameters!$B$32:$B$34,0)),"NA")</f>
        <v>NA</v>
      </c>
      <c r="L56" s="32" t="n">
        <f aca="false">IF(AND(Coding!AF56&gt;0,ISNUMBER(B56),B56&lt;=Parameters!$C$40),1,0)</f>
        <v>0</v>
      </c>
      <c r="M56" s="32" t="n">
        <f aca="false">IF(AND(Data!$P56&lt;&gt;"",NOT(AND(ISNUMBER(J56),J56=1))),1,0)</f>
        <v>0</v>
      </c>
      <c r="N56" s="32" t="n">
        <f aca="false">IF(AND(Data!$Q56="Formal",Data!$R56=""),1,0)</f>
        <v>0</v>
      </c>
      <c r="O56" s="32" t="n">
        <f aca="false">IF(AND(Data!$Q56="",Data!$R56&lt;&gt;""),1,0)</f>
        <v>0</v>
      </c>
      <c r="P56" s="32" t="n">
        <f aca="false">IF(AND(ISNUMBER(B56),B56=1,Coding!AF56=0,OR(Data!$I56&lt;&gt;"",Data!$J56&lt;&gt;"")),1,0)</f>
        <v>0</v>
      </c>
      <c r="Q56" s="32" t="n">
        <f aca="false">IF(H56="CHECK: suspect URL",1,0)</f>
        <v>0</v>
      </c>
      <c r="R56" s="32" t="n">
        <f aca="false">IF(AND(OR(Data!$K56="Considering",Data!$K56="Not planning"),OR(AND(ISNUMBER(F56),F56&gt;0),Data!$N56&lt;&gt;"")),1,0)</f>
        <v>0</v>
      </c>
      <c r="S56" s="32" t="n">
        <f aca="false">IF(Data!$F56="",1,0)</f>
        <v>0</v>
      </c>
      <c r="T56" s="32" t="n">
        <f aca="false">SUM(L56:S56)</f>
        <v>0</v>
      </c>
      <c r="U56" s="32" t="str">
        <f aca="false">IF(ISNUMBER(F56),F56-IF(ISNUMBER(SEARCH("Contribute funds",Data!$L56)),1,0),"")</f>
        <v/>
      </c>
      <c r="V56" s="28" t="str">
        <f aca="false">IF(ISNUMBER(U56),MIN(U56,Parameters!$C$38)/Parameters!$C$38,"NA")</f>
        <v>NA</v>
      </c>
    </row>
    <row r="57" customFormat="false" ht="15" hidden="false" customHeight="true" outlineLevel="0" collapsed="false">
      <c r="A57" s="15" t="str">
        <f aca="false">Data!$A57</f>
        <v>International Generic Sample Number (IGSN)</v>
      </c>
      <c r="B57" s="28" t="n">
        <f aca="false">IFERROR(INDEX(Parameters!$C$25:$C$28,MATCH(Data!$G57,Parameters!$B$25:$B$28,0)),"NA")</f>
        <v>1</v>
      </c>
      <c r="C57" s="32" t="str">
        <f aca="false">IF(Coding!AF57=0,"",Coding!AF57)</f>
        <v/>
      </c>
      <c r="D57" s="28" t="str">
        <f aca="false">IF(OR(C57="",C57=0),"NA",IF(AND(Parameters!$C$39=1,ISNUMBER(B57),B57&lt;=Parameters!$C$40),0,MIN(C57,Parameters!$C$37)/Parameters!$C$37))</f>
        <v>NA</v>
      </c>
      <c r="E57" s="28" t="n">
        <f aca="false">IF(Data!$F57="","NA",IF(SUMPRODUCT((Parameters!$B$66:$B$70&lt;&gt;"")*ISNUMBER(SEARCH(Parameters!$B$66:$B$70,Data!$F57)))&gt;0,Parameters!$C$63,Parameters!$C$64))</f>
        <v>1</v>
      </c>
      <c r="F57" s="32" t="str">
        <f aca="false">IF(OR(Data!$L57="",Data!$L57="Not applicable"),"",LEN(Data!$L57)-LEN(SUBSTITUTE(Data!$L57,"|",""))+1-IF(ISNUMBER(SEARCH("Other",Data!$L57)),1,0)-IF(ISNUMBER(SEARCH("Not applicable",Data!$L57)),1,0)+IF(AND(ISNUMBER(SEARCH("Other",Data!$L57)),Data!$M57&lt;&gt;""),1,0))</f>
        <v/>
      </c>
      <c r="G57" s="28" t="str">
        <f aca="false">IF(OR(F57="",F57=0),"NA",MIN(F57,Parameters!$C$38)/Parameters!$C$38)</f>
        <v>NA</v>
      </c>
      <c r="H57" s="15" t="str">
        <f aca="false">IF(Data!$N57="","Blank",IF(SUMPRODUCT((Parameters!$B$49:$B$53&lt;&gt;"")*ISNUMBER(SEARCH(Parameters!$B$49:$B$53,Data!$N57)))&gt;0,"CHECK: suspect URL",IF(ISNUMBER(SEARCH(Parameters!$C$46,Data!$N57)),"Contribution guide","Other page")))</f>
        <v>Blank</v>
      </c>
      <c r="I57" s="28" t="str">
        <f aca="false">IF(H57="Contribution guide",Parameters!$C$44,IF(H57="Other page",Parameters!$C$45,"NA"))</f>
        <v>NA</v>
      </c>
      <c r="J57" s="28" t="n">
        <f aca="false">IFERROR(INDEX(Parameters!$C$25:$C$28,MATCH(Data!$O57,Parameters!$B$25:$B$28,0)),"NA")</f>
        <v>0.33</v>
      </c>
      <c r="K57" s="28" t="str">
        <f aca="false">IFERROR(INDEX(Parameters!$C$32:$C$34,MATCH(Data!$Q57,Parameters!$B$32:$B$34,0)),"NA")</f>
        <v>NA</v>
      </c>
      <c r="L57" s="32" t="n">
        <f aca="false">IF(AND(Coding!AF57&gt;0,ISNUMBER(B57),B57&lt;=Parameters!$C$40),1,0)</f>
        <v>0</v>
      </c>
      <c r="M57" s="32" t="n">
        <f aca="false">IF(AND(Data!$P57&lt;&gt;"",NOT(AND(ISNUMBER(J57),J57=1))),1,0)</f>
        <v>0</v>
      </c>
      <c r="N57" s="32" t="n">
        <f aca="false">IF(AND(Data!$Q57="Formal",Data!$R57=""),1,0)</f>
        <v>0</v>
      </c>
      <c r="O57" s="32" t="n">
        <f aca="false">IF(AND(Data!$Q57="",Data!$R57&lt;&gt;""),1,0)</f>
        <v>1</v>
      </c>
      <c r="P57" s="32" t="n">
        <f aca="false">IF(AND(ISNUMBER(B57),B57=1,Coding!AF57=0,OR(Data!$I57&lt;&gt;"",Data!$J57&lt;&gt;"")),1,0)</f>
        <v>1</v>
      </c>
      <c r="Q57" s="32" t="n">
        <f aca="false">IF(H57="CHECK: suspect URL",1,0)</f>
        <v>0</v>
      </c>
      <c r="R57" s="32" t="n">
        <f aca="false">IF(AND(OR(Data!$K57="Considering",Data!$K57="Not planning"),OR(AND(ISNUMBER(F57),F57&gt;0),Data!$N57&lt;&gt;"")),1,0)</f>
        <v>0</v>
      </c>
      <c r="S57" s="32" t="n">
        <f aca="false">IF(Data!$F57="",1,0)</f>
        <v>0</v>
      </c>
      <c r="T57" s="32" t="n">
        <f aca="false">SUM(L57:S57)</f>
        <v>2</v>
      </c>
      <c r="U57" s="32" t="str">
        <f aca="false">IF(ISNUMBER(F57),F57-IF(ISNUMBER(SEARCH("Contribute funds",Data!$L57)),1,0),"")</f>
        <v/>
      </c>
      <c r="V57" s="28" t="str">
        <f aca="false">IF(ISNUMBER(U57),MIN(U57,Parameters!$C$38)/Parameters!$C$38,"NA")</f>
        <v>NA</v>
      </c>
    </row>
    <row r="58" customFormat="false" ht="15" hidden="false" customHeight="true" outlineLevel="0" collapsed="false">
      <c r="A58" s="15" t="str">
        <f aca="false">Data!$A58</f>
        <v>InvenioRDM</v>
      </c>
      <c r="B58" s="28" t="n">
        <f aca="false">IFERROR(INDEX(Parameters!$C$25:$C$28,MATCH(Data!$G58,Parameters!$B$25:$B$28,0)),"NA")</f>
        <v>1</v>
      </c>
      <c r="C58" s="32" t="n">
        <f aca="false">IF(Coding!AF58=0,"",Coding!AF58)</f>
        <v>1</v>
      </c>
      <c r="D58" s="28" t="n">
        <f aca="false">IF(OR(C58="",C58=0),"NA",IF(AND(Parameters!$C$39=1,ISNUMBER(B58),B58&lt;=Parameters!$C$40),0,MIN(C58,Parameters!$C$37)/Parameters!$C$37))</f>
        <v>0.125</v>
      </c>
      <c r="E58" s="28" t="n">
        <f aca="false">IF(Data!$F58="","NA",IF(SUMPRODUCT((Parameters!$B$66:$B$70&lt;&gt;"")*ISNUMBER(SEARCH(Parameters!$B$66:$B$70,Data!$F58)))&gt;0,Parameters!$C$63,Parameters!$C$64))</f>
        <v>1</v>
      </c>
      <c r="F58" s="32" t="n">
        <f aca="false">IF(OR(Data!$L58="",Data!$L58="Not applicable"),"",LEN(Data!$L58)-LEN(SUBSTITUTE(Data!$L58,"|",""))+1-IF(ISNUMBER(SEARCH("Other",Data!$L58)),1,0)-IF(ISNUMBER(SEARCH("Not applicable",Data!$L58)),1,0)+IF(AND(ISNUMBER(SEARCH("Other",Data!$L58)),Data!$M58&lt;&gt;""),1,0))</f>
        <v>5</v>
      </c>
      <c r="G58" s="28" t="n">
        <f aca="false">IF(OR(F58="",F58=0),"NA",MIN(F58,Parameters!$C$38)/Parameters!$C$38)</f>
        <v>0.833333333333333</v>
      </c>
      <c r="H58" s="15" t="str">
        <f aca="false">IF(Data!$N58="","Blank",IF(SUMPRODUCT((Parameters!$B$49:$B$53&lt;&gt;"")*ISNUMBER(SEARCH(Parameters!$B$49:$B$53,Data!$N58)))&gt;0,"CHECK: suspect URL",IF(ISNUMBER(SEARCH(Parameters!$C$46,Data!$N58)),"Contribution guide","Other page")))</f>
        <v>Other page</v>
      </c>
      <c r="I58" s="28" t="n">
        <f aca="false">IF(H58="Contribution guide",Parameters!$C$44,IF(H58="Other page",Parameters!$C$45,"NA"))</f>
        <v>0.5</v>
      </c>
      <c r="J58" s="28" t="n">
        <f aca="false">IFERROR(INDEX(Parameters!$C$25:$C$28,MATCH(Data!$O58,Parameters!$B$25:$B$28,0)),"NA")</f>
        <v>1</v>
      </c>
      <c r="K58" s="28" t="n">
        <f aca="false">IFERROR(INDEX(Parameters!$C$32:$C$34,MATCH(Data!$Q58,Parameters!$B$32:$B$34,0)),"NA")</f>
        <v>1</v>
      </c>
      <c r="L58" s="32" t="n">
        <f aca="false">IF(AND(Coding!AF58&gt;0,ISNUMBER(B58),B58&lt;=Parameters!$C$40),1,0)</f>
        <v>0</v>
      </c>
      <c r="M58" s="32" t="n">
        <f aca="false">IF(AND(Data!$P58&lt;&gt;"",NOT(AND(ISNUMBER(J58),J58=1))),1,0)</f>
        <v>0</v>
      </c>
      <c r="N58" s="32" t="n">
        <f aca="false">IF(AND(Data!$Q58="Formal",Data!$R58=""),1,0)</f>
        <v>0</v>
      </c>
      <c r="O58" s="32" t="n">
        <f aca="false">IF(AND(Data!$Q58="",Data!$R58&lt;&gt;""),1,0)</f>
        <v>0</v>
      </c>
      <c r="P58" s="32" t="n">
        <f aca="false">IF(AND(ISNUMBER(B58),B58=1,Coding!AF58=0,OR(Data!$I58&lt;&gt;"",Data!$J58&lt;&gt;"")),1,0)</f>
        <v>0</v>
      </c>
      <c r="Q58" s="32" t="n">
        <f aca="false">IF(H58="CHECK: suspect URL",1,0)</f>
        <v>0</v>
      </c>
      <c r="R58" s="32" t="n">
        <f aca="false">IF(AND(OR(Data!$K58="Considering",Data!$K58="Not planning"),OR(AND(ISNUMBER(F58),F58&gt;0),Data!$N58&lt;&gt;"")),1,0)</f>
        <v>0</v>
      </c>
      <c r="S58" s="32" t="n">
        <f aca="false">IF(Data!$F58="",1,0)</f>
        <v>0</v>
      </c>
      <c r="T58" s="32" t="n">
        <f aca="false">SUM(L58:S58)</f>
        <v>0</v>
      </c>
      <c r="U58" s="32" t="n">
        <f aca="false">IF(ISNUMBER(F58),F58-IF(ISNUMBER(SEARCH("Contribute funds",Data!$L58)),1,0),"")</f>
        <v>4</v>
      </c>
      <c r="V58" s="28" t="n">
        <f aca="false">IF(ISNUMBER(U58),MIN(U58,Parameters!$C$38)/Parameters!$C$38,"NA")</f>
        <v>0.666666666666667</v>
      </c>
    </row>
    <row r="59" customFormat="false" ht="15" hidden="false" customHeight="true" outlineLevel="0" collapsed="false">
      <c r="A59" s="15" t="str">
        <f aca="false">Data!$A59</f>
        <v>iRODS</v>
      </c>
      <c r="B59" s="28" t="n">
        <f aca="false">IFERROR(INDEX(Parameters!$C$25:$C$28,MATCH(Data!$G59,Parameters!$B$25:$B$28,0)),"NA")</f>
        <v>1</v>
      </c>
      <c r="C59" s="32" t="n">
        <f aca="false">IF(Coding!AF59=0,"",Coding!AF59)</f>
        <v>10</v>
      </c>
      <c r="D59" s="28" t="n">
        <f aca="false">IF(OR(C59="",C59=0),"NA",IF(AND(Parameters!$C$39=1,ISNUMBER(B59),B59&lt;=Parameters!$C$40),0,MIN(C59,Parameters!$C$37)/Parameters!$C$37))</f>
        <v>1</v>
      </c>
      <c r="E59" s="28" t="n">
        <f aca="false">IF(Data!$F59="","NA",IF(SUMPRODUCT((Parameters!$B$66:$B$70&lt;&gt;"")*ISNUMBER(SEARCH(Parameters!$B$66:$B$70,Data!$F59)))&gt;0,Parameters!$C$63,Parameters!$C$64))</f>
        <v>1</v>
      </c>
      <c r="F59" s="32" t="n">
        <f aca="false">IF(OR(Data!$L59="",Data!$L59="Not applicable"),"",LEN(Data!$L59)-LEN(SUBSTITUTE(Data!$L59,"|",""))+1-IF(ISNUMBER(SEARCH("Other",Data!$L59)),1,0)-IF(ISNUMBER(SEARCH("Not applicable",Data!$L59)),1,0)+IF(AND(ISNUMBER(SEARCH("Other",Data!$L59)),Data!$M59&lt;&gt;""),1,0))</f>
        <v>7</v>
      </c>
      <c r="G59" s="28" t="n">
        <f aca="false">IF(OR(F59="",F59=0),"NA",MIN(F59,Parameters!$C$38)/Parameters!$C$38)</f>
        <v>1</v>
      </c>
      <c r="H59" s="15" t="str">
        <f aca="false">IF(Data!$N59="","Blank",IF(SUMPRODUCT((Parameters!$B$49:$B$53&lt;&gt;"")*ISNUMBER(SEARCH(Parameters!$B$49:$B$53,Data!$N59)))&gt;0,"CHECK: suspect URL",IF(ISNUMBER(SEARCH(Parameters!$C$46,Data!$N59)),"Contribution guide","Other page")))</f>
        <v>Contribution guide</v>
      </c>
      <c r="I59" s="28" t="n">
        <f aca="false">IF(H59="Contribution guide",Parameters!$C$44,IF(H59="Other page",Parameters!$C$45,"NA"))</f>
        <v>1</v>
      </c>
      <c r="J59" s="28" t="n">
        <f aca="false">IFERROR(INDEX(Parameters!$C$25:$C$28,MATCH(Data!$O59,Parameters!$B$25:$B$28,0)),"NA")</f>
        <v>1</v>
      </c>
      <c r="K59" s="28" t="n">
        <f aca="false">IFERROR(INDEX(Parameters!$C$32:$C$34,MATCH(Data!$Q59,Parameters!$B$32:$B$34,0)),"NA")</f>
        <v>0.5</v>
      </c>
      <c r="L59" s="32" t="n">
        <f aca="false">IF(AND(Coding!AF59&gt;0,ISNUMBER(B59),B59&lt;=Parameters!$C$40),1,0)</f>
        <v>0</v>
      </c>
      <c r="M59" s="32" t="n">
        <f aca="false">IF(AND(Data!$P59&lt;&gt;"",NOT(AND(ISNUMBER(J59),J59=1))),1,0)</f>
        <v>0</v>
      </c>
      <c r="N59" s="32" t="n">
        <f aca="false">IF(AND(Data!$Q59="Formal",Data!$R59=""),1,0)</f>
        <v>0</v>
      </c>
      <c r="O59" s="32" t="n">
        <f aca="false">IF(AND(Data!$Q59="",Data!$R59&lt;&gt;""),1,0)</f>
        <v>0</v>
      </c>
      <c r="P59" s="32" t="n">
        <f aca="false">IF(AND(ISNUMBER(B59),B59=1,Coding!AF59=0,OR(Data!$I59&lt;&gt;"",Data!$J59&lt;&gt;"")),1,0)</f>
        <v>0</v>
      </c>
      <c r="Q59" s="32" t="n">
        <f aca="false">IF(H59="CHECK: suspect URL",1,0)</f>
        <v>0</v>
      </c>
      <c r="R59" s="32" t="n">
        <f aca="false">IF(AND(OR(Data!$K59="Considering",Data!$K59="Not planning"),OR(AND(ISNUMBER(F59),F59&gt;0),Data!$N59&lt;&gt;"")),1,0)</f>
        <v>0</v>
      </c>
      <c r="S59" s="32" t="n">
        <f aca="false">IF(Data!$F59="",1,0)</f>
        <v>0</v>
      </c>
      <c r="T59" s="32" t="n">
        <f aca="false">SUM(L59:S59)</f>
        <v>0</v>
      </c>
      <c r="U59" s="32" t="n">
        <f aca="false">IF(ISNUMBER(F59),F59-IF(ISNUMBER(SEARCH("Contribute funds",Data!$L59)),1,0),"")</f>
        <v>6</v>
      </c>
      <c r="V59" s="28" t="n">
        <f aca="false">IF(ISNUMBER(U59),MIN(U59,Parameters!$C$38)/Parameters!$C$38,"NA")</f>
        <v>1</v>
      </c>
    </row>
    <row r="60" customFormat="false" ht="15" hidden="false" customHeight="true" outlineLevel="0" collapsed="false">
      <c r="A60" s="15" t="str">
        <f aca="false">Data!$A60</f>
        <v>Islandora</v>
      </c>
      <c r="B60" s="28" t="n">
        <f aca="false">IFERROR(INDEX(Parameters!$C$25:$C$28,MATCH(Data!$G60,Parameters!$B$25:$B$28,0)),"NA")</f>
        <v>1</v>
      </c>
      <c r="C60" s="32" t="n">
        <f aca="false">IF(Coding!AF60=0,"",Coding!AF60)</f>
        <v>11</v>
      </c>
      <c r="D60" s="28" t="n">
        <f aca="false">IF(OR(C60="",C60=0),"NA",IF(AND(Parameters!$C$39=1,ISNUMBER(B60),B60&lt;=Parameters!$C$40),0,MIN(C60,Parameters!$C$37)/Parameters!$C$37))</f>
        <v>1</v>
      </c>
      <c r="E60" s="28" t="n">
        <f aca="false">IF(Data!$F60="","NA",IF(SUMPRODUCT((Parameters!$B$66:$B$70&lt;&gt;"")*ISNUMBER(SEARCH(Parameters!$B$66:$B$70,Data!$F60)))&gt;0,Parameters!$C$63,Parameters!$C$64))</f>
        <v>1</v>
      </c>
      <c r="F60" s="32" t="n">
        <f aca="false">IF(OR(Data!$L60="",Data!$L60="Not applicable"),"",LEN(Data!$L60)-LEN(SUBSTITUTE(Data!$L60,"|",""))+1-IF(ISNUMBER(SEARCH("Other",Data!$L60)),1,0)-IF(ISNUMBER(SEARCH("Not applicable",Data!$L60)),1,0)+IF(AND(ISNUMBER(SEARCH("Other",Data!$L60)),Data!$M60&lt;&gt;""),1,0))</f>
        <v>7</v>
      </c>
      <c r="G60" s="28" t="n">
        <f aca="false">IF(OR(F60="",F60=0),"NA",MIN(F60,Parameters!$C$38)/Parameters!$C$38)</f>
        <v>1</v>
      </c>
      <c r="H60" s="15" t="str">
        <f aca="false">IF(Data!$N60="","Blank",IF(SUMPRODUCT((Parameters!$B$49:$B$53&lt;&gt;"")*ISNUMBER(SEARCH(Parameters!$B$49:$B$53,Data!$N60)))&gt;0,"CHECK: suspect URL",IF(ISNUMBER(SEARCH(Parameters!$C$46,Data!$N60)),"Contribution guide","Other page")))</f>
        <v>Other page</v>
      </c>
      <c r="I60" s="28" t="n">
        <f aca="false">IF(H60="Contribution guide",Parameters!$C$44,IF(H60="Other page",Parameters!$C$45,"NA"))</f>
        <v>0.5</v>
      </c>
      <c r="J60" s="28" t="n">
        <f aca="false">IFERROR(INDEX(Parameters!$C$25:$C$28,MATCH(Data!$O60,Parameters!$B$25:$B$28,0)),"NA")</f>
        <v>1</v>
      </c>
      <c r="K60" s="28" t="str">
        <f aca="false">IFERROR(INDEX(Parameters!$C$32:$C$34,MATCH(Data!$Q60,Parameters!$B$32:$B$34,0)),"NA")</f>
        <v>NA</v>
      </c>
      <c r="L60" s="32" t="n">
        <f aca="false">IF(AND(Coding!AF60&gt;0,ISNUMBER(B60),B60&lt;=Parameters!$C$40),1,0)</f>
        <v>0</v>
      </c>
      <c r="M60" s="32" t="n">
        <f aca="false">IF(AND(Data!$P60&lt;&gt;"",NOT(AND(ISNUMBER(J60),J60=1))),1,0)</f>
        <v>0</v>
      </c>
      <c r="N60" s="32" t="n">
        <f aca="false">IF(AND(Data!$Q60="Formal",Data!$R60=""),1,0)</f>
        <v>0</v>
      </c>
      <c r="O60" s="32" t="n">
        <f aca="false">IF(AND(Data!$Q60="",Data!$R60&lt;&gt;""),1,0)</f>
        <v>0</v>
      </c>
      <c r="P60" s="32" t="n">
        <f aca="false">IF(AND(ISNUMBER(B60),B60=1,Coding!AF60=0,OR(Data!$I60&lt;&gt;"",Data!$J60&lt;&gt;"")),1,0)</f>
        <v>0</v>
      </c>
      <c r="Q60" s="32" t="n">
        <f aca="false">IF(H60="CHECK: suspect URL",1,0)</f>
        <v>0</v>
      </c>
      <c r="R60" s="32" t="n">
        <f aca="false">IF(AND(OR(Data!$K60="Considering",Data!$K60="Not planning"),OR(AND(ISNUMBER(F60),F60&gt;0),Data!$N60&lt;&gt;"")),1,0)</f>
        <v>0</v>
      </c>
      <c r="S60" s="32" t="n">
        <f aca="false">IF(Data!$F60="",1,0)</f>
        <v>0</v>
      </c>
      <c r="T60" s="32" t="n">
        <f aca="false">SUM(L60:S60)</f>
        <v>0</v>
      </c>
      <c r="U60" s="32" t="n">
        <f aca="false">IF(ISNUMBER(F60),F60-IF(ISNUMBER(SEARCH("Contribute funds",Data!$L60)),1,0),"")</f>
        <v>6</v>
      </c>
      <c r="V60" s="28" t="n">
        <f aca="false">IF(ISNUMBER(U60),MIN(U60,Parameters!$C$38)/Parameters!$C$38,"NA")</f>
        <v>1</v>
      </c>
    </row>
    <row r="61" customFormat="false" ht="15" hidden="false" customHeight="true" outlineLevel="0" collapsed="false">
      <c r="A61" s="15" t="str">
        <f aca="false">Data!$A61</f>
        <v>Janeway</v>
      </c>
      <c r="B61" s="28" t="n">
        <f aca="false">IFERROR(INDEX(Parameters!$C$25:$C$28,MATCH(Data!$G61,Parameters!$B$25:$B$28,0)),"NA")</f>
        <v>0.67</v>
      </c>
      <c r="C61" s="32" t="str">
        <f aca="false">IF(Coding!AF61=0,"",Coding!AF61)</f>
        <v/>
      </c>
      <c r="D61" s="28" t="str">
        <f aca="false">IF(OR(C61="",C61=0),"NA",IF(AND(Parameters!$C$39=1,ISNUMBER(B61),B61&lt;=Parameters!$C$40),0,MIN(C61,Parameters!$C$37)/Parameters!$C$37))</f>
        <v>NA</v>
      </c>
      <c r="E61" s="28" t="n">
        <f aca="false">IF(Data!$F61="","NA",IF(SUMPRODUCT((Parameters!$B$66:$B$70&lt;&gt;"")*ISNUMBER(SEARCH(Parameters!$B$66:$B$70,Data!$F61)))&gt;0,Parameters!$C$63,Parameters!$C$64))</f>
        <v>1</v>
      </c>
      <c r="F61" s="32" t="n">
        <f aca="false">IF(OR(Data!$L61="",Data!$L61="Not applicable"),"",LEN(Data!$L61)-LEN(SUBSTITUTE(Data!$L61,"|",""))+1-IF(ISNUMBER(SEARCH("Other",Data!$L61)),1,0)-IF(ISNUMBER(SEARCH("Not applicable",Data!$L61)),1,0)+IF(AND(ISNUMBER(SEARCH("Other",Data!$L61)),Data!$M61&lt;&gt;""),1,0))</f>
        <v>2</v>
      </c>
      <c r="G61" s="28" t="n">
        <f aca="false">IF(OR(F61="",F61=0),"NA",MIN(F61,Parameters!$C$38)/Parameters!$C$38)</f>
        <v>0.333333333333333</v>
      </c>
      <c r="H61" s="15" t="str">
        <f aca="false">IF(Data!$N61="","Blank",IF(SUMPRODUCT((Parameters!$B$49:$B$53&lt;&gt;"")*ISNUMBER(SEARCH(Parameters!$B$49:$B$53,Data!$N61)))&gt;0,"CHECK: suspect URL",IF(ISNUMBER(SEARCH(Parameters!$C$46,Data!$N61)),"Contribution guide","Other page")))</f>
        <v>CHECK: suspect URL</v>
      </c>
      <c r="I61" s="28" t="str">
        <f aca="false">IF(H61="Contribution guide",Parameters!$C$44,IF(H61="Other page",Parameters!$C$45,"NA"))</f>
        <v>NA</v>
      </c>
      <c r="J61" s="28" t="n">
        <f aca="false">IFERROR(INDEX(Parameters!$C$25:$C$28,MATCH(Data!$O61,Parameters!$B$25:$B$28,0)),"NA")</f>
        <v>1</v>
      </c>
      <c r="K61" s="28" t="n">
        <f aca="false">IFERROR(INDEX(Parameters!$C$32:$C$34,MATCH(Data!$Q61,Parameters!$B$32:$B$34,0)),"NA")</f>
        <v>0.5</v>
      </c>
      <c r="L61" s="32" t="n">
        <f aca="false">IF(AND(Coding!AF61&gt;0,ISNUMBER(B61),B61&lt;=Parameters!$C$40),1,0)</f>
        <v>0</v>
      </c>
      <c r="M61" s="32" t="n">
        <f aca="false">IF(AND(Data!$P61&lt;&gt;"",NOT(AND(ISNUMBER(J61),J61=1))),1,0)</f>
        <v>0</v>
      </c>
      <c r="N61" s="32" t="n">
        <f aca="false">IF(AND(Data!$Q61="Formal",Data!$R61=""),1,0)</f>
        <v>0</v>
      </c>
      <c r="O61" s="32" t="n">
        <f aca="false">IF(AND(Data!$Q61="",Data!$R61&lt;&gt;""),1,0)</f>
        <v>0</v>
      </c>
      <c r="P61" s="32" t="n">
        <f aca="false">IF(AND(ISNUMBER(B61),B61=1,Coding!AF61=0,OR(Data!$I61&lt;&gt;"",Data!$J61&lt;&gt;"")),1,0)</f>
        <v>0</v>
      </c>
      <c r="Q61" s="32" t="n">
        <f aca="false">IF(H61="CHECK: suspect URL",1,0)</f>
        <v>1</v>
      </c>
      <c r="R61" s="32" t="n">
        <f aca="false">IF(AND(OR(Data!$K61="Considering",Data!$K61="Not planning"),OR(AND(ISNUMBER(F61),F61&gt;0),Data!$N61&lt;&gt;"")),1,0)</f>
        <v>0</v>
      </c>
      <c r="S61" s="32" t="n">
        <f aca="false">IF(Data!$F61="",1,0)</f>
        <v>0</v>
      </c>
      <c r="T61" s="32" t="n">
        <f aca="false">SUM(L61:S61)</f>
        <v>1</v>
      </c>
      <c r="U61" s="32" t="n">
        <f aca="false">IF(ISNUMBER(F61),F61-IF(ISNUMBER(SEARCH("Contribute funds",Data!$L61)),1,0),"")</f>
        <v>2</v>
      </c>
      <c r="V61" s="28" t="n">
        <f aca="false">IF(ISNUMBER(U61),MIN(U61,Parameters!$C$38)/Parameters!$C$38,"NA")</f>
        <v>0.333333333333333</v>
      </c>
    </row>
    <row r="62" customFormat="false" ht="15" hidden="false" customHeight="true" outlineLevel="0" collapsed="false">
      <c r="A62" s="15" t="str">
        <f aca="false">Data!$A62</f>
        <v>JHOVE</v>
      </c>
      <c r="B62" s="28" t="n">
        <f aca="false">IFERROR(INDEX(Parameters!$C$25:$C$28,MATCH(Data!$G62,Parameters!$B$25:$B$28,0)),"NA")</f>
        <v>1</v>
      </c>
      <c r="C62" s="32" t="n">
        <f aca="false">IF(Coding!AF62=0,"",Coding!AF62)</f>
        <v>9</v>
      </c>
      <c r="D62" s="28" t="n">
        <f aca="false">IF(OR(C62="",C62=0),"NA",IF(AND(Parameters!$C$39=1,ISNUMBER(B62),B62&lt;=Parameters!$C$40),0,MIN(C62,Parameters!$C$37)/Parameters!$C$37))</f>
        <v>1</v>
      </c>
      <c r="E62" s="28" t="n">
        <f aca="false">IF(Data!$F62="","NA",IF(SUMPRODUCT((Parameters!$B$66:$B$70&lt;&gt;"")*ISNUMBER(SEARCH(Parameters!$B$66:$B$70,Data!$F62)))&gt;0,Parameters!$C$63,Parameters!$C$64))</f>
        <v>1</v>
      </c>
      <c r="F62" s="32" t="str">
        <f aca="false">IF(OR(Data!$L62="",Data!$L62="Not applicable"),"",LEN(Data!$L62)-LEN(SUBSTITUTE(Data!$L62,"|",""))+1-IF(ISNUMBER(SEARCH("Other",Data!$L62)),1,0)-IF(ISNUMBER(SEARCH("Not applicable",Data!$L62)),1,0)+IF(AND(ISNUMBER(SEARCH("Other",Data!$L62)),Data!$M62&lt;&gt;""),1,0))</f>
        <v/>
      </c>
      <c r="G62" s="28" t="str">
        <f aca="false">IF(OR(F62="",F62=0),"NA",MIN(F62,Parameters!$C$38)/Parameters!$C$38)</f>
        <v>NA</v>
      </c>
      <c r="H62" s="15" t="str">
        <f aca="false">IF(Data!$N62="","Blank",IF(SUMPRODUCT((Parameters!$B$49:$B$53&lt;&gt;"")*ISNUMBER(SEARCH(Parameters!$B$49:$B$53,Data!$N62)))&gt;0,"CHECK: suspect URL",IF(ISNUMBER(SEARCH(Parameters!$C$46,Data!$N62)),"Contribution guide","Other page")))</f>
        <v>Other page</v>
      </c>
      <c r="I62" s="28" t="n">
        <f aca="false">IF(H62="Contribution guide",Parameters!$C$44,IF(H62="Other page",Parameters!$C$45,"NA"))</f>
        <v>0.5</v>
      </c>
      <c r="J62" s="28" t="n">
        <f aca="false">IFERROR(INDEX(Parameters!$C$25:$C$28,MATCH(Data!$O62,Parameters!$B$25:$B$28,0)),"NA")</f>
        <v>0.67</v>
      </c>
      <c r="K62" s="28" t="n">
        <f aca="false">IFERROR(INDEX(Parameters!$C$32:$C$34,MATCH(Data!$Q62,Parameters!$B$32:$B$34,0)),"NA")</f>
        <v>0.5</v>
      </c>
      <c r="L62" s="32" t="n">
        <f aca="false">IF(AND(Coding!AF62&gt;0,ISNUMBER(B62),B62&lt;=Parameters!$C$40),1,0)</f>
        <v>0</v>
      </c>
      <c r="M62" s="32" t="n">
        <f aca="false">IF(AND(Data!$P62&lt;&gt;"",NOT(AND(ISNUMBER(J62),J62=1))),1,0)</f>
        <v>0</v>
      </c>
      <c r="N62" s="32" t="n">
        <f aca="false">IF(AND(Data!$Q62="Formal",Data!$R62=""),1,0)</f>
        <v>0</v>
      </c>
      <c r="O62" s="32" t="n">
        <f aca="false">IF(AND(Data!$Q62="",Data!$R62&lt;&gt;""),1,0)</f>
        <v>0</v>
      </c>
      <c r="P62" s="32" t="n">
        <f aca="false">IF(AND(ISNUMBER(B62),B62=1,Coding!AF62=0,OR(Data!$I62&lt;&gt;"",Data!$J62&lt;&gt;"")),1,0)</f>
        <v>0</v>
      </c>
      <c r="Q62" s="32" t="n">
        <f aca="false">IF(H62="CHECK: suspect URL",1,0)</f>
        <v>0</v>
      </c>
      <c r="R62" s="32" t="n">
        <f aca="false">IF(AND(OR(Data!$K62="Considering",Data!$K62="Not planning"),OR(AND(ISNUMBER(F62),F62&gt;0),Data!$N62&lt;&gt;"")),1,0)</f>
        <v>0</v>
      </c>
      <c r="S62" s="32" t="n">
        <f aca="false">IF(Data!$F62="",1,0)</f>
        <v>0</v>
      </c>
      <c r="T62" s="32" t="n">
        <f aca="false">SUM(L62:S62)</f>
        <v>0</v>
      </c>
      <c r="U62" s="32" t="str">
        <f aca="false">IF(ISNUMBER(F62),F62-IF(ISNUMBER(SEARCH("Contribute funds",Data!$L62)),1,0),"")</f>
        <v/>
      </c>
      <c r="V62" s="28" t="str">
        <f aca="false">IF(ISNUMBER(U62),MIN(U62,Parameters!$C$38)/Parameters!$C$38,"NA")</f>
        <v>NA</v>
      </c>
    </row>
    <row r="63" customFormat="false" ht="15" hidden="false" customHeight="true" outlineLevel="0" collapsed="false">
      <c r="A63" s="15" t="str">
        <f aca="false">Data!$A63</f>
        <v>LA Referencia</v>
      </c>
      <c r="B63" s="28" t="n">
        <f aca="false">IFERROR(INDEX(Parameters!$C$25:$C$28,MATCH(Data!$G63,Parameters!$B$25:$B$28,0)),"NA")</f>
        <v>0.33</v>
      </c>
      <c r="C63" s="32" t="str">
        <f aca="false">IF(Coding!AF63=0,"",Coding!AF63)</f>
        <v/>
      </c>
      <c r="D63" s="28" t="str">
        <f aca="false">IF(OR(C63="",C63=0),"NA",IF(AND(Parameters!$C$39=1,ISNUMBER(B63),B63&lt;=Parameters!$C$40),0,MIN(C63,Parameters!$C$37)/Parameters!$C$37))</f>
        <v>NA</v>
      </c>
      <c r="E63" s="28" t="n">
        <f aca="false">IF(Data!$F63="","NA",IF(SUMPRODUCT((Parameters!$B$66:$B$70&lt;&gt;"")*ISNUMBER(SEARCH(Parameters!$B$66:$B$70,Data!$F63)))&gt;0,Parameters!$C$63,Parameters!$C$64))</f>
        <v>1</v>
      </c>
      <c r="F63" s="32" t="str">
        <f aca="false">IF(OR(Data!$L63="",Data!$L63="Not applicable"),"",LEN(Data!$L63)-LEN(SUBSTITUTE(Data!$L63,"|",""))+1-IF(ISNUMBER(SEARCH("Other",Data!$L63)),1,0)-IF(ISNUMBER(SEARCH("Not applicable",Data!$L63)),1,0)+IF(AND(ISNUMBER(SEARCH("Other",Data!$L63)),Data!$M63&lt;&gt;""),1,0))</f>
        <v/>
      </c>
      <c r="G63" s="28" t="str">
        <f aca="false">IF(OR(F63="",F63=0),"NA",MIN(F63,Parameters!$C$38)/Parameters!$C$38)</f>
        <v>NA</v>
      </c>
      <c r="H63" s="15" t="str">
        <f aca="false">IF(Data!$N63="","Blank",IF(SUMPRODUCT((Parameters!$B$49:$B$53&lt;&gt;"")*ISNUMBER(SEARCH(Parameters!$B$49:$B$53,Data!$N63)))&gt;0,"CHECK: suspect URL",IF(ISNUMBER(SEARCH(Parameters!$C$46,Data!$N63)),"Contribution guide","Other page")))</f>
        <v>Blank</v>
      </c>
      <c r="I63" s="28" t="str">
        <f aca="false">IF(H63="Contribution guide",Parameters!$C$44,IF(H63="Other page",Parameters!$C$45,"NA"))</f>
        <v>NA</v>
      </c>
      <c r="J63" s="28" t="n">
        <f aca="false">IFERROR(INDEX(Parameters!$C$25:$C$28,MATCH(Data!$O63,Parameters!$B$25:$B$28,0)),"NA")</f>
        <v>0.67</v>
      </c>
      <c r="K63" s="28" t="n">
        <f aca="false">IFERROR(INDEX(Parameters!$C$32:$C$34,MATCH(Data!$Q63,Parameters!$B$32:$B$34,0)),"NA")</f>
        <v>1</v>
      </c>
      <c r="L63" s="32" t="n">
        <f aca="false">IF(AND(Coding!AF63&gt;0,ISNUMBER(B63),B63&lt;=Parameters!$C$40),1,0)</f>
        <v>0</v>
      </c>
      <c r="M63" s="32" t="n">
        <f aca="false">IF(AND(Data!$P63&lt;&gt;"",NOT(AND(ISNUMBER(J63),J63=1))),1,0)</f>
        <v>0</v>
      </c>
      <c r="N63" s="32" t="n">
        <f aca="false">IF(AND(Data!$Q63="Formal",Data!$R63=""),1,0)</f>
        <v>1</v>
      </c>
      <c r="O63" s="32" t="n">
        <f aca="false">IF(AND(Data!$Q63="",Data!$R63&lt;&gt;""),1,0)</f>
        <v>0</v>
      </c>
      <c r="P63" s="32" t="n">
        <f aca="false">IF(AND(ISNUMBER(B63),B63=1,Coding!AF63=0,OR(Data!$I63&lt;&gt;"",Data!$J63&lt;&gt;"")),1,0)</f>
        <v>0</v>
      </c>
      <c r="Q63" s="32" t="n">
        <f aca="false">IF(H63="CHECK: suspect URL",1,0)</f>
        <v>0</v>
      </c>
      <c r="R63" s="32" t="n">
        <f aca="false">IF(AND(OR(Data!$K63="Considering",Data!$K63="Not planning"),OR(AND(ISNUMBER(F63),F63&gt;0),Data!$N63&lt;&gt;"")),1,0)</f>
        <v>0</v>
      </c>
      <c r="S63" s="32" t="n">
        <f aca="false">IF(Data!$F63="",1,0)</f>
        <v>0</v>
      </c>
      <c r="T63" s="32" t="n">
        <f aca="false">SUM(L63:S63)</f>
        <v>1</v>
      </c>
      <c r="U63" s="32" t="str">
        <f aca="false">IF(ISNUMBER(F63),F63-IF(ISNUMBER(SEARCH("Contribute funds",Data!$L63)),1,0),"")</f>
        <v/>
      </c>
      <c r="V63" s="28" t="str">
        <f aca="false">IF(ISNUMBER(U63),MIN(U63,Parameters!$C$38)/Parameters!$C$38,"NA")</f>
        <v>NA</v>
      </c>
    </row>
    <row r="64" customFormat="false" ht="15" hidden="false" customHeight="true" outlineLevel="0" collapsed="false">
      <c r="A64" s="15" t="str">
        <f aca="false">Data!$A64</f>
        <v>Manifold</v>
      </c>
      <c r="B64" s="28" t="n">
        <f aca="false">IFERROR(INDEX(Parameters!$C$25:$C$28,MATCH(Data!$G64,Parameters!$B$25:$B$28,0)),"NA")</f>
        <v>1</v>
      </c>
      <c r="C64" s="32" t="str">
        <f aca="false">IF(Coding!AF64=0,"",Coding!AF64)</f>
        <v/>
      </c>
      <c r="D64" s="28" t="str">
        <f aca="false">IF(OR(C64="",C64=0),"NA",IF(AND(Parameters!$C$39=1,ISNUMBER(B64),B64&lt;=Parameters!$C$40),0,MIN(C64,Parameters!$C$37)/Parameters!$C$37))</f>
        <v>NA</v>
      </c>
      <c r="E64" s="28" t="n">
        <f aca="false">IF(Data!$F64="","NA",IF(SUMPRODUCT((Parameters!$B$66:$B$70&lt;&gt;"")*ISNUMBER(SEARCH(Parameters!$B$66:$B$70,Data!$F64)))&gt;0,Parameters!$C$63,Parameters!$C$64))</f>
        <v>1</v>
      </c>
      <c r="F64" s="32" t="n">
        <f aca="false">IF(OR(Data!$L64="",Data!$L64="Not applicable"),"",LEN(Data!$L64)-LEN(SUBSTITUTE(Data!$L64,"|",""))+1-IF(ISNUMBER(SEARCH("Other",Data!$L64)),1,0)-IF(ISNUMBER(SEARCH("Not applicable",Data!$L64)),1,0)+IF(AND(ISNUMBER(SEARCH("Other",Data!$L64)),Data!$M64&lt;&gt;""),1,0))</f>
        <v>1</v>
      </c>
      <c r="G64" s="28" t="n">
        <f aca="false">IF(OR(F64="",F64=0),"NA",MIN(F64,Parameters!$C$38)/Parameters!$C$38)</f>
        <v>0.166666666666667</v>
      </c>
      <c r="H64" s="15" t="str">
        <f aca="false">IF(Data!$N64="","Blank",IF(SUMPRODUCT((Parameters!$B$49:$B$53&lt;&gt;"")*ISNUMBER(SEARCH(Parameters!$B$49:$B$53,Data!$N64)))&gt;0,"CHECK: suspect URL",IF(ISNUMBER(SEARCH(Parameters!$C$46,Data!$N64)),"Contribution guide","Other page")))</f>
        <v>Other page</v>
      </c>
      <c r="I64" s="28" t="n">
        <f aca="false">IF(H64="Contribution guide",Parameters!$C$44,IF(H64="Other page",Parameters!$C$45,"NA"))</f>
        <v>0.5</v>
      </c>
      <c r="J64" s="28" t="str">
        <f aca="false">IFERROR(INDEX(Parameters!$C$25:$C$28,MATCH(Data!$O64,Parameters!$B$25:$B$28,0)),"NA")</f>
        <v>NA</v>
      </c>
      <c r="K64" s="28" t="str">
        <f aca="false">IFERROR(INDEX(Parameters!$C$32:$C$34,MATCH(Data!$Q64,Parameters!$B$32:$B$34,0)),"NA")</f>
        <v>NA</v>
      </c>
      <c r="L64" s="32" t="n">
        <f aca="false">IF(AND(Coding!AF64&gt;0,ISNUMBER(B64),B64&lt;=Parameters!$C$40),1,0)</f>
        <v>0</v>
      </c>
      <c r="M64" s="32" t="n">
        <f aca="false">IF(AND(Data!$P64&lt;&gt;"",NOT(AND(ISNUMBER(J64),J64=1))),1,0)</f>
        <v>0</v>
      </c>
      <c r="N64" s="32" t="n">
        <f aca="false">IF(AND(Data!$Q64="Formal",Data!$R64=""),1,0)</f>
        <v>0</v>
      </c>
      <c r="O64" s="32" t="n">
        <f aca="false">IF(AND(Data!$Q64="",Data!$R64&lt;&gt;""),1,0)</f>
        <v>0</v>
      </c>
      <c r="P64" s="32" t="n">
        <f aca="false">IF(AND(ISNUMBER(B64),B64=1,Coding!AF64=0,OR(Data!$I64&lt;&gt;"",Data!$J64&lt;&gt;"")),1,0)</f>
        <v>1</v>
      </c>
      <c r="Q64" s="32" t="n">
        <f aca="false">IF(H64="CHECK: suspect URL",1,0)</f>
        <v>0</v>
      </c>
      <c r="R64" s="32" t="n">
        <f aca="false">IF(AND(OR(Data!$K64="Considering",Data!$K64="Not planning"),OR(AND(ISNUMBER(F64),F64&gt;0),Data!$N64&lt;&gt;"")),1,0)</f>
        <v>0</v>
      </c>
      <c r="S64" s="32" t="n">
        <f aca="false">IF(Data!$F64="",1,0)</f>
        <v>0</v>
      </c>
      <c r="T64" s="32" t="n">
        <f aca="false">SUM(L64:S64)</f>
        <v>1</v>
      </c>
      <c r="U64" s="32" t="n">
        <f aca="false">IF(ISNUMBER(F64),F64-IF(ISNUMBER(SEARCH("Contribute funds",Data!$L64)),1,0),"")</f>
        <v>1</v>
      </c>
      <c r="V64" s="28" t="n">
        <f aca="false">IF(ISNUMBER(U64),MIN(U64,Parameters!$C$38)/Parameters!$C$38,"NA")</f>
        <v>0.166666666666667</v>
      </c>
    </row>
    <row r="65" customFormat="false" ht="15" hidden="false" customHeight="true" outlineLevel="0" collapsed="false">
      <c r="A65" s="15" t="str">
        <f aca="false">Data!$A65</f>
        <v>medRxiv</v>
      </c>
      <c r="B65" s="28" t="n">
        <f aca="false">IFERROR(INDEX(Parameters!$C$25:$C$28,MATCH(Data!$G65,Parameters!$B$25:$B$28,0)),"NA")</f>
        <v>1</v>
      </c>
      <c r="C65" s="32" t="n">
        <f aca="false">IF(Coding!AF65=0,"",Coding!AF65)</f>
        <v>9</v>
      </c>
      <c r="D65" s="28" t="n">
        <f aca="false">IF(OR(C65="",C65=0),"NA",IF(AND(Parameters!$C$39=1,ISNUMBER(B65),B65&lt;=Parameters!$C$40),0,MIN(C65,Parameters!$C$37)/Parameters!$C$37))</f>
        <v>1</v>
      </c>
      <c r="E65" s="28" t="str">
        <f aca="false">IF(Data!$F65="","NA",IF(SUMPRODUCT((Parameters!$B$66:$B$70&lt;&gt;"")*ISNUMBER(SEARCH(Parameters!$B$66:$B$70,Data!$F65)))&gt;0,Parameters!$C$63,Parameters!$C$64))</f>
        <v>NA</v>
      </c>
      <c r="F65" s="32" t="n">
        <f aca="false">IF(OR(Data!$L65="",Data!$L65="Not applicable"),"",LEN(Data!$L65)-LEN(SUBSTITUTE(Data!$L65,"|",""))+1-IF(ISNUMBER(SEARCH("Other",Data!$L65)),1,0)-IF(ISNUMBER(SEARCH("Not applicable",Data!$L65)),1,0)+IF(AND(ISNUMBER(SEARCH("Other",Data!$L65)),Data!$M65&lt;&gt;""),1,0))</f>
        <v>1</v>
      </c>
      <c r="G65" s="28" t="n">
        <f aca="false">IF(OR(F65="",F65=0),"NA",MIN(F65,Parameters!$C$38)/Parameters!$C$38)</f>
        <v>0.166666666666667</v>
      </c>
      <c r="H65" s="15" t="str">
        <f aca="false">IF(Data!$N65="","Blank",IF(SUMPRODUCT((Parameters!$B$49:$B$53&lt;&gt;"")*ISNUMBER(SEARCH(Parameters!$B$49:$B$53,Data!$N65)))&gt;0,"CHECK: suspect URL",IF(ISNUMBER(SEARCH(Parameters!$C$46,Data!$N65)),"Contribution guide","Other page")))</f>
        <v>Blank</v>
      </c>
      <c r="I65" s="28" t="str">
        <f aca="false">IF(H65="Contribution guide",Parameters!$C$44,IF(H65="Other page",Parameters!$C$45,"NA"))</f>
        <v>NA</v>
      </c>
      <c r="J65" s="28" t="n">
        <f aca="false">IFERROR(INDEX(Parameters!$C$25:$C$28,MATCH(Data!$O65,Parameters!$B$25:$B$28,0)),"NA")</f>
        <v>0.33</v>
      </c>
      <c r="K65" s="28" t="n">
        <f aca="false">IFERROR(INDEX(Parameters!$C$32:$C$34,MATCH(Data!$Q65,Parameters!$B$32:$B$34,0)),"NA")</f>
        <v>0.5</v>
      </c>
      <c r="L65" s="32" t="n">
        <f aca="false">IF(AND(Coding!AF65&gt;0,ISNUMBER(B65),B65&lt;=Parameters!$C$40),1,0)</f>
        <v>0</v>
      </c>
      <c r="M65" s="32" t="n">
        <f aca="false">IF(AND(Data!$P65&lt;&gt;"",NOT(AND(ISNUMBER(J65),J65=1))),1,0)</f>
        <v>0</v>
      </c>
      <c r="N65" s="32" t="n">
        <f aca="false">IF(AND(Data!$Q65="Formal",Data!$R65=""),1,0)</f>
        <v>0</v>
      </c>
      <c r="O65" s="32" t="n">
        <f aca="false">IF(AND(Data!$Q65="",Data!$R65&lt;&gt;""),1,0)</f>
        <v>0</v>
      </c>
      <c r="P65" s="32" t="n">
        <f aca="false">IF(AND(ISNUMBER(B65),B65=1,Coding!AF65=0,OR(Data!$I65&lt;&gt;"",Data!$J65&lt;&gt;"")),1,0)</f>
        <v>0</v>
      </c>
      <c r="Q65" s="32" t="n">
        <f aca="false">IF(H65="CHECK: suspect URL",1,0)</f>
        <v>0</v>
      </c>
      <c r="R65" s="32" t="n">
        <f aca="false">IF(AND(OR(Data!$K65="Considering",Data!$K65="Not planning"),OR(AND(ISNUMBER(F65),F65&gt;0),Data!$N65&lt;&gt;"")),1,0)</f>
        <v>1</v>
      </c>
      <c r="S65" s="32" t="n">
        <f aca="false">IF(Data!$F65="",1,0)</f>
        <v>1</v>
      </c>
      <c r="T65" s="32" t="n">
        <f aca="false">SUM(L65:S65)</f>
        <v>2</v>
      </c>
      <c r="U65" s="32" t="n">
        <f aca="false">IF(ISNUMBER(F65),F65-IF(ISNUMBER(SEARCH("Contribute funds",Data!$L65)),1,0),"")</f>
        <v>1</v>
      </c>
      <c r="V65" s="28" t="n">
        <f aca="false">IF(ISNUMBER(U65),MIN(U65,Parameters!$C$38)/Parameters!$C$38,"NA")</f>
        <v>0.166666666666667</v>
      </c>
    </row>
    <row r="66" customFormat="false" ht="15" hidden="false" customHeight="true" outlineLevel="0" collapsed="false">
      <c r="A66" s="15" t="str">
        <f aca="false">Data!$A66</f>
        <v>Metadata Encoding and Transmission Standard (METS)</v>
      </c>
      <c r="B66" s="28" t="n">
        <f aca="false">IFERROR(INDEX(Parameters!$C$25:$C$28,MATCH(Data!$G66,Parameters!$B$25:$B$28,0)),"NA")</f>
        <v>1</v>
      </c>
      <c r="C66" s="32" t="n">
        <f aca="false">IF(Coding!AF66=0,"",Coding!AF66)</f>
        <v>2</v>
      </c>
      <c r="D66" s="28" t="n">
        <f aca="false">IF(OR(C66="",C66=0),"NA",IF(AND(Parameters!$C$39=1,ISNUMBER(B66),B66&lt;=Parameters!$C$40),0,MIN(C66,Parameters!$C$37)/Parameters!$C$37))</f>
        <v>0.25</v>
      </c>
      <c r="E66" s="28" t="n">
        <f aca="false">IF(Data!$F66="","NA",IF(SUMPRODUCT((Parameters!$B$66:$B$70&lt;&gt;"")*ISNUMBER(SEARCH(Parameters!$B$66:$B$70,Data!$F66)))&gt;0,Parameters!$C$63,Parameters!$C$64))</f>
        <v>1</v>
      </c>
      <c r="F66" s="32" t="n">
        <f aca="false">IF(OR(Data!$L66="",Data!$L66="Not applicable"),"",LEN(Data!$L66)-LEN(SUBSTITUTE(Data!$L66,"|",""))+1-IF(ISNUMBER(SEARCH("Other",Data!$L66)),1,0)-IF(ISNUMBER(SEARCH("Not applicable",Data!$L66)),1,0)+IF(AND(ISNUMBER(SEARCH("Other",Data!$L66)),Data!$M66&lt;&gt;""),1,0))</f>
        <v>4</v>
      </c>
      <c r="G66" s="28" t="n">
        <f aca="false">IF(OR(F66="",F66=0),"NA",MIN(F66,Parameters!$C$38)/Parameters!$C$38)</f>
        <v>0.666666666666667</v>
      </c>
      <c r="H66" s="15" t="str">
        <f aca="false">IF(Data!$N66="","Blank",IF(SUMPRODUCT((Parameters!$B$49:$B$53&lt;&gt;"")*ISNUMBER(SEARCH(Parameters!$B$49:$B$53,Data!$N66)))&gt;0,"CHECK: suspect URL",IF(ISNUMBER(SEARCH(Parameters!$C$46,Data!$N66)),"Contribution guide","Other page")))</f>
        <v>Other page</v>
      </c>
      <c r="I66" s="28" t="n">
        <f aca="false">IF(H66="Contribution guide",Parameters!$C$44,IF(H66="Other page",Parameters!$C$45,"NA"))</f>
        <v>0.5</v>
      </c>
      <c r="J66" s="28" t="n">
        <f aca="false">IFERROR(INDEX(Parameters!$C$25:$C$28,MATCH(Data!$O66,Parameters!$B$25:$B$28,0)),"NA")</f>
        <v>0</v>
      </c>
      <c r="K66" s="28" t="n">
        <f aca="false">IFERROR(INDEX(Parameters!$C$32:$C$34,MATCH(Data!$Q66,Parameters!$B$32:$B$34,0)),"NA")</f>
        <v>0.5</v>
      </c>
      <c r="L66" s="32" t="n">
        <f aca="false">IF(AND(Coding!AF66&gt;0,ISNUMBER(B66),B66&lt;=Parameters!$C$40),1,0)</f>
        <v>0</v>
      </c>
      <c r="M66" s="32" t="n">
        <f aca="false">IF(AND(Data!$P66&lt;&gt;"",NOT(AND(ISNUMBER(J66),J66=1))),1,0)</f>
        <v>0</v>
      </c>
      <c r="N66" s="32" t="n">
        <f aca="false">IF(AND(Data!$Q66="Formal",Data!$R66=""),1,0)</f>
        <v>0</v>
      </c>
      <c r="O66" s="32" t="n">
        <f aca="false">IF(AND(Data!$Q66="",Data!$R66&lt;&gt;""),1,0)</f>
        <v>0</v>
      </c>
      <c r="P66" s="32" t="n">
        <f aca="false">IF(AND(ISNUMBER(B66),B66=1,Coding!AF66=0,OR(Data!$I66&lt;&gt;"",Data!$J66&lt;&gt;"")),1,0)</f>
        <v>0</v>
      </c>
      <c r="Q66" s="32" t="n">
        <f aca="false">IF(H66="CHECK: suspect URL",1,0)</f>
        <v>0</v>
      </c>
      <c r="R66" s="32" t="n">
        <f aca="false">IF(AND(OR(Data!$K66="Considering",Data!$K66="Not planning"),OR(AND(ISNUMBER(F66),F66&gt;0),Data!$N66&lt;&gt;"")),1,0)</f>
        <v>0</v>
      </c>
      <c r="S66" s="32" t="n">
        <f aca="false">IF(Data!$F66="",1,0)</f>
        <v>0</v>
      </c>
      <c r="T66" s="32" t="n">
        <f aca="false">SUM(L66:S66)</f>
        <v>0</v>
      </c>
      <c r="U66" s="32" t="n">
        <f aca="false">IF(ISNUMBER(F66),F66-IF(ISNUMBER(SEARCH("Contribute funds",Data!$L66)),1,0),"")</f>
        <v>4</v>
      </c>
      <c r="V66" s="28" t="n">
        <f aca="false">IF(ISNUMBER(U66),MIN(U66,Parameters!$C$38)/Parameters!$C$38,"NA")</f>
        <v>0.666666666666667</v>
      </c>
    </row>
    <row r="67" customFormat="false" ht="15" hidden="false" customHeight="true" outlineLevel="0" collapsed="false">
      <c r="A67" s="15" t="str">
        <f aca="false">Data!$A67</f>
        <v>Mirador</v>
      </c>
      <c r="B67" s="28" t="n">
        <f aca="false">IFERROR(INDEX(Parameters!$C$25:$C$28,MATCH(Data!$G67,Parameters!$B$25:$B$28,0)),"NA")</f>
        <v>1</v>
      </c>
      <c r="C67" s="32" t="n">
        <f aca="false">IF(Coding!AF67=0,"",Coding!AF67)</f>
        <v>2</v>
      </c>
      <c r="D67" s="28" t="n">
        <f aca="false">IF(OR(C67="",C67=0),"NA",IF(AND(Parameters!$C$39=1,ISNUMBER(B67),B67&lt;=Parameters!$C$40),0,MIN(C67,Parameters!$C$37)/Parameters!$C$37))</f>
        <v>0.25</v>
      </c>
      <c r="E67" s="28" t="n">
        <f aca="false">IF(Data!$F67="","NA",IF(SUMPRODUCT((Parameters!$B$66:$B$70&lt;&gt;"")*ISNUMBER(SEARCH(Parameters!$B$66:$B$70,Data!$F67)))&gt;0,Parameters!$C$63,Parameters!$C$64))</f>
        <v>1</v>
      </c>
      <c r="F67" s="32" t="n">
        <f aca="false">IF(OR(Data!$L67="",Data!$L67="Not applicable"),"",LEN(Data!$L67)-LEN(SUBSTITUTE(Data!$L67,"|",""))+1-IF(ISNUMBER(SEARCH("Other",Data!$L67)),1,0)-IF(ISNUMBER(SEARCH("Not applicable",Data!$L67)),1,0)+IF(AND(ISNUMBER(SEARCH("Other",Data!$L67)),Data!$M67&lt;&gt;""),1,0))</f>
        <v>4</v>
      </c>
      <c r="G67" s="28" t="n">
        <f aca="false">IF(OR(F67="",F67=0),"NA",MIN(F67,Parameters!$C$38)/Parameters!$C$38)</f>
        <v>0.666666666666667</v>
      </c>
      <c r="H67" s="15" t="str">
        <f aca="false">IF(Data!$N67="","Blank",IF(SUMPRODUCT((Parameters!$B$49:$B$53&lt;&gt;"")*ISNUMBER(SEARCH(Parameters!$B$49:$B$53,Data!$N67)))&gt;0,"CHECK: suspect URL",IF(ISNUMBER(SEARCH(Parameters!$C$46,Data!$N67)),"Contribution guide","Other page")))</f>
        <v>Other page</v>
      </c>
      <c r="I67" s="28" t="n">
        <f aca="false">IF(H67="Contribution guide",Parameters!$C$44,IF(H67="Other page",Parameters!$C$45,"NA"))</f>
        <v>0.5</v>
      </c>
      <c r="J67" s="28" t="n">
        <f aca="false">IFERROR(INDEX(Parameters!$C$25:$C$28,MATCH(Data!$O67,Parameters!$B$25:$B$28,0)),"NA")</f>
        <v>1</v>
      </c>
      <c r="K67" s="28" t="n">
        <f aca="false">IFERROR(INDEX(Parameters!$C$32:$C$34,MATCH(Data!$Q67,Parameters!$B$32:$B$34,0)),"NA")</f>
        <v>0.5</v>
      </c>
      <c r="L67" s="32" t="n">
        <f aca="false">IF(AND(Coding!AF67&gt;0,ISNUMBER(B67),B67&lt;=Parameters!$C$40),1,0)</f>
        <v>0</v>
      </c>
      <c r="M67" s="32" t="n">
        <f aca="false">IF(AND(Data!$P67&lt;&gt;"",NOT(AND(ISNUMBER(J67),J67=1))),1,0)</f>
        <v>0</v>
      </c>
      <c r="N67" s="32" t="n">
        <f aca="false">IF(AND(Data!$Q67="Formal",Data!$R67=""),1,0)</f>
        <v>0</v>
      </c>
      <c r="O67" s="32" t="n">
        <f aca="false">IF(AND(Data!$Q67="",Data!$R67&lt;&gt;""),1,0)</f>
        <v>0</v>
      </c>
      <c r="P67" s="32" t="n">
        <f aca="false">IF(AND(ISNUMBER(B67),B67=1,Coding!AF67=0,OR(Data!$I67&lt;&gt;"",Data!$J67&lt;&gt;"")),1,0)</f>
        <v>0</v>
      </c>
      <c r="Q67" s="32" t="n">
        <f aca="false">IF(H67="CHECK: suspect URL",1,0)</f>
        <v>0</v>
      </c>
      <c r="R67" s="32" t="n">
        <f aca="false">IF(AND(OR(Data!$K67="Considering",Data!$K67="Not planning"),OR(AND(ISNUMBER(F67),F67&gt;0),Data!$N67&lt;&gt;"")),1,0)</f>
        <v>0</v>
      </c>
      <c r="S67" s="32" t="n">
        <f aca="false">IF(Data!$F67="",1,0)</f>
        <v>0</v>
      </c>
      <c r="T67" s="32" t="n">
        <f aca="false">SUM(L67:S67)</f>
        <v>0</v>
      </c>
      <c r="U67" s="32" t="n">
        <f aca="false">IF(ISNUMBER(F67),F67-IF(ISNUMBER(SEARCH("Contribute funds",Data!$L67)),1,0),"")</f>
        <v>4</v>
      </c>
      <c r="V67" s="28" t="n">
        <f aca="false">IF(ISNUMBER(U67),MIN(U67,Parameters!$C$38)/Parameters!$C$38,"NA")</f>
        <v>0.666666666666667</v>
      </c>
    </row>
    <row r="68" customFormat="false" ht="15" hidden="false" customHeight="true" outlineLevel="0" collapsed="false">
      <c r="A68" s="15" t="str">
        <f aca="false">Data!$A68</f>
        <v>Mukurtu CMS</v>
      </c>
      <c r="B68" s="28" t="n">
        <f aca="false">IFERROR(INDEX(Parameters!$C$25:$C$28,MATCH(Data!$G68,Parameters!$B$25:$B$28,0)),"NA")</f>
        <v>1</v>
      </c>
      <c r="C68" s="32" t="n">
        <f aca="false">IF(Coding!AF68=0,"",Coding!AF68)</f>
        <v>1</v>
      </c>
      <c r="D68" s="28" t="n">
        <f aca="false">IF(OR(C68="",C68=0),"NA",IF(AND(Parameters!$C$39=1,ISNUMBER(B68),B68&lt;=Parameters!$C$40),0,MIN(C68,Parameters!$C$37)/Parameters!$C$37))</f>
        <v>0.125</v>
      </c>
      <c r="E68" s="28" t="n">
        <f aca="false">IF(Data!$F68="","NA",IF(SUMPRODUCT((Parameters!$B$66:$B$70&lt;&gt;"")*ISNUMBER(SEARCH(Parameters!$B$66:$B$70,Data!$F68)))&gt;0,Parameters!$C$63,Parameters!$C$64))</f>
        <v>1</v>
      </c>
      <c r="F68" s="32" t="n">
        <f aca="false">IF(OR(Data!$L68="",Data!$L68="Not applicable"),"",LEN(Data!$L68)-LEN(SUBSTITUTE(Data!$L68,"|",""))+1-IF(ISNUMBER(SEARCH("Other",Data!$L68)),1,0)-IF(ISNUMBER(SEARCH("Not applicable",Data!$L68)),1,0)+IF(AND(ISNUMBER(SEARCH("Other",Data!$L68)),Data!$M68&lt;&gt;""),1,0))</f>
        <v>2</v>
      </c>
      <c r="G68" s="28" t="n">
        <f aca="false">IF(OR(F68="",F68=0),"NA",MIN(F68,Parameters!$C$38)/Parameters!$C$38)</f>
        <v>0.333333333333333</v>
      </c>
      <c r="H68" s="15" t="str">
        <f aca="false">IF(Data!$N68="","Blank",IF(SUMPRODUCT((Parameters!$B$49:$B$53&lt;&gt;"")*ISNUMBER(SEARCH(Parameters!$B$49:$B$53,Data!$N68)))&gt;0,"CHECK: suspect URL",IF(ISNUMBER(SEARCH(Parameters!$C$46,Data!$N68)),"Contribution guide","Other page")))</f>
        <v>Other page</v>
      </c>
      <c r="I68" s="28" t="n">
        <f aca="false">IF(H68="Contribution guide",Parameters!$C$44,IF(H68="Other page",Parameters!$C$45,"NA"))</f>
        <v>0.5</v>
      </c>
      <c r="J68" s="28" t="n">
        <f aca="false">IFERROR(INDEX(Parameters!$C$25:$C$28,MATCH(Data!$O68,Parameters!$B$25:$B$28,0)),"NA")</f>
        <v>0.67</v>
      </c>
      <c r="K68" s="28" t="n">
        <f aca="false">IFERROR(INDEX(Parameters!$C$32:$C$34,MATCH(Data!$Q68,Parameters!$B$32:$B$34,0)),"NA")</f>
        <v>0.5</v>
      </c>
      <c r="L68" s="32" t="n">
        <f aca="false">IF(AND(Coding!AF68&gt;0,ISNUMBER(B68),B68&lt;=Parameters!$C$40),1,0)</f>
        <v>0</v>
      </c>
      <c r="M68" s="32" t="n">
        <f aca="false">IF(AND(Data!$P68&lt;&gt;"",NOT(AND(ISNUMBER(J68),J68=1))),1,0)</f>
        <v>0</v>
      </c>
      <c r="N68" s="32" t="n">
        <f aca="false">IF(AND(Data!$Q68="Formal",Data!$R68=""),1,0)</f>
        <v>0</v>
      </c>
      <c r="O68" s="32" t="n">
        <f aca="false">IF(AND(Data!$Q68="",Data!$R68&lt;&gt;""),1,0)</f>
        <v>0</v>
      </c>
      <c r="P68" s="32" t="n">
        <f aca="false">IF(AND(ISNUMBER(B68),B68=1,Coding!AF68=0,OR(Data!$I68&lt;&gt;"",Data!$J68&lt;&gt;"")),1,0)</f>
        <v>0</v>
      </c>
      <c r="Q68" s="32" t="n">
        <f aca="false">IF(H68="CHECK: suspect URL",1,0)</f>
        <v>0</v>
      </c>
      <c r="R68" s="32" t="n">
        <f aca="false">IF(AND(OR(Data!$K68="Considering",Data!$K68="Not planning"),OR(AND(ISNUMBER(F68),F68&gt;0),Data!$N68&lt;&gt;"")),1,0)</f>
        <v>0</v>
      </c>
      <c r="S68" s="32" t="n">
        <f aca="false">IF(Data!$F68="",1,0)</f>
        <v>0</v>
      </c>
      <c r="T68" s="32" t="n">
        <f aca="false">SUM(L68:S68)</f>
        <v>0</v>
      </c>
      <c r="U68" s="32" t="n">
        <f aca="false">IF(ISNUMBER(F68),F68-IF(ISNUMBER(SEARCH("Contribute funds",Data!$L68)),1,0),"")</f>
        <v>2</v>
      </c>
      <c r="V68" s="28" t="n">
        <f aca="false">IF(ISNUMBER(U68),MIN(U68,Parameters!$C$38)/Parameters!$C$38,"NA")</f>
        <v>0.333333333333333</v>
      </c>
    </row>
    <row r="69" customFormat="false" ht="15" hidden="false" customHeight="true" outlineLevel="0" collapsed="false">
      <c r="A69" s="15" t="str">
        <f aca="false">Data!$A69</f>
        <v>MyCoRe</v>
      </c>
      <c r="B69" s="28" t="n">
        <f aca="false">IFERROR(INDEX(Parameters!$C$25:$C$28,MATCH(Data!$G69,Parameters!$B$25:$B$28,0)),"NA")</f>
        <v>0</v>
      </c>
      <c r="C69" s="32" t="str">
        <f aca="false">IF(Coding!AF69=0,"",Coding!AF69)</f>
        <v/>
      </c>
      <c r="D69" s="28" t="str">
        <f aca="false">IF(OR(C69="",C69=0),"NA",IF(AND(Parameters!$C$39=1,ISNUMBER(B69),B69&lt;=Parameters!$C$40),0,MIN(C69,Parameters!$C$37)/Parameters!$C$37))</f>
        <v>NA</v>
      </c>
      <c r="E69" s="28" t="n">
        <f aca="false">IF(Data!$F69="","NA",IF(SUMPRODUCT((Parameters!$B$66:$B$70&lt;&gt;"")*ISNUMBER(SEARCH(Parameters!$B$66:$B$70,Data!$F69)))&gt;0,Parameters!$C$63,Parameters!$C$64))</f>
        <v>1</v>
      </c>
      <c r="F69" s="32" t="str">
        <f aca="false">IF(OR(Data!$L69="",Data!$L69="Not applicable"),"",LEN(Data!$L69)-LEN(SUBSTITUTE(Data!$L69,"|",""))+1-IF(ISNUMBER(SEARCH("Other",Data!$L69)),1,0)-IF(ISNUMBER(SEARCH("Not applicable",Data!$L69)),1,0)+IF(AND(ISNUMBER(SEARCH("Other",Data!$L69)),Data!$M69&lt;&gt;""),1,0))</f>
        <v/>
      </c>
      <c r="G69" s="28" t="str">
        <f aca="false">IF(OR(F69="",F69=0),"NA",MIN(F69,Parameters!$C$38)/Parameters!$C$38)</f>
        <v>NA</v>
      </c>
      <c r="H69" s="15" t="str">
        <f aca="false">IF(Data!$N69="","Blank",IF(SUMPRODUCT((Parameters!$B$49:$B$53&lt;&gt;"")*ISNUMBER(SEARCH(Parameters!$B$49:$B$53,Data!$N69)))&gt;0,"CHECK: suspect URL",IF(ISNUMBER(SEARCH(Parameters!$C$46,Data!$N69)),"Contribution guide","Other page")))</f>
        <v>Contribution guide</v>
      </c>
      <c r="I69" s="28" t="n">
        <f aca="false">IF(H69="Contribution guide",Parameters!$C$44,IF(H69="Other page",Parameters!$C$45,"NA"))</f>
        <v>1</v>
      </c>
      <c r="J69" s="28" t="str">
        <f aca="false">IFERROR(INDEX(Parameters!$C$25:$C$28,MATCH(Data!$O69,Parameters!$B$25:$B$28,0)),"NA")</f>
        <v>NA</v>
      </c>
      <c r="K69" s="28" t="n">
        <f aca="false">IFERROR(INDEX(Parameters!$C$32:$C$34,MATCH(Data!$Q69,Parameters!$B$32:$B$34,0)),"NA")</f>
        <v>0.5</v>
      </c>
      <c r="L69" s="32" t="n">
        <f aca="false">IF(AND(Coding!AF69&gt;0,ISNUMBER(B69),B69&lt;=Parameters!$C$40),1,0)</f>
        <v>0</v>
      </c>
      <c r="M69" s="32" t="n">
        <f aca="false">IF(AND(Data!$P69&lt;&gt;"",NOT(AND(ISNUMBER(J69),J69=1))),1,0)</f>
        <v>1</v>
      </c>
      <c r="N69" s="32" t="n">
        <f aca="false">IF(AND(Data!$Q69="Formal",Data!$R69=""),1,0)</f>
        <v>0</v>
      </c>
      <c r="O69" s="32" t="n">
        <f aca="false">IF(AND(Data!$Q69="",Data!$R69&lt;&gt;""),1,0)</f>
        <v>0</v>
      </c>
      <c r="P69" s="32" t="n">
        <f aca="false">IF(AND(ISNUMBER(B69),B69=1,Coding!AF69=0,OR(Data!$I69&lt;&gt;"",Data!$J69&lt;&gt;"")),1,0)</f>
        <v>0</v>
      </c>
      <c r="Q69" s="32" t="n">
        <f aca="false">IF(H69="CHECK: suspect URL",1,0)</f>
        <v>0</v>
      </c>
      <c r="R69" s="32" t="n">
        <f aca="false">IF(AND(OR(Data!$K69="Considering",Data!$K69="Not planning"),OR(AND(ISNUMBER(F69),F69&gt;0),Data!$N69&lt;&gt;"")),1,0)</f>
        <v>0</v>
      </c>
      <c r="S69" s="32" t="n">
        <f aca="false">IF(Data!$F69="",1,0)</f>
        <v>0</v>
      </c>
      <c r="T69" s="32" t="n">
        <f aca="false">SUM(L69:S69)</f>
        <v>1</v>
      </c>
      <c r="U69" s="32" t="str">
        <f aca="false">IF(ISNUMBER(F69),F69-IF(ISNUMBER(SEARCH("Contribute funds",Data!$L69)),1,0),"")</f>
        <v/>
      </c>
      <c r="V69" s="28" t="str">
        <f aca="false">IF(ISNUMBER(U69),MIN(U69,Parameters!$C$38)/Parameters!$C$38,"NA")</f>
        <v>NA</v>
      </c>
    </row>
    <row r="70" customFormat="false" ht="15" hidden="false" customHeight="true" outlineLevel="0" collapsed="false">
      <c r="A70" s="15" t="str">
        <f aca="false">Data!$A70</f>
        <v>NumPy</v>
      </c>
      <c r="B70" s="28" t="n">
        <f aca="false">IFERROR(INDEX(Parameters!$C$25:$C$28,MATCH(Data!$G70,Parameters!$B$25:$B$28,0)),"NA")</f>
        <v>1</v>
      </c>
      <c r="C70" s="32" t="str">
        <f aca="false">IF(Coding!AF70=0,"",Coding!AF70)</f>
        <v/>
      </c>
      <c r="D70" s="28" t="str">
        <f aca="false">IF(OR(C70="",C70=0),"NA",IF(AND(Parameters!$C$39=1,ISNUMBER(B70),B70&lt;=Parameters!$C$40),0,MIN(C70,Parameters!$C$37)/Parameters!$C$37))</f>
        <v>NA</v>
      </c>
      <c r="E70" s="28" t="n">
        <f aca="false">IF(Data!$F70="","NA",IF(SUMPRODUCT((Parameters!$B$66:$B$70&lt;&gt;"")*ISNUMBER(SEARCH(Parameters!$B$66:$B$70,Data!$F70)))&gt;0,Parameters!$C$63,Parameters!$C$64))</f>
        <v>1</v>
      </c>
      <c r="F70" s="32" t="str">
        <f aca="false">IF(OR(Data!$L70="",Data!$L70="Not applicable"),"",LEN(Data!$L70)-LEN(SUBSTITUTE(Data!$L70,"|",""))+1-IF(ISNUMBER(SEARCH("Other",Data!$L70)),1,0)-IF(ISNUMBER(SEARCH("Not applicable",Data!$L70)),1,0)+IF(AND(ISNUMBER(SEARCH("Other",Data!$L70)),Data!$M70&lt;&gt;""),1,0))</f>
        <v/>
      </c>
      <c r="G70" s="28" t="str">
        <f aca="false">IF(OR(F70="",F70=0),"NA",MIN(F70,Parameters!$C$38)/Parameters!$C$38)</f>
        <v>NA</v>
      </c>
      <c r="H70" s="15" t="str">
        <f aca="false">IF(Data!$N70="","Blank",IF(SUMPRODUCT((Parameters!$B$49:$B$53&lt;&gt;"")*ISNUMBER(SEARCH(Parameters!$B$49:$B$53,Data!$N70)))&gt;0,"CHECK: suspect URL",IF(ISNUMBER(SEARCH(Parameters!$C$46,Data!$N70)),"Contribution guide","Other page")))</f>
        <v>Contribution guide</v>
      </c>
      <c r="I70" s="28" t="n">
        <f aca="false">IF(H70="Contribution guide",Parameters!$C$44,IF(H70="Other page",Parameters!$C$45,"NA"))</f>
        <v>1</v>
      </c>
      <c r="J70" s="28" t="n">
        <f aca="false">IFERROR(INDEX(Parameters!$C$25:$C$28,MATCH(Data!$O70,Parameters!$B$25:$B$28,0)),"NA")</f>
        <v>1</v>
      </c>
      <c r="K70" s="28" t="n">
        <f aca="false">IFERROR(INDEX(Parameters!$C$32:$C$34,MATCH(Data!$Q70,Parameters!$B$32:$B$34,0)),"NA")</f>
        <v>1</v>
      </c>
      <c r="L70" s="32" t="n">
        <f aca="false">IF(AND(Coding!AF70&gt;0,ISNUMBER(B70),B70&lt;=Parameters!$C$40),1,0)</f>
        <v>0</v>
      </c>
      <c r="M70" s="32" t="n">
        <f aca="false">IF(AND(Data!$P70&lt;&gt;"",NOT(AND(ISNUMBER(J70),J70=1))),1,0)</f>
        <v>0</v>
      </c>
      <c r="N70" s="32" t="n">
        <f aca="false">IF(AND(Data!$Q70="Formal",Data!$R70=""),1,0)</f>
        <v>0</v>
      </c>
      <c r="O70" s="32" t="n">
        <f aca="false">IF(AND(Data!$Q70="",Data!$R70&lt;&gt;""),1,0)</f>
        <v>0</v>
      </c>
      <c r="P70" s="32" t="n">
        <f aca="false">IF(AND(ISNUMBER(B70),B70=1,Coding!AF70=0,OR(Data!$I70&lt;&gt;"",Data!$J70&lt;&gt;"")),1,0)</f>
        <v>1</v>
      </c>
      <c r="Q70" s="32" t="n">
        <f aca="false">IF(H70="CHECK: suspect URL",1,0)</f>
        <v>0</v>
      </c>
      <c r="R70" s="32" t="n">
        <f aca="false">IF(AND(OR(Data!$K70="Considering",Data!$K70="Not planning"),OR(AND(ISNUMBER(F70),F70&gt;0),Data!$N70&lt;&gt;"")),1,0)</f>
        <v>0</v>
      </c>
      <c r="S70" s="32" t="n">
        <f aca="false">IF(Data!$F70="",1,0)</f>
        <v>0</v>
      </c>
      <c r="T70" s="32" t="n">
        <f aca="false">SUM(L70:S70)</f>
        <v>1</v>
      </c>
      <c r="U70" s="32" t="str">
        <f aca="false">IF(ISNUMBER(F70),F70-IF(ISNUMBER(SEARCH("Contribute funds",Data!$L70)),1,0),"")</f>
        <v/>
      </c>
      <c r="V70" s="28" t="str">
        <f aca="false">IF(ISNUMBER(U70),MIN(U70,Parameters!$C$38)/Parameters!$C$38,"NA")</f>
        <v>NA</v>
      </c>
    </row>
    <row r="71" customFormat="false" ht="15" hidden="false" customHeight="true" outlineLevel="0" collapsed="false">
      <c r="A71" s="15" t="str">
        <f aca="false">Data!$A71</f>
        <v>OA.Report</v>
      </c>
      <c r="B71" s="28" t="n">
        <f aca="false">IFERROR(INDEX(Parameters!$C$25:$C$28,MATCH(Data!$G71,Parameters!$B$25:$B$28,0)),"NA")</f>
        <v>1</v>
      </c>
      <c r="C71" s="32" t="str">
        <f aca="false">IF(Coding!AF71=0,"",Coding!AF71)</f>
        <v/>
      </c>
      <c r="D71" s="28" t="str">
        <f aca="false">IF(OR(C71="",C71=0),"NA",IF(AND(Parameters!$C$39=1,ISNUMBER(B71),B71&lt;=Parameters!$C$40),0,MIN(C71,Parameters!$C$37)/Parameters!$C$37))</f>
        <v>NA</v>
      </c>
      <c r="E71" s="28" t="n">
        <f aca="false">IF(Data!$F71="","NA",IF(SUMPRODUCT((Parameters!$B$66:$B$70&lt;&gt;"")*ISNUMBER(SEARCH(Parameters!$B$66:$B$70,Data!$F71)))&gt;0,Parameters!$C$63,Parameters!$C$64))</f>
        <v>1</v>
      </c>
      <c r="F71" s="32" t="str">
        <f aca="false">IF(OR(Data!$L71="",Data!$L71="Not applicable"),"",LEN(Data!$L71)-LEN(SUBSTITUTE(Data!$L71,"|",""))+1-IF(ISNUMBER(SEARCH("Other",Data!$L71)),1,0)-IF(ISNUMBER(SEARCH("Not applicable",Data!$L71)),1,0)+IF(AND(ISNUMBER(SEARCH("Other",Data!$L71)),Data!$M71&lt;&gt;""),1,0))</f>
        <v/>
      </c>
      <c r="G71" s="28" t="str">
        <f aca="false">IF(OR(F71="",F71=0),"NA",MIN(F71,Parameters!$C$38)/Parameters!$C$38)</f>
        <v>NA</v>
      </c>
      <c r="H71" s="15" t="str">
        <f aca="false">IF(Data!$N71="","Blank",IF(SUMPRODUCT((Parameters!$B$49:$B$53&lt;&gt;"")*ISNUMBER(SEARCH(Parameters!$B$49:$B$53,Data!$N71)))&gt;0,"CHECK: suspect URL",IF(ISNUMBER(SEARCH(Parameters!$C$46,Data!$N71)),"Contribution guide","Other page")))</f>
        <v>Blank</v>
      </c>
      <c r="I71" s="28" t="str">
        <f aca="false">IF(H71="Contribution guide",Parameters!$C$44,IF(H71="Other page",Parameters!$C$45,"NA"))</f>
        <v>NA</v>
      </c>
      <c r="J71" s="28" t="n">
        <f aca="false">IFERROR(INDEX(Parameters!$C$25:$C$28,MATCH(Data!$O71,Parameters!$B$25:$B$28,0)),"NA")</f>
        <v>0.33</v>
      </c>
      <c r="K71" s="28" t="n">
        <f aca="false">IFERROR(INDEX(Parameters!$C$32:$C$34,MATCH(Data!$Q71,Parameters!$B$32:$B$34,0)),"NA")</f>
        <v>1</v>
      </c>
      <c r="L71" s="32" t="n">
        <f aca="false">IF(AND(Coding!AF71&gt;0,ISNUMBER(B71),B71&lt;=Parameters!$C$40),1,0)</f>
        <v>0</v>
      </c>
      <c r="M71" s="32" t="n">
        <f aca="false">IF(AND(Data!$P71&lt;&gt;"",NOT(AND(ISNUMBER(J71),J71=1))),1,0)</f>
        <v>0</v>
      </c>
      <c r="N71" s="32" t="n">
        <f aca="false">IF(AND(Data!$Q71="Formal",Data!$R71=""),1,0)</f>
        <v>0</v>
      </c>
      <c r="O71" s="32" t="n">
        <f aca="false">IF(AND(Data!$Q71="",Data!$R71&lt;&gt;""),1,0)</f>
        <v>0</v>
      </c>
      <c r="P71" s="32" t="n">
        <f aca="false">IF(AND(ISNUMBER(B71),B71=1,Coding!AF71=0,OR(Data!$I71&lt;&gt;"",Data!$J71&lt;&gt;"")),1,0)</f>
        <v>1</v>
      </c>
      <c r="Q71" s="32" t="n">
        <f aca="false">IF(H71="CHECK: suspect URL",1,0)</f>
        <v>0</v>
      </c>
      <c r="R71" s="32" t="n">
        <f aca="false">IF(AND(OR(Data!$K71="Considering",Data!$K71="Not planning"),OR(AND(ISNUMBER(F71),F71&gt;0),Data!$N71&lt;&gt;"")),1,0)</f>
        <v>0</v>
      </c>
      <c r="S71" s="32" t="n">
        <f aca="false">IF(Data!$F71="",1,0)</f>
        <v>0</v>
      </c>
      <c r="T71" s="32" t="n">
        <f aca="false">SUM(L71:S71)</f>
        <v>1</v>
      </c>
      <c r="U71" s="32" t="str">
        <f aca="false">IF(ISNUMBER(F71),F71-IF(ISNUMBER(SEARCH("Contribute funds",Data!$L71)),1,0),"")</f>
        <v/>
      </c>
      <c r="V71" s="28" t="str">
        <f aca="false">IF(ISNUMBER(U71),MIN(U71,Parameters!$C$38)/Parameters!$C$38,"NA")</f>
        <v>NA</v>
      </c>
    </row>
    <row r="72" customFormat="false" ht="15" hidden="false" customHeight="true" outlineLevel="0" collapsed="false">
      <c r="A72" s="15" t="str">
        <f aca="false">Data!$A72</f>
        <v>OA Switchboard</v>
      </c>
      <c r="B72" s="28" t="n">
        <f aca="false">IFERROR(INDEX(Parameters!$C$25:$C$28,MATCH(Data!$G72,Parameters!$B$25:$B$28,0)),"NA")</f>
        <v>1</v>
      </c>
      <c r="C72" s="32" t="n">
        <f aca="false">IF(Coding!AF72=0,"",Coding!AF72)</f>
        <v>2</v>
      </c>
      <c r="D72" s="28" t="n">
        <f aca="false">IF(OR(C72="",C72=0),"NA",IF(AND(Parameters!$C$39=1,ISNUMBER(B72),B72&lt;=Parameters!$C$40),0,MIN(C72,Parameters!$C$37)/Parameters!$C$37))</f>
        <v>0.25</v>
      </c>
      <c r="E72" s="28" t="n">
        <f aca="false">IF(Data!$F72="","NA",IF(SUMPRODUCT((Parameters!$B$66:$B$70&lt;&gt;"")*ISNUMBER(SEARCH(Parameters!$B$66:$B$70,Data!$F72)))&gt;0,Parameters!$C$63,Parameters!$C$64))</f>
        <v>1</v>
      </c>
      <c r="F72" s="32" t="n">
        <f aca="false">IF(OR(Data!$L72="",Data!$L72="Not applicable"),"",LEN(Data!$L72)-LEN(SUBSTITUTE(Data!$L72,"|",""))+1-IF(ISNUMBER(SEARCH("Other",Data!$L72)),1,0)-IF(ISNUMBER(SEARCH("Not applicable",Data!$L72)),1,0)+IF(AND(ISNUMBER(SEARCH("Other",Data!$L72)),Data!$M72&lt;&gt;""),1,0))</f>
        <v>5</v>
      </c>
      <c r="G72" s="28" t="n">
        <f aca="false">IF(OR(F72="",F72=0),"NA",MIN(F72,Parameters!$C$38)/Parameters!$C$38)</f>
        <v>0.833333333333333</v>
      </c>
      <c r="H72" s="15" t="str">
        <f aca="false">IF(Data!$N72="","Blank",IF(SUMPRODUCT((Parameters!$B$49:$B$53&lt;&gt;"")*ISNUMBER(SEARCH(Parameters!$B$49:$B$53,Data!$N72)))&gt;0,"CHECK: suspect URL",IF(ISNUMBER(SEARCH(Parameters!$C$46,Data!$N72)),"Contribution guide","Other page")))</f>
        <v>Other page</v>
      </c>
      <c r="I72" s="28" t="n">
        <f aca="false">IF(H72="Contribution guide",Parameters!$C$44,IF(H72="Other page",Parameters!$C$45,"NA"))</f>
        <v>0.5</v>
      </c>
      <c r="J72" s="28" t="n">
        <f aca="false">IFERROR(INDEX(Parameters!$C$25:$C$28,MATCH(Data!$O72,Parameters!$B$25:$B$28,0)),"NA")</f>
        <v>1</v>
      </c>
      <c r="K72" s="28" t="n">
        <f aca="false">IFERROR(INDEX(Parameters!$C$32:$C$34,MATCH(Data!$Q72,Parameters!$B$32:$B$34,0)),"NA")</f>
        <v>1</v>
      </c>
      <c r="L72" s="32" t="n">
        <f aca="false">IF(AND(Coding!AF72&gt;0,ISNUMBER(B72),B72&lt;=Parameters!$C$40),1,0)</f>
        <v>0</v>
      </c>
      <c r="M72" s="32" t="n">
        <f aca="false">IF(AND(Data!$P72&lt;&gt;"",NOT(AND(ISNUMBER(J72),J72=1))),1,0)</f>
        <v>0</v>
      </c>
      <c r="N72" s="32" t="n">
        <f aca="false">IF(AND(Data!$Q72="Formal",Data!$R72=""),1,0)</f>
        <v>0</v>
      </c>
      <c r="O72" s="32" t="n">
        <f aca="false">IF(AND(Data!$Q72="",Data!$R72&lt;&gt;""),1,0)</f>
        <v>0</v>
      </c>
      <c r="P72" s="32" t="n">
        <f aca="false">IF(AND(ISNUMBER(B72),B72=1,Coding!AF72=0,OR(Data!$I72&lt;&gt;"",Data!$J72&lt;&gt;"")),1,0)</f>
        <v>0</v>
      </c>
      <c r="Q72" s="32" t="n">
        <f aca="false">IF(H72="CHECK: suspect URL",1,0)</f>
        <v>0</v>
      </c>
      <c r="R72" s="32" t="n">
        <f aca="false">IF(AND(OR(Data!$K72="Considering",Data!$K72="Not planning"),OR(AND(ISNUMBER(F72),F72&gt;0),Data!$N72&lt;&gt;"")),1,0)</f>
        <v>0</v>
      </c>
      <c r="S72" s="32" t="n">
        <f aca="false">IF(Data!$F72="",1,0)</f>
        <v>0</v>
      </c>
      <c r="T72" s="32" t="n">
        <f aca="false">SUM(L72:S72)</f>
        <v>0</v>
      </c>
      <c r="U72" s="32" t="n">
        <f aca="false">IF(ISNUMBER(F72),F72-IF(ISNUMBER(SEARCH("Contribute funds",Data!$L72)),1,0),"")</f>
        <v>4</v>
      </c>
      <c r="V72" s="28" t="n">
        <f aca="false">IF(ISNUMBER(U72),MIN(U72,Parameters!$C$38)/Parameters!$C$38,"NA")</f>
        <v>0.666666666666667</v>
      </c>
    </row>
    <row r="73" customFormat="false" ht="15" hidden="false" customHeight="true" outlineLevel="0" collapsed="false">
      <c r="A73" s="15" t="str">
        <f aca="false">Data!$A73</f>
        <v>Omeka</v>
      </c>
      <c r="B73" s="28" t="n">
        <f aca="false">IFERROR(INDEX(Parameters!$C$25:$C$28,MATCH(Data!$G73,Parameters!$B$25:$B$28,0)),"NA")</f>
        <v>0.67</v>
      </c>
      <c r="C73" s="32" t="str">
        <f aca="false">IF(Coding!AF73=0,"",Coding!AF73)</f>
        <v/>
      </c>
      <c r="D73" s="28" t="str">
        <f aca="false">IF(OR(C73="",C73=0),"NA",IF(AND(Parameters!$C$39=1,ISNUMBER(B73),B73&lt;=Parameters!$C$40),0,MIN(C73,Parameters!$C$37)/Parameters!$C$37))</f>
        <v>NA</v>
      </c>
      <c r="E73" s="28" t="n">
        <f aca="false">IF(Data!$F73="","NA",IF(SUMPRODUCT((Parameters!$B$66:$B$70&lt;&gt;"")*ISNUMBER(SEARCH(Parameters!$B$66:$B$70,Data!$F73)))&gt;0,Parameters!$C$63,Parameters!$C$64))</f>
        <v>1</v>
      </c>
      <c r="F73" s="32" t="n">
        <f aca="false">IF(OR(Data!$L73="",Data!$L73="Not applicable"),"",LEN(Data!$L73)-LEN(SUBSTITUTE(Data!$L73,"|",""))+1-IF(ISNUMBER(SEARCH("Other",Data!$L73)),1,0)-IF(ISNUMBER(SEARCH("Not applicable",Data!$L73)),1,0)+IF(AND(ISNUMBER(SEARCH("Other",Data!$L73)),Data!$M73&lt;&gt;""),1,0))</f>
        <v>2</v>
      </c>
      <c r="G73" s="28" t="n">
        <f aca="false">IF(OR(F73="",F73=0),"NA",MIN(F73,Parameters!$C$38)/Parameters!$C$38)</f>
        <v>0.333333333333333</v>
      </c>
      <c r="H73" s="15" t="str">
        <f aca="false">IF(Data!$N73="","Blank",IF(SUMPRODUCT((Parameters!$B$49:$B$53&lt;&gt;"")*ISNUMBER(SEARCH(Parameters!$B$49:$B$53,Data!$N73)))&gt;0,"CHECK: suspect URL",IF(ISNUMBER(SEARCH(Parameters!$C$46,Data!$N73)),"Contribution guide","Other page")))</f>
        <v>Other page</v>
      </c>
      <c r="I73" s="28" t="n">
        <f aca="false">IF(H73="Contribution guide",Parameters!$C$44,IF(H73="Other page",Parameters!$C$45,"NA"))</f>
        <v>0.5</v>
      </c>
      <c r="J73" s="28" t="n">
        <f aca="false">IFERROR(INDEX(Parameters!$C$25:$C$28,MATCH(Data!$O73,Parameters!$B$25:$B$28,0)),"NA")</f>
        <v>1</v>
      </c>
      <c r="K73" s="28" t="n">
        <f aca="false">IFERROR(INDEX(Parameters!$C$32:$C$34,MATCH(Data!$Q73,Parameters!$B$32:$B$34,0)),"NA")</f>
        <v>0.5</v>
      </c>
      <c r="L73" s="32" t="n">
        <f aca="false">IF(AND(Coding!AF73&gt;0,ISNUMBER(B73),B73&lt;=Parameters!$C$40),1,0)</f>
        <v>0</v>
      </c>
      <c r="M73" s="32" t="n">
        <f aca="false">IF(AND(Data!$P73&lt;&gt;"",NOT(AND(ISNUMBER(J73),J73=1))),1,0)</f>
        <v>0</v>
      </c>
      <c r="N73" s="32" t="n">
        <f aca="false">IF(AND(Data!$Q73="Formal",Data!$R73=""),1,0)</f>
        <v>0</v>
      </c>
      <c r="O73" s="32" t="n">
        <f aca="false">IF(AND(Data!$Q73="",Data!$R73&lt;&gt;""),1,0)</f>
        <v>0</v>
      </c>
      <c r="P73" s="32" t="n">
        <f aca="false">IF(AND(ISNUMBER(B73),B73=1,Coding!AF73=0,OR(Data!$I73&lt;&gt;"",Data!$J73&lt;&gt;"")),1,0)</f>
        <v>0</v>
      </c>
      <c r="Q73" s="32" t="n">
        <f aca="false">IF(H73="CHECK: suspect URL",1,0)</f>
        <v>0</v>
      </c>
      <c r="R73" s="32" t="n">
        <f aca="false">IF(AND(OR(Data!$K73="Considering",Data!$K73="Not planning"),OR(AND(ISNUMBER(F73),F73&gt;0),Data!$N73&lt;&gt;"")),1,0)</f>
        <v>0</v>
      </c>
      <c r="S73" s="32" t="n">
        <f aca="false">IF(Data!$F73="",1,0)</f>
        <v>0</v>
      </c>
      <c r="T73" s="32" t="n">
        <f aca="false">SUM(L73:S73)</f>
        <v>0</v>
      </c>
      <c r="U73" s="32" t="n">
        <f aca="false">IF(ISNUMBER(F73),F73-IF(ISNUMBER(SEARCH("Contribute funds",Data!$L73)),1,0),"")</f>
        <v>2</v>
      </c>
      <c r="V73" s="28" t="n">
        <f aca="false">IF(ISNUMBER(U73),MIN(U73,Parameters!$C$38)/Parameters!$C$38,"NA")</f>
        <v>0.333333333333333</v>
      </c>
    </row>
    <row r="74" customFormat="false" ht="15" hidden="false" customHeight="true" outlineLevel="0" collapsed="false">
      <c r="A74" s="15" t="str">
        <f aca="false">Data!$A74</f>
        <v>OpenAIRE Graph</v>
      </c>
      <c r="B74" s="28" t="n">
        <f aca="false">IFERROR(INDEX(Parameters!$C$25:$C$28,MATCH(Data!$G74,Parameters!$B$25:$B$28,0)),"NA")</f>
        <v>1</v>
      </c>
      <c r="C74" s="32" t="n">
        <f aca="false">IF(Coding!AF74=0,"",Coding!AF74)</f>
        <v>9</v>
      </c>
      <c r="D74" s="28" t="n">
        <f aca="false">IF(OR(C74="",C74=0),"NA",IF(AND(Parameters!$C$39=1,ISNUMBER(B74),B74&lt;=Parameters!$C$40),0,MIN(C74,Parameters!$C$37)/Parameters!$C$37))</f>
        <v>1</v>
      </c>
      <c r="E74" s="28" t="n">
        <f aca="false">IF(Data!$F74="","NA",IF(SUMPRODUCT((Parameters!$B$66:$B$70&lt;&gt;"")*ISNUMBER(SEARCH(Parameters!$B$66:$B$70,Data!$F74)))&gt;0,Parameters!$C$63,Parameters!$C$64))</f>
        <v>0.5</v>
      </c>
      <c r="F74" s="32" t="str">
        <f aca="false">IF(OR(Data!$L74="",Data!$L74="Not applicable"),"",LEN(Data!$L74)-LEN(SUBSTITUTE(Data!$L74,"|",""))+1-IF(ISNUMBER(SEARCH("Other",Data!$L74)),1,0)-IF(ISNUMBER(SEARCH("Not applicable",Data!$L74)),1,0)+IF(AND(ISNUMBER(SEARCH("Other",Data!$L74)),Data!$M74&lt;&gt;""),1,0))</f>
        <v/>
      </c>
      <c r="G74" s="28" t="str">
        <f aca="false">IF(OR(F74="",F74=0),"NA",MIN(F74,Parameters!$C$38)/Parameters!$C$38)</f>
        <v>NA</v>
      </c>
      <c r="H74" s="15" t="str">
        <f aca="false">IF(Data!$N74="","Blank",IF(SUMPRODUCT((Parameters!$B$49:$B$53&lt;&gt;"")*ISNUMBER(SEARCH(Parameters!$B$49:$B$53,Data!$N74)))&gt;0,"CHECK: suspect URL",IF(ISNUMBER(SEARCH(Parameters!$C$46,Data!$N74)),"Contribution guide","Other page")))</f>
        <v>Blank</v>
      </c>
      <c r="I74" s="28" t="str">
        <f aca="false">IF(H74="Contribution guide",Parameters!$C$44,IF(H74="Other page",Parameters!$C$45,"NA"))</f>
        <v>NA</v>
      </c>
      <c r="J74" s="28" t="n">
        <f aca="false">IFERROR(INDEX(Parameters!$C$25:$C$28,MATCH(Data!$O74,Parameters!$B$25:$B$28,0)),"NA")</f>
        <v>1</v>
      </c>
      <c r="K74" s="28" t="n">
        <f aca="false">IFERROR(INDEX(Parameters!$C$32:$C$34,MATCH(Data!$Q74,Parameters!$B$32:$B$34,0)),"NA")</f>
        <v>1</v>
      </c>
      <c r="L74" s="32" t="n">
        <f aca="false">IF(AND(Coding!AF74&gt;0,ISNUMBER(B74),B74&lt;=Parameters!$C$40),1,0)</f>
        <v>0</v>
      </c>
      <c r="M74" s="32" t="n">
        <f aca="false">IF(AND(Data!$P74&lt;&gt;"",NOT(AND(ISNUMBER(J74),J74=1))),1,0)</f>
        <v>0</v>
      </c>
      <c r="N74" s="32" t="n">
        <f aca="false">IF(AND(Data!$Q74="Formal",Data!$R74=""),1,0)</f>
        <v>0</v>
      </c>
      <c r="O74" s="32" t="n">
        <f aca="false">IF(AND(Data!$Q74="",Data!$R74&lt;&gt;""),1,0)</f>
        <v>0</v>
      </c>
      <c r="P74" s="32" t="n">
        <f aca="false">IF(AND(ISNUMBER(B74),B74=1,Coding!AF74=0,OR(Data!$I74&lt;&gt;"",Data!$J74&lt;&gt;"")),1,0)</f>
        <v>0</v>
      </c>
      <c r="Q74" s="32" t="n">
        <f aca="false">IF(H74="CHECK: suspect URL",1,0)</f>
        <v>0</v>
      </c>
      <c r="R74" s="32" t="n">
        <f aca="false">IF(AND(OR(Data!$K74="Considering",Data!$K74="Not planning"),OR(AND(ISNUMBER(F74),F74&gt;0),Data!$N74&lt;&gt;"")),1,0)</f>
        <v>0</v>
      </c>
      <c r="S74" s="32" t="n">
        <f aca="false">IF(Data!$F74="",1,0)</f>
        <v>0</v>
      </c>
      <c r="T74" s="32" t="n">
        <f aca="false">SUM(L74:S74)</f>
        <v>0</v>
      </c>
      <c r="U74" s="32" t="str">
        <f aca="false">IF(ISNUMBER(F74),F74-IF(ISNUMBER(SEARCH("Contribute funds",Data!$L74)),1,0),"")</f>
        <v/>
      </c>
      <c r="V74" s="28" t="str">
        <f aca="false">IF(ISNUMBER(U74),MIN(U74,Parameters!$C$38)/Parameters!$C$38,"NA")</f>
        <v>NA</v>
      </c>
    </row>
    <row r="75" customFormat="false" ht="15" hidden="false" customHeight="true" outlineLevel="0" collapsed="false">
      <c r="A75" s="15" t="str">
        <f aca="false">Data!$A75</f>
        <v>OpenAlex</v>
      </c>
      <c r="B75" s="28" t="n">
        <f aca="false">IFERROR(INDEX(Parameters!$C$25:$C$28,MATCH(Data!$G75,Parameters!$B$25:$B$28,0)),"NA")</f>
        <v>1</v>
      </c>
      <c r="C75" s="32" t="n">
        <f aca="false">IF(Coding!AF75=0,"",Coding!AF75)</f>
        <v>3</v>
      </c>
      <c r="D75" s="28" t="n">
        <f aca="false">IF(OR(C75="",C75=0),"NA",IF(AND(Parameters!$C$39=1,ISNUMBER(B75),B75&lt;=Parameters!$C$40),0,MIN(C75,Parameters!$C$37)/Parameters!$C$37))</f>
        <v>0.375</v>
      </c>
      <c r="E75" s="28" t="n">
        <f aca="false">IF(Data!$F75="","NA",IF(SUMPRODUCT((Parameters!$B$66:$B$70&lt;&gt;"")*ISNUMBER(SEARCH(Parameters!$B$66:$B$70,Data!$F75)))&gt;0,Parameters!$C$63,Parameters!$C$64))</f>
        <v>1</v>
      </c>
      <c r="F75" s="32" t="n">
        <f aca="false">IF(OR(Data!$L75="",Data!$L75="Not applicable"),"",LEN(Data!$L75)-LEN(SUBSTITUTE(Data!$L75,"|",""))+1-IF(ISNUMBER(SEARCH("Other",Data!$L75)),1,0)-IF(ISNUMBER(SEARCH("Not applicable",Data!$L75)),1,0)+IF(AND(ISNUMBER(SEARCH("Other",Data!$L75)),Data!$M75&lt;&gt;""),1,0))</f>
        <v>1</v>
      </c>
      <c r="G75" s="28" t="n">
        <f aca="false">IF(OR(F75="",F75=0),"NA",MIN(F75,Parameters!$C$38)/Parameters!$C$38)</f>
        <v>0.166666666666667</v>
      </c>
      <c r="H75" s="15" t="str">
        <f aca="false">IF(Data!$N75="","Blank",IF(SUMPRODUCT((Parameters!$B$49:$B$53&lt;&gt;"")*ISNUMBER(SEARCH(Parameters!$B$49:$B$53,Data!$N75)))&gt;0,"CHECK: suspect URL",IF(ISNUMBER(SEARCH(Parameters!$C$46,Data!$N75)),"Contribution guide","Other page")))</f>
        <v>Other page</v>
      </c>
      <c r="I75" s="28" t="n">
        <f aca="false">IF(H75="Contribution guide",Parameters!$C$44,IF(H75="Other page",Parameters!$C$45,"NA"))</f>
        <v>0.5</v>
      </c>
      <c r="J75" s="28" t="n">
        <f aca="false">IFERROR(INDEX(Parameters!$C$25:$C$28,MATCH(Data!$O75,Parameters!$B$25:$B$28,0)),"NA")</f>
        <v>0</v>
      </c>
      <c r="K75" s="28" t="n">
        <f aca="false">IFERROR(INDEX(Parameters!$C$32:$C$34,MATCH(Data!$Q75,Parameters!$B$32:$B$34,0)),"NA")</f>
        <v>1</v>
      </c>
      <c r="L75" s="32" t="n">
        <f aca="false">IF(AND(Coding!AF75&gt;0,ISNUMBER(B75),B75&lt;=Parameters!$C$40),1,0)</f>
        <v>0</v>
      </c>
      <c r="M75" s="32" t="n">
        <f aca="false">IF(AND(Data!$P75&lt;&gt;"",NOT(AND(ISNUMBER(J75),J75=1))),1,0)</f>
        <v>0</v>
      </c>
      <c r="N75" s="32" t="n">
        <f aca="false">IF(AND(Data!$Q75="Formal",Data!$R75=""),1,0)</f>
        <v>1</v>
      </c>
      <c r="O75" s="32" t="n">
        <f aca="false">IF(AND(Data!$Q75="",Data!$R75&lt;&gt;""),1,0)</f>
        <v>0</v>
      </c>
      <c r="P75" s="32" t="n">
        <f aca="false">IF(AND(ISNUMBER(B75),B75=1,Coding!AF75=0,OR(Data!$I75&lt;&gt;"",Data!$J75&lt;&gt;"")),1,0)</f>
        <v>0</v>
      </c>
      <c r="Q75" s="32" t="n">
        <f aca="false">IF(H75="CHECK: suspect URL",1,0)</f>
        <v>0</v>
      </c>
      <c r="R75" s="32" t="n">
        <f aca="false">IF(AND(OR(Data!$K75="Considering",Data!$K75="Not planning"),OR(AND(ISNUMBER(F75),F75&gt;0),Data!$N75&lt;&gt;"")),1,0)</f>
        <v>1</v>
      </c>
      <c r="S75" s="32" t="n">
        <f aca="false">IF(Data!$F75="",1,0)</f>
        <v>0</v>
      </c>
      <c r="T75" s="32" t="n">
        <f aca="false">SUM(L75:S75)</f>
        <v>2</v>
      </c>
      <c r="U75" s="32" t="n">
        <f aca="false">IF(ISNUMBER(F75),F75-IF(ISNUMBER(SEARCH("Contribute funds",Data!$L75)),1,0),"")</f>
        <v>1</v>
      </c>
      <c r="V75" s="28" t="n">
        <f aca="false">IF(ISNUMBER(U75),MIN(U75,Parameters!$C$38)/Parameters!$C$38,"NA")</f>
        <v>0.166666666666667</v>
      </c>
    </row>
    <row r="76" customFormat="false" ht="15" hidden="false" customHeight="true" outlineLevel="0" collapsed="false">
      <c r="A76" s="15" t="str">
        <f aca="false">Data!$A76</f>
        <v>OpenAPC</v>
      </c>
      <c r="B76" s="28" t="n">
        <f aca="false">IFERROR(INDEX(Parameters!$C$25:$C$28,MATCH(Data!$G76,Parameters!$B$25:$B$28,0)),"NA")</f>
        <v>1</v>
      </c>
      <c r="C76" s="32" t="n">
        <f aca="false">IF(Coding!AF76=0,"",Coding!AF76)</f>
        <v>4</v>
      </c>
      <c r="D76" s="28" t="n">
        <f aca="false">IF(OR(C76="",C76=0),"NA",IF(AND(Parameters!$C$39=1,ISNUMBER(B76),B76&lt;=Parameters!$C$40),0,MIN(C76,Parameters!$C$37)/Parameters!$C$37))</f>
        <v>0.5</v>
      </c>
      <c r="E76" s="28" t="n">
        <f aca="false">IF(Data!$F76="","NA",IF(SUMPRODUCT((Parameters!$B$66:$B$70&lt;&gt;"")*ISNUMBER(SEARCH(Parameters!$B$66:$B$70,Data!$F76)))&gt;0,Parameters!$C$63,Parameters!$C$64))</f>
        <v>1</v>
      </c>
      <c r="F76" s="32" t="str">
        <f aca="false">IF(OR(Data!$L76="",Data!$L76="Not applicable"),"",LEN(Data!$L76)-LEN(SUBSTITUTE(Data!$L76,"|",""))+1-IF(ISNUMBER(SEARCH("Other",Data!$L76)),1,0)-IF(ISNUMBER(SEARCH("Not applicable",Data!$L76)),1,0)+IF(AND(ISNUMBER(SEARCH("Other",Data!$L76)),Data!$M76&lt;&gt;""),1,0))</f>
        <v/>
      </c>
      <c r="G76" s="28" t="str">
        <f aca="false">IF(OR(F76="",F76=0),"NA",MIN(F76,Parameters!$C$38)/Parameters!$C$38)</f>
        <v>NA</v>
      </c>
      <c r="H76" s="15" t="str">
        <f aca="false">IF(Data!$N76="","Blank",IF(SUMPRODUCT((Parameters!$B$49:$B$53&lt;&gt;"")*ISNUMBER(SEARCH(Parameters!$B$49:$B$53,Data!$N76)))&gt;0,"CHECK: suspect URL",IF(ISNUMBER(SEARCH(Parameters!$C$46,Data!$N76)),"Contribution guide","Other page")))</f>
        <v>Other page</v>
      </c>
      <c r="I76" s="28" t="n">
        <f aca="false">IF(H76="Contribution guide",Parameters!$C$44,IF(H76="Other page",Parameters!$C$45,"NA"))</f>
        <v>0.5</v>
      </c>
      <c r="J76" s="28" t="n">
        <f aca="false">IFERROR(INDEX(Parameters!$C$25:$C$28,MATCH(Data!$O76,Parameters!$B$25:$B$28,0)),"NA")</f>
        <v>1</v>
      </c>
      <c r="K76" s="28" t="str">
        <f aca="false">IFERROR(INDEX(Parameters!$C$32:$C$34,MATCH(Data!$Q76,Parameters!$B$32:$B$34,0)),"NA")</f>
        <v>NA</v>
      </c>
      <c r="L76" s="32" t="n">
        <f aca="false">IF(AND(Coding!AF76&gt;0,ISNUMBER(B76),B76&lt;=Parameters!$C$40),1,0)</f>
        <v>0</v>
      </c>
      <c r="M76" s="32" t="n">
        <f aca="false">IF(AND(Data!$P76&lt;&gt;"",NOT(AND(ISNUMBER(J76),J76=1))),1,0)</f>
        <v>0</v>
      </c>
      <c r="N76" s="32" t="n">
        <f aca="false">IF(AND(Data!$Q76="Formal",Data!$R76=""),1,0)</f>
        <v>0</v>
      </c>
      <c r="O76" s="32" t="n">
        <f aca="false">IF(AND(Data!$Q76="",Data!$R76&lt;&gt;""),1,0)</f>
        <v>0</v>
      </c>
      <c r="P76" s="32" t="n">
        <f aca="false">IF(AND(ISNUMBER(B76),B76=1,Coding!AF76=0,OR(Data!$I76&lt;&gt;"",Data!$J76&lt;&gt;"")),1,0)</f>
        <v>0</v>
      </c>
      <c r="Q76" s="32" t="n">
        <f aca="false">IF(H76="CHECK: suspect URL",1,0)</f>
        <v>0</v>
      </c>
      <c r="R76" s="32" t="n">
        <f aca="false">IF(AND(OR(Data!$K76="Considering",Data!$K76="Not planning"),OR(AND(ISNUMBER(F76),F76&gt;0),Data!$N76&lt;&gt;"")),1,0)</f>
        <v>0</v>
      </c>
      <c r="S76" s="32" t="n">
        <f aca="false">IF(Data!$F76="",1,0)</f>
        <v>0</v>
      </c>
      <c r="T76" s="32" t="n">
        <f aca="false">SUM(L76:S76)</f>
        <v>0</v>
      </c>
      <c r="U76" s="32" t="str">
        <f aca="false">IF(ISNUMBER(F76),F76-IF(ISNUMBER(SEARCH("Contribute funds",Data!$L76)),1,0),"")</f>
        <v/>
      </c>
      <c r="V76" s="28" t="str">
        <f aca="false">IF(ISNUMBER(U76),MIN(U76,Parameters!$C$38)/Parameters!$C$38,"NA")</f>
        <v>NA</v>
      </c>
    </row>
    <row r="77" customFormat="false" ht="15" hidden="false" customHeight="true" outlineLevel="0" collapsed="false">
      <c r="A77" s="15" t="str">
        <f aca="false">Data!$A77</f>
        <v>OpenCitations</v>
      </c>
      <c r="B77" s="28" t="n">
        <f aca="false">IFERROR(INDEX(Parameters!$C$25:$C$28,MATCH(Data!$G77,Parameters!$B$25:$B$28,0)),"NA")</f>
        <v>0.33</v>
      </c>
      <c r="C77" s="32" t="n">
        <f aca="false">IF(Coding!AF77=0,"",Coding!AF77)</f>
        <v>7</v>
      </c>
      <c r="D77" s="28" t="n">
        <f aca="false">IF(OR(C77="",C77=0),"NA",IF(AND(Parameters!$C$39=1,ISNUMBER(B77),B77&lt;=Parameters!$C$40),0,MIN(C77,Parameters!$C$37)/Parameters!$C$37))</f>
        <v>0</v>
      </c>
      <c r="E77" s="28" t="n">
        <f aca="false">IF(Data!$F77="","NA",IF(SUMPRODUCT((Parameters!$B$66:$B$70&lt;&gt;"")*ISNUMBER(SEARCH(Parameters!$B$66:$B$70,Data!$F77)))&gt;0,Parameters!$C$63,Parameters!$C$64))</f>
        <v>1</v>
      </c>
      <c r="F77" s="32" t="n">
        <f aca="false">IF(OR(Data!$L77="",Data!$L77="Not applicable"),"",LEN(Data!$L77)-LEN(SUBSTITUTE(Data!$L77,"|",""))+1-IF(ISNUMBER(SEARCH("Other",Data!$L77)),1,0)-IF(ISNUMBER(SEARCH("Not applicable",Data!$L77)),1,0)+IF(AND(ISNUMBER(SEARCH("Other",Data!$L77)),Data!$M77&lt;&gt;""),1,0))</f>
        <v>5</v>
      </c>
      <c r="G77" s="28" t="n">
        <f aca="false">IF(OR(F77="",F77=0),"NA",MIN(F77,Parameters!$C$38)/Parameters!$C$38)</f>
        <v>0.833333333333333</v>
      </c>
      <c r="H77" s="15" t="str">
        <f aca="false">IF(Data!$N77="","Blank",IF(SUMPRODUCT((Parameters!$B$49:$B$53&lt;&gt;"")*ISNUMBER(SEARCH(Parameters!$B$49:$B$53,Data!$N77)))&gt;0,"CHECK: suspect URL",IF(ISNUMBER(SEARCH(Parameters!$C$46,Data!$N77)),"Contribution guide","Other page")))</f>
        <v>Other page</v>
      </c>
      <c r="I77" s="28" t="n">
        <f aca="false">IF(H77="Contribution guide",Parameters!$C$44,IF(H77="Other page",Parameters!$C$45,"NA"))</f>
        <v>0.5</v>
      </c>
      <c r="J77" s="28" t="n">
        <f aca="false">IFERROR(INDEX(Parameters!$C$25:$C$28,MATCH(Data!$O77,Parameters!$B$25:$B$28,0)),"NA")</f>
        <v>1</v>
      </c>
      <c r="K77" s="28" t="n">
        <f aca="false">IFERROR(INDEX(Parameters!$C$32:$C$34,MATCH(Data!$Q77,Parameters!$B$32:$B$34,0)),"NA")</f>
        <v>1</v>
      </c>
      <c r="L77" s="32" t="n">
        <f aca="false">IF(AND(Coding!AF77&gt;0,ISNUMBER(B77),B77&lt;=Parameters!$C$40),1,0)</f>
        <v>1</v>
      </c>
      <c r="M77" s="32" t="n">
        <f aca="false">IF(AND(Data!$P77&lt;&gt;"",NOT(AND(ISNUMBER(J77),J77=1))),1,0)</f>
        <v>0</v>
      </c>
      <c r="N77" s="32" t="n">
        <f aca="false">IF(AND(Data!$Q77="Formal",Data!$R77=""),1,0)</f>
        <v>0</v>
      </c>
      <c r="O77" s="32" t="n">
        <f aca="false">IF(AND(Data!$Q77="",Data!$R77&lt;&gt;""),1,0)</f>
        <v>0</v>
      </c>
      <c r="P77" s="32" t="n">
        <f aca="false">IF(AND(ISNUMBER(B77),B77=1,Coding!AF77=0,OR(Data!$I77&lt;&gt;"",Data!$J77&lt;&gt;"")),1,0)</f>
        <v>0</v>
      </c>
      <c r="Q77" s="32" t="n">
        <f aca="false">IF(H77="CHECK: suspect URL",1,0)</f>
        <v>0</v>
      </c>
      <c r="R77" s="32" t="n">
        <f aca="false">IF(AND(OR(Data!$K77="Considering",Data!$K77="Not planning"),OR(AND(ISNUMBER(F77),F77&gt;0),Data!$N77&lt;&gt;"")),1,0)</f>
        <v>0</v>
      </c>
      <c r="S77" s="32" t="n">
        <f aca="false">IF(Data!$F77="",1,0)</f>
        <v>0</v>
      </c>
      <c r="T77" s="32" t="n">
        <f aca="false">SUM(L77:S77)</f>
        <v>1</v>
      </c>
      <c r="U77" s="32" t="n">
        <f aca="false">IF(ISNUMBER(F77),F77-IF(ISNUMBER(SEARCH("Contribute funds",Data!$L77)),1,0),"")</f>
        <v>4</v>
      </c>
      <c r="V77" s="28" t="n">
        <f aca="false">IF(ISNUMBER(U77),MIN(U77,Parameters!$C$38)/Parameters!$C$38,"NA")</f>
        <v>0.666666666666667</v>
      </c>
    </row>
    <row r="78" customFormat="false" ht="15" hidden="false" customHeight="true" outlineLevel="0" collapsed="false">
      <c r="A78" s="15" t="str">
        <f aca="false">Data!$A78</f>
        <v>openCost</v>
      </c>
      <c r="B78" s="28" t="n">
        <f aca="false">IFERROR(INDEX(Parameters!$C$25:$C$28,MATCH(Data!$G78,Parameters!$B$25:$B$28,0)),"NA")</f>
        <v>1</v>
      </c>
      <c r="C78" s="32" t="n">
        <f aca="false">IF(Coding!AF78=0,"",Coding!AF78)</f>
        <v>5</v>
      </c>
      <c r="D78" s="28" t="n">
        <f aca="false">IF(OR(C78="",C78=0),"NA",IF(AND(Parameters!$C$39=1,ISNUMBER(B78),B78&lt;=Parameters!$C$40),0,MIN(C78,Parameters!$C$37)/Parameters!$C$37))</f>
        <v>0.625</v>
      </c>
      <c r="E78" s="28" t="n">
        <f aca="false">IF(Data!$F78="","NA",IF(SUMPRODUCT((Parameters!$B$66:$B$70&lt;&gt;"")*ISNUMBER(SEARCH(Parameters!$B$66:$B$70,Data!$F78)))&gt;0,Parameters!$C$63,Parameters!$C$64))</f>
        <v>1</v>
      </c>
      <c r="F78" s="32" t="str">
        <f aca="false">IF(OR(Data!$L78="",Data!$L78="Not applicable"),"",LEN(Data!$L78)-LEN(SUBSTITUTE(Data!$L78,"|",""))+1-IF(ISNUMBER(SEARCH("Other",Data!$L78)),1,0)-IF(ISNUMBER(SEARCH("Not applicable",Data!$L78)),1,0)+IF(AND(ISNUMBER(SEARCH("Other",Data!$L78)),Data!$M78&lt;&gt;""),1,0))</f>
        <v/>
      </c>
      <c r="G78" s="28" t="str">
        <f aca="false">IF(OR(F78="",F78=0),"NA",MIN(F78,Parameters!$C$38)/Parameters!$C$38)</f>
        <v>NA</v>
      </c>
      <c r="H78" s="15" t="str">
        <f aca="false">IF(Data!$N78="","Blank",IF(SUMPRODUCT((Parameters!$B$49:$B$53&lt;&gt;"")*ISNUMBER(SEARCH(Parameters!$B$49:$B$53,Data!$N78)))&gt;0,"CHECK: suspect URL",IF(ISNUMBER(SEARCH(Parameters!$C$46,Data!$N78)),"Contribution guide","Other page")))</f>
        <v>Other page</v>
      </c>
      <c r="I78" s="28" t="n">
        <f aca="false">IF(H78="Contribution guide",Parameters!$C$44,IF(H78="Other page",Parameters!$C$45,"NA"))</f>
        <v>0.5</v>
      </c>
      <c r="J78" s="28" t="n">
        <f aca="false">IFERROR(INDEX(Parameters!$C$25:$C$28,MATCH(Data!$O78,Parameters!$B$25:$B$28,0)),"NA")</f>
        <v>0</v>
      </c>
      <c r="K78" s="28" t="str">
        <f aca="false">IFERROR(INDEX(Parameters!$C$32:$C$34,MATCH(Data!$Q78,Parameters!$B$32:$B$34,0)),"NA")</f>
        <v>NA</v>
      </c>
      <c r="L78" s="32" t="n">
        <f aca="false">IF(AND(Coding!AF78&gt;0,ISNUMBER(B78),B78&lt;=Parameters!$C$40),1,0)</f>
        <v>0</v>
      </c>
      <c r="M78" s="32" t="n">
        <f aca="false">IF(AND(Data!$P78&lt;&gt;"",NOT(AND(ISNUMBER(J78),J78=1))),1,0)</f>
        <v>0</v>
      </c>
      <c r="N78" s="32" t="n">
        <f aca="false">IF(AND(Data!$Q78="Formal",Data!$R78=""),1,0)</f>
        <v>0</v>
      </c>
      <c r="O78" s="32" t="n">
        <f aca="false">IF(AND(Data!$Q78="",Data!$R78&lt;&gt;""),1,0)</f>
        <v>0</v>
      </c>
      <c r="P78" s="32" t="n">
        <f aca="false">IF(AND(ISNUMBER(B78),B78=1,Coding!AF78=0,OR(Data!$I78&lt;&gt;"",Data!$J78&lt;&gt;"")),1,0)</f>
        <v>0</v>
      </c>
      <c r="Q78" s="32" t="n">
        <f aca="false">IF(H78="CHECK: suspect URL",1,0)</f>
        <v>0</v>
      </c>
      <c r="R78" s="32" t="n">
        <f aca="false">IF(AND(OR(Data!$K78="Considering",Data!$K78="Not planning"),OR(AND(ISNUMBER(F78),F78&gt;0),Data!$N78&lt;&gt;"")),1,0)</f>
        <v>0</v>
      </c>
      <c r="S78" s="32" t="n">
        <f aca="false">IF(Data!$F78="",1,0)</f>
        <v>0</v>
      </c>
      <c r="T78" s="32" t="n">
        <f aca="false">SUM(L78:S78)</f>
        <v>0</v>
      </c>
      <c r="U78" s="32" t="str">
        <f aca="false">IF(ISNUMBER(F78),F78-IF(ISNUMBER(SEARCH("Contribute funds",Data!$L78)),1,0),"")</f>
        <v/>
      </c>
      <c r="V78" s="28" t="str">
        <f aca="false">IF(ISNUMBER(U78),MIN(U78,Parameters!$C$38)/Parameters!$C$38,"NA")</f>
        <v>NA</v>
      </c>
    </row>
    <row r="79" customFormat="false" ht="15" hidden="false" customHeight="true" outlineLevel="0" collapsed="false">
      <c r="A79" s="15" t="str">
        <f aca="false">Data!$A79</f>
        <v>Open Data Editor</v>
      </c>
      <c r="B79" s="28" t="n">
        <f aca="false">IFERROR(INDEX(Parameters!$C$25:$C$28,MATCH(Data!$G79,Parameters!$B$25:$B$28,0)),"NA")</f>
        <v>1</v>
      </c>
      <c r="C79" s="32" t="n">
        <f aca="false">IF(Coding!AF79=0,"",Coding!AF79)</f>
        <v>4</v>
      </c>
      <c r="D79" s="28" t="n">
        <f aca="false">IF(OR(C79="",C79=0),"NA",IF(AND(Parameters!$C$39=1,ISNUMBER(B79),B79&lt;=Parameters!$C$40),0,MIN(C79,Parameters!$C$37)/Parameters!$C$37))</f>
        <v>0.5</v>
      </c>
      <c r="E79" s="28" t="n">
        <f aca="false">IF(Data!$F79="","NA",IF(SUMPRODUCT((Parameters!$B$66:$B$70&lt;&gt;"")*ISNUMBER(SEARCH(Parameters!$B$66:$B$70,Data!$F79)))&gt;0,Parameters!$C$63,Parameters!$C$64))</f>
        <v>1</v>
      </c>
      <c r="F79" s="32" t="n">
        <f aca="false">IF(OR(Data!$L79="",Data!$L79="Not applicable"),"",LEN(Data!$L79)-LEN(SUBSTITUTE(Data!$L79,"|",""))+1-IF(ISNUMBER(SEARCH("Other",Data!$L79)),1,0)-IF(ISNUMBER(SEARCH("Not applicable",Data!$L79)),1,0)+IF(AND(ISNUMBER(SEARCH("Other",Data!$L79)),Data!$M79&lt;&gt;""),1,0))</f>
        <v>1</v>
      </c>
      <c r="G79" s="28" t="n">
        <f aca="false">IF(OR(F79="",F79=0),"NA",MIN(F79,Parameters!$C$38)/Parameters!$C$38)</f>
        <v>0.166666666666667</v>
      </c>
      <c r="H79" s="15" t="str">
        <f aca="false">IF(Data!$N79="","Blank",IF(SUMPRODUCT((Parameters!$B$49:$B$53&lt;&gt;"")*ISNUMBER(SEARCH(Parameters!$B$49:$B$53,Data!$N79)))&gt;0,"CHECK: suspect URL",IF(ISNUMBER(SEARCH(Parameters!$C$46,Data!$N79)),"Contribution guide","Other page")))</f>
        <v>Contribution guide</v>
      </c>
      <c r="I79" s="28" t="n">
        <f aca="false">IF(H79="Contribution guide",Parameters!$C$44,IF(H79="Other page",Parameters!$C$45,"NA"))</f>
        <v>1</v>
      </c>
      <c r="J79" s="28" t="n">
        <f aca="false">IFERROR(INDEX(Parameters!$C$25:$C$28,MATCH(Data!$O79,Parameters!$B$25:$B$28,0)),"NA")</f>
        <v>1</v>
      </c>
      <c r="K79" s="28" t="n">
        <f aca="false">IFERROR(INDEX(Parameters!$C$32:$C$34,MATCH(Data!$Q79,Parameters!$B$32:$B$34,0)),"NA")</f>
        <v>1</v>
      </c>
      <c r="L79" s="32" t="n">
        <f aca="false">IF(AND(Coding!AF79&gt;0,ISNUMBER(B79),B79&lt;=Parameters!$C$40),1,0)</f>
        <v>0</v>
      </c>
      <c r="M79" s="32" t="n">
        <f aca="false">IF(AND(Data!$P79&lt;&gt;"",NOT(AND(ISNUMBER(J79),J79=1))),1,0)</f>
        <v>0</v>
      </c>
      <c r="N79" s="32" t="n">
        <f aca="false">IF(AND(Data!$Q79="Formal",Data!$R79=""),1,0)</f>
        <v>0</v>
      </c>
      <c r="O79" s="32" t="n">
        <f aca="false">IF(AND(Data!$Q79="",Data!$R79&lt;&gt;""),1,0)</f>
        <v>0</v>
      </c>
      <c r="P79" s="32" t="n">
        <f aca="false">IF(AND(ISNUMBER(B79),B79=1,Coding!AF79=0,OR(Data!$I79&lt;&gt;"",Data!$J79&lt;&gt;"")),1,0)</f>
        <v>0</v>
      </c>
      <c r="Q79" s="32" t="n">
        <f aca="false">IF(H79="CHECK: suspect URL",1,0)</f>
        <v>0</v>
      </c>
      <c r="R79" s="32" t="n">
        <f aca="false">IF(AND(OR(Data!$K79="Considering",Data!$K79="Not planning"),OR(AND(ISNUMBER(F79),F79&gt;0),Data!$N79&lt;&gt;"")),1,0)</f>
        <v>0</v>
      </c>
      <c r="S79" s="32" t="n">
        <f aca="false">IF(Data!$F79="",1,0)</f>
        <v>0</v>
      </c>
      <c r="T79" s="32" t="n">
        <f aca="false">SUM(L79:S79)</f>
        <v>0</v>
      </c>
      <c r="U79" s="32" t="n">
        <f aca="false">IF(ISNUMBER(F79),F79-IF(ISNUMBER(SEARCH("Contribute funds",Data!$L79)),1,0),"")</f>
        <v>1</v>
      </c>
      <c r="V79" s="28" t="n">
        <f aca="false">IF(ISNUMBER(U79),MIN(U79,Parameters!$C$38)/Parameters!$C$38,"NA")</f>
        <v>0.166666666666667</v>
      </c>
    </row>
    <row r="80" customFormat="false" ht="15" hidden="false" customHeight="true" outlineLevel="0" collapsed="false">
      <c r="A80" s="15" t="str">
        <f aca="false">Data!$A80</f>
        <v>OpenEdition</v>
      </c>
      <c r="B80" s="28" t="n">
        <f aca="false">IFERROR(INDEX(Parameters!$C$25:$C$28,MATCH(Data!$G80,Parameters!$B$25:$B$28,0)),"NA")</f>
        <v>1</v>
      </c>
      <c r="C80" s="32" t="n">
        <f aca="false">IF(Coding!AF80=0,"",Coding!AF80)</f>
        <v>2</v>
      </c>
      <c r="D80" s="28" t="n">
        <f aca="false">IF(OR(C80="",C80=0),"NA",IF(AND(Parameters!$C$39=1,ISNUMBER(B80),B80&lt;=Parameters!$C$40),0,MIN(C80,Parameters!$C$37)/Parameters!$C$37))</f>
        <v>0.25</v>
      </c>
      <c r="E80" s="28" t="n">
        <f aca="false">IF(Data!$F80="","NA",IF(SUMPRODUCT((Parameters!$B$66:$B$70&lt;&gt;"")*ISNUMBER(SEARCH(Parameters!$B$66:$B$70,Data!$F80)))&gt;0,Parameters!$C$63,Parameters!$C$64))</f>
        <v>1</v>
      </c>
      <c r="F80" s="32" t="n">
        <f aca="false">IF(OR(Data!$L80="",Data!$L80="Not applicable"),"",LEN(Data!$L80)-LEN(SUBSTITUTE(Data!$L80,"|",""))+1-IF(ISNUMBER(SEARCH("Other",Data!$L80)),1,0)-IF(ISNUMBER(SEARCH("Not applicable",Data!$L80)),1,0)+IF(AND(ISNUMBER(SEARCH("Other",Data!$L80)),Data!$M80&lt;&gt;""),1,0))</f>
        <v>1</v>
      </c>
      <c r="G80" s="28" t="n">
        <f aca="false">IF(OR(F80="",F80=0),"NA",MIN(F80,Parameters!$C$38)/Parameters!$C$38)</f>
        <v>0.166666666666667</v>
      </c>
      <c r="H80" s="15" t="str">
        <f aca="false">IF(Data!$N80="","Blank",IF(SUMPRODUCT((Parameters!$B$49:$B$53&lt;&gt;"")*ISNUMBER(SEARCH(Parameters!$B$49:$B$53,Data!$N80)))&gt;0,"CHECK: suspect URL",IF(ISNUMBER(SEARCH(Parameters!$C$46,Data!$N80)),"Contribution guide","Other page")))</f>
        <v>Blank</v>
      </c>
      <c r="I80" s="28" t="str">
        <f aca="false">IF(H80="Contribution guide",Parameters!$C$44,IF(H80="Other page",Parameters!$C$45,"NA"))</f>
        <v>NA</v>
      </c>
      <c r="J80" s="28" t="n">
        <f aca="false">IFERROR(INDEX(Parameters!$C$25:$C$28,MATCH(Data!$O80,Parameters!$B$25:$B$28,0)),"NA")</f>
        <v>0.33</v>
      </c>
      <c r="K80" s="28" t="n">
        <f aca="false">IFERROR(INDEX(Parameters!$C$32:$C$34,MATCH(Data!$Q80,Parameters!$B$32:$B$34,0)),"NA")</f>
        <v>1</v>
      </c>
      <c r="L80" s="32" t="n">
        <f aca="false">IF(AND(Coding!AF80&gt;0,ISNUMBER(B80),B80&lt;=Parameters!$C$40),1,0)</f>
        <v>0</v>
      </c>
      <c r="M80" s="32" t="n">
        <f aca="false">IF(AND(Data!$P80&lt;&gt;"",NOT(AND(ISNUMBER(J80),J80=1))),1,0)</f>
        <v>0</v>
      </c>
      <c r="N80" s="32" t="n">
        <f aca="false">IF(AND(Data!$Q80="Formal",Data!$R80=""),1,0)</f>
        <v>0</v>
      </c>
      <c r="O80" s="32" t="n">
        <f aca="false">IF(AND(Data!$Q80="",Data!$R80&lt;&gt;""),1,0)</f>
        <v>0</v>
      </c>
      <c r="P80" s="32" t="n">
        <f aca="false">IF(AND(ISNUMBER(B80),B80=1,Coding!AF80=0,OR(Data!$I80&lt;&gt;"",Data!$J80&lt;&gt;"")),1,0)</f>
        <v>0</v>
      </c>
      <c r="Q80" s="32" t="n">
        <f aca="false">IF(H80="CHECK: suspect URL",1,0)</f>
        <v>0</v>
      </c>
      <c r="R80" s="32" t="n">
        <f aca="false">IF(AND(OR(Data!$K80="Considering",Data!$K80="Not planning"),OR(AND(ISNUMBER(F80),F80&gt;0),Data!$N80&lt;&gt;"")),1,0)</f>
        <v>0</v>
      </c>
      <c r="S80" s="32" t="n">
        <f aca="false">IF(Data!$F80="",1,0)</f>
        <v>0</v>
      </c>
      <c r="T80" s="32" t="n">
        <f aca="false">SUM(L80:S80)</f>
        <v>0</v>
      </c>
      <c r="U80" s="32" t="n">
        <f aca="false">IF(ISNUMBER(F80),F80-IF(ISNUMBER(SEARCH("Contribute funds",Data!$L80)),1,0),"")</f>
        <v>1</v>
      </c>
      <c r="V80" s="28" t="n">
        <f aca="false">IF(ISNUMBER(U80),MIN(U80,Parameters!$C$38)/Parameters!$C$38,"NA")</f>
        <v>0.166666666666667</v>
      </c>
    </row>
    <row r="81" customFormat="false" ht="15" hidden="false" customHeight="true" outlineLevel="0" collapsed="false">
      <c r="A81" s="15" t="str">
        <f aca="false">Data!$A81</f>
        <v>Open Journal Systems (OJS)</v>
      </c>
      <c r="B81" s="28" t="n">
        <f aca="false">IFERROR(INDEX(Parameters!$C$25:$C$28,MATCH(Data!$G81,Parameters!$B$25:$B$28,0)),"NA")</f>
        <v>1</v>
      </c>
      <c r="C81" s="32" t="n">
        <f aca="false">IF(Coding!AF81=0,"",Coding!AF81)</f>
        <v>5</v>
      </c>
      <c r="D81" s="28" t="n">
        <f aca="false">IF(OR(C81="",C81=0),"NA",IF(AND(Parameters!$C$39=1,ISNUMBER(B81),B81&lt;=Parameters!$C$40),0,MIN(C81,Parameters!$C$37)/Parameters!$C$37))</f>
        <v>0.625</v>
      </c>
      <c r="E81" s="28" t="n">
        <f aca="false">IF(Data!$F81="","NA",IF(SUMPRODUCT((Parameters!$B$66:$B$70&lt;&gt;"")*ISNUMBER(SEARCH(Parameters!$B$66:$B$70,Data!$F81)))&gt;0,Parameters!$C$63,Parameters!$C$64))</f>
        <v>1</v>
      </c>
      <c r="F81" s="32" t="n">
        <f aca="false">IF(OR(Data!$L81="",Data!$L81="Not applicable"),"",LEN(Data!$L81)-LEN(SUBSTITUTE(Data!$L81,"|",""))+1-IF(ISNUMBER(SEARCH("Other",Data!$L81)),1,0)-IF(ISNUMBER(SEARCH("Not applicable",Data!$L81)),1,0)+IF(AND(ISNUMBER(SEARCH("Other",Data!$L81)),Data!$M81&lt;&gt;""),1,0))</f>
        <v>5</v>
      </c>
      <c r="G81" s="28" t="n">
        <f aca="false">IF(OR(F81="",F81=0),"NA",MIN(F81,Parameters!$C$38)/Parameters!$C$38)</f>
        <v>0.833333333333333</v>
      </c>
      <c r="H81" s="15" t="str">
        <f aca="false">IF(Data!$N81="","Blank",IF(SUMPRODUCT((Parameters!$B$49:$B$53&lt;&gt;"")*ISNUMBER(SEARCH(Parameters!$B$49:$B$53,Data!$N81)))&gt;0,"CHECK: suspect URL",IF(ISNUMBER(SEARCH(Parameters!$C$46,Data!$N81)),"Contribution guide","Other page")))</f>
        <v>Contribution guide</v>
      </c>
      <c r="I81" s="28" t="n">
        <f aca="false">IF(H81="Contribution guide",Parameters!$C$44,IF(H81="Other page",Parameters!$C$45,"NA"))</f>
        <v>1</v>
      </c>
      <c r="J81" s="28" t="n">
        <f aca="false">IFERROR(INDEX(Parameters!$C$25:$C$28,MATCH(Data!$O81,Parameters!$B$25:$B$28,0)),"NA")</f>
        <v>1</v>
      </c>
      <c r="K81" s="28" t="n">
        <f aca="false">IFERROR(INDEX(Parameters!$C$32:$C$34,MATCH(Data!$Q81,Parameters!$B$32:$B$34,0)),"NA")</f>
        <v>1</v>
      </c>
      <c r="L81" s="32" t="n">
        <f aca="false">IF(AND(Coding!AF81&gt;0,ISNUMBER(B81),B81&lt;=Parameters!$C$40),1,0)</f>
        <v>0</v>
      </c>
      <c r="M81" s="32" t="n">
        <f aca="false">IF(AND(Data!$P81&lt;&gt;"",NOT(AND(ISNUMBER(J81),J81=1))),1,0)</f>
        <v>0</v>
      </c>
      <c r="N81" s="32" t="n">
        <f aca="false">IF(AND(Data!$Q81="Formal",Data!$R81=""),1,0)</f>
        <v>0</v>
      </c>
      <c r="O81" s="32" t="n">
        <f aca="false">IF(AND(Data!$Q81="",Data!$R81&lt;&gt;""),1,0)</f>
        <v>0</v>
      </c>
      <c r="P81" s="32" t="n">
        <f aca="false">IF(AND(ISNUMBER(B81),B81=1,Coding!AF81=0,OR(Data!$I81&lt;&gt;"",Data!$J81&lt;&gt;"")),1,0)</f>
        <v>0</v>
      </c>
      <c r="Q81" s="32" t="n">
        <f aca="false">IF(H81="CHECK: suspect URL",1,0)</f>
        <v>0</v>
      </c>
      <c r="R81" s="32" t="n">
        <f aca="false">IF(AND(OR(Data!$K81="Considering",Data!$K81="Not planning"),OR(AND(ISNUMBER(F81),F81&gt;0),Data!$N81&lt;&gt;"")),1,0)</f>
        <v>0</v>
      </c>
      <c r="S81" s="32" t="n">
        <f aca="false">IF(Data!$F81="",1,0)</f>
        <v>0</v>
      </c>
      <c r="T81" s="32" t="n">
        <f aca="false">SUM(L81:S81)</f>
        <v>0</v>
      </c>
      <c r="U81" s="32" t="n">
        <f aca="false">IF(ISNUMBER(F81),F81-IF(ISNUMBER(SEARCH("Contribute funds",Data!$L81)),1,0),"")</f>
        <v>4</v>
      </c>
      <c r="V81" s="28" t="n">
        <f aca="false">IF(ISNUMBER(U81),MIN(U81,Parameters!$C$38)/Parameters!$C$38,"NA")</f>
        <v>0.666666666666667</v>
      </c>
    </row>
    <row r="82" customFormat="false" ht="15" hidden="false" customHeight="true" outlineLevel="0" collapsed="false">
      <c r="A82" s="15" t="str">
        <f aca="false">Data!$A82</f>
        <v>Open Monograph Press (OMP)</v>
      </c>
      <c r="B82" s="28" t="n">
        <f aca="false">IFERROR(INDEX(Parameters!$C$25:$C$28,MATCH(Data!$G82,Parameters!$B$25:$B$28,0)),"NA")</f>
        <v>1</v>
      </c>
      <c r="C82" s="32" t="n">
        <f aca="false">IF(Coding!AF82=0,"",Coding!AF82)</f>
        <v>5</v>
      </c>
      <c r="D82" s="28" t="n">
        <f aca="false">IF(OR(C82="",C82=0),"NA",IF(AND(Parameters!$C$39=1,ISNUMBER(B82),B82&lt;=Parameters!$C$40),0,MIN(C82,Parameters!$C$37)/Parameters!$C$37))</f>
        <v>0.625</v>
      </c>
      <c r="E82" s="28" t="n">
        <f aca="false">IF(Data!$F82="","NA",IF(SUMPRODUCT((Parameters!$B$66:$B$70&lt;&gt;"")*ISNUMBER(SEARCH(Parameters!$B$66:$B$70,Data!$F82)))&gt;0,Parameters!$C$63,Parameters!$C$64))</f>
        <v>1</v>
      </c>
      <c r="F82" s="32" t="n">
        <f aca="false">IF(OR(Data!$L82="",Data!$L82="Not applicable"),"",LEN(Data!$L82)-LEN(SUBSTITUTE(Data!$L82,"|",""))+1-IF(ISNUMBER(SEARCH("Other",Data!$L82)),1,0)-IF(ISNUMBER(SEARCH("Not applicable",Data!$L82)),1,0)+IF(AND(ISNUMBER(SEARCH("Other",Data!$L82)),Data!$M82&lt;&gt;""),1,0))</f>
        <v>5</v>
      </c>
      <c r="G82" s="28" t="n">
        <f aca="false">IF(OR(F82="",F82=0),"NA",MIN(F82,Parameters!$C$38)/Parameters!$C$38)</f>
        <v>0.833333333333333</v>
      </c>
      <c r="H82" s="15" t="str">
        <f aca="false">IF(Data!$N82="","Blank",IF(SUMPRODUCT((Parameters!$B$49:$B$53&lt;&gt;"")*ISNUMBER(SEARCH(Parameters!$B$49:$B$53,Data!$N82)))&gt;0,"CHECK: suspect URL",IF(ISNUMBER(SEARCH(Parameters!$C$46,Data!$N82)),"Contribution guide","Other page")))</f>
        <v>Contribution guide</v>
      </c>
      <c r="I82" s="28" t="n">
        <f aca="false">IF(H82="Contribution guide",Parameters!$C$44,IF(H82="Other page",Parameters!$C$45,"NA"))</f>
        <v>1</v>
      </c>
      <c r="J82" s="28" t="n">
        <f aca="false">IFERROR(INDEX(Parameters!$C$25:$C$28,MATCH(Data!$O82,Parameters!$B$25:$B$28,0)),"NA")</f>
        <v>1</v>
      </c>
      <c r="K82" s="28" t="n">
        <f aca="false">IFERROR(INDEX(Parameters!$C$32:$C$34,MATCH(Data!$Q82,Parameters!$B$32:$B$34,0)),"NA")</f>
        <v>1</v>
      </c>
      <c r="L82" s="32" t="n">
        <f aca="false">IF(AND(Coding!AF82&gt;0,ISNUMBER(B82),B82&lt;=Parameters!$C$40),1,0)</f>
        <v>0</v>
      </c>
      <c r="M82" s="32" t="n">
        <f aca="false">IF(AND(Data!$P82&lt;&gt;"",NOT(AND(ISNUMBER(J82),J82=1))),1,0)</f>
        <v>0</v>
      </c>
      <c r="N82" s="32" t="n">
        <f aca="false">IF(AND(Data!$Q82="Formal",Data!$R82=""),1,0)</f>
        <v>0</v>
      </c>
      <c r="O82" s="32" t="n">
        <f aca="false">IF(AND(Data!$Q82="",Data!$R82&lt;&gt;""),1,0)</f>
        <v>0</v>
      </c>
      <c r="P82" s="32" t="n">
        <f aca="false">IF(AND(ISNUMBER(B82),B82=1,Coding!AF82=0,OR(Data!$I82&lt;&gt;"",Data!$J82&lt;&gt;"")),1,0)</f>
        <v>0</v>
      </c>
      <c r="Q82" s="32" t="n">
        <f aca="false">IF(H82="CHECK: suspect URL",1,0)</f>
        <v>0</v>
      </c>
      <c r="R82" s="32" t="n">
        <f aca="false">IF(AND(OR(Data!$K82="Considering",Data!$K82="Not planning"),OR(AND(ISNUMBER(F82),F82&gt;0),Data!$N82&lt;&gt;"")),1,0)</f>
        <v>0</v>
      </c>
      <c r="S82" s="32" t="n">
        <f aca="false">IF(Data!$F82="",1,0)</f>
        <v>0</v>
      </c>
      <c r="T82" s="32" t="n">
        <f aca="false">SUM(L82:S82)</f>
        <v>0</v>
      </c>
      <c r="U82" s="32" t="n">
        <f aca="false">IF(ISNUMBER(F82),F82-IF(ISNUMBER(SEARCH("Contribute funds",Data!$L82)),1,0),"")</f>
        <v>4</v>
      </c>
      <c r="V82" s="28" t="n">
        <f aca="false">IF(ISNUMBER(U82),MIN(U82,Parameters!$C$38)/Parameters!$C$38,"NA")</f>
        <v>0.666666666666667</v>
      </c>
    </row>
    <row r="83" customFormat="false" ht="15" hidden="false" customHeight="true" outlineLevel="0" collapsed="false">
      <c r="A83" s="15" t="str">
        <f aca="false">Data!$A83</f>
        <v>Open Preprint Systems (OPS)</v>
      </c>
      <c r="B83" s="28" t="n">
        <f aca="false">IFERROR(INDEX(Parameters!$C$25:$C$28,MATCH(Data!$G83,Parameters!$B$25:$B$28,0)),"NA")</f>
        <v>1</v>
      </c>
      <c r="C83" s="32" t="n">
        <f aca="false">IF(Coding!AF83=0,"",Coding!AF83)</f>
        <v>5</v>
      </c>
      <c r="D83" s="28" t="n">
        <f aca="false">IF(OR(C83="",C83=0),"NA",IF(AND(Parameters!$C$39=1,ISNUMBER(B83),B83&lt;=Parameters!$C$40),0,MIN(C83,Parameters!$C$37)/Parameters!$C$37))</f>
        <v>0.625</v>
      </c>
      <c r="E83" s="28" t="n">
        <f aca="false">IF(Data!$F83="","NA",IF(SUMPRODUCT((Parameters!$B$66:$B$70&lt;&gt;"")*ISNUMBER(SEARCH(Parameters!$B$66:$B$70,Data!$F83)))&gt;0,Parameters!$C$63,Parameters!$C$64))</f>
        <v>1</v>
      </c>
      <c r="F83" s="32" t="n">
        <f aca="false">IF(OR(Data!$L83="",Data!$L83="Not applicable"),"",LEN(Data!$L83)-LEN(SUBSTITUTE(Data!$L83,"|",""))+1-IF(ISNUMBER(SEARCH("Other",Data!$L83)),1,0)-IF(ISNUMBER(SEARCH("Not applicable",Data!$L83)),1,0)+IF(AND(ISNUMBER(SEARCH("Other",Data!$L83)),Data!$M83&lt;&gt;""),1,0))</f>
        <v>5</v>
      </c>
      <c r="G83" s="28" t="n">
        <f aca="false">IF(OR(F83="",F83=0),"NA",MIN(F83,Parameters!$C$38)/Parameters!$C$38)</f>
        <v>0.833333333333333</v>
      </c>
      <c r="H83" s="15" t="str">
        <f aca="false">IF(Data!$N83="","Blank",IF(SUMPRODUCT((Parameters!$B$49:$B$53&lt;&gt;"")*ISNUMBER(SEARCH(Parameters!$B$49:$B$53,Data!$N83)))&gt;0,"CHECK: suspect URL",IF(ISNUMBER(SEARCH(Parameters!$C$46,Data!$N83)),"Contribution guide","Other page")))</f>
        <v>Contribution guide</v>
      </c>
      <c r="I83" s="28" t="n">
        <f aca="false">IF(H83="Contribution guide",Parameters!$C$44,IF(H83="Other page",Parameters!$C$45,"NA"))</f>
        <v>1</v>
      </c>
      <c r="J83" s="28" t="n">
        <f aca="false">IFERROR(INDEX(Parameters!$C$25:$C$28,MATCH(Data!$O83,Parameters!$B$25:$B$28,0)),"NA")</f>
        <v>1</v>
      </c>
      <c r="K83" s="28" t="n">
        <f aca="false">IFERROR(INDEX(Parameters!$C$32:$C$34,MATCH(Data!$Q83,Parameters!$B$32:$B$34,0)),"NA")</f>
        <v>1</v>
      </c>
      <c r="L83" s="32" t="n">
        <f aca="false">IF(AND(Coding!AF83&gt;0,ISNUMBER(B83),B83&lt;=Parameters!$C$40),1,0)</f>
        <v>0</v>
      </c>
      <c r="M83" s="32" t="n">
        <f aca="false">IF(AND(Data!$P83&lt;&gt;"",NOT(AND(ISNUMBER(J83),J83=1))),1,0)</f>
        <v>0</v>
      </c>
      <c r="N83" s="32" t="n">
        <f aca="false">IF(AND(Data!$Q83="Formal",Data!$R83=""),1,0)</f>
        <v>0</v>
      </c>
      <c r="O83" s="32" t="n">
        <f aca="false">IF(AND(Data!$Q83="",Data!$R83&lt;&gt;""),1,0)</f>
        <v>0</v>
      </c>
      <c r="P83" s="32" t="n">
        <f aca="false">IF(AND(ISNUMBER(B83),B83=1,Coding!AF83=0,OR(Data!$I83&lt;&gt;"",Data!$J83&lt;&gt;"")),1,0)</f>
        <v>0</v>
      </c>
      <c r="Q83" s="32" t="n">
        <f aca="false">IF(H83="CHECK: suspect URL",1,0)</f>
        <v>0</v>
      </c>
      <c r="R83" s="32" t="n">
        <f aca="false">IF(AND(OR(Data!$K83="Considering",Data!$K83="Not planning"),OR(AND(ISNUMBER(F83),F83&gt;0),Data!$N83&lt;&gt;"")),1,0)</f>
        <v>0</v>
      </c>
      <c r="S83" s="32" t="n">
        <f aca="false">IF(Data!$F83="",1,0)</f>
        <v>0</v>
      </c>
      <c r="T83" s="32" t="n">
        <f aca="false">SUM(L83:S83)</f>
        <v>0</v>
      </c>
      <c r="U83" s="32" t="n">
        <f aca="false">IF(ISNUMBER(F83),F83-IF(ISNUMBER(SEARCH("Contribute funds",Data!$L83)),1,0),"")</f>
        <v>4</v>
      </c>
      <c r="V83" s="28" t="n">
        <f aca="false">IF(ISNUMBER(U83),MIN(U83,Parameters!$C$38)/Parameters!$C$38,"NA")</f>
        <v>0.666666666666667</v>
      </c>
    </row>
    <row r="84" customFormat="false" ht="15" hidden="false" customHeight="true" outlineLevel="0" collapsed="false">
      <c r="A84" s="15" t="str">
        <f aca="false">Data!$A84</f>
        <v>Openverse</v>
      </c>
      <c r="B84" s="28" t="n">
        <f aca="false">IFERROR(INDEX(Parameters!$C$25:$C$28,MATCH(Data!$G84,Parameters!$B$25:$B$28,0)),"NA")</f>
        <v>1</v>
      </c>
      <c r="C84" s="32" t="str">
        <f aca="false">IF(Coding!AF84=0,"",Coding!AF84)</f>
        <v/>
      </c>
      <c r="D84" s="28" t="str">
        <f aca="false">IF(OR(C84="",C84=0),"NA",IF(AND(Parameters!$C$39=1,ISNUMBER(B84),B84&lt;=Parameters!$C$40),0,MIN(C84,Parameters!$C$37)/Parameters!$C$37))</f>
        <v>NA</v>
      </c>
      <c r="E84" s="28" t="n">
        <f aca="false">IF(Data!$F84="","NA",IF(SUMPRODUCT((Parameters!$B$66:$B$70&lt;&gt;"")*ISNUMBER(SEARCH(Parameters!$B$66:$B$70,Data!$F84)))&gt;0,Parameters!$C$63,Parameters!$C$64))</f>
        <v>1</v>
      </c>
      <c r="F84" s="32" t="str">
        <f aca="false">IF(OR(Data!$L84="",Data!$L84="Not applicable"),"",LEN(Data!$L84)-LEN(SUBSTITUTE(Data!$L84,"|",""))+1-IF(ISNUMBER(SEARCH("Other",Data!$L84)),1,0)-IF(ISNUMBER(SEARCH("Not applicable",Data!$L84)),1,0)+IF(AND(ISNUMBER(SEARCH("Other",Data!$L84)),Data!$M84&lt;&gt;""),1,0))</f>
        <v/>
      </c>
      <c r="G84" s="28" t="str">
        <f aca="false">IF(OR(F84="",F84=0),"NA",MIN(F84,Parameters!$C$38)/Parameters!$C$38)</f>
        <v>NA</v>
      </c>
      <c r="H84" s="15" t="str">
        <f aca="false">IF(Data!$N84="","Blank",IF(SUMPRODUCT((Parameters!$B$49:$B$53&lt;&gt;"")*ISNUMBER(SEARCH(Parameters!$B$49:$B$53,Data!$N84)))&gt;0,"CHECK: suspect URL",IF(ISNUMBER(SEARCH(Parameters!$C$46,Data!$N84)),"Contribution guide","Other page")))</f>
        <v>Contribution guide</v>
      </c>
      <c r="I84" s="28" t="n">
        <f aca="false">IF(H84="Contribution guide",Parameters!$C$44,IF(H84="Other page",Parameters!$C$45,"NA"))</f>
        <v>1</v>
      </c>
      <c r="J84" s="28" t="n">
        <f aca="false">IFERROR(INDEX(Parameters!$C$25:$C$28,MATCH(Data!$O84,Parameters!$B$25:$B$28,0)),"NA")</f>
        <v>1</v>
      </c>
      <c r="K84" s="28" t="n">
        <f aca="false">IFERROR(INDEX(Parameters!$C$32:$C$34,MATCH(Data!$Q84,Parameters!$B$32:$B$34,0)),"NA")</f>
        <v>0.5</v>
      </c>
      <c r="L84" s="32" t="n">
        <f aca="false">IF(AND(Coding!AF84&gt;0,ISNUMBER(B84),B84&lt;=Parameters!$C$40),1,0)</f>
        <v>0</v>
      </c>
      <c r="M84" s="32" t="n">
        <f aca="false">IF(AND(Data!$P84&lt;&gt;"",NOT(AND(ISNUMBER(J84),J84=1))),1,0)</f>
        <v>0</v>
      </c>
      <c r="N84" s="32" t="n">
        <f aca="false">IF(AND(Data!$Q84="Formal",Data!$R84=""),1,0)</f>
        <v>0</v>
      </c>
      <c r="O84" s="32" t="n">
        <f aca="false">IF(AND(Data!$Q84="",Data!$R84&lt;&gt;""),1,0)</f>
        <v>0</v>
      </c>
      <c r="P84" s="32" t="n">
        <f aca="false">IF(AND(ISNUMBER(B84),B84=1,Coding!AF84=0,OR(Data!$I84&lt;&gt;"",Data!$J84&lt;&gt;"")),1,0)</f>
        <v>1</v>
      </c>
      <c r="Q84" s="32" t="n">
        <f aca="false">IF(H84="CHECK: suspect URL",1,0)</f>
        <v>0</v>
      </c>
      <c r="R84" s="32" t="n">
        <f aca="false">IF(AND(OR(Data!$K84="Considering",Data!$K84="Not planning"),OR(AND(ISNUMBER(F84),F84&gt;0),Data!$N84&lt;&gt;"")),1,0)</f>
        <v>0</v>
      </c>
      <c r="S84" s="32" t="n">
        <f aca="false">IF(Data!$F84="",1,0)</f>
        <v>0</v>
      </c>
      <c r="T84" s="32" t="n">
        <f aca="false">SUM(L84:S84)</f>
        <v>1</v>
      </c>
      <c r="U84" s="32" t="str">
        <f aca="false">IF(ISNUMBER(F84),F84-IF(ISNUMBER(SEARCH("Contribute funds",Data!$L84)),1,0),"")</f>
        <v/>
      </c>
      <c r="V84" s="28" t="str">
        <f aca="false">IF(ISNUMBER(U84),MIN(U84,Parameters!$C$38)/Parameters!$C$38,"NA")</f>
        <v>NA</v>
      </c>
    </row>
    <row r="85" customFormat="false" ht="15" hidden="false" customHeight="true" outlineLevel="0" collapsed="false">
      <c r="A85" s="15" t="str">
        <f aca="false">Data!$A85</f>
        <v>O Portal Brasileiro de Publicações e Dados Científicos em Acesso Aberto (The Brazilian Open Access Publications and Scientific Data Portal) (Oasisbr)</v>
      </c>
      <c r="B85" s="28" t="n">
        <f aca="false">IFERROR(INDEX(Parameters!$C$25:$C$28,MATCH(Data!$G85,Parameters!$B$25:$B$28,0)),"NA")</f>
        <v>0.33</v>
      </c>
      <c r="C85" s="32" t="str">
        <f aca="false">IF(Coding!AF85=0,"",Coding!AF85)</f>
        <v/>
      </c>
      <c r="D85" s="28" t="str">
        <f aca="false">IF(OR(C85="",C85=0),"NA",IF(AND(Parameters!$C$39=1,ISNUMBER(B85),B85&lt;=Parameters!$C$40),0,MIN(C85,Parameters!$C$37)/Parameters!$C$37))</f>
        <v>NA</v>
      </c>
      <c r="E85" s="28" t="n">
        <f aca="false">IF(Data!$F85="","NA",IF(SUMPRODUCT((Parameters!$B$66:$B$70&lt;&gt;"")*ISNUMBER(SEARCH(Parameters!$B$66:$B$70,Data!$F85)))&gt;0,Parameters!$C$63,Parameters!$C$64))</f>
        <v>1</v>
      </c>
      <c r="F85" s="32" t="str">
        <f aca="false">IF(OR(Data!$L85="",Data!$L85="Not applicable"),"",LEN(Data!$L85)-LEN(SUBSTITUTE(Data!$L85,"|",""))+1-IF(ISNUMBER(SEARCH("Other",Data!$L85)),1,0)-IF(ISNUMBER(SEARCH("Not applicable",Data!$L85)),1,0)+IF(AND(ISNUMBER(SEARCH("Other",Data!$L85)),Data!$M85&lt;&gt;""),1,0))</f>
        <v/>
      </c>
      <c r="G85" s="28" t="str">
        <f aca="false">IF(OR(F85="",F85=0),"NA",MIN(F85,Parameters!$C$38)/Parameters!$C$38)</f>
        <v>NA</v>
      </c>
      <c r="H85" s="15" t="str">
        <f aca="false">IF(Data!$N85="","Blank",IF(SUMPRODUCT((Parameters!$B$49:$B$53&lt;&gt;"")*ISNUMBER(SEARCH(Parameters!$B$49:$B$53,Data!$N85)))&gt;0,"CHECK: suspect URL",IF(ISNUMBER(SEARCH(Parameters!$C$46,Data!$N85)),"Contribution guide","Other page")))</f>
        <v>Blank</v>
      </c>
      <c r="I85" s="28" t="str">
        <f aca="false">IF(H85="Contribution guide",Parameters!$C$44,IF(H85="Other page",Parameters!$C$45,"NA"))</f>
        <v>NA</v>
      </c>
      <c r="J85" s="28" t="n">
        <f aca="false">IFERROR(INDEX(Parameters!$C$25:$C$28,MATCH(Data!$O85,Parameters!$B$25:$B$28,0)),"NA")</f>
        <v>0.33</v>
      </c>
      <c r="K85" s="28" t="str">
        <f aca="false">IFERROR(INDEX(Parameters!$C$32:$C$34,MATCH(Data!$Q85,Parameters!$B$32:$B$34,0)),"NA")</f>
        <v>NA</v>
      </c>
      <c r="L85" s="32" t="n">
        <f aca="false">IF(AND(Coding!AF85&gt;0,ISNUMBER(B85),B85&lt;=Parameters!$C$40),1,0)</f>
        <v>0</v>
      </c>
      <c r="M85" s="32" t="n">
        <f aca="false">IF(AND(Data!$P85&lt;&gt;"",NOT(AND(ISNUMBER(J85),J85=1))),1,0)</f>
        <v>0</v>
      </c>
      <c r="N85" s="32" t="n">
        <f aca="false">IF(AND(Data!$Q85="Formal",Data!$R85=""),1,0)</f>
        <v>0</v>
      </c>
      <c r="O85" s="32" t="n">
        <f aca="false">IF(AND(Data!$Q85="",Data!$R85&lt;&gt;""),1,0)</f>
        <v>0</v>
      </c>
      <c r="P85" s="32" t="n">
        <f aca="false">IF(AND(ISNUMBER(B85),B85=1,Coding!AF85=0,OR(Data!$I85&lt;&gt;"",Data!$J85&lt;&gt;"")),1,0)</f>
        <v>0</v>
      </c>
      <c r="Q85" s="32" t="n">
        <f aca="false">IF(H85="CHECK: suspect URL",1,0)</f>
        <v>0</v>
      </c>
      <c r="R85" s="32" t="n">
        <f aca="false">IF(AND(OR(Data!$K85="Considering",Data!$K85="Not planning"),OR(AND(ISNUMBER(F85),F85&gt;0),Data!$N85&lt;&gt;"")),1,0)</f>
        <v>0</v>
      </c>
      <c r="S85" s="32" t="n">
        <f aca="false">IF(Data!$F85="",1,0)</f>
        <v>0</v>
      </c>
      <c r="T85" s="32" t="n">
        <f aca="false">SUM(L85:S85)</f>
        <v>0</v>
      </c>
      <c r="U85" s="32" t="str">
        <f aca="false">IF(ISNUMBER(F85),F85-IF(ISNUMBER(SEARCH("Contribute funds",Data!$L85)),1,0),"")</f>
        <v/>
      </c>
      <c r="V85" s="28" t="str">
        <f aca="false">IF(ISNUMBER(U85),MIN(U85,Parameters!$C$38)/Parameters!$C$38,"NA")</f>
        <v>NA</v>
      </c>
    </row>
    <row r="86" customFormat="false" ht="15" hidden="false" customHeight="true" outlineLevel="0" collapsed="false">
      <c r="A86" s="15" t="str">
        <f aca="false">Data!$A86</f>
        <v>OSF (Open Science Framework)</v>
      </c>
      <c r="B86" s="28" t="n">
        <f aca="false">IFERROR(INDEX(Parameters!$C$25:$C$28,MATCH(Data!$G86,Parameters!$B$25:$B$28,0)),"NA")</f>
        <v>1</v>
      </c>
      <c r="C86" s="32" t="str">
        <f aca="false">IF(Coding!AF86=0,"",Coding!AF86)</f>
        <v/>
      </c>
      <c r="D86" s="28" t="str">
        <f aca="false">IF(OR(C86="",C86=0),"NA",IF(AND(Parameters!$C$39=1,ISNUMBER(B86),B86&lt;=Parameters!$C$40),0,MIN(C86,Parameters!$C$37)/Parameters!$C$37))</f>
        <v>NA</v>
      </c>
      <c r="E86" s="28" t="n">
        <f aca="false">IF(Data!$F86="","NA",IF(SUMPRODUCT((Parameters!$B$66:$B$70&lt;&gt;"")*ISNUMBER(SEARCH(Parameters!$B$66:$B$70,Data!$F86)))&gt;0,Parameters!$C$63,Parameters!$C$64))</f>
        <v>1</v>
      </c>
      <c r="F86" s="32" t="n">
        <f aca="false">IF(OR(Data!$L86="",Data!$L86="Not applicable"),"",LEN(Data!$L86)-LEN(SUBSTITUTE(Data!$L86,"|",""))+1-IF(ISNUMBER(SEARCH("Other",Data!$L86)),1,0)-IF(ISNUMBER(SEARCH("Not applicable",Data!$L86)),1,0)+IF(AND(ISNUMBER(SEARCH("Other",Data!$L86)),Data!$M86&lt;&gt;""),1,0))</f>
        <v>5</v>
      </c>
      <c r="G86" s="28" t="n">
        <f aca="false">IF(OR(F86="",F86=0),"NA",MIN(F86,Parameters!$C$38)/Parameters!$C$38)</f>
        <v>0.833333333333333</v>
      </c>
      <c r="H86" s="15" t="str">
        <f aca="false">IF(Data!$N86="","Blank",IF(SUMPRODUCT((Parameters!$B$49:$B$53&lt;&gt;"")*ISNUMBER(SEARCH(Parameters!$B$49:$B$53,Data!$N86)))&gt;0,"CHECK: suspect URL",IF(ISNUMBER(SEARCH(Parameters!$C$46,Data!$N86)),"Contribution guide","Other page")))</f>
        <v>CHECK: suspect URL</v>
      </c>
      <c r="I86" s="28" t="str">
        <f aca="false">IF(H86="Contribution guide",Parameters!$C$44,IF(H86="Other page",Parameters!$C$45,"NA"))</f>
        <v>NA</v>
      </c>
      <c r="J86" s="28" t="n">
        <f aca="false">IFERROR(INDEX(Parameters!$C$25:$C$28,MATCH(Data!$O86,Parameters!$B$25:$B$28,0)),"NA")</f>
        <v>1</v>
      </c>
      <c r="K86" s="28" t="n">
        <f aca="false">IFERROR(INDEX(Parameters!$C$32:$C$34,MATCH(Data!$Q86,Parameters!$B$32:$B$34,0)),"NA")</f>
        <v>1</v>
      </c>
      <c r="L86" s="32" t="n">
        <f aca="false">IF(AND(Coding!AF86&gt;0,ISNUMBER(B86),B86&lt;=Parameters!$C$40),1,0)</f>
        <v>0</v>
      </c>
      <c r="M86" s="32" t="n">
        <f aca="false">IF(AND(Data!$P86&lt;&gt;"",NOT(AND(ISNUMBER(J86),J86=1))),1,0)</f>
        <v>0</v>
      </c>
      <c r="N86" s="32" t="n">
        <f aca="false">IF(AND(Data!$Q86="Formal",Data!$R86=""),1,0)</f>
        <v>0</v>
      </c>
      <c r="O86" s="32" t="n">
        <f aca="false">IF(AND(Data!$Q86="",Data!$R86&lt;&gt;""),1,0)</f>
        <v>0</v>
      </c>
      <c r="P86" s="32" t="n">
        <f aca="false">IF(AND(ISNUMBER(B86),B86=1,Coding!AF86=0,OR(Data!$I86&lt;&gt;"",Data!$J86&lt;&gt;"")),1,0)</f>
        <v>1</v>
      </c>
      <c r="Q86" s="32" t="n">
        <f aca="false">IF(H86="CHECK: suspect URL",1,0)</f>
        <v>1</v>
      </c>
      <c r="R86" s="32" t="n">
        <f aca="false">IF(AND(OR(Data!$K86="Considering",Data!$K86="Not planning"),OR(AND(ISNUMBER(F86),F86&gt;0),Data!$N86&lt;&gt;"")),1,0)</f>
        <v>0</v>
      </c>
      <c r="S86" s="32" t="n">
        <f aca="false">IF(Data!$F86="",1,0)</f>
        <v>0</v>
      </c>
      <c r="T86" s="32" t="n">
        <f aca="false">SUM(L86:S86)</f>
        <v>2</v>
      </c>
      <c r="U86" s="32" t="n">
        <f aca="false">IF(ISNUMBER(F86),F86-IF(ISNUMBER(SEARCH("Contribute funds",Data!$L86)),1,0),"")</f>
        <v>4</v>
      </c>
      <c r="V86" s="28" t="n">
        <f aca="false">IF(ISNUMBER(U86),MIN(U86,Parameters!$C$38)/Parameters!$C$38,"NA")</f>
        <v>0.666666666666667</v>
      </c>
    </row>
    <row r="87" customFormat="false" ht="15" hidden="false" customHeight="true" outlineLevel="0" collapsed="false">
      <c r="A87" s="15" t="str">
        <f aca="false">Data!$A87</f>
        <v>Oxford Common File Layout</v>
      </c>
      <c r="B87" s="28" t="n">
        <f aca="false">IFERROR(INDEX(Parameters!$C$25:$C$28,MATCH(Data!$G87,Parameters!$B$25:$B$28,0)),"NA")</f>
        <v>0</v>
      </c>
      <c r="C87" s="32" t="str">
        <f aca="false">IF(Coding!AF87=0,"",Coding!AF87)</f>
        <v/>
      </c>
      <c r="D87" s="28" t="str">
        <f aca="false">IF(OR(C87="",C87=0),"NA",IF(AND(Parameters!$C$39=1,ISNUMBER(B87),B87&lt;=Parameters!$C$40),0,MIN(C87,Parameters!$C$37)/Parameters!$C$37))</f>
        <v>NA</v>
      </c>
      <c r="E87" s="28" t="n">
        <f aca="false">IF(Data!$F87="","NA",IF(SUMPRODUCT((Parameters!$B$66:$B$70&lt;&gt;"")*ISNUMBER(SEARCH(Parameters!$B$66:$B$70,Data!$F87)))&gt;0,Parameters!$C$63,Parameters!$C$64))</f>
        <v>1</v>
      </c>
      <c r="F87" s="32" t="n">
        <f aca="false">IF(OR(Data!$L87="",Data!$L87="Not applicable"),"",LEN(Data!$L87)-LEN(SUBSTITUTE(Data!$L87,"|",""))+1-IF(ISNUMBER(SEARCH("Other",Data!$L87)),1,0)-IF(ISNUMBER(SEARCH("Not applicable",Data!$L87)),1,0)+IF(AND(ISNUMBER(SEARCH("Other",Data!$L87)),Data!$M87&lt;&gt;""),1,0))</f>
        <v>3</v>
      </c>
      <c r="G87" s="28" t="n">
        <f aca="false">IF(OR(F87="",F87=0),"NA",MIN(F87,Parameters!$C$38)/Parameters!$C$38)</f>
        <v>0.5</v>
      </c>
      <c r="H87" s="15" t="str">
        <f aca="false">IF(Data!$N87="","Blank",IF(SUMPRODUCT((Parameters!$B$49:$B$53&lt;&gt;"")*ISNUMBER(SEARCH(Parameters!$B$49:$B$53,Data!$N87)))&gt;0,"CHECK: suspect URL",IF(ISNUMBER(SEARCH(Parameters!$C$46,Data!$N87)),"Contribution guide","Other page")))</f>
        <v>Other page</v>
      </c>
      <c r="I87" s="28" t="n">
        <f aca="false">IF(H87="Contribution guide",Parameters!$C$44,IF(H87="Other page",Parameters!$C$45,"NA"))</f>
        <v>0.5</v>
      </c>
      <c r="J87" s="28" t="n">
        <f aca="false">IFERROR(INDEX(Parameters!$C$25:$C$28,MATCH(Data!$O87,Parameters!$B$25:$B$28,0)),"NA")</f>
        <v>0</v>
      </c>
      <c r="K87" s="28" t="str">
        <f aca="false">IFERROR(INDEX(Parameters!$C$32:$C$34,MATCH(Data!$Q87,Parameters!$B$32:$B$34,0)),"NA")</f>
        <v>NA</v>
      </c>
      <c r="L87" s="32" t="n">
        <f aca="false">IF(AND(Coding!AF87&gt;0,ISNUMBER(B87),B87&lt;=Parameters!$C$40),1,0)</f>
        <v>0</v>
      </c>
      <c r="M87" s="32" t="n">
        <f aca="false">IF(AND(Data!$P87&lt;&gt;"",NOT(AND(ISNUMBER(J87),J87=1))),1,0)</f>
        <v>0</v>
      </c>
      <c r="N87" s="32" t="n">
        <f aca="false">IF(AND(Data!$Q87="Formal",Data!$R87=""),1,0)</f>
        <v>0</v>
      </c>
      <c r="O87" s="32" t="n">
        <f aca="false">IF(AND(Data!$Q87="",Data!$R87&lt;&gt;""),1,0)</f>
        <v>0</v>
      </c>
      <c r="P87" s="32" t="n">
        <f aca="false">IF(AND(ISNUMBER(B87),B87=1,Coding!AF87=0,OR(Data!$I87&lt;&gt;"",Data!$J87&lt;&gt;"")),1,0)</f>
        <v>0</v>
      </c>
      <c r="Q87" s="32" t="n">
        <f aca="false">IF(H87="CHECK: suspect URL",1,0)</f>
        <v>0</v>
      </c>
      <c r="R87" s="32" t="n">
        <f aca="false">IF(AND(OR(Data!$K87="Considering",Data!$K87="Not planning"),OR(AND(ISNUMBER(F87),F87&gt;0),Data!$N87&lt;&gt;"")),1,0)</f>
        <v>0</v>
      </c>
      <c r="S87" s="32" t="n">
        <f aca="false">IF(Data!$F87="",1,0)</f>
        <v>0</v>
      </c>
      <c r="T87" s="32" t="n">
        <f aca="false">SUM(L87:S87)</f>
        <v>0</v>
      </c>
      <c r="U87" s="32" t="n">
        <f aca="false">IF(ISNUMBER(F87),F87-IF(ISNUMBER(SEARCH("Contribute funds",Data!$L87)),1,0),"")</f>
        <v>3</v>
      </c>
      <c r="V87" s="28" t="n">
        <f aca="false">IF(ISNUMBER(U87),MIN(U87,Parameters!$C$38)/Parameters!$C$38,"NA")</f>
        <v>0.5</v>
      </c>
    </row>
    <row r="88" customFormat="false" ht="15" hidden="false" customHeight="true" outlineLevel="0" collapsed="false">
      <c r="A88" s="15" t="str">
        <f aca="false">Data!$A88</f>
        <v>Peer Community In</v>
      </c>
      <c r="B88" s="28" t="n">
        <f aca="false">IFERROR(INDEX(Parameters!$C$25:$C$28,MATCH(Data!$G88,Parameters!$B$25:$B$28,0)),"NA")</f>
        <v>1</v>
      </c>
      <c r="C88" s="32" t="str">
        <f aca="false">IF(Coding!AF88=0,"",Coding!AF88)</f>
        <v/>
      </c>
      <c r="D88" s="28" t="str">
        <f aca="false">IF(OR(C88="",C88=0),"NA",IF(AND(Parameters!$C$39=1,ISNUMBER(B88),B88&lt;=Parameters!$C$40),0,MIN(C88,Parameters!$C$37)/Parameters!$C$37))</f>
        <v>NA</v>
      </c>
      <c r="E88" s="28" t="n">
        <f aca="false">IF(Data!$F88="","NA",IF(SUMPRODUCT((Parameters!$B$66:$B$70&lt;&gt;"")*ISNUMBER(SEARCH(Parameters!$B$66:$B$70,Data!$F88)))&gt;0,Parameters!$C$63,Parameters!$C$64))</f>
        <v>1</v>
      </c>
      <c r="F88" s="32" t="n">
        <f aca="false">IF(OR(Data!$L88="",Data!$L88="Not applicable"),"",LEN(Data!$L88)-LEN(SUBSTITUTE(Data!$L88,"|",""))+1-IF(ISNUMBER(SEARCH("Other",Data!$L88)),1,0)-IF(ISNUMBER(SEARCH("Not applicable",Data!$L88)),1,0)+IF(AND(ISNUMBER(SEARCH("Other",Data!$L88)),Data!$M88&lt;&gt;""),1,0))</f>
        <v>0</v>
      </c>
      <c r="G88" s="28" t="str">
        <f aca="false">IF(OR(F88="",F88=0),"NA",MIN(F88,Parameters!$C$38)/Parameters!$C$38)</f>
        <v>NA</v>
      </c>
      <c r="H88" s="15" t="str">
        <f aca="false">IF(Data!$N88="","Blank",IF(SUMPRODUCT((Parameters!$B$49:$B$53&lt;&gt;"")*ISNUMBER(SEARCH(Parameters!$B$49:$B$53,Data!$N88)))&gt;0,"CHECK: suspect URL",IF(ISNUMBER(SEARCH(Parameters!$C$46,Data!$N88)),"Contribution guide","Other page")))</f>
        <v>Blank</v>
      </c>
      <c r="I88" s="28" t="str">
        <f aca="false">IF(H88="Contribution guide",Parameters!$C$44,IF(H88="Other page",Parameters!$C$45,"NA"))</f>
        <v>NA</v>
      </c>
      <c r="J88" s="28" t="n">
        <f aca="false">IFERROR(INDEX(Parameters!$C$25:$C$28,MATCH(Data!$O88,Parameters!$B$25:$B$28,0)),"NA")</f>
        <v>1</v>
      </c>
      <c r="K88" s="28" t="n">
        <f aca="false">IFERROR(INDEX(Parameters!$C$32:$C$34,MATCH(Data!$Q88,Parameters!$B$32:$B$34,0)),"NA")</f>
        <v>1</v>
      </c>
      <c r="L88" s="32" t="n">
        <f aca="false">IF(AND(Coding!AF88&gt;0,ISNUMBER(B88),B88&lt;=Parameters!$C$40),1,0)</f>
        <v>0</v>
      </c>
      <c r="M88" s="32" t="n">
        <f aca="false">IF(AND(Data!$P88&lt;&gt;"",NOT(AND(ISNUMBER(J88),J88=1))),1,0)</f>
        <v>0</v>
      </c>
      <c r="N88" s="32" t="n">
        <f aca="false">IF(AND(Data!$Q88="Formal",Data!$R88=""),1,0)</f>
        <v>1</v>
      </c>
      <c r="O88" s="32" t="n">
        <f aca="false">IF(AND(Data!$Q88="",Data!$R88&lt;&gt;""),1,0)</f>
        <v>0</v>
      </c>
      <c r="P88" s="32" t="n">
        <f aca="false">IF(AND(ISNUMBER(B88),B88=1,Coding!AF88=0,OR(Data!$I88&lt;&gt;"",Data!$J88&lt;&gt;"")),1,0)</f>
        <v>1</v>
      </c>
      <c r="Q88" s="32" t="n">
        <f aca="false">IF(H88="CHECK: suspect URL",1,0)</f>
        <v>0</v>
      </c>
      <c r="R88" s="32" t="n">
        <f aca="false">IF(AND(OR(Data!$K88="Considering",Data!$K88="Not planning"),OR(AND(ISNUMBER(F88),F88&gt;0),Data!$N88&lt;&gt;"")),1,0)</f>
        <v>0</v>
      </c>
      <c r="S88" s="32" t="n">
        <f aca="false">IF(Data!$F88="",1,0)</f>
        <v>0</v>
      </c>
      <c r="T88" s="32" t="n">
        <f aca="false">SUM(L88:S88)</f>
        <v>2</v>
      </c>
      <c r="U88" s="32" t="n">
        <f aca="false">IF(ISNUMBER(F88),F88-IF(ISNUMBER(SEARCH("Contribute funds",Data!$L88)),1,0),"")</f>
        <v>0</v>
      </c>
      <c r="V88" s="28" t="n">
        <f aca="false">IF(ISNUMBER(U88),MIN(U88,Parameters!$C$38)/Parameters!$C$38,"NA")</f>
        <v>0</v>
      </c>
    </row>
    <row r="89" customFormat="false" ht="15" hidden="false" customHeight="true" outlineLevel="0" collapsed="false">
      <c r="A89" s="15" t="str">
        <f aca="false">Data!$A89</f>
        <v>PKP Preservation Network</v>
      </c>
      <c r="B89" s="28" t="n">
        <f aca="false">IFERROR(INDEX(Parameters!$C$25:$C$28,MATCH(Data!$G89,Parameters!$B$25:$B$28,0)),"NA")</f>
        <v>1</v>
      </c>
      <c r="C89" s="32" t="str">
        <f aca="false">IF(Coding!AF89=0,"",Coding!AF89)</f>
        <v/>
      </c>
      <c r="D89" s="28" t="str">
        <f aca="false">IF(OR(C89="",C89=0),"NA",IF(AND(Parameters!$C$39=1,ISNUMBER(B89),B89&lt;=Parameters!$C$40),0,MIN(C89,Parameters!$C$37)/Parameters!$C$37))</f>
        <v>NA</v>
      </c>
      <c r="E89" s="28" t="n">
        <f aca="false">IF(Data!$F89="","NA",IF(SUMPRODUCT((Parameters!$B$66:$B$70&lt;&gt;"")*ISNUMBER(SEARCH(Parameters!$B$66:$B$70,Data!$F89)))&gt;0,Parameters!$C$63,Parameters!$C$64))</f>
        <v>1</v>
      </c>
      <c r="F89" s="32" t="str">
        <f aca="false">IF(OR(Data!$L89="",Data!$L89="Not applicable"),"",LEN(Data!$L89)-LEN(SUBSTITUTE(Data!$L89,"|",""))+1-IF(ISNUMBER(SEARCH("Other",Data!$L89)),1,0)-IF(ISNUMBER(SEARCH("Not applicable",Data!$L89)),1,0)+IF(AND(ISNUMBER(SEARCH("Other",Data!$L89)),Data!$M89&lt;&gt;""),1,0))</f>
        <v/>
      </c>
      <c r="G89" s="28" t="str">
        <f aca="false">IF(OR(F89="",F89=0),"NA",MIN(F89,Parameters!$C$38)/Parameters!$C$38)</f>
        <v>NA</v>
      </c>
      <c r="H89" s="15" t="str">
        <f aca="false">IF(Data!$N89="","Blank",IF(SUMPRODUCT((Parameters!$B$49:$B$53&lt;&gt;"")*ISNUMBER(SEARCH(Parameters!$B$49:$B$53,Data!$N89)))&gt;0,"CHECK: suspect URL",IF(ISNUMBER(SEARCH(Parameters!$C$46,Data!$N89)),"Contribution guide","Other page")))</f>
        <v>Contribution guide</v>
      </c>
      <c r="I89" s="28" t="n">
        <f aca="false">IF(H89="Contribution guide",Parameters!$C$44,IF(H89="Other page",Parameters!$C$45,"NA"))</f>
        <v>1</v>
      </c>
      <c r="J89" s="28" t="n">
        <f aca="false">IFERROR(INDEX(Parameters!$C$25:$C$28,MATCH(Data!$O89,Parameters!$B$25:$B$28,0)),"NA")</f>
        <v>1</v>
      </c>
      <c r="K89" s="28" t="n">
        <f aca="false">IFERROR(INDEX(Parameters!$C$32:$C$34,MATCH(Data!$Q89,Parameters!$B$32:$B$34,0)),"NA")</f>
        <v>1</v>
      </c>
      <c r="L89" s="32" t="n">
        <f aca="false">IF(AND(Coding!AF89&gt;0,ISNUMBER(B89),B89&lt;=Parameters!$C$40),1,0)</f>
        <v>0</v>
      </c>
      <c r="M89" s="32" t="n">
        <f aca="false">IF(AND(Data!$P89&lt;&gt;"",NOT(AND(ISNUMBER(J89),J89=1))),1,0)</f>
        <v>0</v>
      </c>
      <c r="N89" s="32" t="n">
        <f aca="false">IF(AND(Data!$Q89="Formal",Data!$R89=""),1,0)</f>
        <v>0</v>
      </c>
      <c r="O89" s="32" t="n">
        <f aca="false">IF(AND(Data!$Q89="",Data!$R89&lt;&gt;""),1,0)</f>
        <v>0</v>
      </c>
      <c r="P89" s="32" t="n">
        <f aca="false">IF(AND(ISNUMBER(B89),B89=1,Coding!AF89=0,OR(Data!$I89&lt;&gt;"",Data!$J89&lt;&gt;"")),1,0)</f>
        <v>1</v>
      </c>
      <c r="Q89" s="32" t="n">
        <f aca="false">IF(H89="CHECK: suspect URL",1,0)</f>
        <v>0</v>
      </c>
      <c r="R89" s="32" t="n">
        <f aca="false">IF(AND(OR(Data!$K89="Considering",Data!$K89="Not planning"),OR(AND(ISNUMBER(F89),F89&gt;0),Data!$N89&lt;&gt;"")),1,0)</f>
        <v>0</v>
      </c>
      <c r="S89" s="32" t="n">
        <f aca="false">IF(Data!$F89="",1,0)</f>
        <v>0</v>
      </c>
      <c r="T89" s="32" t="n">
        <f aca="false">SUM(L89:S89)</f>
        <v>1</v>
      </c>
      <c r="U89" s="32" t="str">
        <f aca="false">IF(ISNUMBER(F89),F89-IF(ISNUMBER(SEARCH("Contribute funds",Data!$L89)),1,0),"")</f>
        <v/>
      </c>
      <c r="V89" s="28" t="str">
        <f aca="false">IF(ISNUMBER(U89),MIN(U89,Parameters!$C$38)/Parameters!$C$38,"NA")</f>
        <v>NA</v>
      </c>
    </row>
    <row r="90" customFormat="false" ht="15" hidden="false" customHeight="true" outlineLevel="0" collapsed="false">
      <c r="A90" s="15" t="str">
        <f aca="false">Data!$A90</f>
        <v>PREreview</v>
      </c>
      <c r="B90" s="28" t="n">
        <f aca="false">IFERROR(INDEX(Parameters!$C$25:$C$28,MATCH(Data!$G90,Parameters!$B$25:$B$28,0)),"NA")</f>
        <v>1</v>
      </c>
      <c r="C90" s="32" t="n">
        <f aca="false">IF(Coding!AF90=0,"",Coding!AF90)</f>
        <v>11</v>
      </c>
      <c r="D90" s="28" t="n">
        <f aca="false">IF(OR(C90="",C90=0),"NA",IF(AND(Parameters!$C$39=1,ISNUMBER(B90),B90&lt;=Parameters!$C$40),0,MIN(C90,Parameters!$C$37)/Parameters!$C$37))</f>
        <v>1</v>
      </c>
      <c r="E90" s="28" t="n">
        <f aca="false">IF(Data!$F90="","NA",IF(SUMPRODUCT((Parameters!$B$66:$B$70&lt;&gt;"")*ISNUMBER(SEARCH(Parameters!$B$66:$B$70,Data!$F90)))&gt;0,Parameters!$C$63,Parameters!$C$64))</f>
        <v>1</v>
      </c>
      <c r="F90" s="32" t="n">
        <f aca="false">IF(OR(Data!$L90="",Data!$L90="Not applicable"),"",LEN(Data!$L90)-LEN(SUBSTITUTE(Data!$L90,"|",""))+1-IF(ISNUMBER(SEARCH("Other",Data!$L90)),1,0)-IF(ISNUMBER(SEARCH("Not applicable",Data!$L90)),1,0)+IF(AND(ISNUMBER(SEARCH("Other",Data!$L90)),Data!$M90&lt;&gt;""),1,0))</f>
        <v>7</v>
      </c>
      <c r="G90" s="28" t="n">
        <f aca="false">IF(OR(F90="",F90=0),"NA",MIN(F90,Parameters!$C$38)/Parameters!$C$38)</f>
        <v>1</v>
      </c>
      <c r="H90" s="15" t="str">
        <f aca="false">IF(Data!$N90="","Blank",IF(SUMPRODUCT((Parameters!$B$49:$B$53&lt;&gt;"")*ISNUMBER(SEARCH(Parameters!$B$49:$B$53,Data!$N90)))&gt;0,"CHECK: suspect URL",IF(ISNUMBER(SEARCH(Parameters!$C$46,Data!$N90)),"Contribution guide","Other page")))</f>
        <v>Other page</v>
      </c>
      <c r="I90" s="28" t="n">
        <f aca="false">IF(H90="Contribution guide",Parameters!$C$44,IF(H90="Other page",Parameters!$C$45,"NA"))</f>
        <v>0.5</v>
      </c>
      <c r="J90" s="28" t="n">
        <f aca="false">IFERROR(INDEX(Parameters!$C$25:$C$28,MATCH(Data!$O90,Parameters!$B$25:$B$28,0)),"NA")</f>
        <v>1</v>
      </c>
      <c r="K90" s="28" t="n">
        <f aca="false">IFERROR(INDEX(Parameters!$C$32:$C$34,MATCH(Data!$Q90,Parameters!$B$32:$B$34,0)),"NA")</f>
        <v>0.5</v>
      </c>
      <c r="L90" s="32" t="n">
        <f aca="false">IF(AND(Coding!AF90&gt;0,ISNUMBER(B90),B90&lt;=Parameters!$C$40),1,0)</f>
        <v>0</v>
      </c>
      <c r="M90" s="32" t="n">
        <f aca="false">IF(AND(Data!$P90&lt;&gt;"",NOT(AND(ISNUMBER(J90),J90=1))),1,0)</f>
        <v>0</v>
      </c>
      <c r="N90" s="32" t="n">
        <f aca="false">IF(AND(Data!$Q90="Formal",Data!$R90=""),1,0)</f>
        <v>0</v>
      </c>
      <c r="O90" s="32" t="n">
        <f aca="false">IF(AND(Data!$Q90="",Data!$R90&lt;&gt;""),1,0)</f>
        <v>0</v>
      </c>
      <c r="P90" s="32" t="n">
        <f aca="false">IF(AND(ISNUMBER(B90),B90=1,Coding!AF90=0,OR(Data!$I90&lt;&gt;"",Data!$J90&lt;&gt;"")),1,0)</f>
        <v>0</v>
      </c>
      <c r="Q90" s="32" t="n">
        <f aca="false">IF(H90="CHECK: suspect URL",1,0)</f>
        <v>0</v>
      </c>
      <c r="R90" s="32" t="n">
        <f aca="false">IF(AND(OR(Data!$K90="Considering",Data!$K90="Not planning"),OR(AND(ISNUMBER(F90),F90&gt;0),Data!$N90&lt;&gt;"")),1,0)</f>
        <v>0</v>
      </c>
      <c r="S90" s="32" t="n">
        <f aca="false">IF(Data!$F90="",1,0)</f>
        <v>0</v>
      </c>
      <c r="T90" s="32" t="n">
        <f aca="false">SUM(L90:S90)</f>
        <v>0</v>
      </c>
      <c r="U90" s="32" t="n">
        <f aca="false">IF(ISNUMBER(F90),F90-IF(ISNUMBER(SEARCH("Contribute funds",Data!$L90)),1,0),"")</f>
        <v>6</v>
      </c>
      <c r="V90" s="28" t="n">
        <f aca="false">IF(ISNUMBER(U90),MIN(U90,Parameters!$C$38)/Parameters!$C$38,"NA")</f>
        <v>1</v>
      </c>
    </row>
    <row r="91" customFormat="false" ht="15" hidden="false" customHeight="true" outlineLevel="0" collapsed="false">
      <c r="A91" s="15" t="str">
        <f aca="false">Data!$A91</f>
        <v>Pressbooks</v>
      </c>
      <c r="B91" s="28" t="n">
        <f aca="false">IFERROR(INDEX(Parameters!$C$25:$C$28,MATCH(Data!$G91,Parameters!$B$25:$B$28,0)),"NA")</f>
        <v>1</v>
      </c>
      <c r="C91" s="32" t="n">
        <f aca="false">IF(Coding!AF91=0,"",Coding!AF91)</f>
        <v>2</v>
      </c>
      <c r="D91" s="28" t="n">
        <f aca="false">IF(OR(C91="",C91=0),"NA",IF(AND(Parameters!$C$39=1,ISNUMBER(B91),B91&lt;=Parameters!$C$40),0,MIN(C91,Parameters!$C$37)/Parameters!$C$37))</f>
        <v>0.25</v>
      </c>
      <c r="E91" s="28" t="n">
        <f aca="false">IF(Data!$F91="","NA",IF(SUMPRODUCT((Parameters!$B$66:$B$70&lt;&gt;"")*ISNUMBER(SEARCH(Parameters!$B$66:$B$70,Data!$F91)))&gt;0,Parameters!$C$63,Parameters!$C$64))</f>
        <v>1</v>
      </c>
      <c r="F91" s="32" t="n">
        <f aca="false">IF(OR(Data!$L91="",Data!$L91="Not applicable"),"",LEN(Data!$L91)-LEN(SUBSTITUTE(Data!$L91,"|",""))+1-IF(ISNUMBER(SEARCH("Other",Data!$L91)),1,0)-IF(ISNUMBER(SEARCH("Not applicable",Data!$L91)),1,0)+IF(AND(ISNUMBER(SEARCH("Other",Data!$L91)),Data!$M91&lt;&gt;""),1,0))</f>
        <v>3</v>
      </c>
      <c r="G91" s="28" t="n">
        <f aca="false">IF(OR(F91="",F91=0),"NA",MIN(F91,Parameters!$C$38)/Parameters!$C$38)</f>
        <v>0.5</v>
      </c>
      <c r="H91" s="15" t="str">
        <f aca="false">IF(Data!$N91="","Blank",IF(SUMPRODUCT((Parameters!$B$49:$B$53&lt;&gt;"")*ISNUMBER(SEARCH(Parameters!$B$49:$B$53,Data!$N91)))&gt;0,"CHECK: suspect URL",IF(ISNUMBER(SEARCH(Parameters!$C$46,Data!$N91)),"Contribution guide","Other page")))</f>
        <v>Blank</v>
      </c>
      <c r="I91" s="28" t="str">
        <f aca="false">IF(H91="Contribution guide",Parameters!$C$44,IF(H91="Other page",Parameters!$C$45,"NA"))</f>
        <v>NA</v>
      </c>
      <c r="J91" s="28" t="n">
        <f aca="false">IFERROR(INDEX(Parameters!$C$25:$C$28,MATCH(Data!$O91,Parameters!$B$25:$B$28,0)),"NA")</f>
        <v>0.33</v>
      </c>
      <c r="K91" s="28" t="str">
        <f aca="false">IFERROR(INDEX(Parameters!$C$32:$C$34,MATCH(Data!$Q91,Parameters!$B$32:$B$34,0)),"NA")</f>
        <v>NA</v>
      </c>
      <c r="L91" s="32" t="n">
        <f aca="false">IF(AND(Coding!AF91&gt;0,ISNUMBER(B91),B91&lt;=Parameters!$C$40),1,0)</f>
        <v>0</v>
      </c>
      <c r="M91" s="32" t="n">
        <f aca="false">IF(AND(Data!$P91&lt;&gt;"",NOT(AND(ISNUMBER(J91),J91=1))),1,0)</f>
        <v>0</v>
      </c>
      <c r="N91" s="32" t="n">
        <f aca="false">IF(AND(Data!$Q91="Formal",Data!$R91=""),1,0)</f>
        <v>0</v>
      </c>
      <c r="O91" s="32" t="n">
        <f aca="false">IF(AND(Data!$Q91="",Data!$R91&lt;&gt;""),1,0)</f>
        <v>0</v>
      </c>
      <c r="P91" s="32" t="n">
        <f aca="false">IF(AND(ISNUMBER(B91),B91=1,Coding!AF91=0,OR(Data!$I91&lt;&gt;"",Data!$J91&lt;&gt;"")),1,0)</f>
        <v>0</v>
      </c>
      <c r="Q91" s="32" t="n">
        <f aca="false">IF(H91="CHECK: suspect URL",1,0)</f>
        <v>0</v>
      </c>
      <c r="R91" s="32" t="n">
        <f aca="false">IF(AND(OR(Data!$K91="Considering",Data!$K91="Not planning"),OR(AND(ISNUMBER(F91),F91&gt;0),Data!$N91&lt;&gt;"")),1,0)</f>
        <v>0</v>
      </c>
      <c r="S91" s="32" t="n">
        <f aca="false">IF(Data!$F91="",1,0)</f>
        <v>0</v>
      </c>
      <c r="T91" s="32" t="n">
        <f aca="false">SUM(L91:S91)</f>
        <v>0</v>
      </c>
      <c r="U91" s="32" t="n">
        <f aca="false">IF(ISNUMBER(F91),F91-IF(ISNUMBER(SEARCH("Contribute funds",Data!$L91)),1,0),"")</f>
        <v>3</v>
      </c>
      <c r="V91" s="28" t="n">
        <f aca="false">IF(ISNUMBER(U91),MIN(U91,Parameters!$C$38)/Parameters!$C$38,"NA")</f>
        <v>0.5</v>
      </c>
    </row>
    <row r="92" customFormat="false" ht="15" hidden="false" customHeight="true" outlineLevel="0" collapsed="false">
      <c r="A92" s="15" t="str">
        <f aca="false">Data!$A92</f>
        <v>Public Access Submission System</v>
      </c>
      <c r="B92" s="28" t="n">
        <f aca="false">IFERROR(INDEX(Parameters!$C$25:$C$28,MATCH(Data!$G92,Parameters!$B$25:$B$28,0)),"NA")</f>
        <v>0.67</v>
      </c>
      <c r="C92" s="32" t="str">
        <f aca="false">IF(Coding!AF92=0,"",Coding!AF92)</f>
        <v/>
      </c>
      <c r="D92" s="28" t="str">
        <f aca="false">IF(OR(C92="",C92=0),"NA",IF(AND(Parameters!$C$39=1,ISNUMBER(B92),B92&lt;=Parameters!$C$40),0,MIN(C92,Parameters!$C$37)/Parameters!$C$37))</f>
        <v>NA</v>
      </c>
      <c r="E92" s="28" t="n">
        <f aca="false">IF(Data!$F92="","NA",IF(SUMPRODUCT((Parameters!$B$66:$B$70&lt;&gt;"")*ISNUMBER(SEARCH(Parameters!$B$66:$B$70,Data!$F92)))&gt;0,Parameters!$C$63,Parameters!$C$64))</f>
        <v>1</v>
      </c>
      <c r="F92" s="32" t="n">
        <f aca="false">IF(OR(Data!$L92="",Data!$L92="Not applicable"),"",LEN(Data!$L92)-LEN(SUBSTITUTE(Data!$L92,"|",""))+1-IF(ISNUMBER(SEARCH("Other",Data!$L92)),1,0)-IF(ISNUMBER(SEARCH("Not applicable",Data!$L92)),1,0)+IF(AND(ISNUMBER(SEARCH("Other",Data!$L92)),Data!$M92&lt;&gt;""),1,0))</f>
        <v>4</v>
      </c>
      <c r="G92" s="28" t="n">
        <f aca="false">IF(OR(F92="",F92=0),"NA",MIN(F92,Parameters!$C$38)/Parameters!$C$38)</f>
        <v>0.666666666666667</v>
      </c>
      <c r="H92" s="15" t="str">
        <f aca="false">IF(Data!$N92="","Blank",IF(SUMPRODUCT((Parameters!$B$49:$B$53&lt;&gt;"")*ISNUMBER(SEARCH(Parameters!$B$49:$B$53,Data!$N92)))&gt;0,"CHECK: suspect URL",IF(ISNUMBER(SEARCH(Parameters!$C$46,Data!$N92)),"Contribution guide","Other page")))</f>
        <v>Contribution guide</v>
      </c>
      <c r="I92" s="28" t="n">
        <f aca="false">IF(H92="Contribution guide",Parameters!$C$44,IF(H92="Other page",Parameters!$C$45,"NA"))</f>
        <v>1</v>
      </c>
      <c r="J92" s="28" t="n">
        <f aca="false">IFERROR(INDEX(Parameters!$C$25:$C$28,MATCH(Data!$O92,Parameters!$B$25:$B$28,0)),"NA")</f>
        <v>1</v>
      </c>
      <c r="K92" s="28" t="n">
        <f aca="false">IFERROR(INDEX(Parameters!$C$32:$C$34,MATCH(Data!$Q92,Parameters!$B$32:$B$34,0)),"NA")</f>
        <v>1</v>
      </c>
      <c r="L92" s="32" t="n">
        <f aca="false">IF(AND(Coding!AF92&gt;0,ISNUMBER(B92),B92&lt;=Parameters!$C$40),1,0)</f>
        <v>0</v>
      </c>
      <c r="M92" s="32" t="n">
        <f aca="false">IF(AND(Data!$P92&lt;&gt;"",NOT(AND(ISNUMBER(J92),J92=1))),1,0)</f>
        <v>0</v>
      </c>
      <c r="N92" s="32" t="n">
        <f aca="false">IF(AND(Data!$Q92="Formal",Data!$R92=""),1,0)</f>
        <v>0</v>
      </c>
      <c r="O92" s="32" t="n">
        <f aca="false">IF(AND(Data!$Q92="",Data!$R92&lt;&gt;""),1,0)</f>
        <v>0</v>
      </c>
      <c r="P92" s="32" t="n">
        <f aca="false">IF(AND(ISNUMBER(B92),B92=1,Coding!AF92=0,OR(Data!$I92&lt;&gt;"",Data!$J92&lt;&gt;"")),1,0)</f>
        <v>0</v>
      </c>
      <c r="Q92" s="32" t="n">
        <f aca="false">IF(H92="CHECK: suspect URL",1,0)</f>
        <v>0</v>
      </c>
      <c r="R92" s="32" t="n">
        <f aca="false">IF(AND(OR(Data!$K92="Considering",Data!$K92="Not planning"),OR(AND(ISNUMBER(F92),F92&gt;0),Data!$N92&lt;&gt;"")),1,0)</f>
        <v>0</v>
      </c>
      <c r="S92" s="32" t="n">
        <f aca="false">IF(Data!$F92="",1,0)</f>
        <v>0</v>
      </c>
      <c r="T92" s="32" t="n">
        <f aca="false">SUM(L92:S92)</f>
        <v>0</v>
      </c>
      <c r="U92" s="32" t="n">
        <f aca="false">IF(ISNUMBER(F92),F92-IF(ISNUMBER(SEARCH("Contribute funds",Data!$L92)),1,0),"")</f>
        <v>3</v>
      </c>
      <c r="V92" s="28" t="n">
        <f aca="false">IF(ISNUMBER(U92),MIN(U92,Parameters!$C$38)/Parameters!$C$38,"NA")</f>
        <v>0.5</v>
      </c>
    </row>
    <row r="93" customFormat="false" ht="15" hidden="false" customHeight="true" outlineLevel="0" collapsed="false">
      <c r="A93" s="15" t="str">
        <f aca="false">Data!$A93</f>
        <v>Public Utility Data Liberation (PUDL)</v>
      </c>
      <c r="B93" s="28" t="n">
        <f aca="false">IFERROR(INDEX(Parameters!$C$25:$C$28,MATCH(Data!$G93,Parameters!$B$25:$B$28,0)),"NA")</f>
        <v>1</v>
      </c>
      <c r="C93" s="32" t="n">
        <f aca="false">IF(Coding!AF93=0,"",Coding!AF93)</f>
        <v>8</v>
      </c>
      <c r="D93" s="28" t="n">
        <f aca="false">IF(OR(C93="",C93=0),"NA",IF(AND(Parameters!$C$39=1,ISNUMBER(B93),B93&lt;=Parameters!$C$40),0,MIN(C93,Parameters!$C$37)/Parameters!$C$37))</f>
        <v>1</v>
      </c>
      <c r="E93" s="28" t="n">
        <f aca="false">IF(Data!$F93="","NA",IF(SUMPRODUCT((Parameters!$B$66:$B$70&lt;&gt;"")*ISNUMBER(SEARCH(Parameters!$B$66:$B$70,Data!$F93)))&gt;0,Parameters!$C$63,Parameters!$C$64))</f>
        <v>1</v>
      </c>
      <c r="F93" s="32" t="str">
        <f aca="false">IF(OR(Data!$L93="",Data!$L93="Not applicable"),"",LEN(Data!$L93)-LEN(SUBSTITUTE(Data!$L93,"|",""))+1-IF(ISNUMBER(SEARCH("Other",Data!$L93)),1,0)-IF(ISNUMBER(SEARCH("Not applicable",Data!$L93)),1,0)+IF(AND(ISNUMBER(SEARCH("Other",Data!$L93)),Data!$M93&lt;&gt;""),1,0))</f>
        <v/>
      </c>
      <c r="G93" s="28" t="str">
        <f aca="false">IF(OR(F93="",F93=0),"NA",MIN(F93,Parameters!$C$38)/Parameters!$C$38)</f>
        <v>NA</v>
      </c>
      <c r="H93" s="15" t="str">
        <f aca="false">IF(Data!$N93="","Blank",IF(SUMPRODUCT((Parameters!$B$49:$B$53&lt;&gt;"")*ISNUMBER(SEARCH(Parameters!$B$49:$B$53,Data!$N93)))&gt;0,"CHECK: suspect URL",IF(ISNUMBER(SEARCH(Parameters!$C$46,Data!$N93)),"Contribution guide","Other page")))</f>
        <v>Contribution guide</v>
      </c>
      <c r="I93" s="28" t="n">
        <f aca="false">IF(H93="Contribution guide",Parameters!$C$44,IF(H93="Other page",Parameters!$C$45,"NA"))</f>
        <v>1</v>
      </c>
      <c r="J93" s="28" t="n">
        <f aca="false">IFERROR(INDEX(Parameters!$C$25:$C$28,MATCH(Data!$O93,Parameters!$B$25:$B$28,0)),"NA")</f>
        <v>1</v>
      </c>
      <c r="K93" s="28" t="n">
        <f aca="false">IFERROR(INDEX(Parameters!$C$32:$C$34,MATCH(Data!$Q93,Parameters!$B$32:$B$34,0)),"NA")</f>
        <v>0.5</v>
      </c>
      <c r="L93" s="32" t="n">
        <f aca="false">IF(AND(Coding!AF93&gt;0,ISNUMBER(B93),B93&lt;=Parameters!$C$40),1,0)</f>
        <v>0</v>
      </c>
      <c r="M93" s="32" t="n">
        <f aca="false">IF(AND(Data!$P93&lt;&gt;"",NOT(AND(ISNUMBER(J93),J93=1))),1,0)</f>
        <v>0</v>
      </c>
      <c r="N93" s="32" t="n">
        <f aca="false">IF(AND(Data!$Q93="Formal",Data!$R93=""),1,0)</f>
        <v>0</v>
      </c>
      <c r="O93" s="32" t="n">
        <f aca="false">IF(AND(Data!$Q93="",Data!$R93&lt;&gt;""),1,0)</f>
        <v>0</v>
      </c>
      <c r="P93" s="32" t="n">
        <f aca="false">IF(AND(ISNUMBER(B93),B93=1,Coding!AF93=0,OR(Data!$I93&lt;&gt;"",Data!$J93&lt;&gt;"")),1,0)</f>
        <v>0</v>
      </c>
      <c r="Q93" s="32" t="n">
        <f aca="false">IF(H93="CHECK: suspect URL",1,0)</f>
        <v>0</v>
      </c>
      <c r="R93" s="32" t="n">
        <f aca="false">IF(AND(OR(Data!$K93="Considering",Data!$K93="Not planning"),OR(AND(ISNUMBER(F93),F93&gt;0),Data!$N93&lt;&gt;"")),1,0)</f>
        <v>0</v>
      </c>
      <c r="S93" s="32" t="n">
        <f aca="false">IF(Data!$F93="",1,0)</f>
        <v>0</v>
      </c>
      <c r="T93" s="32" t="n">
        <f aca="false">SUM(L93:S93)</f>
        <v>0</v>
      </c>
      <c r="U93" s="32" t="str">
        <f aca="false">IF(ISNUMBER(F93),F93-IF(ISNUMBER(SEARCH("Contribute funds",Data!$L93)),1,0),"")</f>
        <v/>
      </c>
      <c r="V93" s="28" t="str">
        <f aca="false">IF(ISNUMBER(U93),MIN(U93,Parameters!$C$38)/Parameters!$C$38,"NA")</f>
        <v>NA</v>
      </c>
    </row>
    <row r="94" customFormat="false" ht="15" hidden="false" customHeight="true" outlineLevel="0" collapsed="false">
      <c r="A94" s="15" t="str">
        <f aca="false">Data!$A94</f>
        <v>PubPub</v>
      </c>
      <c r="B94" s="28" t="n">
        <f aca="false">IFERROR(INDEX(Parameters!$C$25:$C$28,MATCH(Data!$G94,Parameters!$B$25:$B$28,0)),"NA")</f>
        <v>1</v>
      </c>
      <c r="C94" s="32" t="n">
        <f aca="false">IF(Coding!AF94=0,"",Coding!AF94)</f>
        <v>2</v>
      </c>
      <c r="D94" s="28" t="n">
        <f aca="false">IF(OR(C94="",C94=0),"NA",IF(AND(Parameters!$C$39=1,ISNUMBER(B94),B94&lt;=Parameters!$C$40),0,MIN(C94,Parameters!$C$37)/Parameters!$C$37))</f>
        <v>0.25</v>
      </c>
      <c r="E94" s="28" t="n">
        <f aca="false">IF(Data!$F94="","NA",IF(SUMPRODUCT((Parameters!$B$66:$B$70&lt;&gt;"")*ISNUMBER(SEARCH(Parameters!$B$66:$B$70,Data!$F94)))&gt;0,Parameters!$C$63,Parameters!$C$64))</f>
        <v>1</v>
      </c>
      <c r="F94" s="32" t="n">
        <f aca="false">IF(OR(Data!$L94="",Data!$L94="Not applicable"),"",LEN(Data!$L94)-LEN(SUBSTITUTE(Data!$L94,"|",""))+1-IF(ISNUMBER(SEARCH("Other",Data!$L94)),1,0)-IF(ISNUMBER(SEARCH("Not applicable",Data!$L94)),1,0)+IF(AND(ISNUMBER(SEARCH("Other",Data!$L94)),Data!$M94&lt;&gt;""),1,0))</f>
        <v>4</v>
      </c>
      <c r="G94" s="28" t="n">
        <f aca="false">IF(OR(F94="",F94=0),"NA",MIN(F94,Parameters!$C$38)/Parameters!$C$38)</f>
        <v>0.666666666666667</v>
      </c>
      <c r="H94" s="15" t="str">
        <f aca="false">IF(Data!$N94="","Blank",IF(SUMPRODUCT((Parameters!$B$49:$B$53&lt;&gt;"")*ISNUMBER(SEARCH(Parameters!$B$49:$B$53,Data!$N94)))&gt;0,"CHECK: suspect URL",IF(ISNUMBER(SEARCH(Parameters!$C$46,Data!$N94)),"Contribution guide","Other page")))</f>
        <v>Other page</v>
      </c>
      <c r="I94" s="28" t="n">
        <f aca="false">IF(H94="Contribution guide",Parameters!$C$44,IF(H94="Other page",Parameters!$C$45,"NA"))</f>
        <v>0.5</v>
      </c>
      <c r="J94" s="28" t="n">
        <f aca="false">IFERROR(INDEX(Parameters!$C$25:$C$28,MATCH(Data!$O94,Parameters!$B$25:$B$28,0)),"NA")</f>
        <v>1</v>
      </c>
      <c r="K94" s="28" t="n">
        <f aca="false">IFERROR(INDEX(Parameters!$C$32:$C$34,MATCH(Data!$Q94,Parameters!$B$32:$B$34,0)),"NA")</f>
        <v>0.5</v>
      </c>
      <c r="L94" s="32" t="n">
        <f aca="false">IF(AND(Coding!AF94&gt;0,ISNUMBER(B94),B94&lt;=Parameters!$C$40),1,0)</f>
        <v>0</v>
      </c>
      <c r="M94" s="32" t="n">
        <f aca="false">IF(AND(Data!$P94&lt;&gt;"",NOT(AND(ISNUMBER(J94),J94=1))),1,0)</f>
        <v>0</v>
      </c>
      <c r="N94" s="32" t="n">
        <f aca="false">IF(AND(Data!$Q94="Formal",Data!$R94=""),1,0)</f>
        <v>0</v>
      </c>
      <c r="O94" s="32" t="n">
        <f aca="false">IF(AND(Data!$Q94="",Data!$R94&lt;&gt;""),1,0)</f>
        <v>0</v>
      </c>
      <c r="P94" s="32" t="n">
        <f aca="false">IF(AND(ISNUMBER(B94),B94=1,Coding!AF94=0,OR(Data!$I94&lt;&gt;"",Data!$J94&lt;&gt;"")),1,0)</f>
        <v>0</v>
      </c>
      <c r="Q94" s="32" t="n">
        <f aca="false">IF(H94="CHECK: suspect URL",1,0)</f>
        <v>0</v>
      </c>
      <c r="R94" s="32" t="n">
        <f aca="false">IF(AND(OR(Data!$K94="Considering",Data!$K94="Not planning"),OR(AND(ISNUMBER(F94),F94&gt;0),Data!$N94&lt;&gt;"")),1,0)</f>
        <v>0</v>
      </c>
      <c r="S94" s="32" t="n">
        <f aca="false">IF(Data!$F94="",1,0)</f>
        <v>0</v>
      </c>
      <c r="T94" s="32" t="n">
        <f aca="false">SUM(L94:S94)</f>
        <v>0</v>
      </c>
      <c r="U94" s="32" t="n">
        <f aca="false">IF(ISNUMBER(F94),F94-IF(ISNUMBER(SEARCH("Contribute funds",Data!$L94)),1,0),"")</f>
        <v>3</v>
      </c>
      <c r="V94" s="28" t="n">
        <f aca="false">IF(ISNUMBER(U94),MIN(U94,Parameters!$C$38)/Parameters!$C$38,"NA")</f>
        <v>0.5</v>
      </c>
    </row>
    <row r="95" customFormat="false" ht="15" hidden="false" customHeight="true" outlineLevel="0" collapsed="false">
      <c r="A95" s="15" t="str">
        <f aca="false">Data!$A95</f>
        <v>Pundit</v>
      </c>
      <c r="B95" s="28" t="n">
        <f aca="false">IFERROR(INDEX(Parameters!$C$25:$C$28,MATCH(Data!$G95,Parameters!$B$25:$B$28,0)),"NA")</f>
        <v>0.33</v>
      </c>
      <c r="C95" s="32" t="n">
        <f aca="false">IF(Coding!AF95=0,"",Coding!AF95)</f>
        <v>3</v>
      </c>
      <c r="D95" s="28" t="n">
        <f aca="false">IF(OR(C95="",C95=0),"NA",IF(AND(Parameters!$C$39=1,ISNUMBER(B95),B95&lt;=Parameters!$C$40),0,MIN(C95,Parameters!$C$37)/Parameters!$C$37))</f>
        <v>0</v>
      </c>
      <c r="E95" s="28" t="n">
        <f aca="false">IF(Data!$F95="","NA",IF(SUMPRODUCT((Parameters!$B$66:$B$70&lt;&gt;"")*ISNUMBER(SEARCH(Parameters!$B$66:$B$70,Data!$F95)))&gt;0,Parameters!$C$63,Parameters!$C$64))</f>
        <v>1</v>
      </c>
      <c r="F95" s="32" t="n">
        <f aca="false">IF(OR(Data!$L95="",Data!$L95="Not applicable"),"",LEN(Data!$L95)-LEN(SUBSTITUTE(Data!$L95,"|",""))+1-IF(ISNUMBER(SEARCH("Other",Data!$L95)),1,0)-IF(ISNUMBER(SEARCH("Not applicable",Data!$L95)),1,0)+IF(AND(ISNUMBER(SEARCH("Other",Data!$L95)),Data!$M95&lt;&gt;""),1,0))</f>
        <v>7</v>
      </c>
      <c r="G95" s="28" t="n">
        <f aca="false">IF(OR(F95="",F95=0),"NA",MIN(F95,Parameters!$C$38)/Parameters!$C$38)</f>
        <v>1</v>
      </c>
      <c r="H95" s="15" t="str">
        <f aca="false">IF(Data!$N95="","Blank",IF(SUMPRODUCT((Parameters!$B$49:$B$53&lt;&gt;"")*ISNUMBER(SEARCH(Parameters!$B$49:$B$53,Data!$N95)))&gt;0,"CHECK: suspect URL",IF(ISNUMBER(SEARCH(Parameters!$C$46,Data!$N95)),"Contribution guide","Other page")))</f>
        <v>Blank</v>
      </c>
      <c r="I95" s="28" t="str">
        <f aca="false">IF(H95="Contribution guide",Parameters!$C$44,IF(H95="Other page",Parameters!$C$45,"NA"))</f>
        <v>NA</v>
      </c>
      <c r="J95" s="28" t="n">
        <f aca="false">IFERROR(INDEX(Parameters!$C$25:$C$28,MATCH(Data!$O95,Parameters!$B$25:$B$28,0)),"NA")</f>
        <v>0</v>
      </c>
      <c r="K95" s="28" t="str">
        <f aca="false">IFERROR(INDEX(Parameters!$C$32:$C$34,MATCH(Data!$Q95,Parameters!$B$32:$B$34,0)),"NA")</f>
        <v>NA</v>
      </c>
      <c r="L95" s="32" t="n">
        <f aca="false">IF(AND(Coding!AF95&gt;0,ISNUMBER(B95),B95&lt;=Parameters!$C$40),1,0)</f>
        <v>1</v>
      </c>
      <c r="M95" s="32" t="n">
        <f aca="false">IF(AND(Data!$P95&lt;&gt;"",NOT(AND(ISNUMBER(J95),J95=1))),1,0)</f>
        <v>0</v>
      </c>
      <c r="N95" s="32" t="n">
        <f aca="false">IF(AND(Data!$Q95="Formal",Data!$R95=""),1,0)</f>
        <v>0</v>
      </c>
      <c r="O95" s="32" t="n">
        <f aca="false">IF(AND(Data!$Q95="",Data!$R95&lt;&gt;""),1,0)</f>
        <v>0</v>
      </c>
      <c r="P95" s="32" t="n">
        <f aca="false">IF(AND(ISNUMBER(B95),B95=1,Coding!AF95=0,OR(Data!$I95&lt;&gt;"",Data!$J95&lt;&gt;"")),1,0)</f>
        <v>0</v>
      </c>
      <c r="Q95" s="32" t="n">
        <f aca="false">IF(H95="CHECK: suspect URL",1,0)</f>
        <v>0</v>
      </c>
      <c r="R95" s="32" t="n">
        <f aca="false">IF(AND(OR(Data!$K95="Considering",Data!$K95="Not planning"),OR(AND(ISNUMBER(F95),F95&gt;0),Data!$N95&lt;&gt;"")),1,0)</f>
        <v>0</v>
      </c>
      <c r="S95" s="32" t="n">
        <f aca="false">IF(Data!$F95="",1,0)</f>
        <v>0</v>
      </c>
      <c r="T95" s="32" t="n">
        <f aca="false">SUM(L95:S95)</f>
        <v>1</v>
      </c>
      <c r="U95" s="32" t="n">
        <f aca="false">IF(ISNUMBER(F95),F95-IF(ISNUMBER(SEARCH("Contribute funds",Data!$L95)),1,0),"")</f>
        <v>6</v>
      </c>
      <c r="V95" s="28" t="n">
        <f aca="false">IF(ISNUMBER(U95),MIN(U95,Parameters!$C$38)/Parameters!$C$38,"NA")</f>
        <v>1</v>
      </c>
    </row>
    <row r="96" customFormat="false" ht="15" hidden="false" customHeight="true" outlineLevel="0" collapsed="false">
      <c r="A96" s="15" t="str">
        <f aca="false">Data!$A96</f>
        <v>pyOpenSci</v>
      </c>
      <c r="B96" s="28" t="n">
        <f aca="false">IFERROR(INDEX(Parameters!$C$25:$C$28,MATCH(Data!$G96,Parameters!$B$25:$B$28,0)),"NA")</f>
        <v>0.67</v>
      </c>
      <c r="C96" s="32" t="str">
        <f aca="false">IF(Coding!AF96=0,"",Coding!AF96)</f>
        <v/>
      </c>
      <c r="D96" s="28" t="str">
        <f aca="false">IF(OR(C96="",C96=0),"NA",IF(AND(Parameters!$C$39=1,ISNUMBER(B96),B96&lt;=Parameters!$C$40),0,MIN(C96,Parameters!$C$37)/Parameters!$C$37))</f>
        <v>NA</v>
      </c>
      <c r="E96" s="28" t="n">
        <f aca="false">IF(Data!$F96="","NA",IF(SUMPRODUCT((Parameters!$B$66:$B$70&lt;&gt;"")*ISNUMBER(SEARCH(Parameters!$B$66:$B$70,Data!$F96)))&gt;0,Parameters!$C$63,Parameters!$C$64))</f>
        <v>1</v>
      </c>
      <c r="F96" s="32" t="str">
        <f aca="false">IF(OR(Data!$L96="",Data!$L96="Not applicable"),"",LEN(Data!$L96)-LEN(SUBSTITUTE(Data!$L96,"|",""))+1-IF(ISNUMBER(SEARCH("Other",Data!$L96)),1,0)-IF(ISNUMBER(SEARCH("Not applicable",Data!$L96)),1,0)+IF(AND(ISNUMBER(SEARCH("Other",Data!$L96)),Data!$M96&lt;&gt;""),1,0))</f>
        <v/>
      </c>
      <c r="G96" s="28" t="str">
        <f aca="false">IF(OR(F96="",F96=0),"NA",MIN(F96,Parameters!$C$38)/Parameters!$C$38)</f>
        <v>NA</v>
      </c>
      <c r="H96" s="15" t="str">
        <f aca="false">IF(Data!$N96="","Blank",IF(SUMPRODUCT((Parameters!$B$49:$B$53&lt;&gt;"")*ISNUMBER(SEARCH(Parameters!$B$49:$B$53,Data!$N96)))&gt;0,"CHECK: suspect URL",IF(ISNUMBER(SEARCH(Parameters!$C$46,Data!$N96)),"Contribution guide","Other page")))</f>
        <v>Contribution guide</v>
      </c>
      <c r="I96" s="28" t="n">
        <f aca="false">IF(H96="Contribution guide",Parameters!$C$44,IF(H96="Other page",Parameters!$C$45,"NA"))</f>
        <v>1</v>
      </c>
      <c r="J96" s="28" t="n">
        <f aca="false">IFERROR(INDEX(Parameters!$C$25:$C$28,MATCH(Data!$O96,Parameters!$B$25:$B$28,0)),"NA")</f>
        <v>1</v>
      </c>
      <c r="K96" s="28" t="n">
        <f aca="false">IFERROR(INDEX(Parameters!$C$32:$C$34,MATCH(Data!$Q96,Parameters!$B$32:$B$34,0)),"NA")</f>
        <v>0.5</v>
      </c>
      <c r="L96" s="32" t="n">
        <f aca="false">IF(AND(Coding!AF96&gt;0,ISNUMBER(B96),B96&lt;=Parameters!$C$40),1,0)</f>
        <v>0</v>
      </c>
      <c r="M96" s="32" t="n">
        <f aca="false">IF(AND(Data!$P96&lt;&gt;"",NOT(AND(ISNUMBER(J96),J96=1))),1,0)</f>
        <v>0</v>
      </c>
      <c r="N96" s="32" t="n">
        <f aca="false">IF(AND(Data!$Q96="Formal",Data!$R96=""),1,0)</f>
        <v>0</v>
      </c>
      <c r="O96" s="32" t="n">
        <f aca="false">IF(AND(Data!$Q96="",Data!$R96&lt;&gt;""),1,0)</f>
        <v>0</v>
      </c>
      <c r="P96" s="32" t="n">
        <f aca="false">IF(AND(ISNUMBER(B96),B96=1,Coding!AF96=0,OR(Data!$I96&lt;&gt;"",Data!$J96&lt;&gt;"")),1,0)</f>
        <v>0</v>
      </c>
      <c r="Q96" s="32" t="n">
        <f aca="false">IF(H96="CHECK: suspect URL",1,0)</f>
        <v>0</v>
      </c>
      <c r="R96" s="32" t="n">
        <f aca="false">IF(AND(OR(Data!$K96="Considering",Data!$K96="Not planning"),OR(AND(ISNUMBER(F96),F96&gt;0),Data!$N96&lt;&gt;"")),1,0)</f>
        <v>0</v>
      </c>
      <c r="S96" s="32" t="n">
        <f aca="false">IF(Data!$F96="",1,0)</f>
        <v>0</v>
      </c>
      <c r="T96" s="32" t="n">
        <f aca="false">SUM(L96:S96)</f>
        <v>0</v>
      </c>
      <c r="U96" s="32" t="str">
        <f aca="false">IF(ISNUMBER(F96),F96-IF(ISNUMBER(SEARCH("Contribute funds",Data!$L96)),1,0),"")</f>
        <v/>
      </c>
      <c r="V96" s="28" t="str">
        <f aca="false">IF(ISNUMBER(U96),MIN(U96,Parameters!$C$38)/Parameters!$C$38,"NA")</f>
        <v>NA</v>
      </c>
    </row>
    <row r="97" customFormat="false" ht="15" hidden="false" customHeight="true" outlineLevel="0" collapsed="false">
      <c r="A97" s="15" t="str">
        <f aca="false">Data!$A97</f>
        <v>Renku</v>
      </c>
      <c r="B97" s="28" t="n">
        <f aca="false">IFERROR(INDEX(Parameters!$C$25:$C$28,MATCH(Data!$G97,Parameters!$B$25:$B$28,0)),"NA")</f>
        <v>1</v>
      </c>
      <c r="C97" s="32" t="n">
        <f aca="false">IF(Coding!AF97=0,"",Coding!AF97)</f>
        <v>7</v>
      </c>
      <c r="D97" s="28" t="n">
        <f aca="false">IF(OR(C97="",C97=0),"NA",IF(AND(Parameters!$C$39=1,ISNUMBER(B97),B97&lt;=Parameters!$C$40),0,MIN(C97,Parameters!$C$37)/Parameters!$C$37))</f>
        <v>0.875</v>
      </c>
      <c r="E97" s="28" t="n">
        <f aca="false">IF(Data!$F97="","NA",IF(SUMPRODUCT((Parameters!$B$66:$B$70&lt;&gt;"")*ISNUMBER(SEARCH(Parameters!$B$66:$B$70,Data!$F97)))&gt;0,Parameters!$C$63,Parameters!$C$64))</f>
        <v>1</v>
      </c>
      <c r="F97" s="32" t="n">
        <f aca="false">IF(OR(Data!$L97="",Data!$L97="Not applicable"),"",LEN(Data!$L97)-LEN(SUBSTITUTE(Data!$L97,"|",""))+1-IF(ISNUMBER(SEARCH("Other",Data!$L97)),1,0)-IF(ISNUMBER(SEARCH("Not applicable",Data!$L97)),1,0)+IF(AND(ISNUMBER(SEARCH("Other",Data!$L97)),Data!$M97&lt;&gt;""),1,0))</f>
        <v>4</v>
      </c>
      <c r="G97" s="28" t="n">
        <f aca="false">IF(OR(F97="",F97=0),"NA",MIN(F97,Parameters!$C$38)/Parameters!$C$38)</f>
        <v>0.666666666666667</v>
      </c>
      <c r="H97" s="15" t="str">
        <f aca="false">IF(Data!$N97="","Blank",IF(SUMPRODUCT((Parameters!$B$49:$B$53&lt;&gt;"")*ISNUMBER(SEARCH(Parameters!$B$49:$B$53,Data!$N97)))&gt;0,"CHECK: suspect URL",IF(ISNUMBER(SEARCH(Parameters!$C$46,Data!$N97)),"Contribution guide","Other page")))</f>
        <v>Contribution guide</v>
      </c>
      <c r="I97" s="28" t="n">
        <f aca="false">IF(H97="Contribution guide",Parameters!$C$44,IF(H97="Other page",Parameters!$C$45,"NA"))</f>
        <v>1</v>
      </c>
      <c r="J97" s="28" t="n">
        <f aca="false">IFERROR(INDEX(Parameters!$C$25:$C$28,MATCH(Data!$O97,Parameters!$B$25:$B$28,0)),"NA")</f>
        <v>0.33</v>
      </c>
      <c r="K97" s="28" t="str">
        <f aca="false">IFERROR(INDEX(Parameters!$C$32:$C$34,MATCH(Data!$Q97,Parameters!$B$32:$B$34,0)),"NA")</f>
        <v>NA</v>
      </c>
      <c r="L97" s="32" t="n">
        <f aca="false">IF(AND(Coding!AF97&gt;0,ISNUMBER(B97),B97&lt;=Parameters!$C$40),1,0)</f>
        <v>0</v>
      </c>
      <c r="M97" s="32" t="n">
        <f aca="false">IF(AND(Data!$P97&lt;&gt;"",NOT(AND(ISNUMBER(J97),J97=1))),1,0)</f>
        <v>0</v>
      </c>
      <c r="N97" s="32" t="n">
        <f aca="false">IF(AND(Data!$Q97="Formal",Data!$R97=""),1,0)</f>
        <v>0</v>
      </c>
      <c r="O97" s="32" t="n">
        <f aca="false">IF(AND(Data!$Q97="",Data!$R97&lt;&gt;""),1,0)</f>
        <v>0</v>
      </c>
      <c r="P97" s="32" t="n">
        <f aca="false">IF(AND(ISNUMBER(B97),B97=1,Coding!AF97=0,OR(Data!$I97&lt;&gt;"",Data!$J97&lt;&gt;"")),1,0)</f>
        <v>0</v>
      </c>
      <c r="Q97" s="32" t="n">
        <f aca="false">IF(H97="CHECK: suspect URL",1,0)</f>
        <v>0</v>
      </c>
      <c r="R97" s="32" t="n">
        <f aca="false">IF(AND(OR(Data!$K97="Considering",Data!$K97="Not planning"),OR(AND(ISNUMBER(F97),F97&gt;0),Data!$N97&lt;&gt;"")),1,0)</f>
        <v>0</v>
      </c>
      <c r="S97" s="32" t="n">
        <f aca="false">IF(Data!$F97="",1,0)</f>
        <v>0</v>
      </c>
      <c r="T97" s="32" t="n">
        <f aca="false">SUM(L97:S97)</f>
        <v>0</v>
      </c>
      <c r="U97" s="32" t="n">
        <f aca="false">IF(ISNUMBER(F97),F97-IF(ISNUMBER(SEARCH("Contribute funds",Data!$L97)),1,0),"")</f>
        <v>4</v>
      </c>
      <c r="V97" s="28" t="n">
        <f aca="false">IF(ISNUMBER(U97),MIN(U97,Parameters!$C$38)/Parameters!$C$38,"NA")</f>
        <v>0.666666666666667</v>
      </c>
    </row>
    <row r="98" customFormat="false" ht="15" hidden="false" customHeight="true" outlineLevel="0" collapsed="false">
      <c r="A98" s="15" t="str">
        <f aca="false">Data!$A98</f>
        <v>RePEc</v>
      </c>
      <c r="B98" s="28" t="n">
        <f aca="false">IFERROR(INDEX(Parameters!$C$25:$C$28,MATCH(Data!$G98,Parameters!$B$25:$B$28,0)),"NA")</f>
        <v>1</v>
      </c>
      <c r="C98" s="32" t="n">
        <f aca="false">IF(Coding!AF98=0,"",Coding!AF98)</f>
        <v>4</v>
      </c>
      <c r="D98" s="28" t="n">
        <f aca="false">IF(OR(C98="",C98=0),"NA",IF(AND(Parameters!$C$39=1,ISNUMBER(B98),B98&lt;=Parameters!$C$40),0,MIN(C98,Parameters!$C$37)/Parameters!$C$37))</f>
        <v>0.5</v>
      </c>
      <c r="E98" s="28" t="n">
        <f aca="false">IF(Data!$F98="","NA",IF(SUMPRODUCT((Parameters!$B$66:$B$70&lt;&gt;"")*ISNUMBER(SEARCH(Parameters!$B$66:$B$70,Data!$F98)))&gt;0,Parameters!$C$63,Parameters!$C$64))</f>
        <v>1</v>
      </c>
      <c r="F98" s="32" t="n">
        <f aca="false">IF(OR(Data!$L98="",Data!$L98="Not applicable"),"",LEN(Data!$L98)-LEN(SUBSTITUTE(Data!$L98,"|",""))+1-IF(ISNUMBER(SEARCH("Other",Data!$L98)),1,0)-IF(ISNUMBER(SEARCH("Not applicable",Data!$L98)),1,0)+IF(AND(ISNUMBER(SEARCH("Other",Data!$L98)),Data!$M98&lt;&gt;""),1,0))</f>
        <v>4</v>
      </c>
      <c r="G98" s="28" t="n">
        <f aca="false">IF(OR(F98="",F98=0),"NA",MIN(F98,Parameters!$C$38)/Parameters!$C$38)</f>
        <v>0.666666666666667</v>
      </c>
      <c r="H98" s="15" t="str">
        <f aca="false">IF(Data!$N98="","Blank",IF(SUMPRODUCT((Parameters!$B$49:$B$53&lt;&gt;"")*ISNUMBER(SEARCH(Parameters!$B$49:$B$53,Data!$N98)))&gt;0,"CHECK: suspect URL",IF(ISNUMBER(SEARCH(Parameters!$C$46,Data!$N98)),"Contribution guide","Other page")))</f>
        <v>Blank</v>
      </c>
      <c r="I98" s="28" t="str">
        <f aca="false">IF(H98="Contribution guide",Parameters!$C$44,IF(H98="Other page",Parameters!$C$45,"NA"))</f>
        <v>NA</v>
      </c>
      <c r="J98" s="28" t="n">
        <f aca="false">IFERROR(INDEX(Parameters!$C$25:$C$28,MATCH(Data!$O98,Parameters!$B$25:$B$28,0)),"NA")</f>
        <v>0</v>
      </c>
      <c r="K98" s="28" t="n">
        <f aca="false">IFERROR(INDEX(Parameters!$C$32:$C$34,MATCH(Data!$Q98,Parameters!$B$32:$B$34,0)),"NA")</f>
        <v>0.5</v>
      </c>
      <c r="L98" s="32" t="n">
        <f aca="false">IF(AND(Coding!AF98&gt;0,ISNUMBER(B98),B98&lt;=Parameters!$C$40),1,0)</f>
        <v>0</v>
      </c>
      <c r="M98" s="32" t="n">
        <f aca="false">IF(AND(Data!$P98&lt;&gt;"",NOT(AND(ISNUMBER(J98),J98=1))),1,0)</f>
        <v>0</v>
      </c>
      <c r="N98" s="32" t="n">
        <f aca="false">IF(AND(Data!$Q98="Formal",Data!$R98=""),1,0)</f>
        <v>0</v>
      </c>
      <c r="O98" s="32" t="n">
        <f aca="false">IF(AND(Data!$Q98="",Data!$R98&lt;&gt;""),1,0)</f>
        <v>0</v>
      </c>
      <c r="P98" s="32" t="n">
        <f aca="false">IF(AND(ISNUMBER(B98),B98=1,Coding!AF98=0,OR(Data!$I98&lt;&gt;"",Data!$J98&lt;&gt;"")),1,0)</f>
        <v>0</v>
      </c>
      <c r="Q98" s="32" t="n">
        <f aca="false">IF(H98="CHECK: suspect URL",1,0)</f>
        <v>0</v>
      </c>
      <c r="R98" s="32" t="n">
        <f aca="false">IF(AND(OR(Data!$K98="Considering",Data!$K98="Not planning"),OR(AND(ISNUMBER(F98),F98&gt;0),Data!$N98&lt;&gt;"")),1,0)</f>
        <v>0</v>
      </c>
      <c r="S98" s="32" t="n">
        <f aca="false">IF(Data!$F98="",1,0)</f>
        <v>0</v>
      </c>
      <c r="T98" s="32" t="n">
        <f aca="false">SUM(L98:S98)</f>
        <v>0</v>
      </c>
      <c r="U98" s="32" t="n">
        <f aca="false">IF(ISNUMBER(F98),F98-IF(ISNUMBER(SEARCH("Contribute funds",Data!$L98)),1,0),"")</f>
        <v>3</v>
      </c>
      <c r="V98" s="28" t="n">
        <f aca="false">IF(ISNUMBER(U98),MIN(U98,Parameters!$C$38)/Parameters!$C$38,"NA")</f>
        <v>0.5</v>
      </c>
    </row>
    <row r="99" customFormat="false" ht="15" hidden="false" customHeight="true" outlineLevel="0" collapsed="false">
      <c r="A99" s="15" t="str">
        <f aca="false">Data!$A99</f>
        <v>Research Organization Registry (ROR)</v>
      </c>
      <c r="B99" s="28" t="n">
        <f aca="false">IFERROR(INDEX(Parameters!$C$25:$C$28,MATCH(Data!$G99,Parameters!$B$25:$B$28,0)),"NA")</f>
        <v>1</v>
      </c>
      <c r="C99" s="32" t="n">
        <f aca="false">IF(Coding!AF99=0,"",Coding!AF99)</f>
        <v>10</v>
      </c>
      <c r="D99" s="28" t="n">
        <f aca="false">IF(OR(C99="",C99=0),"NA",IF(AND(Parameters!$C$39=1,ISNUMBER(B99),B99&lt;=Parameters!$C$40),0,MIN(C99,Parameters!$C$37)/Parameters!$C$37))</f>
        <v>1</v>
      </c>
      <c r="E99" s="28" t="n">
        <f aca="false">IF(Data!$F99="","NA",IF(SUMPRODUCT((Parameters!$B$66:$B$70&lt;&gt;"")*ISNUMBER(SEARCH(Parameters!$B$66:$B$70,Data!$F99)))&gt;0,Parameters!$C$63,Parameters!$C$64))</f>
        <v>1</v>
      </c>
      <c r="F99" s="32" t="n">
        <f aca="false">IF(OR(Data!$L99="",Data!$L99="Not applicable"),"",LEN(Data!$L99)-LEN(SUBSTITUTE(Data!$L99,"|",""))+1-IF(ISNUMBER(SEARCH("Other",Data!$L99)),1,0)-IF(ISNUMBER(SEARCH("Not applicable",Data!$L99)),1,0)+IF(AND(ISNUMBER(SEARCH("Other",Data!$L99)),Data!$M99&lt;&gt;""),1,0))</f>
        <v>5</v>
      </c>
      <c r="G99" s="28" t="n">
        <f aca="false">IF(OR(F99="",F99=0),"NA",MIN(F99,Parameters!$C$38)/Parameters!$C$38)</f>
        <v>0.833333333333333</v>
      </c>
      <c r="H99" s="15" t="str">
        <f aca="false">IF(Data!$N99="","Blank",IF(SUMPRODUCT((Parameters!$B$49:$B$53&lt;&gt;"")*ISNUMBER(SEARCH(Parameters!$B$49:$B$53,Data!$N99)))&gt;0,"CHECK: suspect URL",IF(ISNUMBER(SEARCH(Parameters!$C$46,Data!$N99)),"Contribution guide","Other page")))</f>
        <v>Other page</v>
      </c>
      <c r="I99" s="28" t="n">
        <f aca="false">IF(H99="Contribution guide",Parameters!$C$44,IF(H99="Other page",Parameters!$C$45,"NA"))</f>
        <v>0.5</v>
      </c>
      <c r="J99" s="28" t="n">
        <f aca="false">IFERROR(INDEX(Parameters!$C$25:$C$28,MATCH(Data!$O99,Parameters!$B$25:$B$28,0)),"NA")</f>
        <v>1</v>
      </c>
      <c r="K99" s="28" t="n">
        <f aca="false">IFERROR(INDEX(Parameters!$C$32:$C$34,MATCH(Data!$Q99,Parameters!$B$32:$B$34,0)),"NA")</f>
        <v>1</v>
      </c>
      <c r="L99" s="32" t="n">
        <f aca="false">IF(AND(Coding!AF99&gt;0,ISNUMBER(B99),B99&lt;=Parameters!$C$40),1,0)</f>
        <v>0</v>
      </c>
      <c r="M99" s="32" t="n">
        <f aca="false">IF(AND(Data!$P99&lt;&gt;"",NOT(AND(ISNUMBER(J99),J99=1))),1,0)</f>
        <v>0</v>
      </c>
      <c r="N99" s="32" t="n">
        <f aca="false">IF(AND(Data!$Q99="Formal",Data!$R99=""),1,0)</f>
        <v>0</v>
      </c>
      <c r="O99" s="32" t="n">
        <f aca="false">IF(AND(Data!$Q99="",Data!$R99&lt;&gt;""),1,0)</f>
        <v>0</v>
      </c>
      <c r="P99" s="32" t="n">
        <f aca="false">IF(AND(ISNUMBER(B99),B99=1,Coding!AF99=0,OR(Data!$I99&lt;&gt;"",Data!$J99&lt;&gt;"")),1,0)</f>
        <v>0</v>
      </c>
      <c r="Q99" s="32" t="n">
        <f aca="false">IF(H99="CHECK: suspect URL",1,0)</f>
        <v>0</v>
      </c>
      <c r="R99" s="32" t="n">
        <f aca="false">IF(AND(OR(Data!$K99="Considering",Data!$K99="Not planning"),OR(AND(ISNUMBER(F99),F99&gt;0),Data!$N99&lt;&gt;"")),1,0)</f>
        <v>0</v>
      </c>
      <c r="S99" s="32" t="n">
        <f aca="false">IF(Data!$F99="",1,0)</f>
        <v>0</v>
      </c>
      <c r="T99" s="32" t="n">
        <f aca="false">SUM(L99:S99)</f>
        <v>0</v>
      </c>
      <c r="U99" s="32" t="n">
        <f aca="false">IF(ISNUMBER(F99),F99-IF(ISNUMBER(SEARCH("Contribute funds",Data!$L99)),1,0),"")</f>
        <v>4</v>
      </c>
      <c r="V99" s="28" t="n">
        <f aca="false">IF(ISNUMBER(U99),MIN(U99,Parameters!$C$38)/Parameters!$C$38,"NA")</f>
        <v>0.666666666666667</v>
      </c>
    </row>
    <row r="100" customFormat="false" ht="15" hidden="false" customHeight="true" outlineLevel="0" collapsed="false">
      <c r="A100" s="15" t="str">
        <f aca="false">Data!$A100</f>
        <v>Rogue Scholar</v>
      </c>
      <c r="B100" s="28" t="n">
        <f aca="false">IFERROR(INDEX(Parameters!$C$25:$C$28,MATCH(Data!$G100,Parameters!$B$25:$B$28,0)),"NA")</f>
        <v>0.67</v>
      </c>
      <c r="C100" s="32" t="str">
        <f aca="false">IF(Coding!AF100=0,"",Coding!AF100)</f>
        <v/>
      </c>
      <c r="D100" s="28" t="str">
        <f aca="false">IF(OR(C100="",C100=0),"NA",IF(AND(Parameters!$C$39=1,ISNUMBER(B100),B100&lt;=Parameters!$C$40),0,MIN(C100,Parameters!$C$37)/Parameters!$C$37))</f>
        <v>NA</v>
      </c>
      <c r="E100" s="28" t="n">
        <f aca="false">IF(Data!$F100="","NA",IF(SUMPRODUCT((Parameters!$B$66:$B$70&lt;&gt;"")*ISNUMBER(SEARCH(Parameters!$B$66:$B$70,Data!$F100)))&gt;0,Parameters!$C$63,Parameters!$C$64))</f>
        <v>1</v>
      </c>
      <c r="F100" s="32" t="n">
        <f aca="false">IF(OR(Data!$L100="",Data!$L100="Not applicable"),"",LEN(Data!$L100)-LEN(SUBSTITUTE(Data!$L100,"|",""))+1-IF(ISNUMBER(SEARCH("Other",Data!$L100)),1,0)-IF(ISNUMBER(SEARCH("Not applicable",Data!$L100)),1,0)+IF(AND(ISNUMBER(SEARCH("Other",Data!$L100)),Data!$M100&lt;&gt;""),1,0))</f>
        <v>3</v>
      </c>
      <c r="G100" s="28" t="n">
        <f aca="false">IF(OR(F100="",F100=0),"NA",MIN(F100,Parameters!$C$38)/Parameters!$C$38)</f>
        <v>0.5</v>
      </c>
      <c r="H100" s="15" t="str">
        <f aca="false">IF(Data!$N100="","Blank",IF(SUMPRODUCT((Parameters!$B$49:$B$53&lt;&gt;"")*ISNUMBER(SEARCH(Parameters!$B$49:$B$53,Data!$N100)))&gt;0,"CHECK: suspect URL",IF(ISNUMBER(SEARCH(Parameters!$C$46,Data!$N100)),"Contribution guide","Other page")))</f>
        <v>CHECK: suspect URL</v>
      </c>
      <c r="I100" s="28" t="str">
        <f aca="false">IF(H100="Contribution guide",Parameters!$C$44,IF(H100="Other page",Parameters!$C$45,"NA"))</f>
        <v>NA</v>
      </c>
      <c r="J100" s="28" t="n">
        <f aca="false">IFERROR(INDEX(Parameters!$C$25:$C$28,MATCH(Data!$O100,Parameters!$B$25:$B$28,0)),"NA")</f>
        <v>0.33</v>
      </c>
      <c r="K100" s="28" t="n">
        <f aca="false">IFERROR(INDEX(Parameters!$C$32:$C$34,MATCH(Data!$Q100,Parameters!$B$32:$B$34,0)),"NA")</f>
        <v>0.5</v>
      </c>
      <c r="L100" s="32" t="n">
        <f aca="false">IF(AND(Coding!AF100&gt;0,ISNUMBER(B100),B100&lt;=Parameters!$C$40),1,0)</f>
        <v>0</v>
      </c>
      <c r="M100" s="32" t="n">
        <f aca="false">IF(AND(Data!$P100&lt;&gt;"",NOT(AND(ISNUMBER(J100),J100=1))),1,0)</f>
        <v>0</v>
      </c>
      <c r="N100" s="32" t="n">
        <f aca="false">IF(AND(Data!$Q100="Formal",Data!$R100=""),1,0)</f>
        <v>0</v>
      </c>
      <c r="O100" s="32" t="n">
        <f aca="false">IF(AND(Data!$Q100="",Data!$R100&lt;&gt;""),1,0)</f>
        <v>0</v>
      </c>
      <c r="P100" s="32" t="n">
        <f aca="false">IF(AND(ISNUMBER(B100),B100=1,Coding!AF100=0,OR(Data!$I100&lt;&gt;"",Data!$J100&lt;&gt;"")),1,0)</f>
        <v>0</v>
      </c>
      <c r="Q100" s="32" t="n">
        <f aca="false">IF(H100="CHECK: suspect URL",1,0)</f>
        <v>1</v>
      </c>
      <c r="R100" s="32" t="n">
        <f aca="false">IF(AND(OR(Data!$K100="Considering",Data!$K100="Not planning"),OR(AND(ISNUMBER(F100),F100&gt;0),Data!$N100&lt;&gt;"")),1,0)</f>
        <v>0</v>
      </c>
      <c r="S100" s="32" t="n">
        <f aca="false">IF(Data!$F100="",1,0)</f>
        <v>0</v>
      </c>
      <c r="T100" s="32" t="n">
        <f aca="false">SUM(L100:S100)</f>
        <v>1</v>
      </c>
      <c r="U100" s="32" t="n">
        <f aca="false">IF(ISNUMBER(F100),F100-IF(ISNUMBER(SEARCH("Contribute funds",Data!$L100)),1,0),"")</f>
        <v>2</v>
      </c>
      <c r="V100" s="28" t="n">
        <f aca="false">IF(ISNUMBER(U100),MIN(U100,Parameters!$C$38)/Parameters!$C$38,"NA")</f>
        <v>0.333333333333333</v>
      </c>
    </row>
    <row r="101" customFormat="false" ht="15" hidden="false" customHeight="true" outlineLevel="0" collapsed="false">
      <c r="A101" s="15" t="str">
        <f aca="false">Data!$A101</f>
        <v>RSpace</v>
      </c>
      <c r="B101" s="28" t="n">
        <f aca="false">IFERROR(INDEX(Parameters!$C$25:$C$28,MATCH(Data!$G101,Parameters!$B$25:$B$28,0)),"NA")</f>
        <v>1</v>
      </c>
      <c r="C101" s="32" t="n">
        <f aca="false">IF(Coding!AF101=0,"",Coding!AF101)</f>
        <v>6</v>
      </c>
      <c r="D101" s="28" t="n">
        <f aca="false">IF(OR(C101="",C101=0),"NA",IF(AND(Parameters!$C$39=1,ISNUMBER(B101),B101&lt;=Parameters!$C$40),0,MIN(C101,Parameters!$C$37)/Parameters!$C$37))</f>
        <v>0.75</v>
      </c>
      <c r="E101" s="28" t="n">
        <f aca="false">IF(Data!$F101="","NA",IF(SUMPRODUCT((Parameters!$B$66:$B$70&lt;&gt;"")*ISNUMBER(SEARCH(Parameters!$B$66:$B$70,Data!$F101)))&gt;0,Parameters!$C$63,Parameters!$C$64))</f>
        <v>1</v>
      </c>
      <c r="F101" s="32" t="n">
        <f aca="false">IF(OR(Data!$L101="",Data!$L101="Not applicable"),"",LEN(Data!$L101)-LEN(SUBSTITUTE(Data!$L101,"|",""))+1-IF(ISNUMBER(SEARCH("Other",Data!$L101)),1,0)-IF(ISNUMBER(SEARCH("Not applicable",Data!$L101)),1,0)+IF(AND(ISNUMBER(SEARCH("Other",Data!$L101)),Data!$M101&lt;&gt;""),1,0))</f>
        <v>2</v>
      </c>
      <c r="G101" s="28" t="n">
        <f aca="false">IF(OR(F101="",F101=0),"NA",MIN(F101,Parameters!$C$38)/Parameters!$C$38)</f>
        <v>0.333333333333333</v>
      </c>
      <c r="H101" s="15" t="str">
        <f aca="false">IF(Data!$N101="","Blank",IF(SUMPRODUCT((Parameters!$B$49:$B$53&lt;&gt;"")*ISNUMBER(SEARCH(Parameters!$B$49:$B$53,Data!$N101)))&gt;0,"CHECK: suspect URL",IF(ISNUMBER(SEARCH(Parameters!$C$46,Data!$N101)),"Contribution guide","Other page")))</f>
        <v>Other page</v>
      </c>
      <c r="I101" s="28" t="n">
        <f aca="false">IF(H101="Contribution guide",Parameters!$C$44,IF(H101="Other page",Parameters!$C$45,"NA"))</f>
        <v>0.5</v>
      </c>
      <c r="J101" s="28" t="n">
        <f aca="false">IFERROR(INDEX(Parameters!$C$25:$C$28,MATCH(Data!$O101,Parameters!$B$25:$B$28,0)),"NA")</f>
        <v>1</v>
      </c>
      <c r="K101" s="28" t="str">
        <f aca="false">IFERROR(INDEX(Parameters!$C$32:$C$34,MATCH(Data!$Q101,Parameters!$B$32:$B$34,0)),"NA")</f>
        <v>NA</v>
      </c>
      <c r="L101" s="32" t="n">
        <f aca="false">IF(AND(Coding!AF101&gt;0,ISNUMBER(B101),B101&lt;=Parameters!$C$40),1,0)</f>
        <v>0</v>
      </c>
      <c r="M101" s="32" t="n">
        <f aca="false">IF(AND(Data!$P101&lt;&gt;"",NOT(AND(ISNUMBER(J101),J101=1))),1,0)</f>
        <v>0</v>
      </c>
      <c r="N101" s="32" t="n">
        <f aca="false">IF(AND(Data!$Q101="Formal",Data!$R101=""),1,0)</f>
        <v>0</v>
      </c>
      <c r="O101" s="32" t="n">
        <f aca="false">IF(AND(Data!$Q101="",Data!$R101&lt;&gt;""),1,0)</f>
        <v>0</v>
      </c>
      <c r="P101" s="32" t="n">
        <f aca="false">IF(AND(ISNUMBER(B101),B101=1,Coding!AF101=0,OR(Data!$I101&lt;&gt;"",Data!$J101&lt;&gt;"")),1,0)</f>
        <v>0</v>
      </c>
      <c r="Q101" s="32" t="n">
        <f aca="false">IF(H101="CHECK: suspect URL",1,0)</f>
        <v>0</v>
      </c>
      <c r="R101" s="32" t="n">
        <f aca="false">IF(AND(OR(Data!$K101="Considering",Data!$K101="Not planning"),OR(AND(ISNUMBER(F101),F101&gt;0),Data!$N101&lt;&gt;"")),1,0)</f>
        <v>0</v>
      </c>
      <c r="S101" s="32" t="n">
        <f aca="false">IF(Data!$F101="",1,0)</f>
        <v>0</v>
      </c>
      <c r="T101" s="32" t="n">
        <f aca="false">SUM(L101:S101)</f>
        <v>0</v>
      </c>
      <c r="U101" s="32" t="n">
        <f aca="false">IF(ISNUMBER(F101),F101-IF(ISNUMBER(SEARCH("Contribute funds",Data!$L101)),1,0),"")</f>
        <v>2</v>
      </c>
      <c r="V101" s="28" t="n">
        <f aca="false">IF(ISNUMBER(U101),MIN(U101,Parameters!$C$38)/Parameters!$C$38,"NA")</f>
        <v>0.333333333333333</v>
      </c>
    </row>
    <row r="102" customFormat="false" ht="15" hidden="false" customHeight="true" outlineLevel="0" collapsed="false">
      <c r="A102" s="15" t="str">
        <f aca="false">Data!$A102</f>
        <v>Sciety</v>
      </c>
      <c r="B102" s="28" t="n">
        <f aca="false">IFERROR(INDEX(Parameters!$C$25:$C$28,MATCH(Data!$G102,Parameters!$B$25:$B$28,0)),"NA")</f>
        <v>1</v>
      </c>
      <c r="C102" s="32" t="str">
        <f aca="false">IF(Coding!AF102=0,"",Coding!AF102)</f>
        <v/>
      </c>
      <c r="D102" s="28" t="str">
        <f aca="false">IF(OR(C102="",C102=0),"NA",IF(AND(Parameters!$C$39=1,ISNUMBER(B102),B102&lt;=Parameters!$C$40),0,MIN(C102,Parameters!$C$37)/Parameters!$C$37))</f>
        <v>NA</v>
      </c>
      <c r="E102" s="28" t="n">
        <f aca="false">IF(Data!$F102="","NA",IF(SUMPRODUCT((Parameters!$B$66:$B$70&lt;&gt;"")*ISNUMBER(SEARCH(Parameters!$B$66:$B$70,Data!$F102)))&gt;0,Parameters!$C$63,Parameters!$C$64))</f>
        <v>1</v>
      </c>
      <c r="F102" s="32" t="str">
        <f aca="false">IF(OR(Data!$L102="",Data!$L102="Not applicable"),"",LEN(Data!$L102)-LEN(SUBSTITUTE(Data!$L102,"|",""))+1-IF(ISNUMBER(SEARCH("Other",Data!$L102)),1,0)-IF(ISNUMBER(SEARCH("Not applicable",Data!$L102)),1,0)+IF(AND(ISNUMBER(SEARCH("Other",Data!$L102)),Data!$M102&lt;&gt;""),1,0))</f>
        <v/>
      </c>
      <c r="G102" s="28" t="str">
        <f aca="false">IF(OR(F102="",F102=0),"NA",MIN(F102,Parameters!$C$38)/Parameters!$C$38)</f>
        <v>NA</v>
      </c>
      <c r="H102" s="15" t="str">
        <f aca="false">IF(Data!$N102="","Blank",IF(SUMPRODUCT((Parameters!$B$49:$B$53&lt;&gt;"")*ISNUMBER(SEARCH(Parameters!$B$49:$B$53,Data!$N102)))&gt;0,"CHECK: suspect URL",IF(ISNUMBER(SEARCH(Parameters!$C$46,Data!$N102)),"Contribution guide","Other page")))</f>
        <v>Blank</v>
      </c>
      <c r="I102" s="28" t="str">
        <f aca="false">IF(H102="Contribution guide",Parameters!$C$44,IF(H102="Other page",Parameters!$C$45,"NA"))</f>
        <v>NA</v>
      </c>
      <c r="J102" s="28" t="n">
        <f aca="false">IFERROR(INDEX(Parameters!$C$25:$C$28,MATCH(Data!$O102,Parameters!$B$25:$B$28,0)),"NA")</f>
        <v>0.33</v>
      </c>
      <c r="K102" s="28" t="n">
        <f aca="false">IFERROR(INDEX(Parameters!$C$32:$C$34,MATCH(Data!$Q102,Parameters!$B$32:$B$34,0)),"NA")</f>
        <v>1</v>
      </c>
      <c r="L102" s="32" t="n">
        <f aca="false">IF(AND(Coding!AF102&gt;0,ISNUMBER(B102),B102&lt;=Parameters!$C$40),1,0)</f>
        <v>0</v>
      </c>
      <c r="M102" s="32" t="n">
        <f aca="false">IF(AND(Data!$P102&lt;&gt;"",NOT(AND(ISNUMBER(J102),J102=1))),1,0)</f>
        <v>0</v>
      </c>
      <c r="N102" s="32" t="n">
        <f aca="false">IF(AND(Data!$Q102="Formal",Data!$R102=""),1,0)</f>
        <v>1</v>
      </c>
      <c r="O102" s="32" t="n">
        <f aca="false">IF(AND(Data!$Q102="",Data!$R102&lt;&gt;""),1,0)</f>
        <v>0</v>
      </c>
      <c r="P102" s="32" t="n">
        <f aca="false">IF(AND(ISNUMBER(B102),B102=1,Coding!AF102=0,OR(Data!$I102&lt;&gt;"",Data!$J102&lt;&gt;"")),1,0)</f>
        <v>1</v>
      </c>
      <c r="Q102" s="32" t="n">
        <f aca="false">IF(H102="CHECK: suspect URL",1,0)</f>
        <v>0</v>
      </c>
      <c r="R102" s="32" t="n">
        <f aca="false">IF(AND(OR(Data!$K102="Considering",Data!$K102="Not planning"),OR(AND(ISNUMBER(F102),F102&gt;0),Data!$N102&lt;&gt;"")),1,0)</f>
        <v>0</v>
      </c>
      <c r="S102" s="32" t="n">
        <f aca="false">IF(Data!$F102="",1,0)</f>
        <v>0</v>
      </c>
      <c r="T102" s="32" t="n">
        <f aca="false">SUM(L102:S102)</f>
        <v>2</v>
      </c>
      <c r="U102" s="32" t="str">
        <f aca="false">IF(ISNUMBER(F102),F102-IF(ISNUMBER(SEARCH("Contribute funds",Data!$L102)),1,0),"")</f>
        <v/>
      </c>
      <c r="V102" s="28" t="str">
        <f aca="false">IF(ISNUMBER(U102),MIN(U102,Parameters!$C$38)/Parameters!$C$38,"NA")</f>
        <v>NA</v>
      </c>
    </row>
    <row r="103" customFormat="false" ht="15" hidden="false" customHeight="true" outlineLevel="0" collapsed="false">
      <c r="A103" s="15" t="str">
        <f aca="false">Data!$A103</f>
        <v>Synapse</v>
      </c>
      <c r="B103" s="28" t="n">
        <f aca="false">IFERROR(INDEX(Parameters!$C$25:$C$28,MATCH(Data!$G103,Parameters!$B$25:$B$28,0)),"NA")</f>
        <v>1</v>
      </c>
      <c r="C103" s="32" t="n">
        <f aca="false">IF(Coding!AF103=0,"",Coding!AF103)</f>
        <v>4</v>
      </c>
      <c r="D103" s="28" t="n">
        <f aca="false">IF(OR(C103="",C103=0),"NA",IF(AND(Parameters!$C$39=1,ISNUMBER(B103),B103&lt;=Parameters!$C$40),0,MIN(C103,Parameters!$C$37)/Parameters!$C$37))</f>
        <v>0.5</v>
      </c>
      <c r="E103" s="28" t="n">
        <f aca="false">IF(Data!$F103="","NA",IF(SUMPRODUCT((Parameters!$B$66:$B$70&lt;&gt;"")*ISNUMBER(SEARCH(Parameters!$B$66:$B$70,Data!$F103)))&gt;0,Parameters!$C$63,Parameters!$C$64))</f>
        <v>1</v>
      </c>
      <c r="F103" s="32" t="str">
        <f aca="false">IF(OR(Data!$L103="",Data!$L103="Not applicable"),"",LEN(Data!$L103)-LEN(SUBSTITUTE(Data!$L103,"|",""))+1-IF(ISNUMBER(SEARCH("Other",Data!$L103)),1,0)-IF(ISNUMBER(SEARCH("Not applicable",Data!$L103)),1,0)+IF(AND(ISNUMBER(SEARCH("Other",Data!$L103)),Data!$M103&lt;&gt;""),1,0))</f>
        <v/>
      </c>
      <c r="G103" s="28" t="str">
        <f aca="false">IF(OR(F103="",F103=0),"NA",MIN(F103,Parameters!$C$38)/Parameters!$C$38)</f>
        <v>NA</v>
      </c>
      <c r="H103" s="15" t="str">
        <f aca="false">IF(Data!$N103="","Blank",IF(SUMPRODUCT((Parameters!$B$49:$B$53&lt;&gt;"")*ISNUMBER(SEARCH(Parameters!$B$49:$B$53,Data!$N103)))&gt;0,"CHECK: suspect URL",IF(ISNUMBER(SEARCH(Parameters!$C$46,Data!$N103)),"Contribution guide","Other page")))</f>
        <v>CHECK: suspect URL</v>
      </c>
      <c r="I103" s="28" t="str">
        <f aca="false">IF(H103="Contribution guide",Parameters!$C$44,IF(H103="Other page",Parameters!$C$45,"NA"))</f>
        <v>NA</v>
      </c>
      <c r="J103" s="28" t="n">
        <f aca="false">IFERROR(INDEX(Parameters!$C$25:$C$28,MATCH(Data!$O103,Parameters!$B$25:$B$28,0)),"NA")</f>
        <v>1</v>
      </c>
      <c r="K103" s="28" t="str">
        <f aca="false">IFERROR(INDEX(Parameters!$C$32:$C$34,MATCH(Data!$Q103,Parameters!$B$32:$B$34,0)),"NA")</f>
        <v>NA</v>
      </c>
      <c r="L103" s="32" t="n">
        <f aca="false">IF(AND(Coding!AF103&gt;0,ISNUMBER(B103),B103&lt;=Parameters!$C$40),1,0)</f>
        <v>0</v>
      </c>
      <c r="M103" s="32" t="n">
        <f aca="false">IF(AND(Data!$P103&lt;&gt;"",NOT(AND(ISNUMBER(J103),J103=1))),1,0)</f>
        <v>0</v>
      </c>
      <c r="N103" s="32" t="n">
        <f aca="false">IF(AND(Data!$Q103="Formal",Data!$R103=""),1,0)</f>
        <v>0</v>
      </c>
      <c r="O103" s="32" t="n">
        <f aca="false">IF(AND(Data!$Q103="",Data!$R103&lt;&gt;""),1,0)</f>
        <v>0</v>
      </c>
      <c r="P103" s="32" t="n">
        <f aca="false">IF(AND(ISNUMBER(B103),B103=1,Coding!AF103=0,OR(Data!$I103&lt;&gt;"",Data!$J103&lt;&gt;"")),1,0)</f>
        <v>0</v>
      </c>
      <c r="Q103" s="32" t="n">
        <f aca="false">IF(H103="CHECK: suspect URL",1,0)</f>
        <v>1</v>
      </c>
      <c r="R103" s="32" t="n">
        <f aca="false">IF(AND(OR(Data!$K103="Considering",Data!$K103="Not planning"),OR(AND(ISNUMBER(F103),F103&gt;0),Data!$N103&lt;&gt;"")),1,0)</f>
        <v>0</v>
      </c>
      <c r="S103" s="32" t="n">
        <f aca="false">IF(Data!$F103="",1,0)</f>
        <v>0</v>
      </c>
      <c r="T103" s="32" t="n">
        <f aca="false">SUM(L103:S103)</f>
        <v>1</v>
      </c>
      <c r="U103" s="32" t="str">
        <f aca="false">IF(ISNUMBER(F103),F103-IF(ISNUMBER(SEARCH("Contribute funds",Data!$L103)),1,0),"")</f>
        <v/>
      </c>
      <c r="V103" s="28" t="str">
        <f aca="false">IF(ISNUMBER(U103),MIN(U103,Parameters!$C$38)/Parameters!$C$38,"NA")</f>
        <v>NA</v>
      </c>
    </row>
    <row r="104" customFormat="false" ht="15" hidden="false" customHeight="true" outlineLevel="0" collapsed="false">
      <c r="A104" s="15" t="str">
        <f aca="false">Data!$A104</f>
        <v>TagTeam</v>
      </c>
      <c r="B104" s="28" t="n">
        <f aca="false">IFERROR(INDEX(Parameters!$C$25:$C$28,MATCH(Data!$G104,Parameters!$B$25:$B$28,0)),"NA")</f>
        <v>1</v>
      </c>
      <c r="C104" s="32" t="str">
        <f aca="false">IF(Coding!AF104=0,"",Coding!AF104)</f>
        <v/>
      </c>
      <c r="D104" s="28" t="str">
        <f aca="false">IF(OR(C104="",C104=0),"NA",IF(AND(Parameters!$C$39=1,ISNUMBER(B104),B104&lt;=Parameters!$C$40),0,MIN(C104,Parameters!$C$37)/Parameters!$C$37))</f>
        <v>NA</v>
      </c>
      <c r="E104" s="28" t="n">
        <f aca="false">IF(Data!$F104="","NA",IF(SUMPRODUCT((Parameters!$B$66:$B$70&lt;&gt;"")*ISNUMBER(SEARCH(Parameters!$B$66:$B$70,Data!$F104)))&gt;0,Parameters!$C$63,Parameters!$C$64))</f>
        <v>1</v>
      </c>
      <c r="F104" s="32" t="str">
        <f aca="false">IF(OR(Data!$L104="",Data!$L104="Not applicable"),"",LEN(Data!$L104)-LEN(SUBSTITUTE(Data!$L104,"|",""))+1-IF(ISNUMBER(SEARCH("Other",Data!$L104)),1,0)-IF(ISNUMBER(SEARCH("Not applicable",Data!$L104)),1,0)+IF(AND(ISNUMBER(SEARCH("Other",Data!$L104)),Data!$M104&lt;&gt;""),1,0))</f>
        <v/>
      </c>
      <c r="G104" s="28" t="str">
        <f aca="false">IF(OR(F104="",F104=0),"NA",MIN(F104,Parameters!$C$38)/Parameters!$C$38)</f>
        <v>NA</v>
      </c>
      <c r="H104" s="15" t="str">
        <f aca="false">IF(Data!$N104="","Blank",IF(SUMPRODUCT((Parameters!$B$49:$B$53&lt;&gt;"")*ISNUMBER(SEARCH(Parameters!$B$49:$B$53,Data!$N104)))&gt;0,"CHECK: suspect URL",IF(ISNUMBER(SEARCH(Parameters!$C$46,Data!$N104)),"Contribution guide","Other page")))</f>
        <v>Other page</v>
      </c>
      <c r="I104" s="28" t="n">
        <f aca="false">IF(H104="Contribution guide",Parameters!$C$44,IF(H104="Other page",Parameters!$C$45,"NA"))</f>
        <v>0.5</v>
      </c>
      <c r="J104" s="28" t="str">
        <f aca="false">IFERROR(INDEX(Parameters!$C$25:$C$28,MATCH(Data!$O104,Parameters!$B$25:$B$28,0)),"NA")</f>
        <v>NA</v>
      </c>
      <c r="K104" s="28" t="n">
        <f aca="false">IFERROR(INDEX(Parameters!$C$32:$C$34,MATCH(Data!$Q104,Parameters!$B$32:$B$34,0)),"NA")</f>
        <v>0.5</v>
      </c>
      <c r="L104" s="32" t="n">
        <f aca="false">IF(AND(Coding!AF104&gt;0,ISNUMBER(B104),B104&lt;=Parameters!$C$40),1,0)</f>
        <v>0</v>
      </c>
      <c r="M104" s="32" t="n">
        <f aca="false">IF(AND(Data!$P104&lt;&gt;"",NOT(AND(ISNUMBER(J104),J104=1))),1,0)</f>
        <v>1</v>
      </c>
      <c r="N104" s="32" t="n">
        <f aca="false">IF(AND(Data!$Q104="Formal",Data!$R104=""),1,0)</f>
        <v>0</v>
      </c>
      <c r="O104" s="32" t="n">
        <f aca="false">IF(AND(Data!$Q104="",Data!$R104&lt;&gt;""),1,0)</f>
        <v>0</v>
      </c>
      <c r="P104" s="32" t="n">
        <f aca="false">IF(AND(ISNUMBER(B104),B104=1,Coding!AF104=0,OR(Data!$I104&lt;&gt;"",Data!$J104&lt;&gt;"")),1,0)</f>
        <v>0</v>
      </c>
      <c r="Q104" s="32" t="n">
        <f aca="false">IF(H104="CHECK: suspect URL",1,0)</f>
        <v>0</v>
      </c>
      <c r="R104" s="32" t="n">
        <f aca="false">IF(AND(OR(Data!$K104="Considering",Data!$K104="Not planning"),OR(AND(ISNUMBER(F104),F104&gt;0),Data!$N104&lt;&gt;"")),1,0)</f>
        <v>0</v>
      </c>
      <c r="S104" s="32" t="n">
        <f aca="false">IF(Data!$F104="",1,0)</f>
        <v>0</v>
      </c>
      <c r="T104" s="32" t="n">
        <f aca="false">SUM(L104:S104)</f>
        <v>1</v>
      </c>
      <c r="U104" s="32" t="str">
        <f aca="false">IF(ISNUMBER(F104),F104-IF(ISNUMBER(SEARCH("Contribute funds",Data!$L104)),1,0),"")</f>
        <v/>
      </c>
      <c r="V104" s="28" t="str">
        <f aca="false">IF(ISNUMBER(U104),MIN(U104,Parameters!$C$38)/Parameters!$C$38,"NA")</f>
        <v>NA</v>
      </c>
    </row>
    <row r="105" customFormat="false" ht="15" hidden="false" customHeight="true" outlineLevel="0" collapsed="false">
      <c r="A105" s="15" t="str">
        <f aca="false">Data!$A105</f>
        <v>Thoth Open Metadata</v>
      </c>
      <c r="B105" s="28" t="n">
        <f aca="false">IFERROR(INDEX(Parameters!$C$25:$C$28,MATCH(Data!$G105,Parameters!$B$25:$B$28,0)),"NA")</f>
        <v>1</v>
      </c>
      <c r="C105" s="32" t="n">
        <f aca="false">IF(Coding!AF105=0,"",Coding!AF105)</f>
        <v>8</v>
      </c>
      <c r="D105" s="28" t="n">
        <f aca="false">IF(OR(C105="",C105=0),"NA",IF(AND(Parameters!$C$39=1,ISNUMBER(B105),B105&lt;=Parameters!$C$40),0,MIN(C105,Parameters!$C$37)/Parameters!$C$37))</f>
        <v>1</v>
      </c>
      <c r="E105" s="28" t="n">
        <f aca="false">IF(Data!$F105="","NA",IF(SUMPRODUCT((Parameters!$B$66:$B$70&lt;&gt;"")*ISNUMBER(SEARCH(Parameters!$B$66:$B$70,Data!$F105)))&gt;0,Parameters!$C$63,Parameters!$C$64))</f>
        <v>1</v>
      </c>
      <c r="F105" s="32" t="n">
        <f aca="false">IF(OR(Data!$L105="",Data!$L105="Not applicable"),"",LEN(Data!$L105)-LEN(SUBSTITUTE(Data!$L105,"|",""))+1-IF(ISNUMBER(SEARCH("Other",Data!$L105)),1,0)-IF(ISNUMBER(SEARCH("Not applicable",Data!$L105)),1,0)+IF(AND(ISNUMBER(SEARCH("Other",Data!$L105)),Data!$M105&lt;&gt;""),1,0))</f>
        <v>6</v>
      </c>
      <c r="G105" s="28" t="n">
        <f aca="false">IF(OR(F105="",F105=0),"NA",MIN(F105,Parameters!$C$38)/Parameters!$C$38)</f>
        <v>1</v>
      </c>
      <c r="H105" s="15" t="str">
        <f aca="false">IF(Data!$N105="","Blank",IF(SUMPRODUCT((Parameters!$B$49:$B$53&lt;&gt;"")*ISNUMBER(SEARCH(Parameters!$B$49:$B$53,Data!$N105)))&gt;0,"CHECK: suspect URL",IF(ISNUMBER(SEARCH(Parameters!$C$46,Data!$N105)),"Contribution guide","Other page")))</f>
        <v>Blank</v>
      </c>
      <c r="I105" s="28" t="str">
        <f aca="false">IF(H105="Contribution guide",Parameters!$C$44,IF(H105="Other page",Parameters!$C$45,"NA"))</f>
        <v>NA</v>
      </c>
      <c r="J105" s="28" t="n">
        <f aca="false">IFERROR(INDEX(Parameters!$C$25:$C$28,MATCH(Data!$O105,Parameters!$B$25:$B$28,0)),"NA")</f>
        <v>1</v>
      </c>
      <c r="K105" s="28" t="n">
        <f aca="false">IFERROR(INDEX(Parameters!$C$32:$C$34,MATCH(Data!$Q105,Parameters!$B$32:$B$34,0)),"NA")</f>
        <v>1</v>
      </c>
      <c r="L105" s="32" t="n">
        <f aca="false">IF(AND(Coding!AF105&gt;0,ISNUMBER(B105),B105&lt;=Parameters!$C$40),1,0)</f>
        <v>0</v>
      </c>
      <c r="M105" s="32" t="n">
        <f aca="false">IF(AND(Data!$P105&lt;&gt;"",NOT(AND(ISNUMBER(J105),J105=1))),1,0)</f>
        <v>0</v>
      </c>
      <c r="N105" s="32" t="n">
        <f aca="false">IF(AND(Data!$Q105="Formal",Data!$R105=""),1,0)</f>
        <v>0</v>
      </c>
      <c r="O105" s="32" t="n">
        <f aca="false">IF(AND(Data!$Q105="",Data!$R105&lt;&gt;""),1,0)</f>
        <v>0</v>
      </c>
      <c r="P105" s="32" t="n">
        <f aca="false">IF(AND(ISNUMBER(B105),B105=1,Coding!AF105=0,OR(Data!$I105&lt;&gt;"",Data!$J105&lt;&gt;"")),1,0)</f>
        <v>0</v>
      </c>
      <c r="Q105" s="32" t="n">
        <f aca="false">IF(H105="CHECK: suspect URL",1,0)</f>
        <v>0</v>
      </c>
      <c r="R105" s="32" t="n">
        <f aca="false">IF(AND(OR(Data!$K105="Considering",Data!$K105="Not planning"),OR(AND(ISNUMBER(F105),F105&gt;0),Data!$N105&lt;&gt;"")),1,0)</f>
        <v>1</v>
      </c>
      <c r="S105" s="32" t="n">
        <f aca="false">IF(Data!$F105="",1,0)</f>
        <v>0</v>
      </c>
      <c r="T105" s="32" t="n">
        <f aca="false">SUM(L105:S105)</f>
        <v>1</v>
      </c>
      <c r="U105" s="32" t="n">
        <f aca="false">IF(ISNUMBER(F105),F105-IF(ISNUMBER(SEARCH("Contribute funds",Data!$L105)),1,0),"")</f>
        <v>5</v>
      </c>
      <c r="V105" s="28" t="n">
        <f aca="false">IF(ISNUMBER(U105),MIN(U105,Parameters!$C$38)/Parameters!$C$38,"NA")</f>
        <v>0.833333333333333</v>
      </c>
    </row>
    <row r="106" customFormat="false" ht="15" hidden="false" customHeight="true" outlineLevel="0" collapsed="false">
      <c r="A106" s="15" t="str">
        <f aca="false">Data!$A106</f>
        <v>Tropy</v>
      </c>
      <c r="B106" s="28" t="n">
        <f aca="false">IFERROR(INDEX(Parameters!$C$25:$C$28,MATCH(Data!$G106,Parameters!$B$25:$B$28,0)),"NA")</f>
        <v>1</v>
      </c>
      <c r="C106" s="32" t="n">
        <f aca="false">IF(Coding!AF106=0,"",Coding!AF106)</f>
        <v>3</v>
      </c>
      <c r="D106" s="28" t="n">
        <f aca="false">IF(OR(C106="",C106=0),"NA",IF(AND(Parameters!$C$39=1,ISNUMBER(B106),B106&lt;=Parameters!$C$40),0,MIN(C106,Parameters!$C$37)/Parameters!$C$37))</f>
        <v>0.375</v>
      </c>
      <c r="E106" s="28" t="n">
        <f aca="false">IF(Data!$F106="","NA",IF(SUMPRODUCT((Parameters!$B$66:$B$70&lt;&gt;"")*ISNUMBER(SEARCH(Parameters!$B$66:$B$70,Data!$F106)))&gt;0,Parameters!$C$63,Parameters!$C$64))</f>
        <v>1</v>
      </c>
      <c r="F106" s="32" t="n">
        <f aca="false">IF(OR(Data!$L106="",Data!$L106="Not applicable"),"",LEN(Data!$L106)-LEN(SUBSTITUTE(Data!$L106,"|",""))+1-IF(ISNUMBER(SEARCH("Other",Data!$L106)),1,0)-IF(ISNUMBER(SEARCH("Not applicable",Data!$L106)),1,0)+IF(AND(ISNUMBER(SEARCH("Other",Data!$L106)),Data!$M106&lt;&gt;""),1,0))</f>
        <v>1</v>
      </c>
      <c r="G106" s="28" t="n">
        <f aca="false">IF(OR(F106="",F106=0),"NA",MIN(F106,Parameters!$C$38)/Parameters!$C$38)</f>
        <v>0.166666666666667</v>
      </c>
      <c r="H106" s="15" t="str">
        <f aca="false">IF(Data!$N106="","Blank",IF(SUMPRODUCT((Parameters!$B$49:$B$53&lt;&gt;"")*ISNUMBER(SEARCH(Parameters!$B$49:$B$53,Data!$N106)))&gt;0,"CHECK: suspect URL",IF(ISNUMBER(SEARCH(Parameters!$C$46,Data!$N106)),"Contribution guide","Other page")))</f>
        <v>Other page</v>
      </c>
      <c r="I106" s="28" t="n">
        <f aca="false">IF(H106="Contribution guide",Parameters!$C$44,IF(H106="Other page",Parameters!$C$45,"NA"))</f>
        <v>0.5</v>
      </c>
      <c r="J106" s="28" t="n">
        <f aca="false">IFERROR(INDEX(Parameters!$C$25:$C$28,MATCH(Data!$O106,Parameters!$B$25:$B$28,0)),"NA")</f>
        <v>0.33</v>
      </c>
      <c r="K106" s="28" t="n">
        <f aca="false">IFERROR(INDEX(Parameters!$C$32:$C$34,MATCH(Data!$Q106,Parameters!$B$32:$B$34,0)),"NA")</f>
        <v>0.5</v>
      </c>
      <c r="L106" s="32" t="n">
        <f aca="false">IF(AND(Coding!AF106&gt;0,ISNUMBER(B106),B106&lt;=Parameters!$C$40),1,0)</f>
        <v>0</v>
      </c>
      <c r="M106" s="32" t="n">
        <f aca="false">IF(AND(Data!$P106&lt;&gt;"",NOT(AND(ISNUMBER(J106),J106=1))),1,0)</f>
        <v>0</v>
      </c>
      <c r="N106" s="32" t="n">
        <f aca="false">IF(AND(Data!$Q106="Formal",Data!$R106=""),1,0)</f>
        <v>0</v>
      </c>
      <c r="O106" s="32" t="n">
        <f aca="false">IF(AND(Data!$Q106="",Data!$R106&lt;&gt;""),1,0)</f>
        <v>0</v>
      </c>
      <c r="P106" s="32" t="n">
        <f aca="false">IF(AND(ISNUMBER(B106),B106=1,Coding!AF106=0,OR(Data!$I106&lt;&gt;"",Data!$J106&lt;&gt;"")),1,0)</f>
        <v>0</v>
      </c>
      <c r="Q106" s="32" t="n">
        <f aca="false">IF(H106="CHECK: suspect URL",1,0)</f>
        <v>0</v>
      </c>
      <c r="R106" s="32" t="n">
        <f aca="false">IF(AND(OR(Data!$K106="Considering",Data!$K106="Not planning"),OR(AND(ISNUMBER(F106),F106&gt;0),Data!$N106&lt;&gt;"")),1,0)</f>
        <v>0</v>
      </c>
      <c r="S106" s="32" t="n">
        <f aca="false">IF(Data!$F106="",1,0)</f>
        <v>0</v>
      </c>
      <c r="T106" s="32" t="n">
        <f aca="false">SUM(L106:S106)</f>
        <v>0</v>
      </c>
      <c r="U106" s="32" t="n">
        <f aca="false">IF(ISNUMBER(F106),F106-IF(ISNUMBER(SEARCH("Contribute funds",Data!$L106)),1,0),"")</f>
        <v>1</v>
      </c>
      <c r="V106" s="28" t="n">
        <f aca="false">IF(ISNUMBER(U106),MIN(U106,Parameters!$C$38)/Parameters!$C$38,"NA")</f>
        <v>0.166666666666667</v>
      </c>
    </row>
    <row r="107" customFormat="false" ht="15" hidden="false" customHeight="true" outlineLevel="0" collapsed="false">
      <c r="A107" s="15" t="str">
        <f aca="false">Data!$A107</f>
        <v>veraPDF</v>
      </c>
      <c r="B107" s="28" t="n">
        <f aca="false">IFERROR(INDEX(Parameters!$C$25:$C$28,MATCH(Data!$G107,Parameters!$B$25:$B$28,0)),"NA")</f>
        <v>1</v>
      </c>
      <c r="C107" s="32" t="n">
        <f aca="false">IF(Coding!AF107=0,"",Coding!AF107)</f>
        <v>5</v>
      </c>
      <c r="D107" s="28" t="n">
        <f aca="false">IF(OR(C107="",C107=0),"NA",IF(AND(Parameters!$C$39=1,ISNUMBER(B107),B107&lt;=Parameters!$C$40),0,MIN(C107,Parameters!$C$37)/Parameters!$C$37))</f>
        <v>0.625</v>
      </c>
      <c r="E107" s="28" t="n">
        <f aca="false">IF(Data!$F107="","NA",IF(SUMPRODUCT((Parameters!$B$66:$B$70&lt;&gt;"")*ISNUMBER(SEARCH(Parameters!$B$66:$B$70,Data!$F107)))&gt;0,Parameters!$C$63,Parameters!$C$64))</f>
        <v>1</v>
      </c>
      <c r="F107" s="32" t="str">
        <f aca="false">IF(OR(Data!$L107="",Data!$L107="Not applicable"),"",LEN(Data!$L107)-LEN(SUBSTITUTE(Data!$L107,"|",""))+1-IF(ISNUMBER(SEARCH("Other",Data!$L107)),1,0)-IF(ISNUMBER(SEARCH("Not applicable",Data!$L107)),1,0)+IF(AND(ISNUMBER(SEARCH("Other",Data!$L107)),Data!$M107&lt;&gt;""),1,0))</f>
        <v/>
      </c>
      <c r="G107" s="28" t="str">
        <f aca="false">IF(OR(F107="",F107=0),"NA",MIN(F107,Parameters!$C$38)/Parameters!$C$38)</f>
        <v>NA</v>
      </c>
      <c r="H107" s="15" t="str">
        <f aca="false">IF(Data!$N107="","Blank",IF(SUMPRODUCT((Parameters!$B$49:$B$53&lt;&gt;"")*ISNUMBER(SEARCH(Parameters!$B$49:$B$53,Data!$N107)))&gt;0,"CHECK: suspect URL",IF(ISNUMBER(SEARCH(Parameters!$C$46,Data!$N107)),"Contribution guide","Other page")))</f>
        <v>Blank</v>
      </c>
      <c r="I107" s="28" t="str">
        <f aca="false">IF(H107="Contribution guide",Parameters!$C$44,IF(H107="Other page",Parameters!$C$45,"NA"))</f>
        <v>NA</v>
      </c>
      <c r="J107" s="28" t="n">
        <f aca="false">IFERROR(INDEX(Parameters!$C$25:$C$28,MATCH(Data!$O107,Parameters!$B$25:$B$28,0)),"NA")</f>
        <v>0.67</v>
      </c>
      <c r="K107" s="28" t="n">
        <f aca="false">IFERROR(INDEX(Parameters!$C$32:$C$34,MATCH(Data!$Q107,Parameters!$B$32:$B$34,0)),"NA")</f>
        <v>1</v>
      </c>
      <c r="L107" s="32" t="n">
        <f aca="false">IF(AND(Coding!AF107&gt;0,ISNUMBER(B107),B107&lt;=Parameters!$C$40),1,0)</f>
        <v>0</v>
      </c>
      <c r="M107" s="32" t="n">
        <f aca="false">IF(AND(Data!$P107&lt;&gt;"",NOT(AND(ISNUMBER(J107),J107=1))),1,0)</f>
        <v>0</v>
      </c>
      <c r="N107" s="32" t="n">
        <f aca="false">IF(AND(Data!$Q107="Formal",Data!$R107=""),1,0)</f>
        <v>1</v>
      </c>
      <c r="O107" s="32" t="n">
        <f aca="false">IF(AND(Data!$Q107="",Data!$R107&lt;&gt;""),1,0)</f>
        <v>0</v>
      </c>
      <c r="P107" s="32" t="n">
        <f aca="false">IF(AND(ISNUMBER(B107),B107=1,Coding!AF107=0,OR(Data!$I107&lt;&gt;"",Data!$J107&lt;&gt;"")),1,0)</f>
        <v>0</v>
      </c>
      <c r="Q107" s="32" t="n">
        <f aca="false">IF(H107="CHECK: suspect URL",1,0)</f>
        <v>0</v>
      </c>
      <c r="R107" s="32" t="n">
        <f aca="false">IF(AND(OR(Data!$K107="Considering",Data!$K107="Not planning"),OR(AND(ISNUMBER(F107),F107&gt;0),Data!$N107&lt;&gt;"")),1,0)</f>
        <v>0</v>
      </c>
      <c r="S107" s="32" t="n">
        <f aca="false">IF(Data!$F107="",1,0)</f>
        <v>0</v>
      </c>
      <c r="T107" s="32" t="n">
        <f aca="false">SUM(L107:S107)</f>
        <v>1</v>
      </c>
      <c r="U107" s="32" t="str">
        <f aca="false">IF(ISNUMBER(F107),F107-IF(ISNUMBER(SEARCH("Contribute funds",Data!$L107)),1,0),"")</f>
        <v/>
      </c>
      <c r="V107" s="28" t="str">
        <f aca="false">IF(ISNUMBER(U107),MIN(U107,Parameters!$C$38)/Parameters!$C$38,"NA")</f>
        <v>NA</v>
      </c>
    </row>
    <row r="108" customFormat="false" ht="15" hidden="false" customHeight="true" outlineLevel="0" collapsed="false">
      <c r="A108" s="15" t="str">
        <f aca="false">Data!$A108</f>
        <v>ViPER</v>
      </c>
      <c r="B108" s="28" t="n">
        <f aca="false">IFERROR(INDEX(Parameters!$C$25:$C$28,MATCH(Data!$G108,Parameters!$B$25:$B$28,0)),"NA")</f>
        <v>1</v>
      </c>
      <c r="C108" s="32" t="n">
        <f aca="false">IF(Coding!AF108=0,"",Coding!AF108)</f>
        <v>8</v>
      </c>
      <c r="D108" s="28" t="n">
        <f aca="false">IF(OR(C108="",C108=0),"NA",IF(AND(Parameters!$C$39=1,ISNUMBER(B108),B108&lt;=Parameters!$C$40),0,MIN(C108,Parameters!$C$37)/Parameters!$C$37))</f>
        <v>1</v>
      </c>
      <c r="E108" s="28" t="n">
        <f aca="false">IF(Data!$F108="","NA",IF(SUMPRODUCT((Parameters!$B$66:$B$70&lt;&gt;"")*ISNUMBER(SEARCH(Parameters!$B$66:$B$70,Data!$F108)))&gt;0,Parameters!$C$63,Parameters!$C$64))</f>
        <v>1</v>
      </c>
      <c r="F108" s="32" t="n">
        <f aca="false">IF(OR(Data!$L108="",Data!$L108="Not applicable"),"",LEN(Data!$L108)-LEN(SUBSTITUTE(Data!$L108,"|",""))+1-IF(ISNUMBER(SEARCH("Other",Data!$L108)),1,0)-IF(ISNUMBER(SEARCH("Not applicable",Data!$L108)),1,0)+IF(AND(ISNUMBER(SEARCH("Other",Data!$L108)),Data!$M108&lt;&gt;""),1,0))</f>
        <v>4</v>
      </c>
      <c r="G108" s="28" t="n">
        <f aca="false">IF(OR(F108="",F108=0),"NA",MIN(F108,Parameters!$C$38)/Parameters!$C$38)</f>
        <v>0.666666666666667</v>
      </c>
      <c r="H108" s="15" t="str">
        <f aca="false">IF(Data!$N108="","Blank",IF(SUMPRODUCT((Parameters!$B$49:$B$53&lt;&gt;"")*ISNUMBER(SEARCH(Parameters!$B$49:$B$53,Data!$N108)))&gt;0,"CHECK: suspect URL",IF(ISNUMBER(SEARCH(Parameters!$C$46,Data!$N108)),"Contribution guide","Other page")))</f>
        <v>Other page</v>
      </c>
      <c r="I108" s="28" t="n">
        <f aca="false">IF(H108="Contribution guide",Parameters!$C$44,IF(H108="Other page",Parameters!$C$45,"NA"))</f>
        <v>0.5</v>
      </c>
      <c r="J108" s="28" t="n">
        <f aca="false">IFERROR(INDEX(Parameters!$C$25:$C$28,MATCH(Data!$O108,Parameters!$B$25:$B$28,0)),"NA")</f>
        <v>0.67</v>
      </c>
      <c r="K108" s="28" t="n">
        <f aca="false">IFERROR(INDEX(Parameters!$C$32:$C$34,MATCH(Data!$Q108,Parameters!$B$32:$B$34,0)),"NA")</f>
        <v>1</v>
      </c>
      <c r="L108" s="32" t="n">
        <f aca="false">IF(AND(Coding!AF108&gt;0,ISNUMBER(B108),B108&lt;=Parameters!$C$40),1,0)</f>
        <v>0</v>
      </c>
      <c r="M108" s="32" t="n">
        <f aca="false">IF(AND(Data!$P108&lt;&gt;"",NOT(AND(ISNUMBER(J108),J108=1))),1,0)</f>
        <v>0</v>
      </c>
      <c r="N108" s="32" t="n">
        <f aca="false">IF(AND(Data!$Q108="Formal",Data!$R108=""),1,0)</f>
        <v>1</v>
      </c>
      <c r="O108" s="32" t="n">
        <f aca="false">IF(AND(Data!$Q108="",Data!$R108&lt;&gt;""),1,0)</f>
        <v>0</v>
      </c>
      <c r="P108" s="32" t="n">
        <f aca="false">IF(AND(ISNUMBER(B108),B108=1,Coding!AF108=0,OR(Data!$I108&lt;&gt;"",Data!$J108&lt;&gt;"")),1,0)</f>
        <v>0</v>
      </c>
      <c r="Q108" s="32" t="n">
        <f aca="false">IF(H108="CHECK: suspect URL",1,0)</f>
        <v>0</v>
      </c>
      <c r="R108" s="32" t="n">
        <f aca="false">IF(AND(OR(Data!$K108="Considering",Data!$K108="Not planning"),OR(AND(ISNUMBER(F108),F108&gt;0),Data!$N108&lt;&gt;"")),1,0)</f>
        <v>0</v>
      </c>
      <c r="S108" s="32" t="n">
        <f aca="false">IF(Data!$F108="",1,0)</f>
        <v>0</v>
      </c>
      <c r="T108" s="32" t="n">
        <f aca="false">SUM(L108:S108)</f>
        <v>1</v>
      </c>
      <c r="U108" s="32" t="n">
        <f aca="false">IF(ISNUMBER(F108),F108-IF(ISNUMBER(SEARCH("Contribute funds",Data!$L108)),1,0),"")</f>
        <v>4</v>
      </c>
      <c r="V108" s="28" t="n">
        <f aca="false">IF(ISNUMBER(U108),MIN(U108,Parameters!$C$38)/Parameters!$C$38,"NA")</f>
        <v>0.666666666666667</v>
      </c>
    </row>
    <row r="109" customFormat="false" ht="15" hidden="false" customHeight="true" outlineLevel="0" collapsed="false">
      <c r="A109" s="15" t="str">
        <f aca="false">Data!$A109</f>
        <v>Vireo ETD</v>
      </c>
      <c r="B109" s="28" t="n">
        <f aca="false">IFERROR(INDEX(Parameters!$C$25:$C$28,MATCH(Data!$G109,Parameters!$B$25:$B$28,0)),"NA")</f>
        <v>1</v>
      </c>
      <c r="C109" s="32" t="n">
        <f aca="false">IF(Coding!AF109=0,"",Coding!AF109)</f>
        <v>10</v>
      </c>
      <c r="D109" s="28" t="n">
        <f aca="false">IF(OR(C109="",C109=0),"NA",IF(AND(Parameters!$C$39=1,ISNUMBER(B109),B109&lt;=Parameters!$C$40),0,MIN(C109,Parameters!$C$37)/Parameters!$C$37))</f>
        <v>1</v>
      </c>
      <c r="E109" s="28" t="n">
        <f aca="false">IF(Data!$F109="","NA",IF(SUMPRODUCT((Parameters!$B$66:$B$70&lt;&gt;"")*ISNUMBER(SEARCH(Parameters!$B$66:$B$70,Data!$F109)))&gt;0,Parameters!$C$63,Parameters!$C$64))</f>
        <v>1</v>
      </c>
      <c r="F109" s="32" t="n">
        <f aca="false">IF(OR(Data!$L109="",Data!$L109="Not applicable"),"",LEN(Data!$L109)-LEN(SUBSTITUTE(Data!$L109,"|",""))+1-IF(ISNUMBER(SEARCH("Other",Data!$L109)),1,0)-IF(ISNUMBER(SEARCH("Not applicable",Data!$L109)),1,0)+IF(AND(ISNUMBER(SEARCH("Other",Data!$L109)),Data!$M109&lt;&gt;""),1,0))</f>
        <v>7</v>
      </c>
      <c r="G109" s="28" t="n">
        <f aca="false">IF(OR(F109="",F109=0),"NA",MIN(F109,Parameters!$C$38)/Parameters!$C$38)</f>
        <v>1</v>
      </c>
      <c r="H109" s="15" t="str">
        <f aca="false">IF(Data!$N109="","Blank",IF(SUMPRODUCT((Parameters!$B$49:$B$53&lt;&gt;"")*ISNUMBER(SEARCH(Parameters!$B$49:$B$53,Data!$N109)))&gt;0,"CHECK: suspect URL",IF(ISNUMBER(SEARCH(Parameters!$C$46,Data!$N109)),"Contribution guide","Other page")))</f>
        <v>Blank</v>
      </c>
      <c r="I109" s="28" t="str">
        <f aca="false">IF(H109="Contribution guide",Parameters!$C$44,IF(H109="Other page",Parameters!$C$45,"NA"))</f>
        <v>NA</v>
      </c>
      <c r="J109" s="28" t="n">
        <f aca="false">IFERROR(INDEX(Parameters!$C$25:$C$28,MATCH(Data!$O109,Parameters!$B$25:$B$28,0)),"NA")</f>
        <v>0</v>
      </c>
      <c r="K109" s="28" t="n">
        <f aca="false">IFERROR(INDEX(Parameters!$C$32:$C$34,MATCH(Data!$Q109,Parameters!$B$32:$B$34,0)),"NA")</f>
        <v>1</v>
      </c>
      <c r="L109" s="32" t="n">
        <f aca="false">IF(AND(Coding!AF109&gt;0,ISNUMBER(B109),B109&lt;=Parameters!$C$40),1,0)</f>
        <v>0</v>
      </c>
      <c r="M109" s="32" t="n">
        <f aca="false">IF(AND(Data!$P109&lt;&gt;"",NOT(AND(ISNUMBER(J109),J109=1))),1,0)</f>
        <v>0</v>
      </c>
      <c r="N109" s="32" t="n">
        <f aca="false">IF(AND(Data!$Q109="Formal",Data!$R109=""),1,0)</f>
        <v>0</v>
      </c>
      <c r="O109" s="32" t="n">
        <f aca="false">IF(AND(Data!$Q109="",Data!$R109&lt;&gt;""),1,0)</f>
        <v>0</v>
      </c>
      <c r="P109" s="32" t="n">
        <f aca="false">IF(AND(ISNUMBER(B109),B109=1,Coding!AF109=0,OR(Data!$I109&lt;&gt;"",Data!$J109&lt;&gt;"")),1,0)</f>
        <v>0</v>
      </c>
      <c r="Q109" s="32" t="n">
        <f aca="false">IF(H109="CHECK: suspect URL",1,0)</f>
        <v>0</v>
      </c>
      <c r="R109" s="32" t="n">
        <f aca="false">IF(AND(OR(Data!$K109="Considering",Data!$K109="Not planning"),OR(AND(ISNUMBER(F109),F109&gt;0),Data!$N109&lt;&gt;"")),1,0)</f>
        <v>0</v>
      </c>
      <c r="S109" s="32" t="n">
        <f aca="false">IF(Data!$F109="",1,0)</f>
        <v>0</v>
      </c>
      <c r="T109" s="32" t="n">
        <f aca="false">SUM(L109:S109)</f>
        <v>0</v>
      </c>
      <c r="U109" s="32" t="n">
        <f aca="false">IF(ISNUMBER(F109),F109-IF(ISNUMBER(SEARCH("Contribute funds",Data!$L109)),1,0),"")</f>
        <v>6</v>
      </c>
      <c r="V109" s="28" t="n">
        <f aca="false">IF(ISNUMBER(U109),MIN(U109,Parameters!$C$38)/Parameters!$C$38,"NA")</f>
        <v>1</v>
      </c>
    </row>
    <row r="110" customFormat="false" ht="15" hidden="false" customHeight="true" outlineLevel="0" collapsed="false">
      <c r="A110" s="15" t="str">
        <f aca="false">Data!$A110</f>
        <v>VIVO</v>
      </c>
      <c r="B110" s="28" t="n">
        <f aca="false">IFERROR(INDEX(Parameters!$C$25:$C$28,MATCH(Data!$G110,Parameters!$B$25:$B$28,0)),"NA")</f>
        <v>1</v>
      </c>
      <c r="C110" s="32" t="n">
        <f aca="false">IF(Coding!AF110=0,"",Coding!AF110)</f>
        <v>10</v>
      </c>
      <c r="D110" s="28" t="n">
        <f aca="false">IF(OR(C110="",C110=0),"NA",IF(AND(Parameters!$C$39=1,ISNUMBER(B110),B110&lt;=Parameters!$C$40),0,MIN(C110,Parameters!$C$37)/Parameters!$C$37))</f>
        <v>1</v>
      </c>
      <c r="E110" s="28" t="n">
        <f aca="false">IF(Data!$F110="","NA",IF(SUMPRODUCT((Parameters!$B$66:$B$70&lt;&gt;"")*ISNUMBER(SEARCH(Parameters!$B$66:$B$70,Data!$F110)))&gt;0,Parameters!$C$63,Parameters!$C$64))</f>
        <v>1</v>
      </c>
      <c r="F110" s="32" t="n">
        <f aca="false">IF(OR(Data!$L110="",Data!$L110="Not applicable"),"",LEN(Data!$L110)-LEN(SUBSTITUTE(Data!$L110,"|",""))+1-IF(ISNUMBER(SEARCH("Other",Data!$L110)),1,0)-IF(ISNUMBER(SEARCH("Not applicable",Data!$L110)),1,0)+IF(AND(ISNUMBER(SEARCH("Other",Data!$L110)),Data!$M110&lt;&gt;""),1,0))</f>
        <v>7</v>
      </c>
      <c r="G110" s="28" t="n">
        <f aca="false">IF(OR(F110="",F110=0),"NA",MIN(F110,Parameters!$C$38)/Parameters!$C$38)</f>
        <v>1</v>
      </c>
      <c r="H110" s="15" t="str">
        <f aca="false">IF(Data!$N110="","Blank",IF(SUMPRODUCT((Parameters!$B$49:$B$53&lt;&gt;"")*ISNUMBER(SEARCH(Parameters!$B$49:$B$53,Data!$N110)))&gt;0,"CHECK: suspect URL",IF(ISNUMBER(SEARCH(Parameters!$C$46,Data!$N110)),"Contribution guide","Other page")))</f>
        <v>Other page</v>
      </c>
      <c r="I110" s="28" t="n">
        <f aca="false">IF(H110="Contribution guide",Parameters!$C$44,IF(H110="Other page",Parameters!$C$45,"NA"))</f>
        <v>0.5</v>
      </c>
      <c r="J110" s="28" t="n">
        <f aca="false">IFERROR(INDEX(Parameters!$C$25:$C$28,MATCH(Data!$O110,Parameters!$B$25:$B$28,0)),"NA")</f>
        <v>0.33</v>
      </c>
      <c r="K110" s="28" t="n">
        <f aca="false">IFERROR(INDEX(Parameters!$C$32:$C$34,MATCH(Data!$Q110,Parameters!$B$32:$B$34,0)),"NA")</f>
        <v>1</v>
      </c>
      <c r="L110" s="32" t="n">
        <f aca="false">IF(AND(Coding!AF110&gt;0,ISNUMBER(B110),B110&lt;=Parameters!$C$40),1,0)</f>
        <v>0</v>
      </c>
      <c r="M110" s="32" t="n">
        <f aca="false">IF(AND(Data!$P110&lt;&gt;"",NOT(AND(ISNUMBER(J110),J110=1))),1,0)</f>
        <v>0</v>
      </c>
      <c r="N110" s="32" t="n">
        <f aca="false">IF(AND(Data!$Q110="Formal",Data!$R110=""),1,0)</f>
        <v>0</v>
      </c>
      <c r="O110" s="32" t="n">
        <f aca="false">IF(AND(Data!$Q110="",Data!$R110&lt;&gt;""),1,0)</f>
        <v>0</v>
      </c>
      <c r="P110" s="32" t="n">
        <f aca="false">IF(AND(ISNUMBER(B110),B110=1,Coding!AF110=0,OR(Data!$I110&lt;&gt;"",Data!$J110&lt;&gt;"")),1,0)</f>
        <v>0</v>
      </c>
      <c r="Q110" s="32" t="n">
        <f aca="false">IF(H110="CHECK: suspect URL",1,0)</f>
        <v>0</v>
      </c>
      <c r="R110" s="32" t="n">
        <f aca="false">IF(AND(OR(Data!$K110="Considering",Data!$K110="Not planning"),OR(AND(ISNUMBER(F110),F110&gt;0),Data!$N110&lt;&gt;"")),1,0)</f>
        <v>0</v>
      </c>
      <c r="S110" s="32" t="n">
        <f aca="false">IF(Data!$F110="",1,0)</f>
        <v>0</v>
      </c>
      <c r="T110" s="32" t="n">
        <f aca="false">SUM(L110:S110)</f>
        <v>0</v>
      </c>
      <c r="U110" s="32" t="n">
        <f aca="false">IF(ISNUMBER(F110),F110-IF(ISNUMBER(SEARCH("Contribute funds",Data!$L110)),1,0),"")</f>
        <v>6</v>
      </c>
      <c r="V110" s="28" t="n">
        <f aca="false">IF(ISNUMBER(U110),MIN(U110,Parameters!$C$38)/Parameters!$C$38,"NA")</f>
        <v>1</v>
      </c>
    </row>
    <row r="111" customFormat="false" ht="15" hidden="false" customHeight="true" outlineLevel="0" collapsed="false">
      <c r="A111" s="15" t="str">
        <f aca="false">Data!$A111</f>
        <v>VuFind®</v>
      </c>
      <c r="B111" s="28" t="n">
        <f aca="false">IFERROR(INDEX(Parameters!$C$25:$C$28,MATCH(Data!$G111,Parameters!$B$25:$B$28,0)),"NA")</f>
        <v>1</v>
      </c>
      <c r="C111" s="32" t="n">
        <f aca="false">IF(Coding!AF111=0,"",Coding!AF111)</f>
        <v>6</v>
      </c>
      <c r="D111" s="28" t="n">
        <f aca="false">IF(OR(C111="",C111=0),"NA",IF(AND(Parameters!$C$39=1,ISNUMBER(B111),B111&lt;=Parameters!$C$40),0,MIN(C111,Parameters!$C$37)/Parameters!$C$37))</f>
        <v>0.75</v>
      </c>
      <c r="E111" s="28" t="n">
        <f aca="false">IF(Data!$F111="","NA",IF(SUMPRODUCT((Parameters!$B$66:$B$70&lt;&gt;"")*ISNUMBER(SEARCH(Parameters!$B$66:$B$70,Data!$F111)))&gt;0,Parameters!$C$63,Parameters!$C$64))</f>
        <v>1</v>
      </c>
      <c r="F111" s="32" t="n">
        <f aca="false">IF(OR(Data!$L111="",Data!$L111="Not applicable"),"",LEN(Data!$L111)-LEN(SUBSTITUTE(Data!$L111,"|",""))+1-IF(ISNUMBER(SEARCH("Other",Data!$L111)),1,0)-IF(ISNUMBER(SEARCH("Not applicable",Data!$L111)),1,0)+IF(AND(ISNUMBER(SEARCH("Other",Data!$L111)),Data!$M111&lt;&gt;""),1,0))</f>
        <v>6</v>
      </c>
      <c r="G111" s="28" t="n">
        <f aca="false">IF(OR(F111="",F111=0),"NA",MIN(F111,Parameters!$C$38)/Parameters!$C$38)</f>
        <v>1</v>
      </c>
      <c r="H111" s="15" t="str">
        <f aca="false">IF(Data!$N111="","Blank",IF(SUMPRODUCT((Parameters!$B$49:$B$53&lt;&gt;"")*ISNUMBER(SEARCH(Parameters!$B$49:$B$53,Data!$N111)))&gt;0,"CHECK: suspect URL",IF(ISNUMBER(SEARCH(Parameters!$C$46,Data!$N111)),"Contribution guide","Other page")))</f>
        <v>Contribution guide</v>
      </c>
      <c r="I111" s="28" t="n">
        <f aca="false">IF(H111="Contribution guide",Parameters!$C$44,IF(H111="Other page",Parameters!$C$45,"NA"))</f>
        <v>1</v>
      </c>
      <c r="J111" s="28" t="n">
        <f aca="false">IFERROR(INDEX(Parameters!$C$25:$C$28,MATCH(Data!$O111,Parameters!$B$25:$B$28,0)),"NA")</f>
        <v>1</v>
      </c>
      <c r="K111" s="28" t="n">
        <f aca="false">IFERROR(INDEX(Parameters!$C$32:$C$34,MATCH(Data!$Q111,Parameters!$B$32:$B$34,0)),"NA")</f>
        <v>1</v>
      </c>
      <c r="L111" s="32" t="n">
        <f aca="false">IF(AND(Coding!AF111&gt;0,ISNUMBER(B111),B111&lt;=Parameters!$C$40),1,0)</f>
        <v>0</v>
      </c>
      <c r="M111" s="32" t="n">
        <f aca="false">IF(AND(Data!$P111&lt;&gt;"",NOT(AND(ISNUMBER(J111),J111=1))),1,0)</f>
        <v>0</v>
      </c>
      <c r="N111" s="32" t="n">
        <f aca="false">IF(AND(Data!$Q111="Formal",Data!$R111=""),1,0)</f>
        <v>0</v>
      </c>
      <c r="O111" s="32" t="n">
        <f aca="false">IF(AND(Data!$Q111="",Data!$R111&lt;&gt;""),1,0)</f>
        <v>0</v>
      </c>
      <c r="P111" s="32" t="n">
        <f aca="false">IF(AND(ISNUMBER(B111),B111=1,Coding!AF111=0,OR(Data!$I111&lt;&gt;"",Data!$J111&lt;&gt;"")),1,0)</f>
        <v>0</v>
      </c>
      <c r="Q111" s="32" t="n">
        <f aca="false">IF(H111="CHECK: suspect URL",1,0)</f>
        <v>0</v>
      </c>
      <c r="R111" s="32" t="n">
        <f aca="false">IF(AND(OR(Data!$K111="Considering",Data!$K111="Not planning"),OR(AND(ISNUMBER(F111),F111&gt;0),Data!$N111&lt;&gt;"")),1,0)</f>
        <v>0</v>
      </c>
      <c r="S111" s="32" t="n">
        <f aca="false">IF(Data!$F111="",1,0)</f>
        <v>0</v>
      </c>
      <c r="T111" s="32" t="n">
        <f aca="false">SUM(L111:S111)</f>
        <v>0</v>
      </c>
      <c r="U111" s="32" t="n">
        <f aca="false">IF(ISNUMBER(F111),F111-IF(ISNUMBER(SEARCH("Contribute funds",Data!$L111)),1,0),"")</f>
        <v>5</v>
      </c>
      <c r="V111" s="28" t="n">
        <f aca="false">IF(ISNUMBER(U111),MIN(U111,Parameters!$C$38)/Parameters!$C$38,"NA")</f>
        <v>0.833333333333333</v>
      </c>
    </row>
    <row r="112" customFormat="false" ht="15" hidden="false" customHeight="true" outlineLevel="0" collapsed="false">
      <c r="A112" s="15" t="str">
        <f aca="false">Data!$A112</f>
        <v>Zenodo</v>
      </c>
      <c r="B112" s="28" t="n">
        <f aca="false">IFERROR(INDEX(Parameters!$C$25:$C$28,MATCH(Data!$G112,Parameters!$B$25:$B$28,0)),"NA")</f>
        <v>0</v>
      </c>
      <c r="C112" s="32" t="str">
        <f aca="false">IF(Coding!AF112=0,"",Coding!AF112)</f>
        <v/>
      </c>
      <c r="D112" s="28" t="str">
        <f aca="false">IF(OR(C112="",C112=0),"NA",IF(AND(Parameters!$C$39=1,ISNUMBER(B112),B112&lt;=Parameters!$C$40),0,MIN(C112,Parameters!$C$37)/Parameters!$C$37))</f>
        <v>NA</v>
      </c>
      <c r="E112" s="28" t="n">
        <f aca="false">IF(Data!$F112="","NA",IF(SUMPRODUCT((Parameters!$B$66:$B$70&lt;&gt;"")*ISNUMBER(SEARCH(Parameters!$B$66:$B$70,Data!$F112)))&gt;0,Parameters!$C$63,Parameters!$C$64))</f>
        <v>1</v>
      </c>
      <c r="F112" s="32" t="n">
        <f aca="false">IF(OR(Data!$L112="",Data!$L112="Not applicable"),"",LEN(Data!$L112)-LEN(SUBSTITUTE(Data!$L112,"|",""))+1-IF(ISNUMBER(SEARCH("Other",Data!$L112)),1,0)-IF(ISNUMBER(SEARCH("Not applicable",Data!$L112)),1,0)+IF(AND(ISNUMBER(SEARCH("Other",Data!$L112)),Data!$M112&lt;&gt;""),1,0))</f>
        <v>4</v>
      </c>
      <c r="G112" s="28" t="n">
        <f aca="false">IF(OR(F112="",F112=0),"NA",MIN(F112,Parameters!$C$38)/Parameters!$C$38)</f>
        <v>0.666666666666667</v>
      </c>
      <c r="H112" s="15" t="str">
        <f aca="false">IF(Data!$N112="","Blank",IF(SUMPRODUCT((Parameters!$B$49:$B$53&lt;&gt;"")*ISNUMBER(SEARCH(Parameters!$B$49:$B$53,Data!$N112)))&gt;0,"CHECK: suspect URL",IF(ISNUMBER(SEARCH(Parameters!$C$46,Data!$N112)),"Contribution guide","Other page")))</f>
        <v>Other page</v>
      </c>
      <c r="I112" s="28" t="n">
        <f aca="false">IF(H112="Contribution guide",Parameters!$C$44,IF(H112="Other page",Parameters!$C$45,"NA"))</f>
        <v>0.5</v>
      </c>
      <c r="J112" s="28" t="n">
        <f aca="false">IFERROR(INDEX(Parameters!$C$25:$C$28,MATCH(Data!$O112,Parameters!$B$25:$B$28,0)),"NA")</f>
        <v>1</v>
      </c>
      <c r="K112" s="28" t="n">
        <f aca="false">IFERROR(INDEX(Parameters!$C$32:$C$34,MATCH(Data!$Q112,Parameters!$B$32:$B$34,0)),"NA")</f>
        <v>0.5</v>
      </c>
      <c r="L112" s="32" t="n">
        <f aca="false">IF(AND(Coding!AF112&gt;0,ISNUMBER(B112),B112&lt;=Parameters!$C$40),1,0)</f>
        <v>0</v>
      </c>
      <c r="M112" s="32" t="n">
        <f aca="false">IF(AND(Data!$P112&lt;&gt;"",NOT(AND(ISNUMBER(J112),J112=1))),1,0)</f>
        <v>0</v>
      </c>
      <c r="N112" s="32" t="n">
        <f aca="false">IF(AND(Data!$Q112="Formal",Data!$R112=""),1,0)</f>
        <v>0</v>
      </c>
      <c r="O112" s="32" t="n">
        <f aca="false">IF(AND(Data!$Q112="",Data!$R112&lt;&gt;""),1,0)</f>
        <v>0</v>
      </c>
      <c r="P112" s="32" t="n">
        <f aca="false">IF(AND(ISNUMBER(B112),B112=1,Coding!AF112=0,OR(Data!$I112&lt;&gt;"",Data!$J112&lt;&gt;"")),1,0)</f>
        <v>0</v>
      </c>
      <c r="Q112" s="32" t="n">
        <f aca="false">IF(H112="CHECK: suspect URL",1,0)</f>
        <v>0</v>
      </c>
      <c r="R112" s="32" t="n">
        <f aca="false">IF(AND(OR(Data!$K112="Considering",Data!$K112="Not planning"),OR(AND(ISNUMBER(F112),F112&gt;0),Data!$N112&lt;&gt;"")),1,0)</f>
        <v>0</v>
      </c>
      <c r="S112" s="32" t="n">
        <f aca="false">IF(Data!$F112="",1,0)</f>
        <v>0</v>
      </c>
      <c r="T112" s="32" t="n">
        <f aca="false">SUM(L112:S112)</f>
        <v>0</v>
      </c>
      <c r="U112" s="32" t="n">
        <f aca="false">IF(ISNUMBER(F112),F112-IF(ISNUMBER(SEARCH("Contribute funds",Data!$L112)),1,0),"")</f>
        <v>3</v>
      </c>
      <c r="V112" s="28" t="n">
        <f aca="false">IF(ISNUMBER(U112),MIN(U112,Parameters!$C$38)/Parameters!$C$38,"NA")</f>
        <v>0.5</v>
      </c>
    </row>
    <row r="113" customFormat="false" ht="15" hidden="false" customHeight="true" outlineLevel="0" collapsed="false">
      <c r="A113" s="15" t="str">
        <f aca="false">Data!$A113</f>
        <v>Zotero</v>
      </c>
      <c r="B113" s="28" t="n">
        <f aca="false">IFERROR(INDEX(Parameters!$C$25:$C$28,MATCH(Data!$G113,Parameters!$B$25:$B$28,0)),"NA")</f>
        <v>1</v>
      </c>
      <c r="C113" s="32" t="n">
        <f aca="false">IF(Coding!AF113=0,"",Coding!AF113)</f>
        <v>4</v>
      </c>
      <c r="D113" s="28" t="n">
        <f aca="false">IF(OR(C113="",C113=0),"NA",IF(AND(Parameters!$C$39=1,ISNUMBER(B113),B113&lt;=Parameters!$C$40),0,MIN(C113,Parameters!$C$37)/Parameters!$C$37))</f>
        <v>0.5</v>
      </c>
      <c r="E113" s="28" t="n">
        <f aca="false">IF(Data!$F113="","NA",IF(SUMPRODUCT((Parameters!$B$66:$B$70&lt;&gt;"")*ISNUMBER(SEARCH(Parameters!$B$66:$B$70,Data!$F113)))&gt;0,Parameters!$C$63,Parameters!$C$64))</f>
        <v>1</v>
      </c>
      <c r="F113" s="32" t="n">
        <f aca="false">IF(OR(Data!$L113="",Data!$L113="Not applicable"),"",LEN(Data!$L113)-LEN(SUBSTITUTE(Data!$L113,"|",""))+1-IF(ISNUMBER(SEARCH("Other",Data!$L113)),1,0)-IF(ISNUMBER(SEARCH("Not applicable",Data!$L113)),1,0)+IF(AND(ISNUMBER(SEARCH("Other",Data!$L113)),Data!$M113&lt;&gt;""),1,0))</f>
        <v>3</v>
      </c>
      <c r="G113" s="28" t="n">
        <f aca="false">IF(OR(F113="",F113=0),"NA",MIN(F113,Parameters!$C$38)/Parameters!$C$38)</f>
        <v>0.5</v>
      </c>
      <c r="H113" s="15" t="str">
        <f aca="false">IF(Data!$N113="","Blank",IF(SUMPRODUCT((Parameters!$B$49:$B$53&lt;&gt;"")*ISNUMBER(SEARCH(Parameters!$B$49:$B$53,Data!$N113)))&gt;0,"CHECK: suspect URL",IF(ISNUMBER(SEARCH(Parameters!$C$46,Data!$N113)),"Contribution guide","Other page")))</f>
        <v>Other page</v>
      </c>
      <c r="I113" s="28" t="n">
        <f aca="false">IF(H113="Contribution guide",Parameters!$C$44,IF(H113="Other page",Parameters!$C$45,"NA"))</f>
        <v>0.5</v>
      </c>
      <c r="J113" s="28" t="n">
        <f aca="false">IFERROR(INDEX(Parameters!$C$25:$C$28,MATCH(Data!$O113,Parameters!$B$25:$B$28,0)),"NA")</f>
        <v>1</v>
      </c>
      <c r="K113" s="28" t="n">
        <f aca="false">IFERROR(INDEX(Parameters!$C$32:$C$34,MATCH(Data!$Q113,Parameters!$B$32:$B$34,0)),"NA")</f>
        <v>0.5</v>
      </c>
      <c r="L113" s="32" t="n">
        <f aca="false">IF(AND(Coding!AF113&gt;0,ISNUMBER(B113),B113&lt;=Parameters!$C$40),1,0)</f>
        <v>0</v>
      </c>
      <c r="M113" s="32" t="n">
        <f aca="false">IF(AND(Data!$P113&lt;&gt;"",NOT(AND(ISNUMBER(J113),J113=1))),1,0)</f>
        <v>0</v>
      </c>
      <c r="N113" s="32" t="n">
        <f aca="false">IF(AND(Data!$Q113="Formal",Data!$R113=""),1,0)</f>
        <v>0</v>
      </c>
      <c r="O113" s="32" t="n">
        <f aca="false">IF(AND(Data!$Q113="",Data!$R113&lt;&gt;""),1,0)</f>
        <v>0</v>
      </c>
      <c r="P113" s="32" t="n">
        <f aca="false">IF(AND(ISNUMBER(B113),B113=1,Coding!AF113=0,OR(Data!$I113&lt;&gt;"",Data!$J113&lt;&gt;"")),1,0)</f>
        <v>0</v>
      </c>
      <c r="Q113" s="32" t="n">
        <f aca="false">IF(H113="CHECK: suspect URL",1,0)</f>
        <v>0</v>
      </c>
      <c r="R113" s="32" t="n">
        <f aca="false">IF(AND(OR(Data!$K113="Considering",Data!$K113="Not planning"),OR(AND(ISNUMBER(F113),F113&gt;0),Data!$N113&lt;&gt;"")),1,0)</f>
        <v>0</v>
      </c>
      <c r="S113" s="32" t="n">
        <f aca="false">IF(Data!$F113="",1,0)</f>
        <v>0</v>
      </c>
      <c r="T113" s="32" t="n">
        <f aca="false">SUM(L113:S113)</f>
        <v>0</v>
      </c>
      <c r="U113" s="32" t="n">
        <f aca="false">IF(ISNUMBER(F113),F113-IF(ISNUMBER(SEARCH("Contribute funds",Data!$L113)),1,0),"")</f>
        <v>2</v>
      </c>
      <c r="V113" s="28" t="n">
        <f aca="false">IF(ISNUMBER(U113),MIN(U113,Parameters!$C$38)/Parameters!$C$38,"NA")</f>
        <v>0.333333333333333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P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6" min="2" style="1" width="15"/>
  </cols>
  <sheetData>
    <row r="1" customFormat="false" ht="72" hidden="false" customHeight="true" outlineLevel="0" collapsed="false">
      <c r="A1" s="7" t="s">
        <v>236</v>
      </c>
      <c r="B1" s="7" t="s">
        <v>328</v>
      </c>
      <c r="C1" s="7" t="s">
        <v>204</v>
      </c>
      <c r="D1" s="7" t="s">
        <v>205</v>
      </c>
      <c r="E1" s="7" t="s">
        <v>206</v>
      </c>
      <c r="F1" s="7" t="s">
        <v>207</v>
      </c>
      <c r="G1" s="7" t="s">
        <v>329</v>
      </c>
      <c r="H1" s="7" t="s">
        <v>330</v>
      </c>
      <c r="I1" s="7" t="s">
        <v>331</v>
      </c>
      <c r="J1" s="7" t="s">
        <v>332</v>
      </c>
      <c r="K1" s="7" t="s">
        <v>333</v>
      </c>
      <c r="L1" s="7" t="s">
        <v>334</v>
      </c>
      <c r="M1" s="7" t="s">
        <v>335</v>
      </c>
      <c r="N1" s="7" t="s">
        <v>336</v>
      </c>
      <c r="O1" s="7" t="s">
        <v>337</v>
      </c>
      <c r="P1" s="7" t="s">
        <v>338</v>
      </c>
    </row>
    <row r="2" customFormat="false" ht="15" hidden="false" customHeight="true" outlineLevel="0" collapsed="false">
      <c r="A2" s="15" t="str">
        <f aca="false">Data!$A2</f>
        <v>2i2c</v>
      </c>
      <c r="B2" s="29" t="str">
        <f aca="false">Scoring!S2</f>
        <v>NA</v>
      </c>
      <c r="C2" s="29" t="str">
        <f aca="false">IF(AND(Scoring!N2&gt;=Parameters!$C$57,Scoring!Q2&gt;=Parameters!$C$59),Scoring!O2/Scoring!N2*100,"NA")</f>
        <v>NA</v>
      </c>
      <c r="D2" s="29" t="str">
        <f aca="false">IF(AND(Scoring!N2&gt;=Parameters!$C$58,Scoring!Q2&gt;=Parameters!$C$59),Scoring!O2/Scoring!N2*100,"NA")</f>
        <v>NA</v>
      </c>
      <c r="E2" s="29" t="str">
        <f aca="false">IF(AND((Scoring!N2-IF(ISNUMBER(Scoring!E2),Parameters!$E$7,0)+IF(ISNUMBER(IF(Verification!D2&lt;&gt;"",Verification!D2,IF(Coding!AG2=0,"NA",IF(AND(Parameters!$C$39=1,ISNUMBER(Calc!B2),Calc!B2&lt;=Parameters!$C$40),0,MIN(Coding!AG2,Parameters!$C$37)/Parameters!$C$37)))),Parameters!$E$7,0))&gt;=Parameters!$C$56,Scoring!Q2&gt;=Parameters!$C$59),(Scoring!O2-IF(ISNUMBER(Scoring!E2),Parameters!$E$7*Scoring!E2,0)+IF(ISNUMBER(IF(Verification!D2&lt;&gt;"",Verification!D2,IF(Coding!AG2=0,"NA",IF(AND(Parameters!$C$39=1,ISNUMBER(Calc!B2),Calc!B2&lt;=Parameters!$C$40),0,MIN(Coding!AG2,Parameters!$C$37)/Parameters!$C$37)))),Parameters!$E$7*IF(Verification!D2&lt;&gt;"",Verification!D2,IF(Coding!AG2=0,"NA",IF(AND(Parameters!$C$39=1,ISNUMBER(Calc!B2),Calc!B2&lt;=Parameters!$C$40),0,MIN(Coding!AG2,Parameters!$C$37)/Parameters!$C$37))),0))/(Scoring!N2-IF(ISNUMBER(Scoring!E2),Parameters!$E$7,0)+IF(ISNUMBER(IF(Verification!D2&lt;&gt;"",Verification!D2,IF(Coding!AG2=0,"NA",IF(AND(Parameters!$C$39=1,ISNUMBER(Calc!B2),Calc!B2&lt;=Parameters!$C$40),0,MIN(Coding!AG2,Parameters!$C$37)/Parameters!$C$37)))),Parameters!$E$7,0))*100,"NA")</f>
        <v>NA</v>
      </c>
      <c r="F2" s="29" t="str">
        <f aca="false">IF(Scoring!R2="Yes",AVERAGE(Scoring!D2:J2)*100,"NA")</f>
        <v>NA</v>
      </c>
      <c r="G2" s="29" t="str">
        <f aca="false">IF(AND((Scoring!N2-IF(ISNUMBER(Scoring!F2),Parameters!$E$8,0)+IF(ISNUMBER(IF(Verification!E2&lt;&gt;"",Scoring!F2,Calc!V2)),Parameters!$E$8,0))&gt;=Parameters!$C$56,Scoring!Q2&gt;=Parameters!$C$59),(Scoring!O2-IF(ISNUMBER(Scoring!F2),Parameters!$E$8*Scoring!F2,0)+IF(ISNUMBER(IF(Verification!E2&lt;&gt;"",Scoring!F2,Calc!V2)),Parameters!$E$8*IF(Verification!E2&lt;&gt;"",Scoring!F2,Calc!V2),0))/(Scoring!N2-IF(ISNUMBER(Scoring!F2),Parameters!$E$8,0)+IF(ISNUMBER(IF(Verification!E2&lt;&gt;"",Scoring!F2,Calc!V2)),Parameters!$E$8,0))*100,"NA")</f>
        <v>NA</v>
      </c>
      <c r="H2" s="29" t="str">
        <f aca="false">IF(ISNUMBER(Scoring!S2),(Scoring!N2/Parameters!$E$13)*Scoring!S2+(1-Scoring!N2/Parameters!$E$13)*Summary!$B$9,"NA")</f>
        <v>NA</v>
      </c>
      <c r="I2" s="29" t="str">
        <f aca="false">IF(AND(ISNUMBER(Scoring!S2),COUNT(Scoring!E2,Scoring!F2)&gt;0),Scoring!S2,"NA")</f>
        <v>NA</v>
      </c>
      <c r="J2" s="29" t="str">
        <f aca="false">IF(AND(ISNUMBER($B2),ISNUMBER(C2)),ABS(C2-$B2),"")</f>
        <v/>
      </c>
      <c r="K2" s="29" t="str">
        <f aca="false">IF(AND(ISNUMBER($B2),ISNUMBER(D2)),ABS(D2-$B2),"")</f>
        <v/>
      </c>
      <c r="L2" s="29" t="str">
        <f aca="false">IF(AND(ISNUMBER($B2),ISNUMBER(E2)),ABS(E2-$B2),"")</f>
        <v/>
      </c>
      <c r="M2" s="29" t="str">
        <f aca="false">IF(AND(ISNUMBER($B2),ISNUMBER(F2)),ABS(F2-$B2),"")</f>
        <v/>
      </c>
      <c r="N2" s="29" t="str">
        <f aca="false">IF(AND(ISNUMBER($B2),ISNUMBER(G2)),ABS(G2-$B2),"")</f>
        <v/>
      </c>
      <c r="O2" s="29" t="str">
        <f aca="false">IF(AND(ISNUMBER($B2),ISNUMBER(H2)),ABS(H2-$B2),"")</f>
        <v/>
      </c>
      <c r="P2" s="29" t="str">
        <f aca="false">IF(AND(ISNUMBER($B2),ISNUMBER(I2)),ABS(I2-$B2),"")</f>
        <v/>
      </c>
    </row>
    <row r="3" customFormat="false" ht="15" hidden="false" customHeight="true" outlineLevel="0" collapsed="false">
      <c r="A3" s="15" t="str">
        <f aca="false">Data!$A3</f>
        <v>Academic Preservation Trust (APTrust)</v>
      </c>
      <c r="B3" s="29" t="n">
        <f aca="false">Scoring!S3</f>
        <v>94</v>
      </c>
      <c r="C3" s="29" t="n">
        <f aca="false">IF(AND(Scoring!N3&gt;=Parameters!$C$57,Scoring!Q3&gt;=Parameters!$C$59),Scoring!O3/Scoring!N3*100,"NA")</f>
        <v>94</v>
      </c>
      <c r="D3" s="29" t="n">
        <f aca="false">IF(AND(Scoring!N3&gt;=Parameters!$C$58,Scoring!Q3&gt;=Parameters!$C$59),Scoring!O3/Scoring!N3*100,"NA")</f>
        <v>94</v>
      </c>
      <c r="E3" s="29" t="n">
        <f aca="false">IF(AND((Scoring!N3-IF(ISNUMBER(Scoring!E3),Parameters!$E$7,0)+IF(ISNUMBER(IF(Verification!D3&lt;&gt;"",Verification!D3,IF(Coding!AG3=0,"NA",IF(AND(Parameters!$C$39=1,ISNUMBER(Calc!B3),Calc!B3&lt;=Parameters!$C$40),0,MIN(Coding!AG3,Parameters!$C$37)/Parameters!$C$37)))),Parameters!$E$7,0))&gt;=Parameters!$C$56,Scoring!Q3&gt;=Parameters!$C$59),(Scoring!O3-IF(ISNUMBER(Scoring!E3),Parameters!$E$7*Scoring!E3,0)+IF(ISNUMBER(IF(Verification!D3&lt;&gt;"",Verification!D3,IF(Coding!AG3=0,"NA",IF(AND(Parameters!$C$39=1,ISNUMBER(Calc!B3),Calc!B3&lt;=Parameters!$C$40),0,MIN(Coding!AG3,Parameters!$C$37)/Parameters!$C$37)))),Parameters!$E$7*IF(Verification!D3&lt;&gt;"",Verification!D3,IF(Coding!AG3=0,"NA",IF(AND(Parameters!$C$39=1,ISNUMBER(Calc!B3),Calc!B3&lt;=Parameters!$C$40),0,MIN(Coding!AG3,Parameters!$C$37)/Parameters!$C$37))),0))/(Scoring!N3-IF(ISNUMBER(Scoring!E3),Parameters!$E$7,0)+IF(ISNUMBER(IF(Verification!D3&lt;&gt;"",Verification!D3,IF(Coding!AG3=0,"NA",IF(AND(Parameters!$C$39=1,ISNUMBER(Calc!B3),Calc!B3&lt;=Parameters!$C$40),0,MIN(Coding!AG3,Parameters!$C$37)/Parameters!$C$37)))),Parameters!$E$7,0))*100,"NA")</f>
        <v>94</v>
      </c>
      <c r="F3" s="29" t="n">
        <f aca="false">IF(Scoring!R3="Yes",AVERAGE(Scoring!D3:J3)*100,"NA")</f>
        <v>92.8571428571429</v>
      </c>
      <c r="G3" s="29" t="n">
        <f aca="false">IF(AND((Scoring!N3-IF(ISNUMBER(Scoring!F3),Parameters!$E$8,0)+IF(ISNUMBER(IF(Verification!E3&lt;&gt;"",Scoring!F3,Calc!V3)),Parameters!$E$8,0))&gt;=Parameters!$C$56,Scoring!Q3&gt;=Parameters!$C$59),(Scoring!O3-IF(ISNUMBER(Scoring!F3),Parameters!$E$8*Scoring!F3,0)+IF(ISNUMBER(IF(Verification!E3&lt;&gt;"",Scoring!F3,Calc!V3)),Parameters!$E$8*IF(Verification!E3&lt;&gt;"",Scoring!F3,Calc!V3),0))/(Scoring!N3-IF(ISNUMBER(Scoring!F3),Parameters!$E$8,0)+IF(ISNUMBER(IF(Verification!E3&lt;&gt;"",Scoring!F3,Calc!V3)),Parameters!$E$8,0))*100,"NA")</f>
        <v>94</v>
      </c>
      <c r="H3" s="29" t="n">
        <f aca="false">IF(ISNUMBER(Scoring!S3),(Scoring!N3/Parameters!$E$13)*Scoring!S3+(1-Scoring!N3/Parameters!$E$13)*Summary!$B$9,"NA")</f>
        <v>94</v>
      </c>
      <c r="I3" s="29" t="n">
        <f aca="false">IF(AND(ISNUMBER(Scoring!S3),COUNT(Scoring!E3,Scoring!F3)&gt;0),Scoring!S3,"NA")</f>
        <v>94</v>
      </c>
      <c r="J3" s="29" t="n">
        <f aca="false">IF(AND(ISNUMBER($B3),ISNUMBER(C3)),ABS(C3-$B3),"")</f>
        <v>0</v>
      </c>
      <c r="K3" s="29" t="n">
        <f aca="false">IF(AND(ISNUMBER($B3),ISNUMBER(D3)),ABS(D3-$B3),"")</f>
        <v>0</v>
      </c>
      <c r="L3" s="29" t="n">
        <f aca="false">IF(AND(ISNUMBER($B3),ISNUMBER(E3)),ABS(E3-$B3),"")</f>
        <v>0</v>
      </c>
      <c r="M3" s="29" t="n">
        <f aca="false">IF(AND(ISNUMBER($B3),ISNUMBER(F3)),ABS(F3-$B3),"")</f>
        <v>1.14285714285715</v>
      </c>
      <c r="N3" s="29" t="n">
        <f aca="false">IF(AND(ISNUMBER($B3),ISNUMBER(G3)),ABS(G3-$B3),"")</f>
        <v>0</v>
      </c>
      <c r="O3" s="29" t="n">
        <f aca="false">IF(AND(ISNUMBER($B3),ISNUMBER(H3)),ABS(H3-$B3),"")</f>
        <v>0</v>
      </c>
      <c r="P3" s="29" t="n">
        <f aca="false">IF(AND(ISNUMBER($B3),ISNUMBER(I3)),ABS(I3-$B3),"")</f>
        <v>0</v>
      </c>
    </row>
    <row r="4" customFormat="false" ht="15" hidden="false" customHeight="true" outlineLevel="0" collapsed="false">
      <c r="A4" s="15" t="str">
        <f aca="false">Data!$A4</f>
        <v>AfricArXiv</v>
      </c>
      <c r="B4" s="29" t="str">
        <f aca="false">Scoring!S4</f>
        <v>NA</v>
      </c>
      <c r="C4" s="29" t="str">
        <f aca="false">IF(AND(Scoring!N4&gt;=Parameters!$C$57,Scoring!Q4&gt;=Parameters!$C$59),Scoring!O4/Scoring!N4*100,"NA")</f>
        <v>NA</v>
      </c>
      <c r="D4" s="29" t="str">
        <f aca="false">IF(AND(Scoring!N4&gt;=Parameters!$C$58,Scoring!Q4&gt;=Parameters!$C$59),Scoring!O4/Scoring!N4*100,"NA")</f>
        <v>NA</v>
      </c>
      <c r="E4" s="29" t="str">
        <f aca="false">IF(AND((Scoring!N4-IF(ISNUMBER(Scoring!E4),Parameters!$E$7,0)+IF(ISNUMBER(IF(Verification!D4&lt;&gt;"",Verification!D4,IF(Coding!AG4=0,"NA",IF(AND(Parameters!$C$39=1,ISNUMBER(Calc!B4),Calc!B4&lt;=Parameters!$C$40),0,MIN(Coding!AG4,Parameters!$C$37)/Parameters!$C$37)))),Parameters!$E$7,0))&gt;=Parameters!$C$56,Scoring!Q4&gt;=Parameters!$C$59),(Scoring!O4-IF(ISNUMBER(Scoring!E4),Parameters!$E$7*Scoring!E4,0)+IF(ISNUMBER(IF(Verification!D4&lt;&gt;"",Verification!D4,IF(Coding!AG4=0,"NA",IF(AND(Parameters!$C$39=1,ISNUMBER(Calc!B4),Calc!B4&lt;=Parameters!$C$40),0,MIN(Coding!AG4,Parameters!$C$37)/Parameters!$C$37)))),Parameters!$E$7*IF(Verification!D4&lt;&gt;"",Verification!D4,IF(Coding!AG4=0,"NA",IF(AND(Parameters!$C$39=1,ISNUMBER(Calc!B4),Calc!B4&lt;=Parameters!$C$40),0,MIN(Coding!AG4,Parameters!$C$37)/Parameters!$C$37))),0))/(Scoring!N4-IF(ISNUMBER(Scoring!E4),Parameters!$E$7,0)+IF(ISNUMBER(IF(Verification!D4&lt;&gt;"",Verification!D4,IF(Coding!AG4=0,"NA",IF(AND(Parameters!$C$39=1,ISNUMBER(Calc!B4),Calc!B4&lt;=Parameters!$C$40),0,MIN(Coding!AG4,Parameters!$C$37)/Parameters!$C$37)))),Parameters!$E$7,0))*100,"NA")</f>
        <v>NA</v>
      </c>
      <c r="F4" s="29" t="str">
        <f aca="false">IF(Scoring!R4="Yes",AVERAGE(Scoring!D4:J4)*100,"NA")</f>
        <v>NA</v>
      </c>
      <c r="G4" s="29" t="str">
        <f aca="false">IF(AND((Scoring!N4-IF(ISNUMBER(Scoring!F4),Parameters!$E$8,0)+IF(ISNUMBER(IF(Verification!E4&lt;&gt;"",Scoring!F4,Calc!V4)),Parameters!$E$8,0))&gt;=Parameters!$C$56,Scoring!Q4&gt;=Parameters!$C$59),(Scoring!O4-IF(ISNUMBER(Scoring!F4),Parameters!$E$8*Scoring!F4,0)+IF(ISNUMBER(IF(Verification!E4&lt;&gt;"",Scoring!F4,Calc!V4)),Parameters!$E$8*IF(Verification!E4&lt;&gt;"",Scoring!F4,Calc!V4),0))/(Scoring!N4-IF(ISNUMBER(Scoring!F4),Parameters!$E$8,0)+IF(ISNUMBER(IF(Verification!E4&lt;&gt;"",Scoring!F4,Calc!V4)),Parameters!$E$8,0))*100,"NA")</f>
        <v>NA</v>
      </c>
      <c r="H4" s="29" t="str">
        <f aca="false">IF(ISNUMBER(Scoring!S4),(Scoring!N4/Parameters!$E$13)*Scoring!S4+(1-Scoring!N4/Parameters!$E$13)*Summary!$B$9,"NA")</f>
        <v>NA</v>
      </c>
      <c r="I4" s="29" t="str">
        <f aca="false">IF(AND(ISNUMBER(Scoring!S4),COUNT(Scoring!E4,Scoring!F4)&gt;0),Scoring!S4,"NA")</f>
        <v>NA</v>
      </c>
      <c r="J4" s="29" t="str">
        <f aca="false">IF(AND(ISNUMBER($B4),ISNUMBER(C4)),ABS(C4-$B4),"")</f>
        <v/>
      </c>
      <c r="K4" s="29" t="str">
        <f aca="false">IF(AND(ISNUMBER($B4),ISNUMBER(D4)),ABS(D4-$B4),"")</f>
        <v/>
      </c>
      <c r="L4" s="29" t="str">
        <f aca="false">IF(AND(ISNUMBER($B4),ISNUMBER(E4)),ABS(E4-$B4),"")</f>
        <v/>
      </c>
      <c r="M4" s="29" t="str">
        <f aca="false">IF(AND(ISNUMBER($B4),ISNUMBER(F4)),ABS(F4-$B4),"")</f>
        <v/>
      </c>
      <c r="N4" s="29" t="str">
        <f aca="false">IF(AND(ISNUMBER($B4),ISNUMBER(G4)),ABS(G4-$B4),"")</f>
        <v/>
      </c>
      <c r="O4" s="29" t="str">
        <f aca="false">IF(AND(ISNUMBER($B4),ISNUMBER(H4)),ABS(H4-$B4),"")</f>
        <v/>
      </c>
      <c r="P4" s="29" t="str">
        <f aca="false">IF(AND(ISNUMBER($B4),ISNUMBER(I4)),ABS(I4-$B4),"")</f>
        <v/>
      </c>
    </row>
    <row r="5" customFormat="false" ht="15" hidden="false" customHeight="true" outlineLevel="0" collapsed="false">
      <c r="A5" s="15" t="str">
        <f aca="false">Data!$A5</f>
        <v>Arches Heritage Data Management Platform</v>
      </c>
      <c r="B5" s="29" t="n">
        <f aca="false">Scoring!S5</f>
        <v>100</v>
      </c>
      <c r="C5" s="29" t="n">
        <f aca="false">IF(AND(Scoring!N5&gt;=Parameters!$C$57,Scoring!Q5&gt;=Parameters!$C$59),Scoring!O5/Scoring!N5*100,"NA")</f>
        <v>100</v>
      </c>
      <c r="D5" s="29" t="str">
        <f aca="false">IF(AND(Scoring!N5&gt;=Parameters!$C$58,Scoring!Q5&gt;=Parameters!$C$59),Scoring!O5/Scoring!N5*100,"NA")</f>
        <v>NA</v>
      </c>
      <c r="E5" s="29" t="n">
        <f aca="false">IF(AND((Scoring!N5-IF(ISNUMBER(Scoring!E5),Parameters!$E$7,0)+IF(ISNUMBER(IF(Verification!D5&lt;&gt;"",Verification!D5,IF(Coding!AG5=0,"NA",IF(AND(Parameters!$C$39=1,ISNUMBER(Calc!B5),Calc!B5&lt;=Parameters!$C$40),0,MIN(Coding!AG5,Parameters!$C$37)/Parameters!$C$37)))),Parameters!$E$7,0))&gt;=Parameters!$C$56,Scoring!Q5&gt;=Parameters!$C$59),(Scoring!O5-IF(ISNUMBER(Scoring!E5),Parameters!$E$7*Scoring!E5,0)+IF(ISNUMBER(IF(Verification!D5&lt;&gt;"",Verification!D5,IF(Coding!AG5=0,"NA",IF(AND(Parameters!$C$39=1,ISNUMBER(Calc!B5),Calc!B5&lt;=Parameters!$C$40),0,MIN(Coding!AG5,Parameters!$C$37)/Parameters!$C$37)))),Parameters!$E$7*IF(Verification!D5&lt;&gt;"",Verification!D5,IF(Coding!AG5=0,"NA",IF(AND(Parameters!$C$39=1,ISNUMBER(Calc!B5),Calc!B5&lt;=Parameters!$C$40),0,MIN(Coding!AG5,Parameters!$C$37)/Parameters!$C$37))),0))/(Scoring!N5-IF(ISNUMBER(Scoring!E5),Parameters!$E$7,0)+IF(ISNUMBER(IF(Verification!D5&lt;&gt;"",Verification!D5,IF(Coding!AG5=0,"NA",IF(AND(Parameters!$C$39=1,ISNUMBER(Calc!B5),Calc!B5&lt;=Parameters!$C$40),0,MIN(Coding!AG5,Parameters!$C$37)/Parameters!$C$37)))),Parameters!$E$7,0))*100,"NA")</f>
        <v>100</v>
      </c>
      <c r="F5" s="29" t="n">
        <f aca="false">IF(Scoring!R5="Yes",AVERAGE(Scoring!D5:J5)*100,"NA")</f>
        <v>100</v>
      </c>
      <c r="G5" s="29" t="n">
        <f aca="false">IF(AND((Scoring!N5-IF(ISNUMBER(Scoring!F5),Parameters!$E$8,0)+IF(ISNUMBER(IF(Verification!E5&lt;&gt;"",Scoring!F5,Calc!V5)),Parameters!$E$8,0))&gt;=Parameters!$C$56,Scoring!Q5&gt;=Parameters!$C$59),(Scoring!O5-IF(ISNUMBER(Scoring!F5),Parameters!$E$8*Scoring!F5,0)+IF(ISNUMBER(IF(Verification!E5&lt;&gt;"",Scoring!F5,Calc!V5)),Parameters!$E$8*IF(Verification!E5&lt;&gt;"",Scoring!F5,Calc!V5),0))/(Scoring!N5-IF(ISNUMBER(Scoring!F5),Parameters!$E$8,0)+IF(ISNUMBER(IF(Verification!E5&lt;&gt;"",Scoring!F5,Calc!V5)),Parameters!$E$8,0))*100,"NA")</f>
        <v>100</v>
      </c>
      <c r="H5" s="29" t="n">
        <f aca="false">IF(ISNUMBER(Scoring!S5),(Scoring!N5/Parameters!$E$13)*Scoring!S5+(1-Scoring!N5/Parameters!$E$13)*Summary!$B$9,"NA")</f>
        <v>91.2903225806452</v>
      </c>
      <c r="I5" s="29" t="str">
        <f aca="false">IF(AND(ISNUMBER(Scoring!S5),COUNT(Scoring!E5,Scoring!F5)&gt;0),Scoring!S5,"NA")</f>
        <v>NA</v>
      </c>
      <c r="J5" s="29" t="n">
        <f aca="false">IF(AND(ISNUMBER($B5),ISNUMBER(C5)),ABS(C5-$B5),"")</f>
        <v>0</v>
      </c>
      <c r="K5" s="29" t="str">
        <f aca="false">IF(AND(ISNUMBER($B5),ISNUMBER(D5)),ABS(D5-$B5),"")</f>
        <v/>
      </c>
      <c r="L5" s="29" t="n">
        <f aca="false">IF(AND(ISNUMBER($B5),ISNUMBER(E5)),ABS(E5-$B5),"")</f>
        <v>0</v>
      </c>
      <c r="M5" s="29" t="n">
        <f aca="false">IF(AND(ISNUMBER($B5),ISNUMBER(F5)),ABS(F5-$B5),"")</f>
        <v>0</v>
      </c>
      <c r="N5" s="29" t="n">
        <f aca="false">IF(AND(ISNUMBER($B5),ISNUMBER(G5)),ABS(G5-$B5),"")</f>
        <v>0</v>
      </c>
      <c r="O5" s="29" t="n">
        <f aca="false">IF(AND(ISNUMBER($B5),ISNUMBER(H5)),ABS(H5-$B5),"")</f>
        <v>8.70967741935485</v>
      </c>
      <c r="P5" s="29" t="str">
        <f aca="false">IF(AND(ISNUMBER($B5),ISNUMBER(I5)),ABS(I5-$B5),"")</f>
        <v/>
      </c>
    </row>
    <row r="6" customFormat="false" ht="15" hidden="false" customHeight="true" outlineLevel="0" collapsed="false">
      <c r="A6" s="15" t="str">
        <f aca="false">Data!$A6</f>
        <v>Archipelago Commons</v>
      </c>
      <c r="B6" s="29" t="n">
        <f aca="false">Scoring!S6</f>
        <v>82.25</v>
      </c>
      <c r="C6" s="29" t="n">
        <f aca="false">IF(AND(Scoring!N6&gt;=Parameters!$C$57,Scoring!Q6&gt;=Parameters!$C$59),Scoring!O6/Scoring!N6*100,"NA")</f>
        <v>82.25</v>
      </c>
      <c r="D6" s="29" t="n">
        <f aca="false">IF(AND(Scoring!N6&gt;=Parameters!$C$58,Scoring!Q6&gt;=Parameters!$C$59),Scoring!O6/Scoring!N6*100,"NA")</f>
        <v>82.25</v>
      </c>
      <c r="E6" s="29" t="n">
        <f aca="false">IF(AND((Scoring!N6-IF(ISNUMBER(Scoring!E6),Parameters!$E$7,0)+IF(ISNUMBER(IF(Verification!D6&lt;&gt;"",Verification!D6,IF(Coding!AG6=0,"NA",IF(AND(Parameters!$C$39=1,ISNUMBER(Calc!B6),Calc!B6&lt;=Parameters!$C$40),0,MIN(Coding!AG6,Parameters!$C$37)/Parameters!$C$37)))),Parameters!$E$7,0))&gt;=Parameters!$C$56,Scoring!Q6&gt;=Parameters!$C$59),(Scoring!O6-IF(ISNUMBER(Scoring!E6),Parameters!$E$7*Scoring!E6,0)+IF(ISNUMBER(IF(Verification!D6&lt;&gt;"",Verification!D6,IF(Coding!AG6=0,"NA",IF(AND(Parameters!$C$39=1,ISNUMBER(Calc!B6),Calc!B6&lt;=Parameters!$C$40),0,MIN(Coding!AG6,Parameters!$C$37)/Parameters!$C$37)))),Parameters!$E$7*IF(Verification!D6&lt;&gt;"",Verification!D6,IF(Coding!AG6=0,"NA",IF(AND(Parameters!$C$39=1,ISNUMBER(Calc!B6),Calc!B6&lt;=Parameters!$C$40),0,MIN(Coding!AG6,Parameters!$C$37)/Parameters!$C$37))),0))/(Scoring!N6-IF(ISNUMBER(Scoring!E6),Parameters!$E$7,0)+IF(ISNUMBER(IF(Verification!D6&lt;&gt;"",Verification!D6,IF(Coding!AG6=0,"NA",IF(AND(Parameters!$C$39=1,ISNUMBER(Calc!B6),Calc!B6&lt;=Parameters!$C$40),0,MIN(Coding!AG6,Parameters!$C$37)/Parameters!$C$37)))),Parameters!$E$7,0))*100,"NA")</f>
        <v>82.25</v>
      </c>
      <c r="F6" s="29" t="n">
        <f aca="false">IF(Scoring!R6="Yes",AVERAGE(Scoring!D6:J6)*100,"NA")</f>
        <v>83.9285714285714</v>
      </c>
      <c r="G6" s="29" t="n">
        <f aca="false">IF(AND((Scoring!N6-IF(ISNUMBER(Scoring!F6),Parameters!$E$8,0)+IF(ISNUMBER(IF(Verification!E6&lt;&gt;"",Scoring!F6,Calc!V6)),Parameters!$E$8,0))&gt;=Parameters!$C$56,Scoring!Q6&gt;=Parameters!$C$59),(Scoring!O6-IF(ISNUMBER(Scoring!F6),Parameters!$E$8*Scoring!F6,0)+IF(ISNUMBER(IF(Verification!E6&lt;&gt;"",Scoring!F6,Calc!V6)),Parameters!$E$8*IF(Verification!E6&lt;&gt;"",Scoring!F6,Calc!V6),0))/(Scoring!N6-IF(ISNUMBER(Scoring!F6),Parameters!$E$8,0)+IF(ISNUMBER(IF(Verification!E6&lt;&gt;"",Scoring!F6,Calc!V6)),Parameters!$E$8,0))*100,"NA")</f>
        <v>82.25</v>
      </c>
      <c r="H6" s="29" t="n">
        <f aca="false">IF(ISNUMBER(Scoring!S6),(Scoring!N6/Parameters!$E$13)*Scoring!S6+(1-Scoring!N6/Parameters!$E$13)*Summary!$B$9,"NA")</f>
        <v>82.25</v>
      </c>
      <c r="I6" s="29" t="n">
        <f aca="false">IF(AND(ISNUMBER(Scoring!S6),COUNT(Scoring!E6,Scoring!F6)&gt;0),Scoring!S6,"NA")</f>
        <v>82.25</v>
      </c>
      <c r="J6" s="29" t="n">
        <f aca="false">IF(AND(ISNUMBER($B6),ISNUMBER(C6)),ABS(C6-$B6),"")</f>
        <v>0</v>
      </c>
      <c r="K6" s="29" t="n">
        <f aca="false">IF(AND(ISNUMBER($B6),ISNUMBER(D6)),ABS(D6-$B6),"")</f>
        <v>0</v>
      </c>
      <c r="L6" s="29" t="n">
        <f aca="false">IF(AND(ISNUMBER($B6),ISNUMBER(E6)),ABS(E6-$B6),"")</f>
        <v>0</v>
      </c>
      <c r="M6" s="29" t="n">
        <f aca="false">IF(AND(ISNUMBER($B6),ISNUMBER(F6)),ABS(F6-$B6),"")</f>
        <v>1.67857142857143</v>
      </c>
      <c r="N6" s="29" t="n">
        <f aca="false">IF(AND(ISNUMBER($B6),ISNUMBER(G6)),ABS(G6-$B6),"")</f>
        <v>0</v>
      </c>
      <c r="O6" s="29" t="n">
        <f aca="false">IF(AND(ISNUMBER($B6),ISNUMBER(H6)),ABS(H6-$B6),"")</f>
        <v>0</v>
      </c>
      <c r="P6" s="29" t="n">
        <f aca="false">IF(AND(ISNUMBER($B6),ISNUMBER(I6)),ABS(I6-$B6),"")</f>
        <v>0</v>
      </c>
    </row>
    <row r="7" customFormat="false" ht="15" hidden="false" customHeight="true" outlineLevel="0" collapsed="false">
      <c r="A7" s="15" t="str">
        <f aca="false">Data!$A7</f>
        <v>Archival Resource Key</v>
      </c>
      <c r="B7" s="29" t="n">
        <f aca="false">Scoring!S7</f>
        <v>75.6410256410256</v>
      </c>
      <c r="C7" s="29" t="n">
        <f aca="false">IF(AND(Scoring!N7&gt;=Parameters!$C$57,Scoring!Q7&gt;=Parameters!$C$59),Scoring!O7/Scoring!N7*100,"NA")</f>
        <v>75.6410256410256</v>
      </c>
      <c r="D7" s="29" t="n">
        <f aca="false">IF(AND(Scoring!N7&gt;=Parameters!$C$58,Scoring!Q7&gt;=Parameters!$C$59),Scoring!O7/Scoring!N7*100,"NA")</f>
        <v>75.6410256410256</v>
      </c>
      <c r="E7" s="29" t="n">
        <f aca="false">IF(AND((Scoring!N7-IF(ISNUMBER(Scoring!E7),Parameters!$E$7,0)+IF(ISNUMBER(IF(Verification!D7&lt;&gt;"",Verification!D7,IF(Coding!AG7=0,"NA",IF(AND(Parameters!$C$39=1,ISNUMBER(Calc!B7),Calc!B7&lt;=Parameters!$C$40),0,MIN(Coding!AG7,Parameters!$C$37)/Parameters!$C$37)))),Parameters!$E$7,0))&gt;=Parameters!$C$56,Scoring!Q7&gt;=Parameters!$C$59),(Scoring!O7-IF(ISNUMBER(Scoring!E7),Parameters!$E$7*Scoring!E7,0)+IF(ISNUMBER(IF(Verification!D7&lt;&gt;"",Verification!D7,IF(Coding!AG7=0,"NA",IF(AND(Parameters!$C$39=1,ISNUMBER(Calc!B7),Calc!B7&lt;=Parameters!$C$40),0,MIN(Coding!AG7,Parameters!$C$37)/Parameters!$C$37)))),Parameters!$E$7*IF(Verification!D7&lt;&gt;"",Verification!D7,IF(Coding!AG7=0,"NA",IF(AND(Parameters!$C$39=1,ISNUMBER(Calc!B7),Calc!B7&lt;=Parameters!$C$40),0,MIN(Coding!AG7,Parameters!$C$37)/Parameters!$C$37))),0))/(Scoring!N7-IF(ISNUMBER(Scoring!E7),Parameters!$E$7,0)+IF(ISNUMBER(IF(Verification!D7&lt;&gt;"",Verification!D7,IF(Coding!AG7=0,"NA",IF(AND(Parameters!$C$39=1,ISNUMBER(Calc!B7),Calc!B7&lt;=Parameters!$C$40),0,MIN(Coding!AG7,Parameters!$C$37)/Parameters!$C$37)))),Parameters!$E$7,0))*100,"NA")</f>
        <v>75.6410256410256</v>
      </c>
      <c r="F7" s="29" t="n">
        <f aca="false">IF(Scoring!R7="Yes",AVERAGE(Scoring!D7:J7)*100,"NA")</f>
        <v>80.5555555555555</v>
      </c>
      <c r="G7" s="29" t="n">
        <f aca="false">IF(AND((Scoring!N7-IF(ISNUMBER(Scoring!F7),Parameters!$E$8,0)+IF(ISNUMBER(IF(Verification!E7&lt;&gt;"",Scoring!F7,Calc!V7)),Parameters!$E$8,0))&gt;=Parameters!$C$56,Scoring!Q7&gt;=Parameters!$C$59),(Scoring!O7-IF(ISNUMBER(Scoring!F7),Parameters!$E$8*Scoring!F7,0)+IF(ISNUMBER(IF(Verification!E7&lt;&gt;"",Scoring!F7,Calc!V7)),Parameters!$E$8*IF(Verification!E7&lt;&gt;"",Scoring!F7,Calc!V7),0))/(Scoring!N7-IF(ISNUMBER(Scoring!F7),Parameters!$E$8,0)+IF(ISNUMBER(IF(Verification!E7&lt;&gt;"",Scoring!F7,Calc!V7)),Parameters!$E$8,0))*100,"NA")</f>
        <v>71.7948717948718</v>
      </c>
      <c r="H7" s="29" t="n">
        <f aca="false">IF(ISNUMBER(Scoring!S7),(Scoring!N7/Parameters!$E$13)*Scoring!S7+(1-Scoring!N7/Parameters!$E$13)*Summary!$B$9,"NA")</f>
        <v>76.2096774193548</v>
      </c>
      <c r="I7" s="29" t="n">
        <f aca="false">IF(AND(ISNUMBER(Scoring!S7),COUNT(Scoring!E7,Scoring!F7)&gt;0),Scoring!S7,"NA")</f>
        <v>75.6410256410256</v>
      </c>
      <c r="J7" s="29" t="n">
        <f aca="false">IF(AND(ISNUMBER($B7),ISNUMBER(C7)),ABS(C7-$B7),"")</f>
        <v>0</v>
      </c>
      <c r="K7" s="29" t="n">
        <f aca="false">IF(AND(ISNUMBER($B7),ISNUMBER(D7)),ABS(D7-$B7),"")</f>
        <v>0</v>
      </c>
      <c r="L7" s="29" t="n">
        <f aca="false">IF(AND(ISNUMBER($B7),ISNUMBER(E7)),ABS(E7-$B7),"")</f>
        <v>0</v>
      </c>
      <c r="M7" s="29" t="n">
        <f aca="false">IF(AND(ISNUMBER($B7),ISNUMBER(F7)),ABS(F7-$B7),"")</f>
        <v>4.91452991452991</v>
      </c>
      <c r="N7" s="29" t="n">
        <f aca="false">IF(AND(ISNUMBER($B7),ISNUMBER(G7)),ABS(G7-$B7),"")</f>
        <v>3.84615384615385</v>
      </c>
      <c r="O7" s="29" t="n">
        <f aca="false">IF(AND(ISNUMBER($B7),ISNUMBER(H7)),ABS(H7-$B7),"")</f>
        <v>0.568651778329198</v>
      </c>
      <c r="P7" s="29" t="n">
        <f aca="false">IF(AND(ISNUMBER($B7),ISNUMBER(I7)),ABS(I7-$B7),"")</f>
        <v>0</v>
      </c>
    </row>
    <row r="8" customFormat="false" ht="15" hidden="false" customHeight="true" outlineLevel="0" collapsed="false">
      <c r="A8" s="15" t="str">
        <f aca="false">Data!$A8</f>
        <v>Archivematica</v>
      </c>
      <c r="B8" s="29" t="str">
        <f aca="false">Scoring!S8</f>
        <v>NA</v>
      </c>
      <c r="C8" s="29" t="str">
        <f aca="false">IF(AND(Scoring!N8&gt;=Parameters!$C$57,Scoring!Q8&gt;=Parameters!$C$59),Scoring!O8/Scoring!N8*100,"NA")</f>
        <v>NA</v>
      </c>
      <c r="D8" s="29" t="str">
        <f aca="false">IF(AND(Scoring!N8&gt;=Parameters!$C$58,Scoring!Q8&gt;=Parameters!$C$59),Scoring!O8/Scoring!N8*100,"NA")</f>
        <v>NA</v>
      </c>
      <c r="E8" s="29" t="str">
        <f aca="false">IF(AND((Scoring!N8-IF(ISNUMBER(Scoring!E8),Parameters!$E$7,0)+IF(ISNUMBER(IF(Verification!D8&lt;&gt;"",Verification!D8,IF(Coding!AG8=0,"NA",IF(AND(Parameters!$C$39=1,ISNUMBER(Calc!B8),Calc!B8&lt;=Parameters!$C$40),0,MIN(Coding!AG8,Parameters!$C$37)/Parameters!$C$37)))),Parameters!$E$7,0))&gt;=Parameters!$C$56,Scoring!Q8&gt;=Parameters!$C$59),(Scoring!O8-IF(ISNUMBER(Scoring!E8),Parameters!$E$7*Scoring!E8,0)+IF(ISNUMBER(IF(Verification!D8&lt;&gt;"",Verification!D8,IF(Coding!AG8=0,"NA",IF(AND(Parameters!$C$39=1,ISNUMBER(Calc!B8),Calc!B8&lt;=Parameters!$C$40),0,MIN(Coding!AG8,Parameters!$C$37)/Parameters!$C$37)))),Parameters!$E$7*IF(Verification!D8&lt;&gt;"",Verification!D8,IF(Coding!AG8=0,"NA",IF(AND(Parameters!$C$39=1,ISNUMBER(Calc!B8),Calc!B8&lt;=Parameters!$C$40),0,MIN(Coding!AG8,Parameters!$C$37)/Parameters!$C$37))),0))/(Scoring!N8-IF(ISNUMBER(Scoring!E8),Parameters!$E$7,0)+IF(ISNUMBER(IF(Verification!D8&lt;&gt;"",Verification!D8,IF(Coding!AG8=0,"NA",IF(AND(Parameters!$C$39=1,ISNUMBER(Calc!B8),Calc!B8&lt;=Parameters!$C$40),0,MIN(Coding!AG8,Parameters!$C$37)/Parameters!$C$37)))),Parameters!$E$7,0))*100,"NA")</f>
        <v>NA</v>
      </c>
      <c r="F8" s="29" t="str">
        <f aca="false">IF(Scoring!R8="Yes",AVERAGE(Scoring!D8:J8)*100,"NA")</f>
        <v>NA</v>
      </c>
      <c r="G8" s="29" t="str">
        <f aca="false">IF(AND((Scoring!N8-IF(ISNUMBER(Scoring!F8),Parameters!$E$8,0)+IF(ISNUMBER(IF(Verification!E8&lt;&gt;"",Scoring!F8,Calc!V8)),Parameters!$E$8,0))&gt;=Parameters!$C$56,Scoring!Q8&gt;=Parameters!$C$59),(Scoring!O8-IF(ISNUMBER(Scoring!F8),Parameters!$E$8*Scoring!F8,0)+IF(ISNUMBER(IF(Verification!E8&lt;&gt;"",Scoring!F8,Calc!V8)),Parameters!$E$8*IF(Verification!E8&lt;&gt;"",Scoring!F8,Calc!V8),0))/(Scoring!N8-IF(ISNUMBER(Scoring!F8),Parameters!$E$8,0)+IF(ISNUMBER(IF(Verification!E8&lt;&gt;"",Scoring!F8,Calc!V8)),Parameters!$E$8,0))*100,"NA")</f>
        <v>NA</v>
      </c>
      <c r="H8" s="29" t="str">
        <f aca="false">IF(ISNUMBER(Scoring!S8),(Scoring!N8/Parameters!$E$13)*Scoring!S8+(1-Scoring!N8/Parameters!$E$13)*Summary!$B$9,"NA")</f>
        <v>NA</v>
      </c>
      <c r="I8" s="29" t="str">
        <f aca="false">IF(AND(ISNUMBER(Scoring!S8),COUNT(Scoring!E8,Scoring!F8)&gt;0),Scoring!S8,"NA")</f>
        <v>NA</v>
      </c>
      <c r="J8" s="29" t="str">
        <f aca="false">IF(AND(ISNUMBER($B8),ISNUMBER(C8)),ABS(C8-$B8),"")</f>
        <v/>
      </c>
      <c r="K8" s="29" t="str">
        <f aca="false">IF(AND(ISNUMBER($B8),ISNUMBER(D8)),ABS(D8-$B8),"")</f>
        <v/>
      </c>
      <c r="L8" s="29" t="str">
        <f aca="false">IF(AND(ISNUMBER($B8),ISNUMBER(E8)),ABS(E8-$B8),"")</f>
        <v/>
      </c>
      <c r="M8" s="29" t="str">
        <f aca="false">IF(AND(ISNUMBER($B8),ISNUMBER(F8)),ABS(F8-$B8),"")</f>
        <v/>
      </c>
      <c r="N8" s="29" t="str">
        <f aca="false">IF(AND(ISNUMBER($B8),ISNUMBER(G8)),ABS(G8-$B8),"")</f>
        <v/>
      </c>
      <c r="O8" s="29" t="str">
        <f aca="false">IF(AND(ISNUMBER($B8),ISNUMBER(H8)),ABS(H8-$B8),"")</f>
        <v/>
      </c>
      <c r="P8" s="29" t="str">
        <f aca="false">IF(AND(ISNUMBER($B8),ISNUMBER(I8)),ABS(I8-$B8),"")</f>
        <v/>
      </c>
    </row>
    <row r="9" customFormat="false" ht="15" hidden="false" customHeight="true" outlineLevel="0" collapsed="false">
      <c r="A9" s="15" t="str">
        <f aca="false">Data!$A9</f>
        <v>ArchivesSpace</v>
      </c>
      <c r="B9" s="29" t="n">
        <f aca="false">Scoring!S9</f>
        <v>100</v>
      </c>
      <c r="C9" s="29" t="n">
        <f aca="false">IF(AND(Scoring!N9&gt;=Parameters!$C$57,Scoring!Q9&gt;=Parameters!$C$59),Scoring!O9/Scoring!N9*100,"NA")</f>
        <v>100</v>
      </c>
      <c r="D9" s="29" t="n">
        <f aca="false">IF(AND(Scoring!N9&gt;=Parameters!$C$58,Scoring!Q9&gt;=Parameters!$C$59),Scoring!O9/Scoring!N9*100,"NA")</f>
        <v>100</v>
      </c>
      <c r="E9" s="29" t="n">
        <f aca="false">IF(AND((Scoring!N9-IF(ISNUMBER(Scoring!E9),Parameters!$E$7,0)+IF(ISNUMBER(IF(Verification!D9&lt;&gt;"",Verification!D9,IF(Coding!AG9=0,"NA",IF(AND(Parameters!$C$39=1,ISNUMBER(Calc!B9),Calc!B9&lt;=Parameters!$C$40),0,MIN(Coding!AG9,Parameters!$C$37)/Parameters!$C$37)))),Parameters!$E$7,0))&gt;=Parameters!$C$56,Scoring!Q9&gt;=Parameters!$C$59),(Scoring!O9-IF(ISNUMBER(Scoring!E9),Parameters!$E$7*Scoring!E9,0)+IF(ISNUMBER(IF(Verification!D9&lt;&gt;"",Verification!D9,IF(Coding!AG9=0,"NA",IF(AND(Parameters!$C$39=1,ISNUMBER(Calc!B9),Calc!B9&lt;=Parameters!$C$40),0,MIN(Coding!AG9,Parameters!$C$37)/Parameters!$C$37)))),Parameters!$E$7*IF(Verification!D9&lt;&gt;"",Verification!D9,IF(Coding!AG9=0,"NA",IF(AND(Parameters!$C$39=1,ISNUMBER(Calc!B9),Calc!B9&lt;=Parameters!$C$40),0,MIN(Coding!AG9,Parameters!$C$37)/Parameters!$C$37))),0))/(Scoring!N9-IF(ISNUMBER(Scoring!E9),Parameters!$E$7,0)+IF(ISNUMBER(IF(Verification!D9&lt;&gt;"",Verification!D9,IF(Coding!AG9=0,"NA",IF(AND(Parameters!$C$39=1,ISNUMBER(Calc!B9),Calc!B9&lt;=Parameters!$C$40),0,MIN(Coding!AG9,Parameters!$C$37)/Parameters!$C$37)))),Parameters!$E$7,0))*100,"NA")</f>
        <v>100</v>
      </c>
      <c r="F9" s="29" t="n">
        <f aca="false">IF(Scoring!R9="Yes",AVERAGE(Scoring!D9:J9)*100,"NA")</f>
        <v>100</v>
      </c>
      <c r="G9" s="29" t="n">
        <f aca="false">IF(AND((Scoring!N9-IF(ISNUMBER(Scoring!F9),Parameters!$E$8,0)+IF(ISNUMBER(IF(Verification!E9&lt;&gt;"",Scoring!F9,Calc!V9)),Parameters!$E$8,0))&gt;=Parameters!$C$56,Scoring!Q9&gt;=Parameters!$C$59),(Scoring!O9-IF(ISNUMBER(Scoring!F9),Parameters!$E$8*Scoring!F9,0)+IF(ISNUMBER(IF(Verification!E9&lt;&gt;"",Scoring!F9,Calc!V9)),Parameters!$E$8*IF(Verification!E9&lt;&gt;"",Scoring!F9,Calc!V9),0))/(Scoring!N9-IF(ISNUMBER(Scoring!F9),Parameters!$E$8,0)+IF(ISNUMBER(IF(Verification!E9&lt;&gt;"",Scoring!F9,Calc!V9)),Parameters!$E$8,0))*100,"NA")</f>
        <v>100</v>
      </c>
      <c r="H9" s="29" t="n">
        <f aca="false">IF(ISNUMBER(Scoring!S9),(Scoring!N9/Parameters!$E$13)*Scoring!S9+(1-Scoring!N9/Parameters!$E$13)*Summary!$B$9,"NA")</f>
        <v>96.0806451612903</v>
      </c>
      <c r="I9" s="29" t="n">
        <f aca="false">IF(AND(ISNUMBER(Scoring!S9),COUNT(Scoring!E9,Scoring!F9)&gt;0),Scoring!S9,"NA")</f>
        <v>100</v>
      </c>
      <c r="J9" s="29" t="n">
        <f aca="false">IF(AND(ISNUMBER($B9),ISNUMBER(C9)),ABS(C9-$B9),"")</f>
        <v>0</v>
      </c>
      <c r="K9" s="29" t="n">
        <f aca="false">IF(AND(ISNUMBER($B9),ISNUMBER(D9)),ABS(D9-$B9),"")</f>
        <v>0</v>
      </c>
      <c r="L9" s="29" t="n">
        <f aca="false">IF(AND(ISNUMBER($B9),ISNUMBER(E9)),ABS(E9-$B9),"")</f>
        <v>0</v>
      </c>
      <c r="M9" s="29" t="n">
        <f aca="false">IF(AND(ISNUMBER($B9),ISNUMBER(F9)),ABS(F9-$B9),"")</f>
        <v>0</v>
      </c>
      <c r="N9" s="29" t="n">
        <f aca="false">IF(AND(ISNUMBER($B9),ISNUMBER(G9)),ABS(G9-$B9),"")</f>
        <v>0</v>
      </c>
      <c r="O9" s="29" t="n">
        <f aca="false">IF(AND(ISNUMBER($B9),ISNUMBER(H9)),ABS(H9-$B9),"")</f>
        <v>3.91935483870968</v>
      </c>
      <c r="P9" s="29" t="n">
        <f aca="false">IF(AND(ISNUMBER($B9),ISNUMBER(I9)),ABS(I9-$B9),"")</f>
        <v>0</v>
      </c>
    </row>
    <row r="10" customFormat="false" ht="15" hidden="false" customHeight="true" outlineLevel="0" collapsed="false">
      <c r="A10" s="15" t="str">
        <f aca="false">Data!$A10</f>
        <v>ARGOS</v>
      </c>
      <c r="B10" s="29" t="n">
        <f aca="false">Scoring!S10</f>
        <v>100</v>
      </c>
      <c r="C10" s="29" t="n">
        <f aca="false">IF(AND(Scoring!N10&gt;=Parameters!$C$57,Scoring!Q10&gt;=Parameters!$C$59),Scoring!O10/Scoring!N10*100,"NA")</f>
        <v>100</v>
      </c>
      <c r="D10" s="29" t="n">
        <f aca="false">IF(AND(Scoring!N10&gt;=Parameters!$C$58,Scoring!Q10&gt;=Parameters!$C$59),Scoring!O10/Scoring!N10*100,"NA")</f>
        <v>100</v>
      </c>
      <c r="E10" s="29" t="n">
        <f aca="false">IF(AND((Scoring!N10-IF(ISNUMBER(Scoring!E10),Parameters!$E$7,0)+IF(ISNUMBER(IF(Verification!D10&lt;&gt;"",Verification!D10,IF(Coding!AG10=0,"NA",IF(AND(Parameters!$C$39=1,ISNUMBER(Calc!B10),Calc!B10&lt;=Parameters!$C$40),0,MIN(Coding!AG10,Parameters!$C$37)/Parameters!$C$37)))),Parameters!$E$7,0))&gt;=Parameters!$C$56,Scoring!Q10&gt;=Parameters!$C$59),(Scoring!O10-IF(ISNUMBER(Scoring!E10),Parameters!$E$7*Scoring!E10,0)+IF(ISNUMBER(IF(Verification!D10&lt;&gt;"",Verification!D10,IF(Coding!AG10=0,"NA",IF(AND(Parameters!$C$39=1,ISNUMBER(Calc!B10),Calc!B10&lt;=Parameters!$C$40),0,MIN(Coding!AG10,Parameters!$C$37)/Parameters!$C$37)))),Parameters!$E$7*IF(Verification!D10&lt;&gt;"",Verification!D10,IF(Coding!AG10=0,"NA",IF(AND(Parameters!$C$39=1,ISNUMBER(Calc!B10),Calc!B10&lt;=Parameters!$C$40),0,MIN(Coding!AG10,Parameters!$C$37)/Parameters!$C$37))),0))/(Scoring!N10-IF(ISNUMBER(Scoring!E10),Parameters!$E$7,0)+IF(ISNUMBER(IF(Verification!D10&lt;&gt;"",Verification!D10,IF(Coding!AG10=0,"NA",IF(AND(Parameters!$C$39=1,ISNUMBER(Calc!B10),Calc!B10&lt;=Parameters!$C$40),0,MIN(Coding!AG10,Parameters!$C$37)/Parameters!$C$37)))),Parameters!$E$7,0))*100,"NA")</f>
        <v>100</v>
      </c>
      <c r="F10" s="29" t="n">
        <f aca="false">IF(Scoring!R10="Yes",AVERAGE(Scoring!D10:J10)*100,"NA")</f>
        <v>100</v>
      </c>
      <c r="G10" s="29" t="n">
        <f aca="false">IF(AND((Scoring!N10-IF(ISNUMBER(Scoring!F10),Parameters!$E$8,0)+IF(ISNUMBER(IF(Verification!E10&lt;&gt;"",Scoring!F10,Calc!V10)),Parameters!$E$8,0))&gt;=Parameters!$C$56,Scoring!Q10&gt;=Parameters!$C$59),(Scoring!O10-IF(ISNUMBER(Scoring!F10),Parameters!$E$8*Scoring!F10,0)+IF(ISNUMBER(IF(Verification!E10&lt;&gt;"",Scoring!F10,Calc!V10)),Parameters!$E$8*IF(Verification!E10&lt;&gt;"",Scoring!F10,Calc!V10),0))/(Scoring!N10-IF(ISNUMBER(Scoring!F10),Parameters!$E$8,0)+IF(ISNUMBER(IF(Verification!E10&lt;&gt;"",Scoring!F10,Calc!V10)),Parameters!$E$8,0))*100,"NA")</f>
        <v>100</v>
      </c>
      <c r="H10" s="29" t="n">
        <f aca="false">IF(ISNUMBER(Scoring!S10),(Scoring!N10/Parameters!$E$13)*Scoring!S10+(1-Scoring!N10/Parameters!$E$13)*Summary!$B$9,"NA")</f>
        <v>93.4677419354839</v>
      </c>
      <c r="I10" s="29" t="n">
        <f aca="false">IF(AND(ISNUMBER(Scoring!S10),COUNT(Scoring!E10,Scoring!F10)&gt;0),Scoring!S10,"NA")</f>
        <v>100</v>
      </c>
      <c r="J10" s="29" t="n">
        <f aca="false">IF(AND(ISNUMBER($B10),ISNUMBER(C10)),ABS(C10-$B10),"")</f>
        <v>0</v>
      </c>
      <c r="K10" s="29" t="n">
        <f aca="false">IF(AND(ISNUMBER($B10),ISNUMBER(D10)),ABS(D10-$B10),"")</f>
        <v>0</v>
      </c>
      <c r="L10" s="29" t="n">
        <f aca="false">IF(AND(ISNUMBER($B10),ISNUMBER(E10)),ABS(E10-$B10),"")</f>
        <v>0</v>
      </c>
      <c r="M10" s="29" t="n">
        <f aca="false">IF(AND(ISNUMBER($B10),ISNUMBER(F10)),ABS(F10-$B10),"")</f>
        <v>0</v>
      </c>
      <c r="N10" s="29" t="n">
        <f aca="false">IF(AND(ISNUMBER($B10),ISNUMBER(G10)),ABS(G10-$B10),"")</f>
        <v>0</v>
      </c>
      <c r="O10" s="29" t="n">
        <f aca="false">IF(AND(ISNUMBER($B10),ISNUMBER(H10)),ABS(H10-$B10),"")</f>
        <v>6.53225806451613</v>
      </c>
      <c r="P10" s="29" t="n">
        <f aca="false">IF(AND(ISNUMBER($B10),ISNUMBER(I10)),ABS(I10-$B10),"")</f>
        <v>0</v>
      </c>
    </row>
    <row r="11" customFormat="false" ht="15" hidden="false" customHeight="true" outlineLevel="0" collapsed="false">
      <c r="A11" s="15" t="str">
        <f aca="false">Data!$A11</f>
        <v>arXiv</v>
      </c>
      <c r="B11" s="29" t="n">
        <f aca="false">Scoring!S11</f>
        <v>65.75</v>
      </c>
      <c r="C11" s="29" t="n">
        <f aca="false">IF(AND(Scoring!N11&gt;=Parameters!$C$57,Scoring!Q11&gt;=Parameters!$C$59),Scoring!O11/Scoring!N11*100,"NA")</f>
        <v>65.75</v>
      </c>
      <c r="D11" s="29" t="n">
        <f aca="false">IF(AND(Scoring!N11&gt;=Parameters!$C$58,Scoring!Q11&gt;=Parameters!$C$59),Scoring!O11/Scoring!N11*100,"NA")</f>
        <v>65.75</v>
      </c>
      <c r="E11" s="29" t="n">
        <f aca="false">IF(AND((Scoring!N11-IF(ISNUMBER(Scoring!E11),Parameters!$E$7,0)+IF(ISNUMBER(IF(Verification!D11&lt;&gt;"",Verification!D11,IF(Coding!AG11=0,"NA",IF(AND(Parameters!$C$39=1,ISNUMBER(Calc!B11),Calc!B11&lt;=Parameters!$C$40),0,MIN(Coding!AG11,Parameters!$C$37)/Parameters!$C$37)))),Parameters!$E$7,0))&gt;=Parameters!$C$56,Scoring!Q11&gt;=Parameters!$C$59),(Scoring!O11-IF(ISNUMBER(Scoring!E11),Parameters!$E$7*Scoring!E11,0)+IF(ISNUMBER(IF(Verification!D11&lt;&gt;"",Verification!D11,IF(Coding!AG11=0,"NA",IF(AND(Parameters!$C$39=1,ISNUMBER(Calc!B11),Calc!B11&lt;=Parameters!$C$40),0,MIN(Coding!AG11,Parameters!$C$37)/Parameters!$C$37)))),Parameters!$E$7*IF(Verification!D11&lt;&gt;"",Verification!D11,IF(Coding!AG11=0,"NA",IF(AND(Parameters!$C$39=1,ISNUMBER(Calc!B11),Calc!B11&lt;=Parameters!$C$40),0,MIN(Coding!AG11,Parameters!$C$37)/Parameters!$C$37))),0))/(Scoring!N11-IF(ISNUMBER(Scoring!E11),Parameters!$E$7,0)+IF(ISNUMBER(IF(Verification!D11&lt;&gt;"",Verification!D11,IF(Coding!AG11=0,"NA",IF(AND(Parameters!$C$39=1,ISNUMBER(Calc!B11),Calc!B11&lt;=Parameters!$C$40),0,MIN(Coding!AG11,Parameters!$C$37)/Parameters!$C$37)))),Parameters!$E$7,0))*100,"NA")</f>
        <v>80.7692307692308</v>
      </c>
      <c r="F11" s="29" t="n">
        <f aca="false">IF(Scoring!R11="Yes",AVERAGE(Scoring!D11:J11)*100,"NA")</f>
        <v>73.2142857142857</v>
      </c>
      <c r="G11" s="29" t="n">
        <f aca="false">IF(AND((Scoring!N11-IF(ISNUMBER(Scoring!F11),Parameters!$E$8,0)+IF(ISNUMBER(IF(Verification!E11&lt;&gt;"",Scoring!F11,Calc!V11)),Parameters!$E$8,0))&gt;=Parameters!$C$56,Scoring!Q11&gt;=Parameters!$C$59),(Scoring!O11-IF(ISNUMBER(Scoring!F11),Parameters!$E$8*Scoring!F11,0)+IF(ISNUMBER(IF(Verification!E11&lt;&gt;"",Scoring!F11,Calc!V11)),Parameters!$E$8*IF(Verification!E11&lt;&gt;"",Scoring!F11,Calc!V11),0))/(Scoring!N11-IF(ISNUMBER(Scoring!F11),Parameters!$E$8,0)+IF(ISNUMBER(IF(Verification!E11&lt;&gt;"",Scoring!F11,Calc!V11)),Parameters!$E$8,0))*100,"NA")</f>
        <v>62.75</v>
      </c>
      <c r="H11" s="29" t="n">
        <f aca="false">IF(ISNUMBER(Scoring!S11),(Scoring!N11/Parameters!$E$13)*Scoring!S11+(1-Scoring!N11/Parameters!$E$13)*Summary!$B$9,"NA")</f>
        <v>65.75</v>
      </c>
      <c r="I11" s="29" t="n">
        <f aca="false">IF(AND(ISNUMBER(Scoring!S11),COUNT(Scoring!E11,Scoring!F11)&gt;0),Scoring!S11,"NA")</f>
        <v>65.75</v>
      </c>
      <c r="J11" s="29" t="n">
        <f aca="false">IF(AND(ISNUMBER($B11),ISNUMBER(C11)),ABS(C11-$B11),"")</f>
        <v>0</v>
      </c>
      <c r="K11" s="29" t="n">
        <f aca="false">IF(AND(ISNUMBER($B11),ISNUMBER(D11)),ABS(D11-$B11),"")</f>
        <v>0</v>
      </c>
      <c r="L11" s="29" t="n">
        <f aca="false">IF(AND(ISNUMBER($B11),ISNUMBER(E11)),ABS(E11-$B11),"")</f>
        <v>15.0192307692308</v>
      </c>
      <c r="M11" s="29" t="n">
        <f aca="false">IF(AND(ISNUMBER($B11),ISNUMBER(F11)),ABS(F11-$B11),"")</f>
        <v>7.46428571428571</v>
      </c>
      <c r="N11" s="29" t="n">
        <f aca="false">IF(AND(ISNUMBER($B11),ISNUMBER(G11)),ABS(G11-$B11),"")</f>
        <v>3.00000000000001</v>
      </c>
      <c r="O11" s="29" t="n">
        <f aca="false">IF(AND(ISNUMBER($B11),ISNUMBER(H11)),ABS(H11-$B11),"")</f>
        <v>0</v>
      </c>
      <c r="P11" s="29" t="n">
        <f aca="false">IF(AND(ISNUMBER($B11),ISNUMBER(I11)),ABS(I11-$B11),"")</f>
        <v>0</v>
      </c>
    </row>
    <row r="12" customFormat="false" ht="15" hidden="false" customHeight="true" outlineLevel="0" collapsed="false">
      <c r="A12" s="15" t="str">
        <f aca="false">Data!$A12</f>
        <v>AtoM</v>
      </c>
      <c r="B12" s="29" t="str">
        <f aca="false">Scoring!S12</f>
        <v>NA</v>
      </c>
      <c r="C12" s="29" t="str">
        <f aca="false">IF(AND(Scoring!N12&gt;=Parameters!$C$57,Scoring!Q12&gt;=Parameters!$C$59),Scoring!O12/Scoring!N12*100,"NA")</f>
        <v>NA</v>
      </c>
      <c r="D12" s="29" t="str">
        <f aca="false">IF(AND(Scoring!N12&gt;=Parameters!$C$58,Scoring!Q12&gt;=Parameters!$C$59),Scoring!O12/Scoring!N12*100,"NA")</f>
        <v>NA</v>
      </c>
      <c r="E12" s="29" t="str">
        <f aca="false">IF(AND((Scoring!N12-IF(ISNUMBER(Scoring!E12),Parameters!$E$7,0)+IF(ISNUMBER(IF(Verification!D12&lt;&gt;"",Verification!D12,IF(Coding!AG12=0,"NA",IF(AND(Parameters!$C$39=1,ISNUMBER(Calc!B12),Calc!B12&lt;=Parameters!$C$40),0,MIN(Coding!AG12,Parameters!$C$37)/Parameters!$C$37)))),Parameters!$E$7,0))&gt;=Parameters!$C$56,Scoring!Q12&gt;=Parameters!$C$59),(Scoring!O12-IF(ISNUMBER(Scoring!E12),Parameters!$E$7*Scoring!E12,0)+IF(ISNUMBER(IF(Verification!D12&lt;&gt;"",Verification!D12,IF(Coding!AG12=0,"NA",IF(AND(Parameters!$C$39=1,ISNUMBER(Calc!B12),Calc!B12&lt;=Parameters!$C$40),0,MIN(Coding!AG12,Parameters!$C$37)/Parameters!$C$37)))),Parameters!$E$7*IF(Verification!D12&lt;&gt;"",Verification!D12,IF(Coding!AG12=0,"NA",IF(AND(Parameters!$C$39=1,ISNUMBER(Calc!B12),Calc!B12&lt;=Parameters!$C$40),0,MIN(Coding!AG12,Parameters!$C$37)/Parameters!$C$37))),0))/(Scoring!N12-IF(ISNUMBER(Scoring!E12),Parameters!$E$7,0)+IF(ISNUMBER(IF(Verification!D12&lt;&gt;"",Verification!D12,IF(Coding!AG12=0,"NA",IF(AND(Parameters!$C$39=1,ISNUMBER(Calc!B12),Calc!B12&lt;=Parameters!$C$40),0,MIN(Coding!AG12,Parameters!$C$37)/Parameters!$C$37)))),Parameters!$E$7,0))*100,"NA")</f>
        <v>NA</v>
      </c>
      <c r="F12" s="29" t="str">
        <f aca="false">IF(Scoring!R12="Yes",AVERAGE(Scoring!D12:J12)*100,"NA")</f>
        <v>NA</v>
      </c>
      <c r="G12" s="29" t="str">
        <f aca="false">IF(AND((Scoring!N12-IF(ISNUMBER(Scoring!F12),Parameters!$E$8,0)+IF(ISNUMBER(IF(Verification!E12&lt;&gt;"",Scoring!F12,Calc!V12)),Parameters!$E$8,0))&gt;=Parameters!$C$56,Scoring!Q12&gt;=Parameters!$C$59),(Scoring!O12-IF(ISNUMBER(Scoring!F12),Parameters!$E$8*Scoring!F12,0)+IF(ISNUMBER(IF(Verification!E12&lt;&gt;"",Scoring!F12,Calc!V12)),Parameters!$E$8*IF(Verification!E12&lt;&gt;"",Scoring!F12,Calc!V12),0))/(Scoring!N12-IF(ISNUMBER(Scoring!F12),Parameters!$E$8,0)+IF(ISNUMBER(IF(Verification!E12&lt;&gt;"",Scoring!F12,Calc!V12)),Parameters!$E$8,0))*100,"NA")</f>
        <v>NA</v>
      </c>
      <c r="H12" s="29" t="str">
        <f aca="false">IF(ISNUMBER(Scoring!S12),(Scoring!N12/Parameters!$E$13)*Scoring!S12+(1-Scoring!N12/Parameters!$E$13)*Summary!$B$9,"NA")</f>
        <v>NA</v>
      </c>
      <c r="I12" s="29" t="str">
        <f aca="false">IF(AND(ISNUMBER(Scoring!S12),COUNT(Scoring!E12,Scoring!F12)&gt;0),Scoring!S12,"NA")</f>
        <v>NA</v>
      </c>
      <c r="J12" s="29" t="str">
        <f aca="false">IF(AND(ISNUMBER($B12),ISNUMBER(C12)),ABS(C12-$B12),"")</f>
        <v/>
      </c>
      <c r="K12" s="29" t="str">
        <f aca="false">IF(AND(ISNUMBER($B12),ISNUMBER(D12)),ABS(D12-$B12),"")</f>
        <v/>
      </c>
      <c r="L12" s="29" t="str">
        <f aca="false">IF(AND(ISNUMBER($B12),ISNUMBER(E12)),ABS(E12-$B12),"")</f>
        <v/>
      </c>
      <c r="M12" s="29" t="str">
        <f aca="false">IF(AND(ISNUMBER($B12),ISNUMBER(F12)),ABS(F12-$B12),"")</f>
        <v/>
      </c>
      <c r="N12" s="29" t="str">
        <f aca="false">IF(AND(ISNUMBER($B12),ISNUMBER(G12)),ABS(G12-$B12),"")</f>
        <v/>
      </c>
      <c r="O12" s="29" t="str">
        <f aca="false">IF(AND(ISNUMBER($B12),ISNUMBER(H12)),ABS(H12-$B12),"")</f>
        <v/>
      </c>
      <c r="P12" s="29" t="str">
        <f aca="false">IF(AND(ISNUMBER($B12),ISNUMBER(I12)),ABS(I12-$B12),"")</f>
        <v/>
      </c>
    </row>
    <row r="13" customFormat="false" ht="15" hidden="false" customHeight="true" outlineLevel="0" collapsed="false">
      <c r="A13" s="15" t="str">
        <f aca="false">Data!$A13</f>
        <v>Avalon Media System</v>
      </c>
      <c r="B13" s="29" t="n">
        <f aca="false">Scoring!S13</f>
        <v>85.75</v>
      </c>
      <c r="C13" s="29" t="n">
        <f aca="false">IF(AND(Scoring!N13&gt;=Parameters!$C$57,Scoring!Q13&gt;=Parameters!$C$59),Scoring!O13/Scoring!N13*100,"NA")</f>
        <v>85.75</v>
      </c>
      <c r="D13" s="29" t="n">
        <f aca="false">IF(AND(Scoring!N13&gt;=Parameters!$C$58,Scoring!Q13&gt;=Parameters!$C$59),Scoring!O13/Scoring!N13*100,"NA")</f>
        <v>85.75</v>
      </c>
      <c r="E13" s="29" t="n">
        <f aca="false">IF(AND((Scoring!N13-IF(ISNUMBER(Scoring!E13),Parameters!$E$7,0)+IF(ISNUMBER(IF(Verification!D13&lt;&gt;"",Verification!D13,IF(Coding!AG13=0,"NA",IF(AND(Parameters!$C$39=1,ISNUMBER(Calc!B13),Calc!B13&lt;=Parameters!$C$40),0,MIN(Coding!AG13,Parameters!$C$37)/Parameters!$C$37)))),Parameters!$E$7,0))&gt;=Parameters!$C$56,Scoring!Q13&gt;=Parameters!$C$59),(Scoring!O13-IF(ISNUMBER(Scoring!E13),Parameters!$E$7*Scoring!E13,0)+IF(ISNUMBER(IF(Verification!D13&lt;&gt;"",Verification!D13,IF(Coding!AG13=0,"NA",IF(AND(Parameters!$C$39=1,ISNUMBER(Calc!B13),Calc!B13&lt;=Parameters!$C$40),0,MIN(Coding!AG13,Parameters!$C$37)/Parameters!$C$37)))),Parameters!$E$7*IF(Verification!D13&lt;&gt;"",Verification!D13,IF(Coding!AG13=0,"NA",IF(AND(Parameters!$C$39=1,ISNUMBER(Calc!B13),Calc!B13&lt;=Parameters!$C$40),0,MIN(Coding!AG13,Parameters!$C$37)/Parameters!$C$37))),0))/(Scoring!N13-IF(ISNUMBER(Scoring!E13),Parameters!$E$7,0)+IF(ISNUMBER(IF(Verification!D13&lt;&gt;"",Verification!D13,IF(Coding!AG13=0,"NA",IF(AND(Parameters!$C$39=1,ISNUMBER(Calc!B13),Calc!B13&lt;=Parameters!$C$40),0,MIN(Coding!AG13,Parameters!$C$37)/Parameters!$C$37)))),Parameters!$E$7,0))*100,"NA")</f>
        <v>85.75</v>
      </c>
      <c r="F13" s="29" t="n">
        <f aca="false">IF(Scoring!R13="Yes",AVERAGE(Scoring!D13:J13)*100,"NA")</f>
        <v>87.5</v>
      </c>
      <c r="G13" s="29" t="n">
        <f aca="false">IF(AND((Scoring!N13-IF(ISNUMBER(Scoring!F13),Parameters!$E$8,0)+IF(ISNUMBER(IF(Verification!E13&lt;&gt;"",Scoring!F13,Calc!V13)),Parameters!$E$8,0))&gt;=Parameters!$C$56,Scoring!Q13&gt;=Parameters!$C$59),(Scoring!O13-IF(ISNUMBER(Scoring!F13),Parameters!$E$8*Scoring!F13,0)+IF(ISNUMBER(IF(Verification!E13&lt;&gt;"",Scoring!F13,Calc!V13)),Parameters!$E$8*IF(Verification!E13&lt;&gt;"",Scoring!F13,Calc!V13),0))/(Scoring!N13-IF(ISNUMBER(Scoring!F13),Parameters!$E$8,0)+IF(ISNUMBER(IF(Verification!E13&lt;&gt;"",Scoring!F13,Calc!V13)),Parameters!$E$8,0))*100,"NA")</f>
        <v>82.75</v>
      </c>
      <c r="H13" s="29" t="n">
        <f aca="false">IF(ISNUMBER(Scoring!S13),(Scoring!N13/Parameters!$E$13)*Scoring!S13+(1-Scoring!N13/Parameters!$E$13)*Summary!$B$9,"NA")</f>
        <v>85.75</v>
      </c>
      <c r="I13" s="29" t="n">
        <f aca="false">IF(AND(ISNUMBER(Scoring!S13),COUNT(Scoring!E13,Scoring!F13)&gt;0),Scoring!S13,"NA")</f>
        <v>85.75</v>
      </c>
      <c r="J13" s="29" t="n">
        <f aca="false">IF(AND(ISNUMBER($B13),ISNUMBER(C13)),ABS(C13-$B13),"")</f>
        <v>0</v>
      </c>
      <c r="K13" s="29" t="n">
        <f aca="false">IF(AND(ISNUMBER($B13),ISNUMBER(D13)),ABS(D13-$B13),"")</f>
        <v>0</v>
      </c>
      <c r="L13" s="29" t="n">
        <f aca="false">IF(AND(ISNUMBER($B13),ISNUMBER(E13)),ABS(E13-$B13),"")</f>
        <v>0</v>
      </c>
      <c r="M13" s="29" t="n">
        <f aca="false">IF(AND(ISNUMBER($B13),ISNUMBER(F13)),ABS(F13-$B13),"")</f>
        <v>1.74999999999999</v>
      </c>
      <c r="N13" s="29" t="n">
        <f aca="false">IF(AND(ISNUMBER($B13),ISNUMBER(G13)),ABS(G13-$B13),"")</f>
        <v>2.99999999999999</v>
      </c>
      <c r="O13" s="29" t="n">
        <f aca="false">IF(AND(ISNUMBER($B13),ISNUMBER(H13)),ABS(H13-$B13),"")</f>
        <v>0</v>
      </c>
      <c r="P13" s="29" t="n">
        <f aca="false">IF(AND(ISNUMBER($B13),ISNUMBER(I13)),ABS(I13-$B13),"")</f>
        <v>0</v>
      </c>
    </row>
    <row r="14" customFormat="false" ht="15" hidden="false" customHeight="true" outlineLevel="0" collapsed="false">
      <c r="A14" s="15" t="str">
        <f aca="false">Data!$A14</f>
        <v>Biodiversity Heritage Library</v>
      </c>
      <c r="B14" s="29" t="n">
        <f aca="false">Scoring!S14</f>
        <v>76.25</v>
      </c>
      <c r="C14" s="29" t="n">
        <f aca="false">IF(AND(Scoring!N14&gt;=Parameters!$C$57,Scoring!Q14&gt;=Parameters!$C$59),Scoring!O14/Scoring!N14*100,"NA")</f>
        <v>76.25</v>
      </c>
      <c r="D14" s="29" t="n">
        <f aca="false">IF(AND(Scoring!N14&gt;=Parameters!$C$58,Scoring!Q14&gt;=Parameters!$C$59),Scoring!O14/Scoring!N14*100,"NA")</f>
        <v>76.25</v>
      </c>
      <c r="E14" s="29" t="n">
        <f aca="false">IF(AND((Scoring!N14-IF(ISNUMBER(Scoring!E14),Parameters!$E$7,0)+IF(ISNUMBER(IF(Verification!D14&lt;&gt;"",Verification!D14,IF(Coding!AG14=0,"NA",IF(AND(Parameters!$C$39=1,ISNUMBER(Calc!B14),Calc!B14&lt;=Parameters!$C$40),0,MIN(Coding!AG14,Parameters!$C$37)/Parameters!$C$37)))),Parameters!$E$7,0))&gt;=Parameters!$C$56,Scoring!Q14&gt;=Parameters!$C$59),(Scoring!O14-IF(ISNUMBER(Scoring!E14),Parameters!$E$7*Scoring!E14,0)+IF(ISNUMBER(IF(Verification!D14&lt;&gt;"",Verification!D14,IF(Coding!AG14=0,"NA",IF(AND(Parameters!$C$39=1,ISNUMBER(Calc!B14),Calc!B14&lt;=Parameters!$C$40),0,MIN(Coding!AG14,Parameters!$C$37)/Parameters!$C$37)))),Parameters!$E$7*IF(Verification!D14&lt;&gt;"",Verification!D14,IF(Coding!AG14=0,"NA",IF(AND(Parameters!$C$39=1,ISNUMBER(Calc!B14),Calc!B14&lt;=Parameters!$C$40),0,MIN(Coding!AG14,Parameters!$C$37)/Parameters!$C$37))),0))/(Scoring!N14-IF(ISNUMBER(Scoring!E14),Parameters!$E$7,0)+IF(ISNUMBER(IF(Verification!D14&lt;&gt;"",Verification!D14,IF(Coding!AG14=0,"NA",IF(AND(Parameters!$C$39=1,ISNUMBER(Calc!B14),Calc!B14&lt;=Parameters!$C$40),0,MIN(Coding!AG14,Parameters!$C$37)/Parameters!$C$37)))),Parameters!$E$7,0))*100,"NA")</f>
        <v>76.25</v>
      </c>
      <c r="F14" s="29" t="n">
        <f aca="false">IF(Scoring!R14="Yes",AVERAGE(Scoring!D14:J14)*100,"NA")</f>
        <v>79.1666666666667</v>
      </c>
      <c r="G14" s="29" t="n">
        <f aca="false">IF(AND((Scoring!N14-IF(ISNUMBER(Scoring!F14),Parameters!$E$8,0)+IF(ISNUMBER(IF(Verification!E14&lt;&gt;"",Scoring!F14,Calc!V14)),Parameters!$E$8,0))&gt;=Parameters!$C$56,Scoring!Q14&gt;=Parameters!$C$59),(Scoring!O14-IF(ISNUMBER(Scoring!F14),Parameters!$E$8*Scoring!F14,0)+IF(ISNUMBER(IF(Verification!E14&lt;&gt;"",Scoring!F14,Calc!V14)),Parameters!$E$8*IF(Verification!E14&lt;&gt;"",Scoring!F14,Calc!V14),0))/(Scoring!N14-IF(ISNUMBER(Scoring!F14),Parameters!$E$8,0)+IF(ISNUMBER(IF(Verification!E14&lt;&gt;"",Scoring!F14,Calc!V14)),Parameters!$E$8,0))*100,"NA")</f>
        <v>73.25</v>
      </c>
      <c r="H14" s="29" t="n">
        <f aca="false">IF(ISNUMBER(Scoring!S14),(Scoring!N14/Parameters!$E$13)*Scoring!S14+(1-Scoring!N14/Parameters!$E$13)*Summary!$B$9,"NA")</f>
        <v>76.25</v>
      </c>
      <c r="I14" s="29" t="n">
        <f aca="false">IF(AND(ISNUMBER(Scoring!S14),COUNT(Scoring!E14,Scoring!F14)&gt;0),Scoring!S14,"NA")</f>
        <v>76.25</v>
      </c>
      <c r="J14" s="29" t="n">
        <f aca="false">IF(AND(ISNUMBER($B14),ISNUMBER(C14)),ABS(C14-$B14),"")</f>
        <v>0</v>
      </c>
      <c r="K14" s="29" t="n">
        <f aca="false">IF(AND(ISNUMBER($B14),ISNUMBER(D14)),ABS(D14-$B14),"")</f>
        <v>0</v>
      </c>
      <c r="L14" s="29" t="n">
        <f aca="false">IF(AND(ISNUMBER($B14),ISNUMBER(E14)),ABS(E14-$B14),"")</f>
        <v>0</v>
      </c>
      <c r="M14" s="29" t="n">
        <f aca="false">IF(AND(ISNUMBER($B14),ISNUMBER(F14)),ABS(F14-$B14),"")</f>
        <v>2.91666666666667</v>
      </c>
      <c r="N14" s="29" t="n">
        <f aca="false">IF(AND(ISNUMBER($B14),ISNUMBER(G14)),ABS(G14-$B14),"")</f>
        <v>3</v>
      </c>
      <c r="O14" s="29" t="n">
        <f aca="false">IF(AND(ISNUMBER($B14),ISNUMBER(H14)),ABS(H14-$B14),"")</f>
        <v>0</v>
      </c>
      <c r="P14" s="29" t="n">
        <f aca="false">IF(AND(ISNUMBER($B14),ISNUMBER(I14)),ABS(I14-$B14),"")</f>
        <v>0</v>
      </c>
    </row>
    <row r="15" customFormat="false" ht="15" hidden="false" customHeight="true" outlineLevel="0" collapsed="false">
      <c r="A15" s="15" t="str">
        <f aca="false">Data!$A15</f>
        <v>bioRxiv</v>
      </c>
      <c r="B15" s="29" t="str">
        <f aca="false">Scoring!S15</f>
        <v>NA</v>
      </c>
      <c r="C15" s="29" t="str">
        <f aca="false">IF(AND(Scoring!N15&gt;=Parameters!$C$57,Scoring!Q15&gt;=Parameters!$C$59),Scoring!O15/Scoring!N15*100,"NA")</f>
        <v>NA</v>
      </c>
      <c r="D15" s="29" t="str">
        <f aca="false">IF(AND(Scoring!N15&gt;=Parameters!$C$58,Scoring!Q15&gt;=Parameters!$C$59),Scoring!O15/Scoring!N15*100,"NA")</f>
        <v>NA</v>
      </c>
      <c r="E15" s="29" t="str">
        <f aca="false">IF(AND((Scoring!N15-IF(ISNUMBER(Scoring!E15),Parameters!$E$7,0)+IF(ISNUMBER(IF(Verification!D15&lt;&gt;"",Verification!D15,IF(Coding!AG15=0,"NA",IF(AND(Parameters!$C$39=1,ISNUMBER(Calc!B15),Calc!B15&lt;=Parameters!$C$40),0,MIN(Coding!AG15,Parameters!$C$37)/Parameters!$C$37)))),Parameters!$E$7,0))&gt;=Parameters!$C$56,Scoring!Q15&gt;=Parameters!$C$59),(Scoring!O15-IF(ISNUMBER(Scoring!E15),Parameters!$E$7*Scoring!E15,0)+IF(ISNUMBER(IF(Verification!D15&lt;&gt;"",Verification!D15,IF(Coding!AG15=0,"NA",IF(AND(Parameters!$C$39=1,ISNUMBER(Calc!B15),Calc!B15&lt;=Parameters!$C$40),0,MIN(Coding!AG15,Parameters!$C$37)/Parameters!$C$37)))),Parameters!$E$7*IF(Verification!D15&lt;&gt;"",Verification!D15,IF(Coding!AG15=0,"NA",IF(AND(Parameters!$C$39=1,ISNUMBER(Calc!B15),Calc!B15&lt;=Parameters!$C$40),0,MIN(Coding!AG15,Parameters!$C$37)/Parameters!$C$37))),0))/(Scoring!N15-IF(ISNUMBER(Scoring!E15),Parameters!$E$7,0)+IF(ISNUMBER(IF(Verification!D15&lt;&gt;"",Verification!D15,IF(Coding!AG15=0,"NA",IF(AND(Parameters!$C$39=1,ISNUMBER(Calc!B15),Calc!B15&lt;=Parameters!$C$40),0,MIN(Coding!AG15,Parameters!$C$37)/Parameters!$C$37)))),Parameters!$E$7,0))*100,"NA")</f>
        <v>NA</v>
      </c>
      <c r="F15" s="29" t="str">
        <f aca="false">IF(Scoring!R15="Yes",AVERAGE(Scoring!D15:J15)*100,"NA")</f>
        <v>NA</v>
      </c>
      <c r="G15" s="29" t="str">
        <f aca="false">IF(AND((Scoring!N15-IF(ISNUMBER(Scoring!F15),Parameters!$E$8,0)+IF(ISNUMBER(IF(Verification!E15&lt;&gt;"",Scoring!F15,Calc!V15)),Parameters!$E$8,0))&gt;=Parameters!$C$56,Scoring!Q15&gt;=Parameters!$C$59),(Scoring!O15-IF(ISNUMBER(Scoring!F15),Parameters!$E$8*Scoring!F15,0)+IF(ISNUMBER(IF(Verification!E15&lt;&gt;"",Scoring!F15,Calc!V15)),Parameters!$E$8*IF(Verification!E15&lt;&gt;"",Scoring!F15,Calc!V15),0))/(Scoring!N15-IF(ISNUMBER(Scoring!F15),Parameters!$E$8,0)+IF(ISNUMBER(IF(Verification!E15&lt;&gt;"",Scoring!F15,Calc!V15)),Parameters!$E$8,0))*100,"NA")</f>
        <v>NA</v>
      </c>
      <c r="H15" s="29" t="str">
        <f aca="false">IF(ISNUMBER(Scoring!S15),(Scoring!N15/Parameters!$E$13)*Scoring!S15+(1-Scoring!N15/Parameters!$E$13)*Summary!$B$9,"NA")</f>
        <v>NA</v>
      </c>
      <c r="I15" s="29" t="str">
        <f aca="false">IF(AND(ISNUMBER(Scoring!S15),COUNT(Scoring!E15,Scoring!F15)&gt;0),Scoring!S15,"NA")</f>
        <v>NA</v>
      </c>
      <c r="J15" s="29" t="str">
        <f aca="false">IF(AND(ISNUMBER($B15),ISNUMBER(C15)),ABS(C15-$B15),"")</f>
        <v/>
      </c>
      <c r="K15" s="29" t="str">
        <f aca="false">IF(AND(ISNUMBER($B15),ISNUMBER(D15)),ABS(D15-$B15),"")</f>
        <v/>
      </c>
      <c r="L15" s="29" t="str">
        <f aca="false">IF(AND(ISNUMBER($B15),ISNUMBER(E15)),ABS(E15-$B15),"")</f>
        <v/>
      </c>
      <c r="M15" s="29" t="str">
        <f aca="false">IF(AND(ISNUMBER($B15),ISNUMBER(F15)),ABS(F15-$B15),"")</f>
        <v/>
      </c>
      <c r="N15" s="29" t="str">
        <f aca="false">IF(AND(ISNUMBER($B15),ISNUMBER(G15)),ABS(G15-$B15),"")</f>
        <v/>
      </c>
      <c r="O15" s="29" t="str">
        <f aca="false">IF(AND(ISNUMBER($B15),ISNUMBER(H15)),ABS(H15-$B15),"")</f>
        <v/>
      </c>
      <c r="P15" s="29" t="str">
        <f aca="false">IF(AND(ISNUMBER($B15),ISNUMBER(I15)),ABS(I15-$B15),"")</f>
        <v/>
      </c>
    </row>
    <row r="16" customFormat="false" ht="15" hidden="false" customHeight="true" outlineLevel="0" collapsed="false">
      <c r="A16" s="15" t="str">
        <f aca="false">Data!$A16</f>
        <v>BitCurator Environment</v>
      </c>
      <c r="B16" s="29" t="n">
        <f aca="false">Scoring!S16</f>
        <v>88.25</v>
      </c>
      <c r="C16" s="29" t="n">
        <f aca="false">IF(AND(Scoring!N16&gt;=Parameters!$C$57,Scoring!Q16&gt;=Parameters!$C$59),Scoring!O16/Scoring!N16*100,"NA")</f>
        <v>88.25</v>
      </c>
      <c r="D16" s="29" t="n">
        <f aca="false">IF(AND(Scoring!N16&gt;=Parameters!$C$58,Scoring!Q16&gt;=Parameters!$C$59),Scoring!O16/Scoring!N16*100,"NA")</f>
        <v>88.25</v>
      </c>
      <c r="E16" s="29" t="n">
        <f aca="false">IF(AND((Scoring!N16-IF(ISNUMBER(Scoring!E16),Parameters!$E$7,0)+IF(ISNUMBER(IF(Verification!D16&lt;&gt;"",Verification!D16,IF(Coding!AG16=0,"NA",IF(AND(Parameters!$C$39=1,ISNUMBER(Calc!B16),Calc!B16&lt;=Parameters!$C$40),0,MIN(Coding!AG16,Parameters!$C$37)/Parameters!$C$37)))),Parameters!$E$7,0))&gt;=Parameters!$C$56,Scoring!Q16&gt;=Parameters!$C$59),(Scoring!O16-IF(ISNUMBER(Scoring!E16),Parameters!$E$7*Scoring!E16,0)+IF(ISNUMBER(IF(Verification!D16&lt;&gt;"",Verification!D16,IF(Coding!AG16=0,"NA",IF(AND(Parameters!$C$39=1,ISNUMBER(Calc!B16),Calc!B16&lt;=Parameters!$C$40),0,MIN(Coding!AG16,Parameters!$C$37)/Parameters!$C$37)))),Parameters!$E$7*IF(Verification!D16&lt;&gt;"",Verification!D16,IF(Coding!AG16=0,"NA",IF(AND(Parameters!$C$39=1,ISNUMBER(Calc!B16),Calc!B16&lt;=Parameters!$C$40),0,MIN(Coding!AG16,Parameters!$C$37)/Parameters!$C$37))),0))/(Scoring!N16-IF(ISNUMBER(Scoring!E16),Parameters!$E$7,0)+IF(ISNUMBER(IF(Verification!D16&lt;&gt;"",Verification!D16,IF(Coding!AG16=0,"NA",IF(AND(Parameters!$C$39=1,ISNUMBER(Calc!B16),Calc!B16&lt;=Parameters!$C$40),0,MIN(Coding!AG16,Parameters!$C$37)/Parameters!$C$37)))),Parameters!$E$7,0))*100,"NA")</f>
        <v>88.25</v>
      </c>
      <c r="F16" s="29" t="n">
        <f aca="false">IF(Scoring!R16="Yes",AVERAGE(Scoring!D16:J16)*100,"NA")</f>
        <v>88.6904761904762</v>
      </c>
      <c r="G16" s="29" t="n">
        <f aca="false">IF(AND((Scoring!N16-IF(ISNUMBER(Scoring!F16),Parameters!$E$8,0)+IF(ISNUMBER(IF(Verification!E16&lt;&gt;"",Scoring!F16,Calc!V16)),Parameters!$E$8,0))&gt;=Parameters!$C$56,Scoring!Q16&gt;=Parameters!$C$59),(Scoring!O16-IF(ISNUMBER(Scoring!F16),Parameters!$E$8*Scoring!F16,0)+IF(ISNUMBER(IF(Verification!E16&lt;&gt;"",Scoring!F16,Calc!V16)),Parameters!$E$8*IF(Verification!E16&lt;&gt;"",Scoring!F16,Calc!V16),0))/(Scoring!N16-IF(ISNUMBER(Scoring!F16),Parameters!$E$8,0)+IF(ISNUMBER(IF(Verification!E16&lt;&gt;"",Scoring!F16,Calc!V16)),Parameters!$E$8,0))*100,"NA")</f>
        <v>88.25</v>
      </c>
      <c r="H16" s="29" t="n">
        <f aca="false">IF(ISNUMBER(Scoring!S16),(Scoring!N16/Parameters!$E$13)*Scoring!S16+(1-Scoring!N16/Parameters!$E$13)*Summary!$B$9,"NA")</f>
        <v>88.25</v>
      </c>
      <c r="I16" s="29" t="n">
        <f aca="false">IF(AND(ISNUMBER(Scoring!S16),COUNT(Scoring!E16,Scoring!F16)&gt;0),Scoring!S16,"NA")</f>
        <v>88.25</v>
      </c>
      <c r="J16" s="29" t="n">
        <f aca="false">IF(AND(ISNUMBER($B16),ISNUMBER(C16)),ABS(C16-$B16),"")</f>
        <v>0</v>
      </c>
      <c r="K16" s="29" t="n">
        <f aca="false">IF(AND(ISNUMBER($B16),ISNUMBER(D16)),ABS(D16-$B16),"")</f>
        <v>0</v>
      </c>
      <c r="L16" s="29" t="n">
        <f aca="false">IF(AND(ISNUMBER($B16),ISNUMBER(E16)),ABS(E16-$B16),"")</f>
        <v>0</v>
      </c>
      <c r="M16" s="29" t="n">
        <f aca="false">IF(AND(ISNUMBER($B16),ISNUMBER(F16)),ABS(F16-$B16),"")</f>
        <v>0.44047619047619</v>
      </c>
      <c r="N16" s="29" t="n">
        <f aca="false">IF(AND(ISNUMBER($B16),ISNUMBER(G16)),ABS(G16-$B16),"")</f>
        <v>0</v>
      </c>
      <c r="O16" s="29" t="n">
        <f aca="false">IF(AND(ISNUMBER($B16),ISNUMBER(H16)),ABS(H16-$B16),"")</f>
        <v>0</v>
      </c>
      <c r="P16" s="29" t="n">
        <f aca="false">IF(AND(ISNUMBER($B16),ISNUMBER(I16)),ABS(I16-$B16),"")</f>
        <v>0</v>
      </c>
    </row>
    <row r="17" customFormat="false" ht="15" hidden="false" customHeight="true" outlineLevel="0" collapsed="false">
      <c r="A17" s="15" t="str">
        <f aca="false">Data!$A17</f>
        <v>Blacklight</v>
      </c>
      <c r="B17" s="29" t="n">
        <f aca="false">Scoring!S17</f>
        <v>85.05</v>
      </c>
      <c r="C17" s="29" t="n">
        <f aca="false">IF(AND(Scoring!N17&gt;=Parameters!$C$57,Scoring!Q17&gt;=Parameters!$C$59),Scoring!O17/Scoring!N17*100,"NA")</f>
        <v>85.05</v>
      </c>
      <c r="D17" s="29" t="n">
        <f aca="false">IF(AND(Scoring!N17&gt;=Parameters!$C$58,Scoring!Q17&gt;=Parameters!$C$59),Scoring!O17/Scoring!N17*100,"NA")</f>
        <v>85.05</v>
      </c>
      <c r="E17" s="29" t="n">
        <f aca="false">IF(AND((Scoring!N17-IF(ISNUMBER(Scoring!E17),Parameters!$E$7,0)+IF(ISNUMBER(IF(Verification!D17&lt;&gt;"",Verification!D17,IF(Coding!AG17=0,"NA",IF(AND(Parameters!$C$39=1,ISNUMBER(Calc!B17),Calc!B17&lt;=Parameters!$C$40),0,MIN(Coding!AG17,Parameters!$C$37)/Parameters!$C$37)))),Parameters!$E$7,0))&gt;=Parameters!$C$56,Scoring!Q17&gt;=Parameters!$C$59),(Scoring!O17-IF(ISNUMBER(Scoring!E17),Parameters!$E$7*Scoring!E17,0)+IF(ISNUMBER(IF(Verification!D17&lt;&gt;"",Verification!D17,IF(Coding!AG17=0,"NA",IF(AND(Parameters!$C$39=1,ISNUMBER(Calc!B17),Calc!B17&lt;=Parameters!$C$40),0,MIN(Coding!AG17,Parameters!$C$37)/Parameters!$C$37)))),Parameters!$E$7*IF(Verification!D17&lt;&gt;"",Verification!D17,IF(Coding!AG17=0,"NA",IF(AND(Parameters!$C$39=1,ISNUMBER(Calc!B17),Calc!B17&lt;=Parameters!$C$40),0,MIN(Coding!AG17,Parameters!$C$37)/Parameters!$C$37))),0))/(Scoring!N17-IF(ISNUMBER(Scoring!E17),Parameters!$E$7,0)+IF(ISNUMBER(IF(Verification!D17&lt;&gt;"",Verification!D17,IF(Coding!AG17=0,"NA",IF(AND(Parameters!$C$39=1,ISNUMBER(Calc!B17),Calc!B17&lt;=Parameters!$C$40),0,MIN(Coding!AG17,Parameters!$C$37)/Parameters!$C$37)))),Parameters!$E$7,0))*100,"NA")</f>
        <v>85.05</v>
      </c>
      <c r="F17" s="29" t="n">
        <f aca="false">IF(Scoring!R17="Yes",AVERAGE(Scoring!D17:J17)*100,"NA")</f>
        <v>88.1428571428571</v>
      </c>
      <c r="G17" s="29" t="n">
        <f aca="false">IF(AND((Scoring!N17-IF(ISNUMBER(Scoring!F17),Parameters!$E$8,0)+IF(ISNUMBER(IF(Verification!E17&lt;&gt;"",Scoring!F17,Calc!V17)),Parameters!$E$8,0))&gt;=Parameters!$C$56,Scoring!Q17&gt;=Parameters!$C$59),(Scoring!O17-IF(ISNUMBER(Scoring!F17),Parameters!$E$8*Scoring!F17,0)+IF(ISNUMBER(IF(Verification!E17&lt;&gt;"",Scoring!F17,Calc!V17)),Parameters!$E$8*IF(Verification!E17&lt;&gt;"",Scoring!F17,Calc!V17),0))/(Scoring!N17-IF(ISNUMBER(Scoring!F17),Parameters!$E$8,0)+IF(ISNUMBER(IF(Verification!E17&lt;&gt;"",Scoring!F17,Calc!V17)),Parameters!$E$8,0))*100,"NA")</f>
        <v>85.05</v>
      </c>
      <c r="H17" s="29" t="n">
        <f aca="false">IF(ISNUMBER(Scoring!S17),(Scoring!N17/Parameters!$E$13)*Scoring!S17+(1-Scoring!N17/Parameters!$E$13)*Summary!$B$9,"NA")</f>
        <v>85.05</v>
      </c>
      <c r="I17" s="29" t="n">
        <f aca="false">IF(AND(ISNUMBER(Scoring!S17),COUNT(Scoring!E17,Scoring!F17)&gt;0),Scoring!S17,"NA")</f>
        <v>85.05</v>
      </c>
      <c r="J17" s="29" t="n">
        <f aca="false">IF(AND(ISNUMBER($B17),ISNUMBER(C17)),ABS(C17-$B17),"")</f>
        <v>0</v>
      </c>
      <c r="K17" s="29" t="n">
        <f aca="false">IF(AND(ISNUMBER($B17),ISNUMBER(D17)),ABS(D17-$B17),"")</f>
        <v>0</v>
      </c>
      <c r="L17" s="29" t="n">
        <f aca="false">IF(AND(ISNUMBER($B17),ISNUMBER(E17)),ABS(E17-$B17),"")</f>
        <v>0</v>
      </c>
      <c r="M17" s="29" t="n">
        <f aca="false">IF(AND(ISNUMBER($B17),ISNUMBER(F17)),ABS(F17-$B17),"")</f>
        <v>3.09285714285714</v>
      </c>
      <c r="N17" s="29" t="n">
        <f aca="false">IF(AND(ISNUMBER($B17),ISNUMBER(G17)),ABS(G17-$B17),"")</f>
        <v>0</v>
      </c>
      <c r="O17" s="29" t="n">
        <f aca="false">IF(AND(ISNUMBER($B17),ISNUMBER(H17)),ABS(H17-$B17),"")</f>
        <v>0</v>
      </c>
      <c r="P17" s="29" t="n">
        <f aca="false">IF(AND(ISNUMBER($B17),ISNUMBER(I17)),ABS(I17-$B17),"")</f>
        <v>0</v>
      </c>
    </row>
    <row r="18" customFormat="false" ht="15" hidden="false" customHeight="true" outlineLevel="0" collapsed="false">
      <c r="A18" s="15" t="str">
        <f aca="false">Data!$A18</f>
        <v>BrCRIS</v>
      </c>
      <c r="B18" s="29" t="str">
        <f aca="false">Scoring!S18</f>
        <v>NA</v>
      </c>
      <c r="C18" s="29" t="str">
        <f aca="false">IF(AND(Scoring!N18&gt;=Parameters!$C$57,Scoring!Q18&gt;=Parameters!$C$59),Scoring!O18/Scoring!N18*100,"NA")</f>
        <v>NA</v>
      </c>
      <c r="D18" s="29" t="str">
        <f aca="false">IF(AND(Scoring!N18&gt;=Parameters!$C$58,Scoring!Q18&gt;=Parameters!$C$59),Scoring!O18/Scoring!N18*100,"NA")</f>
        <v>NA</v>
      </c>
      <c r="E18" s="29" t="str">
        <f aca="false">IF(AND((Scoring!N18-IF(ISNUMBER(Scoring!E18),Parameters!$E$7,0)+IF(ISNUMBER(IF(Verification!D18&lt;&gt;"",Verification!D18,IF(Coding!AG18=0,"NA",IF(AND(Parameters!$C$39=1,ISNUMBER(Calc!B18),Calc!B18&lt;=Parameters!$C$40),0,MIN(Coding!AG18,Parameters!$C$37)/Parameters!$C$37)))),Parameters!$E$7,0))&gt;=Parameters!$C$56,Scoring!Q18&gt;=Parameters!$C$59),(Scoring!O18-IF(ISNUMBER(Scoring!E18),Parameters!$E$7*Scoring!E18,0)+IF(ISNUMBER(IF(Verification!D18&lt;&gt;"",Verification!D18,IF(Coding!AG18=0,"NA",IF(AND(Parameters!$C$39=1,ISNUMBER(Calc!B18),Calc!B18&lt;=Parameters!$C$40),0,MIN(Coding!AG18,Parameters!$C$37)/Parameters!$C$37)))),Parameters!$E$7*IF(Verification!D18&lt;&gt;"",Verification!D18,IF(Coding!AG18=0,"NA",IF(AND(Parameters!$C$39=1,ISNUMBER(Calc!B18),Calc!B18&lt;=Parameters!$C$40),0,MIN(Coding!AG18,Parameters!$C$37)/Parameters!$C$37))),0))/(Scoring!N18-IF(ISNUMBER(Scoring!E18),Parameters!$E$7,0)+IF(ISNUMBER(IF(Verification!D18&lt;&gt;"",Verification!D18,IF(Coding!AG18=0,"NA",IF(AND(Parameters!$C$39=1,ISNUMBER(Calc!B18),Calc!B18&lt;=Parameters!$C$40),0,MIN(Coding!AG18,Parameters!$C$37)/Parameters!$C$37)))),Parameters!$E$7,0))*100,"NA")</f>
        <v>NA</v>
      </c>
      <c r="F18" s="29" t="str">
        <f aca="false">IF(Scoring!R18="Yes",AVERAGE(Scoring!D18:J18)*100,"NA")</f>
        <v>NA</v>
      </c>
      <c r="G18" s="29" t="str">
        <f aca="false">IF(AND((Scoring!N18-IF(ISNUMBER(Scoring!F18),Parameters!$E$8,0)+IF(ISNUMBER(IF(Verification!E18&lt;&gt;"",Scoring!F18,Calc!V18)),Parameters!$E$8,0))&gt;=Parameters!$C$56,Scoring!Q18&gt;=Parameters!$C$59),(Scoring!O18-IF(ISNUMBER(Scoring!F18),Parameters!$E$8*Scoring!F18,0)+IF(ISNUMBER(IF(Verification!E18&lt;&gt;"",Scoring!F18,Calc!V18)),Parameters!$E$8*IF(Verification!E18&lt;&gt;"",Scoring!F18,Calc!V18),0))/(Scoring!N18-IF(ISNUMBER(Scoring!F18),Parameters!$E$8,0)+IF(ISNUMBER(IF(Verification!E18&lt;&gt;"",Scoring!F18,Calc!V18)),Parameters!$E$8,0))*100,"NA")</f>
        <v>NA</v>
      </c>
      <c r="H18" s="29" t="str">
        <f aca="false">IF(ISNUMBER(Scoring!S18),(Scoring!N18/Parameters!$E$13)*Scoring!S18+(1-Scoring!N18/Parameters!$E$13)*Summary!$B$9,"NA")</f>
        <v>NA</v>
      </c>
      <c r="I18" s="29" t="str">
        <f aca="false">IF(AND(ISNUMBER(Scoring!S18),COUNT(Scoring!E18,Scoring!F18)&gt;0),Scoring!S18,"NA")</f>
        <v>NA</v>
      </c>
      <c r="J18" s="29" t="str">
        <f aca="false">IF(AND(ISNUMBER($B18),ISNUMBER(C18)),ABS(C18-$B18),"")</f>
        <v/>
      </c>
      <c r="K18" s="29" t="str">
        <f aca="false">IF(AND(ISNUMBER($B18),ISNUMBER(D18)),ABS(D18-$B18),"")</f>
        <v/>
      </c>
      <c r="L18" s="29" t="str">
        <f aca="false">IF(AND(ISNUMBER($B18),ISNUMBER(E18)),ABS(E18-$B18),"")</f>
        <v/>
      </c>
      <c r="M18" s="29" t="str">
        <f aca="false">IF(AND(ISNUMBER($B18),ISNUMBER(F18)),ABS(F18-$B18),"")</f>
        <v/>
      </c>
      <c r="N18" s="29" t="str">
        <f aca="false">IF(AND(ISNUMBER($B18),ISNUMBER(G18)),ABS(G18-$B18),"")</f>
        <v/>
      </c>
      <c r="O18" s="29" t="str">
        <f aca="false">IF(AND(ISNUMBER($B18),ISNUMBER(H18)),ABS(H18-$B18),"")</f>
        <v/>
      </c>
      <c r="P18" s="29" t="str">
        <f aca="false">IF(AND(ISNUMBER($B18),ISNUMBER(I18)),ABS(I18-$B18),"")</f>
        <v/>
      </c>
    </row>
    <row r="19" customFormat="false" ht="15" hidden="false" customHeight="true" outlineLevel="0" collapsed="false">
      <c r="A19" s="15" t="str">
        <f aca="false">Data!$A19</f>
        <v>Browsertrix</v>
      </c>
      <c r="B19" s="29" t="n">
        <f aca="false">Scoring!S19</f>
        <v>54.0441176470588</v>
      </c>
      <c r="C19" s="29" t="n">
        <f aca="false">IF(AND(Scoring!N19&gt;=Parameters!$C$57,Scoring!Q19&gt;=Parameters!$C$59),Scoring!O19/Scoring!N19*100,"NA")</f>
        <v>54.0441176470588</v>
      </c>
      <c r="D19" s="29" t="str">
        <f aca="false">IF(AND(Scoring!N19&gt;=Parameters!$C$58,Scoring!Q19&gt;=Parameters!$C$59),Scoring!O19/Scoring!N19*100,"NA")</f>
        <v>NA</v>
      </c>
      <c r="E19" s="29" t="n">
        <f aca="false">IF(AND((Scoring!N19-IF(ISNUMBER(Scoring!E19),Parameters!$E$7,0)+IF(ISNUMBER(IF(Verification!D19&lt;&gt;"",Verification!D19,IF(Coding!AG19=0,"NA",IF(AND(Parameters!$C$39=1,ISNUMBER(Calc!B19),Calc!B19&lt;=Parameters!$C$40),0,MIN(Coding!AG19,Parameters!$C$37)/Parameters!$C$37)))),Parameters!$E$7,0))&gt;=Parameters!$C$56,Scoring!Q19&gt;=Parameters!$C$59),(Scoring!O19-IF(ISNUMBER(Scoring!E19),Parameters!$E$7*Scoring!E19,0)+IF(ISNUMBER(IF(Verification!D19&lt;&gt;"",Verification!D19,IF(Coding!AG19=0,"NA",IF(AND(Parameters!$C$39=1,ISNUMBER(Calc!B19),Calc!B19&lt;=Parameters!$C$40),0,MIN(Coding!AG19,Parameters!$C$37)/Parameters!$C$37)))),Parameters!$E$7*IF(Verification!D19&lt;&gt;"",Verification!D19,IF(Coding!AG19=0,"NA",IF(AND(Parameters!$C$39=1,ISNUMBER(Calc!B19),Calc!B19&lt;=Parameters!$C$40),0,MIN(Coding!AG19,Parameters!$C$37)/Parameters!$C$37))),0))/(Scoring!N19-IF(ISNUMBER(Scoring!E19),Parameters!$E$7,0)+IF(ISNUMBER(IF(Verification!D19&lt;&gt;"",Verification!D19,IF(Coding!AG19=0,"NA",IF(AND(Parameters!$C$39=1,ISNUMBER(Calc!B19),Calc!B19&lt;=Parameters!$C$40),0,MIN(Coding!AG19,Parameters!$C$37)/Parameters!$C$37)))),Parameters!$E$7,0))*100,"NA")</f>
        <v>54.0441176470588</v>
      </c>
      <c r="F19" s="29" t="n">
        <f aca="false">IF(Scoring!R19="Yes",AVERAGE(Scoring!D19:J19)*100,"NA")</f>
        <v>69.1666666666667</v>
      </c>
      <c r="G19" s="29" t="n">
        <f aca="false">IF(AND((Scoring!N19-IF(ISNUMBER(Scoring!F19),Parameters!$E$8,0)+IF(ISNUMBER(IF(Verification!E19&lt;&gt;"",Scoring!F19,Calc!V19)),Parameters!$E$8,0))&gt;=Parameters!$C$56,Scoring!Q19&gt;=Parameters!$C$59),(Scoring!O19-IF(ISNUMBER(Scoring!F19),Parameters!$E$8*Scoring!F19,0)+IF(ISNUMBER(IF(Verification!E19&lt;&gt;"",Scoring!F19,Calc!V19)),Parameters!$E$8*IF(Verification!E19&lt;&gt;"",Scoring!F19,Calc!V19),0))/(Scoring!N19-IF(ISNUMBER(Scoring!F19),Parameters!$E$8,0)+IF(ISNUMBER(IF(Verification!E19&lt;&gt;"",Scoring!F19,Calc!V19)),Parameters!$E$8,0))*100,"NA")</f>
        <v>54.0441176470588</v>
      </c>
      <c r="H19" s="29" t="n">
        <f aca="false">IF(ISNUMBER(Scoring!S19),(Scoring!N19/Parameters!$E$13)*Scoring!S19+(1-Scoring!N19/Parameters!$E$13)*Summary!$B$9,"NA")</f>
        <v>61.7822580645161</v>
      </c>
      <c r="I19" s="29" t="n">
        <f aca="false">IF(AND(ISNUMBER(Scoring!S19),COUNT(Scoring!E19,Scoring!F19)&gt;0),Scoring!S19,"NA")</f>
        <v>54.0441176470588</v>
      </c>
      <c r="J19" s="29" t="n">
        <f aca="false">IF(AND(ISNUMBER($B19),ISNUMBER(C19)),ABS(C19-$B19),"")</f>
        <v>0</v>
      </c>
      <c r="K19" s="29" t="str">
        <f aca="false">IF(AND(ISNUMBER($B19),ISNUMBER(D19)),ABS(D19-$B19),"")</f>
        <v/>
      </c>
      <c r="L19" s="29" t="n">
        <f aca="false">IF(AND(ISNUMBER($B19),ISNUMBER(E19)),ABS(E19-$B19),"")</f>
        <v>0</v>
      </c>
      <c r="M19" s="29" t="n">
        <f aca="false">IF(AND(ISNUMBER($B19),ISNUMBER(F19)),ABS(F19-$B19),"")</f>
        <v>15.1225490196079</v>
      </c>
      <c r="N19" s="29" t="n">
        <f aca="false">IF(AND(ISNUMBER($B19),ISNUMBER(G19)),ABS(G19-$B19),"")</f>
        <v>0</v>
      </c>
      <c r="O19" s="29" t="n">
        <f aca="false">IF(AND(ISNUMBER($B19),ISNUMBER(H19)),ABS(H19-$B19),"")</f>
        <v>7.7381404174573</v>
      </c>
      <c r="P19" s="29" t="n">
        <f aca="false">IF(AND(ISNUMBER($B19),ISNUMBER(I19)),ABS(I19-$B19),"")</f>
        <v>0</v>
      </c>
    </row>
    <row r="20" customFormat="false" ht="15" hidden="false" customHeight="true" outlineLevel="0" collapsed="false">
      <c r="A20" s="15" t="str">
        <f aca="false">Data!$A20</f>
        <v>CLOCKSS</v>
      </c>
      <c r="B20" s="29" t="str">
        <f aca="false">Scoring!S20</f>
        <v>NA</v>
      </c>
      <c r="C20" s="29" t="str">
        <f aca="false">IF(AND(Scoring!N20&gt;=Parameters!$C$57,Scoring!Q20&gt;=Parameters!$C$59),Scoring!O20/Scoring!N20*100,"NA")</f>
        <v>NA</v>
      </c>
      <c r="D20" s="29" t="str">
        <f aca="false">IF(AND(Scoring!N20&gt;=Parameters!$C$58,Scoring!Q20&gt;=Parameters!$C$59),Scoring!O20/Scoring!N20*100,"NA")</f>
        <v>NA</v>
      </c>
      <c r="E20" s="29" t="str">
        <f aca="false">IF(AND((Scoring!N20-IF(ISNUMBER(Scoring!E20),Parameters!$E$7,0)+IF(ISNUMBER(IF(Verification!D20&lt;&gt;"",Verification!D20,IF(Coding!AG20=0,"NA",IF(AND(Parameters!$C$39=1,ISNUMBER(Calc!B20),Calc!B20&lt;=Parameters!$C$40),0,MIN(Coding!AG20,Parameters!$C$37)/Parameters!$C$37)))),Parameters!$E$7,0))&gt;=Parameters!$C$56,Scoring!Q20&gt;=Parameters!$C$59),(Scoring!O20-IF(ISNUMBER(Scoring!E20),Parameters!$E$7*Scoring!E20,0)+IF(ISNUMBER(IF(Verification!D20&lt;&gt;"",Verification!D20,IF(Coding!AG20=0,"NA",IF(AND(Parameters!$C$39=1,ISNUMBER(Calc!B20),Calc!B20&lt;=Parameters!$C$40),0,MIN(Coding!AG20,Parameters!$C$37)/Parameters!$C$37)))),Parameters!$E$7*IF(Verification!D20&lt;&gt;"",Verification!D20,IF(Coding!AG20=0,"NA",IF(AND(Parameters!$C$39=1,ISNUMBER(Calc!B20),Calc!B20&lt;=Parameters!$C$40),0,MIN(Coding!AG20,Parameters!$C$37)/Parameters!$C$37))),0))/(Scoring!N20-IF(ISNUMBER(Scoring!E20),Parameters!$E$7,0)+IF(ISNUMBER(IF(Verification!D20&lt;&gt;"",Verification!D20,IF(Coding!AG20=0,"NA",IF(AND(Parameters!$C$39=1,ISNUMBER(Calc!B20),Calc!B20&lt;=Parameters!$C$40),0,MIN(Coding!AG20,Parameters!$C$37)/Parameters!$C$37)))),Parameters!$E$7,0))*100,"NA")</f>
        <v>NA</v>
      </c>
      <c r="F20" s="29" t="str">
        <f aca="false">IF(Scoring!R20="Yes",AVERAGE(Scoring!D20:J20)*100,"NA")</f>
        <v>NA</v>
      </c>
      <c r="G20" s="29" t="str">
        <f aca="false">IF(AND((Scoring!N20-IF(ISNUMBER(Scoring!F20),Parameters!$E$8,0)+IF(ISNUMBER(IF(Verification!E20&lt;&gt;"",Scoring!F20,Calc!V20)),Parameters!$E$8,0))&gt;=Parameters!$C$56,Scoring!Q20&gt;=Parameters!$C$59),(Scoring!O20-IF(ISNUMBER(Scoring!F20),Parameters!$E$8*Scoring!F20,0)+IF(ISNUMBER(IF(Verification!E20&lt;&gt;"",Scoring!F20,Calc!V20)),Parameters!$E$8*IF(Verification!E20&lt;&gt;"",Scoring!F20,Calc!V20),0))/(Scoring!N20-IF(ISNUMBER(Scoring!F20),Parameters!$E$8,0)+IF(ISNUMBER(IF(Verification!E20&lt;&gt;"",Scoring!F20,Calc!V20)),Parameters!$E$8,0))*100,"NA")</f>
        <v>NA</v>
      </c>
      <c r="H20" s="29" t="str">
        <f aca="false">IF(ISNUMBER(Scoring!S20),(Scoring!N20/Parameters!$E$13)*Scoring!S20+(1-Scoring!N20/Parameters!$E$13)*Summary!$B$9,"NA")</f>
        <v>NA</v>
      </c>
      <c r="I20" s="29" t="str">
        <f aca="false">IF(AND(ISNUMBER(Scoring!S20),COUNT(Scoring!E20,Scoring!F20)&gt;0),Scoring!S20,"NA")</f>
        <v>NA</v>
      </c>
      <c r="J20" s="29" t="str">
        <f aca="false">IF(AND(ISNUMBER($B20),ISNUMBER(C20)),ABS(C20-$B20),"")</f>
        <v/>
      </c>
      <c r="K20" s="29" t="str">
        <f aca="false">IF(AND(ISNUMBER($B20),ISNUMBER(D20)),ABS(D20-$B20),"")</f>
        <v/>
      </c>
      <c r="L20" s="29" t="str">
        <f aca="false">IF(AND(ISNUMBER($B20),ISNUMBER(E20)),ABS(E20-$B20),"")</f>
        <v/>
      </c>
      <c r="M20" s="29" t="str">
        <f aca="false">IF(AND(ISNUMBER($B20),ISNUMBER(F20)),ABS(F20-$B20),"")</f>
        <v/>
      </c>
      <c r="N20" s="29" t="str">
        <f aca="false">IF(AND(ISNUMBER($B20),ISNUMBER(G20)),ABS(G20-$B20),"")</f>
        <v/>
      </c>
      <c r="O20" s="29" t="str">
        <f aca="false">IF(AND(ISNUMBER($B20),ISNUMBER(H20)),ABS(H20-$B20),"")</f>
        <v/>
      </c>
      <c r="P20" s="29" t="str">
        <f aca="false">IF(AND(ISNUMBER($B20),ISNUMBER(I20)),ABS(I20-$B20),"")</f>
        <v/>
      </c>
    </row>
    <row r="21" customFormat="false" ht="15" hidden="false" customHeight="true" outlineLevel="0" collapsed="false">
      <c r="A21" s="15" t="str">
        <f aca="false">Data!$A21</f>
        <v>COAR International Repository Directory (IRD)</v>
      </c>
      <c r="B21" s="29" t="n">
        <f aca="false">Scoring!S21</f>
        <v>56.05</v>
      </c>
      <c r="C21" s="29" t="n">
        <f aca="false">IF(AND(Scoring!N21&gt;=Parameters!$C$57,Scoring!Q21&gt;=Parameters!$C$59),Scoring!O21/Scoring!N21*100,"NA")</f>
        <v>56.05</v>
      </c>
      <c r="D21" s="29" t="n">
        <f aca="false">IF(AND(Scoring!N21&gt;=Parameters!$C$58,Scoring!Q21&gt;=Parameters!$C$59),Scoring!O21/Scoring!N21*100,"NA")</f>
        <v>56.05</v>
      </c>
      <c r="E21" s="29" t="n">
        <f aca="false">IF(AND((Scoring!N21-IF(ISNUMBER(Scoring!E21),Parameters!$E$7,0)+IF(ISNUMBER(IF(Verification!D21&lt;&gt;"",Verification!D21,IF(Coding!AG21=0,"NA",IF(AND(Parameters!$C$39=1,ISNUMBER(Calc!B21),Calc!B21&lt;=Parameters!$C$40),0,MIN(Coding!AG21,Parameters!$C$37)/Parameters!$C$37)))),Parameters!$E$7,0))&gt;=Parameters!$C$56,Scoring!Q21&gt;=Parameters!$C$59),(Scoring!O21-IF(ISNUMBER(Scoring!E21),Parameters!$E$7*Scoring!E21,0)+IF(ISNUMBER(IF(Verification!D21&lt;&gt;"",Verification!D21,IF(Coding!AG21=0,"NA",IF(AND(Parameters!$C$39=1,ISNUMBER(Calc!B21),Calc!B21&lt;=Parameters!$C$40),0,MIN(Coding!AG21,Parameters!$C$37)/Parameters!$C$37)))),Parameters!$E$7*IF(Verification!D21&lt;&gt;"",Verification!D21,IF(Coding!AG21=0,"NA",IF(AND(Parameters!$C$39=1,ISNUMBER(Calc!B21),Calc!B21&lt;=Parameters!$C$40),0,MIN(Coding!AG21,Parameters!$C$37)/Parameters!$C$37))),0))/(Scoring!N21-IF(ISNUMBER(Scoring!E21),Parameters!$E$7,0)+IF(ISNUMBER(IF(Verification!D21&lt;&gt;"",Verification!D21,IF(Coding!AG21=0,"NA",IF(AND(Parameters!$C$39=1,ISNUMBER(Calc!B21),Calc!B21&lt;=Parameters!$C$40),0,MIN(Coding!AG21,Parameters!$C$37)/Parameters!$C$37)))),Parameters!$E$7,0))*100,"NA")</f>
        <v>56.05</v>
      </c>
      <c r="F21" s="29" t="n">
        <f aca="false">IF(Scoring!R21="Yes",AVERAGE(Scoring!D21:J21)*100,"NA")</f>
        <v>64.3333333333333</v>
      </c>
      <c r="G21" s="29" t="n">
        <f aca="false">IF(AND((Scoring!N21-IF(ISNUMBER(Scoring!F21),Parameters!$E$8,0)+IF(ISNUMBER(IF(Verification!E21&lt;&gt;"",Scoring!F21,Calc!V21)),Parameters!$E$8,0))&gt;=Parameters!$C$56,Scoring!Q21&gt;=Parameters!$C$59),(Scoring!O21-IF(ISNUMBER(Scoring!F21),Parameters!$E$8*Scoring!F21,0)+IF(ISNUMBER(IF(Verification!E21&lt;&gt;"",Scoring!F21,Calc!V21)),Parameters!$E$8*IF(Verification!E21&lt;&gt;"",Scoring!F21,Calc!V21),0))/(Scoring!N21-IF(ISNUMBER(Scoring!F21),Parameters!$E$8,0)+IF(ISNUMBER(IF(Verification!E21&lt;&gt;"",Scoring!F21,Calc!V21)),Parameters!$E$8,0))*100,"NA")</f>
        <v>56.05</v>
      </c>
      <c r="H21" s="29" t="n">
        <f aca="false">IF(ISNUMBER(Scoring!S21),(Scoring!N21/Parameters!$E$13)*Scoring!S21+(1-Scoring!N21/Parameters!$E$13)*Summary!$B$9,"NA")</f>
        <v>56.05</v>
      </c>
      <c r="I21" s="29" t="n">
        <f aca="false">IF(AND(ISNUMBER(Scoring!S21),COUNT(Scoring!E21,Scoring!F21)&gt;0),Scoring!S21,"NA")</f>
        <v>56.05</v>
      </c>
      <c r="J21" s="29" t="n">
        <f aca="false">IF(AND(ISNUMBER($B21),ISNUMBER(C21)),ABS(C21-$B21),"")</f>
        <v>0</v>
      </c>
      <c r="K21" s="29" t="n">
        <f aca="false">IF(AND(ISNUMBER($B21),ISNUMBER(D21)),ABS(D21-$B21),"")</f>
        <v>0</v>
      </c>
      <c r="L21" s="29" t="n">
        <f aca="false">IF(AND(ISNUMBER($B21),ISNUMBER(E21)),ABS(E21-$B21),"")</f>
        <v>0</v>
      </c>
      <c r="M21" s="29" t="n">
        <f aca="false">IF(AND(ISNUMBER($B21),ISNUMBER(F21)),ABS(F21-$B21),"")</f>
        <v>8.28333333333333</v>
      </c>
      <c r="N21" s="29" t="n">
        <f aca="false">IF(AND(ISNUMBER($B21),ISNUMBER(G21)),ABS(G21-$B21),"")</f>
        <v>0</v>
      </c>
      <c r="O21" s="29" t="n">
        <f aca="false">IF(AND(ISNUMBER($B21),ISNUMBER(H21)),ABS(H21-$B21),"")</f>
        <v>0</v>
      </c>
      <c r="P21" s="29" t="n">
        <f aca="false">IF(AND(ISNUMBER($B21),ISNUMBER(I21)),ABS(I21-$B21),"")</f>
        <v>0</v>
      </c>
    </row>
    <row r="22" customFormat="false" ht="15" hidden="false" customHeight="true" outlineLevel="0" collapsed="false">
      <c r="A22" s="15" t="str">
        <f aca="false">Data!$A22</f>
        <v>COAR Notify</v>
      </c>
      <c r="B22" s="29" t="n">
        <f aca="false">Scoring!S22</f>
        <v>62.7</v>
      </c>
      <c r="C22" s="29" t="n">
        <f aca="false">IF(AND(Scoring!N22&gt;=Parameters!$C$57,Scoring!Q22&gt;=Parameters!$C$59),Scoring!O22/Scoring!N22*100,"NA")</f>
        <v>62.7</v>
      </c>
      <c r="D22" s="29" t="n">
        <f aca="false">IF(AND(Scoring!N22&gt;=Parameters!$C$58,Scoring!Q22&gt;=Parameters!$C$59),Scoring!O22/Scoring!N22*100,"NA")</f>
        <v>62.7</v>
      </c>
      <c r="E22" s="29" t="n">
        <f aca="false">IF(AND((Scoring!N22-IF(ISNUMBER(Scoring!E22),Parameters!$E$7,0)+IF(ISNUMBER(IF(Verification!D22&lt;&gt;"",Verification!D22,IF(Coding!AG22=0,"NA",IF(AND(Parameters!$C$39=1,ISNUMBER(Calc!B22),Calc!B22&lt;=Parameters!$C$40),0,MIN(Coding!AG22,Parameters!$C$37)/Parameters!$C$37)))),Parameters!$E$7,0))&gt;=Parameters!$C$56,Scoring!Q22&gt;=Parameters!$C$59),(Scoring!O22-IF(ISNUMBER(Scoring!E22),Parameters!$E$7*Scoring!E22,0)+IF(ISNUMBER(IF(Verification!D22&lt;&gt;"",Verification!D22,IF(Coding!AG22=0,"NA",IF(AND(Parameters!$C$39=1,ISNUMBER(Calc!B22),Calc!B22&lt;=Parameters!$C$40),0,MIN(Coding!AG22,Parameters!$C$37)/Parameters!$C$37)))),Parameters!$E$7*IF(Verification!D22&lt;&gt;"",Verification!D22,IF(Coding!AG22=0,"NA",IF(AND(Parameters!$C$39=1,ISNUMBER(Calc!B22),Calc!B22&lt;=Parameters!$C$40),0,MIN(Coding!AG22,Parameters!$C$37)/Parameters!$C$37))),0))/(Scoring!N22-IF(ISNUMBER(Scoring!E22),Parameters!$E$7,0)+IF(ISNUMBER(IF(Verification!D22&lt;&gt;"",Verification!D22,IF(Coding!AG22=0,"NA",IF(AND(Parameters!$C$39=1,ISNUMBER(Calc!B22),Calc!B22&lt;=Parameters!$C$40),0,MIN(Coding!AG22,Parameters!$C$37)/Parameters!$C$37)))),Parameters!$E$7,0))*100,"NA")</f>
        <v>62.7</v>
      </c>
      <c r="F22" s="29" t="n">
        <f aca="false">IF(Scoring!R22="Yes",AVERAGE(Scoring!D22:J22)*100,"NA")</f>
        <v>68.4047619047619</v>
      </c>
      <c r="G22" s="29" t="n">
        <f aca="false">IF(AND((Scoring!N22-IF(ISNUMBER(Scoring!F22),Parameters!$E$8,0)+IF(ISNUMBER(IF(Verification!E22&lt;&gt;"",Scoring!F22,Calc!V22)),Parameters!$E$8,0))&gt;=Parameters!$C$56,Scoring!Q22&gt;=Parameters!$C$59),(Scoring!O22-IF(ISNUMBER(Scoring!F22),Parameters!$E$8*Scoring!F22,0)+IF(ISNUMBER(IF(Verification!E22&lt;&gt;"",Scoring!F22,Calc!V22)),Parameters!$E$8*IF(Verification!E22&lt;&gt;"",Scoring!F22,Calc!V22),0))/(Scoring!N22-IF(ISNUMBER(Scoring!F22),Parameters!$E$8,0)+IF(ISNUMBER(IF(Verification!E22&lt;&gt;"",Scoring!F22,Calc!V22)),Parameters!$E$8,0))*100,"NA")</f>
        <v>62.7</v>
      </c>
      <c r="H22" s="29" t="n">
        <f aca="false">IF(ISNUMBER(Scoring!S22),(Scoring!N22/Parameters!$E$13)*Scoring!S22+(1-Scoring!N22/Parameters!$E$13)*Summary!$B$9,"NA")</f>
        <v>62.7</v>
      </c>
      <c r="I22" s="29" t="n">
        <f aca="false">IF(AND(ISNUMBER(Scoring!S22),COUNT(Scoring!E22,Scoring!F22)&gt;0),Scoring!S22,"NA")</f>
        <v>62.7</v>
      </c>
      <c r="J22" s="29" t="n">
        <f aca="false">IF(AND(ISNUMBER($B22),ISNUMBER(C22)),ABS(C22-$B22),"")</f>
        <v>0</v>
      </c>
      <c r="K22" s="29" t="n">
        <f aca="false">IF(AND(ISNUMBER($B22),ISNUMBER(D22)),ABS(D22-$B22),"")</f>
        <v>0</v>
      </c>
      <c r="L22" s="29" t="n">
        <f aca="false">IF(AND(ISNUMBER($B22),ISNUMBER(E22)),ABS(E22-$B22),"")</f>
        <v>0</v>
      </c>
      <c r="M22" s="29" t="n">
        <f aca="false">IF(AND(ISNUMBER($B22),ISNUMBER(F22)),ABS(F22-$B22),"")</f>
        <v>5.7047619047619</v>
      </c>
      <c r="N22" s="29" t="n">
        <f aca="false">IF(AND(ISNUMBER($B22),ISNUMBER(G22)),ABS(G22-$B22),"")</f>
        <v>0</v>
      </c>
      <c r="O22" s="29" t="n">
        <f aca="false">IF(AND(ISNUMBER($B22),ISNUMBER(H22)),ABS(H22-$B22),"")</f>
        <v>0</v>
      </c>
      <c r="P22" s="29" t="n">
        <f aca="false">IF(AND(ISNUMBER($B22),ISNUMBER(I22)),ABS(I22-$B22),"")</f>
        <v>0</v>
      </c>
    </row>
    <row r="23" customFormat="false" ht="15" hidden="false" customHeight="true" outlineLevel="0" collapsed="false">
      <c r="A23" s="15" t="str">
        <f aca="false">Data!$A23</f>
        <v>CollectiveAccess</v>
      </c>
      <c r="B23" s="29" t="str">
        <f aca="false">Scoring!S23</f>
        <v>NA</v>
      </c>
      <c r="C23" s="29" t="str">
        <f aca="false">IF(AND(Scoring!N23&gt;=Parameters!$C$57,Scoring!Q23&gt;=Parameters!$C$59),Scoring!O23/Scoring!N23*100,"NA")</f>
        <v>NA</v>
      </c>
      <c r="D23" s="29" t="str">
        <f aca="false">IF(AND(Scoring!N23&gt;=Parameters!$C$58,Scoring!Q23&gt;=Parameters!$C$59),Scoring!O23/Scoring!N23*100,"NA")</f>
        <v>NA</v>
      </c>
      <c r="E23" s="29" t="str">
        <f aca="false">IF(AND((Scoring!N23-IF(ISNUMBER(Scoring!E23),Parameters!$E$7,0)+IF(ISNUMBER(IF(Verification!D23&lt;&gt;"",Verification!D23,IF(Coding!AG23=0,"NA",IF(AND(Parameters!$C$39=1,ISNUMBER(Calc!B23),Calc!B23&lt;=Parameters!$C$40),0,MIN(Coding!AG23,Parameters!$C$37)/Parameters!$C$37)))),Parameters!$E$7,0))&gt;=Parameters!$C$56,Scoring!Q23&gt;=Parameters!$C$59),(Scoring!O23-IF(ISNUMBER(Scoring!E23),Parameters!$E$7*Scoring!E23,0)+IF(ISNUMBER(IF(Verification!D23&lt;&gt;"",Verification!D23,IF(Coding!AG23=0,"NA",IF(AND(Parameters!$C$39=1,ISNUMBER(Calc!B23),Calc!B23&lt;=Parameters!$C$40),0,MIN(Coding!AG23,Parameters!$C$37)/Parameters!$C$37)))),Parameters!$E$7*IF(Verification!D23&lt;&gt;"",Verification!D23,IF(Coding!AG23=0,"NA",IF(AND(Parameters!$C$39=1,ISNUMBER(Calc!B23),Calc!B23&lt;=Parameters!$C$40),0,MIN(Coding!AG23,Parameters!$C$37)/Parameters!$C$37))),0))/(Scoring!N23-IF(ISNUMBER(Scoring!E23),Parameters!$E$7,0)+IF(ISNUMBER(IF(Verification!D23&lt;&gt;"",Verification!D23,IF(Coding!AG23=0,"NA",IF(AND(Parameters!$C$39=1,ISNUMBER(Calc!B23),Calc!B23&lt;=Parameters!$C$40),0,MIN(Coding!AG23,Parameters!$C$37)/Parameters!$C$37)))),Parameters!$E$7,0))*100,"NA")</f>
        <v>NA</v>
      </c>
      <c r="F23" s="29" t="str">
        <f aca="false">IF(Scoring!R23="Yes",AVERAGE(Scoring!D23:J23)*100,"NA")</f>
        <v>NA</v>
      </c>
      <c r="G23" s="29" t="str">
        <f aca="false">IF(AND((Scoring!N23-IF(ISNUMBER(Scoring!F23),Parameters!$E$8,0)+IF(ISNUMBER(IF(Verification!E23&lt;&gt;"",Scoring!F23,Calc!V23)),Parameters!$E$8,0))&gt;=Parameters!$C$56,Scoring!Q23&gt;=Parameters!$C$59),(Scoring!O23-IF(ISNUMBER(Scoring!F23),Parameters!$E$8*Scoring!F23,0)+IF(ISNUMBER(IF(Verification!E23&lt;&gt;"",Scoring!F23,Calc!V23)),Parameters!$E$8*IF(Verification!E23&lt;&gt;"",Scoring!F23,Calc!V23),0))/(Scoring!N23-IF(ISNUMBER(Scoring!F23),Parameters!$E$8,0)+IF(ISNUMBER(IF(Verification!E23&lt;&gt;"",Scoring!F23,Calc!V23)),Parameters!$E$8,0))*100,"NA")</f>
        <v>NA</v>
      </c>
      <c r="H23" s="29" t="str">
        <f aca="false">IF(ISNUMBER(Scoring!S23),(Scoring!N23/Parameters!$E$13)*Scoring!S23+(1-Scoring!N23/Parameters!$E$13)*Summary!$B$9,"NA")</f>
        <v>NA</v>
      </c>
      <c r="I23" s="29" t="str">
        <f aca="false">IF(AND(ISNUMBER(Scoring!S23),COUNT(Scoring!E23,Scoring!F23)&gt;0),Scoring!S23,"NA")</f>
        <v>NA</v>
      </c>
      <c r="J23" s="29" t="str">
        <f aca="false">IF(AND(ISNUMBER($B23),ISNUMBER(C23)),ABS(C23-$B23),"")</f>
        <v/>
      </c>
      <c r="K23" s="29" t="str">
        <f aca="false">IF(AND(ISNUMBER($B23),ISNUMBER(D23)),ABS(D23-$B23),"")</f>
        <v/>
      </c>
      <c r="L23" s="29" t="str">
        <f aca="false">IF(AND(ISNUMBER($B23),ISNUMBER(E23)),ABS(E23-$B23),"")</f>
        <v/>
      </c>
      <c r="M23" s="29" t="str">
        <f aca="false">IF(AND(ISNUMBER($B23),ISNUMBER(F23)),ABS(F23-$B23),"")</f>
        <v/>
      </c>
      <c r="N23" s="29" t="str">
        <f aca="false">IF(AND(ISNUMBER($B23),ISNUMBER(G23)),ABS(G23-$B23),"")</f>
        <v/>
      </c>
      <c r="O23" s="29" t="str">
        <f aca="false">IF(AND(ISNUMBER($B23),ISNUMBER(H23)),ABS(H23-$B23),"")</f>
        <v/>
      </c>
      <c r="P23" s="29" t="str">
        <f aca="false">IF(AND(ISNUMBER($B23),ISNUMBER(I23)),ABS(I23-$B23),"")</f>
        <v/>
      </c>
    </row>
    <row r="24" customFormat="false" ht="15" hidden="false" customHeight="true" outlineLevel="0" collapsed="false">
      <c r="A24" s="15" t="str">
        <f aca="false">Data!$A24</f>
        <v>CORE</v>
      </c>
      <c r="B24" s="29" t="n">
        <f aca="false">Scoring!S24</f>
        <v>80.7692307692308</v>
      </c>
      <c r="C24" s="29" t="n">
        <f aca="false">IF(AND(Scoring!N24&gt;=Parameters!$C$57,Scoring!Q24&gt;=Parameters!$C$59),Scoring!O24/Scoring!N24*100,"NA")</f>
        <v>80.7692307692308</v>
      </c>
      <c r="D24" s="29" t="n">
        <f aca="false">IF(AND(Scoring!N24&gt;=Parameters!$C$58,Scoring!Q24&gt;=Parameters!$C$59),Scoring!O24/Scoring!N24*100,"NA")</f>
        <v>80.7692307692308</v>
      </c>
      <c r="E24" s="29" t="n">
        <f aca="false">IF(AND((Scoring!N24-IF(ISNUMBER(Scoring!E24),Parameters!$E$7,0)+IF(ISNUMBER(IF(Verification!D24&lt;&gt;"",Verification!D24,IF(Coding!AG24=0,"NA",IF(AND(Parameters!$C$39=1,ISNUMBER(Calc!B24),Calc!B24&lt;=Parameters!$C$40),0,MIN(Coding!AG24,Parameters!$C$37)/Parameters!$C$37)))),Parameters!$E$7,0))&gt;=Parameters!$C$56,Scoring!Q24&gt;=Parameters!$C$59),(Scoring!O24-IF(ISNUMBER(Scoring!E24),Parameters!$E$7*Scoring!E24,0)+IF(ISNUMBER(IF(Verification!D24&lt;&gt;"",Verification!D24,IF(Coding!AG24=0,"NA",IF(AND(Parameters!$C$39=1,ISNUMBER(Calc!B24),Calc!B24&lt;=Parameters!$C$40),0,MIN(Coding!AG24,Parameters!$C$37)/Parameters!$C$37)))),Parameters!$E$7*IF(Verification!D24&lt;&gt;"",Verification!D24,IF(Coding!AG24=0,"NA",IF(AND(Parameters!$C$39=1,ISNUMBER(Calc!B24),Calc!B24&lt;=Parameters!$C$40),0,MIN(Coding!AG24,Parameters!$C$37)/Parameters!$C$37))),0))/(Scoring!N24-IF(ISNUMBER(Scoring!E24),Parameters!$E$7,0)+IF(ISNUMBER(IF(Verification!D24&lt;&gt;"",Verification!D24,IF(Coding!AG24=0,"NA",IF(AND(Parameters!$C$39=1,ISNUMBER(Calc!B24),Calc!B24&lt;=Parameters!$C$40),0,MIN(Coding!AG24,Parameters!$C$37)/Parameters!$C$37)))),Parameters!$E$7,0))*100,"NA")</f>
        <v>80.7692307692308</v>
      </c>
      <c r="F24" s="29" t="n">
        <f aca="false">IF(Scoring!R24="Yes",AVERAGE(Scoring!D24:J24)*100,"NA")</f>
        <v>83.3333333333333</v>
      </c>
      <c r="G24" s="29" t="n">
        <f aca="false">IF(AND((Scoring!N24-IF(ISNUMBER(Scoring!F24),Parameters!$E$8,0)+IF(ISNUMBER(IF(Verification!E24&lt;&gt;"",Scoring!F24,Calc!V24)),Parameters!$E$8,0))&gt;=Parameters!$C$56,Scoring!Q24&gt;=Parameters!$C$59),(Scoring!O24-IF(ISNUMBER(Scoring!F24),Parameters!$E$8*Scoring!F24,0)+IF(ISNUMBER(IF(Verification!E24&lt;&gt;"",Scoring!F24,Calc!V24)),Parameters!$E$8*IF(Verification!E24&lt;&gt;"",Scoring!F24,Calc!V24),0))/(Scoring!N24-IF(ISNUMBER(Scoring!F24),Parameters!$E$8,0)+IF(ISNUMBER(IF(Verification!E24&lt;&gt;"",Scoring!F24,Calc!V24)),Parameters!$E$8,0))*100,"NA")</f>
        <v>76.9230769230769</v>
      </c>
      <c r="H24" s="29" t="n">
        <f aca="false">IF(ISNUMBER(Scoring!S24),(Scoring!N24/Parameters!$E$13)*Scoring!S24+(1-Scoring!N24/Parameters!$E$13)*Summary!$B$9,"NA")</f>
        <v>80.2096774193548</v>
      </c>
      <c r="I24" s="29" t="n">
        <f aca="false">IF(AND(ISNUMBER(Scoring!S24),COUNT(Scoring!E24,Scoring!F24)&gt;0),Scoring!S24,"NA")</f>
        <v>80.7692307692308</v>
      </c>
      <c r="J24" s="29" t="n">
        <f aca="false">IF(AND(ISNUMBER($B24),ISNUMBER(C24)),ABS(C24-$B24),"")</f>
        <v>0</v>
      </c>
      <c r="K24" s="29" t="n">
        <f aca="false">IF(AND(ISNUMBER($B24),ISNUMBER(D24)),ABS(D24-$B24),"")</f>
        <v>0</v>
      </c>
      <c r="L24" s="29" t="n">
        <f aca="false">IF(AND(ISNUMBER($B24),ISNUMBER(E24)),ABS(E24-$B24),"")</f>
        <v>0</v>
      </c>
      <c r="M24" s="29" t="n">
        <f aca="false">IF(AND(ISNUMBER($B24),ISNUMBER(F24)),ABS(F24-$B24),"")</f>
        <v>2.5641025641026</v>
      </c>
      <c r="N24" s="29" t="n">
        <f aca="false">IF(AND(ISNUMBER($B24),ISNUMBER(G24)),ABS(G24-$B24),"")</f>
        <v>3.84615384615384</v>
      </c>
      <c r="O24" s="29" t="n">
        <f aca="false">IF(AND(ISNUMBER($B24),ISNUMBER(H24)),ABS(H24-$B24),"")</f>
        <v>0.559553349875927</v>
      </c>
      <c r="P24" s="29" t="n">
        <f aca="false">IF(AND(ISNUMBER($B24),ISNUMBER(I24)),ABS(I24-$B24),"")</f>
        <v>0</v>
      </c>
    </row>
    <row r="25" customFormat="false" ht="15" hidden="false" customHeight="true" outlineLevel="0" collapsed="false">
      <c r="A25" s="15" t="str">
        <f aca="false">Data!$A25</f>
        <v>COUNTER Code of Practice</v>
      </c>
      <c r="B25" s="29" t="n">
        <f aca="false">Scoring!S25</f>
        <v>88.5</v>
      </c>
      <c r="C25" s="29" t="n">
        <f aca="false">IF(AND(Scoring!N25&gt;=Parameters!$C$57,Scoring!Q25&gt;=Parameters!$C$59),Scoring!O25/Scoring!N25*100,"NA")</f>
        <v>88.5</v>
      </c>
      <c r="D25" s="29" t="n">
        <f aca="false">IF(AND(Scoring!N25&gt;=Parameters!$C$58,Scoring!Q25&gt;=Parameters!$C$59),Scoring!O25/Scoring!N25*100,"NA")</f>
        <v>88.5</v>
      </c>
      <c r="E25" s="29" t="n">
        <f aca="false">IF(AND((Scoring!N25-IF(ISNUMBER(Scoring!E25),Parameters!$E$7,0)+IF(ISNUMBER(IF(Verification!D25&lt;&gt;"",Verification!D25,IF(Coding!AG25=0,"NA",IF(AND(Parameters!$C$39=1,ISNUMBER(Calc!B25),Calc!B25&lt;=Parameters!$C$40),0,MIN(Coding!AG25,Parameters!$C$37)/Parameters!$C$37)))),Parameters!$E$7,0))&gt;=Parameters!$C$56,Scoring!Q25&gt;=Parameters!$C$59),(Scoring!O25-IF(ISNUMBER(Scoring!E25),Parameters!$E$7*Scoring!E25,0)+IF(ISNUMBER(IF(Verification!D25&lt;&gt;"",Verification!D25,IF(Coding!AG25=0,"NA",IF(AND(Parameters!$C$39=1,ISNUMBER(Calc!B25),Calc!B25&lt;=Parameters!$C$40),0,MIN(Coding!AG25,Parameters!$C$37)/Parameters!$C$37)))),Parameters!$E$7*IF(Verification!D25&lt;&gt;"",Verification!D25,IF(Coding!AG25=0,"NA",IF(AND(Parameters!$C$39=1,ISNUMBER(Calc!B25),Calc!B25&lt;=Parameters!$C$40),0,MIN(Coding!AG25,Parameters!$C$37)/Parameters!$C$37))),0))/(Scoring!N25-IF(ISNUMBER(Scoring!E25),Parameters!$E$7,0)+IF(ISNUMBER(IF(Verification!D25&lt;&gt;"",Verification!D25,IF(Coding!AG25=0,"NA",IF(AND(Parameters!$C$39=1,ISNUMBER(Calc!B25),Calc!B25&lt;=Parameters!$C$40),0,MIN(Coding!AG25,Parameters!$C$37)/Parameters!$C$37)))),Parameters!$E$7,0))*100,"NA")</f>
        <v>88.5</v>
      </c>
      <c r="F25" s="29" t="n">
        <f aca="false">IF(Scoring!R25="Yes",AVERAGE(Scoring!D25:J25)*100,"NA")</f>
        <v>83.3333333333333</v>
      </c>
      <c r="G25" s="29" t="n">
        <f aca="false">IF(AND((Scoring!N25-IF(ISNUMBER(Scoring!F25),Parameters!$E$8,0)+IF(ISNUMBER(IF(Verification!E25&lt;&gt;"",Scoring!F25,Calc!V25)),Parameters!$E$8,0))&gt;=Parameters!$C$56,Scoring!Q25&gt;=Parameters!$C$59),(Scoring!O25-IF(ISNUMBER(Scoring!F25),Parameters!$E$8*Scoring!F25,0)+IF(ISNUMBER(IF(Verification!E25&lt;&gt;"",Scoring!F25,Calc!V25)),Parameters!$E$8*IF(Verification!E25&lt;&gt;"",Scoring!F25,Calc!V25),0))/(Scoring!N25-IF(ISNUMBER(Scoring!F25),Parameters!$E$8,0)+IF(ISNUMBER(IF(Verification!E25&lt;&gt;"",Scoring!F25,Calc!V25)),Parameters!$E$8,0))*100,"NA")</f>
        <v>85.5</v>
      </c>
      <c r="H25" s="29" t="n">
        <f aca="false">IF(ISNUMBER(Scoring!S25),(Scoring!N25/Parameters!$E$13)*Scoring!S25+(1-Scoring!N25/Parameters!$E$13)*Summary!$B$9,"NA")</f>
        <v>88.5</v>
      </c>
      <c r="I25" s="29" t="n">
        <f aca="false">IF(AND(ISNUMBER(Scoring!S25),COUNT(Scoring!E25,Scoring!F25)&gt;0),Scoring!S25,"NA")</f>
        <v>88.5</v>
      </c>
      <c r="J25" s="29" t="n">
        <f aca="false">IF(AND(ISNUMBER($B25),ISNUMBER(C25)),ABS(C25-$B25),"")</f>
        <v>0</v>
      </c>
      <c r="K25" s="29" t="n">
        <f aca="false">IF(AND(ISNUMBER($B25),ISNUMBER(D25)),ABS(D25-$B25),"")</f>
        <v>0</v>
      </c>
      <c r="L25" s="29" t="n">
        <f aca="false">IF(AND(ISNUMBER($B25),ISNUMBER(E25)),ABS(E25-$B25),"")</f>
        <v>0</v>
      </c>
      <c r="M25" s="29" t="n">
        <f aca="false">IF(AND(ISNUMBER($B25),ISNUMBER(F25)),ABS(F25-$B25),"")</f>
        <v>5.16666666666667</v>
      </c>
      <c r="N25" s="29" t="n">
        <f aca="false">IF(AND(ISNUMBER($B25),ISNUMBER(G25)),ABS(G25-$B25),"")</f>
        <v>3</v>
      </c>
      <c r="O25" s="29" t="n">
        <f aca="false">IF(AND(ISNUMBER($B25),ISNUMBER(H25)),ABS(H25-$B25),"")</f>
        <v>0</v>
      </c>
      <c r="P25" s="29" t="n">
        <f aca="false">IF(AND(ISNUMBER($B25),ISNUMBER(I25)),ABS(I25-$B25),"")</f>
        <v>0</v>
      </c>
    </row>
    <row r="26" customFormat="false" ht="15" hidden="false" customHeight="true" outlineLevel="0" collapsed="false">
      <c r="A26" s="15" t="str">
        <f aca="false">Data!$A26</f>
        <v>Creative Commons Licenses</v>
      </c>
      <c r="B26" s="29" t="n">
        <f aca="false">Scoring!S26</f>
        <v>67.5</v>
      </c>
      <c r="C26" s="29" t="n">
        <f aca="false">IF(AND(Scoring!N26&gt;=Parameters!$C$57,Scoring!Q26&gt;=Parameters!$C$59),Scoring!O26/Scoring!N26*100,"NA")</f>
        <v>67.5</v>
      </c>
      <c r="D26" s="29" t="n">
        <f aca="false">IF(AND(Scoring!N26&gt;=Parameters!$C$58,Scoring!Q26&gt;=Parameters!$C$59),Scoring!O26/Scoring!N26*100,"NA")</f>
        <v>67.5</v>
      </c>
      <c r="E26" s="29" t="str">
        <f aca="false">IF(AND((Scoring!N26-IF(ISNUMBER(Scoring!E26),Parameters!$E$7,0)+IF(ISNUMBER(IF(Verification!D26&lt;&gt;"",Verification!D26,IF(Coding!AG26=0,"NA",IF(AND(Parameters!$C$39=1,ISNUMBER(Calc!B26),Calc!B26&lt;=Parameters!$C$40),0,MIN(Coding!AG26,Parameters!$C$37)/Parameters!$C$37)))),Parameters!$E$7,0))&gt;=Parameters!$C$56,Scoring!Q26&gt;=Parameters!$C$59),(Scoring!O26-IF(ISNUMBER(Scoring!E26),Parameters!$E$7*Scoring!E26,0)+IF(ISNUMBER(IF(Verification!D26&lt;&gt;"",Verification!D26,IF(Coding!AG26=0,"NA",IF(AND(Parameters!$C$39=1,ISNUMBER(Calc!B26),Calc!B26&lt;=Parameters!$C$40),0,MIN(Coding!AG26,Parameters!$C$37)/Parameters!$C$37)))),Parameters!$E$7*IF(Verification!D26&lt;&gt;"",Verification!D26,IF(Coding!AG26=0,"NA",IF(AND(Parameters!$C$39=1,ISNUMBER(Calc!B26),Calc!B26&lt;=Parameters!$C$40),0,MIN(Coding!AG26,Parameters!$C$37)/Parameters!$C$37))),0))/(Scoring!N26-IF(ISNUMBER(Scoring!E26),Parameters!$E$7,0)+IF(ISNUMBER(IF(Verification!D26&lt;&gt;"",Verification!D26,IF(Coding!AG26=0,"NA",IF(AND(Parameters!$C$39=1,ISNUMBER(Calc!B26),Calc!B26&lt;=Parameters!$C$40),0,MIN(Coding!AG26,Parameters!$C$37)/Parameters!$C$37)))),Parameters!$E$7,0))*100,"NA")</f>
        <v>NA</v>
      </c>
      <c r="F26" s="29" t="n">
        <f aca="false">IF(Scoring!R26="Yes",AVERAGE(Scoring!D26:J26)*100,"NA")</f>
        <v>75</v>
      </c>
      <c r="G26" s="29" t="n">
        <f aca="false">IF(AND((Scoring!N26-IF(ISNUMBER(Scoring!F26),Parameters!$E$8,0)+IF(ISNUMBER(IF(Verification!E26&lt;&gt;"",Scoring!F26,Calc!V26)),Parameters!$E$8,0))&gt;=Parameters!$C$56,Scoring!Q26&gt;=Parameters!$C$59),(Scoring!O26-IF(ISNUMBER(Scoring!F26),Parameters!$E$8*Scoring!F26,0)+IF(ISNUMBER(IF(Verification!E26&lt;&gt;"",Scoring!F26,Calc!V26)),Parameters!$E$8*IF(Verification!E26&lt;&gt;"",Scoring!F26,Calc!V26),0))/(Scoring!N26-IF(ISNUMBER(Scoring!F26),Parameters!$E$8,0)+IF(ISNUMBER(IF(Verification!E26&lt;&gt;"",Scoring!F26,Calc!V26)),Parameters!$E$8,0))*100,"NA")</f>
        <v>63.75</v>
      </c>
      <c r="H26" s="29" t="n">
        <f aca="false">IF(ISNUMBER(Scoring!S26),(Scoring!N26/Parameters!$E$13)*Scoring!S26+(1-Scoring!N26/Parameters!$E$13)*Summary!$B$9,"NA")</f>
        <v>69.6451612903226</v>
      </c>
      <c r="I26" s="29" t="n">
        <f aca="false">IF(AND(ISNUMBER(Scoring!S26),COUNT(Scoring!E26,Scoring!F26)&gt;0),Scoring!S26,"NA")</f>
        <v>67.5</v>
      </c>
      <c r="J26" s="29" t="n">
        <f aca="false">IF(AND(ISNUMBER($B26),ISNUMBER(C26)),ABS(C26-$B26),"")</f>
        <v>0</v>
      </c>
      <c r="K26" s="29" t="n">
        <f aca="false">IF(AND(ISNUMBER($B26),ISNUMBER(D26)),ABS(D26-$B26),"")</f>
        <v>0</v>
      </c>
      <c r="L26" s="29" t="str">
        <f aca="false">IF(AND(ISNUMBER($B26),ISNUMBER(E26)),ABS(E26-$B26),"")</f>
        <v/>
      </c>
      <c r="M26" s="29" t="n">
        <f aca="false">IF(AND(ISNUMBER($B26),ISNUMBER(F26)),ABS(F26-$B26),"")</f>
        <v>7.5</v>
      </c>
      <c r="N26" s="29" t="n">
        <f aca="false">IF(AND(ISNUMBER($B26),ISNUMBER(G26)),ABS(G26-$B26),"")</f>
        <v>3.75000000000001</v>
      </c>
      <c r="O26" s="29" t="n">
        <f aca="false">IF(AND(ISNUMBER($B26),ISNUMBER(H26)),ABS(H26-$B26),"")</f>
        <v>2.14516129032258</v>
      </c>
      <c r="P26" s="29" t="n">
        <f aca="false">IF(AND(ISNUMBER($B26),ISNUMBER(I26)),ABS(I26-$B26),"")</f>
        <v>0</v>
      </c>
    </row>
    <row r="27" customFormat="false" ht="15" hidden="false" customHeight="true" outlineLevel="0" collapsed="false">
      <c r="A27" s="15" t="str">
        <f aca="false">Data!$A27</f>
        <v>Crossref Metadata Retrieval</v>
      </c>
      <c r="B27" s="29" t="n">
        <f aca="false">Scoring!S27</f>
        <v>82.75</v>
      </c>
      <c r="C27" s="29" t="n">
        <f aca="false">IF(AND(Scoring!N27&gt;=Parameters!$C$57,Scoring!Q27&gt;=Parameters!$C$59),Scoring!O27/Scoring!N27*100,"NA")</f>
        <v>82.75</v>
      </c>
      <c r="D27" s="29" t="n">
        <f aca="false">IF(AND(Scoring!N27&gt;=Parameters!$C$58,Scoring!Q27&gt;=Parameters!$C$59),Scoring!O27/Scoring!N27*100,"NA")</f>
        <v>82.75</v>
      </c>
      <c r="E27" s="29" t="n">
        <f aca="false">IF(AND((Scoring!N27-IF(ISNUMBER(Scoring!E27),Parameters!$E$7,0)+IF(ISNUMBER(IF(Verification!D27&lt;&gt;"",Verification!D27,IF(Coding!AG27=0,"NA",IF(AND(Parameters!$C$39=1,ISNUMBER(Calc!B27),Calc!B27&lt;=Parameters!$C$40),0,MIN(Coding!AG27,Parameters!$C$37)/Parameters!$C$37)))),Parameters!$E$7,0))&gt;=Parameters!$C$56,Scoring!Q27&gt;=Parameters!$C$59),(Scoring!O27-IF(ISNUMBER(Scoring!E27),Parameters!$E$7*Scoring!E27,0)+IF(ISNUMBER(IF(Verification!D27&lt;&gt;"",Verification!D27,IF(Coding!AG27=0,"NA",IF(AND(Parameters!$C$39=1,ISNUMBER(Calc!B27),Calc!B27&lt;=Parameters!$C$40),0,MIN(Coding!AG27,Parameters!$C$37)/Parameters!$C$37)))),Parameters!$E$7*IF(Verification!D27&lt;&gt;"",Verification!D27,IF(Coding!AG27=0,"NA",IF(AND(Parameters!$C$39=1,ISNUMBER(Calc!B27),Calc!B27&lt;=Parameters!$C$40),0,MIN(Coding!AG27,Parameters!$C$37)/Parameters!$C$37))),0))/(Scoring!N27-IF(ISNUMBER(Scoring!E27),Parameters!$E$7,0)+IF(ISNUMBER(IF(Verification!D27&lt;&gt;"",Verification!D27,IF(Coding!AG27=0,"NA",IF(AND(Parameters!$C$39=1,ISNUMBER(Calc!B27),Calc!B27&lt;=Parameters!$C$40),0,MIN(Coding!AG27,Parameters!$C$37)/Parameters!$C$37)))),Parameters!$E$7,0))*100,"NA")</f>
        <v>88.4615384615385</v>
      </c>
      <c r="F27" s="29" t="n">
        <f aca="false">IF(Scoring!R27="Yes",AVERAGE(Scoring!D27:J27)*100,"NA")</f>
        <v>85.1190476190476</v>
      </c>
      <c r="G27" s="29" t="n">
        <f aca="false">IF(AND((Scoring!N27-IF(ISNUMBER(Scoring!F27),Parameters!$E$8,0)+IF(ISNUMBER(IF(Verification!E27&lt;&gt;"",Scoring!F27,Calc!V27)),Parameters!$E$8,0))&gt;=Parameters!$C$56,Scoring!Q27&gt;=Parameters!$C$59),(Scoring!O27-IF(ISNUMBER(Scoring!F27),Parameters!$E$8*Scoring!F27,0)+IF(ISNUMBER(IF(Verification!E27&lt;&gt;"",Scoring!F27,Calc!V27)),Parameters!$E$8*IF(Verification!E27&lt;&gt;"",Scoring!F27,Calc!V27),0))/(Scoring!N27-IF(ISNUMBER(Scoring!F27),Parameters!$E$8,0)+IF(ISNUMBER(IF(Verification!E27&lt;&gt;"",Scoring!F27,Calc!V27)),Parameters!$E$8,0))*100,"NA")</f>
        <v>79.75</v>
      </c>
      <c r="H27" s="29" t="n">
        <f aca="false">IF(ISNUMBER(Scoring!S27),(Scoring!N27/Parameters!$E$13)*Scoring!S27+(1-Scoring!N27/Parameters!$E$13)*Summary!$B$9,"NA")</f>
        <v>82.75</v>
      </c>
      <c r="I27" s="29" t="n">
        <f aca="false">IF(AND(ISNUMBER(Scoring!S27),COUNT(Scoring!E27,Scoring!F27)&gt;0),Scoring!S27,"NA")</f>
        <v>82.75</v>
      </c>
      <c r="J27" s="29" t="n">
        <f aca="false">IF(AND(ISNUMBER($B27),ISNUMBER(C27)),ABS(C27-$B27),"")</f>
        <v>0</v>
      </c>
      <c r="K27" s="29" t="n">
        <f aca="false">IF(AND(ISNUMBER($B27),ISNUMBER(D27)),ABS(D27-$B27),"")</f>
        <v>0</v>
      </c>
      <c r="L27" s="29" t="n">
        <f aca="false">IF(AND(ISNUMBER($B27),ISNUMBER(E27)),ABS(E27-$B27),"")</f>
        <v>5.71153846153847</v>
      </c>
      <c r="M27" s="29" t="n">
        <f aca="false">IF(AND(ISNUMBER($B27),ISNUMBER(F27)),ABS(F27-$B27),"")</f>
        <v>2.36904761904761</v>
      </c>
      <c r="N27" s="29" t="n">
        <f aca="false">IF(AND(ISNUMBER($B27),ISNUMBER(G27)),ABS(G27-$B27),"")</f>
        <v>3</v>
      </c>
      <c r="O27" s="29" t="n">
        <f aca="false">IF(AND(ISNUMBER($B27),ISNUMBER(H27)),ABS(H27-$B27),"")</f>
        <v>0</v>
      </c>
      <c r="P27" s="29" t="n">
        <f aca="false">IF(AND(ISNUMBER($B27),ISNUMBER(I27)),ABS(I27-$B27),"")</f>
        <v>0</v>
      </c>
    </row>
    <row r="28" customFormat="false" ht="15" hidden="false" customHeight="true" outlineLevel="0" collapsed="false">
      <c r="A28" s="15" t="str">
        <f aca="false">Data!$A28</f>
        <v>D4Science Infrastructure</v>
      </c>
      <c r="B28" s="29" t="str">
        <f aca="false">Scoring!S28</f>
        <v>NA</v>
      </c>
      <c r="C28" s="29" t="str">
        <f aca="false">IF(AND(Scoring!N28&gt;=Parameters!$C$57,Scoring!Q28&gt;=Parameters!$C$59),Scoring!O28/Scoring!N28*100,"NA")</f>
        <v>NA</v>
      </c>
      <c r="D28" s="29" t="str">
        <f aca="false">IF(AND(Scoring!N28&gt;=Parameters!$C$58,Scoring!Q28&gt;=Parameters!$C$59),Scoring!O28/Scoring!N28*100,"NA")</f>
        <v>NA</v>
      </c>
      <c r="E28" s="29" t="str">
        <f aca="false">IF(AND((Scoring!N28-IF(ISNUMBER(Scoring!E28),Parameters!$E$7,0)+IF(ISNUMBER(IF(Verification!D28&lt;&gt;"",Verification!D28,IF(Coding!AG28=0,"NA",IF(AND(Parameters!$C$39=1,ISNUMBER(Calc!B28),Calc!B28&lt;=Parameters!$C$40),0,MIN(Coding!AG28,Parameters!$C$37)/Parameters!$C$37)))),Parameters!$E$7,0))&gt;=Parameters!$C$56,Scoring!Q28&gt;=Parameters!$C$59),(Scoring!O28-IF(ISNUMBER(Scoring!E28),Parameters!$E$7*Scoring!E28,0)+IF(ISNUMBER(IF(Verification!D28&lt;&gt;"",Verification!D28,IF(Coding!AG28=0,"NA",IF(AND(Parameters!$C$39=1,ISNUMBER(Calc!B28),Calc!B28&lt;=Parameters!$C$40),0,MIN(Coding!AG28,Parameters!$C$37)/Parameters!$C$37)))),Parameters!$E$7*IF(Verification!D28&lt;&gt;"",Verification!D28,IF(Coding!AG28=0,"NA",IF(AND(Parameters!$C$39=1,ISNUMBER(Calc!B28),Calc!B28&lt;=Parameters!$C$40),0,MIN(Coding!AG28,Parameters!$C$37)/Parameters!$C$37))),0))/(Scoring!N28-IF(ISNUMBER(Scoring!E28),Parameters!$E$7,0)+IF(ISNUMBER(IF(Verification!D28&lt;&gt;"",Verification!D28,IF(Coding!AG28=0,"NA",IF(AND(Parameters!$C$39=1,ISNUMBER(Calc!B28),Calc!B28&lt;=Parameters!$C$40),0,MIN(Coding!AG28,Parameters!$C$37)/Parameters!$C$37)))),Parameters!$E$7,0))*100,"NA")</f>
        <v>NA</v>
      </c>
      <c r="F28" s="29" t="str">
        <f aca="false">IF(Scoring!R28="Yes",AVERAGE(Scoring!D28:J28)*100,"NA")</f>
        <v>NA</v>
      </c>
      <c r="G28" s="29" t="str">
        <f aca="false">IF(AND((Scoring!N28-IF(ISNUMBER(Scoring!F28),Parameters!$E$8,0)+IF(ISNUMBER(IF(Verification!E28&lt;&gt;"",Scoring!F28,Calc!V28)),Parameters!$E$8,0))&gt;=Parameters!$C$56,Scoring!Q28&gt;=Parameters!$C$59),(Scoring!O28-IF(ISNUMBER(Scoring!F28),Parameters!$E$8*Scoring!F28,0)+IF(ISNUMBER(IF(Verification!E28&lt;&gt;"",Scoring!F28,Calc!V28)),Parameters!$E$8*IF(Verification!E28&lt;&gt;"",Scoring!F28,Calc!V28),0))/(Scoring!N28-IF(ISNUMBER(Scoring!F28),Parameters!$E$8,0)+IF(ISNUMBER(IF(Verification!E28&lt;&gt;"",Scoring!F28,Calc!V28)),Parameters!$E$8,0))*100,"NA")</f>
        <v>NA</v>
      </c>
      <c r="H28" s="29" t="str">
        <f aca="false">IF(ISNUMBER(Scoring!S28),(Scoring!N28/Parameters!$E$13)*Scoring!S28+(1-Scoring!N28/Parameters!$E$13)*Summary!$B$9,"NA")</f>
        <v>NA</v>
      </c>
      <c r="I28" s="29" t="str">
        <f aca="false">IF(AND(ISNUMBER(Scoring!S28),COUNT(Scoring!E28,Scoring!F28)&gt;0),Scoring!S28,"NA")</f>
        <v>NA</v>
      </c>
      <c r="J28" s="29" t="str">
        <f aca="false">IF(AND(ISNUMBER($B28),ISNUMBER(C28)),ABS(C28-$B28),"")</f>
        <v/>
      </c>
      <c r="K28" s="29" t="str">
        <f aca="false">IF(AND(ISNUMBER($B28),ISNUMBER(D28)),ABS(D28-$B28),"")</f>
        <v/>
      </c>
      <c r="L28" s="29" t="str">
        <f aca="false">IF(AND(ISNUMBER($B28),ISNUMBER(E28)),ABS(E28-$B28),"")</f>
        <v/>
      </c>
      <c r="M28" s="29" t="str">
        <f aca="false">IF(AND(ISNUMBER($B28),ISNUMBER(F28)),ABS(F28-$B28),"")</f>
        <v/>
      </c>
      <c r="N28" s="29" t="str">
        <f aca="false">IF(AND(ISNUMBER($B28),ISNUMBER(G28)),ABS(G28-$B28),"")</f>
        <v/>
      </c>
      <c r="O28" s="29" t="str">
        <f aca="false">IF(AND(ISNUMBER($B28),ISNUMBER(H28)),ABS(H28-$B28),"")</f>
        <v/>
      </c>
      <c r="P28" s="29" t="str">
        <f aca="false">IF(AND(ISNUMBER($B28),ISNUMBER(I28)),ABS(I28-$B28),"")</f>
        <v/>
      </c>
    </row>
    <row r="29" customFormat="false" ht="15" hidden="false" customHeight="true" outlineLevel="0" collapsed="false">
      <c r="A29" s="15" t="str">
        <f aca="false">Data!$A29</f>
        <v>DART (Digital Archivist's Resource Tool)</v>
      </c>
      <c r="B29" s="29" t="n">
        <f aca="false">Scoring!S29</f>
        <v>79.4230769230769</v>
      </c>
      <c r="C29" s="29" t="n">
        <f aca="false">IF(AND(Scoring!N29&gt;=Parameters!$C$57,Scoring!Q29&gt;=Parameters!$C$59),Scoring!O29/Scoring!N29*100,"NA")</f>
        <v>79.4230769230769</v>
      </c>
      <c r="D29" s="29" t="n">
        <f aca="false">IF(AND(Scoring!N29&gt;=Parameters!$C$58,Scoring!Q29&gt;=Parameters!$C$59),Scoring!O29/Scoring!N29*100,"NA")</f>
        <v>79.4230769230769</v>
      </c>
      <c r="E29" s="29" t="n">
        <f aca="false">IF(AND((Scoring!N29-IF(ISNUMBER(Scoring!E29),Parameters!$E$7,0)+IF(ISNUMBER(IF(Verification!D29&lt;&gt;"",Verification!D29,IF(Coding!AG29=0,"NA",IF(AND(Parameters!$C$39=1,ISNUMBER(Calc!B29),Calc!B29&lt;=Parameters!$C$40),0,MIN(Coding!AG29,Parameters!$C$37)/Parameters!$C$37)))),Parameters!$E$7,0))&gt;=Parameters!$C$56,Scoring!Q29&gt;=Parameters!$C$59),(Scoring!O29-IF(ISNUMBER(Scoring!E29),Parameters!$E$7*Scoring!E29,0)+IF(ISNUMBER(IF(Verification!D29&lt;&gt;"",Verification!D29,IF(Coding!AG29=0,"NA",IF(AND(Parameters!$C$39=1,ISNUMBER(Calc!B29),Calc!B29&lt;=Parameters!$C$40),0,MIN(Coding!AG29,Parameters!$C$37)/Parameters!$C$37)))),Parameters!$E$7*IF(Verification!D29&lt;&gt;"",Verification!D29,IF(Coding!AG29=0,"NA",IF(AND(Parameters!$C$39=1,ISNUMBER(Calc!B29),Calc!B29&lt;=Parameters!$C$40),0,MIN(Coding!AG29,Parameters!$C$37)/Parameters!$C$37))),0))/(Scoring!N29-IF(ISNUMBER(Scoring!E29),Parameters!$E$7,0)+IF(ISNUMBER(IF(Verification!D29&lt;&gt;"",Verification!D29,IF(Coding!AG29=0,"NA",IF(AND(Parameters!$C$39=1,ISNUMBER(Calc!B29),Calc!B29&lt;=Parameters!$C$40),0,MIN(Coding!AG29,Parameters!$C$37)/Parameters!$C$37)))),Parameters!$E$7,0))*100,"NA")</f>
        <v>79.4230769230769</v>
      </c>
      <c r="F29" s="29" t="n">
        <f aca="false">IF(Scoring!R29="Yes",AVERAGE(Scoring!D29:J29)*100,"NA")</f>
        <v>80.5</v>
      </c>
      <c r="G29" s="29" t="n">
        <f aca="false">IF(AND((Scoring!N29-IF(ISNUMBER(Scoring!F29),Parameters!$E$8,0)+IF(ISNUMBER(IF(Verification!E29&lt;&gt;"",Scoring!F29,Calc!V29)),Parameters!$E$8,0))&gt;=Parameters!$C$56,Scoring!Q29&gt;=Parameters!$C$59),(Scoring!O29-IF(ISNUMBER(Scoring!F29),Parameters!$E$8*Scoring!F29,0)+IF(ISNUMBER(IF(Verification!E29&lt;&gt;"",Scoring!F29,Calc!V29)),Parameters!$E$8*IF(Verification!E29&lt;&gt;"",Scoring!F29,Calc!V29),0))/(Scoring!N29-IF(ISNUMBER(Scoring!F29),Parameters!$E$8,0)+IF(ISNUMBER(IF(Verification!E29&lt;&gt;"",Scoring!F29,Calc!V29)),Parameters!$E$8,0))*100,"NA")</f>
        <v>79.4230769230769</v>
      </c>
      <c r="H29" s="29" t="n">
        <f aca="false">IF(ISNUMBER(Scoring!S29),(Scoring!N29/Parameters!$E$13)*Scoring!S29+(1-Scoring!N29/Parameters!$E$13)*Summary!$B$9,"NA")</f>
        <v>79.1596774193548</v>
      </c>
      <c r="I29" s="29" t="n">
        <f aca="false">IF(AND(ISNUMBER(Scoring!S29),COUNT(Scoring!E29,Scoring!F29)&gt;0),Scoring!S29,"NA")</f>
        <v>79.4230769230769</v>
      </c>
      <c r="J29" s="29" t="n">
        <f aca="false">IF(AND(ISNUMBER($B29),ISNUMBER(C29)),ABS(C29-$B29),"")</f>
        <v>0</v>
      </c>
      <c r="K29" s="29" t="n">
        <f aca="false">IF(AND(ISNUMBER($B29),ISNUMBER(D29)),ABS(D29-$B29),"")</f>
        <v>0</v>
      </c>
      <c r="L29" s="29" t="n">
        <f aca="false">IF(AND(ISNUMBER($B29),ISNUMBER(E29)),ABS(E29-$B29),"")</f>
        <v>0</v>
      </c>
      <c r="M29" s="29" t="n">
        <f aca="false">IF(AND(ISNUMBER($B29),ISNUMBER(F29)),ABS(F29-$B29),"")</f>
        <v>1.07692307692309</v>
      </c>
      <c r="N29" s="29" t="n">
        <f aca="false">IF(AND(ISNUMBER($B29),ISNUMBER(G29)),ABS(G29-$B29),"")</f>
        <v>0</v>
      </c>
      <c r="O29" s="29" t="n">
        <f aca="false">IF(AND(ISNUMBER($B29),ISNUMBER(H29)),ABS(H29-$B29),"")</f>
        <v>0.263399503722084</v>
      </c>
      <c r="P29" s="29" t="n">
        <f aca="false">IF(AND(ISNUMBER($B29),ISNUMBER(I29)),ABS(I29-$B29),"")</f>
        <v>0</v>
      </c>
    </row>
    <row r="30" customFormat="false" ht="15" hidden="false" customHeight="true" outlineLevel="0" collapsed="false">
      <c r="A30" s="15" t="str">
        <f aca="false">Data!$A30</f>
        <v>Database Information System</v>
      </c>
      <c r="B30" s="29" t="n">
        <f aca="false">Scoring!S30</f>
        <v>57.0454545454546</v>
      </c>
      <c r="C30" s="29" t="n">
        <f aca="false">IF(AND(Scoring!N30&gt;=Parameters!$C$57,Scoring!Q30&gt;=Parameters!$C$59),Scoring!O30/Scoring!N30*100,"NA")</f>
        <v>57.0454545454546</v>
      </c>
      <c r="D30" s="29" t="n">
        <f aca="false">IF(AND(Scoring!N30&gt;=Parameters!$C$58,Scoring!Q30&gt;=Parameters!$C$59),Scoring!O30/Scoring!N30*100,"NA")</f>
        <v>57.0454545454546</v>
      </c>
      <c r="E30" s="29" t="n">
        <f aca="false">IF(AND((Scoring!N30-IF(ISNUMBER(Scoring!E30),Parameters!$E$7,0)+IF(ISNUMBER(IF(Verification!D30&lt;&gt;"",Verification!D30,IF(Coding!AG30=0,"NA",IF(AND(Parameters!$C$39=1,ISNUMBER(Calc!B30),Calc!B30&lt;=Parameters!$C$40),0,MIN(Coding!AG30,Parameters!$C$37)/Parameters!$C$37)))),Parameters!$E$7,0))&gt;=Parameters!$C$56,Scoring!Q30&gt;=Parameters!$C$59),(Scoring!O30-IF(ISNUMBER(Scoring!E30),Parameters!$E$7*Scoring!E30,0)+IF(ISNUMBER(IF(Verification!D30&lt;&gt;"",Verification!D30,IF(Coding!AG30=0,"NA",IF(AND(Parameters!$C$39=1,ISNUMBER(Calc!B30),Calc!B30&lt;=Parameters!$C$40),0,MIN(Coding!AG30,Parameters!$C$37)/Parameters!$C$37)))),Parameters!$E$7*IF(Verification!D30&lt;&gt;"",Verification!D30,IF(Coding!AG30=0,"NA",IF(AND(Parameters!$C$39=1,ISNUMBER(Calc!B30),Calc!B30&lt;=Parameters!$C$40),0,MIN(Coding!AG30,Parameters!$C$37)/Parameters!$C$37))),0))/(Scoring!N30-IF(ISNUMBER(Scoring!E30),Parameters!$E$7,0)+IF(ISNUMBER(IF(Verification!D30&lt;&gt;"",Verification!D30,IF(Coding!AG30=0,"NA",IF(AND(Parameters!$C$39=1,ISNUMBER(Calc!B30),Calc!B30&lt;=Parameters!$C$40),0,MIN(Coding!AG30,Parameters!$C$37)/Parameters!$C$37)))),Parameters!$E$7,0))*100,"NA")</f>
        <v>57.0454545454546</v>
      </c>
      <c r="F30" s="29" t="n">
        <f aca="false">IF(Scoring!R30="Yes",AVERAGE(Scoring!D30:J30)*100,"NA")</f>
        <v>64.5277777777778</v>
      </c>
      <c r="G30" s="29" t="n">
        <f aca="false">IF(AND((Scoring!N30-IF(ISNUMBER(Scoring!F30),Parameters!$E$8,0)+IF(ISNUMBER(IF(Verification!E30&lt;&gt;"",Scoring!F30,Calc!V30)),Parameters!$E$8,0))&gt;=Parameters!$C$56,Scoring!Q30&gt;=Parameters!$C$59),(Scoring!O30-IF(ISNUMBER(Scoring!F30),Parameters!$E$8*Scoring!F30,0)+IF(ISNUMBER(IF(Verification!E30&lt;&gt;"",Scoring!F30,Calc!V30)),Parameters!$E$8*IF(Verification!E30&lt;&gt;"",Scoring!F30,Calc!V30),0))/(Scoring!N30-IF(ISNUMBER(Scoring!F30),Parameters!$E$8,0)+IF(ISNUMBER(IF(Verification!E30&lt;&gt;"",Scoring!F30,Calc!V30)),Parameters!$E$8,0))*100,"NA")</f>
        <v>57.0454545454546</v>
      </c>
      <c r="H30" s="29" t="n">
        <f aca="false">IF(ISNUMBER(Scoring!S30),(Scoring!N30/Parameters!$E$13)*Scoring!S30+(1-Scoring!N30/Parameters!$E$13)*Summary!$B$9,"NA")</f>
        <v>59.5870967741936</v>
      </c>
      <c r="I30" s="29" t="n">
        <f aca="false">IF(AND(ISNUMBER(Scoring!S30),COUNT(Scoring!E30,Scoring!F30)&gt;0),Scoring!S30,"NA")</f>
        <v>57.0454545454546</v>
      </c>
      <c r="J30" s="29" t="n">
        <f aca="false">IF(AND(ISNUMBER($B30),ISNUMBER(C30)),ABS(C30-$B30),"")</f>
        <v>0</v>
      </c>
      <c r="K30" s="29" t="n">
        <f aca="false">IF(AND(ISNUMBER($B30),ISNUMBER(D30)),ABS(D30-$B30),"")</f>
        <v>0</v>
      </c>
      <c r="L30" s="29" t="n">
        <f aca="false">IF(AND(ISNUMBER($B30),ISNUMBER(E30)),ABS(E30-$B30),"")</f>
        <v>0</v>
      </c>
      <c r="M30" s="29" t="n">
        <f aca="false">IF(AND(ISNUMBER($B30),ISNUMBER(F30)),ABS(F30-$B30),"")</f>
        <v>7.48232323232323</v>
      </c>
      <c r="N30" s="29" t="n">
        <f aca="false">IF(AND(ISNUMBER($B30),ISNUMBER(G30)),ABS(G30-$B30),"")</f>
        <v>0</v>
      </c>
      <c r="O30" s="29" t="n">
        <f aca="false">IF(AND(ISNUMBER($B30),ISNUMBER(H30)),ABS(H30-$B30),"")</f>
        <v>2.541642228739</v>
      </c>
      <c r="P30" s="29" t="n">
        <f aca="false">IF(AND(ISNUMBER($B30),ISNUMBER(I30)),ABS(I30-$B30),"")</f>
        <v>0</v>
      </c>
    </row>
    <row r="31" customFormat="false" ht="15" hidden="false" customHeight="true" outlineLevel="0" collapsed="false">
      <c r="A31" s="15" t="str">
        <f aca="false">Data!$A31</f>
        <v>Data Citation Corpus</v>
      </c>
      <c r="B31" s="29" t="n">
        <f aca="false">Scoring!S31</f>
        <v>48.5</v>
      </c>
      <c r="C31" s="29" t="n">
        <f aca="false">IF(AND(Scoring!N31&gt;=Parameters!$C$57,Scoring!Q31&gt;=Parameters!$C$59),Scoring!O31/Scoring!N31*100,"NA")</f>
        <v>48.5</v>
      </c>
      <c r="D31" s="29" t="n">
        <f aca="false">IF(AND(Scoring!N31&gt;=Parameters!$C$58,Scoring!Q31&gt;=Parameters!$C$59),Scoring!O31/Scoring!N31*100,"NA")</f>
        <v>48.5</v>
      </c>
      <c r="E31" s="29" t="n">
        <f aca="false">IF(AND((Scoring!N31-IF(ISNUMBER(Scoring!E31),Parameters!$E$7,0)+IF(ISNUMBER(IF(Verification!D31&lt;&gt;"",Verification!D31,IF(Coding!AG31=0,"NA",IF(AND(Parameters!$C$39=1,ISNUMBER(Calc!B31),Calc!B31&lt;=Parameters!$C$40),0,MIN(Coding!AG31,Parameters!$C$37)/Parameters!$C$37)))),Parameters!$E$7,0))&gt;=Parameters!$C$56,Scoring!Q31&gt;=Parameters!$C$59),(Scoring!O31-IF(ISNUMBER(Scoring!E31),Parameters!$E$7*Scoring!E31,0)+IF(ISNUMBER(IF(Verification!D31&lt;&gt;"",Verification!D31,IF(Coding!AG31=0,"NA",IF(AND(Parameters!$C$39=1,ISNUMBER(Calc!B31),Calc!B31&lt;=Parameters!$C$40),0,MIN(Coding!AG31,Parameters!$C$37)/Parameters!$C$37)))),Parameters!$E$7*IF(Verification!D31&lt;&gt;"",Verification!D31,IF(Coding!AG31=0,"NA",IF(AND(Parameters!$C$39=1,ISNUMBER(Calc!B31),Calc!B31&lt;=Parameters!$C$40),0,MIN(Coding!AG31,Parameters!$C$37)/Parameters!$C$37))),0))/(Scoring!N31-IF(ISNUMBER(Scoring!E31),Parameters!$E$7,0)+IF(ISNUMBER(IF(Verification!D31&lt;&gt;"",Verification!D31,IF(Coding!AG31=0,"NA",IF(AND(Parameters!$C$39=1,ISNUMBER(Calc!B31),Calc!B31&lt;=Parameters!$C$40),0,MIN(Coding!AG31,Parameters!$C$37)/Parameters!$C$37)))),Parameters!$E$7,0))*100,"NA")</f>
        <v>48.5</v>
      </c>
      <c r="F31" s="29" t="n">
        <f aca="false">IF(Scoring!R31="Yes",AVERAGE(Scoring!D31:J31)*100,"NA")</f>
        <v>55.952380952381</v>
      </c>
      <c r="G31" s="29" t="n">
        <f aca="false">IF(AND((Scoring!N31-IF(ISNUMBER(Scoring!F31),Parameters!$E$8,0)+IF(ISNUMBER(IF(Verification!E31&lt;&gt;"",Scoring!F31,Calc!V31)),Parameters!$E$8,0))&gt;=Parameters!$C$56,Scoring!Q31&gt;=Parameters!$C$59),(Scoring!O31-IF(ISNUMBER(Scoring!F31),Parameters!$E$8*Scoring!F31,0)+IF(ISNUMBER(IF(Verification!E31&lt;&gt;"",Scoring!F31,Calc!V31)),Parameters!$E$8*IF(Verification!E31&lt;&gt;"",Scoring!F31,Calc!V31),0))/(Scoring!N31-IF(ISNUMBER(Scoring!F31),Parameters!$E$8,0)+IF(ISNUMBER(IF(Verification!E31&lt;&gt;"",Scoring!F31,Calc!V31)),Parameters!$E$8,0))*100,"NA")</f>
        <v>48.5</v>
      </c>
      <c r="H31" s="29" t="n">
        <f aca="false">IF(ISNUMBER(Scoring!S31),(Scoring!N31/Parameters!$E$13)*Scoring!S31+(1-Scoring!N31/Parameters!$E$13)*Summary!$B$9,"NA")</f>
        <v>48.5</v>
      </c>
      <c r="I31" s="29" t="n">
        <f aca="false">IF(AND(ISNUMBER(Scoring!S31),COUNT(Scoring!E31,Scoring!F31)&gt;0),Scoring!S31,"NA")</f>
        <v>48.5</v>
      </c>
      <c r="J31" s="29" t="n">
        <f aca="false">IF(AND(ISNUMBER($B31),ISNUMBER(C31)),ABS(C31-$B31),"")</f>
        <v>0</v>
      </c>
      <c r="K31" s="29" t="n">
        <f aca="false">IF(AND(ISNUMBER($B31),ISNUMBER(D31)),ABS(D31-$B31),"")</f>
        <v>0</v>
      </c>
      <c r="L31" s="29" t="n">
        <f aca="false">IF(AND(ISNUMBER($B31),ISNUMBER(E31)),ABS(E31-$B31),"")</f>
        <v>0</v>
      </c>
      <c r="M31" s="29" t="n">
        <f aca="false">IF(AND(ISNUMBER($B31),ISNUMBER(F31)),ABS(F31-$B31),"")</f>
        <v>7.45238095238096</v>
      </c>
      <c r="N31" s="29" t="n">
        <f aca="false">IF(AND(ISNUMBER($B31),ISNUMBER(G31)),ABS(G31-$B31),"")</f>
        <v>0</v>
      </c>
      <c r="O31" s="29" t="n">
        <f aca="false">IF(AND(ISNUMBER($B31),ISNUMBER(H31)),ABS(H31-$B31),"")</f>
        <v>0</v>
      </c>
      <c r="P31" s="29" t="n">
        <f aca="false">IF(AND(ISNUMBER($B31),ISNUMBER(I31)),ABS(I31-$B31),"")</f>
        <v>0</v>
      </c>
    </row>
    <row r="32" customFormat="false" ht="15" hidden="false" customHeight="true" outlineLevel="0" collapsed="false">
      <c r="A32" s="15" t="str">
        <f aca="false">Data!$A32</f>
        <v>DataCite</v>
      </c>
      <c r="B32" s="29" t="n">
        <f aca="false">Scoring!S32</f>
        <v>68.5</v>
      </c>
      <c r="C32" s="29" t="n">
        <f aca="false">IF(AND(Scoring!N32&gt;=Parameters!$C$57,Scoring!Q32&gt;=Parameters!$C$59),Scoring!O32/Scoring!N32*100,"NA")</f>
        <v>68.5</v>
      </c>
      <c r="D32" s="29" t="n">
        <f aca="false">IF(AND(Scoring!N32&gt;=Parameters!$C$58,Scoring!Q32&gt;=Parameters!$C$59),Scoring!O32/Scoring!N32*100,"NA")</f>
        <v>68.5</v>
      </c>
      <c r="E32" s="29" t="n">
        <f aca="false">IF(AND((Scoring!N32-IF(ISNUMBER(Scoring!E32),Parameters!$E$7,0)+IF(ISNUMBER(IF(Verification!D32&lt;&gt;"",Verification!D32,IF(Coding!AG32=0,"NA",IF(AND(Parameters!$C$39=1,ISNUMBER(Calc!B32),Calc!B32&lt;=Parameters!$C$40),0,MIN(Coding!AG32,Parameters!$C$37)/Parameters!$C$37)))),Parameters!$E$7,0))&gt;=Parameters!$C$56,Scoring!Q32&gt;=Parameters!$C$59),(Scoring!O32-IF(ISNUMBER(Scoring!E32),Parameters!$E$7*Scoring!E32,0)+IF(ISNUMBER(IF(Verification!D32&lt;&gt;"",Verification!D32,IF(Coding!AG32=0,"NA",IF(AND(Parameters!$C$39=1,ISNUMBER(Calc!B32),Calc!B32&lt;=Parameters!$C$40),0,MIN(Coding!AG32,Parameters!$C$37)/Parameters!$C$37)))),Parameters!$E$7*IF(Verification!D32&lt;&gt;"",Verification!D32,IF(Coding!AG32=0,"NA",IF(AND(Parameters!$C$39=1,ISNUMBER(Calc!B32),Calc!B32&lt;=Parameters!$C$40),0,MIN(Coding!AG32,Parameters!$C$37)/Parameters!$C$37))),0))/(Scoring!N32-IF(ISNUMBER(Scoring!E32),Parameters!$E$7,0)+IF(ISNUMBER(IF(Verification!D32&lt;&gt;"",Verification!D32,IF(Coding!AG32=0,"NA",IF(AND(Parameters!$C$39=1,ISNUMBER(Calc!B32),Calc!B32&lt;=Parameters!$C$40),0,MIN(Coding!AG32,Parameters!$C$37)/Parameters!$C$37)))),Parameters!$E$7,0))*100,"NA")</f>
        <v>80.7692307692308</v>
      </c>
      <c r="F32" s="29" t="n">
        <f aca="false">IF(Scoring!R32="Yes",AVERAGE(Scoring!D32:J32)*100,"NA")</f>
        <v>75</v>
      </c>
      <c r="G32" s="29" t="n">
        <f aca="false">IF(AND((Scoring!N32-IF(ISNUMBER(Scoring!F32),Parameters!$E$8,0)+IF(ISNUMBER(IF(Verification!E32&lt;&gt;"",Scoring!F32,Calc!V32)),Parameters!$E$8,0))&gt;=Parameters!$C$56,Scoring!Q32&gt;=Parameters!$C$59),(Scoring!O32-IF(ISNUMBER(Scoring!F32),Parameters!$E$8*Scoring!F32,0)+IF(ISNUMBER(IF(Verification!E32&lt;&gt;"",Scoring!F32,Calc!V32)),Parameters!$E$8*IF(Verification!E32&lt;&gt;"",Scoring!F32,Calc!V32),0))/(Scoring!N32-IF(ISNUMBER(Scoring!F32),Parameters!$E$8,0)+IF(ISNUMBER(IF(Verification!E32&lt;&gt;"",Scoring!F32,Calc!V32)),Parameters!$E$8,0))*100,"NA")</f>
        <v>65.5</v>
      </c>
      <c r="H32" s="29" t="n">
        <f aca="false">IF(ISNUMBER(Scoring!S32),(Scoring!N32/Parameters!$E$13)*Scoring!S32+(1-Scoring!N32/Parameters!$E$13)*Summary!$B$9,"NA")</f>
        <v>68.5</v>
      </c>
      <c r="I32" s="29" t="n">
        <f aca="false">IF(AND(ISNUMBER(Scoring!S32),COUNT(Scoring!E32,Scoring!F32)&gt;0),Scoring!S32,"NA")</f>
        <v>68.5</v>
      </c>
      <c r="J32" s="29" t="n">
        <f aca="false">IF(AND(ISNUMBER($B32),ISNUMBER(C32)),ABS(C32-$B32),"")</f>
        <v>0</v>
      </c>
      <c r="K32" s="29" t="n">
        <f aca="false">IF(AND(ISNUMBER($B32),ISNUMBER(D32)),ABS(D32-$B32),"")</f>
        <v>0</v>
      </c>
      <c r="L32" s="29" t="n">
        <f aca="false">IF(AND(ISNUMBER($B32),ISNUMBER(E32)),ABS(E32-$B32),"")</f>
        <v>12.2692307692308</v>
      </c>
      <c r="M32" s="29" t="n">
        <f aca="false">IF(AND(ISNUMBER($B32),ISNUMBER(F32)),ABS(F32-$B32),"")</f>
        <v>6.5</v>
      </c>
      <c r="N32" s="29" t="n">
        <f aca="false">IF(AND(ISNUMBER($B32),ISNUMBER(G32)),ABS(G32-$B32),"")</f>
        <v>3</v>
      </c>
      <c r="O32" s="29" t="n">
        <f aca="false">IF(AND(ISNUMBER($B32),ISNUMBER(H32)),ABS(H32-$B32),"")</f>
        <v>0</v>
      </c>
      <c r="P32" s="29" t="n">
        <f aca="false">IF(AND(ISNUMBER($B32),ISNUMBER(I32)),ABS(I32-$B32),"")</f>
        <v>0</v>
      </c>
    </row>
    <row r="33" customFormat="false" ht="15" hidden="false" customHeight="true" outlineLevel="0" collapsed="false">
      <c r="A33" s="15" t="str">
        <f aca="false">Data!$A33</f>
        <v>Data Stewardship Wizard</v>
      </c>
      <c r="B33" s="29" t="n">
        <f aca="false">Scoring!S33</f>
        <v>87</v>
      </c>
      <c r="C33" s="29" t="n">
        <f aca="false">IF(AND(Scoring!N33&gt;=Parameters!$C$57,Scoring!Q33&gt;=Parameters!$C$59),Scoring!O33/Scoring!N33*100,"NA")</f>
        <v>87</v>
      </c>
      <c r="D33" s="29" t="n">
        <f aca="false">IF(AND(Scoring!N33&gt;=Parameters!$C$58,Scoring!Q33&gt;=Parameters!$C$59),Scoring!O33/Scoring!N33*100,"NA")</f>
        <v>87</v>
      </c>
      <c r="E33" s="29" t="n">
        <f aca="false">IF(AND((Scoring!N33-IF(ISNUMBER(Scoring!E33),Parameters!$E$7,0)+IF(ISNUMBER(IF(Verification!D33&lt;&gt;"",Verification!D33,IF(Coding!AG33=0,"NA",IF(AND(Parameters!$C$39=1,ISNUMBER(Calc!B33),Calc!B33&lt;=Parameters!$C$40),0,MIN(Coding!AG33,Parameters!$C$37)/Parameters!$C$37)))),Parameters!$E$7,0))&gt;=Parameters!$C$56,Scoring!Q33&gt;=Parameters!$C$59),(Scoring!O33-IF(ISNUMBER(Scoring!E33),Parameters!$E$7*Scoring!E33,0)+IF(ISNUMBER(IF(Verification!D33&lt;&gt;"",Verification!D33,IF(Coding!AG33=0,"NA",IF(AND(Parameters!$C$39=1,ISNUMBER(Calc!B33),Calc!B33&lt;=Parameters!$C$40),0,MIN(Coding!AG33,Parameters!$C$37)/Parameters!$C$37)))),Parameters!$E$7*IF(Verification!D33&lt;&gt;"",Verification!D33,IF(Coding!AG33=0,"NA",IF(AND(Parameters!$C$39=1,ISNUMBER(Calc!B33),Calc!B33&lt;=Parameters!$C$40),0,MIN(Coding!AG33,Parameters!$C$37)/Parameters!$C$37))),0))/(Scoring!N33-IF(ISNUMBER(Scoring!E33),Parameters!$E$7,0)+IF(ISNUMBER(IF(Verification!D33&lt;&gt;"",Verification!D33,IF(Coding!AG33=0,"NA",IF(AND(Parameters!$C$39=1,ISNUMBER(Calc!B33),Calc!B33&lt;=Parameters!$C$40),0,MIN(Coding!AG33,Parameters!$C$37)/Parameters!$C$37)))),Parameters!$E$7,0))*100,"NA")</f>
        <v>87</v>
      </c>
      <c r="F33" s="29" t="n">
        <f aca="false">IF(Scoring!R33="Yes",AVERAGE(Scoring!D33:J33)*100,"NA")</f>
        <v>90.4761904761905</v>
      </c>
      <c r="G33" s="29" t="n">
        <f aca="false">IF(AND((Scoring!N33-IF(ISNUMBER(Scoring!F33),Parameters!$E$8,0)+IF(ISNUMBER(IF(Verification!E33&lt;&gt;"",Scoring!F33,Calc!V33)),Parameters!$E$8,0))&gt;=Parameters!$C$56,Scoring!Q33&gt;=Parameters!$C$59),(Scoring!O33-IF(ISNUMBER(Scoring!F33),Parameters!$E$8*Scoring!F33,0)+IF(ISNUMBER(IF(Verification!E33&lt;&gt;"",Scoring!F33,Calc!V33)),Parameters!$E$8*IF(Verification!E33&lt;&gt;"",Scoring!F33,Calc!V33),0))/(Scoring!N33-IF(ISNUMBER(Scoring!F33),Parameters!$E$8,0)+IF(ISNUMBER(IF(Verification!E33&lt;&gt;"",Scoring!F33,Calc!V33)),Parameters!$E$8,0))*100,"NA")</f>
        <v>87</v>
      </c>
      <c r="H33" s="29" t="n">
        <f aca="false">IF(ISNUMBER(Scoring!S33),(Scoring!N33/Parameters!$E$13)*Scoring!S33+(1-Scoring!N33/Parameters!$E$13)*Summary!$B$9,"NA")</f>
        <v>87</v>
      </c>
      <c r="I33" s="29" t="n">
        <f aca="false">IF(AND(ISNUMBER(Scoring!S33),COUNT(Scoring!E33,Scoring!F33)&gt;0),Scoring!S33,"NA")</f>
        <v>87</v>
      </c>
      <c r="J33" s="29" t="n">
        <f aca="false">IF(AND(ISNUMBER($B33),ISNUMBER(C33)),ABS(C33-$B33),"")</f>
        <v>0</v>
      </c>
      <c r="K33" s="29" t="n">
        <f aca="false">IF(AND(ISNUMBER($B33),ISNUMBER(D33)),ABS(D33-$B33),"")</f>
        <v>0</v>
      </c>
      <c r="L33" s="29" t="n">
        <f aca="false">IF(AND(ISNUMBER($B33),ISNUMBER(E33)),ABS(E33-$B33),"")</f>
        <v>0</v>
      </c>
      <c r="M33" s="29" t="n">
        <f aca="false">IF(AND(ISNUMBER($B33),ISNUMBER(F33)),ABS(F33-$B33),"")</f>
        <v>3.47619047619048</v>
      </c>
      <c r="N33" s="29" t="n">
        <f aca="false">IF(AND(ISNUMBER($B33),ISNUMBER(G33)),ABS(G33-$B33),"")</f>
        <v>0</v>
      </c>
      <c r="O33" s="29" t="n">
        <f aca="false">IF(AND(ISNUMBER($B33),ISNUMBER(H33)),ABS(H33-$B33),"")</f>
        <v>0</v>
      </c>
      <c r="P33" s="29" t="n">
        <f aca="false">IF(AND(ISNUMBER($B33),ISNUMBER(I33)),ABS(I33-$B33),"")</f>
        <v>0</v>
      </c>
    </row>
    <row r="34" customFormat="false" ht="15" hidden="false" customHeight="true" outlineLevel="0" collapsed="false">
      <c r="A34" s="15" t="str">
        <f aca="false">Data!$A34</f>
        <v>Dataverse</v>
      </c>
      <c r="B34" s="29" t="n">
        <f aca="false">Scoring!S34</f>
        <v>64.25</v>
      </c>
      <c r="C34" s="29" t="n">
        <f aca="false">IF(AND(Scoring!N34&gt;=Parameters!$C$57,Scoring!Q34&gt;=Parameters!$C$59),Scoring!O34/Scoring!N34*100,"NA")</f>
        <v>64.25</v>
      </c>
      <c r="D34" s="29" t="n">
        <f aca="false">IF(AND(Scoring!N34&gt;=Parameters!$C$58,Scoring!Q34&gt;=Parameters!$C$59),Scoring!O34/Scoring!N34*100,"NA")</f>
        <v>64.25</v>
      </c>
      <c r="E34" s="29" t="n">
        <f aca="false">IF(AND((Scoring!N34-IF(ISNUMBER(Scoring!E34),Parameters!$E$7,0)+IF(ISNUMBER(IF(Verification!D34&lt;&gt;"",Verification!D34,IF(Coding!AG34=0,"NA",IF(AND(Parameters!$C$39=1,ISNUMBER(Calc!B34),Calc!B34&lt;=Parameters!$C$40),0,MIN(Coding!AG34,Parameters!$C$37)/Parameters!$C$37)))),Parameters!$E$7,0))&gt;=Parameters!$C$56,Scoring!Q34&gt;=Parameters!$C$59),(Scoring!O34-IF(ISNUMBER(Scoring!E34),Parameters!$E$7*Scoring!E34,0)+IF(ISNUMBER(IF(Verification!D34&lt;&gt;"",Verification!D34,IF(Coding!AG34=0,"NA",IF(AND(Parameters!$C$39=1,ISNUMBER(Calc!B34),Calc!B34&lt;=Parameters!$C$40),0,MIN(Coding!AG34,Parameters!$C$37)/Parameters!$C$37)))),Parameters!$E$7*IF(Verification!D34&lt;&gt;"",Verification!D34,IF(Coding!AG34=0,"NA",IF(AND(Parameters!$C$39=1,ISNUMBER(Calc!B34),Calc!B34&lt;=Parameters!$C$40),0,MIN(Coding!AG34,Parameters!$C$37)/Parameters!$C$37))),0))/(Scoring!N34-IF(ISNUMBER(Scoring!E34),Parameters!$E$7,0)+IF(ISNUMBER(IF(Verification!D34&lt;&gt;"",Verification!D34,IF(Coding!AG34=0,"NA",IF(AND(Parameters!$C$39=1,ISNUMBER(Calc!B34),Calc!B34&lt;=Parameters!$C$40),0,MIN(Coding!AG34,Parameters!$C$37)/Parameters!$C$37)))),Parameters!$E$7,0))*100,"NA")</f>
        <v>71.7948717948718</v>
      </c>
      <c r="F34" s="29" t="n">
        <f aca="false">IF(Scoring!R34="Yes",AVERAGE(Scoring!D34:J34)*100,"NA")</f>
        <v>72.0238095238095</v>
      </c>
      <c r="G34" s="29" t="n">
        <f aca="false">IF(AND((Scoring!N34-IF(ISNUMBER(Scoring!F34),Parameters!$E$8,0)+IF(ISNUMBER(IF(Verification!E34&lt;&gt;"",Scoring!F34,Calc!V34)),Parameters!$E$8,0))&gt;=Parameters!$C$56,Scoring!Q34&gt;=Parameters!$C$59),(Scoring!O34-IF(ISNUMBER(Scoring!F34),Parameters!$E$8*Scoring!F34,0)+IF(ISNUMBER(IF(Verification!E34&lt;&gt;"",Scoring!F34,Calc!V34)),Parameters!$E$8*IF(Verification!E34&lt;&gt;"",Scoring!F34,Calc!V34),0))/(Scoring!N34-IF(ISNUMBER(Scoring!F34),Parameters!$E$8,0)+IF(ISNUMBER(IF(Verification!E34&lt;&gt;"",Scoring!F34,Calc!V34)),Parameters!$E$8,0))*100,"NA")</f>
        <v>64.25</v>
      </c>
      <c r="H34" s="29" t="n">
        <f aca="false">IF(ISNUMBER(Scoring!S34),(Scoring!N34/Parameters!$E$13)*Scoring!S34+(1-Scoring!N34/Parameters!$E$13)*Summary!$B$9,"NA")</f>
        <v>64.25</v>
      </c>
      <c r="I34" s="29" t="n">
        <f aca="false">IF(AND(ISNUMBER(Scoring!S34),COUNT(Scoring!E34,Scoring!F34)&gt;0),Scoring!S34,"NA")</f>
        <v>64.25</v>
      </c>
      <c r="J34" s="29" t="n">
        <f aca="false">IF(AND(ISNUMBER($B34),ISNUMBER(C34)),ABS(C34-$B34),"")</f>
        <v>0</v>
      </c>
      <c r="K34" s="29" t="n">
        <f aca="false">IF(AND(ISNUMBER($B34),ISNUMBER(D34)),ABS(D34-$B34),"")</f>
        <v>0</v>
      </c>
      <c r="L34" s="29" t="n">
        <f aca="false">IF(AND(ISNUMBER($B34),ISNUMBER(E34)),ABS(E34-$B34),"")</f>
        <v>7.54487179487178</v>
      </c>
      <c r="M34" s="29" t="n">
        <f aca="false">IF(AND(ISNUMBER($B34),ISNUMBER(F34)),ABS(F34-$B34),"")</f>
        <v>7.77380952380952</v>
      </c>
      <c r="N34" s="29" t="n">
        <f aca="false">IF(AND(ISNUMBER($B34),ISNUMBER(G34)),ABS(G34-$B34),"")</f>
        <v>0</v>
      </c>
      <c r="O34" s="29" t="n">
        <f aca="false">IF(AND(ISNUMBER($B34),ISNUMBER(H34)),ABS(H34-$B34),"")</f>
        <v>0</v>
      </c>
      <c r="P34" s="29" t="n">
        <f aca="false">IF(AND(ISNUMBER($B34),ISNUMBER(I34)),ABS(I34-$B34),"")</f>
        <v>0</v>
      </c>
    </row>
    <row r="35" customFormat="false" ht="15" hidden="false" customHeight="true" outlineLevel="0" collapsed="false">
      <c r="A35" s="15" t="str">
        <f aca="false">Data!$A35</f>
        <v>DLCM Backend</v>
      </c>
      <c r="B35" s="29" t="n">
        <f aca="false">Scoring!S35</f>
        <v>78.2258064516129</v>
      </c>
      <c r="C35" s="29" t="n">
        <f aca="false">IF(AND(Scoring!N35&gt;=Parameters!$C$57,Scoring!Q35&gt;=Parameters!$C$59),Scoring!O35/Scoring!N35*100,"NA")</f>
        <v>78.2258064516129</v>
      </c>
      <c r="D35" s="29" t="str">
        <f aca="false">IF(AND(Scoring!N35&gt;=Parameters!$C$58,Scoring!Q35&gt;=Parameters!$C$59),Scoring!O35/Scoring!N35*100,"NA")</f>
        <v>NA</v>
      </c>
      <c r="E35" s="29" t="n">
        <f aca="false">IF(AND((Scoring!N35-IF(ISNUMBER(Scoring!E35),Parameters!$E$7,0)+IF(ISNUMBER(IF(Verification!D35&lt;&gt;"",Verification!D35,IF(Coding!AG35=0,"NA",IF(AND(Parameters!$C$39=1,ISNUMBER(Calc!B35),Calc!B35&lt;=Parameters!$C$40),0,MIN(Coding!AG35,Parameters!$C$37)/Parameters!$C$37)))),Parameters!$E$7,0))&gt;=Parameters!$C$56,Scoring!Q35&gt;=Parameters!$C$59),(Scoring!O35-IF(ISNUMBER(Scoring!E35),Parameters!$E$7*Scoring!E35,0)+IF(ISNUMBER(IF(Verification!D35&lt;&gt;"",Verification!D35,IF(Coding!AG35=0,"NA",IF(AND(Parameters!$C$39=1,ISNUMBER(Calc!B35),Calc!B35&lt;=Parameters!$C$40),0,MIN(Coding!AG35,Parameters!$C$37)/Parameters!$C$37)))),Parameters!$E$7*IF(Verification!D35&lt;&gt;"",Verification!D35,IF(Coding!AG35=0,"NA",IF(AND(Parameters!$C$39=1,ISNUMBER(Calc!B35),Calc!B35&lt;=Parameters!$C$40),0,MIN(Coding!AG35,Parameters!$C$37)/Parameters!$C$37))),0))/(Scoring!N35-IF(ISNUMBER(Scoring!E35),Parameters!$E$7,0)+IF(ISNUMBER(IF(Verification!D35&lt;&gt;"",Verification!D35,IF(Coding!AG35=0,"NA",IF(AND(Parameters!$C$39=1,ISNUMBER(Calc!B35),Calc!B35&lt;=Parameters!$C$40),0,MIN(Coding!AG35,Parameters!$C$37)/Parameters!$C$37)))),Parameters!$E$7,0))*100,"NA")</f>
        <v>78.2258064516129</v>
      </c>
      <c r="F35" s="29" t="n">
        <f aca="false">IF(Scoring!R35="Yes",AVERAGE(Scoring!D35:J35)*100,"NA")</f>
        <v>80</v>
      </c>
      <c r="G35" s="29" t="n">
        <f aca="false">IF(AND((Scoring!N35-IF(ISNUMBER(Scoring!F35),Parameters!$E$8,0)+IF(ISNUMBER(IF(Verification!E35&lt;&gt;"",Scoring!F35,Calc!V35)),Parameters!$E$8,0))&gt;=Parameters!$C$56,Scoring!Q35&gt;=Parameters!$C$59),(Scoring!O35-IF(ISNUMBER(Scoring!F35),Parameters!$E$8*Scoring!F35,0)+IF(ISNUMBER(IF(Verification!E35&lt;&gt;"",Scoring!F35,Calc!V35)),Parameters!$E$8*IF(Verification!E35&lt;&gt;"",Scoring!F35,Calc!V35),0))/(Scoring!N35-IF(ISNUMBER(Scoring!F35),Parameters!$E$8,0)+IF(ISNUMBER(IF(Verification!E35&lt;&gt;"",Scoring!F35,Calc!V35)),Parameters!$E$8,0))*100,"NA")</f>
        <v>78.2258064516129</v>
      </c>
      <c r="H35" s="29" t="n">
        <f aca="false">IF(ISNUMBER(Scoring!S35),(Scoring!N35/Parameters!$E$13)*Scoring!S35+(1-Scoring!N35/Parameters!$E$13)*Summary!$B$9,"NA")</f>
        <v>78.2258064516129</v>
      </c>
      <c r="I35" s="29" t="n">
        <f aca="false">IF(AND(ISNUMBER(Scoring!S35),COUNT(Scoring!E35,Scoring!F35)&gt;0),Scoring!S35,"NA")</f>
        <v>78.2258064516129</v>
      </c>
      <c r="J35" s="29" t="n">
        <f aca="false">IF(AND(ISNUMBER($B35),ISNUMBER(C35)),ABS(C35-$B35),"")</f>
        <v>0</v>
      </c>
      <c r="K35" s="29" t="str">
        <f aca="false">IF(AND(ISNUMBER($B35),ISNUMBER(D35)),ABS(D35-$B35),"")</f>
        <v/>
      </c>
      <c r="L35" s="29" t="n">
        <f aca="false">IF(AND(ISNUMBER($B35),ISNUMBER(E35)),ABS(E35-$B35),"")</f>
        <v>0</v>
      </c>
      <c r="M35" s="29" t="n">
        <f aca="false">IF(AND(ISNUMBER($B35),ISNUMBER(F35)),ABS(F35-$B35),"")</f>
        <v>1.7741935483871</v>
      </c>
      <c r="N35" s="29" t="n">
        <f aca="false">IF(AND(ISNUMBER($B35),ISNUMBER(G35)),ABS(G35-$B35),"")</f>
        <v>0</v>
      </c>
      <c r="O35" s="29" t="n">
        <f aca="false">IF(AND(ISNUMBER($B35),ISNUMBER(H35)),ABS(H35-$B35),"")</f>
        <v>0</v>
      </c>
      <c r="P35" s="29" t="n">
        <f aca="false">IF(AND(ISNUMBER($B35),ISNUMBER(I35)),ABS(I35-$B35),"")</f>
        <v>0</v>
      </c>
    </row>
    <row r="36" customFormat="false" ht="15" hidden="false" customHeight="true" outlineLevel="0" collapsed="false">
      <c r="A36" s="15" t="str">
        <f aca="false">Data!$A36</f>
        <v>DLCM Portal</v>
      </c>
      <c r="B36" s="29" t="n">
        <f aca="false">Scoring!S36</f>
        <v>78.2258064516129</v>
      </c>
      <c r="C36" s="29" t="n">
        <f aca="false">IF(AND(Scoring!N36&gt;=Parameters!$C$57,Scoring!Q36&gt;=Parameters!$C$59),Scoring!O36/Scoring!N36*100,"NA")</f>
        <v>78.2258064516129</v>
      </c>
      <c r="D36" s="29" t="str">
        <f aca="false">IF(AND(Scoring!N36&gt;=Parameters!$C$58,Scoring!Q36&gt;=Parameters!$C$59),Scoring!O36/Scoring!N36*100,"NA")</f>
        <v>NA</v>
      </c>
      <c r="E36" s="29" t="n">
        <f aca="false">IF(AND((Scoring!N36-IF(ISNUMBER(Scoring!E36),Parameters!$E$7,0)+IF(ISNUMBER(IF(Verification!D36&lt;&gt;"",Verification!D36,IF(Coding!AG36=0,"NA",IF(AND(Parameters!$C$39=1,ISNUMBER(Calc!B36),Calc!B36&lt;=Parameters!$C$40),0,MIN(Coding!AG36,Parameters!$C$37)/Parameters!$C$37)))),Parameters!$E$7,0))&gt;=Parameters!$C$56,Scoring!Q36&gt;=Parameters!$C$59),(Scoring!O36-IF(ISNUMBER(Scoring!E36),Parameters!$E$7*Scoring!E36,0)+IF(ISNUMBER(IF(Verification!D36&lt;&gt;"",Verification!D36,IF(Coding!AG36=0,"NA",IF(AND(Parameters!$C$39=1,ISNUMBER(Calc!B36),Calc!B36&lt;=Parameters!$C$40),0,MIN(Coding!AG36,Parameters!$C$37)/Parameters!$C$37)))),Parameters!$E$7*IF(Verification!D36&lt;&gt;"",Verification!D36,IF(Coding!AG36=0,"NA",IF(AND(Parameters!$C$39=1,ISNUMBER(Calc!B36),Calc!B36&lt;=Parameters!$C$40),0,MIN(Coding!AG36,Parameters!$C$37)/Parameters!$C$37))),0))/(Scoring!N36-IF(ISNUMBER(Scoring!E36),Parameters!$E$7,0)+IF(ISNUMBER(IF(Verification!D36&lt;&gt;"",Verification!D36,IF(Coding!AG36=0,"NA",IF(AND(Parameters!$C$39=1,ISNUMBER(Calc!B36),Calc!B36&lt;=Parameters!$C$40),0,MIN(Coding!AG36,Parameters!$C$37)/Parameters!$C$37)))),Parameters!$E$7,0))*100,"NA")</f>
        <v>78.2258064516129</v>
      </c>
      <c r="F36" s="29" t="n">
        <f aca="false">IF(Scoring!R36="Yes",AVERAGE(Scoring!D36:J36)*100,"NA")</f>
        <v>80</v>
      </c>
      <c r="G36" s="29" t="n">
        <f aca="false">IF(AND((Scoring!N36-IF(ISNUMBER(Scoring!F36),Parameters!$E$8,0)+IF(ISNUMBER(IF(Verification!E36&lt;&gt;"",Scoring!F36,Calc!V36)),Parameters!$E$8,0))&gt;=Parameters!$C$56,Scoring!Q36&gt;=Parameters!$C$59),(Scoring!O36-IF(ISNUMBER(Scoring!F36),Parameters!$E$8*Scoring!F36,0)+IF(ISNUMBER(IF(Verification!E36&lt;&gt;"",Scoring!F36,Calc!V36)),Parameters!$E$8*IF(Verification!E36&lt;&gt;"",Scoring!F36,Calc!V36),0))/(Scoring!N36-IF(ISNUMBER(Scoring!F36),Parameters!$E$8,0)+IF(ISNUMBER(IF(Verification!E36&lt;&gt;"",Scoring!F36,Calc!V36)),Parameters!$E$8,0))*100,"NA")</f>
        <v>78.2258064516129</v>
      </c>
      <c r="H36" s="29" t="n">
        <f aca="false">IF(ISNUMBER(Scoring!S36),(Scoring!N36/Parameters!$E$13)*Scoring!S36+(1-Scoring!N36/Parameters!$E$13)*Summary!$B$9,"NA")</f>
        <v>78.2258064516129</v>
      </c>
      <c r="I36" s="29" t="n">
        <f aca="false">IF(AND(ISNUMBER(Scoring!S36),COUNT(Scoring!E36,Scoring!F36)&gt;0),Scoring!S36,"NA")</f>
        <v>78.2258064516129</v>
      </c>
      <c r="J36" s="29" t="n">
        <f aca="false">IF(AND(ISNUMBER($B36),ISNUMBER(C36)),ABS(C36-$B36),"")</f>
        <v>0</v>
      </c>
      <c r="K36" s="29" t="str">
        <f aca="false">IF(AND(ISNUMBER($B36),ISNUMBER(D36)),ABS(D36-$B36),"")</f>
        <v/>
      </c>
      <c r="L36" s="29" t="n">
        <f aca="false">IF(AND(ISNUMBER($B36),ISNUMBER(E36)),ABS(E36-$B36),"")</f>
        <v>0</v>
      </c>
      <c r="M36" s="29" t="n">
        <f aca="false">IF(AND(ISNUMBER($B36),ISNUMBER(F36)),ABS(F36-$B36),"")</f>
        <v>1.7741935483871</v>
      </c>
      <c r="N36" s="29" t="n">
        <f aca="false">IF(AND(ISNUMBER($B36),ISNUMBER(G36)),ABS(G36-$B36),"")</f>
        <v>0</v>
      </c>
      <c r="O36" s="29" t="n">
        <f aca="false">IF(AND(ISNUMBER($B36),ISNUMBER(H36)),ABS(H36-$B36),"")</f>
        <v>0</v>
      </c>
      <c r="P36" s="29" t="n">
        <f aca="false">IF(AND(ISNUMBER($B36),ISNUMBER(I36)),ABS(I36-$B36),"")</f>
        <v>0</v>
      </c>
    </row>
    <row r="37" customFormat="false" ht="15" hidden="false" customHeight="true" outlineLevel="0" collapsed="false">
      <c r="A37" s="15" t="str">
        <f aca="false">Data!$A37</f>
        <v>DMP Tool</v>
      </c>
      <c r="B37" s="29" t="str">
        <f aca="false">Scoring!S37</f>
        <v>NA</v>
      </c>
      <c r="C37" s="29" t="n">
        <f aca="false">IF(AND(Scoring!N37&gt;=Parameters!$C$57,Scoring!Q37&gt;=Parameters!$C$59),Scoring!O37/Scoring!N37*100,"NA")</f>
        <v>70</v>
      </c>
      <c r="D37" s="29" t="str">
        <f aca="false">IF(AND(Scoring!N37&gt;=Parameters!$C$58,Scoring!Q37&gt;=Parameters!$C$59),Scoring!O37/Scoring!N37*100,"NA")</f>
        <v>NA</v>
      </c>
      <c r="E37" s="29" t="str">
        <f aca="false">IF(AND((Scoring!N37-IF(ISNUMBER(Scoring!E37),Parameters!$E$7,0)+IF(ISNUMBER(IF(Verification!D37&lt;&gt;"",Verification!D37,IF(Coding!AG37=0,"NA",IF(AND(Parameters!$C$39=1,ISNUMBER(Calc!B37),Calc!B37&lt;=Parameters!$C$40),0,MIN(Coding!AG37,Parameters!$C$37)/Parameters!$C$37)))),Parameters!$E$7,0))&gt;=Parameters!$C$56,Scoring!Q37&gt;=Parameters!$C$59),(Scoring!O37-IF(ISNUMBER(Scoring!E37),Parameters!$E$7*Scoring!E37,0)+IF(ISNUMBER(IF(Verification!D37&lt;&gt;"",Verification!D37,IF(Coding!AG37=0,"NA",IF(AND(Parameters!$C$39=1,ISNUMBER(Calc!B37),Calc!B37&lt;=Parameters!$C$40),0,MIN(Coding!AG37,Parameters!$C$37)/Parameters!$C$37)))),Parameters!$E$7*IF(Verification!D37&lt;&gt;"",Verification!D37,IF(Coding!AG37=0,"NA",IF(AND(Parameters!$C$39=1,ISNUMBER(Calc!B37),Calc!B37&lt;=Parameters!$C$40),0,MIN(Coding!AG37,Parameters!$C$37)/Parameters!$C$37))),0))/(Scoring!N37-IF(ISNUMBER(Scoring!E37),Parameters!$E$7,0)+IF(ISNUMBER(IF(Verification!D37&lt;&gt;"",Verification!D37,IF(Coding!AG37=0,"NA",IF(AND(Parameters!$C$39=1,ISNUMBER(Calc!B37),Calc!B37&lt;=Parameters!$C$40),0,MIN(Coding!AG37,Parameters!$C$37)/Parameters!$C$37)))),Parameters!$E$7,0))*100,"NA")</f>
        <v>NA</v>
      </c>
      <c r="F37" s="29" t="str">
        <f aca="false">IF(Scoring!R37="Yes",AVERAGE(Scoring!D37:J37)*100,"NA")</f>
        <v>NA</v>
      </c>
      <c r="G37" s="29" t="n">
        <f aca="false">IF(AND((Scoring!N37-IF(ISNUMBER(Scoring!F37),Parameters!$E$8,0)+IF(ISNUMBER(IF(Verification!E37&lt;&gt;"",Scoring!F37,Calc!V37)),Parameters!$E$8,0))&gt;=Parameters!$C$56,Scoring!Q37&gt;=Parameters!$C$59),(Scoring!O37-IF(ISNUMBER(Scoring!F37),Parameters!$E$8*Scoring!F37,0)+IF(ISNUMBER(IF(Verification!E37&lt;&gt;"",Scoring!F37,Calc!V37)),Parameters!$E$8*IF(Verification!E37&lt;&gt;"",Scoring!F37,Calc!V37),0))/(Scoring!N37-IF(ISNUMBER(Scoring!F37),Parameters!$E$8,0)+IF(ISNUMBER(IF(Verification!E37&lt;&gt;"",Scoring!F37,Calc!V37)),Parameters!$E$8,0))*100,"NA")</f>
        <v>51.4705882352941</v>
      </c>
      <c r="H37" s="29" t="str">
        <f aca="false">IF(ISNUMBER(Scoring!S37),(Scoring!N37/Parameters!$E$13)*Scoring!S37+(1-Scoring!N37/Parameters!$E$13)*Summary!$B$9,"NA")</f>
        <v>NA</v>
      </c>
      <c r="I37" s="29" t="str">
        <f aca="false">IF(AND(ISNUMBER(Scoring!S37),COUNT(Scoring!E37,Scoring!F37)&gt;0),Scoring!S37,"NA")</f>
        <v>NA</v>
      </c>
      <c r="J37" s="29" t="str">
        <f aca="false">IF(AND(ISNUMBER($B37),ISNUMBER(C37)),ABS(C37-$B37),"")</f>
        <v/>
      </c>
      <c r="K37" s="29" t="str">
        <f aca="false">IF(AND(ISNUMBER($B37),ISNUMBER(D37)),ABS(D37-$B37),"")</f>
        <v/>
      </c>
      <c r="L37" s="29" t="str">
        <f aca="false">IF(AND(ISNUMBER($B37),ISNUMBER(E37)),ABS(E37-$B37),"")</f>
        <v/>
      </c>
      <c r="M37" s="29" t="str">
        <f aca="false">IF(AND(ISNUMBER($B37),ISNUMBER(F37)),ABS(F37-$B37),"")</f>
        <v/>
      </c>
      <c r="N37" s="29" t="str">
        <f aca="false">IF(AND(ISNUMBER($B37),ISNUMBER(G37)),ABS(G37-$B37),"")</f>
        <v/>
      </c>
      <c r="O37" s="29" t="str">
        <f aca="false">IF(AND(ISNUMBER($B37),ISNUMBER(H37)),ABS(H37-$B37),"")</f>
        <v/>
      </c>
      <c r="P37" s="29" t="str">
        <f aca="false">IF(AND(ISNUMBER($B37),ISNUMBER(I37)),ABS(I37-$B37),"")</f>
        <v/>
      </c>
    </row>
    <row r="38" customFormat="false" ht="15" hidden="false" customHeight="true" outlineLevel="0" collapsed="false">
      <c r="A38" s="15" t="str">
        <f aca="false">Data!$A38</f>
        <v>DOAJ (Directory of Open Access Journals)</v>
      </c>
      <c r="B38" s="29" t="n">
        <f aca="false">Scoring!S38</f>
        <v>96.5909090909091</v>
      </c>
      <c r="C38" s="29" t="n">
        <f aca="false">IF(AND(Scoring!N38&gt;=Parameters!$C$57,Scoring!Q38&gt;=Parameters!$C$59),Scoring!O38/Scoring!N38*100,"NA")</f>
        <v>96.5909090909091</v>
      </c>
      <c r="D38" s="29" t="n">
        <f aca="false">IF(AND(Scoring!N38&gt;=Parameters!$C$58,Scoring!Q38&gt;=Parameters!$C$59),Scoring!O38/Scoring!N38*100,"NA")</f>
        <v>96.5909090909091</v>
      </c>
      <c r="E38" s="29" t="n">
        <f aca="false">IF(AND((Scoring!N38-IF(ISNUMBER(Scoring!E38),Parameters!$E$7,0)+IF(ISNUMBER(IF(Verification!D38&lt;&gt;"",Verification!D38,IF(Coding!AG38=0,"NA",IF(AND(Parameters!$C$39=1,ISNUMBER(Calc!B38),Calc!B38&lt;=Parameters!$C$40),0,MIN(Coding!AG38,Parameters!$C$37)/Parameters!$C$37)))),Parameters!$E$7,0))&gt;=Parameters!$C$56,Scoring!Q38&gt;=Parameters!$C$59),(Scoring!O38-IF(ISNUMBER(Scoring!E38),Parameters!$E$7*Scoring!E38,0)+IF(ISNUMBER(IF(Verification!D38&lt;&gt;"",Verification!D38,IF(Coding!AG38=0,"NA",IF(AND(Parameters!$C$39=1,ISNUMBER(Calc!B38),Calc!B38&lt;=Parameters!$C$40),0,MIN(Coding!AG38,Parameters!$C$37)/Parameters!$C$37)))),Parameters!$E$7*IF(Verification!D38&lt;&gt;"",Verification!D38,IF(Coding!AG38=0,"NA",IF(AND(Parameters!$C$39=1,ISNUMBER(Calc!B38),Calc!B38&lt;=Parameters!$C$40),0,MIN(Coding!AG38,Parameters!$C$37)/Parameters!$C$37))),0))/(Scoring!N38-IF(ISNUMBER(Scoring!E38),Parameters!$E$7,0)+IF(ISNUMBER(IF(Verification!D38&lt;&gt;"",Verification!D38,IF(Coding!AG38=0,"NA",IF(AND(Parameters!$C$39=1,ISNUMBER(Calc!B38),Calc!B38&lt;=Parameters!$C$40),0,MIN(Coding!AG38,Parameters!$C$37)/Parameters!$C$37)))),Parameters!$E$7,0))*100,"NA")</f>
        <v>96.5909090909091</v>
      </c>
      <c r="F38" s="29" t="n">
        <f aca="false">IF(Scoring!R38="Yes",AVERAGE(Scoring!D38:J38)*100,"NA")</f>
        <v>97.2222222222222</v>
      </c>
      <c r="G38" s="29" t="n">
        <f aca="false">IF(AND((Scoring!N38-IF(ISNUMBER(Scoring!F38),Parameters!$E$8,0)+IF(ISNUMBER(IF(Verification!E38&lt;&gt;"",Scoring!F38,Calc!V38)),Parameters!$E$8,0))&gt;=Parameters!$C$56,Scoring!Q38&gt;=Parameters!$C$59),(Scoring!O38-IF(ISNUMBER(Scoring!F38),Parameters!$E$8*Scoring!F38,0)+IF(ISNUMBER(IF(Verification!E38&lt;&gt;"",Scoring!F38,Calc!V38)),Parameters!$E$8*IF(Verification!E38&lt;&gt;"",Scoring!F38,Calc!V38),0))/(Scoring!N38-IF(ISNUMBER(Scoring!F38),Parameters!$E$8,0)+IF(ISNUMBER(IF(Verification!E38&lt;&gt;"",Scoring!F38,Calc!V38)),Parameters!$E$8,0))*100,"NA")</f>
        <v>96.5909090909091</v>
      </c>
      <c r="H38" s="29" t="n">
        <f aca="false">IF(ISNUMBER(Scoring!S38),(Scoring!N38/Parameters!$E$13)*Scoring!S38+(1-Scoring!N38/Parameters!$E$13)*Summary!$B$9,"NA")</f>
        <v>94.3870967741935</v>
      </c>
      <c r="I38" s="29" t="n">
        <f aca="false">IF(AND(ISNUMBER(Scoring!S38),COUNT(Scoring!E38,Scoring!F38)&gt;0),Scoring!S38,"NA")</f>
        <v>96.5909090909091</v>
      </c>
      <c r="J38" s="29" t="n">
        <f aca="false">IF(AND(ISNUMBER($B38),ISNUMBER(C38)),ABS(C38-$B38),"")</f>
        <v>0</v>
      </c>
      <c r="K38" s="29" t="n">
        <f aca="false">IF(AND(ISNUMBER($B38),ISNUMBER(D38)),ABS(D38-$B38),"")</f>
        <v>0</v>
      </c>
      <c r="L38" s="29" t="n">
        <f aca="false">IF(AND(ISNUMBER($B38),ISNUMBER(E38)),ABS(E38-$B38),"")</f>
        <v>0</v>
      </c>
      <c r="M38" s="29" t="n">
        <f aca="false">IF(AND(ISNUMBER($B38),ISNUMBER(F38)),ABS(F38-$B38),"")</f>
        <v>0.631313131313149</v>
      </c>
      <c r="N38" s="29" t="n">
        <f aca="false">IF(AND(ISNUMBER($B38),ISNUMBER(G38)),ABS(G38-$B38),"")</f>
        <v>0</v>
      </c>
      <c r="O38" s="29" t="n">
        <f aca="false">IF(AND(ISNUMBER($B38),ISNUMBER(H38)),ABS(H38-$B38),"")</f>
        <v>2.20381231671554</v>
      </c>
      <c r="P38" s="29" t="n">
        <f aca="false">IF(AND(ISNUMBER($B38),ISNUMBER(I38)),ABS(I38-$B38),"")</f>
        <v>0</v>
      </c>
    </row>
    <row r="39" customFormat="false" ht="15" hidden="false" customHeight="true" outlineLevel="0" collapsed="false">
      <c r="A39" s="15" t="str">
        <f aca="false">Data!$A39</f>
        <v>dokieli</v>
      </c>
      <c r="B39" s="29" t="n">
        <f aca="false">Scoring!S39</f>
        <v>67.8125</v>
      </c>
      <c r="C39" s="29" t="n">
        <f aca="false">IF(AND(Scoring!N39&gt;=Parameters!$C$57,Scoring!Q39&gt;=Parameters!$C$59),Scoring!O39/Scoring!N39*100,"NA")</f>
        <v>67.8125</v>
      </c>
      <c r="D39" s="29" t="n">
        <f aca="false">IF(AND(Scoring!N39&gt;=Parameters!$C$58,Scoring!Q39&gt;=Parameters!$C$59),Scoring!O39/Scoring!N39*100,"NA")</f>
        <v>67.8125</v>
      </c>
      <c r="E39" s="29" t="str">
        <f aca="false">IF(AND((Scoring!N39-IF(ISNUMBER(Scoring!E39),Parameters!$E$7,0)+IF(ISNUMBER(IF(Verification!D39&lt;&gt;"",Verification!D39,IF(Coding!AG39=0,"NA",IF(AND(Parameters!$C$39=1,ISNUMBER(Calc!B39),Calc!B39&lt;=Parameters!$C$40),0,MIN(Coding!AG39,Parameters!$C$37)/Parameters!$C$37)))),Parameters!$E$7,0))&gt;=Parameters!$C$56,Scoring!Q39&gt;=Parameters!$C$59),(Scoring!O39-IF(ISNUMBER(Scoring!E39),Parameters!$E$7*Scoring!E39,0)+IF(ISNUMBER(IF(Verification!D39&lt;&gt;"",Verification!D39,IF(Coding!AG39=0,"NA",IF(AND(Parameters!$C$39=1,ISNUMBER(Calc!B39),Calc!B39&lt;=Parameters!$C$40),0,MIN(Coding!AG39,Parameters!$C$37)/Parameters!$C$37)))),Parameters!$E$7*IF(Verification!D39&lt;&gt;"",Verification!D39,IF(Coding!AG39=0,"NA",IF(AND(Parameters!$C$39=1,ISNUMBER(Calc!B39),Calc!B39&lt;=Parameters!$C$40),0,MIN(Coding!AG39,Parameters!$C$37)/Parameters!$C$37))),0))/(Scoring!N39-IF(ISNUMBER(Scoring!E39),Parameters!$E$7,0)+IF(ISNUMBER(IF(Verification!D39&lt;&gt;"",Verification!D39,IF(Coding!AG39=0,"NA",IF(AND(Parameters!$C$39=1,ISNUMBER(Calc!B39),Calc!B39&lt;=Parameters!$C$40),0,MIN(Coding!AG39,Parameters!$C$37)/Parameters!$C$37)))),Parameters!$E$7,0))*100,"NA")</f>
        <v>NA</v>
      </c>
      <c r="F39" s="29" t="n">
        <f aca="false">IF(Scoring!R39="Yes",AVERAGE(Scoring!D39:J39)*100,"NA")</f>
        <v>75.6944444444445</v>
      </c>
      <c r="G39" s="29" t="n">
        <f aca="false">IF(AND((Scoring!N39-IF(ISNUMBER(Scoring!F39),Parameters!$E$8,0)+IF(ISNUMBER(IF(Verification!E39&lt;&gt;"",Scoring!F39,Calc!V39)),Parameters!$E$8,0))&gt;=Parameters!$C$56,Scoring!Q39&gt;=Parameters!$C$59),(Scoring!O39-IF(ISNUMBER(Scoring!F39),Parameters!$E$8*Scoring!F39,0)+IF(ISNUMBER(IF(Verification!E39&lt;&gt;"",Scoring!F39,Calc!V39)),Parameters!$E$8*IF(Verification!E39&lt;&gt;"",Scoring!F39,Calc!V39),0))/(Scoring!N39-IF(ISNUMBER(Scoring!F39),Parameters!$E$8,0)+IF(ISNUMBER(IF(Verification!E39&lt;&gt;"",Scoring!F39,Calc!V39)),Parameters!$E$8,0))*100,"NA")</f>
        <v>64.0625</v>
      </c>
      <c r="H39" s="29" t="n">
        <f aca="false">IF(ISNUMBER(Scoring!S39),(Scoring!N39/Parameters!$E$13)*Scoring!S39+(1-Scoring!N39/Parameters!$E$13)*Summary!$B$9,"NA")</f>
        <v>69.8951612903226</v>
      </c>
      <c r="I39" s="29" t="n">
        <f aca="false">IF(AND(ISNUMBER(Scoring!S39),COUNT(Scoring!E39,Scoring!F39)&gt;0),Scoring!S39,"NA")</f>
        <v>67.8125</v>
      </c>
      <c r="J39" s="29" t="n">
        <f aca="false">IF(AND(ISNUMBER($B39),ISNUMBER(C39)),ABS(C39-$B39),"")</f>
        <v>0</v>
      </c>
      <c r="K39" s="29" t="n">
        <f aca="false">IF(AND(ISNUMBER($B39),ISNUMBER(D39)),ABS(D39-$B39),"")</f>
        <v>0</v>
      </c>
      <c r="L39" s="29" t="str">
        <f aca="false">IF(AND(ISNUMBER($B39),ISNUMBER(E39)),ABS(E39-$B39),"")</f>
        <v/>
      </c>
      <c r="M39" s="29" t="n">
        <f aca="false">IF(AND(ISNUMBER($B39),ISNUMBER(F39)),ABS(F39-$B39),"")</f>
        <v>7.88194444444446</v>
      </c>
      <c r="N39" s="29" t="n">
        <f aca="false">IF(AND(ISNUMBER($B39),ISNUMBER(G39)),ABS(G39-$B39),"")</f>
        <v>3.75000000000001</v>
      </c>
      <c r="O39" s="29" t="n">
        <f aca="false">IF(AND(ISNUMBER($B39),ISNUMBER(H39)),ABS(H39-$B39),"")</f>
        <v>2.08266129032258</v>
      </c>
      <c r="P39" s="29" t="n">
        <f aca="false">IF(AND(ISNUMBER($B39),ISNUMBER(I39)),ABS(I39-$B39),"")</f>
        <v>0</v>
      </c>
    </row>
    <row r="40" customFormat="false" ht="15" hidden="false" customHeight="true" outlineLevel="0" collapsed="false">
      <c r="A40" s="15" t="str">
        <f aca="false">Data!$A40</f>
        <v>Dryad</v>
      </c>
      <c r="B40" s="29" t="n">
        <f aca="false">Scoring!S40</f>
        <v>74.4318181818182</v>
      </c>
      <c r="C40" s="29" t="n">
        <f aca="false">IF(AND(Scoring!N40&gt;=Parameters!$C$57,Scoring!Q40&gt;=Parameters!$C$59),Scoring!O40/Scoring!N40*100,"NA")</f>
        <v>74.4318181818182</v>
      </c>
      <c r="D40" s="29" t="n">
        <f aca="false">IF(AND(Scoring!N40&gt;=Parameters!$C$58,Scoring!Q40&gt;=Parameters!$C$59),Scoring!O40/Scoring!N40*100,"NA")</f>
        <v>74.4318181818182</v>
      </c>
      <c r="E40" s="29" t="n">
        <f aca="false">IF(AND((Scoring!N40-IF(ISNUMBER(Scoring!E40),Parameters!$E$7,0)+IF(ISNUMBER(IF(Verification!D40&lt;&gt;"",Verification!D40,IF(Coding!AG40=0,"NA",IF(AND(Parameters!$C$39=1,ISNUMBER(Calc!B40),Calc!B40&lt;=Parameters!$C$40),0,MIN(Coding!AG40,Parameters!$C$37)/Parameters!$C$37)))),Parameters!$E$7,0))&gt;=Parameters!$C$56,Scoring!Q40&gt;=Parameters!$C$59),(Scoring!O40-IF(ISNUMBER(Scoring!E40),Parameters!$E$7*Scoring!E40,0)+IF(ISNUMBER(IF(Verification!D40&lt;&gt;"",Verification!D40,IF(Coding!AG40=0,"NA",IF(AND(Parameters!$C$39=1,ISNUMBER(Calc!B40),Calc!B40&lt;=Parameters!$C$40),0,MIN(Coding!AG40,Parameters!$C$37)/Parameters!$C$37)))),Parameters!$E$7*IF(Verification!D40&lt;&gt;"",Verification!D40,IF(Coding!AG40=0,"NA",IF(AND(Parameters!$C$39=1,ISNUMBER(Calc!B40),Calc!B40&lt;=Parameters!$C$40),0,MIN(Coding!AG40,Parameters!$C$37)/Parameters!$C$37))),0))/(Scoring!N40-IF(ISNUMBER(Scoring!E40),Parameters!$E$7,0)+IF(ISNUMBER(IF(Verification!D40&lt;&gt;"",Verification!D40,IF(Coding!AG40=0,"NA",IF(AND(Parameters!$C$39=1,ISNUMBER(Calc!B40),Calc!B40&lt;=Parameters!$C$40),0,MIN(Coding!AG40,Parameters!$C$37)/Parameters!$C$37)))),Parameters!$E$7,0))*100,"NA")</f>
        <v>90.9090909090909</v>
      </c>
      <c r="F40" s="29" t="n">
        <f aca="false">IF(Scoring!R40="Yes",AVERAGE(Scoring!D40:J40)*100,"NA")</f>
        <v>81.9444444444445</v>
      </c>
      <c r="G40" s="29" t="n">
        <f aca="false">IF(AND((Scoring!N40-IF(ISNUMBER(Scoring!F40),Parameters!$E$8,0)+IF(ISNUMBER(IF(Verification!E40&lt;&gt;"",Scoring!F40,Calc!V40)),Parameters!$E$8,0))&gt;=Parameters!$C$56,Scoring!Q40&gt;=Parameters!$C$59),(Scoring!O40-IF(ISNUMBER(Scoring!F40),Parameters!$E$8*Scoring!F40,0)+IF(ISNUMBER(IF(Verification!E40&lt;&gt;"",Scoring!F40,Calc!V40)),Parameters!$E$8*IF(Verification!E40&lt;&gt;"",Scoring!F40,Calc!V40),0))/(Scoring!N40-IF(ISNUMBER(Scoring!F40),Parameters!$E$8,0)+IF(ISNUMBER(IF(Verification!E40&lt;&gt;"",Scoring!F40,Calc!V40)),Parameters!$E$8,0))*100,"NA")</f>
        <v>71.0227272727273</v>
      </c>
      <c r="H40" s="29" t="n">
        <f aca="false">IF(ISNUMBER(Scoring!S40),(Scoring!N40/Parameters!$E$13)*Scoring!S40+(1-Scoring!N40/Parameters!$E$13)*Summary!$B$9,"NA")</f>
        <v>74.8870967741935</v>
      </c>
      <c r="I40" s="29" t="n">
        <f aca="false">IF(AND(ISNUMBER(Scoring!S40),COUNT(Scoring!E40,Scoring!F40)&gt;0),Scoring!S40,"NA")</f>
        <v>74.4318181818182</v>
      </c>
      <c r="J40" s="29" t="n">
        <f aca="false">IF(AND(ISNUMBER($B40),ISNUMBER(C40)),ABS(C40-$B40),"")</f>
        <v>0</v>
      </c>
      <c r="K40" s="29" t="n">
        <f aca="false">IF(AND(ISNUMBER($B40),ISNUMBER(D40)),ABS(D40-$B40),"")</f>
        <v>0</v>
      </c>
      <c r="L40" s="29" t="n">
        <f aca="false">IF(AND(ISNUMBER($B40),ISNUMBER(E40)),ABS(E40-$B40),"")</f>
        <v>16.4772727272727</v>
      </c>
      <c r="M40" s="29" t="n">
        <f aca="false">IF(AND(ISNUMBER($B40),ISNUMBER(F40)),ABS(F40-$B40),"")</f>
        <v>7.51262626262628</v>
      </c>
      <c r="N40" s="29" t="n">
        <f aca="false">IF(AND(ISNUMBER($B40),ISNUMBER(G40)),ABS(G40-$B40),"")</f>
        <v>3.40909090909091</v>
      </c>
      <c r="O40" s="29" t="n">
        <f aca="false">IF(AND(ISNUMBER($B40),ISNUMBER(H40)),ABS(H40-$B40),"")</f>
        <v>0.455278592375365</v>
      </c>
      <c r="P40" s="29" t="n">
        <f aca="false">IF(AND(ISNUMBER($B40),ISNUMBER(I40)),ABS(I40-$B40),"")</f>
        <v>0</v>
      </c>
    </row>
    <row r="41" customFormat="false" ht="15" hidden="false" customHeight="true" outlineLevel="0" collapsed="false">
      <c r="A41" s="15" t="str">
        <f aca="false">Data!$A41</f>
        <v>DSpace</v>
      </c>
      <c r="B41" s="29" t="n">
        <f aca="false">Scoring!S41</f>
        <v>97.25</v>
      </c>
      <c r="C41" s="29" t="n">
        <f aca="false">IF(AND(Scoring!N41&gt;=Parameters!$C$57,Scoring!Q41&gt;=Parameters!$C$59),Scoring!O41/Scoring!N41*100,"NA")</f>
        <v>97.25</v>
      </c>
      <c r="D41" s="29" t="n">
        <f aca="false">IF(AND(Scoring!N41&gt;=Parameters!$C$58,Scoring!Q41&gt;=Parameters!$C$59),Scoring!O41/Scoring!N41*100,"NA")</f>
        <v>97.25</v>
      </c>
      <c r="E41" s="29" t="n">
        <f aca="false">IF(AND((Scoring!N41-IF(ISNUMBER(Scoring!E41),Parameters!$E$7,0)+IF(ISNUMBER(IF(Verification!D41&lt;&gt;"",Verification!D41,IF(Coding!AG41=0,"NA",IF(AND(Parameters!$C$39=1,ISNUMBER(Calc!B41),Calc!B41&lt;=Parameters!$C$40),0,MIN(Coding!AG41,Parameters!$C$37)/Parameters!$C$37)))),Parameters!$E$7,0))&gt;=Parameters!$C$56,Scoring!Q41&gt;=Parameters!$C$59),(Scoring!O41-IF(ISNUMBER(Scoring!E41),Parameters!$E$7*Scoring!E41,0)+IF(ISNUMBER(IF(Verification!D41&lt;&gt;"",Verification!D41,IF(Coding!AG41=0,"NA",IF(AND(Parameters!$C$39=1,ISNUMBER(Calc!B41),Calc!B41&lt;=Parameters!$C$40),0,MIN(Coding!AG41,Parameters!$C$37)/Parameters!$C$37)))),Parameters!$E$7*IF(Verification!D41&lt;&gt;"",Verification!D41,IF(Coding!AG41=0,"NA",IF(AND(Parameters!$C$39=1,ISNUMBER(Calc!B41),Calc!B41&lt;=Parameters!$C$40),0,MIN(Coding!AG41,Parameters!$C$37)/Parameters!$C$37))),0))/(Scoring!N41-IF(ISNUMBER(Scoring!E41),Parameters!$E$7,0)+IF(ISNUMBER(IF(Verification!D41&lt;&gt;"",Verification!D41,IF(Coding!AG41=0,"NA",IF(AND(Parameters!$C$39=1,ISNUMBER(Calc!B41),Calc!B41&lt;=Parameters!$C$40),0,MIN(Coding!AG41,Parameters!$C$37)/Parameters!$C$37)))),Parameters!$E$7,0))*100,"NA")</f>
        <v>97.25</v>
      </c>
      <c r="F41" s="29" t="n">
        <f aca="false">IF(Scoring!R41="Yes",AVERAGE(Scoring!D41:J41)*100,"NA")</f>
        <v>98.2142857142857</v>
      </c>
      <c r="G41" s="29" t="n">
        <f aca="false">IF(AND((Scoring!N41-IF(ISNUMBER(Scoring!F41),Parameters!$E$8,0)+IF(ISNUMBER(IF(Verification!E41&lt;&gt;"",Scoring!F41,Calc!V41)),Parameters!$E$8,0))&gt;=Parameters!$C$56,Scoring!Q41&gt;=Parameters!$C$59),(Scoring!O41-IF(ISNUMBER(Scoring!F41),Parameters!$E$8*Scoring!F41,0)+IF(ISNUMBER(IF(Verification!E41&lt;&gt;"",Scoring!F41,Calc!V41)),Parameters!$E$8*IF(Verification!E41&lt;&gt;"",Scoring!F41,Calc!V41),0))/(Scoring!N41-IF(ISNUMBER(Scoring!F41),Parameters!$E$8,0)+IF(ISNUMBER(IF(Verification!E41&lt;&gt;"",Scoring!F41,Calc!V41)),Parameters!$E$8,0))*100,"NA")</f>
        <v>97.25</v>
      </c>
      <c r="H41" s="29" t="n">
        <f aca="false">IF(ISNUMBER(Scoring!S41),(Scoring!N41/Parameters!$E$13)*Scoring!S41+(1-Scoring!N41/Parameters!$E$13)*Summary!$B$9,"NA")</f>
        <v>97.25</v>
      </c>
      <c r="I41" s="29" t="n">
        <f aca="false">IF(AND(ISNUMBER(Scoring!S41),COUNT(Scoring!E41,Scoring!F41)&gt;0),Scoring!S41,"NA")</f>
        <v>97.25</v>
      </c>
      <c r="J41" s="29" t="n">
        <f aca="false">IF(AND(ISNUMBER($B41),ISNUMBER(C41)),ABS(C41-$B41),"")</f>
        <v>0</v>
      </c>
      <c r="K41" s="29" t="n">
        <f aca="false">IF(AND(ISNUMBER($B41),ISNUMBER(D41)),ABS(D41-$B41),"")</f>
        <v>0</v>
      </c>
      <c r="L41" s="29" t="n">
        <f aca="false">IF(AND(ISNUMBER($B41),ISNUMBER(E41)),ABS(E41-$B41),"")</f>
        <v>0</v>
      </c>
      <c r="M41" s="29" t="n">
        <f aca="false">IF(AND(ISNUMBER($B41),ISNUMBER(F41)),ABS(F41-$B41),"")</f>
        <v>0.964285714285694</v>
      </c>
      <c r="N41" s="29" t="n">
        <f aca="false">IF(AND(ISNUMBER($B41),ISNUMBER(G41)),ABS(G41-$B41),"")</f>
        <v>0</v>
      </c>
      <c r="O41" s="29" t="n">
        <f aca="false">IF(AND(ISNUMBER($B41),ISNUMBER(H41)),ABS(H41-$B41),"")</f>
        <v>0</v>
      </c>
      <c r="P41" s="29" t="n">
        <f aca="false">IF(AND(ISNUMBER($B41),ISNUMBER(I41)),ABS(I41-$B41),"")</f>
        <v>0</v>
      </c>
    </row>
    <row r="42" customFormat="false" ht="15" hidden="false" customHeight="true" outlineLevel="0" collapsed="false">
      <c r="A42" s="15" t="str">
        <f aca="false">Data!$A42</f>
        <v>DuraCloud</v>
      </c>
      <c r="B42" s="29" t="str">
        <f aca="false">Scoring!S42</f>
        <v>NA</v>
      </c>
      <c r="C42" s="29" t="str">
        <f aca="false">IF(AND(Scoring!N42&gt;=Parameters!$C$57,Scoring!Q42&gt;=Parameters!$C$59),Scoring!O42/Scoring!N42*100,"NA")</f>
        <v>NA</v>
      </c>
      <c r="D42" s="29" t="str">
        <f aca="false">IF(AND(Scoring!N42&gt;=Parameters!$C$58,Scoring!Q42&gt;=Parameters!$C$59),Scoring!O42/Scoring!N42*100,"NA")</f>
        <v>NA</v>
      </c>
      <c r="E42" s="29" t="str">
        <f aca="false">IF(AND((Scoring!N42-IF(ISNUMBER(Scoring!E42),Parameters!$E$7,0)+IF(ISNUMBER(IF(Verification!D42&lt;&gt;"",Verification!D42,IF(Coding!AG42=0,"NA",IF(AND(Parameters!$C$39=1,ISNUMBER(Calc!B42),Calc!B42&lt;=Parameters!$C$40),0,MIN(Coding!AG42,Parameters!$C$37)/Parameters!$C$37)))),Parameters!$E$7,0))&gt;=Parameters!$C$56,Scoring!Q42&gt;=Parameters!$C$59),(Scoring!O42-IF(ISNUMBER(Scoring!E42),Parameters!$E$7*Scoring!E42,0)+IF(ISNUMBER(IF(Verification!D42&lt;&gt;"",Verification!D42,IF(Coding!AG42=0,"NA",IF(AND(Parameters!$C$39=1,ISNUMBER(Calc!B42),Calc!B42&lt;=Parameters!$C$40),0,MIN(Coding!AG42,Parameters!$C$37)/Parameters!$C$37)))),Parameters!$E$7*IF(Verification!D42&lt;&gt;"",Verification!D42,IF(Coding!AG42=0,"NA",IF(AND(Parameters!$C$39=1,ISNUMBER(Calc!B42),Calc!B42&lt;=Parameters!$C$40),0,MIN(Coding!AG42,Parameters!$C$37)/Parameters!$C$37))),0))/(Scoring!N42-IF(ISNUMBER(Scoring!E42),Parameters!$E$7,0)+IF(ISNUMBER(IF(Verification!D42&lt;&gt;"",Verification!D42,IF(Coding!AG42=0,"NA",IF(AND(Parameters!$C$39=1,ISNUMBER(Calc!B42),Calc!B42&lt;=Parameters!$C$40),0,MIN(Coding!AG42,Parameters!$C$37)/Parameters!$C$37)))),Parameters!$E$7,0))*100,"NA")</f>
        <v>NA</v>
      </c>
      <c r="F42" s="29" t="str">
        <f aca="false">IF(Scoring!R42="Yes",AVERAGE(Scoring!D42:J42)*100,"NA")</f>
        <v>NA</v>
      </c>
      <c r="G42" s="29" t="str">
        <f aca="false">IF(AND((Scoring!N42-IF(ISNUMBER(Scoring!F42),Parameters!$E$8,0)+IF(ISNUMBER(IF(Verification!E42&lt;&gt;"",Scoring!F42,Calc!V42)),Parameters!$E$8,0))&gt;=Parameters!$C$56,Scoring!Q42&gt;=Parameters!$C$59),(Scoring!O42-IF(ISNUMBER(Scoring!F42),Parameters!$E$8*Scoring!F42,0)+IF(ISNUMBER(IF(Verification!E42&lt;&gt;"",Scoring!F42,Calc!V42)),Parameters!$E$8*IF(Verification!E42&lt;&gt;"",Scoring!F42,Calc!V42),0))/(Scoring!N42-IF(ISNUMBER(Scoring!F42),Parameters!$E$8,0)+IF(ISNUMBER(IF(Verification!E42&lt;&gt;"",Scoring!F42,Calc!V42)),Parameters!$E$8,0))*100,"NA")</f>
        <v>NA</v>
      </c>
      <c r="H42" s="29" t="str">
        <f aca="false">IF(ISNUMBER(Scoring!S42),(Scoring!N42/Parameters!$E$13)*Scoring!S42+(1-Scoring!N42/Parameters!$E$13)*Summary!$B$9,"NA")</f>
        <v>NA</v>
      </c>
      <c r="I42" s="29" t="str">
        <f aca="false">IF(AND(ISNUMBER(Scoring!S42),COUNT(Scoring!E42,Scoring!F42)&gt;0),Scoring!S42,"NA")</f>
        <v>NA</v>
      </c>
      <c r="J42" s="29" t="str">
        <f aca="false">IF(AND(ISNUMBER($B42),ISNUMBER(C42)),ABS(C42-$B42),"")</f>
        <v/>
      </c>
      <c r="K42" s="29" t="str">
        <f aca="false">IF(AND(ISNUMBER($B42),ISNUMBER(D42)),ABS(D42-$B42),"")</f>
        <v/>
      </c>
      <c r="L42" s="29" t="str">
        <f aca="false">IF(AND(ISNUMBER($B42),ISNUMBER(E42)),ABS(E42-$B42),"")</f>
        <v/>
      </c>
      <c r="M42" s="29" t="str">
        <f aca="false">IF(AND(ISNUMBER($B42),ISNUMBER(F42)),ABS(F42-$B42),"")</f>
        <v/>
      </c>
      <c r="N42" s="29" t="str">
        <f aca="false">IF(AND(ISNUMBER($B42),ISNUMBER(G42)),ABS(G42-$B42),"")</f>
        <v/>
      </c>
      <c r="O42" s="29" t="str">
        <f aca="false">IF(AND(ISNUMBER($B42),ISNUMBER(H42)),ABS(H42-$B42),"")</f>
        <v/>
      </c>
      <c r="P42" s="29" t="str">
        <f aca="false">IF(AND(ISNUMBER($B42),ISNUMBER(I42)),ABS(I42-$B42),"")</f>
        <v/>
      </c>
    </row>
    <row r="43" customFormat="false" ht="15" hidden="false" customHeight="true" outlineLevel="0" collapsed="false">
      <c r="A43" s="15" t="str">
        <f aca="false">Data!$A43</f>
        <v>Episciences</v>
      </c>
      <c r="B43" s="29" t="str">
        <f aca="false">Scoring!S43</f>
        <v>NA</v>
      </c>
      <c r="C43" s="29" t="str">
        <f aca="false">IF(AND(Scoring!N43&gt;=Parameters!$C$57,Scoring!Q43&gt;=Parameters!$C$59),Scoring!O43/Scoring!N43*100,"NA")</f>
        <v>NA</v>
      </c>
      <c r="D43" s="29" t="str">
        <f aca="false">IF(AND(Scoring!N43&gt;=Parameters!$C$58,Scoring!Q43&gt;=Parameters!$C$59),Scoring!O43/Scoring!N43*100,"NA")</f>
        <v>NA</v>
      </c>
      <c r="E43" s="29" t="str">
        <f aca="false">IF(AND((Scoring!N43-IF(ISNUMBER(Scoring!E43),Parameters!$E$7,0)+IF(ISNUMBER(IF(Verification!D43&lt;&gt;"",Verification!D43,IF(Coding!AG43=0,"NA",IF(AND(Parameters!$C$39=1,ISNUMBER(Calc!B43),Calc!B43&lt;=Parameters!$C$40),0,MIN(Coding!AG43,Parameters!$C$37)/Parameters!$C$37)))),Parameters!$E$7,0))&gt;=Parameters!$C$56,Scoring!Q43&gt;=Parameters!$C$59),(Scoring!O43-IF(ISNUMBER(Scoring!E43),Parameters!$E$7*Scoring!E43,0)+IF(ISNUMBER(IF(Verification!D43&lt;&gt;"",Verification!D43,IF(Coding!AG43=0,"NA",IF(AND(Parameters!$C$39=1,ISNUMBER(Calc!B43),Calc!B43&lt;=Parameters!$C$40),0,MIN(Coding!AG43,Parameters!$C$37)/Parameters!$C$37)))),Parameters!$E$7*IF(Verification!D43&lt;&gt;"",Verification!D43,IF(Coding!AG43=0,"NA",IF(AND(Parameters!$C$39=1,ISNUMBER(Calc!B43),Calc!B43&lt;=Parameters!$C$40),0,MIN(Coding!AG43,Parameters!$C$37)/Parameters!$C$37))),0))/(Scoring!N43-IF(ISNUMBER(Scoring!E43),Parameters!$E$7,0)+IF(ISNUMBER(IF(Verification!D43&lt;&gt;"",Verification!D43,IF(Coding!AG43=0,"NA",IF(AND(Parameters!$C$39=1,ISNUMBER(Calc!B43),Calc!B43&lt;=Parameters!$C$40),0,MIN(Coding!AG43,Parameters!$C$37)/Parameters!$C$37)))),Parameters!$E$7,0))*100,"NA")</f>
        <v>NA</v>
      </c>
      <c r="F43" s="29" t="str">
        <f aca="false">IF(Scoring!R43="Yes",AVERAGE(Scoring!D43:J43)*100,"NA")</f>
        <v>NA</v>
      </c>
      <c r="G43" s="29" t="str">
        <f aca="false">IF(AND((Scoring!N43-IF(ISNUMBER(Scoring!F43),Parameters!$E$8,0)+IF(ISNUMBER(IF(Verification!E43&lt;&gt;"",Scoring!F43,Calc!V43)),Parameters!$E$8,0))&gt;=Parameters!$C$56,Scoring!Q43&gt;=Parameters!$C$59),(Scoring!O43-IF(ISNUMBER(Scoring!F43),Parameters!$E$8*Scoring!F43,0)+IF(ISNUMBER(IF(Verification!E43&lt;&gt;"",Scoring!F43,Calc!V43)),Parameters!$E$8*IF(Verification!E43&lt;&gt;"",Scoring!F43,Calc!V43),0))/(Scoring!N43-IF(ISNUMBER(Scoring!F43),Parameters!$E$8,0)+IF(ISNUMBER(IF(Verification!E43&lt;&gt;"",Scoring!F43,Calc!V43)),Parameters!$E$8,0))*100,"NA")</f>
        <v>NA</v>
      </c>
      <c r="H43" s="29" t="str">
        <f aca="false">IF(ISNUMBER(Scoring!S43),(Scoring!N43/Parameters!$E$13)*Scoring!S43+(1-Scoring!N43/Parameters!$E$13)*Summary!$B$9,"NA")</f>
        <v>NA</v>
      </c>
      <c r="I43" s="29" t="str">
        <f aca="false">IF(AND(ISNUMBER(Scoring!S43),COUNT(Scoring!E43,Scoring!F43)&gt;0),Scoring!S43,"NA")</f>
        <v>NA</v>
      </c>
      <c r="J43" s="29" t="str">
        <f aca="false">IF(AND(ISNUMBER($B43),ISNUMBER(C43)),ABS(C43-$B43),"")</f>
        <v/>
      </c>
      <c r="K43" s="29" t="str">
        <f aca="false">IF(AND(ISNUMBER($B43),ISNUMBER(D43)),ABS(D43-$B43),"")</f>
        <v/>
      </c>
      <c r="L43" s="29" t="str">
        <f aca="false">IF(AND(ISNUMBER($B43),ISNUMBER(E43)),ABS(E43-$B43),"")</f>
        <v/>
      </c>
      <c r="M43" s="29" t="str">
        <f aca="false">IF(AND(ISNUMBER($B43),ISNUMBER(F43)),ABS(F43-$B43),"")</f>
        <v/>
      </c>
      <c r="N43" s="29" t="str">
        <f aca="false">IF(AND(ISNUMBER($B43),ISNUMBER(G43)),ABS(G43-$B43),"")</f>
        <v/>
      </c>
      <c r="O43" s="29" t="str">
        <f aca="false">IF(AND(ISNUMBER($B43),ISNUMBER(H43)),ABS(H43-$B43),"")</f>
        <v/>
      </c>
      <c r="P43" s="29" t="str">
        <f aca="false">IF(AND(ISNUMBER($B43),ISNUMBER(I43)),ABS(I43-$B43),"")</f>
        <v/>
      </c>
    </row>
    <row r="44" customFormat="false" ht="15" hidden="false" customHeight="true" outlineLevel="0" collapsed="false">
      <c r="A44" s="15" t="str">
        <f aca="false">Data!$A44</f>
        <v>EPrints</v>
      </c>
      <c r="B44" s="29" t="str">
        <f aca="false">Scoring!S44</f>
        <v>NA</v>
      </c>
      <c r="C44" s="29" t="str">
        <f aca="false">IF(AND(Scoring!N44&gt;=Parameters!$C$57,Scoring!Q44&gt;=Parameters!$C$59),Scoring!O44/Scoring!N44*100,"NA")</f>
        <v>NA</v>
      </c>
      <c r="D44" s="29" t="str">
        <f aca="false">IF(AND(Scoring!N44&gt;=Parameters!$C$58,Scoring!Q44&gt;=Parameters!$C$59),Scoring!O44/Scoring!N44*100,"NA")</f>
        <v>NA</v>
      </c>
      <c r="E44" s="29" t="str">
        <f aca="false">IF(AND((Scoring!N44-IF(ISNUMBER(Scoring!E44),Parameters!$E$7,0)+IF(ISNUMBER(IF(Verification!D44&lt;&gt;"",Verification!D44,IF(Coding!AG44=0,"NA",IF(AND(Parameters!$C$39=1,ISNUMBER(Calc!B44),Calc!B44&lt;=Parameters!$C$40),0,MIN(Coding!AG44,Parameters!$C$37)/Parameters!$C$37)))),Parameters!$E$7,0))&gt;=Parameters!$C$56,Scoring!Q44&gt;=Parameters!$C$59),(Scoring!O44-IF(ISNUMBER(Scoring!E44),Parameters!$E$7*Scoring!E44,0)+IF(ISNUMBER(IF(Verification!D44&lt;&gt;"",Verification!D44,IF(Coding!AG44=0,"NA",IF(AND(Parameters!$C$39=1,ISNUMBER(Calc!B44),Calc!B44&lt;=Parameters!$C$40),0,MIN(Coding!AG44,Parameters!$C$37)/Parameters!$C$37)))),Parameters!$E$7*IF(Verification!D44&lt;&gt;"",Verification!D44,IF(Coding!AG44=0,"NA",IF(AND(Parameters!$C$39=1,ISNUMBER(Calc!B44),Calc!B44&lt;=Parameters!$C$40),0,MIN(Coding!AG44,Parameters!$C$37)/Parameters!$C$37))),0))/(Scoring!N44-IF(ISNUMBER(Scoring!E44),Parameters!$E$7,0)+IF(ISNUMBER(IF(Verification!D44&lt;&gt;"",Verification!D44,IF(Coding!AG44=0,"NA",IF(AND(Parameters!$C$39=1,ISNUMBER(Calc!B44),Calc!B44&lt;=Parameters!$C$40),0,MIN(Coding!AG44,Parameters!$C$37)/Parameters!$C$37)))),Parameters!$E$7,0))*100,"NA")</f>
        <v>NA</v>
      </c>
      <c r="F44" s="29" t="str">
        <f aca="false">IF(Scoring!R44="Yes",AVERAGE(Scoring!D44:J44)*100,"NA")</f>
        <v>NA</v>
      </c>
      <c r="G44" s="29" t="str">
        <f aca="false">IF(AND((Scoring!N44-IF(ISNUMBER(Scoring!F44),Parameters!$E$8,0)+IF(ISNUMBER(IF(Verification!E44&lt;&gt;"",Scoring!F44,Calc!V44)),Parameters!$E$8,0))&gt;=Parameters!$C$56,Scoring!Q44&gt;=Parameters!$C$59),(Scoring!O44-IF(ISNUMBER(Scoring!F44),Parameters!$E$8*Scoring!F44,0)+IF(ISNUMBER(IF(Verification!E44&lt;&gt;"",Scoring!F44,Calc!V44)),Parameters!$E$8*IF(Verification!E44&lt;&gt;"",Scoring!F44,Calc!V44),0))/(Scoring!N44-IF(ISNUMBER(Scoring!F44),Parameters!$E$8,0)+IF(ISNUMBER(IF(Verification!E44&lt;&gt;"",Scoring!F44,Calc!V44)),Parameters!$E$8,0))*100,"NA")</f>
        <v>NA</v>
      </c>
      <c r="H44" s="29" t="str">
        <f aca="false">IF(ISNUMBER(Scoring!S44),(Scoring!N44/Parameters!$E$13)*Scoring!S44+(1-Scoring!N44/Parameters!$E$13)*Summary!$B$9,"NA")</f>
        <v>NA</v>
      </c>
      <c r="I44" s="29" t="str">
        <f aca="false">IF(AND(ISNUMBER(Scoring!S44),COUNT(Scoring!E44,Scoring!F44)&gt;0),Scoring!S44,"NA")</f>
        <v>NA</v>
      </c>
      <c r="J44" s="29" t="str">
        <f aca="false">IF(AND(ISNUMBER($B44),ISNUMBER(C44)),ABS(C44-$B44),"")</f>
        <v/>
      </c>
      <c r="K44" s="29" t="str">
        <f aca="false">IF(AND(ISNUMBER($B44),ISNUMBER(D44)),ABS(D44-$B44),"")</f>
        <v/>
      </c>
      <c r="L44" s="29" t="str">
        <f aca="false">IF(AND(ISNUMBER($B44),ISNUMBER(E44)),ABS(E44-$B44),"")</f>
        <v/>
      </c>
      <c r="M44" s="29" t="str">
        <f aca="false">IF(AND(ISNUMBER($B44),ISNUMBER(F44)),ABS(F44-$B44),"")</f>
        <v/>
      </c>
      <c r="N44" s="29" t="str">
        <f aca="false">IF(AND(ISNUMBER($B44),ISNUMBER(G44)),ABS(G44-$B44),"")</f>
        <v/>
      </c>
      <c r="O44" s="29" t="str">
        <f aca="false">IF(AND(ISNUMBER($B44),ISNUMBER(H44)),ABS(H44-$B44),"")</f>
        <v/>
      </c>
      <c r="P44" s="29" t="str">
        <f aca="false">IF(AND(ISNUMBER($B44),ISNUMBER(I44)),ABS(I44-$B44),"")</f>
        <v/>
      </c>
    </row>
    <row r="45" customFormat="false" ht="15" hidden="false" customHeight="true" outlineLevel="0" collapsed="false">
      <c r="A45" s="15" t="str">
        <f aca="false">Data!$A45</f>
        <v>Érudit</v>
      </c>
      <c r="B45" s="29" t="n">
        <f aca="false">Scoring!S45</f>
        <v>76.9230769230769</v>
      </c>
      <c r="C45" s="29" t="n">
        <f aca="false">IF(AND(Scoring!N45&gt;=Parameters!$C$57,Scoring!Q45&gt;=Parameters!$C$59),Scoring!O45/Scoring!N45*100,"NA")</f>
        <v>76.9230769230769</v>
      </c>
      <c r="D45" s="29" t="n">
        <f aca="false">IF(AND(Scoring!N45&gt;=Parameters!$C$58,Scoring!Q45&gt;=Parameters!$C$59),Scoring!O45/Scoring!N45*100,"NA")</f>
        <v>76.9230769230769</v>
      </c>
      <c r="E45" s="29" t="n">
        <f aca="false">IF(AND((Scoring!N45-IF(ISNUMBER(Scoring!E45),Parameters!$E$7,0)+IF(ISNUMBER(IF(Verification!D45&lt;&gt;"",Verification!D45,IF(Coding!AG45=0,"NA",IF(AND(Parameters!$C$39=1,ISNUMBER(Calc!B45),Calc!B45&lt;=Parameters!$C$40),0,MIN(Coding!AG45,Parameters!$C$37)/Parameters!$C$37)))),Parameters!$E$7,0))&gt;=Parameters!$C$56,Scoring!Q45&gt;=Parameters!$C$59),(Scoring!O45-IF(ISNUMBER(Scoring!E45),Parameters!$E$7*Scoring!E45,0)+IF(ISNUMBER(IF(Verification!D45&lt;&gt;"",Verification!D45,IF(Coding!AG45=0,"NA",IF(AND(Parameters!$C$39=1,ISNUMBER(Calc!B45),Calc!B45&lt;=Parameters!$C$40),0,MIN(Coding!AG45,Parameters!$C$37)/Parameters!$C$37)))),Parameters!$E$7*IF(Verification!D45&lt;&gt;"",Verification!D45,IF(Coding!AG45=0,"NA",IF(AND(Parameters!$C$39=1,ISNUMBER(Calc!B45),Calc!B45&lt;=Parameters!$C$40),0,MIN(Coding!AG45,Parameters!$C$37)/Parameters!$C$37))),0))/(Scoring!N45-IF(ISNUMBER(Scoring!E45),Parameters!$E$7,0)+IF(ISNUMBER(IF(Verification!D45&lt;&gt;"",Verification!D45,IF(Coding!AG45=0,"NA",IF(AND(Parameters!$C$39=1,ISNUMBER(Calc!B45),Calc!B45&lt;=Parameters!$C$40),0,MIN(Coding!AG45,Parameters!$C$37)/Parameters!$C$37)))),Parameters!$E$7,0))*100,"NA")</f>
        <v>76.9230769230769</v>
      </c>
      <c r="F45" s="29" t="n">
        <f aca="false">IF(Scoring!R45="Yes",AVERAGE(Scoring!D45:J45)*100,"NA")</f>
        <v>80.5555555555555</v>
      </c>
      <c r="G45" s="29" t="n">
        <f aca="false">IF(AND((Scoring!N45-IF(ISNUMBER(Scoring!F45),Parameters!$E$8,0)+IF(ISNUMBER(IF(Verification!E45&lt;&gt;"",Scoring!F45,Calc!V45)),Parameters!$E$8,0))&gt;=Parameters!$C$56,Scoring!Q45&gt;=Parameters!$C$59),(Scoring!O45-IF(ISNUMBER(Scoring!F45),Parameters!$E$8*Scoring!F45,0)+IF(ISNUMBER(IF(Verification!E45&lt;&gt;"",Scoring!F45,Calc!V45)),Parameters!$E$8*IF(Verification!E45&lt;&gt;"",Scoring!F45,Calc!V45),0))/(Scoring!N45-IF(ISNUMBER(Scoring!F45),Parameters!$E$8,0)+IF(ISNUMBER(IF(Verification!E45&lt;&gt;"",Scoring!F45,Calc!V45)),Parameters!$E$8,0))*100,"NA")</f>
        <v>76.9230769230769</v>
      </c>
      <c r="H45" s="29" t="n">
        <f aca="false">IF(ISNUMBER(Scoring!S45),(Scoring!N45/Parameters!$E$13)*Scoring!S45+(1-Scoring!N45/Parameters!$E$13)*Summary!$B$9,"NA")</f>
        <v>77.2096774193549</v>
      </c>
      <c r="I45" s="29" t="n">
        <f aca="false">IF(AND(ISNUMBER(Scoring!S45),COUNT(Scoring!E45,Scoring!F45)&gt;0),Scoring!S45,"NA")</f>
        <v>76.9230769230769</v>
      </c>
      <c r="J45" s="29" t="n">
        <f aca="false">IF(AND(ISNUMBER($B45),ISNUMBER(C45)),ABS(C45-$B45),"")</f>
        <v>0</v>
      </c>
      <c r="K45" s="29" t="n">
        <f aca="false">IF(AND(ISNUMBER($B45),ISNUMBER(D45)),ABS(D45-$B45),"")</f>
        <v>0</v>
      </c>
      <c r="L45" s="29" t="n">
        <f aca="false">IF(AND(ISNUMBER($B45),ISNUMBER(E45)),ABS(E45-$B45),"")</f>
        <v>0</v>
      </c>
      <c r="M45" s="29" t="n">
        <f aca="false">IF(AND(ISNUMBER($B45),ISNUMBER(F45)),ABS(F45-$B45),"")</f>
        <v>3.63247863247861</v>
      </c>
      <c r="N45" s="29" t="n">
        <f aca="false">IF(AND(ISNUMBER($B45),ISNUMBER(G45)),ABS(G45-$B45),"")</f>
        <v>0</v>
      </c>
      <c r="O45" s="29" t="n">
        <f aca="false">IF(AND(ISNUMBER($B45),ISNUMBER(H45)),ABS(H45-$B45),"")</f>
        <v>0.286600496277913</v>
      </c>
      <c r="P45" s="29" t="n">
        <f aca="false">IF(AND(ISNUMBER($B45),ISNUMBER(I45)),ABS(I45-$B45),"")</f>
        <v>0</v>
      </c>
    </row>
    <row r="46" customFormat="false" ht="15" hidden="false" customHeight="true" outlineLevel="0" collapsed="false">
      <c r="A46" s="15" t="str">
        <f aca="false">Data!$A46</f>
        <v>Europe PMC</v>
      </c>
      <c r="B46" s="29" t="n">
        <f aca="false">Scoring!S46</f>
        <v>74</v>
      </c>
      <c r="C46" s="29" t="n">
        <f aca="false">IF(AND(Scoring!N46&gt;=Parameters!$C$57,Scoring!Q46&gt;=Parameters!$C$59),Scoring!O46/Scoring!N46*100,"NA")</f>
        <v>74</v>
      </c>
      <c r="D46" s="29" t="n">
        <f aca="false">IF(AND(Scoring!N46&gt;=Parameters!$C$58,Scoring!Q46&gt;=Parameters!$C$59),Scoring!O46/Scoring!N46*100,"NA")</f>
        <v>74</v>
      </c>
      <c r="E46" s="29" t="n">
        <f aca="false">IF(AND((Scoring!N46-IF(ISNUMBER(Scoring!E46),Parameters!$E$7,0)+IF(ISNUMBER(IF(Verification!D46&lt;&gt;"",Verification!D46,IF(Coding!AG46=0,"NA",IF(AND(Parameters!$C$39=1,ISNUMBER(Calc!B46),Calc!B46&lt;=Parameters!$C$40),0,MIN(Coding!AG46,Parameters!$C$37)/Parameters!$C$37)))),Parameters!$E$7,0))&gt;=Parameters!$C$56,Scoring!Q46&gt;=Parameters!$C$59),(Scoring!O46-IF(ISNUMBER(Scoring!E46),Parameters!$E$7*Scoring!E46,0)+IF(ISNUMBER(IF(Verification!D46&lt;&gt;"",Verification!D46,IF(Coding!AG46=0,"NA",IF(AND(Parameters!$C$39=1,ISNUMBER(Calc!B46),Calc!B46&lt;=Parameters!$C$40),0,MIN(Coding!AG46,Parameters!$C$37)/Parameters!$C$37)))),Parameters!$E$7*IF(Verification!D46&lt;&gt;"",Verification!D46,IF(Coding!AG46=0,"NA",IF(AND(Parameters!$C$39=1,ISNUMBER(Calc!B46),Calc!B46&lt;=Parameters!$C$40),0,MIN(Coding!AG46,Parameters!$C$37)/Parameters!$C$37))),0))/(Scoring!N46-IF(ISNUMBER(Scoring!E46),Parameters!$E$7,0)+IF(ISNUMBER(IF(Verification!D46&lt;&gt;"",Verification!D46,IF(Coding!AG46=0,"NA",IF(AND(Parameters!$C$39=1,ISNUMBER(Calc!B46),Calc!B46&lt;=Parameters!$C$40),0,MIN(Coding!AG46,Parameters!$C$37)/Parameters!$C$37)))),Parameters!$E$7,0))*100,"NA")</f>
        <v>80.7692307692308</v>
      </c>
      <c r="F46" s="29" t="n">
        <f aca="false">IF(Scoring!R46="Yes",AVERAGE(Scoring!D46:J46)*100,"NA")</f>
        <v>78.5714285714286</v>
      </c>
      <c r="G46" s="29" t="n">
        <f aca="false">IF(AND((Scoring!N46-IF(ISNUMBER(Scoring!F46),Parameters!$E$8,0)+IF(ISNUMBER(IF(Verification!E46&lt;&gt;"",Scoring!F46,Calc!V46)),Parameters!$E$8,0))&gt;=Parameters!$C$56,Scoring!Q46&gt;=Parameters!$C$59),(Scoring!O46-IF(ISNUMBER(Scoring!F46),Parameters!$E$8*Scoring!F46,0)+IF(ISNUMBER(IF(Verification!E46&lt;&gt;"",Scoring!F46,Calc!V46)),Parameters!$E$8*IF(Verification!E46&lt;&gt;"",Scoring!F46,Calc!V46),0))/(Scoring!N46-IF(ISNUMBER(Scoring!F46),Parameters!$E$8,0)+IF(ISNUMBER(IF(Verification!E46&lt;&gt;"",Scoring!F46,Calc!V46)),Parameters!$E$8,0))*100,"NA")</f>
        <v>74</v>
      </c>
      <c r="H46" s="29" t="n">
        <f aca="false">IF(ISNUMBER(Scoring!S46),(Scoring!N46/Parameters!$E$13)*Scoring!S46+(1-Scoring!N46/Parameters!$E$13)*Summary!$B$9,"NA")</f>
        <v>74</v>
      </c>
      <c r="I46" s="29" t="n">
        <f aca="false">IF(AND(ISNUMBER(Scoring!S46),COUNT(Scoring!E46,Scoring!F46)&gt;0),Scoring!S46,"NA")</f>
        <v>74</v>
      </c>
      <c r="J46" s="29" t="n">
        <f aca="false">IF(AND(ISNUMBER($B46),ISNUMBER(C46)),ABS(C46-$B46),"")</f>
        <v>0</v>
      </c>
      <c r="K46" s="29" t="n">
        <f aca="false">IF(AND(ISNUMBER($B46),ISNUMBER(D46)),ABS(D46-$B46),"")</f>
        <v>0</v>
      </c>
      <c r="L46" s="29" t="n">
        <f aca="false">IF(AND(ISNUMBER($B46),ISNUMBER(E46)),ABS(E46-$B46),"")</f>
        <v>6.76923076923077</v>
      </c>
      <c r="M46" s="29" t="n">
        <f aca="false">IF(AND(ISNUMBER($B46),ISNUMBER(F46)),ABS(F46-$B46),"")</f>
        <v>4.57142857142857</v>
      </c>
      <c r="N46" s="29" t="n">
        <f aca="false">IF(AND(ISNUMBER($B46),ISNUMBER(G46)),ABS(G46-$B46),"")</f>
        <v>0</v>
      </c>
      <c r="O46" s="29" t="n">
        <f aca="false">IF(AND(ISNUMBER($B46),ISNUMBER(H46)),ABS(H46-$B46),"")</f>
        <v>0</v>
      </c>
      <c r="P46" s="29" t="n">
        <f aca="false">IF(AND(ISNUMBER($B46),ISNUMBER(I46)),ABS(I46-$B46),"")</f>
        <v>0</v>
      </c>
    </row>
    <row r="47" customFormat="false" ht="15" hidden="false" customHeight="true" outlineLevel="0" collapsed="false">
      <c r="A47" s="15" t="str">
        <f aca="false">Data!$A47</f>
        <v>FAIR Wizard</v>
      </c>
      <c r="B47" s="29" t="n">
        <f aca="false">Scoring!S47</f>
        <v>61.9879518072289</v>
      </c>
      <c r="C47" s="29" t="n">
        <f aca="false">IF(AND(Scoring!N47&gt;=Parameters!$C$57,Scoring!Q47&gt;=Parameters!$C$59),Scoring!O47/Scoring!N47*100,"NA")</f>
        <v>61.9879518072289</v>
      </c>
      <c r="D47" s="29" t="n">
        <f aca="false">IF(AND(Scoring!N47&gt;=Parameters!$C$58,Scoring!Q47&gt;=Parameters!$C$59),Scoring!O47/Scoring!N47*100,"NA")</f>
        <v>61.9879518072289</v>
      </c>
      <c r="E47" s="29" t="n">
        <f aca="false">IF(AND((Scoring!N47-IF(ISNUMBER(Scoring!E47),Parameters!$E$7,0)+IF(ISNUMBER(IF(Verification!D47&lt;&gt;"",Verification!D47,IF(Coding!AG47=0,"NA",IF(AND(Parameters!$C$39=1,ISNUMBER(Calc!B47),Calc!B47&lt;=Parameters!$C$40),0,MIN(Coding!AG47,Parameters!$C$37)/Parameters!$C$37)))),Parameters!$E$7,0))&gt;=Parameters!$C$56,Scoring!Q47&gt;=Parameters!$C$59),(Scoring!O47-IF(ISNUMBER(Scoring!E47),Parameters!$E$7*Scoring!E47,0)+IF(ISNUMBER(IF(Verification!D47&lt;&gt;"",Verification!D47,IF(Coding!AG47=0,"NA",IF(AND(Parameters!$C$39=1,ISNUMBER(Calc!B47),Calc!B47&lt;=Parameters!$C$40),0,MIN(Coding!AG47,Parameters!$C$37)/Parameters!$C$37)))),Parameters!$E$7*IF(Verification!D47&lt;&gt;"",Verification!D47,IF(Coding!AG47=0,"NA",IF(AND(Parameters!$C$39=1,ISNUMBER(Calc!B47),Calc!B47&lt;=Parameters!$C$40),0,MIN(Coding!AG47,Parameters!$C$37)/Parameters!$C$37))),0))/(Scoring!N47-IF(ISNUMBER(Scoring!E47),Parameters!$E$7,0)+IF(ISNUMBER(IF(Verification!D47&lt;&gt;"",Verification!D47,IF(Coding!AG47=0,"NA",IF(AND(Parameters!$C$39=1,ISNUMBER(Calc!B47),Calc!B47&lt;=Parameters!$C$40),0,MIN(Coding!AG47,Parameters!$C$37)/Parameters!$C$37)))),Parameters!$E$7,0))*100,"NA")</f>
        <v>61.9879518072289</v>
      </c>
      <c r="F47" s="29" t="n">
        <f aca="false">IF(Scoring!R47="Yes",AVERAGE(Scoring!D47:J47)*100,"NA")</f>
        <v>64.9333333333333</v>
      </c>
      <c r="G47" s="29" t="n">
        <f aca="false">IF(AND((Scoring!N47-IF(ISNUMBER(Scoring!F47),Parameters!$E$8,0)+IF(ISNUMBER(IF(Verification!E47&lt;&gt;"",Scoring!F47,Calc!V47)),Parameters!$E$8,0))&gt;=Parameters!$C$56,Scoring!Q47&gt;=Parameters!$C$59),(Scoring!O47-IF(ISNUMBER(Scoring!F47),Parameters!$E$8*Scoring!F47,0)+IF(ISNUMBER(IF(Verification!E47&lt;&gt;"",Scoring!F47,Calc!V47)),Parameters!$E$8*IF(Verification!E47&lt;&gt;"",Scoring!F47,Calc!V47),0))/(Scoring!N47-IF(ISNUMBER(Scoring!F47),Parameters!$E$8,0)+IF(ISNUMBER(IF(Verification!E47&lt;&gt;"",Scoring!F47,Calc!V47)),Parameters!$E$8,0))*100,"NA")</f>
        <v>61.9879518072289</v>
      </c>
      <c r="H47" s="29" t="n">
        <f aca="false">IF(ISNUMBER(Scoring!S47),(Scoring!N47/Parameters!$E$13)*Scoring!S47+(1-Scoring!N47/Parameters!$E$13)*Summary!$B$9,"NA")</f>
        <v>64.7483870967742</v>
      </c>
      <c r="I47" s="29" t="n">
        <f aca="false">IF(AND(ISNUMBER(Scoring!S47),COUNT(Scoring!E47,Scoring!F47)&gt;0),Scoring!S47,"NA")</f>
        <v>61.9879518072289</v>
      </c>
      <c r="J47" s="29" t="n">
        <f aca="false">IF(AND(ISNUMBER($B47),ISNUMBER(C47)),ABS(C47-$B47),"")</f>
        <v>0</v>
      </c>
      <c r="K47" s="29" t="n">
        <f aca="false">IF(AND(ISNUMBER($B47),ISNUMBER(D47)),ABS(D47-$B47),"")</f>
        <v>0</v>
      </c>
      <c r="L47" s="29" t="n">
        <f aca="false">IF(AND(ISNUMBER($B47),ISNUMBER(E47)),ABS(E47-$B47),"")</f>
        <v>0</v>
      </c>
      <c r="M47" s="29" t="n">
        <f aca="false">IF(AND(ISNUMBER($B47),ISNUMBER(F47)),ABS(F47-$B47),"")</f>
        <v>2.94538152610443</v>
      </c>
      <c r="N47" s="29" t="n">
        <f aca="false">IF(AND(ISNUMBER($B47),ISNUMBER(G47)),ABS(G47-$B47),"")</f>
        <v>0</v>
      </c>
      <c r="O47" s="29" t="n">
        <f aca="false">IF(AND(ISNUMBER($B47),ISNUMBER(H47)),ABS(H47-$B47),"")</f>
        <v>2.76043528954528</v>
      </c>
      <c r="P47" s="29" t="n">
        <f aca="false">IF(AND(ISNUMBER($B47),ISNUMBER(I47)),ABS(I47-$B47),"")</f>
        <v>0</v>
      </c>
    </row>
    <row r="48" customFormat="false" ht="15" hidden="false" customHeight="true" outlineLevel="0" collapsed="false">
      <c r="A48" s="15" t="str">
        <f aca="false">Data!$A48</f>
        <v>Fedora</v>
      </c>
      <c r="B48" s="29" t="n">
        <f aca="false">Scoring!S48</f>
        <v>94</v>
      </c>
      <c r="C48" s="29" t="n">
        <f aca="false">IF(AND(Scoring!N48&gt;=Parameters!$C$57,Scoring!Q48&gt;=Parameters!$C$59),Scoring!O48/Scoring!N48*100,"NA")</f>
        <v>94</v>
      </c>
      <c r="D48" s="29" t="n">
        <f aca="false">IF(AND(Scoring!N48&gt;=Parameters!$C$58,Scoring!Q48&gt;=Parameters!$C$59),Scoring!O48/Scoring!N48*100,"NA")</f>
        <v>94</v>
      </c>
      <c r="E48" s="29" t="n">
        <f aca="false">IF(AND((Scoring!N48-IF(ISNUMBER(Scoring!E48),Parameters!$E$7,0)+IF(ISNUMBER(IF(Verification!D48&lt;&gt;"",Verification!D48,IF(Coding!AG48=0,"NA",IF(AND(Parameters!$C$39=1,ISNUMBER(Calc!B48),Calc!B48&lt;=Parameters!$C$40),0,MIN(Coding!AG48,Parameters!$C$37)/Parameters!$C$37)))),Parameters!$E$7,0))&gt;=Parameters!$C$56,Scoring!Q48&gt;=Parameters!$C$59),(Scoring!O48-IF(ISNUMBER(Scoring!E48),Parameters!$E$7*Scoring!E48,0)+IF(ISNUMBER(IF(Verification!D48&lt;&gt;"",Verification!D48,IF(Coding!AG48=0,"NA",IF(AND(Parameters!$C$39=1,ISNUMBER(Calc!B48),Calc!B48&lt;=Parameters!$C$40),0,MIN(Coding!AG48,Parameters!$C$37)/Parameters!$C$37)))),Parameters!$E$7*IF(Verification!D48&lt;&gt;"",Verification!D48,IF(Coding!AG48=0,"NA",IF(AND(Parameters!$C$39=1,ISNUMBER(Calc!B48),Calc!B48&lt;=Parameters!$C$40),0,MIN(Coding!AG48,Parameters!$C$37)/Parameters!$C$37))),0))/(Scoring!N48-IF(ISNUMBER(Scoring!E48),Parameters!$E$7,0)+IF(ISNUMBER(IF(Verification!D48&lt;&gt;"",Verification!D48,IF(Coding!AG48=0,"NA",IF(AND(Parameters!$C$39=1,ISNUMBER(Calc!B48),Calc!B48&lt;=Parameters!$C$40),0,MIN(Coding!AG48,Parameters!$C$37)/Parameters!$C$37)))),Parameters!$E$7,0))*100,"NA")</f>
        <v>94</v>
      </c>
      <c r="F48" s="29" t="n">
        <f aca="false">IF(Scoring!R48="Yes",AVERAGE(Scoring!D48:J48)*100,"NA")</f>
        <v>92.8571428571429</v>
      </c>
      <c r="G48" s="29" t="n">
        <f aca="false">IF(AND((Scoring!N48-IF(ISNUMBER(Scoring!F48),Parameters!$E$8,0)+IF(ISNUMBER(IF(Verification!E48&lt;&gt;"",Scoring!F48,Calc!V48)),Parameters!$E$8,0))&gt;=Parameters!$C$56,Scoring!Q48&gt;=Parameters!$C$59),(Scoring!O48-IF(ISNUMBER(Scoring!F48),Parameters!$E$8*Scoring!F48,0)+IF(ISNUMBER(IF(Verification!E48&lt;&gt;"",Scoring!F48,Calc!V48)),Parameters!$E$8*IF(Verification!E48&lt;&gt;"",Scoring!F48,Calc!V48),0))/(Scoring!N48-IF(ISNUMBER(Scoring!F48),Parameters!$E$8,0)+IF(ISNUMBER(IF(Verification!E48&lt;&gt;"",Scoring!F48,Calc!V48)),Parameters!$E$8,0))*100,"NA")</f>
        <v>94</v>
      </c>
      <c r="H48" s="29" t="n">
        <f aca="false">IF(ISNUMBER(Scoring!S48),(Scoring!N48/Parameters!$E$13)*Scoring!S48+(1-Scoring!N48/Parameters!$E$13)*Summary!$B$9,"NA")</f>
        <v>94</v>
      </c>
      <c r="I48" s="29" t="n">
        <f aca="false">IF(AND(ISNUMBER(Scoring!S48),COUNT(Scoring!E48,Scoring!F48)&gt;0),Scoring!S48,"NA")</f>
        <v>94</v>
      </c>
      <c r="J48" s="29" t="n">
        <f aca="false">IF(AND(ISNUMBER($B48),ISNUMBER(C48)),ABS(C48-$B48),"")</f>
        <v>0</v>
      </c>
      <c r="K48" s="29" t="n">
        <f aca="false">IF(AND(ISNUMBER($B48),ISNUMBER(D48)),ABS(D48-$B48),"")</f>
        <v>0</v>
      </c>
      <c r="L48" s="29" t="n">
        <f aca="false">IF(AND(ISNUMBER($B48),ISNUMBER(E48)),ABS(E48-$B48),"")</f>
        <v>0</v>
      </c>
      <c r="M48" s="29" t="n">
        <f aca="false">IF(AND(ISNUMBER($B48),ISNUMBER(F48)),ABS(F48-$B48),"")</f>
        <v>1.14285714285715</v>
      </c>
      <c r="N48" s="29" t="n">
        <f aca="false">IF(AND(ISNUMBER($B48),ISNUMBER(G48)),ABS(G48-$B48),"")</f>
        <v>0</v>
      </c>
      <c r="O48" s="29" t="n">
        <f aca="false">IF(AND(ISNUMBER($B48),ISNUMBER(H48)),ABS(H48-$B48),"")</f>
        <v>0</v>
      </c>
      <c r="P48" s="29" t="n">
        <f aca="false">IF(AND(ISNUMBER($B48),ISNUMBER(I48)),ABS(I48-$B48),"")</f>
        <v>0</v>
      </c>
    </row>
    <row r="49" customFormat="false" ht="15" hidden="false" customHeight="true" outlineLevel="0" collapsed="false">
      <c r="A49" s="15" t="str">
        <f aca="false">Data!$A49</f>
        <v>fido</v>
      </c>
      <c r="B49" s="29" t="n">
        <f aca="false">Scoring!S49</f>
        <v>74.95</v>
      </c>
      <c r="C49" s="29" t="n">
        <f aca="false">IF(AND(Scoring!N49&gt;=Parameters!$C$57,Scoring!Q49&gt;=Parameters!$C$59),Scoring!O49/Scoring!N49*100,"NA")</f>
        <v>74.95</v>
      </c>
      <c r="D49" s="29" t="n">
        <f aca="false">IF(AND(Scoring!N49&gt;=Parameters!$C$58,Scoring!Q49&gt;=Parameters!$C$59),Scoring!O49/Scoring!N49*100,"NA")</f>
        <v>74.95</v>
      </c>
      <c r="E49" s="29" t="n">
        <f aca="false">IF(AND((Scoring!N49-IF(ISNUMBER(Scoring!E49),Parameters!$E$7,0)+IF(ISNUMBER(IF(Verification!D49&lt;&gt;"",Verification!D49,IF(Coding!AG49=0,"NA",IF(AND(Parameters!$C$39=1,ISNUMBER(Calc!B49),Calc!B49&lt;=Parameters!$C$40),0,MIN(Coding!AG49,Parameters!$C$37)/Parameters!$C$37)))),Parameters!$E$7,0))&gt;=Parameters!$C$56,Scoring!Q49&gt;=Parameters!$C$59),(Scoring!O49-IF(ISNUMBER(Scoring!E49),Parameters!$E$7*Scoring!E49,0)+IF(ISNUMBER(IF(Verification!D49&lt;&gt;"",Verification!D49,IF(Coding!AG49=0,"NA",IF(AND(Parameters!$C$39=1,ISNUMBER(Calc!B49),Calc!B49&lt;=Parameters!$C$40),0,MIN(Coding!AG49,Parameters!$C$37)/Parameters!$C$37)))),Parameters!$E$7*IF(Verification!D49&lt;&gt;"",Verification!D49,IF(Coding!AG49=0,"NA",IF(AND(Parameters!$C$39=1,ISNUMBER(Calc!B49),Calc!B49&lt;=Parameters!$C$40),0,MIN(Coding!AG49,Parameters!$C$37)/Parameters!$C$37))),0))/(Scoring!N49-IF(ISNUMBER(Scoring!E49),Parameters!$E$7,0)+IF(ISNUMBER(IF(Verification!D49&lt;&gt;"",Verification!D49,IF(Coding!AG49=0,"NA",IF(AND(Parameters!$C$39=1,ISNUMBER(Calc!B49),Calc!B49&lt;=Parameters!$C$40),0,MIN(Coding!AG49,Parameters!$C$37)/Parameters!$C$37)))),Parameters!$E$7,0))*100,"NA")</f>
        <v>74.95</v>
      </c>
      <c r="F49" s="29" t="n">
        <f aca="false">IF(Scoring!R49="Yes",AVERAGE(Scoring!D49:J49)*100,"NA")</f>
        <v>76.1428571428571</v>
      </c>
      <c r="G49" s="29" t="n">
        <f aca="false">IF(AND((Scoring!N49-IF(ISNUMBER(Scoring!F49),Parameters!$E$8,0)+IF(ISNUMBER(IF(Verification!E49&lt;&gt;"",Scoring!F49,Calc!V49)),Parameters!$E$8,0))&gt;=Parameters!$C$56,Scoring!Q49&gt;=Parameters!$C$59),(Scoring!O49-IF(ISNUMBER(Scoring!F49),Parameters!$E$8*Scoring!F49,0)+IF(ISNUMBER(IF(Verification!E49&lt;&gt;"",Scoring!F49,Calc!V49)),Parameters!$E$8*IF(Verification!E49&lt;&gt;"",Scoring!F49,Calc!V49),0))/(Scoring!N49-IF(ISNUMBER(Scoring!F49),Parameters!$E$8,0)+IF(ISNUMBER(IF(Verification!E49&lt;&gt;"",Scoring!F49,Calc!V49)),Parameters!$E$8,0))*100,"NA")</f>
        <v>74.95</v>
      </c>
      <c r="H49" s="29" t="n">
        <f aca="false">IF(ISNUMBER(Scoring!S49),(Scoring!N49/Parameters!$E$13)*Scoring!S49+(1-Scoring!N49/Parameters!$E$13)*Summary!$B$9,"NA")</f>
        <v>74.95</v>
      </c>
      <c r="I49" s="29" t="n">
        <f aca="false">IF(AND(ISNUMBER(Scoring!S49),COUNT(Scoring!E49,Scoring!F49)&gt;0),Scoring!S49,"NA")</f>
        <v>74.95</v>
      </c>
      <c r="J49" s="29" t="n">
        <f aca="false">IF(AND(ISNUMBER($B49),ISNUMBER(C49)),ABS(C49-$B49),"")</f>
        <v>0</v>
      </c>
      <c r="K49" s="29" t="n">
        <f aca="false">IF(AND(ISNUMBER($B49),ISNUMBER(D49)),ABS(D49-$B49),"")</f>
        <v>0</v>
      </c>
      <c r="L49" s="29" t="n">
        <f aca="false">IF(AND(ISNUMBER($B49),ISNUMBER(E49)),ABS(E49-$B49),"")</f>
        <v>0</v>
      </c>
      <c r="M49" s="29" t="n">
        <f aca="false">IF(AND(ISNUMBER($B49),ISNUMBER(F49)),ABS(F49-$B49),"")</f>
        <v>1.19285714285714</v>
      </c>
      <c r="N49" s="29" t="n">
        <f aca="false">IF(AND(ISNUMBER($B49),ISNUMBER(G49)),ABS(G49-$B49),"")</f>
        <v>0</v>
      </c>
      <c r="O49" s="29" t="n">
        <f aca="false">IF(AND(ISNUMBER($B49),ISNUMBER(H49)),ABS(H49-$B49),"")</f>
        <v>0</v>
      </c>
      <c r="P49" s="29" t="n">
        <f aca="false">IF(AND(ISNUMBER($B49),ISNUMBER(I49)),ABS(I49-$B49),"")</f>
        <v>0</v>
      </c>
    </row>
    <row r="50" customFormat="false" ht="15" hidden="false" customHeight="true" outlineLevel="0" collapsed="false">
      <c r="A50" s="15" t="str">
        <f aca="false">Data!$A50</f>
        <v>Fulcrum</v>
      </c>
      <c r="B50" s="29" t="n">
        <f aca="false">Scoring!S50</f>
        <v>56.25</v>
      </c>
      <c r="C50" s="29" t="n">
        <f aca="false">IF(AND(Scoring!N50&gt;=Parameters!$C$57,Scoring!Q50&gt;=Parameters!$C$59),Scoring!O50/Scoring!N50*100,"NA")</f>
        <v>56.25</v>
      </c>
      <c r="D50" s="29" t="n">
        <f aca="false">IF(AND(Scoring!N50&gt;=Parameters!$C$58,Scoring!Q50&gt;=Parameters!$C$59),Scoring!O50/Scoring!N50*100,"NA")</f>
        <v>56.25</v>
      </c>
      <c r="E50" s="29" t="n">
        <f aca="false">IF(AND((Scoring!N50-IF(ISNUMBER(Scoring!E50),Parameters!$E$7,0)+IF(ISNUMBER(IF(Verification!D50&lt;&gt;"",Verification!D50,IF(Coding!AG50=0,"NA",IF(AND(Parameters!$C$39=1,ISNUMBER(Calc!B50),Calc!B50&lt;=Parameters!$C$40),0,MIN(Coding!AG50,Parameters!$C$37)/Parameters!$C$37)))),Parameters!$E$7,0))&gt;=Parameters!$C$56,Scoring!Q50&gt;=Parameters!$C$59),(Scoring!O50-IF(ISNUMBER(Scoring!E50),Parameters!$E$7*Scoring!E50,0)+IF(ISNUMBER(IF(Verification!D50&lt;&gt;"",Verification!D50,IF(Coding!AG50=0,"NA",IF(AND(Parameters!$C$39=1,ISNUMBER(Calc!B50),Calc!B50&lt;=Parameters!$C$40),0,MIN(Coding!AG50,Parameters!$C$37)/Parameters!$C$37)))),Parameters!$E$7*IF(Verification!D50&lt;&gt;"",Verification!D50,IF(Coding!AG50=0,"NA",IF(AND(Parameters!$C$39=1,ISNUMBER(Calc!B50),Calc!B50&lt;=Parameters!$C$40),0,MIN(Coding!AG50,Parameters!$C$37)/Parameters!$C$37))),0))/(Scoring!N50-IF(ISNUMBER(Scoring!E50),Parameters!$E$7,0)+IF(ISNUMBER(IF(Verification!D50&lt;&gt;"",Verification!D50,IF(Coding!AG50=0,"NA",IF(AND(Parameters!$C$39=1,ISNUMBER(Calc!B50),Calc!B50&lt;=Parameters!$C$40),0,MIN(Coding!AG50,Parameters!$C$37)/Parameters!$C$37)))),Parameters!$E$7,0))*100,"NA")</f>
        <v>66.6666666666667</v>
      </c>
      <c r="F50" s="29" t="n">
        <f aca="false">IF(Scoring!R50="Yes",AVERAGE(Scoring!D50:J50)*100,"NA")</f>
        <v>68.0555555555555</v>
      </c>
      <c r="G50" s="29" t="n">
        <f aca="false">IF(AND((Scoring!N50-IF(ISNUMBER(Scoring!F50),Parameters!$E$8,0)+IF(ISNUMBER(IF(Verification!E50&lt;&gt;"",Scoring!F50,Calc!V50)),Parameters!$E$8,0))&gt;=Parameters!$C$56,Scoring!Q50&gt;=Parameters!$C$59),(Scoring!O50-IF(ISNUMBER(Scoring!F50),Parameters!$E$8*Scoring!F50,0)+IF(ISNUMBER(IF(Verification!E50&lt;&gt;"",Scoring!F50,Calc!V50)),Parameters!$E$8*IF(Verification!E50&lt;&gt;"",Scoring!F50,Calc!V50),0))/(Scoring!N50-IF(ISNUMBER(Scoring!F50),Parameters!$E$8,0)+IF(ISNUMBER(IF(Verification!E50&lt;&gt;"",Scoring!F50,Calc!V50)),Parameters!$E$8,0))*100,"NA")</f>
        <v>56.25</v>
      </c>
      <c r="H50" s="29" t="n">
        <f aca="false">IF(ISNUMBER(Scoring!S50),(Scoring!N50/Parameters!$E$13)*Scoring!S50+(1-Scoring!N50/Parameters!$E$13)*Summary!$B$9,"NA")</f>
        <v>58.8870967741935</v>
      </c>
      <c r="I50" s="29" t="n">
        <f aca="false">IF(AND(ISNUMBER(Scoring!S50),COUNT(Scoring!E50,Scoring!F50)&gt;0),Scoring!S50,"NA")</f>
        <v>56.25</v>
      </c>
      <c r="J50" s="29" t="n">
        <f aca="false">IF(AND(ISNUMBER($B50),ISNUMBER(C50)),ABS(C50-$B50),"")</f>
        <v>0</v>
      </c>
      <c r="K50" s="29" t="n">
        <f aca="false">IF(AND(ISNUMBER($B50),ISNUMBER(D50)),ABS(D50-$B50),"")</f>
        <v>0</v>
      </c>
      <c r="L50" s="29" t="n">
        <f aca="false">IF(AND(ISNUMBER($B50),ISNUMBER(E50)),ABS(E50-$B50),"")</f>
        <v>10.4166666666667</v>
      </c>
      <c r="M50" s="29" t="n">
        <f aca="false">IF(AND(ISNUMBER($B50),ISNUMBER(F50)),ABS(F50-$B50),"")</f>
        <v>11.8055555555556</v>
      </c>
      <c r="N50" s="29" t="n">
        <f aca="false">IF(AND(ISNUMBER($B50),ISNUMBER(G50)),ABS(G50-$B50),"")</f>
        <v>0</v>
      </c>
      <c r="O50" s="29" t="n">
        <f aca="false">IF(AND(ISNUMBER($B50),ISNUMBER(H50)),ABS(H50-$B50),"")</f>
        <v>2.63709677419354</v>
      </c>
      <c r="P50" s="29" t="n">
        <f aca="false">IF(AND(ISNUMBER($B50),ISNUMBER(I50)),ABS(I50-$B50),"")</f>
        <v>0</v>
      </c>
    </row>
    <row r="51" customFormat="false" ht="15" hidden="false" customHeight="true" outlineLevel="0" collapsed="false">
      <c r="A51" s="15" t="str">
        <f aca="false">Data!$A51</f>
        <v>Galaxy</v>
      </c>
      <c r="B51" s="29" t="n">
        <f aca="false">Scoring!S51</f>
        <v>100</v>
      </c>
      <c r="C51" s="29" t="n">
        <f aca="false">IF(AND(Scoring!N51&gt;=Parameters!$C$57,Scoring!Q51&gt;=Parameters!$C$59),Scoring!O51/Scoring!N51*100,"NA")</f>
        <v>100</v>
      </c>
      <c r="D51" s="29" t="str">
        <f aca="false">IF(AND(Scoring!N51&gt;=Parameters!$C$58,Scoring!Q51&gt;=Parameters!$C$59),Scoring!O51/Scoring!N51*100,"NA")</f>
        <v>NA</v>
      </c>
      <c r="E51" s="29" t="n">
        <f aca="false">IF(AND((Scoring!N51-IF(ISNUMBER(Scoring!E51),Parameters!$E$7,0)+IF(ISNUMBER(IF(Verification!D51&lt;&gt;"",Verification!D51,IF(Coding!AG51=0,"NA",IF(AND(Parameters!$C$39=1,ISNUMBER(Calc!B51),Calc!B51&lt;=Parameters!$C$40),0,MIN(Coding!AG51,Parameters!$C$37)/Parameters!$C$37)))),Parameters!$E$7,0))&gt;=Parameters!$C$56,Scoring!Q51&gt;=Parameters!$C$59),(Scoring!O51-IF(ISNUMBER(Scoring!E51),Parameters!$E$7*Scoring!E51,0)+IF(ISNUMBER(IF(Verification!D51&lt;&gt;"",Verification!D51,IF(Coding!AG51=0,"NA",IF(AND(Parameters!$C$39=1,ISNUMBER(Calc!B51),Calc!B51&lt;=Parameters!$C$40),0,MIN(Coding!AG51,Parameters!$C$37)/Parameters!$C$37)))),Parameters!$E$7*IF(Verification!D51&lt;&gt;"",Verification!D51,IF(Coding!AG51=0,"NA",IF(AND(Parameters!$C$39=1,ISNUMBER(Calc!B51),Calc!B51&lt;=Parameters!$C$40),0,MIN(Coding!AG51,Parameters!$C$37)/Parameters!$C$37))),0))/(Scoring!N51-IF(ISNUMBER(Scoring!E51),Parameters!$E$7,0)+IF(ISNUMBER(IF(Verification!D51&lt;&gt;"",Verification!D51,IF(Coding!AG51=0,"NA",IF(AND(Parameters!$C$39=1,ISNUMBER(Calc!B51),Calc!B51&lt;=Parameters!$C$40),0,MIN(Coding!AG51,Parameters!$C$37)/Parameters!$C$37)))),Parameters!$E$7,0))*100,"NA")</f>
        <v>100</v>
      </c>
      <c r="F51" s="29" t="n">
        <f aca="false">IF(Scoring!R51="Yes",AVERAGE(Scoring!D51:J51)*100,"NA")</f>
        <v>100</v>
      </c>
      <c r="G51" s="29" t="n">
        <f aca="false">IF(AND((Scoring!N51-IF(ISNUMBER(Scoring!F51),Parameters!$E$8,0)+IF(ISNUMBER(IF(Verification!E51&lt;&gt;"",Scoring!F51,Calc!V51)),Parameters!$E$8,0))&gt;=Parameters!$C$56,Scoring!Q51&gt;=Parameters!$C$59),(Scoring!O51-IF(ISNUMBER(Scoring!F51),Parameters!$E$8*Scoring!F51,0)+IF(ISNUMBER(IF(Verification!E51&lt;&gt;"",Scoring!F51,Calc!V51)),Parameters!$E$8*IF(Verification!E51&lt;&gt;"",Scoring!F51,Calc!V51),0))/(Scoring!N51-IF(ISNUMBER(Scoring!F51),Parameters!$E$8,0)+IF(ISNUMBER(IF(Verification!E51&lt;&gt;"",Scoring!F51,Calc!V51)),Parameters!$E$8,0))*100,"NA")</f>
        <v>100</v>
      </c>
      <c r="H51" s="29" t="n">
        <f aca="false">IF(ISNUMBER(Scoring!S51),(Scoring!N51/Parameters!$E$13)*Scoring!S51+(1-Scoring!N51/Parameters!$E$13)*Summary!$B$9,"NA")</f>
        <v>91.2903225806452</v>
      </c>
      <c r="I51" s="29" t="str">
        <f aca="false">IF(AND(ISNUMBER(Scoring!S51),COUNT(Scoring!E51,Scoring!F51)&gt;0),Scoring!S51,"NA")</f>
        <v>NA</v>
      </c>
      <c r="J51" s="29" t="n">
        <f aca="false">IF(AND(ISNUMBER($B51),ISNUMBER(C51)),ABS(C51-$B51),"")</f>
        <v>0</v>
      </c>
      <c r="K51" s="29" t="str">
        <f aca="false">IF(AND(ISNUMBER($B51),ISNUMBER(D51)),ABS(D51-$B51),"")</f>
        <v/>
      </c>
      <c r="L51" s="29" t="n">
        <f aca="false">IF(AND(ISNUMBER($B51),ISNUMBER(E51)),ABS(E51-$B51),"")</f>
        <v>0</v>
      </c>
      <c r="M51" s="29" t="n">
        <f aca="false">IF(AND(ISNUMBER($B51),ISNUMBER(F51)),ABS(F51-$B51),"")</f>
        <v>0</v>
      </c>
      <c r="N51" s="29" t="n">
        <f aca="false">IF(AND(ISNUMBER($B51),ISNUMBER(G51)),ABS(G51-$B51),"")</f>
        <v>0</v>
      </c>
      <c r="O51" s="29" t="n">
        <f aca="false">IF(AND(ISNUMBER($B51),ISNUMBER(H51)),ABS(H51-$B51),"")</f>
        <v>8.70967741935485</v>
      </c>
      <c r="P51" s="29" t="str">
        <f aca="false">IF(AND(ISNUMBER($B51),ISNUMBER(I51)),ABS(I51-$B51),"")</f>
        <v/>
      </c>
    </row>
    <row r="52" customFormat="false" ht="15" hidden="false" customHeight="true" outlineLevel="0" collapsed="false">
      <c r="A52" s="15" t="str">
        <f aca="false">Data!$A52</f>
        <v>GeoServer</v>
      </c>
      <c r="B52" s="29" t="n">
        <f aca="false">Scoring!S52</f>
        <v>79.5</v>
      </c>
      <c r="C52" s="29" t="n">
        <f aca="false">IF(AND(Scoring!N52&gt;=Parameters!$C$57,Scoring!Q52&gt;=Parameters!$C$59),Scoring!O52/Scoring!N52*100,"NA")</f>
        <v>79.5</v>
      </c>
      <c r="D52" s="29" t="n">
        <f aca="false">IF(AND(Scoring!N52&gt;=Parameters!$C$58,Scoring!Q52&gt;=Parameters!$C$59),Scoring!O52/Scoring!N52*100,"NA")</f>
        <v>79.5</v>
      </c>
      <c r="E52" s="29" t="n">
        <f aca="false">IF(AND((Scoring!N52-IF(ISNUMBER(Scoring!E52),Parameters!$E$7,0)+IF(ISNUMBER(IF(Verification!D52&lt;&gt;"",Verification!D52,IF(Coding!AG52=0,"NA",IF(AND(Parameters!$C$39=1,ISNUMBER(Calc!B52),Calc!B52&lt;=Parameters!$C$40),0,MIN(Coding!AG52,Parameters!$C$37)/Parameters!$C$37)))),Parameters!$E$7,0))&gt;=Parameters!$C$56,Scoring!Q52&gt;=Parameters!$C$59),(Scoring!O52-IF(ISNUMBER(Scoring!E52),Parameters!$E$7*Scoring!E52,0)+IF(ISNUMBER(IF(Verification!D52&lt;&gt;"",Verification!D52,IF(Coding!AG52=0,"NA",IF(AND(Parameters!$C$39=1,ISNUMBER(Calc!B52),Calc!B52&lt;=Parameters!$C$40),0,MIN(Coding!AG52,Parameters!$C$37)/Parameters!$C$37)))),Parameters!$E$7*IF(Verification!D52&lt;&gt;"",Verification!D52,IF(Coding!AG52=0,"NA",IF(AND(Parameters!$C$39=1,ISNUMBER(Calc!B52),Calc!B52&lt;=Parameters!$C$40),0,MIN(Coding!AG52,Parameters!$C$37)/Parameters!$C$37))),0))/(Scoring!N52-IF(ISNUMBER(Scoring!E52),Parameters!$E$7,0)+IF(ISNUMBER(IF(Verification!D52&lt;&gt;"",Verification!D52,IF(Coding!AG52=0,"NA",IF(AND(Parameters!$C$39=1,ISNUMBER(Calc!B52),Calc!B52&lt;=Parameters!$C$40),0,MIN(Coding!AG52,Parameters!$C$37)/Parameters!$C$37)))),Parameters!$E$7,0))*100,"NA")</f>
        <v>79.5</v>
      </c>
      <c r="F52" s="29" t="n">
        <f aca="false">IF(Scoring!R52="Yes",AVERAGE(Scoring!D52:J52)*100,"NA")</f>
        <v>84.5238095238095</v>
      </c>
      <c r="G52" s="29" t="n">
        <f aca="false">IF(AND((Scoring!N52-IF(ISNUMBER(Scoring!F52),Parameters!$E$8,0)+IF(ISNUMBER(IF(Verification!E52&lt;&gt;"",Scoring!F52,Calc!V52)),Parameters!$E$8,0))&gt;=Parameters!$C$56,Scoring!Q52&gt;=Parameters!$C$59),(Scoring!O52-IF(ISNUMBER(Scoring!F52),Parameters!$E$8*Scoring!F52,0)+IF(ISNUMBER(IF(Verification!E52&lt;&gt;"",Scoring!F52,Calc!V52)),Parameters!$E$8*IF(Verification!E52&lt;&gt;"",Scoring!F52,Calc!V52),0))/(Scoring!N52-IF(ISNUMBER(Scoring!F52),Parameters!$E$8,0)+IF(ISNUMBER(IF(Verification!E52&lt;&gt;"",Scoring!F52,Calc!V52)),Parameters!$E$8,0))*100,"NA")</f>
        <v>79.5</v>
      </c>
      <c r="H52" s="29" t="n">
        <f aca="false">IF(ISNUMBER(Scoring!S52),(Scoring!N52/Parameters!$E$13)*Scoring!S52+(1-Scoring!N52/Parameters!$E$13)*Summary!$B$9,"NA")</f>
        <v>79.5</v>
      </c>
      <c r="I52" s="29" t="n">
        <f aca="false">IF(AND(ISNUMBER(Scoring!S52),COUNT(Scoring!E52,Scoring!F52)&gt;0),Scoring!S52,"NA")</f>
        <v>79.5</v>
      </c>
      <c r="J52" s="29" t="n">
        <f aca="false">IF(AND(ISNUMBER($B52),ISNUMBER(C52)),ABS(C52-$B52),"")</f>
        <v>0</v>
      </c>
      <c r="K52" s="29" t="n">
        <f aca="false">IF(AND(ISNUMBER($B52),ISNUMBER(D52)),ABS(D52-$B52),"")</f>
        <v>0</v>
      </c>
      <c r="L52" s="29" t="n">
        <f aca="false">IF(AND(ISNUMBER($B52),ISNUMBER(E52)),ABS(E52-$B52),"")</f>
        <v>0</v>
      </c>
      <c r="M52" s="29" t="n">
        <f aca="false">IF(AND(ISNUMBER($B52),ISNUMBER(F52)),ABS(F52-$B52),"")</f>
        <v>5.02380952380952</v>
      </c>
      <c r="N52" s="29" t="n">
        <f aca="false">IF(AND(ISNUMBER($B52),ISNUMBER(G52)),ABS(G52-$B52),"")</f>
        <v>0</v>
      </c>
      <c r="O52" s="29" t="n">
        <f aca="false">IF(AND(ISNUMBER($B52),ISNUMBER(H52)),ABS(H52-$B52),"")</f>
        <v>0</v>
      </c>
      <c r="P52" s="29" t="n">
        <f aca="false">IF(AND(ISNUMBER($B52),ISNUMBER(I52)),ABS(I52-$B52),"")</f>
        <v>0</v>
      </c>
    </row>
    <row r="53" customFormat="false" ht="15" hidden="false" customHeight="true" outlineLevel="0" collapsed="false">
      <c r="A53" s="15" t="str">
        <f aca="false">Data!$A53</f>
        <v>Hyku</v>
      </c>
      <c r="B53" s="29" t="n">
        <f aca="false">Scoring!S53</f>
        <v>94</v>
      </c>
      <c r="C53" s="29" t="n">
        <f aca="false">IF(AND(Scoring!N53&gt;=Parameters!$C$57,Scoring!Q53&gt;=Parameters!$C$59),Scoring!O53/Scoring!N53*100,"NA")</f>
        <v>94</v>
      </c>
      <c r="D53" s="29" t="n">
        <f aca="false">IF(AND(Scoring!N53&gt;=Parameters!$C$58,Scoring!Q53&gt;=Parameters!$C$59),Scoring!O53/Scoring!N53*100,"NA")</f>
        <v>94</v>
      </c>
      <c r="E53" s="29" t="n">
        <f aca="false">IF(AND((Scoring!N53-IF(ISNUMBER(Scoring!E53),Parameters!$E$7,0)+IF(ISNUMBER(IF(Verification!D53&lt;&gt;"",Verification!D53,IF(Coding!AG53=0,"NA",IF(AND(Parameters!$C$39=1,ISNUMBER(Calc!B53),Calc!B53&lt;=Parameters!$C$40),0,MIN(Coding!AG53,Parameters!$C$37)/Parameters!$C$37)))),Parameters!$E$7,0))&gt;=Parameters!$C$56,Scoring!Q53&gt;=Parameters!$C$59),(Scoring!O53-IF(ISNUMBER(Scoring!E53),Parameters!$E$7*Scoring!E53,0)+IF(ISNUMBER(IF(Verification!D53&lt;&gt;"",Verification!D53,IF(Coding!AG53=0,"NA",IF(AND(Parameters!$C$39=1,ISNUMBER(Calc!B53),Calc!B53&lt;=Parameters!$C$40),0,MIN(Coding!AG53,Parameters!$C$37)/Parameters!$C$37)))),Parameters!$E$7*IF(Verification!D53&lt;&gt;"",Verification!D53,IF(Coding!AG53=0,"NA",IF(AND(Parameters!$C$39=1,ISNUMBER(Calc!B53),Calc!B53&lt;=Parameters!$C$40),0,MIN(Coding!AG53,Parameters!$C$37)/Parameters!$C$37))),0))/(Scoring!N53-IF(ISNUMBER(Scoring!E53),Parameters!$E$7,0)+IF(ISNUMBER(IF(Verification!D53&lt;&gt;"",Verification!D53,IF(Coding!AG53=0,"NA",IF(AND(Parameters!$C$39=1,ISNUMBER(Calc!B53),Calc!B53&lt;=Parameters!$C$40),0,MIN(Coding!AG53,Parameters!$C$37)/Parameters!$C$37)))),Parameters!$E$7,0))*100,"NA")</f>
        <v>94</v>
      </c>
      <c r="F53" s="29" t="n">
        <f aca="false">IF(Scoring!R53="Yes",AVERAGE(Scoring!D53:J53)*100,"NA")</f>
        <v>92.8571428571429</v>
      </c>
      <c r="G53" s="29" t="n">
        <f aca="false">IF(AND((Scoring!N53-IF(ISNUMBER(Scoring!F53),Parameters!$E$8,0)+IF(ISNUMBER(IF(Verification!E53&lt;&gt;"",Scoring!F53,Calc!V53)),Parameters!$E$8,0))&gt;=Parameters!$C$56,Scoring!Q53&gt;=Parameters!$C$59),(Scoring!O53-IF(ISNUMBER(Scoring!F53),Parameters!$E$8*Scoring!F53,0)+IF(ISNUMBER(IF(Verification!E53&lt;&gt;"",Scoring!F53,Calc!V53)),Parameters!$E$8*IF(Verification!E53&lt;&gt;"",Scoring!F53,Calc!V53),0))/(Scoring!N53-IF(ISNUMBER(Scoring!F53),Parameters!$E$8,0)+IF(ISNUMBER(IF(Verification!E53&lt;&gt;"",Scoring!F53,Calc!V53)),Parameters!$E$8,0))*100,"NA")</f>
        <v>91</v>
      </c>
      <c r="H53" s="29" t="n">
        <f aca="false">IF(ISNUMBER(Scoring!S53),(Scoring!N53/Parameters!$E$13)*Scoring!S53+(1-Scoring!N53/Parameters!$E$13)*Summary!$B$9,"NA")</f>
        <v>94</v>
      </c>
      <c r="I53" s="29" t="n">
        <f aca="false">IF(AND(ISNUMBER(Scoring!S53),COUNT(Scoring!E53,Scoring!F53)&gt;0),Scoring!S53,"NA")</f>
        <v>94</v>
      </c>
      <c r="J53" s="29" t="n">
        <f aca="false">IF(AND(ISNUMBER($B53),ISNUMBER(C53)),ABS(C53-$B53),"")</f>
        <v>0</v>
      </c>
      <c r="K53" s="29" t="n">
        <f aca="false">IF(AND(ISNUMBER($B53),ISNUMBER(D53)),ABS(D53-$B53),"")</f>
        <v>0</v>
      </c>
      <c r="L53" s="29" t="n">
        <f aca="false">IF(AND(ISNUMBER($B53),ISNUMBER(E53)),ABS(E53-$B53),"")</f>
        <v>0</v>
      </c>
      <c r="M53" s="29" t="n">
        <f aca="false">IF(AND(ISNUMBER($B53),ISNUMBER(F53)),ABS(F53-$B53),"")</f>
        <v>1.14285714285715</v>
      </c>
      <c r="N53" s="29" t="n">
        <f aca="false">IF(AND(ISNUMBER($B53),ISNUMBER(G53)),ABS(G53-$B53),"")</f>
        <v>2.99999999999999</v>
      </c>
      <c r="O53" s="29" t="n">
        <f aca="false">IF(AND(ISNUMBER($B53),ISNUMBER(H53)),ABS(H53-$B53),"")</f>
        <v>0</v>
      </c>
      <c r="P53" s="29" t="n">
        <f aca="false">IF(AND(ISNUMBER($B53),ISNUMBER(I53)),ABS(I53-$B53),"")</f>
        <v>0</v>
      </c>
    </row>
    <row r="54" customFormat="false" ht="15" hidden="false" customHeight="true" outlineLevel="0" collapsed="false">
      <c r="A54" s="15" t="str">
        <f aca="false">Data!$A54</f>
        <v>Hyrax</v>
      </c>
      <c r="B54" s="29" t="n">
        <f aca="false">Scoring!S54</f>
        <v>94</v>
      </c>
      <c r="C54" s="29" t="n">
        <f aca="false">IF(AND(Scoring!N54&gt;=Parameters!$C$57,Scoring!Q54&gt;=Parameters!$C$59),Scoring!O54/Scoring!N54*100,"NA")</f>
        <v>94</v>
      </c>
      <c r="D54" s="29" t="n">
        <f aca="false">IF(AND(Scoring!N54&gt;=Parameters!$C$58,Scoring!Q54&gt;=Parameters!$C$59),Scoring!O54/Scoring!N54*100,"NA")</f>
        <v>94</v>
      </c>
      <c r="E54" s="29" t="n">
        <f aca="false">IF(AND((Scoring!N54-IF(ISNUMBER(Scoring!E54),Parameters!$E$7,0)+IF(ISNUMBER(IF(Verification!D54&lt;&gt;"",Verification!D54,IF(Coding!AG54=0,"NA",IF(AND(Parameters!$C$39=1,ISNUMBER(Calc!B54),Calc!B54&lt;=Parameters!$C$40),0,MIN(Coding!AG54,Parameters!$C$37)/Parameters!$C$37)))),Parameters!$E$7,0))&gt;=Parameters!$C$56,Scoring!Q54&gt;=Parameters!$C$59),(Scoring!O54-IF(ISNUMBER(Scoring!E54),Parameters!$E$7*Scoring!E54,0)+IF(ISNUMBER(IF(Verification!D54&lt;&gt;"",Verification!D54,IF(Coding!AG54=0,"NA",IF(AND(Parameters!$C$39=1,ISNUMBER(Calc!B54),Calc!B54&lt;=Parameters!$C$40),0,MIN(Coding!AG54,Parameters!$C$37)/Parameters!$C$37)))),Parameters!$E$7*IF(Verification!D54&lt;&gt;"",Verification!D54,IF(Coding!AG54=0,"NA",IF(AND(Parameters!$C$39=1,ISNUMBER(Calc!B54),Calc!B54&lt;=Parameters!$C$40),0,MIN(Coding!AG54,Parameters!$C$37)/Parameters!$C$37))),0))/(Scoring!N54-IF(ISNUMBER(Scoring!E54),Parameters!$E$7,0)+IF(ISNUMBER(IF(Verification!D54&lt;&gt;"",Verification!D54,IF(Coding!AG54=0,"NA",IF(AND(Parameters!$C$39=1,ISNUMBER(Calc!B54),Calc!B54&lt;=Parameters!$C$40),0,MIN(Coding!AG54,Parameters!$C$37)/Parameters!$C$37)))),Parameters!$E$7,0))*100,"NA")</f>
        <v>94</v>
      </c>
      <c r="F54" s="29" t="n">
        <f aca="false">IF(Scoring!R54="Yes",AVERAGE(Scoring!D54:J54)*100,"NA")</f>
        <v>92.8571428571429</v>
      </c>
      <c r="G54" s="29" t="n">
        <f aca="false">IF(AND((Scoring!N54-IF(ISNUMBER(Scoring!F54),Parameters!$E$8,0)+IF(ISNUMBER(IF(Verification!E54&lt;&gt;"",Scoring!F54,Calc!V54)),Parameters!$E$8,0))&gt;=Parameters!$C$56,Scoring!Q54&gt;=Parameters!$C$59),(Scoring!O54-IF(ISNUMBER(Scoring!F54),Parameters!$E$8*Scoring!F54,0)+IF(ISNUMBER(IF(Verification!E54&lt;&gt;"",Scoring!F54,Calc!V54)),Parameters!$E$8*IF(Verification!E54&lt;&gt;"",Scoring!F54,Calc!V54),0))/(Scoring!N54-IF(ISNUMBER(Scoring!F54),Parameters!$E$8,0)+IF(ISNUMBER(IF(Verification!E54&lt;&gt;"",Scoring!F54,Calc!V54)),Parameters!$E$8,0))*100,"NA")</f>
        <v>94</v>
      </c>
      <c r="H54" s="29" t="n">
        <f aca="false">IF(ISNUMBER(Scoring!S54),(Scoring!N54/Parameters!$E$13)*Scoring!S54+(1-Scoring!N54/Parameters!$E$13)*Summary!$B$9,"NA")</f>
        <v>94</v>
      </c>
      <c r="I54" s="29" t="n">
        <f aca="false">IF(AND(ISNUMBER(Scoring!S54),COUNT(Scoring!E54,Scoring!F54)&gt;0),Scoring!S54,"NA")</f>
        <v>94</v>
      </c>
      <c r="J54" s="29" t="n">
        <f aca="false">IF(AND(ISNUMBER($B54),ISNUMBER(C54)),ABS(C54-$B54),"")</f>
        <v>0</v>
      </c>
      <c r="K54" s="29" t="n">
        <f aca="false">IF(AND(ISNUMBER($B54),ISNUMBER(D54)),ABS(D54-$B54),"")</f>
        <v>0</v>
      </c>
      <c r="L54" s="29" t="n">
        <f aca="false">IF(AND(ISNUMBER($B54),ISNUMBER(E54)),ABS(E54-$B54),"")</f>
        <v>0</v>
      </c>
      <c r="M54" s="29" t="n">
        <f aca="false">IF(AND(ISNUMBER($B54),ISNUMBER(F54)),ABS(F54-$B54),"")</f>
        <v>1.14285714285715</v>
      </c>
      <c r="N54" s="29" t="n">
        <f aca="false">IF(AND(ISNUMBER($B54),ISNUMBER(G54)),ABS(G54-$B54),"")</f>
        <v>0</v>
      </c>
      <c r="O54" s="29" t="n">
        <f aca="false">IF(AND(ISNUMBER($B54),ISNUMBER(H54)),ABS(H54-$B54),"")</f>
        <v>0</v>
      </c>
      <c r="P54" s="29" t="n">
        <f aca="false">IF(AND(ISNUMBER($B54),ISNUMBER(I54)),ABS(I54-$B54),"")</f>
        <v>0</v>
      </c>
    </row>
    <row r="55" customFormat="false" ht="15" hidden="false" customHeight="true" outlineLevel="0" collapsed="false">
      <c r="A55" s="15" t="str">
        <f aca="false">Data!$A55</f>
        <v>IIIF</v>
      </c>
      <c r="B55" s="29" t="n">
        <f aca="false">Scoring!S55</f>
        <v>82.75</v>
      </c>
      <c r="C55" s="29" t="n">
        <f aca="false">IF(AND(Scoring!N55&gt;=Parameters!$C$57,Scoring!Q55&gt;=Parameters!$C$59),Scoring!O55/Scoring!N55*100,"NA")</f>
        <v>82.75</v>
      </c>
      <c r="D55" s="29" t="n">
        <f aca="false">IF(AND(Scoring!N55&gt;=Parameters!$C$58,Scoring!Q55&gt;=Parameters!$C$59),Scoring!O55/Scoring!N55*100,"NA")</f>
        <v>82.75</v>
      </c>
      <c r="E55" s="29" t="n">
        <f aca="false">IF(AND((Scoring!N55-IF(ISNUMBER(Scoring!E55),Parameters!$E$7,0)+IF(ISNUMBER(IF(Verification!D55&lt;&gt;"",Verification!D55,IF(Coding!AG55=0,"NA",IF(AND(Parameters!$C$39=1,ISNUMBER(Calc!B55),Calc!B55&lt;=Parameters!$C$40),0,MIN(Coding!AG55,Parameters!$C$37)/Parameters!$C$37)))),Parameters!$E$7,0))&gt;=Parameters!$C$56,Scoring!Q55&gt;=Parameters!$C$59),(Scoring!O55-IF(ISNUMBER(Scoring!E55),Parameters!$E$7*Scoring!E55,0)+IF(ISNUMBER(IF(Verification!D55&lt;&gt;"",Verification!D55,IF(Coding!AG55=0,"NA",IF(AND(Parameters!$C$39=1,ISNUMBER(Calc!B55),Calc!B55&lt;=Parameters!$C$40),0,MIN(Coding!AG55,Parameters!$C$37)/Parameters!$C$37)))),Parameters!$E$7*IF(Verification!D55&lt;&gt;"",Verification!D55,IF(Coding!AG55=0,"NA",IF(AND(Parameters!$C$39=1,ISNUMBER(Calc!B55),Calc!B55&lt;=Parameters!$C$40),0,MIN(Coding!AG55,Parameters!$C$37)/Parameters!$C$37))),0))/(Scoring!N55-IF(ISNUMBER(Scoring!E55),Parameters!$E$7,0)+IF(ISNUMBER(IF(Verification!D55&lt;&gt;"",Verification!D55,IF(Coding!AG55=0,"NA",IF(AND(Parameters!$C$39=1,ISNUMBER(Calc!B55),Calc!B55&lt;=Parameters!$C$40),0,MIN(Coding!AG55,Parameters!$C$37)/Parameters!$C$37)))),Parameters!$E$7,0))*100,"NA")</f>
        <v>88.4615384615385</v>
      </c>
      <c r="F55" s="29" t="n">
        <f aca="false">IF(Scoring!R55="Yes",AVERAGE(Scoring!D55:J55)*100,"NA")</f>
        <v>85.1190476190476</v>
      </c>
      <c r="G55" s="29" t="n">
        <f aca="false">IF(AND((Scoring!N55-IF(ISNUMBER(Scoring!F55),Parameters!$E$8,0)+IF(ISNUMBER(IF(Verification!E55&lt;&gt;"",Scoring!F55,Calc!V55)),Parameters!$E$8,0))&gt;=Parameters!$C$56,Scoring!Q55&gt;=Parameters!$C$59),(Scoring!O55-IF(ISNUMBER(Scoring!F55),Parameters!$E$8*Scoring!F55,0)+IF(ISNUMBER(IF(Verification!E55&lt;&gt;"",Scoring!F55,Calc!V55)),Parameters!$E$8*IF(Verification!E55&lt;&gt;"",Scoring!F55,Calc!V55),0))/(Scoring!N55-IF(ISNUMBER(Scoring!F55),Parameters!$E$8,0)+IF(ISNUMBER(IF(Verification!E55&lt;&gt;"",Scoring!F55,Calc!V55)),Parameters!$E$8,0))*100,"NA")</f>
        <v>79.75</v>
      </c>
      <c r="H55" s="29" t="n">
        <f aca="false">IF(ISNUMBER(Scoring!S55),(Scoring!N55/Parameters!$E$13)*Scoring!S55+(1-Scoring!N55/Parameters!$E$13)*Summary!$B$9,"NA")</f>
        <v>82.75</v>
      </c>
      <c r="I55" s="29" t="n">
        <f aca="false">IF(AND(ISNUMBER(Scoring!S55),COUNT(Scoring!E55,Scoring!F55)&gt;0),Scoring!S55,"NA")</f>
        <v>82.75</v>
      </c>
      <c r="J55" s="29" t="n">
        <f aca="false">IF(AND(ISNUMBER($B55),ISNUMBER(C55)),ABS(C55-$B55),"")</f>
        <v>0</v>
      </c>
      <c r="K55" s="29" t="n">
        <f aca="false">IF(AND(ISNUMBER($B55),ISNUMBER(D55)),ABS(D55-$B55),"")</f>
        <v>0</v>
      </c>
      <c r="L55" s="29" t="n">
        <f aca="false">IF(AND(ISNUMBER($B55),ISNUMBER(E55)),ABS(E55-$B55),"")</f>
        <v>5.71153846153847</v>
      </c>
      <c r="M55" s="29" t="n">
        <f aca="false">IF(AND(ISNUMBER($B55),ISNUMBER(F55)),ABS(F55-$B55),"")</f>
        <v>2.36904761904761</v>
      </c>
      <c r="N55" s="29" t="n">
        <f aca="false">IF(AND(ISNUMBER($B55),ISNUMBER(G55)),ABS(G55-$B55),"")</f>
        <v>3</v>
      </c>
      <c r="O55" s="29" t="n">
        <f aca="false">IF(AND(ISNUMBER($B55),ISNUMBER(H55)),ABS(H55-$B55),"")</f>
        <v>0</v>
      </c>
      <c r="P55" s="29" t="n">
        <f aca="false">IF(AND(ISNUMBER($B55),ISNUMBER(I55)),ABS(I55-$B55),"")</f>
        <v>0</v>
      </c>
    </row>
    <row r="56" customFormat="false" ht="15" hidden="false" customHeight="true" outlineLevel="0" collapsed="false">
      <c r="A56" s="15" t="str">
        <f aca="false">Data!$A56</f>
        <v>ImpactU</v>
      </c>
      <c r="B56" s="29" t="str">
        <f aca="false">Scoring!S56</f>
        <v>NA</v>
      </c>
      <c r="C56" s="29" t="str">
        <f aca="false">IF(AND(Scoring!N56&gt;=Parameters!$C$57,Scoring!Q56&gt;=Parameters!$C$59),Scoring!O56/Scoring!N56*100,"NA")</f>
        <v>NA</v>
      </c>
      <c r="D56" s="29" t="str">
        <f aca="false">IF(AND(Scoring!N56&gt;=Parameters!$C$58,Scoring!Q56&gt;=Parameters!$C$59),Scoring!O56/Scoring!N56*100,"NA")</f>
        <v>NA</v>
      </c>
      <c r="E56" s="29" t="str">
        <f aca="false">IF(AND((Scoring!N56-IF(ISNUMBER(Scoring!E56),Parameters!$E$7,0)+IF(ISNUMBER(IF(Verification!D56&lt;&gt;"",Verification!D56,IF(Coding!AG56=0,"NA",IF(AND(Parameters!$C$39=1,ISNUMBER(Calc!B56),Calc!B56&lt;=Parameters!$C$40),0,MIN(Coding!AG56,Parameters!$C$37)/Parameters!$C$37)))),Parameters!$E$7,0))&gt;=Parameters!$C$56,Scoring!Q56&gt;=Parameters!$C$59),(Scoring!O56-IF(ISNUMBER(Scoring!E56),Parameters!$E$7*Scoring!E56,0)+IF(ISNUMBER(IF(Verification!D56&lt;&gt;"",Verification!D56,IF(Coding!AG56=0,"NA",IF(AND(Parameters!$C$39=1,ISNUMBER(Calc!B56),Calc!B56&lt;=Parameters!$C$40),0,MIN(Coding!AG56,Parameters!$C$37)/Parameters!$C$37)))),Parameters!$E$7*IF(Verification!D56&lt;&gt;"",Verification!D56,IF(Coding!AG56=0,"NA",IF(AND(Parameters!$C$39=1,ISNUMBER(Calc!B56),Calc!B56&lt;=Parameters!$C$40),0,MIN(Coding!AG56,Parameters!$C$37)/Parameters!$C$37))),0))/(Scoring!N56-IF(ISNUMBER(Scoring!E56),Parameters!$E$7,0)+IF(ISNUMBER(IF(Verification!D56&lt;&gt;"",Verification!D56,IF(Coding!AG56=0,"NA",IF(AND(Parameters!$C$39=1,ISNUMBER(Calc!B56),Calc!B56&lt;=Parameters!$C$40),0,MIN(Coding!AG56,Parameters!$C$37)/Parameters!$C$37)))),Parameters!$E$7,0))*100,"NA")</f>
        <v>NA</v>
      </c>
      <c r="F56" s="29" t="str">
        <f aca="false">IF(Scoring!R56="Yes",AVERAGE(Scoring!D56:J56)*100,"NA")</f>
        <v>NA</v>
      </c>
      <c r="G56" s="29" t="str">
        <f aca="false">IF(AND((Scoring!N56-IF(ISNUMBER(Scoring!F56),Parameters!$E$8,0)+IF(ISNUMBER(IF(Verification!E56&lt;&gt;"",Scoring!F56,Calc!V56)),Parameters!$E$8,0))&gt;=Parameters!$C$56,Scoring!Q56&gt;=Parameters!$C$59),(Scoring!O56-IF(ISNUMBER(Scoring!F56),Parameters!$E$8*Scoring!F56,0)+IF(ISNUMBER(IF(Verification!E56&lt;&gt;"",Scoring!F56,Calc!V56)),Parameters!$E$8*IF(Verification!E56&lt;&gt;"",Scoring!F56,Calc!V56),0))/(Scoring!N56-IF(ISNUMBER(Scoring!F56),Parameters!$E$8,0)+IF(ISNUMBER(IF(Verification!E56&lt;&gt;"",Scoring!F56,Calc!V56)),Parameters!$E$8,0))*100,"NA")</f>
        <v>NA</v>
      </c>
      <c r="H56" s="29" t="str">
        <f aca="false">IF(ISNUMBER(Scoring!S56),(Scoring!N56/Parameters!$E$13)*Scoring!S56+(1-Scoring!N56/Parameters!$E$13)*Summary!$B$9,"NA")</f>
        <v>NA</v>
      </c>
      <c r="I56" s="29" t="str">
        <f aca="false">IF(AND(ISNUMBER(Scoring!S56),COUNT(Scoring!E56,Scoring!F56)&gt;0),Scoring!S56,"NA")</f>
        <v>NA</v>
      </c>
      <c r="J56" s="29" t="str">
        <f aca="false">IF(AND(ISNUMBER($B56),ISNUMBER(C56)),ABS(C56-$B56),"")</f>
        <v/>
      </c>
      <c r="K56" s="29" t="str">
        <f aca="false">IF(AND(ISNUMBER($B56),ISNUMBER(D56)),ABS(D56-$B56),"")</f>
        <v/>
      </c>
      <c r="L56" s="29" t="str">
        <f aca="false">IF(AND(ISNUMBER($B56),ISNUMBER(E56)),ABS(E56-$B56),"")</f>
        <v/>
      </c>
      <c r="M56" s="29" t="str">
        <f aca="false">IF(AND(ISNUMBER($B56),ISNUMBER(F56)),ABS(F56-$B56),"")</f>
        <v/>
      </c>
      <c r="N56" s="29" t="str">
        <f aca="false">IF(AND(ISNUMBER($B56),ISNUMBER(G56)),ABS(G56-$B56),"")</f>
        <v/>
      </c>
      <c r="O56" s="29" t="str">
        <f aca="false">IF(AND(ISNUMBER($B56),ISNUMBER(H56)),ABS(H56-$B56),"")</f>
        <v/>
      </c>
      <c r="P56" s="29" t="str">
        <f aca="false">IF(AND(ISNUMBER($B56),ISNUMBER(I56)),ABS(I56-$B56),"")</f>
        <v/>
      </c>
    </row>
    <row r="57" customFormat="false" ht="15" hidden="false" customHeight="true" outlineLevel="0" collapsed="false">
      <c r="A57" s="15" t="str">
        <f aca="false">Data!$A57</f>
        <v>International Generic Sample Number (IGSN)</v>
      </c>
      <c r="B57" s="29" t="str">
        <f aca="false">Scoring!S57</f>
        <v>NA</v>
      </c>
      <c r="C57" s="29" t="str">
        <f aca="false">IF(AND(Scoring!N57&gt;=Parameters!$C$57,Scoring!Q57&gt;=Parameters!$C$59),Scoring!O57/Scoring!N57*100,"NA")</f>
        <v>NA</v>
      </c>
      <c r="D57" s="29" t="str">
        <f aca="false">IF(AND(Scoring!N57&gt;=Parameters!$C$58,Scoring!Q57&gt;=Parameters!$C$59),Scoring!O57/Scoring!N57*100,"NA")</f>
        <v>NA</v>
      </c>
      <c r="E57" s="29" t="str">
        <f aca="false">IF(AND((Scoring!N57-IF(ISNUMBER(Scoring!E57),Parameters!$E$7,0)+IF(ISNUMBER(IF(Verification!D57&lt;&gt;"",Verification!D57,IF(Coding!AG57=0,"NA",IF(AND(Parameters!$C$39=1,ISNUMBER(Calc!B57),Calc!B57&lt;=Parameters!$C$40),0,MIN(Coding!AG57,Parameters!$C$37)/Parameters!$C$37)))),Parameters!$E$7,0))&gt;=Parameters!$C$56,Scoring!Q57&gt;=Parameters!$C$59),(Scoring!O57-IF(ISNUMBER(Scoring!E57),Parameters!$E$7*Scoring!E57,0)+IF(ISNUMBER(IF(Verification!D57&lt;&gt;"",Verification!D57,IF(Coding!AG57=0,"NA",IF(AND(Parameters!$C$39=1,ISNUMBER(Calc!B57),Calc!B57&lt;=Parameters!$C$40),0,MIN(Coding!AG57,Parameters!$C$37)/Parameters!$C$37)))),Parameters!$E$7*IF(Verification!D57&lt;&gt;"",Verification!D57,IF(Coding!AG57=0,"NA",IF(AND(Parameters!$C$39=1,ISNUMBER(Calc!B57),Calc!B57&lt;=Parameters!$C$40),0,MIN(Coding!AG57,Parameters!$C$37)/Parameters!$C$37))),0))/(Scoring!N57-IF(ISNUMBER(Scoring!E57),Parameters!$E$7,0)+IF(ISNUMBER(IF(Verification!D57&lt;&gt;"",Verification!D57,IF(Coding!AG57=0,"NA",IF(AND(Parameters!$C$39=1,ISNUMBER(Calc!B57),Calc!B57&lt;=Parameters!$C$40),0,MIN(Coding!AG57,Parameters!$C$37)/Parameters!$C$37)))),Parameters!$E$7,0))*100,"NA")</f>
        <v>NA</v>
      </c>
      <c r="F57" s="29" t="str">
        <f aca="false">IF(Scoring!R57="Yes",AVERAGE(Scoring!D57:J57)*100,"NA")</f>
        <v>NA</v>
      </c>
      <c r="G57" s="29" t="str">
        <f aca="false">IF(AND((Scoring!N57-IF(ISNUMBER(Scoring!F57),Parameters!$E$8,0)+IF(ISNUMBER(IF(Verification!E57&lt;&gt;"",Scoring!F57,Calc!V57)),Parameters!$E$8,0))&gt;=Parameters!$C$56,Scoring!Q57&gt;=Parameters!$C$59),(Scoring!O57-IF(ISNUMBER(Scoring!F57),Parameters!$E$8*Scoring!F57,0)+IF(ISNUMBER(IF(Verification!E57&lt;&gt;"",Scoring!F57,Calc!V57)),Parameters!$E$8*IF(Verification!E57&lt;&gt;"",Scoring!F57,Calc!V57),0))/(Scoring!N57-IF(ISNUMBER(Scoring!F57),Parameters!$E$8,0)+IF(ISNUMBER(IF(Verification!E57&lt;&gt;"",Scoring!F57,Calc!V57)),Parameters!$E$8,0))*100,"NA")</f>
        <v>NA</v>
      </c>
      <c r="H57" s="29" t="str">
        <f aca="false">IF(ISNUMBER(Scoring!S57),(Scoring!N57/Parameters!$E$13)*Scoring!S57+(1-Scoring!N57/Parameters!$E$13)*Summary!$B$9,"NA")</f>
        <v>NA</v>
      </c>
      <c r="I57" s="29" t="str">
        <f aca="false">IF(AND(ISNUMBER(Scoring!S57),COUNT(Scoring!E57,Scoring!F57)&gt;0),Scoring!S57,"NA")</f>
        <v>NA</v>
      </c>
      <c r="J57" s="29" t="str">
        <f aca="false">IF(AND(ISNUMBER($B57),ISNUMBER(C57)),ABS(C57-$B57),"")</f>
        <v/>
      </c>
      <c r="K57" s="29" t="str">
        <f aca="false">IF(AND(ISNUMBER($B57),ISNUMBER(D57)),ABS(D57-$B57),"")</f>
        <v/>
      </c>
      <c r="L57" s="29" t="str">
        <f aca="false">IF(AND(ISNUMBER($B57),ISNUMBER(E57)),ABS(E57-$B57),"")</f>
        <v/>
      </c>
      <c r="M57" s="29" t="str">
        <f aca="false">IF(AND(ISNUMBER($B57),ISNUMBER(F57)),ABS(F57-$B57),"")</f>
        <v/>
      </c>
      <c r="N57" s="29" t="str">
        <f aca="false">IF(AND(ISNUMBER($B57),ISNUMBER(G57)),ABS(G57-$B57),"")</f>
        <v/>
      </c>
      <c r="O57" s="29" t="str">
        <f aca="false">IF(AND(ISNUMBER($B57),ISNUMBER(H57)),ABS(H57-$B57),"")</f>
        <v/>
      </c>
      <c r="P57" s="29" t="str">
        <f aca="false">IF(AND(ISNUMBER($B57),ISNUMBER(I57)),ABS(I57-$B57),"")</f>
        <v/>
      </c>
    </row>
    <row r="58" customFormat="false" ht="15" hidden="false" customHeight="true" outlineLevel="0" collapsed="false">
      <c r="A58" s="15" t="str">
        <f aca="false">Data!$A58</f>
        <v>InvenioRDM</v>
      </c>
      <c r="B58" s="29" t="n">
        <f aca="false">Scoring!S58</f>
        <v>71.75</v>
      </c>
      <c r="C58" s="29" t="n">
        <f aca="false">IF(AND(Scoring!N58&gt;=Parameters!$C$57,Scoring!Q58&gt;=Parameters!$C$59),Scoring!O58/Scoring!N58*100,"NA")</f>
        <v>71.75</v>
      </c>
      <c r="D58" s="29" t="n">
        <f aca="false">IF(AND(Scoring!N58&gt;=Parameters!$C$58,Scoring!Q58&gt;=Parameters!$C$59),Scoring!O58/Scoring!N58*100,"NA")</f>
        <v>71.75</v>
      </c>
      <c r="E58" s="29" t="n">
        <f aca="false">IF(AND((Scoring!N58-IF(ISNUMBER(Scoring!E58),Parameters!$E$7,0)+IF(ISNUMBER(IF(Verification!D58&lt;&gt;"",Verification!D58,IF(Coding!AG58=0,"NA",IF(AND(Parameters!$C$39=1,ISNUMBER(Calc!B58),Calc!B58&lt;=Parameters!$C$40),0,MIN(Coding!AG58,Parameters!$C$37)/Parameters!$C$37)))),Parameters!$E$7,0))&gt;=Parameters!$C$56,Scoring!Q58&gt;=Parameters!$C$59),(Scoring!O58-IF(ISNUMBER(Scoring!E58),Parameters!$E$7*Scoring!E58,0)+IF(ISNUMBER(IF(Verification!D58&lt;&gt;"",Verification!D58,IF(Coding!AG58=0,"NA",IF(AND(Parameters!$C$39=1,ISNUMBER(Calc!B58),Calc!B58&lt;=Parameters!$C$40),0,MIN(Coding!AG58,Parameters!$C$37)/Parameters!$C$37)))),Parameters!$E$7*IF(Verification!D58&lt;&gt;"",Verification!D58,IF(Coding!AG58=0,"NA",IF(AND(Parameters!$C$39=1,ISNUMBER(Calc!B58),Calc!B58&lt;=Parameters!$C$40),0,MIN(Coding!AG58,Parameters!$C$37)/Parameters!$C$37))),0))/(Scoring!N58-IF(ISNUMBER(Scoring!E58),Parameters!$E$7,0)+IF(ISNUMBER(IF(Verification!D58&lt;&gt;"",Verification!D58,IF(Coding!AG58=0,"NA",IF(AND(Parameters!$C$39=1,ISNUMBER(Calc!B58),Calc!B58&lt;=Parameters!$C$40),0,MIN(Coding!AG58,Parameters!$C$37)/Parameters!$C$37)))),Parameters!$E$7,0))*100,"NA")</f>
        <v>88.4615384615385</v>
      </c>
      <c r="F58" s="29" t="n">
        <f aca="false">IF(Scoring!R58="Yes",AVERAGE(Scoring!D58:J58)*100,"NA")</f>
        <v>77.9761904761905</v>
      </c>
      <c r="G58" s="29" t="n">
        <f aca="false">IF(AND((Scoring!N58-IF(ISNUMBER(Scoring!F58),Parameters!$E$8,0)+IF(ISNUMBER(IF(Verification!E58&lt;&gt;"",Scoring!F58,Calc!V58)),Parameters!$E$8,0))&gt;=Parameters!$C$56,Scoring!Q58&gt;=Parameters!$C$59),(Scoring!O58-IF(ISNUMBER(Scoring!F58),Parameters!$E$8*Scoring!F58,0)+IF(ISNUMBER(IF(Verification!E58&lt;&gt;"",Scoring!F58,Calc!V58)),Parameters!$E$8*IF(Verification!E58&lt;&gt;"",Scoring!F58,Calc!V58),0))/(Scoring!N58-IF(ISNUMBER(Scoring!F58),Parameters!$E$8,0)+IF(ISNUMBER(IF(Verification!E58&lt;&gt;"",Scoring!F58,Calc!V58)),Parameters!$E$8,0))*100,"NA")</f>
        <v>68.75</v>
      </c>
      <c r="H58" s="29" t="n">
        <f aca="false">IF(ISNUMBER(Scoring!S58),(Scoring!N58/Parameters!$E$13)*Scoring!S58+(1-Scoring!N58/Parameters!$E$13)*Summary!$B$9,"NA")</f>
        <v>71.75</v>
      </c>
      <c r="I58" s="29" t="n">
        <f aca="false">IF(AND(ISNUMBER(Scoring!S58),COUNT(Scoring!E58,Scoring!F58)&gt;0),Scoring!S58,"NA")</f>
        <v>71.75</v>
      </c>
      <c r="J58" s="29" t="n">
        <f aca="false">IF(AND(ISNUMBER($B58),ISNUMBER(C58)),ABS(C58-$B58),"")</f>
        <v>0</v>
      </c>
      <c r="K58" s="29" t="n">
        <f aca="false">IF(AND(ISNUMBER($B58),ISNUMBER(D58)),ABS(D58-$B58),"")</f>
        <v>0</v>
      </c>
      <c r="L58" s="29" t="n">
        <f aca="false">IF(AND(ISNUMBER($B58),ISNUMBER(E58)),ABS(E58-$B58),"")</f>
        <v>16.7115384615385</v>
      </c>
      <c r="M58" s="29" t="n">
        <f aca="false">IF(AND(ISNUMBER($B58),ISNUMBER(F58)),ABS(F58-$B58),"")</f>
        <v>6.22619047619048</v>
      </c>
      <c r="N58" s="29" t="n">
        <f aca="false">IF(AND(ISNUMBER($B58),ISNUMBER(G58)),ABS(G58-$B58),"")</f>
        <v>3</v>
      </c>
      <c r="O58" s="29" t="n">
        <f aca="false">IF(AND(ISNUMBER($B58),ISNUMBER(H58)),ABS(H58-$B58),"")</f>
        <v>0</v>
      </c>
      <c r="P58" s="29" t="n">
        <f aca="false">IF(AND(ISNUMBER($B58),ISNUMBER(I58)),ABS(I58-$B58),"")</f>
        <v>0</v>
      </c>
    </row>
    <row r="59" customFormat="false" ht="15" hidden="false" customHeight="true" outlineLevel="0" collapsed="false">
      <c r="A59" s="15" t="str">
        <f aca="false">Data!$A59</f>
        <v>iRODS</v>
      </c>
      <c r="B59" s="29" t="n">
        <f aca="false">Scoring!S59</f>
        <v>90</v>
      </c>
      <c r="C59" s="29" t="n">
        <f aca="false">IF(AND(Scoring!N59&gt;=Parameters!$C$57,Scoring!Q59&gt;=Parameters!$C$59),Scoring!O59/Scoring!N59*100,"NA")</f>
        <v>90</v>
      </c>
      <c r="D59" s="29" t="n">
        <f aca="false">IF(AND(Scoring!N59&gt;=Parameters!$C$58,Scoring!Q59&gt;=Parameters!$C$59),Scoring!O59/Scoring!N59*100,"NA")</f>
        <v>90</v>
      </c>
      <c r="E59" s="29" t="n">
        <f aca="false">IF(AND((Scoring!N59-IF(ISNUMBER(Scoring!E59),Parameters!$E$7,0)+IF(ISNUMBER(IF(Verification!D59&lt;&gt;"",Verification!D59,IF(Coding!AG59=0,"NA",IF(AND(Parameters!$C$39=1,ISNUMBER(Calc!B59),Calc!B59&lt;=Parameters!$C$40),0,MIN(Coding!AG59,Parameters!$C$37)/Parameters!$C$37)))),Parameters!$E$7,0))&gt;=Parameters!$C$56,Scoring!Q59&gt;=Parameters!$C$59),(Scoring!O59-IF(ISNUMBER(Scoring!E59),Parameters!$E$7*Scoring!E59,0)+IF(ISNUMBER(IF(Verification!D59&lt;&gt;"",Verification!D59,IF(Coding!AG59=0,"NA",IF(AND(Parameters!$C$39=1,ISNUMBER(Calc!B59),Calc!B59&lt;=Parameters!$C$40),0,MIN(Coding!AG59,Parameters!$C$37)/Parameters!$C$37)))),Parameters!$E$7*IF(Verification!D59&lt;&gt;"",Verification!D59,IF(Coding!AG59=0,"NA",IF(AND(Parameters!$C$39=1,ISNUMBER(Calc!B59),Calc!B59&lt;=Parameters!$C$40),0,MIN(Coding!AG59,Parameters!$C$37)/Parameters!$C$37))),0))/(Scoring!N59-IF(ISNUMBER(Scoring!E59),Parameters!$E$7,0)+IF(ISNUMBER(IF(Verification!D59&lt;&gt;"",Verification!D59,IF(Coding!AG59=0,"NA",IF(AND(Parameters!$C$39=1,ISNUMBER(Calc!B59),Calc!B59&lt;=Parameters!$C$40),0,MIN(Coding!AG59,Parameters!$C$37)/Parameters!$C$37)))),Parameters!$E$7,0))*100,"NA")</f>
        <v>90</v>
      </c>
      <c r="F59" s="29" t="n">
        <f aca="false">IF(Scoring!R59="Yes",AVERAGE(Scoring!D59:J59)*100,"NA")</f>
        <v>92.8571428571429</v>
      </c>
      <c r="G59" s="29" t="n">
        <f aca="false">IF(AND((Scoring!N59-IF(ISNUMBER(Scoring!F59),Parameters!$E$8,0)+IF(ISNUMBER(IF(Verification!E59&lt;&gt;"",Scoring!F59,Calc!V59)),Parameters!$E$8,0))&gt;=Parameters!$C$56,Scoring!Q59&gt;=Parameters!$C$59),(Scoring!O59-IF(ISNUMBER(Scoring!F59),Parameters!$E$8*Scoring!F59,0)+IF(ISNUMBER(IF(Verification!E59&lt;&gt;"",Scoring!F59,Calc!V59)),Parameters!$E$8*IF(Verification!E59&lt;&gt;"",Scoring!F59,Calc!V59),0))/(Scoring!N59-IF(ISNUMBER(Scoring!F59),Parameters!$E$8,0)+IF(ISNUMBER(IF(Verification!E59&lt;&gt;"",Scoring!F59,Calc!V59)),Parameters!$E$8,0))*100,"NA")</f>
        <v>90</v>
      </c>
      <c r="H59" s="29" t="n">
        <f aca="false">IF(ISNUMBER(Scoring!S59),(Scoring!N59/Parameters!$E$13)*Scoring!S59+(1-Scoring!N59/Parameters!$E$13)*Summary!$B$9,"NA")</f>
        <v>90</v>
      </c>
      <c r="I59" s="29" t="n">
        <f aca="false">IF(AND(ISNUMBER(Scoring!S59),COUNT(Scoring!E59,Scoring!F59)&gt;0),Scoring!S59,"NA")</f>
        <v>90</v>
      </c>
      <c r="J59" s="29" t="n">
        <f aca="false">IF(AND(ISNUMBER($B59),ISNUMBER(C59)),ABS(C59-$B59),"")</f>
        <v>0</v>
      </c>
      <c r="K59" s="29" t="n">
        <f aca="false">IF(AND(ISNUMBER($B59),ISNUMBER(D59)),ABS(D59-$B59),"")</f>
        <v>0</v>
      </c>
      <c r="L59" s="29" t="n">
        <f aca="false">IF(AND(ISNUMBER($B59),ISNUMBER(E59)),ABS(E59-$B59),"")</f>
        <v>0</v>
      </c>
      <c r="M59" s="29" t="n">
        <f aca="false">IF(AND(ISNUMBER($B59),ISNUMBER(F59)),ABS(F59-$B59),"")</f>
        <v>2.85714285714286</v>
      </c>
      <c r="N59" s="29" t="n">
        <f aca="false">IF(AND(ISNUMBER($B59),ISNUMBER(G59)),ABS(G59-$B59),"")</f>
        <v>0</v>
      </c>
      <c r="O59" s="29" t="n">
        <f aca="false">IF(AND(ISNUMBER($B59),ISNUMBER(H59)),ABS(H59-$B59),"")</f>
        <v>0</v>
      </c>
      <c r="P59" s="29" t="n">
        <f aca="false">IF(AND(ISNUMBER($B59),ISNUMBER(I59)),ABS(I59-$B59),"")</f>
        <v>0</v>
      </c>
    </row>
    <row r="60" customFormat="false" ht="15" hidden="false" customHeight="true" outlineLevel="0" collapsed="false">
      <c r="A60" s="15" t="str">
        <f aca="false">Data!$A60</f>
        <v>Islandora</v>
      </c>
      <c r="B60" s="29" t="n">
        <f aca="false">Scoring!S60</f>
        <v>92.5</v>
      </c>
      <c r="C60" s="29" t="n">
        <f aca="false">IF(AND(Scoring!N60&gt;=Parameters!$C$57,Scoring!Q60&gt;=Parameters!$C$59),Scoring!O60/Scoring!N60*100,"NA")</f>
        <v>92.5</v>
      </c>
      <c r="D60" s="29" t="n">
        <f aca="false">IF(AND(Scoring!N60&gt;=Parameters!$C$58,Scoring!Q60&gt;=Parameters!$C$59),Scoring!O60/Scoring!N60*100,"NA")</f>
        <v>92.5</v>
      </c>
      <c r="E60" s="29" t="n">
        <f aca="false">IF(AND((Scoring!N60-IF(ISNUMBER(Scoring!E60),Parameters!$E$7,0)+IF(ISNUMBER(IF(Verification!D60&lt;&gt;"",Verification!D60,IF(Coding!AG60=0,"NA",IF(AND(Parameters!$C$39=1,ISNUMBER(Calc!B60),Calc!B60&lt;=Parameters!$C$40),0,MIN(Coding!AG60,Parameters!$C$37)/Parameters!$C$37)))),Parameters!$E$7,0))&gt;=Parameters!$C$56,Scoring!Q60&gt;=Parameters!$C$59),(Scoring!O60-IF(ISNUMBER(Scoring!E60),Parameters!$E$7*Scoring!E60,0)+IF(ISNUMBER(IF(Verification!D60&lt;&gt;"",Verification!D60,IF(Coding!AG60=0,"NA",IF(AND(Parameters!$C$39=1,ISNUMBER(Calc!B60),Calc!B60&lt;=Parameters!$C$40),0,MIN(Coding!AG60,Parameters!$C$37)/Parameters!$C$37)))),Parameters!$E$7*IF(Verification!D60&lt;&gt;"",Verification!D60,IF(Coding!AG60=0,"NA",IF(AND(Parameters!$C$39=1,ISNUMBER(Calc!B60),Calc!B60&lt;=Parameters!$C$40),0,MIN(Coding!AG60,Parameters!$C$37)/Parameters!$C$37))),0))/(Scoring!N60-IF(ISNUMBER(Scoring!E60),Parameters!$E$7,0)+IF(ISNUMBER(IF(Verification!D60&lt;&gt;"",Verification!D60,IF(Coding!AG60=0,"NA",IF(AND(Parameters!$C$39=1,ISNUMBER(Calc!B60),Calc!B60&lt;=Parameters!$C$40),0,MIN(Coding!AG60,Parameters!$C$37)/Parameters!$C$37)))),Parameters!$E$7,0))*100,"NA")</f>
        <v>92.5</v>
      </c>
      <c r="F60" s="29" t="n">
        <f aca="false">IF(Scoring!R60="Yes",AVERAGE(Scoring!D60:J60)*100,"NA")</f>
        <v>91.6666666666667</v>
      </c>
      <c r="G60" s="29" t="n">
        <f aca="false">IF(AND((Scoring!N60-IF(ISNUMBER(Scoring!F60),Parameters!$E$8,0)+IF(ISNUMBER(IF(Verification!E60&lt;&gt;"",Scoring!F60,Calc!V60)),Parameters!$E$8,0))&gt;=Parameters!$C$56,Scoring!Q60&gt;=Parameters!$C$59),(Scoring!O60-IF(ISNUMBER(Scoring!F60),Parameters!$E$8*Scoring!F60,0)+IF(ISNUMBER(IF(Verification!E60&lt;&gt;"",Scoring!F60,Calc!V60)),Parameters!$E$8*IF(Verification!E60&lt;&gt;"",Scoring!F60,Calc!V60),0))/(Scoring!N60-IF(ISNUMBER(Scoring!F60),Parameters!$E$8,0)+IF(ISNUMBER(IF(Verification!E60&lt;&gt;"",Scoring!F60,Calc!V60)),Parameters!$E$8,0))*100,"NA")</f>
        <v>92.5</v>
      </c>
      <c r="H60" s="29" t="n">
        <f aca="false">IF(ISNUMBER(Scoring!S60),(Scoring!N60/Parameters!$E$13)*Scoring!S60+(1-Scoring!N60/Parameters!$E$13)*Summary!$B$9,"NA")</f>
        <v>89.6451612903226</v>
      </c>
      <c r="I60" s="29" t="n">
        <f aca="false">IF(AND(ISNUMBER(Scoring!S60),COUNT(Scoring!E60,Scoring!F60)&gt;0),Scoring!S60,"NA")</f>
        <v>92.5</v>
      </c>
      <c r="J60" s="29" t="n">
        <f aca="false">IF(AND(ISNUMBER($B60),ISNUMBER(C60)),ABS(C60-$B60),"")</f>
        <v>0</v>
      </c>
      <c r="K60" s="29" t="n">
        <f aca="false">IF(AND(ISNUMBER($B60),ISNUMBER(D60)),ABS(D60-$B60),"")</f>
        <v>0</v>
      </c>
      <c r="L60" s="29" t="n">
        <f aca="false">IF(AND(ISNUMBER($B60),ISNUMBER(E60)),ABS(E60-$B60),"")</f>
        <v>0</v>
      </c>
      <c r="M60" s="29" t="n">
        <f aca="false">IF(AND(ISNUMBER($B60),ISNUMBER(F60)),ABS(F60-$B60),"")</f>
        <v>0.833333333333343</v>
      </c>
      <c r="N60" s="29" t="n">
        <f aca="false">IF(AND(ISNUMBER($B60),ISNUMBER(G60)),ABS(G60-$B60),"")</f>
        <v>0</v>
      </c>
      <c r="O60" s="29" t="n">
        <f aca="false">IF(AND(ISNUMBER($B60),ISNUMBER(H60)),ABS(H60-$B60),"")</f>
        <v>2.85483870967742</v>
      </c>
      <c r="P60" s="29" t="n">
        <f aca="false">IF(AND(ISNUMBER($B60),ISNUMBER(I60)),ABS(I60-$B60),"")</f>
        <v>0</v>
      </c>
    </row>
    <row r="61" customFormat="false" ht="15" hidden="false" customHeight="true" outlineLevel="0" collapsed="false">
      <c r="A61" s="15" t="str">
        <f aca="false">Data!$A61</f>
        <v>Janeway</v>
      </c>
      <c r="B61" s="29" t="n">
        <f aca="false">Scoring!S61</f>
        <v>62.6666666666667</v>
      </c>
      <c r="C61" s="29" t="n">
        <f aca="false">IF(AND(Scoring!N61&gt;=Parameters!$C$57,Scoring!Q61&gt;=Parameters!$C$59),Scoring!O61/Scoring!N61*100,"NA")</f>
        <v>62.6666666666667</v>
      </c>
      <c r="D61" s="29" t="str">
        <f aca="false">IF(AND(Scoring!N61&gt;=Parameters!$C$58,Scoring!Q61&gt;=Parameters!$C$59),Scoring!O61/Scoring!N61*100,"NA")</f>
        <v>NA</v>
      </c>
      <c r="E61" s="29" t="n">
        <f aca="false">IF(AND((Scoring!N61-IF(ISNUMBER(Scoring!E61),Parameters!$E$7,0)+IF(ISNUMBER(IF(Verification!D61&lt;&gt;"",Verification!D61,IF(Coding!AG61=0,"NA",IF(AND(Parameters!$C$39=1,ISNUMBER(Calc!B61),Calc!B61&lt;=Parameters!$C$40),0,MIN(Coding!AG61,Parameters!$C$37)/Parameters!$C$37)))),Parameters!$E$7,0))&gt;=Parameters!$C$56,Scoring!Q61&gt;=Parameters!$C$59),(Scoring!O61-IF(ISNUMBER(Scoring!E61),Parameters!$E$7*Scoring!E61,0)+IF(ISNUMBER(IF(Verification!D61&lt;&gt;"",Verification!D61,IF(Coding!AG61=0,"NA",IF(AND(Parameters!$C$39=1,ISNUMBER(Calc!B61),Calc!B61&lt;=Parameters!$C$40),0,MIN(Coding!AG61,Parameters!$C$37)/Parameters!$C$37)))),Parameters!$E$7*IF(Verification!D61&lt;&gt;"",Verification!D61,IF(Coding!AG61=0,"NA",IF(AND(Parameters!$C$39=1,ISNUMBER(Calc!B61),Calc!B61&lt;=Parameters!$C$40),0,MIN(Coding!AG61,Parameters!$C$37)/Parameters!$C$37))),0))/(Scoring!N61-IF(ISNUMBER(Scoring!E61),Parameters!$E$7,0)+IF(ISNUMBER(IF(Verification!D61&lt;&gt;"",Verification!D61,IF(Coding!AG61=0,"NA",IF(AND(Parameters!$C$39=1,ISNUMBER(Calc!B61),Calc!B61&lt;=Parameters!$C$40),0,MIN(Coding!AG61,Parameters!$C$37)/Parameters!$C$37)))),Parameters!$E$7,0))*100,"NA")</f>
        <v>62.6666666666667</v>
      </c>
      <c r="F61" s="29" t="n">
        <f aca="false">IF(Scoring!R61="Yes",AVERAGE(Scoring!D61:J61)*100,"NA")</f>
        <v>70.0666666666667</v>
      </c>
      <c r="G61" s="29" t="n">
        <f aca="false">IF(AND((Scoring!N61-IF(ISNUMBER(Scoring!F61),Parameters!$E$8,0)+IF(ISNUMBER(IF(Verification!E61&lt;&gt;"",Scoring!F61,Calc!V61)),Parameters!$E$8,0))&gt;=Parameters!$C$56,Scoring!Q61&gt;=Parameters!$C$59),(Scoring!O61-IF(ISNUMBER(Scoring!F61),Parameters!$E$8*Scoring!F61,0)+IF(ISNUMBER(IF(Verification!E61&lt;&gt;"",Scoring!F61,Calc!V61)),Parameters!$E$8*IF(Verification!E61&lt;&gt;"",Scoring!F61,Calc!V61),0))/(Scoring!N61-IF(ISNUMBER(Scoring!F61),Parameters!$E$8,0)+IF(ISNUMBER(IF(Verification!E61&lt;&gt;"",Scoring!F61,Calc!V61)),Parameters!$E$8,0))*100,"NA")</f>
        <v>62.6666666666667</v>
      </c>
      <c r="H61" s="29" t="n">
        <f aca="false">IF(ISNUMBER(Scoring!S61),(Scoring!N61/Parameters!$E$13)*Scoring!S61+(1-Scoring!N61/Parameters!$E$13)*Summary!$B$9,"NA")</f>
        <v>67.9567741935484</v>
      </c>
      <c r="I61" s="29" t="n">
        <f aca="false">IF(AND(ISNUMBER(Scoring!S61),COUNT(Scoring!E61,Scoring!F61)&gt;0),Scoring!S61,"NA")</f>
        <v>62.6666666666667</v>
      </c>
      <c r="J61" s="29" t="n">
        <f aca="false">IF(AND(ISNUMBER($B61),ISNUMBER(C61)),ABS(C61-$B61),"")</f>
        <v>0</v>
      </c>
      <c r="K61" s="29" t="str">
        <f aca="false">IF(AND(ISNUMBER($B61),ISNUMBER(D61)),ABS(D61-$B61),"")</f>
        <v/>
      </c>
      <c r="L61" s="29" t="n">
        <f aca="false">IF(AND(ISNUMBER($B61),ISNUMBER(E61)),ABS(E61-$B61),"")</f>
        <v>0</v>
      </c>
      <c r="M61" s="29" t="n">
        <f aca="false">IF(AND(ISNUMBER($B61),ISNUMBER(F61)),ABS(F61-$B61),"")</f>
        <v>7.39999999999999</v>
      </c>
      <c r="N61" s="29" t="n">
        <f aca="false">IF(AND(ISNUMBER($B61),ISNUMBER(G61)),ABS(G61-$B61),"")</f>
        <v>0</v>
      </c>
      <c r="O61" s="29" t="n">
        <f aca="false">IF(AND(ISNUMBER($B61),ISNUMBER(H61)),ABS(H61-$B61),"")</f>
        <v>5.29010752688173</v>
      </c>
      <c r="P61" s="29" t="n">
        <f aca="false">IF(AND(ISNUMBER($B61),ISNUMBER(I61)),ABS(I61-$B61),"")</f>
        <v>0</v>
      </c>
    </row>
    <row r="62" customFormat="false" ht="15" hidden="false" customHeight="true" outlineLevel="0" collapsed="false">
      <c r="A62" s="15" t="str">
        <f aca="false">Data!$A62</f>
        <v>JHOVE</v>
      </c>
      <c r="B62" s="29" t="n">
        <f aca="false">Scoring!S62</f>
        <v>74.4512195121951</v>
      </c>
      <c r="C62" s="29" t="n">
        <f aca="false">IF(AND(Scoring!N62&gt;=Parameters!$C$57,Scoring!Q62&gt;=Parameters!$C$59),Scoring!O62/Scoring!N62*100,"NA")</f>
        <v>74.4512195121951</v>
      </c>
      <c r="D62" s="29" t="n">
        <f aca="false">IF(AND(Scoring!N62&gt;=Parameters!$C$58,Scoring!Q62&gt;=Parameters!$C$59),Scoring!O62/Scoring!N62*100,"NA")</f>
        <v>74.4512195121951</v>
      </c>
      <c r="E62" s="29" t="n">
        <f aca="false">IF(AND((Scoring!N62-IF(ISNUMBER(Scoring!E62),Parameters!$E$7,0)+IF(ISNUMBER(IF(Verification!D62&lt;&gt;"",Verification!D62,IF(Coding!AG62=0,"NA",IF(AND(Parameters!$C$39=1,ISNUMBER(Calc!B62),Calc!B62&lt;=Parameters!$C$40),0,MIN(Coding!AG62,Parameters!$C$37)/Parameters!$C$37)))),Parameters!$E$7,0))&gt;=Parameters!$C$56,Scoring!Q62&gt;=Parameters!$C$59),(Scoring!O62-IF(ISNUMBER(Scoring!E62),Parameters!$E$7*Scoring!E62,0)+IF(ISNUMBER(IF(Verification!D62&lt;&gt;"",Verification!D62,IF(Coding!AG62=0,"NA",IF(AND(Parameters!$C$39=1,ISNUMBER(Calc!B62),Calc!B62&lt;=Parameters!$C$40),0,MIN(Coding!AG62,Parameters!$C$37)/Parameters!$C$37)))),Parameters!$E$7*IF(Verification!D62&lt;&gt;"",Verification!D62,IF(Coding!AG62=0,"NA",IF(AND(Parameters!$C$39=1,ISNUMBER(Calc!B62),Calc!B62&lt;=Parameters!$C$40),0,MIN(Coding!AG62,Parameters!$C$37)/Parameters!$C$37))),0))/(Scoring!N62-IF(ISNUMBER(Scoring!E62),Parameters!$E$7,0)+IF(ISNUMBER(IF(Verification!D62&lt;&gt;"",Verification!D62,IF(Coding!AG62=0,"NA",IF(AND(Parameters!$C$39=1,ISNUMBER(Calc!B62),Calc!B62&lt;=Parameters!$C$40),0,MIN(Coding!AG62,Parameters!$C$37)/Parameters!$C$37)))),Parameters!$E$7,0))*100,"NA")</f>
        <v>74.4512195121951</v>
      </c>
      <c r="F62" s="29" t="n">
        <f aca="false">IF(Scoring!R62="Yes",AVERAGE(Scoring!D62:J62)*100,"NA")</f>
        <v>77.8333333333333</v>
      </c>
      <c r="G62" s="29" t="n">
        <f aca="false">IF(AND((Scoring!N62-IF(ISNUMBER(Scoring!F62),Parameters!$E$8,0)+IF(ISNUMBER(IF(Verification!E62&lt;&gt;"",Scoring!F62,Calc!V62)),Parameters!$E$8,0))&gt;=Parameters!$C$56,Scoring!Q62&gt;=Parameters!$C$59),(Scoring!O62-IF(ISNUMBER(Scoring!F62),Parameters!$E$8*Scoring!F62,0)+IF(ISNUMBER(IF(Verification!E62&lt;&gt;"",Scoring!F62,Calc!V62)),Parameters!$E$8*IF(Verification!E62&lt;&gt;"",Scoring!F62,Calc!V62),0))/(Scoring!N62-IF(ISNUMBER(Scoring!F62),Parameters!$E$8,0)+IF(ISNUMBER(IF(Verification!E62&lt;&gt;"",Scoring!F62,Calc!V62)),Parameters!$E$8,0))*100,"NA")</f>
        <v>74.4512195121951</v>
      </c>
      <c r="H62" s="29" t="n">
        <f aca="false">IF(ISNUMBER(Scoring!S62),(Scoring!N62/Parameters!$E$13)*Scoring!S62+(1-Scoring!N62/Parameters!$E$13)*Summary!$B$9,"NA")</f>
        <v>75.1306451612903</v>
      </c>
      <c r="I62" s="29" t="n">
        <f aca="false">IF(AND(ISNUMBER(Scoring!S62),COUNT(Scoring!E62,Scoring!F62)&gt;0),Scoring!S62,"NA")</f>
        <v>74.4512195121951</v>
      </c>
      <c r="J62" s="29" t="n">
        <f aca="false">IF(AND(ISNUMBER($B62),ISNUMBER(C62)),ABS(C62-$B62),"")</f>
        <v>0</v>
      </c>
      <c r="K62" s="29" t="n">
        <f aca="false">IF(AND(ISNUMBER($B62),ISNUMBER(D62)),ABS(D62-$B62),"")</f>
        <v>0</v>
      </c>
      <c r="L62" s="29" t="n">
        <f aca="false">IF(AND(ISNUMBER($B62),ISNUMBER(E62)),ABS(E62-$B62),"")</f>
        <v>0</v>
      </c>
      <c r="M62" s="29" t="n">
        <f aca="false">IF(AND(ISNUMBER($B62),ISNUMBER(F62)),ABS(F62-$B62),"")</f>
        <v>3.38211382113822</v>
      </c>
      <c r="N62" s="29" t="n">
        <f aca="false">IF(AND(ISNUMBER($B62),ISNUMBER(G62)),ABS(G62-$B62),"")</f>
        <v>0</v>
      </c>
      <c r="O62" s="29" t="n">
        <f aca="false">IF(AND(ISNUMBER($B62),ISNUMBER(H62)),ABS(H62-$B62),"")</f>
        <v>0.679425649095208</v>
      </c>
      <c r="P62" s="29" t="n">
        <f aca="false">IF(AND(ISNUMBER($B62),ISNUMBER(I62)),ABS(I62-$B62),"")</f>
        <v>0</v>
      </c>
    </row>
    <row r="63" customFormat="false" ht="15" hidden="false" customHeight="true" outlineLevel="0" collapsed="false">
      <c r="A63" s="15" t="str">
        <f aca="false">Data!$A63</f>
        <v>LA Referencia</v>
      </c>
      <c r="B63" s="29" t="str">
        <f aca="false">Scoring!S63</f>
        <v>NA</v>
      </c>
      <c r="C63" s="29" t="str">
        <f aca="false">IF(AND(Scoring!N63&gt;=Parameters!$C$57,Scoring!Q63&gt;=Parameters!$C$59),Scoring!O63/Scoring!N63*100,"NA")</f>
        <v>NA</v>
      </c>
      <c r="D63" s="29" t="str">
        <f aca="false">IF(AND(Scoring!N63&gt;=Parameters!$C$58,Scoring!Q63&gt;=Parameters!$C$59),Scoring!O63/Scoring!N63*100,"NA")</f>
        <v>NA</v>
      </c>
      <c r="E63" s="29" t="str">
        <f aca="false">IF(AND((Scoring!N63-IF(ISNUMBER(Scoring!E63),Parameters!$E$7,0)+IF(ISNUMBER(IF(Verification!D63&lt;&gt;"",Verification!D63,IF(Coding!AG63=0,"NA",IF(AND(Parameters!$C$39=1,ISNUMBER(Calc!B63),Calc!B63&lt;=Parameters!$C$40),0,MIN(Coding!AG63,Parameters!$C$37)/Parameters!$C$37)))),Parameters!$E$7,0))&gt;=Parameters!$C$56,Scoring!Q63&gt;=Parameters!$C$59),(Scoring!O63-IF(ISNUMBER(Scoring!E63),Parameters!$E$7*Scoring!E63,0)+IF(ISNUMBER(IF(Verification!D63&lt;&gt;"",Verification!D63,IF(Coding!AG63=0,"NA",IF(AND(Parameters!$C$39=1,ISNUMBER(Calc!B63),Calc!B63&lt;=Parameters!$C$40),0,MIN(Coding!AG63,Parameters!$C$37)/Parameters!$C$37)))),Parameters!$E$7*IF(Verification!D63&lt;&gt;"",Verification!D63,IF(Coding!AG63=0,"NA",IF(AND(Parameters!$C$39=1,ISNUMBER(Calc!B63),Calc!B63&lt;=Parameters!$C$40),0,MIN(Coding!AG63,Parameters!$C$37)/Parameters!$C$37))),0))/(Scoring!N63-IF(ISNUMBER(Scoring!E63),Parameters!$E$7,0)+IF(ISNUMBER(IF(Verification!D63&lt;&gt;"",Verification!D63,IF(Coding!AG63=0,"NA",IF(AND(Parameters!$C$39=1,ISNUMBER(Calc!B63),Calc!B63&lt;=Parameters!$C$40),0,MIN(Coding!AG63,Parameters!$C$37)/Parameters!$C$37)))),Parameters!$E$7,0))*100,"NA")</f>
        <v>NA</v>
      </c>
      <c r="F63" s="29" t="str">
        <f aca="false">IF(Scoring!R63="Yes",AVERAGE(Scoring!D63:J63)*100,"NA")</f>
        <v>NA</v>
      </c>
      <c r="G63" s="29" t="str">
        <f aca="false">IF(AND((Scoring!N63-IF(ISNUMBER(Scoring!F63),Parameters!$E$8,0)+IF(ISNUMBER(IF(Verification!E63&lt;&gt;"",Scoring!F63,Calc!V63)),Parameters!$E$8,0))&gt;=Parameters!$C$56,Scoring!Q63&gt;=Parameters!$C$59),(Scoring!O63-IF(ISNUMBER(Scoring!F63),Parameters!$E$8*Scoring!F63,0)+IF(ISNUMBER(IF(Verification!E63&lt;&gt;"",Scoring!F63,Calc!V63)),Parameters!$E$8*IF(Verification!E63&lt;&gt;"",Scoring!F63,Calc!V63),0))/(Scoring!N63-IF(ISNUMBER(Scoring!F63),Parameters!$E$8,0)+IF(ISNUMBER(IF(Verification!E63&lt;&gt;"",Scoring!F63,Calc!V63)),Parameters!$E$8,0))*100,"NA")</f>
        <v>NA</v>
      </c>
      <c r="H63" s="29" t="str">
        <f aca="false">IF(ISNUMBER(Scoring!S63),(Scoring!N63/Parameters!$E$13)*Scoring!S63+(1-Scoring!N63/Parameters!$E$13)*Summary!$B$9,"NA")</f>
        <v>NA</v>
      </c>
      <c r="I63" s="29" t="str">
        <f aca="false">IF(AND(ISNUMBER(Scoring!S63),COUNT(Scoring!E63,Scoring!F63)&gt;0),Scoring!S63,"NA")</f>
        <v>NA</v>
      </c>
      <c r="J63" s="29" t="str">
        <f aca="false">IF(AND(ISNUMBER($B63),ISNUMBER(C63)),ABS(C63-$B63),"")</f>
        <v/>
      </c>
      <c r="K63" s="29" t="str">
        <f aca="false">IF(AND(ISNUMBER($B63),ISNUMBER(D63)),ABS(D63-$B63),"")</f>
        <v/>
      </c>
      <c r="L63" s="29" t="str">
        <f aca="false">IF(AND(ISNUMBER($B63),ISNUMBER(E63)),ABS(E63-$B63),"")</f>
        <v/>
      </c>
      <c r="M63" s="29" t="str">
        <f aca="false">IF(AND(ISNUMBER($B63),ISNUMBER(F63)),ABS(F63-$B63),"")</f>
        <v/>
      </c>
      <c r="N63" s="29" t="str">
        <f aca="false">IF(AND(ISNUMBER($B63),ISNUMBER(G63)),ABS(G63-$B63),"")</f>
        <v/>
      </c>
      <c r="O63" s="29" t="str">
        <f aca="false">IF(AND(ISNUMBER($B63),ISNUMBER(H63)),ABS(H63-$B63),"")</f>
        <v/>
      </c>
      <c r="P63" s="29" t="str">
        <f aca="false">IF(AND(ISNUMBER($B63),ISNUMBER(I63)),ABS(I63-$B63),"")</f>
        <v/>
      </c>
    </row>
    <row r="64" customFormat="false" ht="15" hidden="false" customHeight="true" outlineLevel="0" collapsed="false">
      <c r="A64" s="15" t="str">
        <f aca="false">Data!$A64</f>
        <v>Manifold</v>
      </c>
      <c r="B64" s="29" t="str">
        <f aca="false">Scoring!S64</f>
        <v>NA</v>
      </c>
      <c r="C64" s="29" t="str">
        <f aca="false">IF(AND(Scoring!N64&gt;=Parameters!$C$57,Scoring!Q64&gt;=Parameters!$C$59),Scoring!O64/Scoring!N64*100,"NA")</f>
        <v>NA</v>
      </c>
      <c r="D64" s="29" t="str">
        <f aca="false">IF(AND(Scoring!N64&gt;=Parameters!$C$58,Scoring!Q64&gt;=Parameters!$C$59),Scoring!O64/Scoring!N64*100,"NA")</f>
        <v>NA</v>
      </c>
      <c r="E64" s="29" t="str">
        <f aca="false">IF(AND((Scoring!N64-IF(ISNUMBER(Scoring!E64),Parameters!$E$7,0)+IF(ISNUMBER(IF(Verification!D64&lt;&gt;"",Verification!D64,IF(Coding!AG64=0,"NA",IF(AND(Parameters!$C$39=1,ISNUMBER(Calc!B64),Calc!B64&lt;=Parameters!$C$40),0,MIN(Coding!AG64,Parameters!$C$37)/Parameters!$C$37)))),Parameters!$E$7,0))&gt;=Parameters!$C$56,Scoring!Q64&gt;=Parameters!$C$59),(Scoring!O64-IF(ISNUMBER(Scoring!E64),Parameters!$E$7*Scoring!E64,0)+IF(ISNUMBER(IF(Verification!D64&lt;&gt;"",Verification!D64,IF(Coding!AG64=0,"NA",IF(AND(Parameters!$C$39=1,ISNUMBER(Calc!B64),Calc!B64&lt;=Parameters!$C$40),0,MIN(Coding!AG64,Parameters!$C$37)/Parameters!$C$37)))),Parameters!$E$7*IF(Verification!D64&lt;&gt;"",Verification!D64,IF(Coding!AG64=0,"NA",IF(AND(Parameters!$C$39=1,ISNUMBER(Calc!B64),Calc!B64&lt;=Parameters!$C$40),0,MIN(Coding!AG64,Parameters!$C$37)/Parameters!$C$37))),0))/(Scoring!N64-IF(ISNUMBER(Scoring!E64),Parameters!$E$7,0)+IF(ISNUMBER(IF(Verification!D64&lt;&gt;"",Verification!D64,IF(Coding!AG64=0,"NA",IF(AND(Parameters!$C$39=1,ISNUMBER(Calc!B64),Calc!B64&lt;=Parameters!$C$40),0,MIN(Coding!AG64,Parameters!$C$37)/Parameters!$C$37)))),Parameters!$E$7,0))*100,"NA")</f>
        <v>NA</v>
      </c>
      <c r="F64" s="29" t="str">
        <f aca="false">IF(Scoring!R64="Yes",AVERAGE(Scoring!D64:J64)*100,"NA")</f>
        <v>NA</v>
      </c>
      <c r="G64" s="29" t="str">
        <f aca="false">IF(AND((Scoring!N64-IF(ISNUMBER(Scoring!F64),Parameters!$E$8,0)+IF(ISNUMBER(IF(Verification!E64&lt;&gt;"",Scoring!F64,Calc!V64)),Parameters!$E$8,0))&gt;=Parameters!$C$56,Scoring!Q64&gt;=Parameters!$C$59),(Scoring!O64-IF(ISNUMBER(Scoring!F64),Parameters!$E$8*Scoring!F64,0)+IF(ISNUMBER(IF(Verification!E64&lt;&gt;"",Scoring!F64,Calc!V64)),Parameters!$E$8*IF(Verification!E64&lt;&gt;"",Scoring!F64,Calc!V64),0))/(Scoring!N64-IF(ISNUMBER(Scoring!F64),Parameters!$E$8,0)+IF(ISNUMBER(IF(Verification!E64&lt;&gt;"",Scoring!F64,Calc!V64)),Parameters!$E$8,0))*100,"NA")</f>
        <v>NA</v>
      </c>
      <c r="H64" s="29" t="str">
        <f aca="false">IF(ISNUMBER(Scoring!S64),(Scoring!N64/Parameters!$E$13)*Scoring!S64+(1-Scoring!N64/Parameters!$E$13)*Summary!$B$9,"NA")</f>
        <v>NA</v>
      </c>
      <c r="I64" s="29" t="str">
        <f aca="false">IF(AND(ISNUMBER(Scoring!S64),COUNT(Scoring!E64,Scoring!F64)&gt;0),Scoring!S64,"NA")</f>
        <v>NA</v>
      </c>
      <c r="J64" s="29" t="str">
        <f aca="false">IF(AND(ISNUMBER($B64),ISNUMBER(C64)),ABS(C64-$B64),"")</f>
        <v/>
      </c>
      <c r="K64" s="29" t="str">
        <f aca="false">IF(AND(ISNUMBER($B64),ISNUMBER(D64)),ABS(D64-$B64),"")</f>
        <v/>
      </c>
      <c r="L64" s="29" t="str">
        <f aca="false">IF(AND(ISNUMBER($B64),ISNUMBER(E64)),ABS(E64-$B64),"")</f>
        <v/>
      </c>
      <c r="M64" s="29" t="str">
        <f aca="false">IF(AND(ISNUMBER($B64),ISNUMBER(F64)),ABS(F64-$B64),"")</f>
        <v/>
      </c>
      <c r="N64" s="29" t="str">
        <f aca="false">IF(AND(ISNUMBER($B64),ISNUMBER(G64)),ABS(G64-$B64),"")</f>
        <v/>
      </c>
      <c r="O64" s="29" t="str">
        <f aca="false">IF(AND(ISNUMBER($B64),ISNUMBER(H64)),ABS(H64-$B64),"")</f>
        <v/>
      </c>
      <c r="P64" s="29" t="str">
        <f aca="false">IF(AND(ISNUMBER($B64),ISNUMBER(I64)),ABS(I64-$B64),"")</f>
        <v/>
      </c>
    </row>
    <row r="65" customFormat="false" ht="15" hidden="false" customHeight="true" outlineLevel="0" collapsed="false">
      <c r="A65" s="15" t="str">
        <f aca="false">Data!$A65</f>
        <v>medRxiv</v>
      </c>
      <c r="B65" s="29" t="n">
        <f aca="false">Scoring!S65</f>
        <v>57.7710843373494</v>
      </c>
      <c r="C65" s="29" t="n">
        <f aca="false">IF(AND(Scoring!N65&gt;=Parameters!$C$57,Scoring!Q65&gt;=Parameters!$C$59),Scoring!O65/Scoring!N65*100,"NA")</f>
        <v>57.7710843373494</v>
      </c>
      <c r="D65" s="29" t="n">
        <f aca="false">IF(AND(Scoring!N65&gt;=Parameters!$C$58,Scoring!Q65&gt;=Parameters!$C$59),Scoring!O65/Scoring!N65*100,"NA")</f>
        <v>57.7710843373494</v>
      </c>
      <c r="E65" s="29" t="n">
        <f aca="false">IF(AND((Scoring!N65-IF(ISNUMBER(Scoring!E65),Parameters!$E$7,0)+IF(ISNUMBER(IF(Verification!D65&lt;&gt;"",Verification!D65,IF(Coding!AG65=0,"NA",IF(AND(Parameters!$C$39=1,ISNUMBER(Calc!B65),Calc!B65&lt;=Parameters!$C$40),0,MIN(Coding!AG65,Parameters!$C$37)/Parameters!$C$37)))),Parameters!$E$7,0))&gt;=Parameters!$C$56,Scoring!Q65&gt;=Parameters!$C$59),(Scoring!O65-IF(ISNUMBER(Scoring!E65),Parameters!$E$7*Scoring!E65,0)+IF(ISNUMBER(IF(Verification!D65&lt;&gt;"",Verification!D65,IF(Coding!AG65=0,"NA",IF(AND(Parameters!$C$39=1,ISNUMBER(Calc!B65),Calc!B65&lt;=Parameters!$C$40),0,MIN(Coding!AG65,Parameters!$C$37)/Parameters!$C$37)))),Parameters!$E$7*IF(Verification!D65&lt;&gt;"",Verification!D65,IF(Coding!AG65=0,"NA",IF(AND(Parameters!$C$39=1,ISNUMBER(Calc!B65),Calc!B65&lt;=Parameters!$C$40),0,MIN(Coding!AG65,Parameters!$C$37)/Parameters!$C$37))),0))/(Scoring!N65-IF(ISNUMBER(Scoring!E65),Parameters!$E$7,0)+IF(ISNUMBER(IF(Verification!D65&lt;&gt;"",Verification!D65,IF(Coding!AG65=0,"NA",IF(AND(Parameters!$C$39=1,ISNUMBER(Calc!B65),Calc!B65&lt;=Parameters!$C$40),0,MIN(Coding!AG65,Parameters!$C$37)/Parameters!$C$37)))),Parameters!$E$7,0))*100,"NA")</f>
        <v>57.7710843373494</v>
      </c>
      <c r="F65" s="29" t="n">
        <f aca="false">IF(Scoring!R65="Yes",AVERAGE(Scoring!D65:J65)*100,"NA")</f>
        <v>59.9333333333333</v>
      </c>
      <c r="G65" s="29" t="n">
        <f aca="false">IF(AND((Scoring!N65-IF(ISNUMBER(Scoring!F65),Parameters!$E$8,0)+IF(ISNUMBER(IF(Verification!E65&lt;&gt;"",Scoring!F65,Calc!V65)),Parameters!$E$8,0))&gt;=Parameters!$C$56,Scoring!Q65&gt;=Parameters!$C$59),(Scoring!O65-IF(ISNUMBER(Scoring!F65),Parameters!$E$8*Scoring!F65,0)+IF(ISNUMBER(IF(Verification!E65&lt;&gt;"",Scoring!F65,Calc!V65)),Parameters!$E$8*IF(Verification!E65&lt;&gt;"",Scoring!F65,Calc!V65),0))/(Scoring!N65-IF(ISNUMBER(Scoring!F65),Parameters!$E$8,0)+IF(ISNUMBER(IF(Verification!E65&lt;&gt;"",Scoring!F65,Calc!V65)),Parameters!$E$8,0))*100,"NA")</f>
        <v>57.7710843373494</v>
      </c>
      <c r="H65" s="29" t="n">
        <f aca="false">IF(ISNUMBER(Scoring!S65),(Scoring!N65/Parameters!$E$13)*Scoring!S65+(1-Scoring!N65/Parameters!$E$13)*Summary!$B$9,"NA")</f>
        <v>61.2483870967742</v>
      </c>
      <c r="I65" s="29" t="n">
        <f aca="false">IF(AND(ISNUMBER(Scoring!S65),COUNT(Scoring!E65,Scoring!F65)&gt;0),Scoring!S65,"NA")</f>
        <v>57.7710843373494</v>
      </c>
      <c r="J65" s="29" t="n">
        <f aca="false">IF(AND(ISNUMBER($B65),ISNUMBER(C65)),ABS(C65-$B65),"")</f>
        <v>0</v>
      </c>
      <c r="K65" s="29" t="n">
        <f aca="false">IF(AND(ISNUMBER($B65),ISNUMBER(D65)),ABS(D65-$B65),"")</f>
        <v>0</v>
      </c>
      <c r="L65" s="29" t="n">
        <f aca="false">IF(AND(ISNUMBER($B65),ISNUMBER(E65)),ABS(E65-$B65),"")</f>
        <v>0</v>
      </c>
      <c r="M65" s="29" t="n">
        <f aca="false">IF(AND(ISNUMBER($B65),ISNUMBER(F65)),ABS(F65-$B65),"")</f>
        <v>2.16224899598394</v>
      </c>
      <c r="N65" s="29" t="n">
        <f aca="false">IF(AND(ISNUMBER($B65),ISNUMBER(G65)),ABS(G65-$B65),"")</f>
        <v>0</v>
      </c>
      <c r="O65" s="29" t="n">
        <f aca="false">IF(AND(ISNUMBER($B65),ISNUMBER(H65)),ABS(H65-$B65),"")</f>
        <v>3.4773027594248</v>
      </c>
      <c r="P65" s="29" t="n">
        <f aca="false">IF(AND(ISNUMBER($B65),ISNUMBER(I65)),ABS(I65-$B65),"")</f>
        <v>0</v>
      </c>
    </row>
    <row r="66" customFormat="false" ht="15" hidden="false" customHeight="true" outlineLevel="0" collapsed="false">
      <c r="A66" s="15" t="str">
        <f aca="false">Data!$A66</f>
        <v>Metadata Encoding and Transmission Standard (METS)</v>
      </c>
      <c r="B66" s="29" t="n">
        <f aca="false">Scoring!S66</f>
        <v>46.5</v>
      </c>
      <c r="C66" s="29" t="n">
        <f aca="false">IF(AND(Scoring!N66&gt;=Parameters!$C$57,Scoring!Q66&gt;=Parameters!$C$59),Scoring!O66/Scoring!N66*100,"NA")</f>
        <v>46.5</v>
      </c>
      <c r="D66" s="29" t="n">
        <f aca="false">IF(AND(Scoring!N66&gt;=Parameters!$C$58,Scoring!Q66&gt;=Parameters!$C$59),Scoring!O66/Scoring!N66*100,"NA")</f>
        <v>46.5</v>
      </c>
      <c r="E66" s="29" t="n">
        <f aca="false">IF(AND((Scoring!N66-IF(ISNUMBER(Scoring!E66),Parameters!$E$7,0)+IF(ISNUMBER(IF(Verification!D66&lt;&gt;"",Verification!D66,IF(Coding!AG66=0,"NA",IF(AND(Parameters!$C$39=1,ISNUMBER(Calc!B66),Calc!B66&lt;=Parameters!$C$40),0,MIN(Coding!AG66,Parameters!$C$37)/Parameters!$C$37)))),Parameters!$E$7,0))&gt;=Parameters!$C$56,Scoring!Q66&gt;=Parameters!$C$59),(Scoring!O66-IF(ISNUMBER(Scoring!E66),Parameters!$E$7*Scoring!E66,0)+IF(ISNUMBER(IF(Verification!D66&lt;&gt;"",Verification!D66,IF(Coding!AG66=0,"NA",IF(AND(Parameters!$C$39=1,ISNUMBER(Calc!B66),Calc!B66&lt;=Parameters!$C$40),0,MIN(Coding!AG66,Parameters!$C$37)/Parameters!$C$37)))),Parameters!$E$7*IF(Verification!D66&lt;&gt;"",Verification!D66,IF(Coding!AG66=0,"NA",IF(AND(Parameters!$C$39=1,ISNUMBER(Calc!B66),Calc!B66&lt;=Parameters!$C$40),0,MIN(Coding!AG66,Parameters!$C$37)/Parameters!$C$37))),0))/(Scoring!N66-IF(ISNUMBER(Scoring!E66),Parameters!$E$7,0)+IF(ISNUMBER(IF(Verification!D66&lt;&gt;"",Verification!D66,IF(Coding!AG66=0,"NA",IF(AND(Parameters!$C$39=1,ISNUMBER(Calc!B66),Calc!B66&lt;=Parameters!$C$40),0,MIN(Coding!AG66,Parameters!$C$37)/Parameters!$C$37)))),Parameters!$E$7,0))*100,"NA")</f>
        <v>46.5</v>
      </c>
      <c r="F66" s="29" t="n">
        <f aca="false">IF(Scoring!R66="Yes",AVERAGE(Scoring!D66:J66)*100,"NA")</f>
        <v>55.952380952381</v>
      </c>
      <c r="G66" s="29" t="n">
        <f aca="false">IF(AND((Scoring!N66-IF(ISNUMBER(Scoring!F66),Parameters!$E$8,0)+IF(ISNUMBER(IF(Verification!E66&lt;&gt;"",Scoring!F66,Calc!V66)),Parameters!$E$8,0))&gt;=Parameters!$C$56,Scoring!Q66&gt;=Parameters!$C$59),(Scoring!O66-IF(ISNUMBER(Scoring!F66),Parameters!$E$8*Scoring!F66,0)+IF(ISNUMBER(IF(Verification!E66&lt;&gt;"",Scoring!F66,Calc!V66)),Parameters!$E$8*IF(Verification!E66&lt;&gt;"",Scoring!F66,Calc!V66),0))/(Scoring!N66-IF(ISNUMBER(Scoring!F66),Parameters!$E$8,0)+IF(ISNUMBER(IF(Verification!E66&lt;&gt;"",Scoring!F66,Calc!V66)),Parameters!$E$8,0))*100,"NA")</f>
        <v>46.5</v>
      </c>
      <c r="H66" s="29" t="n">
        <f aca="false">IF(ISNUMBER(Scoring!S66),(Scoring!N66/Parameters!$E$13)*Scoring!S66+(1-Scoring!N66/Parameters!$E$13)*Summary!$B$9,"NA")</f>
        <v>46.5</v>
      </c>
      <c r="I66" s="29" t="n">
        <f aca="false">IF(AND(ISNUMBER(Scoring!S66),COUNT(Scoring!E66,Scoring!F66)&gt;0),Scoring!S66,"NA")</f>
        <v>46.5</v>
      </c>
      <c r="J66" s="29" t="n">
        <f aca="false">IF(AND(ISNUMBER($B66),ISNUMBER(C66)),ABS(C66-$B66),"")</f>
        <v>0</v>
      </c>
      <c r="K66" s="29" t="n">
        <f aca="false">IF(AND(ISNUMBER($B66),ISNUMBER(D66)),ABS(D66-$B66),"")</f>
        <v>0</v>
      </c>
      <c r="L66" s="29" t="n">
        <f aca="false">IF(AND(ISNUMBER($B66),ISNUMBER(E66)),ABS(E66-$B66),"")</f>
        <v>0</v>
      </c>
      <c r="M66" s="29" t="n">
        <f aca="false">IF(AND(ISNUMBER($B66),ISNUMBER(F66)),ABS(F66-$B66),"")</f>
        <v>9.45238095238096</v>
      </c>
      <c r="N66" s="29" t="n">
        <f aca="false">IF(AND(ISNUMBER($B66),ISNUMBER(G66)),ABS(G66-$B66),"")</f>
        <v>0</v>
      </c>
      <c r="O66" s="29" t="n">
        <f aca="false">IF(AND(ISNUMBER($B66),ISNUMBER(H66)),ABS(H66-$B66),"")</f>
        <v>0</v>
      </c>
      <c r="P66" s="29" t="n">
        <f aca="false">IF(AND(ISNUMBER($B66),ISNUMBER(I66)),ABS(I66-$B66),"")</f>
        <v>0</v>
      </c>
    </row>
    <row r="67" customFormat="false" ht="15" hidden="false" customHeight="true" outlineLevel="0" collapsed="false">
      <c r="A67" s="15" t="str">
        <f aca="false">Data!$A67</f>
        <v>Mirador</v>
      </c>
      <c r="B67" s="29" t="n">
        <f aca="false">Scoring!S67</f>
        <v>61.5</v>
      </c>
      <c r="C67" s="29" t="n">
        <f aca="false">IF(AND(Scoring!N67&gt;=Parameters!$C$57,Scoring!Q67&gt;=Parameters!$C$59),Scoring!O67/Scoring!N67*100,"NA")</f>
        <v>61.5</v>
      </c>
      <c r="D67" s="29" t="n">
        <f aca="false">IF(AND(Scoring!N67&gt;=Parameters!$C$58,Scoring!Q67&gt;=Parameters!$C$59),Scoring!O67/Scoring!N67*100,"NA")</f>
        <v>61.5</v>
      </c>
      <c r="E67" s="29" t="n">
        <f aca="false">IF(AND((Scoring!N67-IF(ISNUMBER(Scoring!E67),Parameters!$E$7,0)+IF(ISNUMBER(IF(Verification!D67&lt;&gt;"",Verification!D67,IF(Coding!AG67=0,"NA",IF(AND(Parameters!$C$39=1,ISNUMBER(Calc!B67),Calc!B67&lt;=Parameters!$C$40),0,MIN(Coding!AG67,Parameters!$C$37)/Parameters!$C$37)))),Parameters!$E$7,0))&gt;=Parameters!$C$56,Scoring!Q67&gt;=Parameters!$C$59),(Scoring!O67-IF(ISNUMBER(Scoring!E67),Parameters!$E$7*Scoring!E67,0)+IF(ISNUMBER(IF(Verification!D67&lt;&gt;"",Verification!D67,IF(Coding!AG67=0,"NA",IF(AND(Parameters!$C$39=1,ISNUMBER(Calc!B67),Calc!B67&lt;=Parameters!$C$40),0,MIN(Coding!AG67,Parameters!$C$37)/Parameters!$C$37)))),Parameters!$E$7*IF(Verification!D67&lt;&gt;"",Verification!D67,IF(Coding!AG67=0,"NA",IF(AND(Parameters!$C$39=1,ISNUMBER(Calc!B67),Calc!B67&lt;=Parameters!$C$40),0,MIN(Coding!AG67,Parameters!$C$37)/Parameters!$C$37))),0))/(Scoring!N67-IF(ISNUMBER(Scoring!E67),Parameters!$E$7,0)+IF(ISNUMBER(IF(Verification!D67&lt;&gt;"",Verification!D67,IF(Coding!AG67=0,"NA",IF(AND(Parameters!$C$39=1,ISNUMBER(Calc!B67),Calc!B67&lt;=Parameters!$C$40),0,MIN(Coding!AG67,Parameters!$C$37)/Parameters!$C$37)))),Parameters!$E$7,0))*100,"NA")</f>
        <v>71.7948717948718</v>
      </c>
      <c r="F67" s="29" t="n">
        <f aca="false">IF(Scoring!R67="Yes",AVERAGE(Scoring!D67:J67)*100,"NA")</f>
        <v>70.2380952380952</v>
      </c>
      <c r="G67" s="29" t="n">
        <f aca="false">IF(AND((Scoring!N67-IF(ISNUMBER(Scoring!F67),Parameters!$E$8,0)+IF(ISNUMBER(IF(Verification!E67&lt;&gt;"",Scoring!F67,Calc!V67)),Parameters!$E$8,0))&gt;=Parameters!$C$56,Scoring!Q67&gt;=Parameters!$C$59),(Scoring!O67-IF(ISNUMBER(Scoring!F67),Parameters!$E$8*Scoring!F67,0)+IF(ISNUMBER(IF(Verification!E67&lt;&gt;"",Scoring!F67,Calc!V67)),Parameters!$E$8*IF(Verification!E67&lt;&gt;"",Scoring!F67,Calc!V67),0))/(Scoring!N67-IF(ISNUMBER(Scoring!F67),Parameters!$E$8,0)+IF(ISNUMBER(IF(Verification!E67&lt;&gt;"",Scoring!F67,Calc!V67)),Parameters!$E$8,0))*100,"NA")</f>
        <v>61.5</v>
      </c>
      <c r="H67" s="29" t="n">
        <f aca="false">IF(ISNUMBER(Scoring!S67),(Scoring!N67/Parameters!$E$13)*Scoring!S67+(1-Scoring!N67/Parameters!$E$13)*Summary!$B$9,"NA")</f>
        <v>61.5</v>
      </c>
      <c r="I67" s="29" t="n">
        <f aca="false">IF(AND(ISNUMBER(Scoring!S67),COUNT(Scoring!E67,Scoring!F67)&gt;0),Scoring!S67,"NA")</f>
        <v>61.5</v>
      </c>
      <c r="J67" s="29" t="n">
        <f aca="false">IF(AND(ISNUMBER($B67),ISNUMBER(C67)),ABS(C67-$B67),"")</f>
        <v>0</v>
      </c>
      <c r="K67" s="29" t="n">
        <f aca="false">IF(AND(ISNUMBER($B67),ISNUMBER(D67)),ABS(D67-$B67),"")</f>
        <v>0</v>
      </c>
      <c r="L67" s="29" t="n">
        <f aca="false">IF(AND(ISNUMBER($B67),ISNUMBER(E67)),ABS(E67-$B67),"")</f>
        <v>10.2948717948718</v>
      </c>
      <c r="M67" s="29" t="n">
        <f aca="false">IF(AND(ISNUMBER($B67),ISNUMBER(F67)),ABS(F67-$B67),"")</f>
        <v>8.73809523809524</v>
      </c>
      <c r="N67" s="29" t="n">
        <f aca="false">IF(AND(ISNUMBER($B67),ISNUMBER(G67)),ABS(G67-$B67),"")</f>
        <v>0</v>
      </c>
      <c r="O67" s="29" t="n">
        <f aca="false">IF(AND(ISNUMBER($B67),ISNUMBER(H67)),ABS(H67-$B67),"")</f>
        <v>0</v>
      </c>
      <c r="P67" s="29" t="n">
        <f aca="false">IF(AND(ISNUMBER($B67),ISNUMBER(I67)),ABS(I67-$B67),"")</f>
        <v>0</v>
      </c>
    </row>
    <row r="68" customFormat="false" ht="15" hidden="false" customHeight="true" outlineLevel="0" collapsed="false">
      <c r="A68" s="15" t="str">
        <f aca="false">Data!$A68</f>
        <v>Mukurtu CMS</v>
      </c>
      <c r="B68" s="29" t="n">
        <f aca="false">Scoring!S68</f>
        <v>47.8</v>
      </c>
      <c r="C68" s="29" t="n">
        <f aca="false">IF(AND(Scoring!N68&gt;=Parameters!$C$57,Scoring!Q68&gt;=Parameters!$C$59),Scoring!O68/Scoring!N68*100,"NA")</f>
        <v>47.8</v>
      </c>
      <c r="D68" s="29" t="n">
        <f aca="false">IF(AND(Scoring!N68&gt;=Parameters!$C$58,Scoring!Q68&gt;=Parameters!$C$59),Scoring!O68/Scoring!N68*100,"NA")</f>
        <v>47.8</v>
      </c>
      <c r="E68" s="29" t="n">
        <f aca="false">IF(AND((Scoring!N68-IF(ISNUMBER(Scoring!E68),Parameters!$E$7,0)+IF(ISNUMBER(IF(Verification!D68&lt;&gt;"",Verification!D68,IF(Coding!AG68=0,"NA",IF(AND(Parameters!$C$39=1,ISNUMBER(Calc!B68),Calc!B68&lt;=Parameters!$C$40),0,MIN(Coding!AG68,Parameters!$C$37)/Parameters!$C$37)))),Parameters!$E$7,0))&gt;=Parameters!$C$56,Scoring!Q68&gt;=Parameters!$C$59),(Scoring!O68-IF(ISNUMBER(Scoring!E68),Parameters!$E$7*Scoring!E68,0)+IF(ISNUMBER(IF(Verification!D68&lt;&gt;"",Verification!D68,IF(Coding!AG68=0,"NA",IF(AND(Parameters!$C$39=1,ISNUMBER(Calc!B68),Calc!B68&lt;=Parameters!$C$40),0,MIN(Coding!AG68,Parameters!$C$37)/Parameters!$C$37)))),Parameters!$E$7*IF(Verification!D68&lt;&gt;"",Verification!D68,IF(Coding!AG68=0,"NA",IF(AND(Parameters!$C$39=1,ISNUMBER(Calc!B68),Calc!B68&lt;=Parameters!$C$40),0,MIN(Coding!AG68,Parameters!$C$37)/Parameters!$C$37))),0))/(Scoring!N68-IF(ISNUMBER(Scoring!E68),Parameters!$E$7,0)+IF(ISNUMBER(IF(Verification!D68&lt;&gt;"",Verification!D68,IF(Coding!AG68=0,"NA",IF(AND(Parameters!$C$39=1,ISNUMBER(Calc!B68),Calc!B68&lt;=Parameters!$C$40),0,MIN(Coding!AG68,Parameters!$C$37)/Parameters!$C$37)))),Parameters!$E$7,0))*100,"NA")</f>
        <v>57.7564102564103</v>
      </c>
      <c r="F68" s="29" t="n">
        <f aca="false">IF(Scoring!R68="Yes",AVERAGE(Scoring!D68:J68)*100,"NA")</f>
        <v>58.9761904761905</v>
      </c>
      <c r="G68" s="29" t="n">
        <f aca="false">IF(AND((Scoring!N68-IF(ISNUMBER(Scoring!F68),Parameters!$E$8,0)+IF(ISNUMBER(IF(Verification!E68&lt;&gt;"",Scoring!F68,Calc!V68)),Parameters!$E$8,0))&gt;=Parameters!$C$56,Scoring!Q68&gt;=Parameters!$C$59),(Scoring!O68-IF(ISNUMBER(Scoring!F68),Parameters!$E$8*Scoring!F68,0)+IF(ISNUMBER(IF(Verification!E68&lt;&gt;"",Scoring!F68,Calc!V68)),Parameters!$E$8*IF(Verification!E68&lt;&gt;"",Scoring!F68,Calc!V68),0))/(Scoring!N68-IF(ISNUMBER(Scoring!F68),Parameters!$E$8,0)+IF(ISNUMBER(IF(Verification!E68&lt;&gt;"",Scoring!F68,Calc!V68)),Parameters!$E$8,0))*100,"NA")</f>
        <v>47.8</v>
      </c>
      <c r="H68" s="29" t="n">
        <f aca="false">IF(ISNUMBER(Scoring!S68),(Scoring!N68/Parameters!$E$13)*Scoring!S68+(1-Scoring!N68/Parameters!$E$13)*Summary!$B$9,"NA")</f>
        <v>47.8</v>
      </c>
      <c r="I68" s="29" t="n">
        <f aca="false">IF(AND(ISNUMBER(Scoring!S68),COUNT(Scoring!E68,Scoring!F68)&gt;0),Scoring!S68,"NA")</f>
        <v>47.8</v>
      </c>
      <c r="J68" s="29" t="n">
        <f aca="false">IF(AND(ISNUMBER($B68),ISNUMBER(C68)),ABS(C68-$B68),"")</f>
        <v>0</v>
      </c>
      <c r="K68" s="29" t="n">
        <f aca="false">IF(AND(ISNUMBER($B68),ISNUMBER(D68)),ABS(D68-$B68),"")</f>
        <v>0</v>
      </c>
      <c r="L68" s="29" t="n">
        <f aca="false">IF(AND(ISNUMBER($B68),ISNUMBER(E68)),ABS(E68-$B68),"")</f>
        <v>9.95641025641025</v>
      </c>
      <c r="M68" s="29" t="n">
        <f aca="false">IF(AND(ISNUMBER($B68),ISNUMBER(F68)),ABS(F68-$B68),"")</f>
        <v>11.1761904761905</v>
      </c>
      <c r="N68" s="29" t="n">
        <f aca="false">IF(AND(ISNUMBER($B68),ISNUMBER(G68)),ABS(G68-$B68),"")</f>
        <v>0</v>
      </c>
      <c r="O68" s="29" t="n">
        <f aca="false">IF(AND(ISNUMBER($B68),ISNUMBER(H68)),ABS(H68-$B68),"")</f>
        <v>0</v>
      </c>
      <c r="P68" s="29" t="n">
        <f aca="false">IF(AND(ISNUMBER($B68),ISNUMBER(I68)),ABS(I68-$B68),"")</f>
        <v>0</v>
      </c>
    </row>
    <row r="69" customFormat="false" ht="15" hidden="false" customHeight="true" outlineLevel="0" collapsed="false">
      <c r="A69" s="15" t="str">
        <f aca="false">Data!$A69</f>
        <v>MyCoRe</v>
      </c>
      <c r="B69" s="29" t="str">
        <f aca="false">Scoring!S69</f>
        <v>NA</v>
      </c>
      <c r="C69" s="29" t="str">
        <f aca="false">IF(AND(Scoring!N69&gt;=Parameters!$C$57,Scoring!Q69&gt;=Parameters!$C$59),Scoring!O69/Scoring!N69*100,"NA")</f>
        <v>NA</v>
      </c>
      <c r="D69" s="29" t="str">
        <f aca="false">IF(AND(Scoring!N69&gt;=Parameters!$C$58,Scoring!Q69&gt;=Parameters!$C$59),Scoring!O69/Scoring!N69*100,"NA")</f>
        <v>NA</v>
      </c>
      <c r="E69" s="29" t="str">
        <f aca="false">IF(AND((Scoring!N69-IF(ISNUMBER(Scoring!E69),Parameters!$E$7,0)+IF(ISNUMBER(IF(Verification!D69&lt;&gt;"",Verification!D69,IF(Coding!AG69=0,"NA",IF(AND(Parameters!$C$39=1,ISNUMBER(Calc!B69),Calc!B69&lt;=Parameters!$C$40),0,MIN(Coding!AG69,Parameters!$C$37)/Parameters!$C$37)))),Parameters!$E$7,0))&gt;=Parameters!$C$56,Scoring!Q69&gt;=Parameters!$C$59),(Scoring!O69-IF(ISNUMBER(Scoring!E69),Parameters!$E$7*Scoring!E69,0)+IF(ISNUMBER(IF(Verification!D69&lt;&gt;"",Verification!D69,IF(Coding!AG69=0,"NA",IF(AND(Parameters!$C$39=1,ISNUMBER(Calc!B69),Calc!B69&lt;=Parameters!$C$40),0,MIN(Coding!AG69,Parameters!$C$37)/Parameters!$C$37)))),Parameters!$E$7*IF(Verification!D69&lt;&gt;"",Verification!D69,IF(Coding!AG69=0,"NA",IF(AND(Parameters!$C$39=1,ISNUMBER(Calc!B69),Calc!B69&lt;=Parameters!$C$40),0,MIN(Coding!AG69,Parameters!$C$37)/Parameters!$C$37))),0))/(Scoring!N69-IF(ISNUMBER(Scoring!E69),Parameters!$E$7,0)+IF(ISNUMBER(IF(Verification!D69&lt;&gt;"",Verification!D69,IF(Coding!AG69=0,"NA",IF(AND(Parameters!$C$39=1,ISNUMBER(Calc!B69),Calc!B69&lt;=Parameters!$C$40),0,MIN(Coding!AG69,Parameters!$C$37)/Parameters!$C$37)))),Parameters!$E$7,0))*100,"NA")</f>
        <v>NA</v>
      </c>
      <c r="F69" s="29" t="str">
        <f aca="false">IF(Scoring!R69="Yes",AVERAGE(Scoring!D69:J69)*100,"NA")</f>
        <v>NA</v>
      </c>
      <c r="G69" s="29" t="str">
        <f aca="false">IF(AND((Scoring!N69-IF(ISNUMBER(Scoring!F69),Parameters!$E$8,0)+IF(ISNUMBER(IF(Verification!E69&lt;&gt;"",Scoring!F69,Calc!V69)),Parameters!$E$8,0))&gt;=Parameters!$C$56,Scoring!Q69&gt;=Parameters!$C$59),(Scoring!O69-IF(ISNUMBER(Scoring!F69),Parameters!$E$8*Scoring!F69,0)+IF(ISNUMBER(IF(Verification!E69&lt;&gt;"",Scoring!F69,Calc!V69)),Parameters!$E$8*IF(Verification!E69&lt;&gt;"",Scoring!F69,Calc!V69),0))/(Scoring!N69-IF(ISNUMBER(Scoring!F69),Parameters!$E$8,0)+IF(ISNUMBER(IF(Verification!E69&lt;&gt;"",Scoring!F69,Calc!V69)),Parameters!$E$8,0))*100,"NA")</f>
        <v>NA</v>
      </c>
      <c r="H69" s="29" t="str">
        <f aca="false">IF(ISNUMBER(Scoring!S69),(Scoring!N69/Parameters!$E$13)*Scoring!S69+(1-Scoring!N69/Parameters!$E$13)*Summary!$B$9,"NA")</f>
        <v>NA</v>
      </c>
      <c r="I69" s="29" t="str">
        <f aca="false">IF(AND(ISNUMBER(Scoring!S69),COUNT(Scoring!E69,Scoring!F69)&gt;0),Scoring!S69,"NA")</f>
        <v>NA</v>
      </c>
      <c r="J69" s="29" t="str">
        <f aca="false">IF(AND(ISNUMBER($B69),ISNUMBER(C69)),ABS(C69-$B69),"")</f>
        <v/>
      </c>
      <c r="K69" s="29" t="str">
        <f aca="false">IF(AND(ISNUMBER($B69),ISNUMBER(D69)),ABS(D69-$B69),"")</f>
        <v/>
      </c>
      <c r="L69" s="29" t="str">
        <f aca="false">IF(AND(ISNUMBER($B69),ISNUMBER(E69)),ABS(E69-$B69),"")</f>
        <v/>
      </c>
      <c r="M69" s="29" t="str">
        <f aca="false">IF(AND(ISNUMBER($B69),ISNUMBER(F69)),ABS(F69-$B69),"")</f>
        <v/>
      </c>
      <c r="N69" s="29" t="str">
        <f aca="false">IF(AND(ISNUMBER($B69),ISNUMBER(G69)),ABS(G69-$B69),"")</f>
        <v/>
      </c>
      <c r="O69" s="29" t="str">
        <f aca="false">IF(AND(ISNUMBER($B69),ISNUMBER(H69)),ABS(H69-$B69),"")</f>
        <v/>
      </c>
      <c r="P69" s="29" t="str">
        <f aca="false">IF(AND(ISNUMBER($B69),ISNUMBER(I69)),ABS(I69-$B69),"")</f>
        <v/>
      </c>
    </row>
    <row r="70" customFormat="false" ht="15" hidden="false" customHeight="true" outlineLevel="0" collapsed="false">
      <c r="A70" s="15" t="str">
        <f aca="false">Data!$A70</f>
        <v>NumPy</v>
      </c>
      <c r="B70" s="29" t="n">
        <f aca="false">Scoring!S70</f>
        <v>100</v>
      </c>
      <c r="C70" s="29" t="n">
        <f aca="false">IF(AND(Scoring!N70&gt;=Parameters!$C$57,Scoring!Q70&gt;=Parameters!$C$59),Scoring!O70/Scoring!N70*100,"NA")</f>
        <v>100</v>
      </c>
      <c r="D70" s="29" t="str">
        <f aca="false">IF(AND(Scoring!N70&gt;=Parameters!$C$58,Scoring!Q70&gt;=Parameters!$C$59),Scoring!O70/Scoring!N70*100,"NA")</f>
        <v>NA</v>
      </c>
      <c r="E70" s="29" t="n">
        <f aca="false">IF(AND((Scoring!N70-IF(ISNUMBER(Scoring!E70),Parameters!$E$7,0)+IF(ISNUMBER(IF(Verification!D70&lt;&gt;"",Verification!D70,IF(Coding!AG70=0,"NA",IF(AND(Parameters!$C$39=1,ISNUMBER(Calc!B70),Calc!B70&lt;=Parameters!$C$40),0,MIN(Coding!AG70,Parameters!$C$37)/Parameters!$C$37)))),Parameters!$E$7,0))&gt;=Parameters!$C$56,Scoring!Q70&gt;=Parameters!$C$59),(Scoring!O70-IF(ISNUMBER(Scoring!E70),Parameters!$E$7*Scoring!E70,0)+IF(ISNUMBER(IF(Verification!D70&lt;&gt;"",Verification!D70,IF(Coding!AG70=0,"NA",IF(AND(Parameters!$C$39=1,ISNUMBER(Calc!B70),Calc!B70&lt;=Parameters!$C$40),0,MIN(Coding!AG70,Parameters!$C$37)/Parameters!$C$37)))),Parameters!$E$7*IF(Verification!D70&lt;&gt;"",Verification!D70,IF(Coding!AG70=0,"NA",IF(AND(Parameters!$C$39=1,ISNUMBER(Calc!B70),Calc!B70&lt;=Parameters!$C$40),0,MIN(Coding!AG70,Parameters!$C$37)/Parameters!$C$37))),0))/(Scoring!N70-IF(ISNUMBER(Scoring!E70),Parameters!$E$7,0)+IF(ISNUMBER(IF(Verification!D70&lt;&gt;"",Verification!D70,IF(Coding!AG70=0,"NA",IF(AND(Parameters!$C$39=1,ISNUMBER(Calc!B70),Calc!B70&lt;=Parameters!$C$40),0,MIN(Coding!AG70,Parameters!$C$37)/Parameters!$C$37)))),Parameters!$E$7,0))*100,"NA")</f>
        <v>100</v>
      </c>
      <c r="F70" s="29" t="n">
        <f aca="false">IF(Scoring!R70="Yes",AVERAGE(Scoring!D70:J70)*100,"NA")</f>
        <v>100</v>
      </c>
      <c r="G70" s="29" t="n">
        <f aca="false">IF(AND((Scoring!N70-IF(ISNUMBER(Scoring!F70),Parameters!$E$8,0)+IF(ISNUMBER(IF(Verification!E70&lt;&gt;"",Scoring!F70,Calc!V70)),Parameters!$E$8,0))&gt;=Parameters!$C$56,Scoring!Q70&gt;=Parameters!$C$59),(Scoring!O70-IF(ISNUMBER(Scoring!F70),Parameters!$E$8*Scoring!F70,0)+IF(ISNUMBER(IF(Verification!E70&lt;&gt;"",Scoring!F70,Calc!V70)),Parameters!$E$8*IF(Verification!E70&lt;&gt;"",Scoring!F70,Calc!V70),0))/(Scoring!N70-IF(ISNUMBER(Scoring!F70),Parameters!$E$8,0)+IF(ISNUMBER(IF(Verification!E70&lt;&gt;"",Scoring!F70,Calc!V70)),Parameters!$E$8,0))*100,"NA")</f>
        <v>100</v>
      </c>
      <c r="H70" s="29" t="n">
        <f aca="false">IF(ISNUMBER(Scoring!S70),(Scoring!N70/Parameters!$E$13)*Scoring!S70+(1-Scoring!N70/Parameters!$E$13)*Summary!$B$9,"NA")</f>
        <v>91.2903225806452</v>
      </c>
      <c r="I70" s="29" t="str">
        <f aca="false">IF(AND(ISNUMBER(Scoring!S70),COUNT(Scoring!E70,Scoring!F70)&gt;0),Scoring!S70,"NA")</f>
        <v>NA</v>
      </c>
      <c r="J70" s="29" t="n">
        <f aca="false">IF(AND(ISNUMBER($B70),ISNUMBER(C70)),ABS(C70-$B70),"")</f>
        <v>0</v>
      </c>
      <c r="K70" s="29" t="str">
        <f aca="false">IF(AND(ISNUMBER($B70),ISNUMBER(D70)),ABS(D70-$B70),"")</f>
        <v/>
      </c>
      <c r="L70" s="29" t="n">
        <f aca="false">IF(AND(ISNUMBER($B70),ISNUMBER(E70)),ABS(E70-$B70),"")</f>
        <v>0</v>
      </c>
      <c r="M70" s="29" t="n">
        <f aca="false">IF(AND(ISNUMBER($B70),ISNUMBER(F70)),ABS(F70-$B70),"")</f>
        <v>0</v>
      </c>
      <c r="N70" s="29" t="n">
        <f aca="false">IF(AND(ISNUMBER($B70),ISNUMBER(G70)),ABS(G70-$B70),"")</f>
        <v>0</v>
      </c>
      <c r="O70" s="29" t="n">
        <f aca="false">IF(AND(ISNUMBER($B70),ISNUMBER(H70)),ABS(H70-$B70),"")</f>
        <v>8.70967741935485</v>
      </c>
      <c r="P70" s="29" t="str">
        <f aca="false">IF(AND(ISNUMBER($B70),ISNUMBER(I70)),ABS(I70-$B70),"")</f>
        <v/>
      </c>
    </row>
    <row r="71" customFormat="false" ht="15" hidden="false" customHeight="true" outlineLevel="0" collapsed="false">
      <c r="A71" s="15" t="str">
        <f aca="false">Data!$A71</f>
        <v>OA.Report</v>
      </c>
      <c r="B71" s="29" t="str">
        <f aca="false">Scoring!S71</f>
        <v>NA</v>
      </c>
      <c r="C71" s="29" t="str">
        <f aca="false">IF(AND(Scoring!N71&gt;=Parameters!$C$57,Scoring!Q71&gt;=Parameters!$C$59),Scoring!O71/Scoring!N71*100,"NA")</f>
        <v>NA</v>
      </c>
      <c r="D71" s="29" t="str">
        <f aca="false">IF(AND(Scoring!N71&gt;=Parameters!$C$58,Scoring!Q71&gt;=Parameters!$C$59),Scoring!O71/Scoring!N71*100,"NA")</f>
        <v>NA</v>
      </c>
      <c r="E71" s="29" t="str">
        <f aca="false">IF(AND((Scoring!N71-IF(ISNUMBER(Scoring!E71),Parameters!$E$7,0)+IF(ISNUMBER(IF(Verification!D71&lt;&gt;"",Verification!D71,IF(Coding!AG71=0,"NA",IF(AND(Parameters!$C$39=1,ISNUMBER(Calc!B71),Calc!B71&lt;=Parameters!$C$40),0,MIN(Coding!AG71,Parameters!$C$37)/Parameters!$C$37)))),Parameters!$E$7,0))&gt;=Parameters!$C$56,Scoring!Q71&gt;=Parameters!$C$59),(Scoring!O71-IF(ISNUMBER(Scoring!E71),Parameters!$E$7*Scoring!E71,0)+IF(ISNUMBER(IF(Verification!D71&lt;&gt;"",Verification!D71,IF(Coding!AG71=0,"NA",IF(AND(Parameters!$C$39=1,ISNUMBER(Calc!B71),Calc!B71&lt;=Parameters!$C$40),0,MIN(Coding!AG71,Parameters!$C$37)/Parameters!$C$37)))),Parameters!$E$7*IF(Verification!D71&lt;&gt;"",Verification!D71,IF(Coding!AG71=0,"NA",IF(AND(Parameters!$C$39=1,ISNUMBER(Calc!B71),Calc!B71&lt;=Parameters!$C$40),0,MIN(Coding!AG71,Parameters!$C$37)/Parameters!$C$37))),0))/(Scoring!N71-IF(ISNUMBER(Scoring!E71),Parameters!$E$7,0)+IF(ISNUMBER(IF(Verification!D71&lt;&gt;"",Verification!D71,IF(Coding!AG71=0,"NA",IF(AND(Parameters!$C$39=1,ISNUMBER(Calc!B71),Calc!B71&lt;=Parameters!$C$40),0,MIN(Coding!AG71,Parameters!$C$37)/Parameters!$C$37)))),Parameters!$E$7,0))*100,"NA")</f>
        <v>NA</v>
      </c>
      <c r="F71" s="29" t="str">
        <f aca="false">IF(Scoring!R71="Yes",AVERAGE(Scoring!D71:J71)*100,"NA")</f>
        <v>NA</v>
      </c>
      <c r="G71" s="29" t="str">
        <f aca="false">IF(AND((Scoring!N71-IF(ISNUMBER(Scoring!F71),Parameters!$E$8,0)+IF(ISNUMBER(IF(Verification!E71&lt;&gt;"",Scoring!F71,Calc!V71)),Parameters!$E$8,0))&gt;=Parameters!$C$56,Scoring!Q71&gt;=Parameters!$C$59),(Scoring!O71-IF(ISNUMBER(Scoring!F71),Parameters!$E$8*Scoring!F71,0)+IF(ISNUMBER(IF(Verification!E71&lt;&gt;"",Scoring!F71,Calc!V71)),Parameters!$E$8*IF(Verification!E71&lt;&gt;"",Scoring!F71,Calc!V71),0))/(Scoring!N71-IF(ISNUMBER(Scoring!F71),Parameters!$E$8,0)+IF(ISNUMBER(IF(Verification!E71&lt;&gt;"",Scoring!F71,Calc!V71)),Parameters!$E$8,0))*100,"NA")</f>
        <v>NA</v>
      </c>
      <c r="H71" s="29" t="str">
        <f aca="false">IF(ISNUMBER(Scoring!S71),(Scoring!N71/Parameters!$E$13)*Scoring!S71+(1-Scoring!N71/Parameters!$E$13)*Summary!$B$9,"NA")</f>
        <v>NA</v>
      </c>
      <c r="I71" s="29" t="str">
        <f aca="false">IF(AND(ISNUMBER(Scoring!S71),COUNT(Scoring!E71,Scoring!F71)&gt;0),Scoring!S71,"NA")</f>
        <v>NA</v>
      </c>
      <c r="J71" s="29" t="str">
        <f aca="false">IF(AND(ISNUMBER($B71),ISNUMBER(C71)),ABS(C71-$B71),"")</f>
        <v/>
      </c>
      <c r="K71" s="29" t="str">
        <f aca="false">IF(AND(ISNUMBER($B71),ISNUMBER(D71)),ABS(D71-$B71),"")</f>
        <v/>
      </c>
      <c r="L71" s="29" t="str">
        <f aca="false">IF(AND(ISNUMBER($B71),ISNUMBER(E71)),ABS(E71-$B71),"")</f>
        <v/>
      </c>
      <c r="M71" s="29" t="str">
        <f aca="false">IF(AND(ISNUMBER($B71),ISNUMBER(F71)),ABS(F71-$B71),"")</f>
        <v/>
      </c>
      <c r="N71" s="29" t="str">
        <f aca="false">IF(AND(ISNUMBER($B71),ISNUMBER(G71)),ABS(G71-$B71),"")</f>
        <v/>
      </c>
      <c r="O71" s="29" t="str">
        <f aca="false">IF(AND(ISNUMBER($B71),ISNUMBER(H71)),ABS(H71-$B71),"")</f>
        <v/>
      </c>
      <c r="P71" s="29" t="str">
        <f aca="false">IF(AND(ISNUMBER($B71),ISNUMBER(I71)),ABS(I71-$B71),"")</f>
        <v/>
      </c>
    </row>
    <row r="72" customFormat="false" ht="15" hidden="false" customHeight="true" outlineLevel="0" collapsed="false">
      <c r="A72" s="15" t="str">
        <f aca="false">Data!$A72</f>
        <v>OA Switchboard</v>
      </c>
      <c r="B72" s="29" t="n">
        <f aca="false">Scoring!S72</f>
        <v>74.5</v>
      </c>
      <c r="C72" s="29" t="n">
        <f aca="false">IF(AND(Scoring!N72&gt;=Parameters!$C$57,Scoring!Q72&gt;=Parameters!$C$59),Scoring!O72/Scoring!N72*100,"NA")</f>
        <v>74.5</v>
      </c>
      <c r="D72" s="29" t="n">
        <f aca="false">IF(AND(Scoring!N72&gt;=Parameters!$C$58,Scoring!Q72&gt;=Parameters!$C$59),Scoring!O72/Scoring!N72*100,"NA")</f>
        <v>74.5</v>
      </c>
      <c r="E72" s="29" t="n">
        <f aca="false">IF(AND((Scoring!N72-IF(ISNUMBER(Scoring!E72),Parameters!$E$7,0)+IF(ISNUMBER(IF(Verification!D72&lt;&gt;"",Verification!D72,IF(Coding!AG72=0,"NA",IF(AND(Parameters!$C$39=1,ISNUMBER(Calc!B72),Calc!B72&lt;=Parameters!$C$40),0,MIN(Coding!AG72,Parameters!$C$37)/Parameters!$C$37)))),Parameters!$E$7,0))&gt;=Parameters!$C$56,Scoring!Q72&gt;=Parameters!$C$59),(Scoring!O72-IF(ISNUMBER(Scoring!E72),Parameters!$E$7*Scoring!E72,0)+IF(ISNUMBER(IF(Verification!D72&lt;&gt;"",Verification!D72,IF(Coding!AG72=0,"NA",IF(AND(Parameters!$C$39=1,ISNUMBER(Calc!B72),Calc!B72&lt;=Parameters!$C$40),0,MIN(Coding!AG72,Parameters!$C$37)/Parameters!$C$37)))),Parameters!$E$7*IF(Verification!D72&lt;&gt;"",Verification!D72,IF(Coding!AG72=0,"NA",IF(AND(Parameters!$C$39=1,ISNUMBER(Calc!B72),Calc!B72&lt;=Parameters!$C$40),0,MIN(Coding!AG72,Parameters!$C$37)/Parameters!$C$37))),0))/(Scoring!N72-IF(ISNUMBER(Scoring!E72),Parameters!$E$7,0)+IF(ISNUMBER(IF(Verification!D72&lt;&gt;"",Verification!D72,IF(Coding!AG72=0,"NA",IF(AND(Parameters!$C$39=1,ISNUMBER(Calc!B72),Calc!B72&lt;=Parameters!$C$40),0,MIN(Coding!AG72,Parameters!$C$37)/Parameters!$C$37)))),Parameters!$E$7,0))*100,"NA")</f>
        <v>88.4615384615385</v>
      </c>
      <c r="F72" s="29" t="n">
        <f aca="false">IF(Scoring!R72="Yes",AVERAGE(Scoring!D72:J72)*100,"NA")</f>
        <v>79.7619047619048</v>
      </c>
      <c r="G72" s="29" t="n">
        <f aca="false">IF(AND((Scoring!N72-IF(ISNUMBER(Scoring!F72),Parameters!$E$8,0)+IF(ISNUMBER(IF(Verification!E72&lt;&gt;"",Scoring!F72,Calc!V72)),Parameters!$E$8,0))&gt;=Parameters!$C$56,Scoring!Q72&gt;=Parameters!$C$59),(Scoring!O72-IF(ISNUMBER(Scoring!F72),Parameters!$E$8*Scoring!F72,0)+IF(ISNUMBER(IF(Verification!E72&lt;&gt;"",Scoring!F72,Calc!V72)),Parameters!$E$8*IF(Verification!E72&lt;&gt;"",Scoring!F72,Calc!V72),0))/(Scoring!N72-IF(ISNUMBER(Scoring!F72),Parameters!$E$8,0)+IF(ISNUMBER(IF(Verification!E72&lt;&gt;"",Scoring!F72,Calc!V72)),Parameters!$E$8,0))*100,"NA")</f>
        <v>71.5</v>
      </c>
      <c r="H72" s="29" t="n">
        <f aca="false">IF(ISNUMBER(Scoring!S72),(Scoring!N72/Parameters!$E$13)*Scoring!S72+(1-Scoring!N72/Parameters!$E$13)*Summary!$B$9,"NA")</f>
        <v>74.5</v>
      </c>
      <c r="I72" s="29" t="n">
        <f aca="false">IF(AND(ISNUMBER(Scoring!S72),COUNT(Scoring!E72,Scoring!F72)&gt;0),Scoring!S72,"NA")</f>
        <v>74.5</v>
      </c>
      <c r="J72" s="29" t="n">
        <f aca="false">IF(AND(ISNUMBER($B72),ISNUMBER(C72)),ABS(C72-$B72),"")</f>
        <v>0</v>
      </c>
      <c r="K72" s="29" t="n">
        <f aca="false">IF(AND(ISNUMBER($B72),ISNUMBER(D72)),ABS(D72-$B72),"")</f>
        <v>0</v>
      </c>
      <c r="L72" s="29" t="n">
        <f aca="false">IF(AND(ISNUMBER($B72),ISNUMBER(E72)),ABS(E72-$B72),"")</f>
        <v>13.9615384615385</v>
      </c>
      <c r="M72" s="29" t="n">
        <f aca="false">IF(AND(ISNUMBER($B72),ISNUMBER(F72)),ABS(F72-$B72),"")</f>
        <v>5.26190476190475</v>
      </c>
      <c r="N72" s="29" t="n">
        <f aca="false">IF(AND(ISNUMBER($B72),ISNUMBER(G72)),ABS(G72-$B72),"")</f>
        <v>3</v>
      </c>
      <c r="O72" s="29" t="n">
        <f aca="false">IF(AND(ISNUMBER($B72),ISNUMBER(H72)),ABS(H72-$B72),"")</f>
        <v>0</v>
      </c>
      <c r="P72" s="29" t="n">
        <f aca="false">IF(AND(ISNUMBER($B72),ISNUMBER(I72)),ABS(I72-$B72),"")</f>
        <v>0</v>
      </c>
    </row>
    <row r="73" customFormat="false" ht="15" hidden="false" customHeight="true" outlineLevel="0" collapsed="false">
      <c r="A73" s="15" t="str">
        <f aca="false">Data!$A73</f>
        <v>Omeka</v>
      </c>
      <c r="B73" s="29" t="n">
        <f aca="false">Scoring!S73</f>
        <v>60.7179487179487</v>
      </c>
      <c r="C73" s="29" t="n">
        <f aca="false">IF(AND(Scoring!N73&gt;=Parameters!$C$57,Scoring!Q73&gt;=Parameters!$C$59),Scoring!O73/Scoring!N73*100,"NA")</f>
        <v>60.7179487179487</v>
      </c>
      <c r="D73" s="29" t="n">
        <f aca="false">IF(AND(Scoring!N73&gt;=Parameters!$C$58,Scoring!Q73&gt;=Parameters!$C$59),Scoring!O73/Scoring!N73*100,"NA")</f>
        <v>60.7179487179487</v>
      </c>
      <c r="E73" s="29" t="n">
        <f aca="false">IF(AND((Scoring!N73-IF(ISNUMBER(Scoring!E73),Parameters!$E$7,0)+IF(ISNUMBER(IF(Verification!D73&lt;&gt;"",Verification!D73,IF(Coding!AG73=0,"NA",IF(AND(Parameters!$C$39=1,ISNUMBER(Calc!B73),Calc!B73&lt;=Parameters!$C$40),0,MIN(Coding!AG73,Parameters!$C$37)/Parameters!$C$37)))),Parameters!$E$7,0))&gt;=Parameters!$C$56,Scoring!Q73&gt;=Parameters!$C$59),(Scoring!O73-IF(ISNUMBER(Scoring!E73),Parameters!$E$7*Scoring!E73,0)+IF(ISNUMBER(IF(Verification!D73&lt;&gt;"",Verification!D73,IF(Coding!AG73=0,"NA",IF(AND(Parameters!$C$39=1,ISNUMBER(Calc!B73),Calc!B73&lt;=Parameters!$C$40),0,MIN(Coding!AG73,Parameters!$C$37)/Parameters!$C$37)))),Parameters!$E$7*IF(Verification!D73&lt;&gt;"",Verification!D73,IF(Coding!AG73=0,"NA",IF(AND(Parameters!$C$39=1,ISNUMBER(Calc!B73),Calc!B73&lt;=Parameters!$C$40),0,MIN(Coding!AG73,Parameters!$C$37)/Parameters!$C$37))),0))/(Scoring!N73-IF(ISNUMBER(Scoring!E73),Parameters!$E$7,0)+IF(ISNUMBER(IF(Verification!D73&lt;&gt;"",Verification!D73,IF(Coding!AG73=0,"NA",IF(AND(Parameters!$C$39=1,ISNUMBER(Calc!B73),Calc!B73&lt;=Parameters!$C$40),0,MIN(Coding!AG73,Parameters!$C$37)/Parameters!$C$37)))),Parameters!$E$7,0))*100,"NA")</f>
        <v>60.7179487179487</v>
      </c>
      <c r="F73" s="29" t="n">
        <f aca="false">IF(Scoring!R73="Yes",AVERAGE(Scoring!D73:J73)*100,"NA")</f>
        <v>66.7222222222222</v>
      </c>
      <c r="G73" s="29" t="n">
        <f aca="false">IF(AND((Scoring!N73-IF(ISNUMBER(Scoring!F73),Parameters!$E$8,0)+IF(ISNUMBER(IF(Verification!E73&lt;&gt;"",Scoring!F73,Calc!V73)),Parameters!$E$8,0))&gt;=Parameters!$C$56,Scoring!Q73&gt;=Parameters!$C$59),(Scoring!O73-IF(ISNUMBER(Scoring!F73),Parameters!$E$8*Scoring!F73,0)+IF(ISNUMBER(IF(Verification!E73&lt;&gt;"",Scoring!F73,Calc!V73)),Parameters!$E$8*IF(Verification!E73&lt;&gt;"",Scoring!F73,Calc!V73),0))/(Scoring!N73-IF(ISNUMBER(Scoring!F73),Parameters!$E$8,0)+IF(ISNUMBER(IF(Verification!E73&lt;&gt;"",Scoring!F73,Calc!V73)),Parameters!$E$8,0))*100,"NA")</f>
        <v>60.7179487179487</v>
      </c>
      <c r="H73" s="29" t="n">
        <f aca="false">IF(ISNUMBER(Scoring!S73),(Scoring!N73/Parameters!$E$13)*Scoring!S73+(1-Scoring!N73/Parameters!$E$13)*Summary!$B$9,"NA")</f>
        <v>64.5696774193549</v>
      </c>
      <c r="I73" s="29" t="n">
        <f aca="false">IF(AND(ISNUMBER(Scoring!S73),COUNT(Scoring!E73,Scoring!F73)&gt;0),Scoring!S73,"NA")</f>
        <v>60.7179487179487</v>
      </c>
      <c r="J73" s="29" t="n">
        <f aca="false">IF(AND(ISNUMBER($B73),ISNUMBER(C73)),ABS(C73-$B73),"")</f>
        <v>0</v>
      </c>
      <c r="K73" s="29" t="n">
        <f aca="false">IF(AND(ISNUMBER($B73),ISNUMBER(D73)),ABS(D73-$B73),"")</f>
        <v>0</v>
      </c>
      <c r="L73" s="29" t="n">
        <f aca="false">IF(AND(ISNUMBER($B73),ISNUMBER(E73)),ABS(E73-$B73),"")</f>
        <v>0</v>
      </c>
      <c r="M73" s="29" t="n">
        <f aca="false">IF(AND(ISNUMBER($B73),ISNUMBER(F73)),ABS(F73-$B73),"")</f>
        <v>6.00427350427349</v>
      </c>
      <c r="N73" s="29" t="n">
        <f aca="false">IF(AND(ISNUMBER($B73),ISNUMBER(G73)),ABS(G73-$B73),"")</f>
        <v>0</v>
      </c>
      <c r="O73" s="29" t="n">
        <f aca="false">IF(AND(ISNUMBER($B73),ISNUMBER(H73)),ABS(H73-$B73),"")</f>
        <v>3.85172870140612</v>
      </c>
      <c r="P73" s="29" t="n">
        <f aca="false">IF(AND(ISNUMBER($B73),ISNUMBER(I73)),ABS(I73-$B73),"")</f>
        <v>0</v>
      </c>
    </row>
    <row r="74" customFormat="false" ht="15" hidden="false" customHeight="true" outlineLevel="0" collapsed="false">
      <c r="A74" s="15" t="str">
        <f aca="false">Data!$A74</f>
        <v>OpenAIRE Graph</v>
      </c>
      <c r="B74" s="29" t="n">
        <f aca="false">Scoring!S74</f>
        <v>96.4285714285714</v>
      </c>
      <c r="C74" s="29" t="n">
        <f aca="false">IF(AND(Scoring!N74&gt;=Parameters!$C$57,Scoring!Q74&gt;=Parameters!$C$59),Scoring!O74/Scoring!N74*100,"NA")</f>
        <v>96.4285714285714</v>
      </c>
      <c r="D74" s="29" t="n">
        <f aca="false">IF(AND(Scoring!N74&gt;=Parameters!$C$58,Scoring!Q74&gt;=Parameters!$C$59),Scoring!O74/Scoring!N74*100,"NA")</f>
        <v>96.4285714285714</v>
      </c>
      <c r="E74" s="29" t="n">
        <f aca="false">IF(AND((Scoring!N74-IF(ISNUMBER(Scoring!E74),Parameters!$E$7,0)+IF(ISNUMBER(IF(Verification!D74&lt;&gt;"",Verification!D74,IF(Coding!AG74=0,"NA",IF(AND(Parameters!$C$39=1,ISNUMBER(Calc!B74),Calc!B74&lt;=Parameters!$C$40),0,MIN(Coding!AG74,Parameters!$C$37)/Parameters!$C$37)))),Parameters!$E$7,0))&gt;=Parameters!$C$56,Scoring!Q74&gt;=Parameters!$C$59),(Scoring!O74-IF(ISNUMBER(Scoring!E74),Parameters!$E$7*Scoring!E74,0)+IF(ISNUMBER(IF(Verification!D74&lt;&gt;"",Verification!D74,IF(Coding!AG74=0,"NA",IF(AND(Parameters!$C$39=1,ISNUMBER(Calc!B74),Calc!B74&lt;=Parameters!$C$40),0,MIN(Coding!AG74,Parameters!$C$37)/Parameters!$C$37)))),Parameters!$E$7*IF(Verification!D74&lt;&gt;"",Verification!D74,IF(Coding!AG74=0,"NA",IF(AND(Parameters!$C$39=1,ISNUMBER(Calc!B74),Calc!B74&lt;=Parameters!$C$40),0,MIN(Coding!AG74,Parameters!$C$37)/Parameters!$C$37))),0))/(Scoring!N74-IF(ISNUMBER(Scoring!E74),Parameters!$E$7,0)+IF(ISNUMBER(IF(Verification!D74&lt;&gt;"",Verification!D74,IF(Coding!AG74=0,"NA",IF(AND(Parameters!$C$39=1,ISNUMBER(Calc!B74),Calc!B74&lt;=Parameters!$C$40),0,MIN(Coding!AG74,Parameters!$C$37)/Parameters!$C$37)))),Parameters!$E$7,0))*100,"NA")</f>
        <v>96.4285714285714</v>
      </c>
      <c r="F74" s="29" t="n">
        <f aca="false">IF(Scoring!R74="Yes",AVERAGE(Scoring!D74:J74)*100,"NA")</f>
        <v>90</v>
      </c>
      <c r="G74" s="29" t="n">
        <f aca="false">IF(AND((Scoring!N74-IF(ISNUMBER(Scoring!F74),Parameters!$E$8,0)+IF(ISNUMBER(IF(Verification!E74&lt;&gt;"",Scoring!F74,Calc!V74)),Parameters!$E$8,0))&gt;=Parameters!$C$56,Scoring!Q74&gt;=Parameters!$C$59),(Scoring!O74-IF(ISNUMBER(Scoring!F74),Parameters!$E$8*Scoring!F74,0)+IF(ISNUMBER(IF(Verification!E74&lt;&gt;"",Scoring!F74,Calc!V74)),Parameters!$E$8*IF(Verification!E74&lt;&gt;"",Scoring!F74,Calc!V74),0))/(Scoring!N74-IF(ISNUMBER(Scoring!F74),Parameters!$E$8,0)+IF(ISNUMBER(IF(Verification!E74&lt;&gt;"",Scoring!F74,Calc!V74)),Parameters!$E$8,0))*100,"NA")</f>
        <v>96.4285714285714</v>
      </c>
      <c r="H74" s="29" t="n">
        <f aca="false">IF(ISNUMBER(Scoring!S74),(Scoring!N74/Parameters!$E$13)*Scoring!S74+(1-Scoring!N74/Parameters!$E$13)*Summary!$B$9,"NA")</f>
        <v>90.9677419354839</v>
      </c>
      <c r="I74" s="29" t="n">
        <f aca="false">IF(AND(ISNUMBER(Scoring!S74),COUNT(Scoring!E74,Scoring!F74)&gt;0),Scoring!S74,"NA")</f>
        <v>96.4285714285714</v>
      </c>
      <c r="J74" s="29" t="n">
        <f aca="false">IF(AND(ISNUMBER($B74),ISNUMBER(C74)),ABS(C74-$B74),"")</f>
        <v>0</v>
      </c>
      <c r="K74" s="29" t="n">
        <f aca="false">IF(AND(ISNUMBER($B74),ISNUMBER(D74)),ABS(D74-$B74),"")</f>
        <v>0</v>
      </c>
      <c r="L74" s="29" t="n">
        <f aca="false">IF(AND(ISNUMBER($B74),ISNUMBER(E74)),ABS(E74-$B74),"")</f>
        <v>0</v>
      </c>
      <c r="M74" s="29" t="n">
        <f aca="false">IF(AND(ISNUMBER($B74),ISNUMBER(F74)),ABS(F74-$B74),"")</f>
        <v>6.42857142857145</v>
      </c>
      <c r="N74" s="29" t="n">
        <f aca="false">IF(AND(ISNUMBER($B74),ISNUMBER(G74)),ABS(G74-$B74),"")</f>
        <v>0</v>
      </c>
      <c r="O74" s="29" t="n">
        <f aca="false">IF(AND(ISNUMBER($B74),ISNUMBER(H74)),ABS(H74-$B74),"")</f>
        <v>5.46082949308757</v>
      </c>
      <c r="P74" s="29" t="n">
        <f aca="false">IF(AND(ISNUMBER($B74),ISNUMBER(I74)),ABS(I74-$B74),"")</f>
        <v>0</v>
      </c>
    </row>
    <row r="75" customFormat="false" ht="15" hidden="false" customHeight="true" outlineLevel="0" collapsed="false">
      <c r="A75" s="15" t="str">
        <f aca="false">Data!$A75</f>
        <v>OpenAlex</v>
      </c>
      <c r="B75" s="29" t="n">
        <f aca="false">Scoring!S75</f>
        <v>50.25</v>
      </c>
      <c r="C75" s="29" t="n">
        <f aca="false">IF(AND(Scoring!N75&gt;=Parameters!$C$57,Scoring!Q75&gt;=Parameters!$C$59),Scoring!O75/Scoring!N75*100,"NA")</f>
        <v>50.25</v>
      </c>
      <c r="D75" s="29" t="n">
        <f aca="false">IF(AND(Scoring!N75&gt;=Parameters!$C$58,Scoring!Q75&gt;=Parameters!$C$59),Scoring!O75/Scoring!N75*100,"NA")</f>
        <v>50.25</v>
      </c>
      <c r="E75" s="29" t="n">
        <f aca="false">IF(AND((Scoring!N75-IF(ISNUMBER(Scoring!E75),Parameters!$E$7,0)+IF(ISNUMBER(IF(Verification!D75&lt;&gt;"",Verification!D75,IF(Coding!AG75=0,"NA",IF(AND(Parameters!$C$39=1,ISNUMBER(Calc!B75),Calc!B75&lt;=Parameters!$C$40),0,MIN(Coding!AG75,Parameters!$C$37)/Parameters!$C$37)))),Parameters!$E$7,0))&gt;=Parameters!$C$56,Scoring!Q75&gt;=Parameters!$C$59),(Scoring!O75-IF(ISNUMBER(Scoring!E75),Parameters!$E$7*Scoring!E75,0)+IF(ISNUMBER(IF(Verification!D75&lt;&gt;"",Verification!D75,IF(Coding!AG75=0,"NA",IF(AND(Parameters!$C$39=1,ISNUMBER(Calc!B75),Calc!B75&lt;=Parameters!$C$40),0,MIN(Coding!AG75,Parameters!$C$37)/Parameters!$C$37)))),Parameters!$E$7*IF(Verification!D75&lt;&gt;"",Verification!D75,IF(Coding!AG75=0,"NA",IF(AND(Parameters!$C$39=1,ISNUMBER(Calc!B75),Calc!B75&lt;=Parameters!$C$40),0,MIN(Coding!AG75,Parameters!$C$37)/Parameters!$C$37))),0))/(Scoring!N75-IF(ISNUMBER(Scoring!E75),Parameters!$E$7,0)+IF(ISNUMBER(IF(Verification!D75&lt;&gt;"",Verification!D75,IF(Coding!AG75=0,"NA",IF(AND(Parameters!$C$39=1,ISNUMBER(Calc!B75),Calc!B75&lt;=Parameters!$C$40),0,MIN(Coding!AG75,Parameters!$C$37)/Parameters!$C$37)))),Parameters!$E$7,0))*100,"NA")</f>
        <v>53.8461538461538</v>
      </c>
      <c r="F75" s="29" t="n">
        <f aca="false">IF(Scoring!R75="Yes",AVERAGE(Scoring!D75:J75)*100,"NA")</f>
        <v>57.7380952380952</v>
      </c>
      <c r="G75" s="29" t="n">
        <f aca="false">IF(AND((Scoring!N75-IF(ISNUMBER(Scoring!F75),Parameters!$E$8,0)+IF(ISNUMBER(IF(Verification!E75&lt;&gt;"",Scoring!F75,Calc!V75)),Parameters!$E$8,0))&gt;=Parameters!$C$56,Scoring!Q75&gt;=Parameters!$C$59),(Scoring!O75-IF(ISNUMBER(Scoring!F75),Parameters!$E$8*Scoring!F75,0)+IF(ISNUMBER(IF(Verification!E75&lt;&gt;"",Scoring!F75,Calc!V75)),Parameters!$E$8*IF(Verification!E75&lt;&gt;"",Scoring!F75,Calc!V75),0))/(Scoring!N75-IF(ISNUMBER(Scoring!F75),Parameters!$E$8,0)+IF(ISNUMBER(IF(Verification!E75&lt;&gt;"",Scoring!F75,Calc!V75)),Parameters!$E$8,0))*100,"NA")</f>
        <v>50.25</v>
      </c>
      <c r="H75" s="29" t="n">
        <f aca="false">IF(ISNUMBER(Scoring!S75),(Scoring!N75/Parameters!$E$13)*Scoring!S75+(1-Scoring!N75/Parameters!$E$13)*Summary!$B$9,"NA")</f>
        <v>50.25</v>
      </c>
      <c r="I75" s="29" t="n">
        <f aca="false">IF(AND(ISNUMBER(Scoring!S75),COUNT(Scoring!E75,Scoring!F75)&gt;0),Scoring!S75,"NA")</f>
        <v>50.25</v>
      </c>
      <c r="J75" s="29" t="n">
        <f aca="false">IF(AND(ISNUMBER($B75),ISNUMBER(C75)),ABS(C75-$B75),"")</f>
        <v>0</v>
      </c>
      <c r="K75" s="29" t="n">
        <f aca="false">IF(AND(ISNUMBER($B75),ISNUMBER(D75)),ABS(D75-$B75),"")</f>
        <v>0</v>
      </c>
      <c r="L75" s="29" t="n">
        <f aca="false">IF(AND(ISNUMBER($B75),ISNUMBER(E75)),ABS(E75-$B75),"")</f>
        <v>3.59615384615384</v>
      </c>
      <c r="M75" s="29" t="n">
        <f aca="false">IF(AND(ISNUMBER($B75),ISNUMBER(F75)),ABS(F75-$B75),"")</f>
        <v>7.48809523809525</v>
      </c>
      <c r="N75" s="29" t="n">
        <f aca="false">IF(AND(ISNUMBER($B75),ISNUMBER(G75)),ABS(G75-$B75),"")</f>
        <v>0</v>
      </c>
      <c r="O75" s="29" t="n">
        <f aca="false">IF(AND(ISNUMBER($B75),ISNUMBER(H75)),ABS(H75-$B75),"")</f>
        <v>0</v>
      </c>
      <c r="P75" s="29" t="n">
        <f aca="false">IF(AND(ISNUMBER($B75),ISNUMBER(I75)),ABS(I75-$B75),"")</f>
        <v>0</v>
      </c>
    </row>
    <row r="76" customFormat="false" ht="15" hidden="false" customHeight="true" outlineLevel="0" collapsed="false">
      <c r="A76" s="15" t="str">
        <f aca="false">Data!$A76</f>
        <v>OpenAPC</v>
      </c>
      <c r="B76" s="29" t="n">
        <f aca="false">Scoring!S76</f>
        <v>72.5806451612903</v>
      </c>
      <c r="C76" s="29" t="n">
        <f aca="false">IF(AND(Scoring!N76&gt;=Parameters!$C$57,Scoring!Q76&gt;=Parameters!$C$59),Scoring!O76/Scoring!N76*100,"NA")</f>
        <v>72.5806451612903</v>
      </c>
      <c r="D76" s="29" t="str">
        <f aca="false">IF(AND(Scoring!N76&gt;=Parameters!$C$58,Scoring!Q76&gt;=Parameters!$C$59),Scoring!O76/Scoring!N76*100,"NA")</f>
        <v>NA</v>
      </c>
      <c r="E76" s="29" t="n">
        <f aca="false">IF(AND((Scoring!N76-IF(ISNUMBER(Scoring!E76),Parameters!$E$7,0)+IF(ISNUMBER(IF(Verification!D76&lt;&gt;"",Verification!D76,IF(Coding!AG76=0,"NA",IF(AND(Parameters!$C$39=1,ISNUMBER(Calc!B76),Calc!B76&lt;=Parameters!$C$40),0,MIN(Coding!AG76,Parameters!$C$37)/Parameters!$C$37)))),Parameters!$E$7,0))&gt;=Parameters!$C$56,Scoring!Q76&gt;=Parameters!$C$59),(Scoring!O76-IF(ISNUMBER(Scoring!E76),Parameters!$E$7*Scoring!E76,0)+IF(ISNUMBER(IF(Verification!D76&lt;&gt;"",Verification!D76,IF(Coding!AG76=0,"NA",IF(AND(Parameters!$C$39=1,ISNUMBER(Calc!B76),Calc!B76&lt;=Parameters!$C$40),0,MIN(Coding!AG76,Parameters!$C$37)/Parameters!$C$37)))),Parameters!$E$7*IF(Verification!D76&lt;&gt;"",Verification!D76,IF(Coding!AG76=0,"NA",IF(AND(Parameters!$C$39=1,ISNUMBER(Calc!B76),Calc!B76&lt;=Parameters!$C$40),0,MIN(Coding!AG76,Parameters!$C$37)/Parameters!$C$37))),0))/(Scoring!N76-IF(ISNUMBER(Scoring!E76),Parameters!$E$7,0)+IF(ISNUMBER(IF(Verification!D76&lt;&gt;"",Verification!D76,IF(Coding!AG76=0,"NA",IF(AND(Parameters!$C$39=1,ISNUMBER(Calc!B76),Calc!B76&lt;=Parameters!$C$40),0,MIN(Coding!AG76,Parameters!$C$37)/Parameters!$C$37)))),Parameters!$E$7,0))*100,"NA")</f>
        <v>72.5806451612903</v>
      </c>
      <c r="F76" s="29" t="n">
        <f aca="false">IF(Scoring!R76="Yes",AVERAGE(Scoring!D76:J76)*100,"NA")</f>
        <v>80</v>
      </c>
      <c r="G76" s="29" t="n">
        <f aca="false">IF(AND((Scoring!N76-IF(ISNUMBER(Scoring!F76),Parameters!$E$8,0)+IF(ISNUMBER(IF(Verification!E76&lt;&gt;"",Scoring!F76,Calc!V76)),Parameters!$E$8,0))&gt;=Parameters!$C$56,Scoring!Q76&gt;=Parameters!$C$59),(Scoring!O76-IF(ISNUMBER(Scoring!F76),Parameters!$E$8*Scoring!F76,0)+IF(ISNUMBER(IF(Verification!E76&lt;&gt;"",Scoring!F76,Calc!V76)),Parameters!$E$8*IF(Verification!E76&lt;&gt;"",Scoring!F76,Calc!V76),0))/(Scoring!N76-IF(ISNUMBER(Scoring!F76),Parameters!$E$8,0)+IF(ISNUMBER(IF(Verification!E76&lt;&gt;"",Scoring!F76,Calc!V76)),Parameters!$E$8,0))*100,"NA")</f>
        <v>72.5806451612903</v>
      </c>
      <c r="H76" s="29" t="n">
        <f aca="false">IF(ISNUMBER(Scoring!S76),(Scoring!N76/Parameters!$E$13)*Scoring!S76+(1-Scoring!N76/Parameters!$E$13)*Summary!$B$9,"NA")</f>
        <v>74.7258064516129</v>
      </c>
      <c r="I76" s="29" t="n">
        <f aca="false">IF(AND(ISNUMBER(Scoring!S76),COUNT(Scoring!E76,Scoring!F76)&gt;0),Scoring!S76,"NA")</f>
        <v>72.5806451612903</v>
      </c>
      <c r="J76" s="29" t="n">
        <f aca="false">IF(AND(ISNUMBER($B76),ISNUMBER(C76)),ABS(C76-$B76),"")</f>
        <v>0</v>
      </c>
      <c r="K76" s="29" t="str">
        <f aca="false">IF(AND(ISNUMBER($B76),ISNUMBER(D76)),ABS(D76-$B76),"")</f>
        <v/>
      </c>
      <c r="L76" s="29" t="n">
        <f aca="false">IF(AND(ISNUMBER($B76),ISNUMBER(E76)),ABS(E76-$B76),"")</f>
        <v>0</v>
      </c>
      <c r="M76" s="29" t="n">
        <f aca="false">IF(AND(ISNUMBER($B76),ISNUMBER(F76)),ABS(F76-$B76),"")</f>
        <v>7.41935483870968</v>
      </c>
      <c r="N76" s="29" t="n">
        <f aca="false">IF(AND(ISNUMBER($B76),ISNUMBER(G76)),ABS(G76-$B76),"")</f>
        <v>0</v>
      </c>
      <c r="O76" s="29" t="n">
        <f aca="false">IF(AND(ISNUMBER($B76),ISNUMBER(H76)),ABS(H76-$B76),"")</f>
        <v>2.14516129032258</v>
      </c>
      <c r="P76" s="29" t="n">
        <f aca="false">IF(AND(ISNUMBER($B76),ISNUMBER(I76)),ABS(I76-$B76),"")</f>
        <v>0</v>
      </c>
    </row>
    <row r="77" customFormat="false" ht="15" hidden="false" customHeight="true" outlineLevel="0" collapsed="false">
      <c r="A77" s="15" t="str">
        <f aca="false">Data!$A77</f>
        <v>OpenCitations</v>
      </c>
      <c r="B77" s="29" t="n">
        <f aca="false">Scoring!S77</f>
        <v>63.64</v>
      </c>
      <c r="C77" s="29" t="n">
        <f aca="false">IF(AND(Scoring!N77&gt;=Parameters!$C$57,Scoring!Q77&gt;=Parameters!$C$59),Scoring!O77/Scoring!N77*100,"NA")</f>
        <v>63.64</v>
      </c>
      <c r="D77" s="29" t="n">
        <f aca="false">IF(AND(Scoring!N77&gt;=Parameters!$C$58,Scoring!Q77&gt;=Parameters!$C$59),Scoring!O77/Scoring!N77*100,"NA")</f>
        <v>63.64</v>
      </c>
      <c r="E77" s="29" t="n">
        <f aca="false">IF(AND((Scoring!N77-IF(ISNUMBER(Scoring!E77),Parameters!$E$7,0)+IF(ISNUMBER(IF(Verification!D77&lt;&gt;"",Verification!D77,IF(Coding!AG77=0,"NA",IF(AND(Parameters!$C$39=1,ISNUMBER(Calc!B77),Calc!B77&lt;=Parameters!$C$40),0,MIN(Coding!AG77,Parameters!$C$37)/Parameters!$C$37)))),Parameters!$E$7,0))&gt;=Parameters!$C$56,Scoring!Q77&gt;=Parameters!$C$59),(Scoring!O77-IF(ISNUMBER(Scoring!E77),Parameters!$E$7*Scoring!E77,0)+IF(ISNUMBER(IF(Verification!D77&lt;&gt;"",Verification!D77,IF(Coding!AG77=0,"NA",IF(AND(Parameters!$C$39=1,ISNUMBER(Calc!B77),Calc!B77&lt;=Parameters!$C$40),0,MIN(Coding!AG77,Parameters!$C$37)/Parameters!$C$37)))),Parameters!$E$7*IF(Verification!D77&lt;&gt;"",Verification!D77,IF(Coding!AG77=0,"NA",IF(AND(Parameters!$C$39=1,ISNUMBER(Calc!B77),Calc!B77&lt;=Parameters!$C$40),0,MIN(Coding!AG77,Parameters!$C$37)/Parameters!$C$37))),0))/(Scoring!N77-IF(ISNUMBER(Scoring!E77),Parameters!$E$7,0)+IF(ISNUMBER(IF(Verification!D77&lt;&gt;"",Verification!D77,IF(Coding!AG77=0,"NA",IF(AND(Parameters!$C$39=1,ISNUMBER(Calc!B77),Calc!B77&lt;=Parameters!$C$40),0,MIN(Coding!AG77,Parameters!$C$37)/Parameters!$C$37)))),Parameters!$E$7,0))*100,"NA")</f>
        <v>63.64</v>
      </c>
      <c r="F77" s="29" t="n">
        <f aca="false">IF(Scoring!R77="Yes",AVERAGE(Scoring!D77:J77)*100,"NA")</f>
        <v>66.6190476190476</v>
      </c>
      <c r="G77" s="29" t="n">
        <f aca="false">IF(AND((Scoring!N77-IF(ISNUMBER(Scoring!F77),Parameters!$E$8,0)+IF(ISNUMBER(IF(Verification!E77&lt;&gt;"",Scoring!F77,Calc!V77)),Parameters!$E$8,0))&gt;=Parameters!$C$56,Scoring!Q77&gt;=Parameters!$C$59),(Scoring!O77-IF(ISNUMBER(Scoring!F77),Parameters!$E$8*Scoring!F77,0)+IF(ISNUMBER(IF(Verification!E77&lt;&gt;"",Scoring!F77,Calc!V77)),Parameters!$E$8*IF(Verification!E77&lt;&gt;"",Scoring!F77,Calc!V77),0))/(Scoring!N77-IF(ISNUMBER(Scoring!F77),Parameters!$E$8,0)+IF(ISNUMBER(IF(Verification!E77&lt;&gt;"",Scoring!F77,Calc!V77)),Parameters!$E$8,0))*100,"NA")</f>
        <v>60.64</v>
      </c>
      <c r="H77" s="29" t="n">
        <f aca="false">IF(ISNUMBER(Scoring!S77),(Scoring!N77/Parameters!$E$13)*Scoring!S77+(1-Scoring!N77/Parameters!$E$13)*Summary!$B$9,"NA")</f>
        <v>63.64</v>
      </c>
      <c r="I77" s="29" t="n">
        <f aca="false">IF(AND(ISNUMBER(Scoring!S77),COUNT(Scoring!E77,Scoring!F77)&gt;0),Scoring!S77,"NA")</f>
        <v>63.64</v>
      </c>
      <c r="J77" s="29" t="n">
        <f aca="false">IF(AND(ISNUMBER($B77),ISNUMBER(C77)),ABS(C77-$B77),"")</f>
        <v>0</v>
      </c>
      <c r="K77" s="29" t="n">
        <f aca="false">IF(AND(ISNUMBER($B77),ISNUMBER(D77)),ABS(D77-$B77),"")</f>
        <v>0</v>
      </c>
      <c r="L77" s="29" t="n">
        <f aca="false">IF(AND(ISNUMBER($B77),ISNUMBER(E77)),ABS(E77-$B77),"")</f>
        <v>0</v>
      </c>
      <c r="M77" s="29" t="n">
        <f aca="false">IF(AND(ISNUMBER($B77),ISNUMBER(F77)),ABS(F77-$B77),"")</f>
        <v>2.9790476190476</v>
      </c>
      <c r="N77" s="29" t="n">
        <f aca="false">IF(AND(ISNUMBER($B77),ISNUMBER(G77)),ABS(G77-$B77),"")</f>
        <v>3</v>
      </c>
      <c r="O77" s="29" t="n">
        <f aca="false">IF(AND(ISNUMBER($B77),ISNUMBER(H77)),ABS(H77-$B77),"")</f>
        <v>0</v>
      </c>
      <c r="P77" s="29" t="n">
        <f aca="false">IF(AND(ISNUMBER($B77),ISNUMBER(I77)),ABS(I77-$B77),"")</f>
        <v>0</v>
      </c>
    </row>
    <row r="78" customFormat="false" ht="15" hidden="false" customHeight="true" outlineLevel="0" collapsed="false">
      <c r="A78" s="15" t="str">
        <f aca="false">Data!$A78</f>
        <v>openCost</v>
      </c>
      <c r="B78" s="29" t="n">
        <f aca="false">Scoring!S78</f>
        <v>52.8225806451613</v>
      </c>
      <c r="C78" s="29" t="n">
        <f aca="false">IF(AND(Scoring!N78&gt;=Parameters!$C$57,Scoring!Q78&gt;=Parameters!$C$59),Scoring!O78/Scoring!N78*100,"NA")</f>
        <v>52.8225806451613</v>
      </c>
      <c r="D78" s="29" t="str">
        <f aca="false">IF(AND(Scoring!N78&gt;=Parameters!$C$58,Scoring!Q78&gt;=Parameters!$C$59),Scoring!O78/Scoring!N78*100,"NA")</f>
        <v>NA</v>
      </c>
      <c r="E78" s="29" t="n">
        <f aca="false">IF(AND((Scoring!N78-IF(ISNUMBER(Scoring!E78),Parameters!$E$7,0)+IF(ISNUMBER(IF(Verification!D78&lt;&gt;"",Verification!D78,IF(Coding!AG78=0,"NA",IF(AND(Parameters!$C$39=1,ISNUMBER(Calc!B78),Calc!B78&lt;=Parameters!$C$40),0,MIN(Coding!AG78,Parameters!$C$37)/Parameters!$C$37)))),Parameters!$E$7,0))&gt;=Parameters!$C$56,Scoring!Q78&gt;=Parameters!$C$59),(Scoring!O78-IF(ISNUMBER(Scoring!E78),Parameters!$E$7*Scoring!E78,0)+IF(ISNUMBER(IF(Verification!D78&lt;&gt;"",Verification!D78,IF(Coding!AG78=0,"NA",IF(AND(Parameters!$C$39=1,ISNUMBER(Calc!B78),Calc!B78&lt;=Parameters!$C$40),0,MIN(Coding!AG78,Parameters!$C$37)/Parameters!$C$37)))),Parameters!$E$7*IF(Verification!D78&lt;&gt;"",Verification!D78,IF(Coding!AG78=0,"NA",IF(AND(Parameters!$C$39=1,ISNUMBER(Calc!B78),Calc!B78&lt;=Parameters!$C$40),0,MIN(Coding!AG78,Parameters!$C$37)/Parameters!$C$37))),0))/(Scoring!N78-IF(ISNUMBER(Scoring!E78),Parameters!$E$7,0)+IF(ISNUMBER(IF(Verification!D78&lt;&gt;"",Verification!D78,IF(Coding!AG78=0,"NA",IF(AND(Parameters!$C$39=1,ISNUMBER(Calc!B78),Calc!B78&lt;=Parameters!$C$40),0,MIN(Coding!AG78,Parameters!$C$37)/Parameters!$C$37)))),Parameters!$E$7,0))*100,"NA")</f>
        <v>52.8225806451613</v>
      </c>
      <c r="F78" s="29" t="n">
        <f aca="false">IF(Scoring!R78="Yes",AVERAGE(Scoring!D78:J78)*100,"NA")</f>
        <v>62.5</v>
      </c>
      <c r="G78" s="29" t="n">
        <f aca="false">IF(AND((Scoring!N78-IF(ISNUMBER(Scoring!F78),Parameters!$E$8,0)+IF(ISNUMBER(IF(Verification!E78&lt;&gt;"",Scoring!F78,Calc!V78)),Parameters!$E$8,0))&gt;=Parameters!$C$56,Scoring!Q78&gt;=Parameters!$C$59),(Scoring!O78-IF(ISNUMBER(Scoring!F78),Parameters!$E$8*Scoring!F78,0)+IF(ISNUMBER(IF(Verification!E78&lt;&gt;"",Scoring!F78,Calc!V78)),Parameters!$E$8*IF(Verification!E78&lt;&gt;"",Scoring!F78,Calc!V78),0))/(Scoring!N78-IF(ISNUMBER(Scoring!F78),Parameters!$E$8,0)+IF(ISNUMBER(IF(Verification!E78&lt;&gt;"",Scoring!F78,Calc!V78)),Parameters!$E$8,0))*100,"NA")</f>
        <v>52.8225806451613</v>
      </c>
      <c r="H78" s="29" t="n">
        <f aca="false">IF(ISNUMBER(Scoring!S78),(Scoring!N78/Parameters!$E$13)*Scoring!S78+(1-Scoring!N78/Parameters!$E$13)*Summary!$B$9,"NA")</f>
        <v>62.4758064516129</v>
      </c>
      <c r="I78" s="29" t="n">
        <f aca="false">IF(AND(ISNUMBER(Scoring!S78),COUNT(Scoring!E78,Scoring!F78)&gt;0),Scoring!S78,"NA")</f>
        <v>52.8225806451613</v>
      </c>
      <c r="J78" s="29" t="n">
        <f aca="false">IF(AND(ISNUMBER($B78),ISNUMBER(C78)),ABS(C78-$B78),"")</f>
        <v>0</v>
      </c>
      <c r="K78" s="29" t="str">
        <f aca="false">IF(AND(ISNUMBER($B78),ISNUMBER(D78)),ABS(D78-$B78),"")</f>
        <v/>
      </c>
      <c r="L78" s="29" t="n">
        <f aca="false">IF(AND(ISNUMBER($B78),ISNUMBER(E78)),ABS(E78-$B78),"")</f>
        <v>0</v>
      </c>
      <c r="M78" s="29" t="n">
        <f aca="false">IF(AND(ISNUMBER($B78),ISNUMBER(F78)),ABS(F78-$B78),"")</f>
        <v>9.67741935483871</v>
      </c>
      <c r="N78" s="29" t="n">
        <f aca="false">IF(AND(ISNUMBER($B78),ISNUMBER(G78)),ABS(G78-$B78),"")</f>
        <v>0</v>
      </c>
      <c r="O78" s="29" t="n">
        <f aca="false">IF(AND(ISNUMBER($B78),ISNUMBER(H78)),ABS(H78-$B78),"")</f>
        <v>9.65322580645161</v>
      </c>
      <c r="P78" s="29" t="n">
        <f aca="false">IF(AND(ISNUMBER($B78),ISNUMBER(I78)),ABS(I78-$B78),"")</f>
        <v>0</v>
      </c>
    </row>
    <row r="79" customFormat="false" ht="15" hidden="false" customHeight="true" outlineLevel="0" collapsed="false">
      <c r="A79" s="15" t="str">
        <f aca="false">Data!$A79</f>
        <v>Open Data Editor</v>
      </c>
      <c r="B79" s="29" t="n">
        <f aca="false">Scoring!S79</f>
        <v>74</v>
      </c>
      <c r="C79" s="29" t="n">
        <f aca="false">IF(AND(Scoring!N79&gt;=Parameters!$C$57,Scoring!Q79&gt;=Parameters!$C$59),Scoring!O79/Scoring!N79*100,"NA")</f>
        <v>74</v>
      </c>
      <c r="D79" s="29" t="n">
        <f aca="false">IF(AND(Scoring!N79&gt;=Parameters!$C$58,Scoring!Q79&gt;=Parameters!$C$59),Scoring!O79/Scoring!N79*100,"NA")</f>
        <v>74</v>
      </c>
      <c r="E79" s="29" t="n">
        <f aca="false">IF(AND((Scoring!N79-IF(ISNUMBER(Scoring!E79),Parameters!$E$7,0)+IF(ISNUMBER(IF(Verification!D79&lt;&gt;"",Verification!D79,IF(Coding!AG79=0,"NA",IF(AND(Parameters!$C$39=1,ISNUMBER(Calc!B79),Calc!B79&lt;=Parameters!$C$40),0,MIN(Coding!AG79,Parameters!$C$37)/Parameters!$C$37)))),Parameters!$E$7,0))&gt;=Parameters!$C$56,Scoring!Q79&gt;=Parameters!$C$59),(Scoring!O79-IF(ISNUMBER(Scoring!E79),Parameters!$E$7*Scoring!E79,0)+IF(ISNUMBER(IF(Verification!D79&lt;&gt;"",Verification!D79,IF(Coding!AG79=0,"NA",IF(AND(Parameters!$C$39=1,ISNUMBER(Calc!B79),Calc!B79&lt;=Parameters!$C$40),0,MIN(Coding!AG79,Parameters!$C$37)/Parameters!$C$37)))),Parameters!$E$7*IF(Verification!D79&lt;&gt;"",Verification!D79,IF(Coding!AG79=0,"NA",IF(AND(Parameters!$C$39=1,ISNUMBER(Calc!B79),Calc!B79&lt;=Parameters!$C$40),0,MIN(Coding!AG79,Parameters!$C$37)/Parameters!$C$37))),0))/(Scoring!N79-IF(ISNUMBER(Scoring!E79),Parameters!$E$7,0)+IF(ISNUMBER(IF(Verification!D79&lt;&gt;"",Verification!D79,IF(Coding!AG79=0,"NA",IF(AND(Parameters!$C$39=1,ISNUMBER(Calc!B79),Calc!B79&lt;=Parameters!$C$40),0,MIN(Coding!AG79,Parameters!$C$37)/Parameters!$C$37)))),Parameters!$E$7,0))*100,"NA")</f>
        <v>74</v>
      </c>
      <c r="F79" s="29" t="n">
        <f aca="false">IF(Scoring!R79="Yes",AVERAGE(Scoring!D79:J79)*100,"NA")</f>
        <v>80.952380952381</v>
      </c>
      <c r="G79" s="29" t="n">
        <f aca="false">IF(AND((Scoring!N79-IF(ISNUMBER(Scoring!F79),Parameters!$E$8,0)+IF(ISNUMBER(IF(Verification!E79&lt;&gt;"",Scoring!F79,Calc!V79)),Parameters!$E$8,0))&gt;=Parameters!$C$56,Scoring!Q79&gt;=Parameters!$C$59),(Scoring!O79-IF(ISNUMBER(Scoring!F79),Parameters!$E$8*Scoring!F79,0)+IF(ISNUMBER(IF(Verification!E79&lt;&gt;"",Scoring!F79,Calc!V79)),Parameters!$E$8*IF(Verification!E79&lt;&gt;"",Scoring!F79,Calc!V79),0))/(Scoring!N79-IF(ISNUMBER(Scoring!F79),Parameters!$E$8,0)+IF(ISNUMBER(IF(Verification!E79&lt;&gt;"",Scoring!F79,Calc!V79)),Parameters!$E$8,0))*100,"NA")</f>
        <v>74</v>
      </c>
      <c r="H79" s="29" t="n">
        <f aca="false">IF(ISNUMBER(Scoring!S79),(Scoring!N79/Parameters!$E$13)*Scoring!S79+(1-Scoring!N79/Parameters!$E$13)*Summary!$B$9,"NA")</f>
        <v>74</v>
      </c>
      <c r="I79" s="29" t="n">
        <f aca="false">IF(AND(ISNUMBER(Scoring!S79),COUNT(Scoring!E79,Scoring!F79)&gt;0),Scoring!S79,"NA")</f>
        <v>74</v>
      </c>
      <c r="J79" s="29" t="n">
        <f aca="false">IF(AND(ISNUMBER($B79),ISNUMBER(C79)),ABS(C79-$B79),"")</f>
        <v>0</v>
      </c>
      <c r="K79" s="29" t="n">
        <f aca="false">IF(AND(ISNUMBER($B79),ISNUMBER(D79)),ABS(D79-$B79),"")</f>
        <v>0</v>
      </c>
      <c r="L79" s="29" t="n">
        <f aca="false">IF(AND(ISNUMBER($B79),ISNUMBER(E79)),ABS(E79-$B79),"")</f>
        <v>0</v>
      </c>
      <c r="M79" s="29" t="n">
        <f aca="false">IF(AND(ISNUMBER($B79),ISNUMBER(F79)),ABS(F79-$B79),"")</f>
        <v>6.95238095238095</v>
      </c>
      <c r="N79" s="29" t="n">
        <f aca="false">IF(AND(ISNUMBER($B79),ISNUMBER(G79)),ABS(G79-$B79),"")</f>
        <v>0</v>
      </c>
      <c r="O79" s="29" t="n">
        <f aca="false">IF(AND(ISNUMBER($B79),ISNUMBER(H79)),ABS(H79-$B79),"")</f>
        <v>0</v>
      </c>
      <c r="P79" s="29" t="n">
        <f aca="false">IF(AND(ISNUMBER($B79),ISNUMBER(I79)),ABS(I79-$B79),"")</f>
        <v>0</v>
      </c>
    </row>
    <row r="80" customFormat="false" ht="15" hidden="false" customHeight="true" outlineLevel="0" collapsed="false">
      <c r="A80" s="15" t="str">
        <f aca="false">Data!$A80</f>
        <v>OpenEdition</v>
      </c>
      <c r="B80" s="29" t="n">
        <f aca="false">Scoring!S80</f>
        <v>52.7840909090909</v>
      </c>
      <c r="C80" s="29" t="n">
        <f aca="false">IF(AND(Scoring!N80&gt;=Parameters!$C$57,Scoring!Q80&gt;=Parameters!$C$59),Scoring!O80/Scoring!N80*100,"NA")</f>
        <v>52.7840909090909</v>
      </c>
      <c r="D80" s="29" t="n">
        <f aca="false">IF(AND(Scoring!N80&gt;=Parameters!$C$58,Scoring!Q80&gt;=Parameters!$C$59),Scoring!O80/Scoring!N80*100,"NA")</f>
        <v>52.7840909090909</v>
      </c>
      <c r="E80" s="29" t="n">
        <f aca="false">IF(AND((Scoring!N80-IF(ISNUMBER(Scoring!E80),Parameters!$E$7,0)+IF(ISNUMBER(IF(Verification!D80&lt;&gt;"",Verification!D80,IF(Coding!AG80=0,"NA",IF(AND(Parameters!$C$39=1,ISNUMBER(Calc!B80),Calc!B80&lt;=Parameters!$C$40),0,MIN(Coding!AG80,Parameters!$C$37)/Parameters!$C$37)))),Parameters!$E$7,0))&gt;=Parameters!$C$56,Scoring!Q80&gt;=Parameters!$C$59),(Scoring!O80-IF(ISNUMBER(Scoring!E80),Parameters!$E$7*Scoring!E80,0)+IF(ISNUMBER(IF(Verification!D80&lt;&gt;"",Verification!D80,IF(Coding!AG80=0,"NA",IF(AND(Parameters!$C$39=1,ISNUMBER(Calc!B80),Calc!B80&lt;=Parameters!$C$40),0,MIN(Coding!AG80,Parameters!$C$37)/Parameters!$C$37)))),Parameters!$E$7*IF(Verification!D80&lt;&gt;"",Verification!D80,IF(Coding!AG80=0,"NA",IF(AND(Parameters!$C$39=1,ISNUMBER(Calc!B80),Calc!B80&lt;=Parameters!$C$40),0,MIN(Coding!AG80,Parameters!$C$37)/Parameters!$C$37))),0))/(Scoring!N80-IF(ISNUMBER(Scoring!E80),Parameters!$E$7,0)+IF(ISNUMBER(IF(Verification!D80&lt;&gt;"",Verification!D80,IF(Coding!AG80=0,"NA",IF(AND(Parameters!$C$39=1,ISNUMBER(Calc!B80),Calc!B80&lt;=Parameters!$C$40),0,MIN(Coding!AG80,Parameters!$C$37)/Parameters!$C$37)))),Parameters!$E$7,0))*100,"NA")</f>
        <v>62.0454545454545</v>
      </c>
      <c r="F80" s="29" t="n">
        <f aca="false">IF(Scoring!R80="Yes",AVERAGE(Scoring!D80:J80)*100,"NA")</f>
        <v>62.4444444444445</v>
      </c>
      <c r="G80" s="29" t="n">
        <f aca="false">IF(AND((Scoring!N80-IF(ISNUMBER(Scoring!F80),Parameters!$E$8,0)+IF(ISNUMBER(IF(Verification!E80&lt;&gt;"",Scoring!F80,Calc!V80)),Parameters!$E$8,0))&gt;=Parameters!$C$56,Scoring!Q80&gt;=Parameters!$C$59),(Scoring!O80-IF(ISNUMBER(Scoring!F80),Parameters!$E$8*Scoring!F80,0)+IF(ISNUMBER(IF(Verification!E80&lt;&gt;"",Scoring!F80,Calc!V80)),Parameters!$E$8*IF(Verification!E80&lt;&gt;"",Scoring!F80,Calc!V80),0))/(Scoring!N80-IF(ISNUMBER(Scoring!F80),Parameters!$E$8,0)+IF(ISNUMBER(IF(Verification!E80&lt;&gt;"",Scoring!F80,Calc!V80)),Parameters!$E$8,0))*100,"NA")</f>
        <v>52.7840909090909</v>
      </c>
      <c r="H80" s="29" t="n">
        <f aca="false">IF(ISNUMBER(Scoring!S80),(Scoring!N80/Parameters!$E$13)*Scoring!S80+(1-Scoring!N80/Parameters!$E$13)*Summary!$B$9,"NA")</f>
        <v>55.8370967741935</v>
      </c>
      <c r="I80" s="29" t="n">
        <f aca="false">IF(AND(ISNUMBER(Scoring!S80),COUNT(Scoring!E80,Scoring!F80)&gt;0),Scoring!S80,"NA")</f>
        <v>52.7840909090909</v>
      </c>
      <c r="J80" s="29" t="n">
        <f aca="false">IF(AND(ISNUMBER($B80),ISNUMBER(C80)),ABS(C80-$B80),"")</f>
        <v>0</v>
      </c>
      <c r="K80" s="29" t="n">
        <f aca="false">IF(AND(ISNUMBER($B80),ISNUMBER(D80)),ABS(D80-$B80),"")</f>
        <v>0</v>
      </c>
      <c r="L80" s="29" t="n">
        <f aca="false">IF(AND(ISNUMBER($B80),ISNUMBER(E80)),ABS(E80-$B80),"")</f>
        <v>9.26136363636363</v>
      </c>
      <c r="M80" s="29" t="n">
        <f aca="false">IF(AND(ISNUMBER($B80),ISNUMBER(F80)),ABS(F80-$B80),"")</f>
        <v>9.66035353535354</v>
      </c>
      <c r="N80" s="29" t="n">
        <f aca="false">IF(AND(ISNUMBER($B80),ISNUMBER(G80)),ABS(G80-$B80),"")</f>
        <v>0</v>
      </c>
      <c r="O80" s="29" t="n">
        <f aca="false">IF(AND(ISNUMBER($B80),ISNUMBER(H80)),ABS(H80-$B80),"")</f>
        <v>3.05300586510263</v>
      </c>
      <c r="P80" s="29" t="n">
        <f aca="false">IF(AND(ISNUMBER($B80),ISNUMBER(I80)),ABS(I80-$B80),"")</f>
        <v>0</v>
      </c>
    </row>
    <row r="81" customFormat="false" ht="15" hidden="false" customHeight="true" outlineLevel="0" collapsed="false">
      <c r="A81" s="15" t="str">
        <f aca="false">Data!$A81</f>
        <v>Open Journal Systems (OJS)</v>
      </c>
      <c r="B81" s="29" t="n">
        <f aca="false">Scoring!S81</f>
        <v>88.75</v>
      </c>
      <c r="C81" s="29" t="n">
        <f aca="false">IF(AND(Scoring!N81&gt;=Parameters!$C$57,Scoring!Q81&gt;=Parameters!$C$59),Scoring!O81/Scoring!N81*100,"NA")</f>
        <v>88.75</v>
      </c>
      <c r="D81" s="29" t="n">
        <f aca="false">IF(AND(Scoring!N81&gt;=Parameters!$C$58,Scoring!Q81&gt;=Parameters!$C$59),Scoring!O81/Scoring!N81*100,"NA")</f>
        <v>88.75</v>
      </c>
      <c r="E81" s="29" t="n">
        <f aca="false">IF(AND((Scoring!N81-IF(ISNUMBER(Scoring!E81),Parameters!$E$7,0)+IF(ISNUMBER(IF(Verification!D81&lt;&gt;"",Verification!D81,IF(Coding!AG81=0,"NA",IF(AND(Parameters!$C$39=1,ISNUMBER(Calc!B81),Calc!B81&lt;=Parameters!$C$40),0,MIN(Coding!AG81,Parameters!$C$37)/Parameters!$C$37)))),Parameters!$E$7,0))&gt;=Parameters!$C$56,Scoring!Q81&gt;=Parameters!$C$59),(Scoring!O81-IF(ISNUMBER(Scoring!E81),Parameters!$E$7*Scoring!E81,0)+IF(ISNUMBER(IF(Verification!D81&lt;&gt;"",Verification!D81,IF(Coding!AG81=0,"NA",IF(AND(Parameters!$C$39=1,ISNUMBER(Calc!B81),Calc!B81&lt;=Parameters!$C$40),0,MIN(Coding!AG81,Parameters!$C$37)/Parameters!$C$37)))),Parameters!$E$7*IF(Verification!D81&lt;&gt;"",Verification!D81,IF(Coding!AG81=0,"NA",IF(AND(Parameters!$C$39=1,ISNUMBER(Calc!B81),Calc!B81&lt;=Parameters!$C$40),0,MIN(Coding!AG81,Parameters!$C$37)/Parameters!$C$37))),0))/(Scoring!N81-IF(ISNUMBER(Scoring!E81),Parameters!$E$7,0)+IF(ISNUMBER(IF(Verification!D81&lt;&gt;"",Verification!D81,IF(Coding!AG81=0,"NA",IF(AND(Parameters!$C$39=1,ISNUMBER(Calc!B81),Calc!B81&lt;=Parameters!$C$40),0,MIN(Coding!AG81,Parameters!$C$37)/Parameters!$C$37)))),Parameters!$E$7,0))*100,"NA")</f>
        <v>96.1538461538462</v>
      </c>
      <c r="F81" s="29" t="n">
        <f aca="false">IF(Scoring!R81="Yes",AVERAGE(Scoring!D81:J81)*100,"NA")</f>
        <v>92.2619047619048</v>
      </c>
      <c r="G81" s="29" t="n">
        <f aca="false">IF(AND((Scoring!N81-IF(ISNUMBER(Scoring!F81),Parameters!$E$8,0)+IF(ISNUMBER(IF(Verification!E81&lt;&gt;"",Scoring!F81,Calc!V81)),Parameters!$E$8,0))&gt;=Parameters!$C$56,Scoring!Q81&gt;=Parameters!$C$59),(Scoring!O81-IF(ISNUMBER(Scoring!F81),Parameters!$E$8*Scoring!F81,0)+IF(ISNUMBER(IF(Verification!E81&lt;&gt;"",Scoring!F81,Calc!V81)),Parameters!$E$8*IF(Verification!E81&lt;&gt;"",Scoring!F81,Calc!V81),0))/(Scoring!N81-IF(ISNUMBER(Scoring!F81),Parameters!$E$8,0)+IF(ISNUMBER(IF(Verification!E81&lt;&gt;"",Scoring!F81,Calc!V81)),Parameters!$E$8,0))*100,"NA")</f>
        <v>85.75</v>
      </c>
      <c r="H81" s="29" t="n">
        <f aca="false">IF(ISNUMBER(Scoring!S81),(Scoring!N81/Parameters!$E$13)*Scoring!S81+(1-Scoring!N81/Parameters!$E$13)*Summary!$B$9,"NA")</f>
        <v>88.75</v>
      </c>
      <c r="I81" s="29" t="n">
        <f aca="false">IF(AND(ISNUMBER(Scoring!S81),COUNT(Scoring!E81,Scoring!F81)&gt;0),Scoring!S81,"NA")</f>
        <v>88.75</v>
      </c>
      <c r="J81" s="29" t="n">
        <f aca="false">IF(AND(ISNUMBER($B81),ISNUMBER(C81)),ABS(C81-$B81),"")</f>
        <v>0</v>
      </c>
      <c r="K81" s="29" t="n">
        <f aca="false">IF(AND(ISNUMBER($B81),ISNUMBER(D81)),ABS(D81-$B81),"")</f>
        <v>0</v>
      </c>
      <c r="L81" s="29" t="n">
        <f aca="false">IF(AND(ISNUMBER($B81),ISNUMBER(E81)),ABS(E81-$B81),"")</f>
        <v>7.40384615384616</v>
      </c>
      <c r="M81" s="29" t="n">
        <f aca="false">IF(AND(ISNUMBER($B81),ISNUMBER(F81)),ABS(F81-$B81),"")</f>
        <v>3.51190476190475</v>
      </c>
      <c r="N81" s="29" t="n">
        <f aca="false">IF(AND(ISNUMBER($B81),ISNUMBER(G81)),ABS(G81-$B81),"")</f>
        <v>3</v>
      </c>
      <c r="O81" s="29" t="n">
        <f aca="false">IF(AND(ISNUMBER($B81),ISNUMBER(H81)),ABS(H81-$B81),"")</f>
        <v>0</v>
      </c>
      <c r="P81" s="29" t="n">
        <f aca="false">IF(AND(ISNUMBER($B81),ISNUMBER(I81)),ABS(I81-$B81),"")</f>
        <v>0</v>
      </c>
    </row>
    <row r="82" customFormat="false" ht="15" hidden="false" customHeight="true" outlineLevel="0" collapsed="false">
      <c r="A82" s="15" t="str">
        <f aca="false">Data!$A82</f>
        <v>Open Monograph Press (OMP)</v>
      </c>
      <c r="B82" s="29" t="n">
        <f aca="false">Scoring!S82</f>
        <v>88.75</v>
      </c>
      <c r="C82" s="29" t="n">
        <f aca="false">IF(AND(Scoring!N82&gt;=Parameters!$C$57,Scoring!Q82&gt;=Parameters!$C$59),Scoring!O82/Scoring!N82*100,"NA")</f>
        <v>88.75</v>
      </c>
      <c r="D82" s="29" t="n">
        <f aca="false">IF(AND(Scoring!N82&gt;=Parameters!$C$58,Scoring!Q82&gt;=Parameters!$C$59),Scoring!O82/Scoring!N82*100,"NA")</f>
        <v>88.75</v>
      </c>
      <c r="E82" s="29" t="n">
        <f aca="false">IF(AND((Scoring!N82-IF(ISNUMBER(Scoring!E82),Parameters!$E$7,0)+IF(ISNUMBER(IF(Verification!D82&lt;&gt;"",Verification!D82,IF(Coding!AG82=0,"NA",IF(AND(Parameters!$C$39=1,ISNUMBER(Calc!B82),Calc!B82&lt;=Parameters!$C$40),0,MIN(Coding!AG82,Parameters!$C$37)/Parameters!$C$37)))),Parameters!$E$7,0))&gt;=Parameters!$C$56,Scoring!Q82&gt;=Parameters!$C$59),(Scoring!O82-IF(ISNUMBER(Scoring!E82),Parameters!$E$7*Scoring!E82,0)+IF(ISNUMBER(IF(Verification!D82&lt;&gt;"",Verification!D82,IF(Coding!AG82=0,"NA",IF(AND(Parameters!$C$39=1,ISNUMBER(Calc!B82),Calc!B82&lt;=Parameters!$C$40),0,MIN(Coding!AG82,Parameters!$C$37)/Parameters!$C$37)))),Parameters!$E$7*IF(Verification!D82&lt;&gt;"",Verification!D82,IF(Coding!AG82=0,"NA",IF(AND(Parameters!$C$39=1,ISNUMBER(Calc!B82),Calc!B82&lt;=Parameters!$C$40),0,MIN(Coding!AG82,Parameters!$C$37)/Parameters!$C$37))),0))/(Scoring!N82-IF(ISNUMBER(Scoring!E82),Parameters!$E$7,0)+IF(ISNUMBER(IF(Verification!D82&lt;&gt;"",Verification!D82,IF(Coding!AG82=0,"NA",IF(AND(Parameters!$C$39=1,ISNUMBER(Calc!B82),Calc!B82&lt;=Parameters!$C$40),0,MIN(Coding!AG82,Parameters!$C$37)/Parameters!$C$37)))),Parameters!$E$7,0))*100,"NA")</f>
        <v>96.1538461538462</v>
      </c>
      <c r="F82" s="29" t="n">
        <f aca="false">IF(Scoring!R82="Yes",AVERAGE(Scoring!D82:J82)*100,"NA")</f>
        <v>92.2619047619048</v>
      </c>
      <c r="G82" s="29" t="n">
        <f aca="false">IF(AND((Scoring!N82-IF(ISNUMBER(Scoring!F82),Parameters!$E$8,0)+IF(ISNUMBER(IF(Verification!E82&lt;&gt;"",Scoring!F82,Calc!V82)),Parameters!$E$8,0))&gt;=Parameters!$C$56,Scoring!Q82&gt;=Parameters!$C$59),(Scoring!O82-IF(ISNUMBER(Scoring!F82),Parameters!$E$8*Scoring!F82,0)+IF(ISNUMBER(IF(Verification!E82&lt;&gt;"",Scoring!F82,Calc!V82)),Parameters!$E$8*IF(Verification!E82&lt;&gt;"",Scoring!F82,Calc!V82),0))/(Scoring!N82-IF(ISNUMBER(Scoring!F82),Parameters!$E$8,0)+IF(ISNUMBER(IF(Verification!E82&lt;&gt;"",Scoring!F82,Calc!V82)),Parameters!$E$8,0))*100,"NA")</f>
        <v>85.75</v>
      </c>
      <c r="H82" s="29" t="n">
        <f aca="false">IF(ISNUMBER(Scoring!S82),(Scoring!N82/Parameters!$E$13)*Scoring!S82+(1-Scoring!N82/Parameters!$E$13)*Summary!$B$9,"NA")</f>
        <v>88.75</v>
      </c>
      <c r="I82" s="29" t="n">
        <f aca="false">IF(AND(ISNUMBER(Scoring!S82),COUNT(Scoring!E82,Scoring!F82)&gt;0),Scoring!S82,"NA")</f>
        <v>88.75</v>
      </c>
      <c r="J82" s="29" t="n">
        <f aca="false">IF(AND(ISNUMBER($B82),ISNUMBER(C82)),ABS(C82-$B82),"")</f>
        <v>0</v>
      </c>
      <c r="K82" s="29" t="n">
        <f aca="false">IF(AND(ISNUMBER($B82),ISNUMBER(D82)),ABS(D82-$B82),"")</f>
        <v>0</v>
      </c>
      <c r="L82" s="29" t="n">
        <f aca="false">IF(AND(ISNUMBER($B82),ISNUMBER(E82)),ABS(E82-$B82),"")</f>
        <v>7.40384615384616</v>
      </c>
      <c r="M82" s="29" t="n">
        <f aca="false">IF(AND(ISNUMBER($B82),ISNUMBER(F82)),ABS(F82-$B82),"")</f>
        <v>3.51190476190475</v>
      </c>
      <c r="N82" s="29" t="n">
        <f aca="false">IF(AND(ISNUMBER($B82),ISNUMBER(G82)),ABS(G82-$B82),"")</f>
        <v>3</v>
      </c>
      <c r="O82" s="29" t="n">
        <f aca="false">IF(AND(ISNUMBER($B82),ISNUMBER(H82)),ABS(H82-$B82),"")</f>
        <v>0</v>
      </c>
      <c r="P82" s="29" t="n">
        <f aca="false">IF(AND(ISNUMBER($B82),ISNUMBER(I82)),ABS(I82-$B82),"")</f>
        <v>0</v>
      </c>
    </row>
    <row r="83" customFormat="false" ht="15" hidden="false" customHeight="true" outlineLevel="0" collapsed="false">
      <c r="A83" s="15" t="str">
        <f aca="false">Data!$A83</f>
        <v>Open Preprint Systems (OPS)</v>
      </c>
      <c r="B83" s="29" t="n">
        <f aca="false">Scoring!S83</f>
        <v>88.75</v>
      </c>
      <c r="C83" s="29" t="n">
        <f aca="false">IF(AND(Scoring!N83&gt;=Parameters!$C$57,Scoring!Q83&gt;=Parameters!$C$59),Scoring!O83/Scoring!N83*100,"NA")</f>
        <v>88.75</v>
      </c>
      <c r="D83" s="29" t="n">
        <f aca="false">IF(AND(Scoring!N83&gt;=Parameters!$C$58,Scoring!Q83&gt;=Parameters!$C$59),Scoring!O83/Scoring!N83*100,"NA")</f>
        <v>88.75</v>
      </c>
      <c r="E83" s="29" t="n">
        <f aca="false">IF(AND((Scoring!N83-IF(ISNUMBER(Scoring!E83),Parameters!$E$7,0)+IF(ISNUMBER(IF(Verification!D83&lt;&gt;"",Verification!D83,IF(Coding!AG83=0,"NA",IF(AND(Parameters!$C$39=1,ISNUMBER(Calc!B83),Calc!B83&lt;=Parameters!$C$40),0,MIN(Coding!AG83,Parameters!$C$37)/Parameters!$C$37)))),Parameters!$E$7,0))&gt;=Parameters!$C$56,Scoring!Q83&gt;=Parameters!$C$59),(Scoring!O83-IF(ISNUMBER(Scoring!E83),Parameters!$E$7*Scoring!E83,0)+IF(ISNUMBER(IF(Verification!D83&lt;&gt;"",Verification!D83,IF(Coding!AG83=0,"NA",IF(AND(Parameters!$C$39=1,ISNUMBER(Calc!B83),Calc!B83&lt;=Parameters!$C$40),0,MIN(Coding!AG83,Parameters!$C$37)/Parameters!$C$37)))),Parameters!$E$7*IF(Verification!D83&lt;&gt;"",Verification!D83,IF(Coding!AG83=0,"NA",IF(AND(Parameters!$C$39=1,ISNUMBER(Calc!B83),Calc!B83&lt;=Parameters!$C$40),0,MIN(Coding!AG83,Parameters!$C$37)/Parameters!$C$37))),0))/(Scoring!N83-IF(ISNUMBER(Scoring!E83),Parameters!$E$7,0)+IF(ISNUMBER(IF(Verification!D83&lt;&gt;"",Verification!D83,IF(Coding!AG83=0,"NA",IF(AND(Parameters!$C$39=1,ISNUMBER(Calc!B83),Calc!B83&lt;=Parameters!$C$40),0,MIN(Coding!AG83,Parameters!$C$37)/Parameters!$C$37)))),Parameters!$E$7,0))*100,"NA")</f>
        <v>96.1538461538462</v>
      </c>
      <c r="F83" s="29" t="n">
        <f aca="false">IF(Scoring!R83="Yes",AVERAGE(Scoring!D83:J83)*100,"NA")</f>
        <v>92.2619047619048</v>
      </c>
      <c r="G83" s="29" t="n">
        <f aca="false">IF(AND((Scoring!N83-IF(ISNUMBER(Scoring!F83),Parameters!$E$8,0)+IF(ISNUMBER(IF(Verification!E83&lt;&gt;"",Scoring!F83,Calc!V83)),Parameters!$E$8,0))&gt;=Parameters!$C$56,Scoring!Q83&gt;=Parameters!$C$59),(Scoring!O83-IF(ISNUMBER(Scoring!F83),Parameters!$E$8*Scoring!F83,0)+IF(ISNUMBER(IF(Verification!E83&lt;&gt;"",Scoring!F83,Calc!V83)),Parameters!$E$8*IF(Verification!E83&lt;&gt;"",Scoring!F83,Calc!V83),0))/(Scoring!N83-IF(ISNUMBER(Scoring!F83),Parameters!$E$8,0)+IF(ISNUMBER(IF(Verification!E83&lt;&gt;"",Scoring!F83,Calc!V83)),Parameters!$E$8,0))*100,"NA")</f>
        <v>85.75</v>
      </c>
      <c r="H83" s="29" t="n">
        <f aca="false">IF(ISNUMBER(Scoring!S83),(Scoring!N83/Parameters!$E$13)*Scoring!S83+(1-Scoring!N83/Parameters!$E$13)*Summary!$B$9,"NA")</f>
        <v>88.75</v>
      </c>
      <c r="I83" s="29" t="n">
        <f aca="false">IF(AND(ISNUMBER(Scoring!S83),COUNT(Scoring!E83,Scoring!F83)&gt;0),Scoring!S83,"NA")</f>
        <v>88.75</v>
      </c>
      <c r="J83" s="29" t="n">
        <f aca="false">IF(AND(ISNUMBER($B83),ISNUMBER(C83)),ABS(C83-$B83),"")</f>
        <v>0</v>
      </c>
      <c r="K83" s="29" t="n">
        <f aca="false">IF(AND(ISNUMBER($B83),ISNUMBER(D83)),ABS(D83-$B83),"")</f>
        <v>0</v>
      </c>
      <c r="L83" s="29" t="n">
        <f aca="false">IF(AND(ISNUMBER($B83),ISNUMBER(E83)),ABS(E83-$B83),"")</f>
        <v>7.40384615384616</v>
      </c>
      <c r="M83" s="29" t="n">
        <f aca="false">IF(AND(ISNUMBER($B83),ISNUMBER(F83)),ABS(F83-$B83),"")</f>
        <v>3.51190476190475</v>
      </c>
      <c r="N83" s="29" t="n">
        <f aca="false">IF(AND(ISNUMBER($B83),ISNUMBER(G83)),ABS(G83-$B83),"")</f>
        <v>3</v>
      </c>
      <c r="O83" s="29" t="n">
        <f aca="false">IF(AND(ISNUMBER($B83),ISNUMBER(H83)),ABS(H83-$B83),"")</f>
        <v>0</v>
      </c>
      <c r="P83" s="29" t="n">
        <f aca="false">IF(AND(ISNUMBER($B83),ISNUMBER(I83)),ABS(I83-$B83),"")</f>
        <v>0</v>
      </c>
    </row>
    <row r="84" customFormat="false" ht="15" hidden="false" customHeight="true" outlineLevel="0" collapsed="false">
      <c r="A84" s="15" t="str">
        <f aca="false">Data!$A84</f>
        <v>Openverse</v>
      </c>
      <c r="B84" s="29" t="n">
        <f aca="false">Scoring!S84</f>
        <v>83.3333333333333</v>
      </c>
      <c r="C84" s="29" t="n">
        <f aca="false">IF(AND(Scoring!N84&gt;=Parameters!$C$57,Scoring!Q84&gt;=Parameters!$C$59),Scoring!O84/Scoring!N84*100,"NA")</f>
        <v>83.3333333333333</v>
      </c>
      <c r="D84" s="29" t="str">
        <f aca="false">IF(AND(Scoring!N84&gt;=Parameters!$C$58,Scoring!Q84&gt;=Parameters!$C$59),Scoring!O84/Scoring!N84*100,"NA")</f>
        <v>NA</v>
      </c>
      <c r="E84" s="29" t="n">
        <f aca="false">IF(AND((Scoring!N84-IF(ISNUMBER(Scoring!E84),Parameters!$E$7,0)+IF(ISNUMBER(IF(Verification!D84&lt;&gt;"",Verification!D84,IF(Coding!AG84=0,"NA",IF(AND(Parameters!$C$39=1,ISNUMBER(Calc!B84),Calc!B84&lt;=Parameters!$C$40),0,MIN(Coding!AG84,Parameters!$C$37)/Parameters!$C$37)))),Parameters!$E$7,0))&gt;=Parameters!$C$56,Scoring!Q84&gt;=Parameters!$C$59),(Scoring!O84-IF(ISNUMBER(Scoring!E84),Parameters!$E$7*Scoring!E84,0)+IF(ISNUMBER(IF(Verification!D84&lt;&gt;"",Verification!D84,IF(Coding!AG84=0,"NA",IF(AND(Parameters!$C$39=1,ISNUMBER(Calc!B84),Calc!B84&lt;=Parameters!$C$40),0,MIN(Coding!AG84,Parameters!$C$37)/Parameters!$C$37)))),Parameters!$E$7*IF(Verification!D84&lt;&gt;"",Verification!D84,IF(Coding!AG84=0,"NA",IF(AND(Parameters!$C$39=1,ISNUMBER(Calc!B84),Calc!B84&lt;=Parameters!$C$40),0,MIN(Coding!AG84,Parameters!$C$37)/Parameters!$C$37))),0))/(Scoring!N84-IF(ISNUMBER(Scoring!E84),Parameters!$E$7,0)+IF(ISNUMBER(IF(Verification!D84&lt;&gt;"",Verification!D84,IF(Coding!AG84=0,"NA",IF(AND(Parameters!$C$39=1,ISNUMBER(Calc!B84),Calc!B84&lt;=Parameters!$C$40),0,MIN(Coding!AG84,Parameters!$C$37)/Parameters!$C$37)))),Parameters!$E$7,0))*100,"NA")</f>
        <v>83.3333333333333</v>
      </c>
      <c r="F84" s="29" t="n">
        <f aca="false">IF(Scoring!R84="Yes",AVERAGE(Scoring!D84:J84)*100,"NA")</f>
        <v>90</v>
      </c>
      <c r="G84" s="29" t="n">
        <f aca="false">IF(AND((Scoring!N84-IF(ISNUMBER(Scoring!F84),Parameters!$E$8,0)+IF(ISNUMBER(IF(Verification!E84&lt;&gt;"",Scoring!F84,Calc!V84)),Parameters!$E$8,0))&gt;=Parameters!$C$56,Scoring!Q84&gt;=Parameters!$C$59),(Scoring!O84-IF(ISNUMBER(Scoring!F84),Parameters!$E$8*Scoring!F84,0)+IF(ISNUMBER(IF(Verification!E84&lt;&gt;"",Scoring!F84,Calc!V84)),Parameters!$E$8*IF(Verification!E84&lt;&gt;"",Scoring!F84,Calc!V84),0))/(Scoring!N84-IF(ISNUMBER(Scoring!F84),Parameters!$E$8,0)+IF(ISNUMBER(IF(Verification!E84&lt;&gt;"",Scoring!F84,Calc!V84)),Parameters!$E$8,0))*100,"NA")</f>
        <v>83.3333333333333</v>
      </c>
      <c r="H84" s="29" t="n">
        <f aca="false">IF(ISNUMBER(Scoring!S84),(Scoring!N84/Parameters!$E$13)*Scoring!S84+(1-Scoring!N84/Parameters!$E$13)*Summary!$B$9,"NA")</f>
        <v>81.2903225806452</v>
      </c>
      <c r="I84" s="29" t="str">
        <f aca="false">IF(AND(ISNUMBER(Scoring!S84),COUNT(Scoring!E84,Scoring!F84)&gt;0),Scoring!S84,"NA")</f>
        <v>NA</v>
      </c>
      <c r="J84" s="29" t="n">
        <f aca="false">IF(AND(ISNUMBER($B84),ISNUMBER(C84)),ABS(C84-$B84),"")</f>
        <v>0</v>
      </c>
      <c r="K84" s="29" t="str">
        <f aca="false">IF(AND(ISNUMBER($B84),ISNUMBER(D84)),ABS(D84-$B84),"")</f>
        <v/>
      </c>
      <c r="L84" s="29" t="n">
        <f aca="false">IF(AND(ISNUMBER($B84),ISNUMBER(E84)),ABS(E84-$B84),"")</f>
        <v>0</v>
      </c>
      <c r="M84" s="29" t="n">
        <f aca="false">IF(AND(ISNUMBER($B84),ISNUMBER(F84)),ABS(F84-$B84),"")</f>
        <v>6.66666666666667</v>
      </c>
      <c r="N84" s="29" t="n">
        <f aca="false">IF(AND(ISNUMBER($B84),ISNUMBER(G84)),ABS(G84-$B84),"")</f>
        <v>0</v>
      </c>
      <c r="O84" s="29" t="n">
        <f aca="false">IF(AND(ISNUMBER($B84),ISNUMBER(H84)),ABS(H84-$B84),"")</f>
        <v>2.04301075268818</v>
      </c>
      <c r="P84" s="29" t="str">
        <f aca="false">IF(AND(ISNUMBER($B84),ISNUMBER(I84)),ABS(I84-$B84),"")</f>
        <v/>
      </c>
    </row>
    <row r="85" customFormat="false" ht="15" hidden="false" customHeight="true" outlineLevel="0" collapsed="false">
      <c r="A85" s="15" t="str">
        <f aca="false">Data!$A85</f>
        <v>O Portal Brasileiro de Publicações e Dados Científicos em Acesso Aberto (The Brazilian Open Access Publications and Scientific Data Portal) (Oasisbr)</v>
      </c>
      <c r="B85" s="29" t="str">
        <f aca="false">Scoring!S85</f>
        <v>NA</v>
      </c>
      <c r="C85" s="29" t="str">
        <f aca="false">IF(AND(Scoring!N85&gt;=Parameters!$C$57,Scoring!Q85&gt;=Parameters!$C$59),Scoring!O85/Scoring!N85*100,"NA")</f>
        <v>NA</v>
      </c>
      <c r="D85" s="29" t="str">
        <f aca="false">IF(AND(Scoring!N85&gt;=Parameters!$C$58,Scoring!Q85&gt;=Parameters!$C$59),Scoring!O85/Scoring!N85*100,"NA")</f>
        <v>NA</v>
      </c>
      <c r="E85" s="29" t="str">
        <f aca="false">IF(AND((Scoring!N85-IF(ISNUMBER(Scoring!E85),Parameters!$E$7,0)+IF(ISNUMBER(IF(Verification!D85&lt;&gt;"",Verification!D85,IF(Coding!AG85=0,"NA",IF(AND(Parameters!$C$39=1,ISNUMBER(Calc!B85),Calc!B85&lt;=Parameters!$C$40),0,MIN(Coding!AG85,Parameters!$C$37)/Parameters!$C$37)))),Parameters!$E$7,0))&gt;=Parameters!$C$56,Scoring!Q85&gt;=Parameters!$C$59),(Scoring!O85-IF(ISNUMBER(Scoring!E85),Parameters!$E$7*Scoring!E85,0)+IF(ISNUMBER(IF(Verification!D85&lt;&gt;"",Verification!D85,IF(Coding!AG85=0,"NA",IF(AND(Parameters!$C$39=1,ISNUMBER(Calc!B85),Calc!B85&lt;=Parameters!$C$40),0,MIN(Coding!AG85,Parameters!$C$37)/Parameters!$C$37)))),Parameters!$E$7*IF(Verification!D85&lt;&gt;"",Verification!D85,IF(Coding!AG85=0,"NA",IF(AND(Parameters!$C$39=1,ISNUMBER(Calc!B85),Calc!B85&lt;=Parameters!$C$40),0,MIN(Coding!AG85,Parameters!$C$37)/Parameters!$C$37))),0))/(Scoring!N85-IF(ISNUMBER(Scoring!E85),Parameters!$E$7,0)+IF(ISNUMBER(IF(Verification!D85&lt;&gt;"",Verification!D85,IF(Coding!AG85=0,"NA",IF(AND(Parameters!$C$39=1,ISNUMBER(Calc!B85),Calc!B85&lt;=Parameters!$C$40),0,MIN(Coding!AG85,Parameters!$C$37)/Parameters!$C$37)))),Parameters!$E$7,0))*100,"NA")</f>
        <v>NA</v>
      </c>
      <c r="F85" s="29" t="str">
        <f aca="false">IF(Scoring!R85="Yes",AVERAGE(Scoring!D85:J85)*100,"NA")</f>
        <v>NA</v>
      </c>
      <c r="G85" s="29" t="str">
        <f aca="false">IF(AND((Scoring!N85-IF(ISNUMBER(Scoring!F85),Parameters!$E$8,0)+IF(ISNUMBER(IF(Verification!E85&lt;&gt;"",Scoring!F85,Calc!V85)),Parameters!$E$8,0))&gt;=Parameters!$C$56,Scoring!Q85&gt;=Parameters!$C$59),(Scoring!O85-IF(ISNUMBER(Scoring!F85),Parameters!$E$8*Scoring!F85,0)+IF(ISNUMBER(IF(Verification!E85&lt;&gt;"",Scoring!F85,Calc!V85)),Parameters!$E$8*IF(Verification!E85&lt;&gt;"",Scoring!F85,Calc!V85),0))/(Scoring!N85-IF(ISNUMBER(Scoring!F85),Parameters!$E$8,0)+IF(ISNUMBER(IF(Verification!E85&lt;&gt;"",Scoring!F85,Calc!V85)),Parameters!$E$8,0))*100,"NA")</f>
        <v>NA</v>
      </c>
      <c r="H85" s="29" t="str">
        <f aca="false">IF(ISNUMBER(Scoring!S85),(Scoring!N85/Parameters!$E$13)*Scoring!S85+(1-Scoring!N85/Parameters!$E$13)*Summary!$B$9,"NA")</f>
        <v>NA</v>
      </c>
      <c r="I85" s="29" t="str">
        <f aca="false">IF(AND(ISNUMBER(Scoring!S85),COUNT(Scoring!E85,Scoring!F85)&gt;0),Scoring!S85,"NA")</f>
        <v>NA</v>
      </c>
      <c r="J85" s="29" t="str">
        <f aca="false">IF(AND(ISNUMBER($B85),ISNUMBER(C85)),ABS(C85-$B85),"")</f>
        <v/>
      </c>
      <c r="K85" s="29" t="str">
        <f aca="false">IF(AND(ISNUMBER($B85),ISNUMBER(D85)),ABS(D85-$B85),"")</f>
        <v/>
      </c>
      <c r="L85" s="29" t="str">
        <f aca="false">IF(AND(ISNUMBER($B85),ISNUMBER(E85)),ABS(E85-$B85),"")</f>
        <v/>
      </c>
      <c r="M85" s="29" t="str">
        <f aca="false">IF(AND(ISNUMBER($B85),ISNUMBER(F85)),ABS(F85-$B85),"")</f>
        <v/>
      </c>
      <c r="N85" s="29" t="str">
        <f aca="false">IF(AND(ISNUMBER($B85),ISNUMBER(G85)),ABS(G85-$B85),"")</f>
        <v/>
      </c>
      <c r="O85" s="29" t="str">
        <f aca="false">IF(AND(ISNUMBER($B85),ISNUMBER(H85)),ABS(H85-$B85),"")</f>
        <v/>
      </c>
      <c r="P85" s="29" t="str">
        <f aca="false">IF(AND(ISNUMBER($B85),ISNUMBER(I85)),ABS(I85-$B85),"")</f>
        <v/>
      </c>
    </row>
    <row r="86" customFormat="false" ht="15" hidden="false" customHeight="true" outlineLevel="0" collapsed="false">
      <c r="A86" s="15" t="str">
        <f aca="false">Data!$A86</f>
        <v>OSF (Open Science Framework)</v>
      </c>
      <c r="B86" s="29" t="n">
        <f aca="false">Scoring!S86</f>
        <v>95.4545454545455</v>
      </c>
      <c r="C86" s="29" t="n">
        <f aca="false">IF(AND(Scoring!N86&gt;=Parameters!$C$57,Scoring!Q86&gt;=Parameters!$C$59),Scoring!O86/Scoring!N86*100,"NA")</f>
        <v>95.4545454545455</v>
      </c>
      <c r="D86" s="29" t="str">
        <f aca="false">IF(AND(Scoring!N86&gt;=Parameters!$C$58,Scoring!Q86&gt;=Parameters!$C$59),Scoring!O86/Scoring!N86*100,"NA")</f>
        <v>NA</v>
      </c>
      <c r="E86" s="29" t="n">
        <f aca="false">IF(AND((Scoring!N86-IF(ISNUMBER(Scoring!E86),Parameters!$E$7,0)+IF(ISNUMBER(IF(Verification!D86&lt;&gt;"",Verification!D86,IF(Coding!AG86=0,"NA",IF(AND(Parameters!$C$39=1,ISNUMBER(Calc!B86),Calc!B86&lt;=Parameters!$C$40),0,MIN(Coding!AG86,Parameters!$C$37)/Parameters!$C$37)))),Parameters!$E$7,0))&gt;=Parameters!$C$56,Scoring!Q86&gt;=Parameters!$C$59),(Scoring!O86-IF(ISNUMBER(Scoring!E86),Parameters!$E$7*Scoring!E86,0)+IF(ISNUMBER(IF(Verification!D86&lt;&gt;"",Verification!D86,IF(Coding!AG86=0,"NA",IF(AND(Parameters!$C$39=1,ISNUMBER(Calc!B86),Calc!B86&lt;=Parameters!$C$40),0,MIN(Coding!AG86,Parameters!$C$37)/Parameters!$C$37)))),Parameters!$E$7*IF(Verification!D86&lt;&gt;"",Verification!D86,IF(Coding!AG86=0,"NA",IF(AND(Parameters!$C$39=1,ISNUMBER(Calc!B86),Calc!B86&lt;=Parameters!$C$40),0,MIN(Coding!AG86,Parameters!$C$37)/Parameters!$C$37))),0))/(Scoring!N86-IF(ISNUMBER(Scoring!E86),Parameters!$E$7,0)+IF(ISNUMBER(IF(Verification!D86&lt;&gt;"",Verification!D86,IF(Coding!AG86=0,"NA",IF(AND(Parameters!$C$39=1,ISNUMBER(Calc!B86),Calc!B86&lt;=Parameters!$C$40),0,MIN(Coding!AG86,Parameters!$C$37)/Parameters!$C$37)))),Parameters!$E$7,0))*100,"NA")</f>
        <v>95.4545454545455</v>
      </c>
      <c r="F86" s="29" t="n">
        <f aca="false">IF(Scoring!R86="Yes",AVERAGE(Scoring!D86:J86)*100,"NA")</f>
        <v>96.6666666666667</v>
      </c>
      <c r="G86" s="29" t="n">
        <f aca="false">IF(AND((Scoring!N86-IF(ISNUMBER(Scoring!F86),Parameters!$E$8,0)+IF(ISNUMBER(IF(Verification!E86&lt;&gt;"",Scoring!F86,Calc!V86)),Parameters!$E$8,0))&gt;=Parameters!$C$56,Scoring!Q86&gt;=Parameters!$C$59),(Scoring!O86-IF(ISNUMBER(Scoring!F86),Parameters!$E$8*Scoring!F86,0)+IF(ISNUMBER(IF(Verification!E86&lt;&gt;"",Scoring!F86,Calc!V86)),Parameters!$E$8*IF(Verification!E86&lt;&gt;"",Scoring!F86,Calc!V86),0))/(Scoring!N86-IF(ISNUMBER(Scoring!F86),Parameters!$E$8,0)+IF(ISNUMBER(IF(Verification!E86&lt;&gt;"",Scoring!F86,Calc!V86)),Parameters!$E$8,0))*100,"NA")</f>
        <v>90.9090909090909</v>
      </c>
      <c r="H86" s="29" t="n">
        <f aca="false">IF(ISNUMBER(Scoring!S86),(Scoring!N86/Parameters!$E$13)*Scoring!S86+(1-Scoring!N86/Parameters!$E$13)*Summary!$B$9,"NA")</f>
        <v>89.5967741935484</v>
      </c>
      <c r="I86" s="29" t="n">
        <f aca="false">IF(AND(ISNUMBER(Scoring!S86),COUNT(Scoring!E86,Scoring!F86)&gt;0),Scoring!S86,"NA")</f>
        <v>95.4545454545455</v>
      </c>
      <c r="J86" s="29" t="n">
        <f aca="false">IF(AND(ISNUMBER($B86),ISNUMBER(C86)),ABS(C86-$B86),"")</f>
        <v>0</v>
      </c>
      <c r="K86" s="29" t="str">
        <f aca="false">IF(AND(ISNUMBER($B86),ISNUMBER(D86)),ABS(D86-$B86),"")</f>
        <v/>
      </c>
      <c r="L86" s="29" t="n">
        <f aca="false">IF(AND(ISNUMBER($B86),ISNUMBER(E86)),ABS(E86-$B86),"")</f>
        <v>0</v>
      </c>
      <c r="M86" s="29" t="n">
        <f aca="false">IF(AND(ISNUMBER($B86),ISNUMBER(F86)),ABS(F86-$B86),"")</f>
        <v>1.2121212121212</v>
      </c>
      <c r="N86" s="29" t="n">
        <f aca="false">IF(AND(ISNUMBER($B86),ISNUMBER(G86)),ABS(G86-$B86),"")</f>
        <v>4.54545454545456</v>
      </c>
      <c r="O86" s="29" t="n">
        <f aca="false">IF(AND(ISNUMBER($B86),ISNUMBER(H86)),ABS(H86-$B86),"")</f>
        <v>5.85777126099707</v>
      </c>
      <c r="P86" s="29" t="n">
        <f aca="false">IF(AND(ISNUMBER($B86),ISNUMBER(I86)),ABS(I86-$B86),"")</f>
        <v>0</v>
      </c>
    </row>
    <row r="87" customFormat="false" ht="15" hidden="false" customHeight="true" outlineLevel="0" collapsed="false">
      <c r="A87" s="15" t="str">
        <f aca="false">Data!$A87</f>
        <v>Oxford Common File Layout</v>
      </c>
      <c r="B87" s="29" t="str">
        <f aca="false">Scoring!S87</f>
        <v>NA</v>
      </c>
      <c r="C87" s="29" t="n">
        <f aca="false">IF(AND(Scoring!N87&gt;=Parameters!$C$57,Scoring!Q87&gt;=Parameters!$C$59),Scoring!O87/Scoring!N87*100,"NA")</f>
        <v>34.4827586206897</v>
      </c>
      <c r="D87" s="29" t="str">
        <f aca="false">IF(AND(Scoring!N87&gt;=Parameters!$C$58,Scoring!Q87&gt;=Parameters!$C$59),Scoring!O87/Scoring!N87*100,"NA")</f>
        <v>NA</v>
      </c>
      <c r="E87" s="29" t="str">
        <f aca="false">IF(AND((Scoring!N87-IF(ISNUMBER(Scoring!E87),Parameters!$E$7,0)+IF(ISNUMBER(IF(Verification!D87&lt;&gt;"",Verification!D87,IF(Coding!AG87=0,"NA",IF(AND(Parameters!$C$39=1,ISNUMBER(Calc!B87),Calc!B87&lt;=Parameters!$C$40),0,MIN(Coding!AG87,Parameters!$C$37)/Parameters!$C$37)))),Parameters!$E$7,0))&gt;=Parameters!$C$56,Scoring!Q87&gt;=Parameters!$C$59),(Scoring!O87-IF(ISNUMBER(Scoring!E87),Parameters!$E$7*Scoring!E87,0)+IF(ISNUMBER(IF(Verification!D87&lt;&gt;"",Verification!D87,IF(Coding!AG87=0,"NA",IF(AND(Parameters!$C$39=1,ISNUMBER(Calc!B87),Calc!B87&lt;=Parameters!$C$40),0,MIN(Coding!AG87,Parameters!$C$37)/Parameters!$C$37)))),Parameters!$E$7*IF(Verification!D87&lt;&gt;"",Verification!D87,IF(Coding!AG87=0,"NA",IF(AND(Parameters!$C$39=1,ISNUMBER(Calc!B87),Calc!B87&lt;=Parameters!$C$40),0,MIN(Coding!AG87,Parameters!$C$37)/Parameters!$C$37))),0))/(Scoring!N87-IF(ISNUMBER(Scoring!E87),Parameters!$E$7,0)+IF(ISNUMBER(IF(Verification!D87&lt;&gt;"",Verification!D87,IF(Coding!AG87=0,"NA",IF(AND(Parameters!$C$39=1,ISNUMBER(Calc!B87),Calc!B87&lt;=Parameters!$C$40),0,MIN(Coding!AG87,Parameters!$C$37)/Parameters!$C$37)))),Parameters!$E$7,0))*100,"NA")</f>
        <v>NA</v>
      </c>
      <c r="F87" s="29" t="str">
        <f aca="false">IF(Scoring!R87="Yes",AVERAGE(Scoring!D87:J87)*100,"NA")</f>
        <v>NA</v>
      </c>
      <c r="G87" s="29" t="str">
        <f aca="false">IF(AND((Scoring!N87-IF(ISNUMBER(Scoring!F87),Parameters!$E$8,0)+IF(ISNUMBER(IF(Verification!E87&lt;&gt;"",Scoring!F87,Calc!V87)),Parameters!$E$8,0))&gt;=Parameters!$C$56,Scoring!Q87&gt;=Parameters!$C$59),(Scoring!O87-IF(ISNUMBER(Scoring!F87),Parameters!$E$8*Scoring!F87,0)+IF(ISNUMBER(IF(Verification!E87&lt;&gt;"",Scoring!F87,Calc!V87)),Parameters!$E$8*IF(Verification!E87&lt;&gt;"",Scoring!F87,Calc!V87),0))/(Scoring!N87-IF(ISNUMBER(Scoring!F87),Parameters!$E$8,0)+IF(ISNUMBER(IF(Verification!E87&lt;&gt;"",Scoring!F87,Calc!V87)),Parameters!$E$8,0))*100,"NA")</f>
        <v>NA</v>
      </c>
      <c r="H87" s="29" t="str">
        <f aca="false">IF(ISNUMBER(Scoring!S87),(Scoring!N87/Parameters!$E$13)*Scoring!S87+(1-Scoring!N87/Parameters!$E$13)*Summary!$B$9,"NA")</f>
        <v>NA</v>
      </c>
      <c r="I87" s="29" t="str">
        <f aca="false">IF(AND(ISNUMBER(Scoring!S87),COUNT(Scoring!E87,Scoring!F87)&gt;0),Scoring!S87,"NA")</f>
        <v>NA</v>
      </c>
      <c r="J87" s="29" t="str">
        <f aca="false">IF(AND(ISNUMBER($B87),ISNUMBER(C87)),ABS(C87-$B87),"")</f>
        <v/>
      </c>
      <c r="K87" s="29" t="str">
        <f aca="false">IF(AND(ISNUMBER($B87),ISNUMBER(D87)),ABS(D87-$B87),"")</f>
        <v/>
      </c>
      <c r="L87" s="29" t="str">
        <f aca="false">IF(AND(ISNUMBER($B87),ISNUMBER(E87)),ABS(E87-$B87),"")</f>
        <v/>
      </c>
      <c r="M87" s="29" t="str">
        <f aca="false">IF(AND(ISNUMBER($B87),ISNUMBER(F87)),ABS(F87-$B87),"")</f>
        <v/>
      </c>
      <c r="N87" s="29" t="str">
        <f aca="false">IF(AND(ISNUMBER($B87),ISNUMBER(G87)),ABS(G87-$B87),"")</f>
        <v/>
      </c>
      <c r="O87" s="29" t="str">
        <f aca="false">IF(AND(ISNUMBER($B87),ISNUMBER(H87)),ABS(H87-$B87),"")</f>
        <v/>
      </c>
      <c r="P87" s="29" t="str">
        <f aca="false">IF(AND(ISNUMBER($B87),ISNUMBER(I87)),ABS(I87-$B87),"")</f>
        <v/>
      </c>
    </row>
    <row r="88" customFormat="false" ht="15" hidden="false" customHeight="true" outlineLevel="0" collapsed="false">
      <c r="A88" s="15" t="str">
        <f aca="false">Data!$A88</f>
        <v>Peer Community In</v>
      </c>
      <c r="B88" s="29" t="str">
        <f aca="false">Scoring!S88</f>
        <v>NA</v>
      </c>
      <c r="C88" s="29" t="str">
        <f aca="false">IF(AND(Scoring!N88&gt;=Parameters!$C$57,Scoring!Q88&gt;=Parameters!$C$59),Scoring!O88/Scoring!N88*100,"NA")</f>
        <v>NA</v>
      </c>
      <c r="D88" s="29" t="str">
        <f aca="false">IF(AND(Scoring!N88&gt;=Parameters!$C$58,Scoring!Q88&gt;=Parameters!$C$59),Scoring!O88/Scoring!N88*100,"NA")</f>
        <v>NA</v>
      </c>
      <c r="E88" s="29" t="str">
        <f aca="false">IF(AND((Scoring!N88-IF(ISNUMBER(Scoring!E88),Parameters!$E$7,0)+IF(ISNUMBER(IF(Verification!D88&lt;&gt;"",Verification!D88,IF(Coding!AG88=0,"NA",IF(AND(Parameters!$C$39=1,ISNUMBER(Calc!B88),Calc!B88&lt;=Parameters!$C$40),0,MIN(Coding!AG88,Parameters!$C$37)/Parameters!$C$37)))),Parameters!$E$7,0))&gt;=Parameters!$C$56,Scoring!Q88&gt;=Parameters!$C$59),(Scoring!O88-IF(ISNUMBER(Scoring!E88),Parameters!$E$7*Scoring!E88,0)+IF(ISNUMBER(IF(Verification!D88&lt;&gt;"",Verification!D88,IF(Coding!AG88=0,"NA",IF(AND(Parameters!$C$39=1,ISNUMBER(Calc!B88),Calc!B88&lt;=Parameters!$C$40),0,MIN(Coding!AG88,Parameters!$C$37)/Parameters!$C$37)))),Parameters!$E$7*IF(Verification!D88&lt;&gt;"",Verification!D88,IF(Coding!AG88=0,"NA",IF(AND(Parameters!$C$39=1,ISNUMBER(Calc!B88),Calc!B88&lt;=Parameters!$C$40),0,MIN(Coding!AG88,Parameters!$C$37)/Parameters!$C$37))),0))/(Scoring!N88-IF(ISNUMBER(Scoring!E88),Parameters!$E$7,0)+IF(ISNUMBER(IF(Verification!D88&lt;&gt;"",Verification!D88,IF(Coding!AG88=0,"NA",IF(AND(Parameters!$C$39=1,ISNUMBER(Calc!B88),Calc!B88&lt;=Parameters!$C$40),0,MIN(Coding!AG88,Parameters!$C$37)/Parameters!$C$37)))),Parameters!$E$7,0))*100,"NA")</f>
        <v>NA</v>
      </c>
      <c r="F88" s="29" t="str">
        <f aca="false">IF(Scoring!R88="Yes",AVERAGE(Scoring!D88:J88)*100,"NA")</f>
        <v>NA</v>
      </c>
      <c r="G88" s="29" t="n">
        <f aca="false">IF(AND((Scoring!N88-IF(ISNUMBER(Scoring!F88),Parameters!$E$8,0)+IF(ISNUMBER(IF(Verification!E88&lt;&gt;"",Scoring!F88,Calc!V88)),Parameters!$E$8,0))&gt;=Parameters!$C$56,Scoring!Q88&gt;=Parameters!$C$59),(Scoring!O88-IF(ISNUMBER(Scoring!F88),Parameters!$E$8*Scoring!F88,0)+IF(ISNUMBER(IF(Verification!E88&lt;&gt;"",Scoring!F88,Calc!V88)),Parameters!$E$8*IF(Verification!E88&lt;&gt;"",Scoring!F88,Calc!V88),0))/(Scoring!N88-IF(ISNUMBER(Scoring!F88),Parameters!$E$8,0)+IF(ISNUMBER(IF(Verification!E88&lt;&gt;"",Scoring!F88,Calc!V88)),Parameters!$E$8,0))*100,"NA")</f>
        <v>72.7272727272727</v>
      </c>
      <c r="H88" s="29" t="str">
        <f aca="false">IF(ISNUMBER(Scoring!S88),(Scoring!N88/Parameters!$E$13)*Scoring!S88+(1-Scoring!N88/Parameters!$E$13)*Summary!$B$9,"NA")</f>
        <v>NA</v>
      </c>
      <c r="I88" s="29" t="str">
        <f aca="false">IF(AND(ISNUMBER(Scoring!S88),COUNT(Scoring!E88,Scoring!F88)&gt;0),Scoring!S88,"NA")</f>
        <v>NA</v>
      </c>
      <c r="J88" s="29" t="str">
        <f aca="false">IF(AND(ISNUMBER($B88),ISNUMBER(C88)),ABS(C88-$B88),"")</f>
        <v/>
      </c>
      <c r="K88" s="29" t="str">
        <f aca="false">IF(AND(ISNUMBER($B88),ISNUMBER(D88)),ABS(D88-$B88),"")</f>
        <v/>
      </c>
      <c r="L88" s="29" t="str">
        <f aca="false">IF(AND(ISNUMBER($B88),ISNUMBER(E88)),ABS(E88-$B88),"")</f>
        <v/>
      </c>
      <c r="M88" s="29" t="str">
        <f aca="false">IF(AND(ISNUMBER($B88),ISNUMBER(F88)),ABS(F88-$B88),"")</f>
        <v/>
      </c>
      <c r="N88" s="29" t="str">
        <f aca="false">IF(AND(ISNUMBER($B88),ISNUMBER(G88)),ABS(G88-$B88),"")</f>
        <v/>
      </c>
      <c r="O88" s="29" t="str">
        <f aca="false">IF(AND(ISNUMBER($B88),ISNUMBER(H88)),ABS(H88-$B88),"")</f>
        <v/>
      </c>
      <c r="P88" s="29" t="str">
        <f aca="false">IF(AND(ISNUMBER($B88),ISNUMBER(I88)),ABS(I88-$B88),"")</f>
        <v/>
      </c>
    </row>
    <row r="89" customFormat="false" ht="15" hidden="false" customHeight="true" outlineLevel="0" collapsed="false">
      <c r="A89" s="15" t="str">
        <f aca="false">Data!$A89</f>
        <v>PKP Preservation Network</v>
      </c>
      <c r="B89" s="29" t="n">
        <f aca="false">Scoring!S89</f>
        <v>100</v>
      </c>
      <c r="C89" s="29" t="n">
        <f aca="false">IF(AND(Scoring!N89&gt;=Parameters!$C$57,Scoring!Q89&gt;=Parameters!$C$59),Scoring!O89/Scoring!N89*100,"NA")</f>
        <v>100</v>
      </c>
      <c r="D89" s="29" t="str">
        <f aca="false">IF(AND(Scoring!N89&gt;=Parameters!$C$58,Scoring!Q89&gt;=Parameters!$C$59),Scoring!O89/Scoring!N89*100,"NA")</f>
        <v>NA</v>
      </c>
      <c r="E89" s="29" t="n">
        <f aca="false">IF(AND((Scoring!N89-IF(ISNUMBER(Scoring!E89),Parameters!$E$7,0)+IF(ISNUMBER(IF(Verification!D89&lt;&gt;"",Verification!D89,IF(Coding!AG89=0,"NA",IF(AND(Parameters!$C$39=1,ISNUMBER(Calc!B89),Calc!B89&lt;=Parameters!$C$40),0,MIN(Coding!AG89,Parameters!$C$37)/Parameters!$C$37)))),Parameters!$E$7,0))&gt;=Parameters!$C$56,Scoring!Q89&gt;=Parameters!$C$59),(Scoring!O89-IF(ISNUMBER(Scoring!E89),Parameters!$E$7*Scoring!E89,0)+IF(ISNUMBER(IF(Verification!D89&lt;&gt;"",Verification!D89,IF(Coding!AG89=0,"NA",IF(AND(Parameters!$C$39=1,ISNUMBER(Calc!B89),Calc!B89&lt;=Parameters!$C$40),0,MIN(Coding!AG89,Parameters!$C$37)/Parameters!$C$37)))),Parameters!$E$7*IF(Verification!D89&lt;&gt;"",Verification!D89,IF(Coding!AG89=0,"NA",IF(AND(Parameters!$C$39=1,ISNUMBER(Calc!B89),Calc!B89&lt;=Parameters!$C$40),0,MIN(Coding!AG89,Parameters!$C$37)/Parameters!$C$37))),0))/(Scoring!N89-IF(ISNUMBER(Scoring!E89),Parameters!$E$7,0)+IF(ISNUMBER(IF(Verification!D89&lt;&gt;"",Verification!D89,IF(Coding!AG89=0,"NA",IF(AND(Parameters!$C$39=1,ISNUMBER(Calc!B89),Calc!B89&lt;=Parameters!$C$40),0,MIN(Coding!AG89,Parameters!$C$37)/Parameters!$C$37)))),Parameters!$E$7,0))*100,"NA")</f>
        <v>100</v>
      </c>
      <c r="F89" s="29" t="n">
        <f aca="false">IF(Scoring!R89="Yes",AVERAGE(Scoring!D89:J89)*100,"NA")</f>
        <v>100</v>
      </c>
      <c r="G89" s="29" t="n">
        <f aca="false">IF(AND((Scoring!N89-IF(ISNUMBER(Scoring!F89),Parameters!$E$8,0)+IF(ISNUMBER(IF(Verification!E89&lt;&gt;"",Scoring!F89,Calc!V89)),Parameters!$E$8,0))&gt;=Parameters!$C$56,Scoring!Q89&gt;=Parameters!$C$59),(Scoring!O89-IF(ISNUMBER(Scoring!F89),Parameters!$E$8*Scoring!F89,0)+IF(ISNUMBER(IF(Verification!E89&lt;&gt;"",Scoring!F89,Calc!V89)),Parameters!$E$8*IF(Verification!E89&lt;&gt;"",Scoring!F89,Calc!V89),0))/(Scoring!N89-IF(ISNUMBER(Scoring!F89),Parameters!$E$8,0)+IF(ISNUMBER(IF(Verification!E89&lt;&gt;"",Scoring!F89,Calc!V89)),Parameters!$E$8,0))*100,"NA")</f>
        <v>100</v>
      </c>
      <c r="H89" s="29" t="n">
        <f aca="false">IF(ISNUMBER(Scoring!S89),(Scoring!N89/Parameters!$E$13)*Scoring!S89+(1-Scoring!N89/Parameters!$E$13)*Summary!$B$9,"NA")</f>
        <v>91.2903225806452</v>
      </c>
      <c r="I89" s="29" t="str">
        <f aca="false">IF(AND(ISNUMBER(Scoring!S89),COUNT(Scoring!E89,Scoring!F89)&gt;0),Scoring!S89,"NA")</f>
        <v>NA</v>
      </c>
      <c r="J89" s="29" t="n">
        <f aca="false">IF(AND(ISNUMBER($B89),ISNUMBER(C89)),ABS(C89-$B89),"")</f>
        <v>0</v>
      </c>
      <c r="K89" s="29" t="str">
        <f aca="false">IF(AND(ISNUMBER($B89),ISNUMBER(D89)),ABS(D89-$B89),"")</f>
        <v/>
      </c>
      <c r="L89" s="29" t="n">
        <f aca="false">IF(AND(ISNUMBER($B89),ISNUMBER(E89)),ABS(E89-$B89),"")</f>
        <v>0</v>
      </c>
      <c r="M89" s="29" t="n">
        <f aca="false">IF(AND(ISNUMBER($B89),ISNUMBER(F89)),ABS(F89-$B89),"")</f>
        <v>0</v>
      </c>
      <c r="N89" s="29" t="n">
        <f aca="false">IF(AND(ISNUMBER($B89),ISNUMBER(G89)),ABS(G89-$B89),"")</f>
        <v>0</v>
      </c>
      <c r="O89" s="29" t="n">
        <f aca="false">IF(AND(ISNUMBER($B89),ISNUMBER(H89)),ABS(H89-$B89),"")</f>
        <v>8.70967741935485</v>
      </c>
      <c r="P89" s="29" t="str">
        <f aca="false">IF(AND(ISNUMBER($B89),ISNUMBER(I89)),ABS(I89-$B89),"")</f>
        <v/>
      </c>
    </row>
    <row r="90" customFormat="false" ht="15" hidden="false" customHeight="true" outlineLevel="0" collapsed="false">
      <c r="A90" s="15" t="str">
        <f aca="false">Data!$A90</f>
        <v>PREreview</v>
      </c>
      <c r="B90" s="29" t="n">
        <f aca="false">Scoring!S90</f>
        <v>84</v>
      </c>
      <c r="C90" s="29" t="n">
        <f aca="false">IF(AND(Scoring!N90&gt;=Parameters!$C$57,Scoring!Q90&gt;=Parameters!$C$59),Scoring!O90/Scoring!N90*100,"NA")</f>
        <v>84</v>
      </c>
      <c r="D90" s="29" t="n">
        <f aca="false">IF(AND(Scoring!N90&gt;=Parameters!$C$58,Scoring!Q90&gt;=Parameters!$C$59),Scoring!O90/Scoring!N90*100,"NA")</f>
        <v>84</v>
      </c>
      <c r="E90" s="29" t="n">
        <f aca="false">IF(AND((Scoring!N90-IF(ISNUMBER(Scoring!E90),Parameters!$E$7,0)+IF(ISNUMBER(IF(Verification!D90&lt;&gt;"",Verification!D90,IF(Coding!AG90=0,"NA",IF(AND(Parameters!$C$39=1,ISNUMBER(Calc!B90),Calc!B90&lt;=Parameters!$C$40),0,MIN(Coding!AG90,Parameters!$C$37)/Parameters!$C$37)))),Parameters!$E$7,0))&gt;=Parameters!$C$56,Scoring!Q90&gt;=Parameters!$C$59),(Scoring!O90-IF(ISNUMBER(Scoring!E90),Parameters!$E$7*Scoring!E90,0)+IF(ISNUMBER(IF(Verification!D90&lt;&gt;"",Verification!D90,IF(Coding!AG90=0,"NA",IF(AND(Parameters!$C$39=1,ISNUMBER(Calc!B90),Calc!B90&lt;=Parameters!$C$40),0,MIN(Coding!AG90,Parameters!$C$37)/Parameters!$C$37)))),Parameters!$E$7*IF(Verification!D90&lt;&gt;"",Verification!D90,IF(Coding!AG90=0,"NA",IF(AND(Parameters!$C$39=1,ISNUMBER(Calc!B90),Calc!B90&lt;=Parameters!$C$40),0,MIN(Coding!AG90,Parameters!$C$37)/Parameters!$C$37))),0))/(Scoring!N90-IF(ISNUMBER(Scoring!E90),Parameters!$E$7,0)+IF(ISNUMBER(IF(Verification!D90&lt;&gt;"",Verification!D90,IF(Coding!AG90=0,"NA",IF(AND(Parameters!$C$39=1,ISNUMBER(Calc!B90),Calc!B90&lt;=Parameters!$C$40),0,MIN(Coding!AG90,Parameters!$C$37)/Parameters!$C$37)))),Parameters!$E$7,0))*100,"NA")</f>
        <v>84</v>
      </c>
      <c r="F90" s="29" t="n">
        <f aca="false">IF(Scoring!R90="Yes",AVERAGE(Scoring!D90:J90)*100,"NA")</f>
        <v>85.7142857142857</v>
      </c>
      <c r="G90" s="29" t="n">
        <f aca="false">IF(AND((Scoring!N90-IF(ISNUMBER(Scoring!F90),Parameters!$E$8,0)+IF(ISNUMBER(IF(Verification!E90&lt;&gt;"",Scoring!F90,Calc!V90)),Parameters!$E$8,0))&gt;=Parameters!$C$56,Scoring!Q90&gt;=Parameters!$C$59),(Scoring!O90-IF(ISNUMBER(Scoring!F90),Parameters!$E$8*Scoring!F90,0)+IF(ISNUMBER(IF(Verification!E90&lt;&gt;"",Scoring!F90,Calc!V90)),Parameters!$E$8*IF(Verification!E90&lt;&gt;"",Scoring!F90,Calc!V90),0))/(Scoring!N90-IF(ISNUMBER(Scoring!F90),Parameters!$E$8,0)+IF(ISNUMBER(IF(Verification!E90&lt;&gt;"",Scoring!F90,Calc!V90)),Parameters!$E$8,0))*100,"NA")</f>
        <v>84</v>
      </c>
      <c r="H90" s="29" t="n">
        <f aca="false">IF(ISNUMBER(Scoring!S90),(Scoring!N90/Parameters!$E$13)*Scoring!S90+(1-Scoring!N90/Parameters!$E$13)*Summary!$B$9,"NA")</f>
        <v>84</v>
      </c>
      <c r="I90" s="29" t="n">
        <f aca="false">IF(AND(ISNUMBER(Scoring!S90),COUNT(Scoring!E90,Scoring!F90)&gt;0),Scoring!S90,"NA")</f>
        <v>84</v>
      </c>
      <c r="J90" s="29" t="n">
        <f aca="false">IF(AND(ISNUMBER($B90),ISNUMBER(C90)),ABS(C90-$B90),"")</f>
        <v>0</v>
      </c>
      <c r="K90" s="29" t="n">
        <f aca="false">IF(AND(ISNUMBER($B90),ISNUMBER(D90)),ABS(D90-$B90),"")</f>
        <v>0</v>
      </c>
      <c r="L90" s="29" t="n">
        <f aca="false">IF(AND(ISNUMBER($B90),ISNUMBER(E90)),ABS(E90-$B90),"")</f>
        <v>0</v>
      </c>
      <c r="M90" s="29" t="n">
        <f aca="false">IF(AND(ISNUMBER($B90),ISNUMBER(F90)),ABS(F90-$B90),"")</f>
        <v>1.71428571428569</v>
      </c>
      <c r="N90" s="29" t="n">
        <f aca="false">IF(AND(ISNUMBER($B90),ISNUMBER(G90)),ABS(G90-$B90),"")</f>
        <v>0</v>
      </c>
      <c r="O90" s="29" t="n">
        <f aca="false">IF(AND(ISNUMBER($B90),ISNUMBER(H90)),ABS(H90-$B90),"")</f>
        <v>0</v>
      </c>
      <c r="P90" s="29" t="n">
        <f aca="false">IF(AND(ISNUMBER($B90),ISNUMBER(I90)),ABS(I90-$B90),"")</f>
        <v>0</v>
      </c>
    </row>
    <row r="91" customFormat="false" ht="15" hidden="false" customHeight="true" outlineLevel="0" collapsed="false">
      <c r="A91" s="15" t="str">
        <f aca="false">Data!$A91</f>
        <v>Pressbooks</v>
      </c>
      <c r="B91" s="29" t="n">
        <f aca="false">Scoring!S91</f>
        <v>47.7205882352941</v>
      </c>
      <c r="C91" s="29" t="n">
        <f aca="false">IF(AND(Scoring!N91&gt;=Parameters!$C$57,Scoring!Q91&gt;=Parameters!$C$59),Scoring!O91/Scoring!N91*100,"NA")</f>
        <v>47.7205882352941</v>
      </c>
      <c r="D91" s="29" t="str">
        <f aca="false">IF(AND(Scoring!N91&gt;=Parameters!$C$58,Scoring!Q91&gt;=Parameters!$C$59),Scoring!O91/Scoring!N91*100,"NA")</f>
        <v>NA</v>
      </c>
      <c r="E91" s="29" t="str">
        <f aca="false">IF(AND((Scoring!N91-IF(ISNUMBER(Scoring!E91),Parameters!$E$7,0)+IF(ISNUMBER(IF(Verification!D91&lt;&gt;"",Verification!D91,IF(Coding!AG91=0,"NA",IF(AND(Parameters!$C$39=1,ISNUMBER(Calc!B91),Calc!B91&lt;=Parameters!$C$40),0,MIN(Coding!AG91,Parameters!$C$37)/Parameters!$C$37)))),Parameters!$E$7,0))&gt;=Parameters!$C$56,Scoring!Q91&gt;=Parameters!$C$59),(Scoring!O91-IF(ISNUMBER(Scoring!E91),Parameters!$E$7*Scoring!E91,0)+IF(ISNUMBER(IF(Verification!D91&lt;&gt;"",Verification!D91,IF(Coding!AG91=0,"NA",IF(AND(Parameters!$C$39=1,ISNUMBER(Calc!B91),Calc!B91&lt;=Parameters!$C$40),0,MIN(Coding!AG91,Parameters!$C$37)/Parameters!$C$37)))),Parameters!$E$7*IF(Verification!D91&lt;&gt;"",Verification!D91,IF(Coding!AG91=0,"NA",IF(AND(Parameters!$C$39=1,ISNUMBER(Calc!B91),Calc!B91&lt;=Parameters!$C$40),0,MIN(Coding!AG91,Parameters!$C$37)/Parameters!$C$37))),0))/(Scoring!N91-IF(ISNUMBER(Scoring!E91),Parameters!$E$7,0)+IF(ISNUMBER(IF(Verification!D91&lt;&gt;"",Verification!D91,IF(Coding!AG91=0,"NA",IF(AND(Parameters!$C$39=1,ISNUMBER(Calc!B91),Calc!B91&lt;=Parameters!$C$40),0,MIN(Coding!AG91,Parameters!$C$37)/Parameters!$C$37)))),Parameters!$E$7,0))*100,"NA")</f>
        <v>NA</v>
      </c>
      <c r="F91" s="29" t="n">
        <f aca="false">IF(Scoring!R91="Yes",AVERAGE(Scoring!D91:J91)*100,"NA")</f>
        <v>61.6</v>
      </c>
      <c r="G91" s="29" t="n">
        <f aca="false">IF(AND((Scoring!N91-IF(ISNUMBER(Scoring!F91),Parameters!$E$8,0)+IF(ISNUMBER(IF(Verification!E91&lt;&gt;"",Scoring!F91,Calc!V91)),Parameters!$E$8,0))&gt;=Parameters!$C$56,Scoring!Q91&gt;=Parameters!$C$59),(Scoring!O91-IF(ISNUMBER(Scoring!F91),Parameters!$E$8*Scoring!F91,0)+IF(ISNUMBER(IF(Verification!E91&lt;&gt;"",Scoring!F91,Calc!V91)),Parameters!$E$8*IF(Verification!E91&lt;&gt;"",Scoring!F91,Calc!V91),0))/(Scoring!N91-IF(ISNUMBER(Scoring!F91),Parameters!$E$8,0)+IF(ISNUMBER(IF(Verification!E91&lt;&gt;"",Scoring!F91,Calc!V91)),Parameters!$E$8,0))*100,"NA")</f>
        <v>47.7205882352941</v>
      </c>
      <c r="H91" s="29" t="n">
        <f aca="false">IF(ISNUMBER(Scoring!S91),(Scoring!N91/Parameters!$E$13)*Scoring!S91+(1-Scoring!N91/Parameters!$E$13)*Summary!$B$9,"NA")</f>
        <v>57.4822580645161</v>
      </c>
      <c r="I91" s="29" t="n">
        <f aca="false">IF(AND(ISNUMBER(Scoring!S91),COUNT(Scoring!E91,Scoring!F91)&gt;0),Scoring!S91,"NA")</f>
        <v>47.7205882352941</v>
      </c>
      <c r="J91" s="29" t="n">
        <f aca="false">IF(AND(ISNUMBER($B91),ISNUMBER(C91)),ABS(C91-$B91),"")</f>
        <v>0</v>
      </c>
      <c r="K91" s="29" t="str">
        <f aca="false">IF(AND(ISNUMBER($B91),ISNUMBER(D91)),ABS(D91-$B91),"")</f>
        <v/>
      </c>
      <c r="L91" s="29" t="str">
        <f aca="false">IF(AND(ISNUMBER($B91),ISNUMBER(E91)),ABS(E91-$B91),"")</f>
        <v/>
      </c>
      <c r="M91" s="29" t="n">
        <f aca="false">IF(AND(ISNUMBER($B91),ISNUMBER(F91)),ABS(F91-$B91),"")</f>
        <v>13.8794117647059</v>
      </c>
      <c r="N91" s="29" t="n">
        <f aca="false">IF(AND(ISNUMBER($B91),ISNUMBER(G91)),ABS(G91-$B91),"")</f>
        <v>0</v>
      </c>
      <c r="O91" s="29" t="n">
        <f aca="false">IF(AND(ISNUMBER($B91),ISNUMBER(H91)),ABS(H91-$B91),"")</f>
        <v>9.76166982922202</v>
      </c>
      <c r="P91" s="29" t="n">
        <f aca="false">IF(AND(ISNUMBER($B91),ISNUMBER(I91)),ABS(I91-$B91),"")</f>
        <v>0</v>
      </c>
    </row>
    <row r="92" customFormat="false" ht="15" hidden="false" customHeight="true" outlineLevel="0" collapsed="false">
      <c r="A92" s="15" t="str">
        <f aca="false">Data!$A92</f>
        <v>Public Access Submission System</v>
      </c>
      <c r="B92" s="29" t="n">
        <f aca="false">Scoring!S92</f>
        <v>88.9230769230769</v>
      </c>
      <c r="C92" s="29" t="n">
        <f aca="false">IF(AND(Scoring!N92&gt;=Parameters!$C$57,Scoring!Q92&gt;=Parameters!$C$59),Scoring!O92/Scoring!N92*100,"NA")</f>
        <v>88.9230769230769</v>
      </c>
      <c r="D92" s="29" t="n">
        <f aca="false">IF(AND(Scoring!N92&gt;=Parameters!$C$58,Scoring!Q92&gt;=Parameters!$C$59),Scoring!O92/Scoring!N92*100,"NA")</f>
        <v>88.9230769230769</v>
      </c>
      <c r="E92" s="29" t="n">
        <f aca="false">IF(AND((Scoring!N92-IF(ISNUMBER(Scoring!E92),Parameters!$E$7,0)+IF(ISNUMBER(IF(Verification!D92&lt;&gt;"",Verification!D92,IF(Coding!AG92=0,"NA",IF(AND(Parameters!$C$39=1,ISNUMBER(Calc!B92),Calc!B92&lt;=Parameters!$C$40),0,MIN(Coding!AG92,Parameters!$C$37)/Parameters!$C$37)))),Parameters!$E$7,0))&gt;=Parameters!$C$56,Scoring!Q92&gt;=Parameters!$C$59),(Scoring!O92-IF(ISNUMBER(Scoring!E92),Parameters!$E$7*Scoring!E92,0)+IF(ISNUMBER(IF(Verification!D92&lt;&gt;"",Verification!D92,IF(Coding!AG92=0,"NA",IF(AND(Parameters!$C$39=1,ISNUMBER(Calc!B92),Calc!B92&lt;=Parameters!$C$40),0,MIN(Coding!AG92,Parameters!$C$37)/Parameters!$C$37)))),Parameters!$E$7*IF(Verification!D92&lt;&gt;"",Verification!D92,IF(Coding!AG92=0,"NA",IF(AND(Parameters!$C$39=1,ISNUMBER(Calc!B92),Calc!B92&lt;=Parameters!$C$40),0,MIN(Coding!AG92,Parameters!$C$37)/Parameters!$C$37))),0))/(Scoring!N92-IF(ISNUMBER(Scoring!E92),Parameters!$E$7,0)+IF(ISNUMBER(IF(Verification!D92&lt;&gt;"",Verification!D92,IF(Coding!AG92=0,"NA",IF(AND(Parameters!$C$39=1,ISNUMBER(Calc!B92),Calc!B92&lt;=Parameters!$C$40),0,MIN(Coding!AG92,Parameters!$C$37)/Parameters!$C$37)))),Parameters!$E$7,0))*100,"NA")</f>
        <v>88.9230769230769</v>
      </c>
      <c r="F92" s="29" t="n">
        <f aca="false">IF(Scoring!R92="Yes",AVERAGE(Scoring!D92:J92)*100,"NA")</f>
        <v>88.9444444444444</v>
      </c>
      <c r="G92" s="29" t="n">
        <f aca="false">IF(AND((Scoring!N92-IF(ISNUMBER(Scoring!F92),Parameters!$E$8,0)+IF(ISNUMBER(IF(Verification!E92&lt;&gt;"",Scoring!F92,Calc!V92)),Parameters!$E$8,0))&gt;=Parameters!$C$56,Scoring!Q92&gt;=Parameters!$C$59),(Scoring!O92-IF(ISNUMBER(Scoring!F92),Parameters!$E$8*Scoring!F92,0)+IF(ISNUMBER(IF(Verification!E92&lt;&gt;"",Scoring!F92,Calc!V92)),Parameters!$E$8*IF(Verification!E92&lt;&gt;"",Scoring!F92,Calc!V92),0))/(Scoring!N92-IF(ISNUMBER(Scoring!F92),Parameters!$E$8,0)+IF(ISNUMBER(IF(Verification!E92&lt;&gt;"",Scoring!F92,Calc!V92)),Parameters!$E$8,0))*100,"NA")</f>
        <v>85.0769230769231</v>
      </c>
      <c r="H92" s="29" t="n">
        <f aca="false">IF(ISNUMBER(Scoring!S92),(Scoring!N92/Parameters!$E$13)*Scoring!S92+(1-Scoring!N92/Parameters!$E$13)*Summary!$B$9,"NA")</f>
        <v>86.5696774193548</v>
      </c>
      <c r="I92" s="29" t="n">
        <f aca="false">IF(AND(ISNUMBER(Scoring!S92),COUNT(Scoring!E92,Scoring!F92)&gt;0),Scoring!S92,"NA")</f>
        <v>88.9230769230769</v>
      </c>
      <c r="J92" s="29" t="n">
        <f aca="false">IF(AND(ISNUMBER($B92),ISNUMBER(C92)),ABS(C92-$B92),"")</f>
        <v>0</v>
      </c>
      <c r="K92" s="29" t="n">
        <f aca="false">IF(AND(ISNUMBER($B92),ISNUMBER(D92)),ABS(D92-$B92),"")</f>
        <v>0</v>
      </c>
      <c r="L92" s="29" t="n">
        <f aca="false">IF(AND(ISNUMBER($B92),ISNUMBER(E92)),ABS(E92-$B92),"")</f>
        <v>0</v>
      </c>
      <c r="M92" s="29" t="n">
        <f aca="false">IF(AND(ISNUMBER($B92),ISNUMBER(F92)),ABS(F92-$B92),"")</f>
        <v>0.0213675213675231</v>
      </c>
      <c r="N92" s="29" t="n">
        <f aca="false">IF(AND(ISNUMBER($B92),ISNUMBER(G92)),ABS(G92-$B92),"")</f>
        <v>3.84615384615385</v>
      </c>
      <c r="O92" s="29" t="n">
        <f aca="false">IF(AND(ISNUMBER($B92),ISNUMBER(H92)),ABS(H92-$B92),"")</f>
        <v>2.35339950372209</v>
      </c>
      <c r="P92" s="29" t="n">
        <f aca="false">IF(AND(ISNUMBER($B92),ISNUMBER(I92)),ABS(I92-$B92),"")</f>
        <v>0</v>
      </c>
    </row>
    <row r="93" customFormat="false" ht="15" hidden="false" customHeight="true" outlineLevel="0" collapsed="false">
      <c r="A93" s="15" t="str">
        <f aca="false">Data!$A93</f>
        <v>Public Utility Data Liberation (PUDL)</v>
      </c>
      <c r="B93" s="29" t="n">
        <f aca="false">Scoring!S93</f>
        <v>87.8048780487805</v>
      </c>
      <c r="C93" s="29" t="n">
        <f aca="false">IF(AND(Scoring!N93&gt;=Parameters!$C$57,Scoring!Q93&gt;=Parameters!$C$59),Scoring!O93/Scoring!N93*100,"NA")</f>
        <v>87.8048780487805</v>
      </c>
      <c r="D93" s="29" t="n">
        <f aca="false">IF(AND(Scoring!N93&gt;=Parameters!$C$58,Scoring!Q93&gt;=Parameters!$C$59),Scoring!O93/Scoring!N93*100,"NA")</f>
        <v>87.8048780487805</v>
      </c>
      <c r="E93" s="29" t="n">
        <f aca="false">IF(AND((Scoring!N93-IF(ISNUMBER(Scoring!E93),Parameters!$E$7,0)+IF(ISNUMBER(IF(Verification!D93&lt;&gt;"",Verification!D93,IF(Coding!AG93=0,"NA",IF(AND(Parameters!$C$39=1,ISNUMBER(Calc!B93),Calc!B93&lt;=Parameters!$C$40),0,MIN(Coding!AG93,Parameters!$C$37)/Parameters!$C$37)))),Parameters!$E$7,0))&gt;=Parameters!$C$56,Scoring!Q93&gt;=Parameters!$C$59),(Scoring!O93-IF(ISNUMBER(Scoring!E93),Parameters!$E$7*Scoring!E93,0)+IF(ISNUMBER(IF(Verification!D93&lt;&gt;"",Verification!D93,IF(Coding!AG93=0,"NA",IF(AND(Parameters!$C$39=1,ISNUMBER(Calc!B93),Calc!B93&lt;=Parameters!$C$40),0,MIN(Coding!AG93,Parameters!$C$37)/Parameters!$C$37)))),Parameters!$E$7*IF(Verification!D93&lt;&gt;"",Verification!D93,IF(Coding!AG93=0,"NA",IF(AND(Parameters!$C$39=1,ISNUMBER(Calc!B93),Calc!B93&lt;=Parameters!$C$40),0,MIN(Coding!AG93,Parameters!$C$37)/Parameters!$C$37))),0))/(Scoring!N93-IF(ISNUMBER(Scoring!E93),Parameters!$E$7,0)+IF(ISNUMBER(IF(Verification!D93&lt;&gt;"",Verification!D93,IF(Coding!AG93=0,"NA",IF(AND(Parameters!$C$39=1,ISNUMBER(Calc!B93),Calc!B93&lt;=Parameters!$C$40),0,MIN(Coding!AG93,Parameters!$C$37)/Parameters!$C$37)))),Parameters!$E$7,0))*100,"NA")</f>
        <v>87.8048780487805</v>
      </c>
      <c r="F93" s="29" t="n">
        <f aca="false">IF(Scoring!R93="Yes",AVERAGE(Scoring!D93:J93)*100,"NA")</f>
        <v>91.6666666666667</v>
      </c>
      <c r="G93" s="29" t="n">
        <f aca="false">IF(AND((Scoring!N93-IF(ISNUMBER(Scoring!F93),Parameters!$E$8,0)+IF(ISNUMBER(IF(Verification!E93&lt;&gt;"",Scoring!F93,Calc!V93)),Parameters!$E$8,0))&gt;=Parameters!$C$56,Scoring!Q93&gt;=Parameters!$C$59),(Scoring!O93-IF(ISNUMBER(Scoring!F93),Parameters!$E$8*Scoring!F93,0)+IF(ISNUMBER(IF(Verification!E93&lt;&gt;"",Scoring!F93,Calc!V93)),Parameters!$E$8*IF(Verification!E93&lt;&gt;"",Scoring!F93,Calc!V93),0))/(Scoring!N93-IF(ISNUMBER(Scoring!F93),Parameters!$E$8,0)+IF(ISNUMBER(IF(Verification!E93&lt;&gt;"",Scoring!F93,Calc!V93)),Parameters!$E$8,0))*100,"NA")</f>
        <v>87.8048780487805</v>
      </c>
      <c r="H93" s="29" t="n">
        <f aca="false">IF(ISNUMBER(Scoring!S93),(Scoring!N93/Parameters!$E$13)*Scoring!S93+(1-Scoring!N93/Parameters!$E$13)*Summary!$B$9,"NA")</f>
        <v>86.0806451612903</v>
      </c>
      <c r="I93" s="29" t="n">
        <f aca="false">IF(AND(ISNUMBER(Scoring!S93),COUNT(Scoring!E93,Scoring!F93)&gt;0),Scoring!S93,"NA")</f>
        <v>87.8048780487805</v>
      </c>
      <c r="J93" s="29" t="n">
        <f aca="false">IF(AND(ISNUMBER($B93),ISNUMBER(C93)),ABS(C93-$B93),"")</f>
        <v>0</v>
      </c>
      <c r="K93" s="29" t="n">
        <f aca="false">IF(AND(ISNUMBER($B93),ISNUMBER(D93)),ABS(D93-$B93),"")</f>
        <v>0</v>
      </c>
      <c r="L93" s="29" t="n">
        <f aca="false">IF(AND(ISNUMBER($B93),ISNUMBER(E93)),ABS(E93-$B93),"")</f>
        <v>0</v>
      </c>
      <c r="M93" s="29" t="n">
        <f aca="false">IF(AND(ISNUMBER($B93),ISNUMBER(F93)),ABS(F93-$B93),"")</f>
        <v>3.86178861788618</v>
      </c>
      <c r="N93" s="29" t="n">
        <f aca="false">IF(AND(ISNUMBER($B93),ISNUMBER(G93)),ABS(G93-$B93),"")</f>
        <v>0</v>
      </c>
      <c r="O93" s="29" t="n">
        <f aca="false">IF(AND(ISNUMBER($B93),ISNUMBER(H93)),ABS(H93-$B93),"")</f>
        <v>1.72423288749016</v>
      </c>
      <c r="P93" s="29" t="n">
        <f aca="false">IF(AND(ISNUMBER($B93),ISNUMBER(I93)),ABS(I93-$B93),"")</f>
        <v>0</v>
      </c>
    </row>
    <row r="94" customFormat="false" ht="15" hidden="false" customHeight="true" outlineLevel="0" collapsed="false">
      <c r="A94" s="15" t="str">
        <f aca="false">Data!$A94</f>
        <v>PubPub</v>
      </c>
      <c r="B94" s="29" t="n">
        <f aca="false">Scoring!S94</f>
        <v>61.5</v>
      </c>
      <c r="C94" s="29" t="n">
        <f aca="false">IF(AND(Scoring!N94&gt;=Parameters!$C$57,Scoring!Q94&gt;=Parameters!$C$59),Scoring!O94/Scoring!N94*100,"NA")</f>
        <v>61.5</v>
      </c>
      <c r="D94" s="29" t="n">
        <f aca="false">IF(AND(Scoring!N94&gt;=Parameters!$C$58,Scoring!Q94&gt;=Parameters!$C$59),Scoring!O94/Scoring!N94*100,"NA")</f>
        <v>61.5</v>
      </c>
      <c r="E94" s="29" t="n">
        <f aca="false">IF(AND((Scoring!N94-IF(ISNUMBER(Scoring!E94),Parameters!$E$7,0)+IF(ISNUMBER(IF(Verification!D94&lt;&gt;"",Verification!D94,IF(Coding!AG94=0,"NA",IF(AND(Parameters!$C$39=1,ISNUMBER(Calc!B94),Calc!B94&lt;=Parameters!$C$40),0,MIN(Coding!AG94,Parameters!$C$37)/Parameters!$C$37)))),Parameters!$E$7,0))&gt;=Parameters!$C$56,Scoring!Q94&gt;=Parameters!$C$59),(Scoring!O94-IF(ISNUMBER(Scoring!E94),Parameters!$E$7*Scoring!E94,0)+IF(ISNUMBER(IF(Verification!D94&lt;&gt;"",Verification!D94,IF(Coding!AG94=0,"NA",IF(AND(Parameters!$C$39=1,ISNUMBER(Calc!B94),Calc!B94&lt;=Parameters!$C$40),0,MIN(Coding!AG94,Parameters!$C$37)/Parameters!$C$37)))),Parameters!$E$7*IF(Verification!D94&lt;&gt;"",Verification!D94,IF(Coding!AG94=0,"NA",IF(AND(Parameters!$C$39=1,ISNUMBER(Calc!B94),Calc!B94&lt;=Parameters!$C$40),0,MIN(Coding!AG94,Parameters!$C$37)/Parameters!$C$37))),0))/(Scoring!N94-IF(ISNUMBER(Scoring!E94),Parameters!$E$7,0)+IF(ISNUMBER(IF(Verification!D94&lt;&gt;"",Verification!D94,IF(Coding!AG94=0,"NA",IF(AND(Parameters!$C$39=1,ISNUMBER(Calc!B94),Calc!B94&lt;=Parameters!$C$40),0,MIN(Coding!AG94,Parameters!$C$37)/Parameters!$C$37)))),Parameters!$E$7,0))*100,"NA")</f>
        <v>71.7948717948718</v>
      </c>
      <c r="F94" s="29" t="n">
        <f aca="false">IF(Scoring!R94="Yes",AVERAGE(Scoring!D94:J94)*100,"NA")</f>
        <v>70.2380952380952</v>
      </c>
      <c r="G94" s="29" t="n">
        <f aca="false">IF(AND((Scoring!N94-IF(ISNUMBER(Scoring!F94),Parameters!$E$8,0)+IF(ISNUMBER(IF(Verification!E94&lt;&gt;"",Scoring!F94,Calc!V94)),Parameters!$E$8,0))&gt;=Parameters!$C$56,Scoring!Q94&gt;=Parameters!$C$59),(Scoring!O94-IF(ISNUMBER(Scoring!F94),Parameters!$E$8*Scoring!F94,0)+IF(ISNUMBER(IF(Verification!E94&lt;&gt;"",Scoring!F94,Calc!V94)),Parameters!$E$8*IF(Verification!E94&lt;&gt;"",Scoring!F94,Calc!V94),0))/(Scoring!N94-IF(ISNUMBER(Scoring!F94),Parameters!$E$8,0)+IF(ISNUMBER(IF(Verification!E94&lt;&gt;"",Scoring!F94,Calc!V94)),Parameters!$E$8,0))*100,"NA")</f>
        <v>58.5</v>
      </c>
      <c r="H94" s="29" t="n">
        <f aca="false">IF(ISNUMBER(Scoring!S94),(Scoring!N94/Parameters!$E$13)*Scoring!S94+(1-Scoring!N94/Parameters!$E$13)*Summary!$B$9,"NA")</f>
        <v>61.5</v>
      </c>
      <c r="I94" s="29" t="n">
        <f aca="false">IF(AND(ISNUMBER(Scoring!S94),COUNT(Scoring!E94,Scoring!F94)&gt;0),Scoring!S94,"NA")</f>
        <v>61.5</v>
      </c>
      <c r="J94" s="29" t="n">
        <f aca="false">IF(AND(ISNUMBER($B94),ISNUMBER(C94)),ABS(C94-$B94),"")</f>
        <v>0</v>
      </c>
      <c r="K94" s="29" t="n">
        <f aca="false">IF(AND(ISNUMBER($B94),ISNUMBER(D94)),ABS(D94-$B94),"")</f>
        <v>0</v>
      </c>
      <c r="L94" s="29" t="n">
        <f aca="false">IF(AND(ISNUMBER($B94),ISNUMBER(E94)),ABS(E94-$B94),"")</f>
        <v>10.2948717948718</v>
      </c>
      <c r="M94" s="29" t="n">
        <f aca="false">IF(AND(ISNUMBER($B94),ISNUMBER(F94)),ABS(F94-$B94),"")</f>
        <v>8.73809523809524</v>
      </c>
      <c r="N94" s="29" t="n">
        <f aca="false">IF(AND(ISNUMBER($B94),ISNUMBER(G94)),ABS(G94-$B94),"")</f>
        <v>3</v>
      </c>
      <c r="O94" s="29" t="n">
        <f aca="false">IF(AND(ISNUMBER($B94),ISNUMBER(H94)),ABS(H94-$B94),"")</f>
        <v>0</v>
      </c>
      <c r="P94" s="29" t="n">
        <f aca="false">IF(AND(ISNUMBER($B94),ISNUMBER(I94)),ABS(I94-$B94),"")</f>
        <v>0</v>
      </c>
    </row>
    <row r="95" customFormat="false" ht="15" hidden="false" customHeight="true" outlineLevel="0" collapsed="false">
      <c r="A95" s="15" t="str">
        <f aca="false">Data!$A95</f>
        <v>Pundit</v>
      </c>
      <c r="B95" s="29" t="n">
        <f aca="false">Scoring!S95</f>
        <v>37.7058823529412</v>
      </c>
      <c r="C95" s="29" t="n">
        <f aca="false">IF(AND(Scoring!N95&gt;=Parameters!$C$57,Scoring!Q95&gt;=Parameters!$C$59),Scoring!O95/Scoring!N95*100,"NA")</f>
        <v>37.7058823529412</v>
      </c>
      <c r="D95" s="29" t="str">
        <f aca="false">IF(AND(Scoring!N95&gt;=Parameters!$C$58,Scoring!Q95&gt;=Parameters!$C$59),Scoring!O95/Scoring!N95*100,"NA")</f>
        <v>NA</v>
      </c>
      <c r="E95" s="29" t="n">
        <f aca="false">IF(AND((Scoring!N95-IF(ISNUMBER(Scoring!E95),Parameters!$E$7,0)+IF(ISNUMBER(IF(Verification!D95&lt;&gt;"",Verification!D95,IF(Coding!AG95=0,"NA",IF(AND(Parameters!$C$39=1,ISNUMBER(Calc!B95),Calc!B95&lt;=Parameters!$C$40),0,MIN(Coding!AG95,Parameters!$C$37)/Parameters!$C$37)))),Parameters!$E$7,0))&gt;=Parameters!$C$56,Scoring!Q95&gt;=Parameters!$C$59),(Scoring!O95-IF(ISNUMBER(Scoring!E95),Parameters!$E$7*Scoring!E95,0)+IF(ISNUMBER(IF(Verification!D95&lt;&gt;"",Verification!D95,IF(Coding!AG95=0,"NA",IF(AND(Parameters!$C$39=1,ISNUMBER(Calc!B95),Calc!B95&lt;=Parameters!$C$40),0,MIN(Coding!AG95,Parameters!$C$37)/Parameters!$C$37)))),Parameters!$E$7*IF(Verification!D95&lt;&gt;"",Verification!D95,IF(Coding!AG95=0,"NA",IF(AND(Parameters!$C$39=1,ISNUMBER(Calc!B95),Calc!B95&lt;=Parameters!$C$40),0,MIN(Coding!AG95,Parameters!$C$37)/Parameters!$C$37))),0))/(Scoring!N95-IF(ISNUMBER(Scoring!E95),Parameters!$E$7,0)+IF(ISNUMBER(IF(Verification!D95&lt;&gt;"",Verification!D95,IF(Coding!AG95=0,"NA",IF(AND(Parameters!$C$39=1,ISNUMBER(Calc!B95),Calc!B95&lt;=Parameters!$C$40),0,MIN(Coding!AG95,Parameters!$C$37)/Parameters!$C$37)))),Parameters!$E$7,0))*100,"NA")</f>
        <v>37.7058823529412</v>
      </c>
      <c r="F95" s="29" t="n">
        <f aca="false">IF(Scoring!R95="Yes",AVERAGE(Scoring!D95:J95)*100,"NA")</f>
        <v>46.6</v>
      </c>
      <c r="G95" s="29" t="n">
        <f aca="false">IF(AND((Scoring!N95-IF(ISNUMBER(Scoring!F95),Parameters!$E$8,0)+IF(ISNUMBER(IF(Verification!E95&lt;&gt;"",Scoring!F95,Calc!V95)),Parameters!$E$8,0))&gt;=Parameters!$C$56,Scoring!Q95&gt;=Parameters!$C$59),(Scoring!O95-IF(ISNUMBER(Scoring!F95),Parameters!$E$8*Scoring!F95,0)+IF(ISNUMBER(IF(Verification!E95&lt;&gt;"",Scoring!F95,Calc!V95)),Parameters!$E$8*IF(Verification!E95&lt;&gt;"",Scoring!F95,Calc!V95),0))/(Scoring!N95-IF(ISNUMBER(Scoring!F95),Parameters!$E$8,0)+IF(ISNUMBER(IF(Verification!E95&lt;&gt;"",Scoring!F95,Calc!V95)),Parameters!$E$8,0))*100,"NA")</f>
        <v>37.7058823529412</v>
      </c>
      <c r="H95" s="29" t="n">
        <f aca="false">IF(ISNUMBER(Scoring!S95),(Scoring!N95/Parameters!$E$13)*Scoring!S95+(1-Scoring!N95/Parameters!$E$13)*Summary!$B$9,"NA")</f>
        <v>50.6722580645161</v>
      </c>
      <c r="I95" s="29" t="n">
        <f aca="false">IF(AND(ISNUMBER(Scoring!S95),COUNT(Scoring!E95,Scoring!F95)&gt;0),Scoring!S95,"NA")</f>
        <v>37.7058823529412</v>
      </c>
      <c r="J95" s="29" t="n">
        <f aca="false">IF(AND(ISNUMBER($B95),ISNUMBER(C95)),ABS(C95-$B95),"")</f>
        <v>0</v>
      </c>
      <c r="K95" s="29" t="str">
        <f aca="false">IF(AND(ISNUMBER($B95),ISNUMBER(D95)),ABS(D95-$B95),"")</f>
        <v/>
      </c>
      <c r="L95" s="29" t="n">
        <f aca="false">IF(AND(ISNUMBER($B95),ISNUMBER(E95)),ABS(E95-$B95),"")</f>
        <v>0</v>
      </c>
      <c r="M95" s="29" t="n">
        <f aca="false">IF(AND(ISNUMBER($B95),ISNUMBER(F95)),ABS(F95-$B95),"")</f>
        <v>8.89411764705882</v>
      </c>
      <c r="N95" s="29" t="n">
        <f aca="false">IF(AND(ISNUMBER($B95),ISNUMBER(G95)),ABS(G95-$B95),"")</f>
        <v>0</v>
      </c>
      <c r="O95" s="29" t="n">
        <f aca="false">IF(AND(ISNUMBER($B95),ISNUMBER(H95)),ABS(H95-$B95),"")</f>
        <v>12.9663757115749</v>
      </c>
      <c r="P95" s="29" t="n">
        <f aca="false">IF(AND(ISNUMBER($B95),ISNUMBER(I95)),ABS(I95-$B95),"")</f>
        <v>0</v>
      </c>
    </row>
    <row r="96" customFormat="false" ht="15" hidden="false" customHeight="true" outlineLevel="0" collapsed="false">
      <c r="A96" s="15" t="str">
        <f aca="false">Data!$A96</f>
        <v>pyOpenSci</v>
      </c>
      <c r="B96" s="29" t="n">
        <f aca="false">Scoring!S96</f>
        <v>78.9333333333333</v>
      </c>
      <c r="C96" s="29" t="n">
        <f aca="false">IF(AND(Scoring!N96&gt;=Parameters!$C$57,Scoring!Q96&gt;=Parameters!$C$59),Scoring!O96/Scoring!N96*100,"NA")</f>
        <v>78.9333333333333</v>
      </c>
      <c r="D96" s="29" t="str">
        <f aca="false">IF(AND(Scoring!N96&gt;=Parameters!$C$58,Scoring!Q96&gt;=Parameters!$C$59),Scoring!O96/Scoring!N96*100,"NA")</f>
        <v>NA</v>
      </c>
      <c r="E96" s="29" t="n">
        <f aca="false">IF(AND((Scoring!N96-IF(ISNUMBER(Scoring!E96),Parameters!$E$7,0)+IF(ISNUMBER(IF(Verification!D96&lt;&gt;"",Verification!D96,IF(Coding!AG96=0,"NA",IF(AND(Parameters!$C$39=1,ISNUMBER(Calc!B96),Calc!B96&lt;=Parameters!$C$40),0,MIN(Coding!AG96,Parameters!$C$37)/Parameters!$C$37)))),Parameters!$E$7,0))&gt;=Parameters!$C$56,Scoring!Q96&gt;=Parameters!$C$59),(Scoring!O96-IF(ISNUMBER(Scoring!E96),Parameters!$E$7*Scoring!E96,0)+IF(ISNUMBER(IF(Verification!D96&lt;&gt;"",Verification!D96,IF(Coding!AG96=0,"NA",IF(AND(Parameters!$C$39=1,ISNUMBER(Calc!B96),Calc!B96&lt;=Parameters!$C$40),0,MIN(Coding!AG96,Parameters!$C$37)/Parameters!$C$37)))),Parameters!$E$7*IF(Verification!D96&lt;&gt;"",Verification!D96,IF(Coding!AG96=0,"NA",IF(AND(Parameters!$C$39=1,ISNUMBER(Calc!B96),Calc!B96&lt;=Parameters!$C$40),0,MIN(Coding!AG96,Parameters!$C$37)/Parameters!$C$37))),0))/(Scoring!N96-IF(ISNUMBER(Scoring!E96),Parameters!$E$7,0)+IF(ISNUMBER(IF(Verification!D96&lt;&gt;"",Verification!D96,IF(Coding!AG96=0,"NA",IF(AND(Parameters!$C$39=1,ISNUMBER(Calc!B96),Calc!B96&lt;=Parameters!$C$40),0,MIN(Coding!AG96,Parameters!$C$37)/Parameters!$C$37)))),Parameters!$E$7,0))*100,"NA")</f>
        <v>78.9333333333333</v>
      </c>
      <c r="F96" s="29" t="n">
        <f aca="false">IF(Scoring!R96="Yes",AVERAGE(Scoring!D96:J96)*100,"NA")</f>
        <v>83.4</v>
      </c>
      <c r="G96" s="29" t="n">
        <f aca="false">IF(AND((Scoring!N96-IF(ISNUMBER(Scoring!F96),Parameters!$E$8,0)+IF(ISNUMBER(IF(Verification!E96&lt;&gt;"",Scoring!F96,Calc!V96)),Parameters!$E$8,0))&gt;=Parameters!$C$56,Scoring!Q96&gt;=Parameters!$C$59),(Scoring!O96-IF(ISNUMBER(Scoring!F96),Parameters!$E$8*Scoring!F96,0)+IF(ISNUMBER(IF(Verification!E96&lt;&gt;"",Scoring!F96,Calc!V96)),Parameters!$E$8*IF(Verification!E96&lt;&gt;"",Scoring!F96,Calc!V96),0))/(Scoring!N96-IF(ISNUMBER(Scoring!F96),Parameters!$E$8,0)+IF(ISNUMBER(IF(Verification!E96&lt;&gt;"",Scoring!F96,Calc!V96)),Parameters!$E$8,0))*100,"NA")</f>
        <v>78.9333333333333</v>
      </c>
      <c r="H96" s="29" t="n">
        <f aca="false">IF(ISNUMBER(Scoring!S96),(Scoring!N96/Parameters!$E$13)*Scoring!S96+(1-Scoring!N96/Parameters!$E$13)*Summary!$B$9,"NA")</f>
        <v>78.6503225806452</v>
      </c>
      <c r="I96" s="29" t="str">
        <f aca="false">IF(AND(ISNUMBER(Scoring!S96),COUNT(Scoring!E96,Scoring!F96)&gt;0),Scoring!S96,"NA")</f>
        <v>NA</v>
      </c>
      <c r="J96" s="29" t="n">
        <f aca="false">IF(AND(ISNUMBER($B96),ISNUMBER(C96)),ABS(C96-$B96),"")</f>
        <v>0</v>
      </c>
      <c r="K96" s="29" t="str">
        <f aca="false">IF(AND(ISNUMBER($B96),ISNUMBER(D96)),ABS(D96-$B96),"")</f>
        <v/>
      </c>
      <c r="L96" s="29" t="n">
        <f aca="false">IF(AND(ISNUMBER($B96),ISNUMBER(E96)),ABS(E96-$B96),"")</f>
        <v>0</v>
      </c>
      <c r="M96" s="29" t="n">
        <f aca="false">IF(AND(ISNUMBER($B96),ISNUMBER(F96)),ABS(F96-$B96),"")</f>
        <v>4.46666666666667</v>
      </c>
      <c r="N96" s="29" t="n">
        <f aca="false">IF(AND(ISNUMBER($B96),ISNUMBER(G96)),ABS(G96-$B96),"")</f>
        <v>0</v>
      </c>
      <c r="O96" s="29" t="n">
        <f aca="false">IF(AND(ISNUMBER($B96),ISNUMBER(H96)),ABS(H96-$B96),"")</f>
        <v>0.28301075268817</v>
      </c>
      <c r="P96" s="29" t="str">
        <f aca="false">IF(AND(ISNUMBER($B96),ISNUMBER(I96)),ABS(I96-$B96),"")</f>
        <v/>
      </c>
    </row>
    <row r="97" customFormat="false" ht="15" hidden="false" customHeight="true" outlineLevel="0" collapsed="false">
      <c r="A97" s="15" t="str">
        <f aca="false">Data!$A97</f>
        <v>Renku</v>
      </c>
      <c r="B97" s="29" t="n">
        <f aca="false">Scoring!S97</f>
        <v>76.5</v>
      </c>
      <c r="C97" s="29" t="n">
        <f aca="false">IF(AND(Scoring!N97&gt;=Parameters!$C$57,Scoring!Q97&gt;=Parameters!$C$59),Scoring!O97/Scoring!N97*100,"NA")</f>
        <v>76.5</v>
      </c>
      <c r="D97" s="29" t="n">
        <f aca="false">IF(AND(Scoring!N97&gt;=Parameters!$C$58,Scoring!Q97&gt;=Parameters!$C$59),Scoring!O97/Scoring!N97*100,"NA")</f>
        <v>76.5</v>
      </c>
      <c r="E97" s="29" t="n">
        <f aca="false">IF(AND((Scoring!N97-IF(ISNUMBER(Scoring!E97),Parameters!$E$7,0)+IF(ISNUMBER(IF(Verification!D97&lt;&gt;"",Verification!D97,IF(Coding!AG97=0,"NA",IF(AND(Parameters!$C$39=1,ISNUMBER(Calc!B97),Calc!B97&lt;=Parameters!$C$40),0,MIN(Coding!AG97,Parameters!$C$37)/Parameters!$C$37)))),Parameters!$E$7,0))&gt;=Parameters!$C$56,Scoring!Q97&gt;=Parameters!$C$59),(Scoring!O97-IF(ISNUMBER(Scoring!E97),Parameters!$E$7*Scoring!E97,0)+IF(ISNUMBER(IF(Verification!D97&lt;&gt;"",Verification!D97,IF(Coding!AG97=0,"NA",IF(AND(Parameters!$C$39=1,ISNUMBER(Calc!B97),Calc!B97&lt;=Parameters!$C$40),0,MIN(Coding!AG97,Parameters!$C$37)/Parameters!$C$37)))),Parameters!$E$7*IF(Verification!D97&lt;&gt;"",Verification!D97,IF(Coding!AG97=0,"NA",IF(AND(Parameters!$C$39=1,ISNUMBER(Calc!B97),Calc!B97&lt;=Parameters!$C$40),0,MIN(Coding!AG97,Parameters!$C$37)/Parameters!$C$37))),0))/(Scoring!N97-IF(ISNUMBER(Scoring!E97),Parameters!$E$7,0)+IF(ISNUMBER(IF(Verification!D97&lt;&gt;"",Verification!D97,IF(Coding!AG97=0,"NA",IF(AND(Parameters!$C$39=1,ISNUMBER(Calc!B97),Calc!B97&lt;=Parameters!$C$40),0,MIN(Coding!AG97,Parameters!$C$37)/Parameters!$C$37)))),Parameters!$E$7,0))*100,"NA")</f>
        <v>76.5</v>
      </c>
      <c r="F97" s="29" t="n">
        <f aca="false">IF(Scoring!R97="Yes",AVERAGE(Scoring!D97:J97)*100,"NA")</f>
        <v>81.1944444444444</v>
      </c>
      <c r="G97" s="29" t="n">
        <f aca="false">IF(AND((Scoring!N97-IF(ISNUMBER(Scoring!F97),Parameters!$E$8,0)+IF(ISNUMBER(IF(Verification!E97&lt;&gt;"",Scoring!F97,Calc!V97)),Parameters!$E$8,0))&gt;=Parameters!$C$56,Scoring!Q97&gt;=Parameters!$C$59),(Scoring!O97-IF(ISNUMBER(Scoring!F97),Parameters!$E$8*Scoring!F97,0)+IF(ISNUMBER(IF(Verification!E97&lt;&gt;"",Scoring!F97,Calc!V97)),Parameters!$E$8*IF(Verification!E97&lt;&gt;"",Scoring!F97,Calc!V97),0))/(Scoring!N97-IF(ISNUMBER(Scoring!F97),Parameters!$E$8,0)+IF(ISNUMBER(IF(Verification!E97&lt;&gt;"",Scoring!F97,Calc!V97)),Parameters!$E$8,0))*100,"NA")</f>
        <v>76.5</v>
      </c>
      <c r="H97" s="29" t="n">
        <f aca="false">IF(ISNUMBER(Scoring!S97),(Scoring!N97/Parameters!$E$13)*Scoring!S97+(1-Scoring!N97/Parameters!$E$13)*Summary!$B$9,"NA")</f>
        <v>76.8451612903226</v>
      </c>
      <c r="I97" s="29" t="n">
        <f aca="false">IF(AND(ISNUMBER(Scoring!S97),COUNT(Scoring!E97,Scoring!F97)&gt;0),Scoring!S97,"NA")</f>
        <v>76.5</v>
      </c>
      <c r="J97" s="29" t="n">
        <f aca="false">IF(AND(ISNUMBER($B97),ISNUMBER(C97)),ABS(C97-$B97),"")</f>
        <v>0</v>
      </c>
      <c r="K97" s="29" t="n">
        <f aca="false">IF(AND(ISNUMBER($B97),ISNUMBER(D97)),ABS(D97-$B97),"")</f>
        <v>0</v>
      </c>
      <c r="L97" s="29" t="n">
        <f aca="false">IF(AND(ISNUMBER($B97),ISNUMBER(E97)),ABS(E97-$B97),"")</f>
        <v>0</v>
      </c>
      <c r="M97" s="29" t="n">
        <f aca="false">IF(AND(ISNUMBER($B97),ISNUMBER(F97)),ABS(F97-$B97),"")</f>
        <v>4.69444444444446</v>
      </c>
      <c r="N97" s="29" t="n">
        <f aca="false">IF(AND(ISNUMBER($B97),ISNUMBER(G97)),ABS(G97-$B97),"")</f>
        <v>0</v>
      </c>
      <c r="O97" s="29" t="n">
        <f aca="false">IF(AND(ISNUMBER($B97),ISNUMBER(H97)),ABS(H97-$B97),"")</f>
        <v>0.345161290322579</v>
      </c>
      <c r="P97" s="29" t="n">
        <f aca="false">IF(AND(ISNUMBER($B97),ISNUMBER(I97)),ABS(I97-$B97),"")</f>
        <v>0</v>
      </c>
    </row>
    <row r="98" customFormat="false" ht="15" hidden="false" customHeight="true" outlineLevel="0" collapsed="false">
      <c r="A98" s="15" t="str">
        <f aca="false">Data!$A98</f>
        <v>RePEc</v>
      </c>
      <c r="B98" s="29" t="n">
        <f aca="false">Scoring!S98</f>
        <v>52.2727272727273</v>
      </c>
      <c r="C98" s="29" t="n">
        <f aca="false">IF(AND(Scoring!N98&gt;=Parameters!$C$57,Scoring!Q98&gt;=Parameters!$C$59),Scoring!O98/Scoring!N98*100,"NA")</f>
        <v>52.2727272727273</v>
      </c>
      <c r="D98" s="29" t="n">
        <f aca="false">IF(AND(Scoring!N98&gt;=Parameters!$C$58,Scoring!Q98&gt;=Parameters!$C$59),Scoring!O98/Scoring!N98*100,"NA")</f>
        <v>52.2727272727273</v>
      </c>
      <c r="E98" s="29" t="n">
        <f aca="false">IF(AND((Scoring!N98-IF(ISNUMBER(Scoring!E98),Parameters!$E$7,0)+IF(ISNUMBER(IF(Verification!D98&lt;&gt;"",Verification!D98,IF(Coding!AG98=0,"NA",IF(AND(Parameters!$C$39=1,ISNUMBER(Calc!B98),Calc!B98&lt;=Parameters!$C$40),0,MIN(Coding!AG98,Parameters!$C$37)/Parameters!$C$37)))),Parameters!$E$7,0))&gt;=Parameters!$C$56,Scoring!Q98&gt;=Parameters!$C$59),(Scoring!O98-IF(ISNUMBER(Scoring!E98),Parameters!$E$7*Scoring!E98,0)+IF(ISNUMBER(IF(Verification!D98&lt;&gt;"",Verification!D98,IF(Coding!AG98=0,"NA",IF(AND(Parameters!$C$39=1,ISNUMBER(Calc!B98),Calc!B98&lt;=Parameters!$C$40),0,MIN(Coding!AG98,Parameters!$C$37)/Parameters!$C$37)))),Parameters!$E$7*IF(Verification!D98&lt;&gt;"",Verification!D98,IF(Coding!AG98=0,"NA",IF(AND(Parameters!$C$39=1,ISNUMBER(Calc!B98),Calc!B98&lt;=Parameters!$C$40),0,MIN(Coding!AG98,Parameters!$C$37)/Parameters!$C$37))),0))/(Scoring!N98-IF(ISNUMBER(Scoring!E98),Parameters!$E$7,0)+IF(ISNUMBER(IF(Verification!D98&lt;&gt;"",Verification!D98,IF(Coding!AG98=0,"NA",IF(AND(Parameters!$C$39=1,ISNUMBER(Calc!B98),Calc!B98&lt;=Parameters!$C$40),0,MIN(Coding!AG98,Parameters!$C$37)/Parameters!$C$37)))),Parameters!$E$7,0))*100,"NA")</f>
        <v>52.2727272727273</v>
      </c>
      <c r="F98" s="29" t="n">
        <f aca="false">IF(Scoring!R98="Yes",AVERAGE(Scoring!D98:J98)*100,"NA")</f>
        <v>61.1111111111111</v>
      </c>
      <c r="G98" s="29" t="n">
        <f aca="false">IF(AND((Scoring!N98-IF(ISNUMBER(Scoring!F98),Parameters!$E$8,0)+IF(ISNUMBER(IF(Verification!E98&lt;&gt;"",Scoring!F98,Calc!V98)),Parameters!$E$8,0))&gt;=Parameters!$C$56,Scoring!Q98&gt;=Parameters!$C$59),(Scoring!O98-IF(ISNUMBER(Scoring!F98),Parameters!$E$8*Scoring!F98,0)+IF(ISNUMBER(IF(Verification!E98&lt;&gt;"",Scoring!F98,Calc!V98)),Parameters!$E$8*IF(Verification!E98&lt;&gt;"",Scoring!F98,Calc!V98),0))/(Scoring!N98-IF(ISNUMBER(Scoring!F98),Parameters!$E$8,0)+IF(ISNUMBER(IF(Verification!E98&lt;&gt;"",Scoring!F98,Calc!V98)),Parameters!$E$8,0))*100,"NA")</f>
        <v>48.8636363636363</v>
      </c>
      <c r="H98" s="29" t="n">
        <f aca="false">IF(ISNUMBER(Scoring!S98),(Scoring!N98/Parameters!$E$13)*Scoring!S98+(1-Scoring!N98/Parameters!$E$13)*Summary!$B$9,"NA")</f>
        <v>55.3870967741935</v>
      </c>
      <c r="I98" s="29" t="n">
        <f aca="false">IF(AND(ISNUMBER(Scoring!S98),COUNT(Scoring!E98,Scoring!F98)&gt;0),Scoring!S98,"NA")</f>
        <v>52.2727272727273</v>
      </c>
      <c r="J98" s="29" t="n">
        <f aca="false">IF(AND(ISNUMBER($B98),ISNUMBER(C98)),ABS(C98-$B98),"")</f>
        <v>0</v>
      </c>
      <c r="K98" s="29" t="n">
        <f aca="false">IF(AND(ISNUMBER($B98),ISNUMBER(D98)),ABS(D98-$B98),"")</f>
        <v>0</v>
      </c>
      <c r="L98" s="29" t="n">
        <f aca="false">IF(AND(ISNUMBER($B98),ISNUMBER(E98)),ABS(E98-$B98),"")</f>
        <v>0</v>
      </c>
      <c r="M98" s="29" t="n">
        <f aca="false">IF(AND(ISNUMBER($B98),ISNUMBER(F98)),ABS(F98-$B98),"")</f>
        <v>8.83838383838385</v>
      </c>
      <c r="N98" s="29" t="n">
        <f aca="false">IF(AND(ISNUMBER($B98),ISNUMBER(G98)),ABS(G98-$B98),"")</f>
        <v>3.40909090909091</v>
      </c>
      <c r="O98" s="29" t="n">
        <f aca="false">IF(AND(ISNUMBER($B98),ISNUMBER(H98)),ABS(H98-$B98),"")</f>
        <v>3.11436950146627</v>
      </c>
      <c r="P98" s="29" t="n">
        <f aca="false">IF(AND(ISNUMBER($B98),ISNUMBER(I98)),ABS(I98-$B98),"")</f>
        <v>0</v>
      </c>
    </row>
    <row r="99" customFormat="false" ht="15" hidden="false" customHeight="true" outlineLevel="0" collapsed="false">
      <c r="A99" s="15" t="str">
        <f aca="false">Data!$A99</f>
        <v>Research Organization Registry (ROR)</v>
      </c>
      <c r="B99" s="29" t="n">
        <f aca="false">Scoring!S99</f>
        <v>91</v>
      </c>
      <c r="C99" s="29" t="n">
        <f aca="false">IF(AND(Scoring!N99&gt;=Parameters!$C$57,Scoring!Q99&gt;=Parameters!$C$59),Scoring!O99/Scoring!N99*100,"NA")</f>
        <v>91</v>
      </c>
      <c r="D99" s="29" t="n">
        <f aca="false">IF(AND(Scoring!N99&gt;=Parameters!$C$58,Scoring!Q99&gt;=Parameters!$C$59),Scoring!O99/Scoring!N99*100,"NA")</f>
        <v>91</v>
      </c>
      <c r="E99" s="29" t="n">
        <f aca="false">IF(AND((Scoring!N99-IF(ISNUMBER(Scoring!E99),Parameters!$E$7,0)+IF(ISNUMBER(IF(Verification!D99&lt;&gt;"",Verification!D99,IF(Coding!AG99=0,"NA",IF(AND(Parameters!$C$39=1,ISNUMBER(Calc!B99),Calc!B99&lt;=Parameters!$C$40),0,MIN(Coding!AG99,Parameters!$C$37)/Parameters!$C$37)))),Parameters!$E$7,0))&gt;=Parameters!$C$56,Scoring!Q99&gt;=Parameters!$C$59),(Scoring!O99-IF(ISNUMBER(Scoring!E99),Parameters!$E$7*Scoring!E99,0)+IF(ISNUMBER(IF(Verification!D99&lt;&gt;"",Verification!D99,IF(Coding!AG99=0,"NA",IF(AND(Parameters!$C$39=1,ISNUMBER(Calc!B99),Calc!B99&lt;=Parameters!$C$40),0,MIN(Coding!AG99,Parameters!$C$37)/Parameters!$C$37)))),Parameters!$E$7*IF(Verification!D99&lt;&gt;"",Verification!D99,IF(Coding!AG99=0,"NA",IF(AND(Parameters!$C$39=1,ISNUMBER(Calc!B99),Calc!B99&lt;=Parameters!$C$40),0,MIN(Coding!AG99,Parameters!$C$37)/Parameters!$C$37))),0))/(Scoring!N99-IF(ISNUMBER(Scoring!E99),Parameters!$E$7,0)+IF(ISNUMBER(IF(Verification!D99&lt;&gt;"",Verification!D99,IF(Coding!AG99=0,"NA",IF(AND(Parameters!$C$39=1,ISNUMBER(Calc!B99),Calc!B99&lt;=Parameters!$C$40),0,MIN(Coding!AG99,Parameters!$C$37)/Parameters!$C$37)))),Parameters!$E$7,0))*100,"NA")</f>
        <v>91</v>
      </c>
      <c r="F99" s="29" t="n">
        <f aca="false">IF(Scoring!R99="Yes",AVERAGE(Scoring!D99:J99)*100,"NA")</f>
        <v>90.4761904761905</v>
      </c>
      <c r="G99" s="29" t="n">
        <f aca="false">IF(AND((Scoring!N99-IF(ISNUMBER(Scoring!F99),Parameters!$E$8,0)+IF(ISNUMBER(IF(Verification!E99&lt;&gt;"",Scoring!F99,Calc!V99)),Parameters!$E$8,0))&gt;=Parameters!$C$56,Scoring!Q99&gt;=Parameters!$C$59),(Scoring!O99-IF(ISNUMBER(Scoring!F99),Parameters!$E$8*Scoring!F99,0)+IF(ISNUMBER(IF(Verification!E99&lt;&gt;"",Scoring!F99,Calc!V99)),Parameters!$E$8*IF(Verification!E99&lt;&gt;"",Scoring!F99,Calc!V99),0))/(Scoring!N99-IF(ISNUMBER(Scoring!F99),Parameters!$E$8,0)+IF(ISNUMBER(IF(Verification!E99&lt;&gt;"",Scoring!F99,Calc!V99)),Parameters!$E$8,0))*100,"NA")</f>
        <v>88</v>
      </c>
      <c r="H99" s="29" t="n">
        <f aca="false">IF(ISNUMBER(Scoring!S99),(Scoring!N99/Parameters!$E$13)*Scoring!S99+(1-Scoring!N99/Parameters!$E$13)*Summary!$B$9,"NA")</f>
        <v>91</v>
      </c>
      <c r="I99" s="29" t="n">
        <f aca="false">IF(AND(ISNUMBER(Scoring!S99),COUNT(Scoring!E99,Scoring!F99)&gt;0),Scoring!S99,"NA")</f>
        <v>91</v>
      </c>
      <c r="J99" s="29" t="n">
        <f aca="false">IF(AND(ISNUMBER($B99),ISNUMBER(C99)),ABS(C99-$B99),"")</f>
        <v>0</v>
      </c>
      <c r="K99" s="29" t="n">
        <f aca="false">IF(AND(ISNUMBER($B99),ISNUMBER(D99)),ABS(D99-$B99),"")</f>
        <v>0</v>
      </c>
      <c r="L99" s="29" t="n">
        <f aca="false">IF(AND(ISNUMBER($B99),ISNUMBER(E99)),ABS(E99-$B99),"")</f>
        <v>0</v>
      </c>
      <c r="M99" s="29" t="n">
        <f aca="false">IF(AND(ISNUMBER($B99),ISNUMBER(F99)),ABS(F99-$B99),"")</f>
        <v>0.523809523809533</v>
      </c>
      <c r="N99" s="29" t="n">
        <f aca="false">IF(AND(ISNUMBER($B99),ISNUMBER(G99)),ABS(G99-$B99),"")</f>
        <v>3</v>
      </c>
      <c r="O99" s="29" t="n">
        <f aca="false">IF(AND(ISNUMBER($B99),ISNUMBER(H99)),ABS(H99-$B99),"")</f>
        <v>0</v>
      </c>
      <c r="P99" s="29" t="n">
        <f aca="false">IF(AND(ISNUMBER($B99),ISNUMBER(I99)),ABS(I99-$B99),"")</f>
        <v>0</v>
      </c>
    </row>
    <row r="100" customFormat="false" ht="15" hidden="false" customHeight="true" outlineLevel="0" collapsed="false">
      <c r="A100" s="15" t="str">
        <f aca="false">Data!$A100</f>
        <v>Rogue Scholar</v>
      </c>
      <c r="B100" s="29" t="n">
        <f aca="false">Scoring!S100</f>
        <v>51.9848484848485</v>
      </c>
      <c r="C100" s="29" t="n">
        <f aca="false">IF(AND(Scoring!N100&gt;=Parameters!$C$57,Scoring!Q100&gt;=Parameters!$C$59),Scoring!O100/Scoring!N100*100,"NA")</f>
        <v>51.9848484848485</v>
      </c>
      <c r="D100" s="29" t="str">
        <f aca="false">IF(AND(Scoring!N100&gt;=Parameters!$C$58,Scoring!Q100&gt;=Parameters!$C$59),Scoring!O100/Scoring!N100*100,"NA")</f>
        <v>NA</v>
      </c>
      <c r="E100" s="29" t="n">
        <f aca="false">IF(AND((Scoring!N100-IF(ISNUMBER(Scoring!E100),Parameters!$E$7,0)+IF(ISNUMBER(IF(Verification!D100&lt;&gt;"",Verification!D100,IF(Coding!AG100=0,"NA",IF(AND(Parameters!$C$39=1,ISNUMBER(Calc!B100),Calc!B100&lt;=Parameters!$C$40),0,MIN(Coding!AG100,Parameters!$C$37)/Parameters!$C$37)))),Parameters!$E$7,0))&gt;=Parameters!$C$56,Scoring!Q100&gt;=Parameters!$C$59),(Scoring!O100-IF(ISNUMBER(Scoring!E100),Parameters!$E$7*Scoring!E100,0)+IF(ISNUMBER(IF(Verification!D100&lt;&gt;"",Verification!D100,IF(Coding!AG100=0,"NA",IF(AND(Parameters!$C$39=1,ISNUMBER(Calc!B100),Calc!B100&lt;=Parameters!$C$40),0,MIN(Coding!AG100,Parameters!$C$37)/Parameters!$C$37)))),Parameters!$E$7*IF(Verification!D100&lt;&gt;"",Verification!D100,IF(Coding!AG100=0,"NA",IF(AND(Parameters!$C$39=1,ISNUMBER(Calc!B100),Calc!B100&lt;=Parameters!$C$40),0,MIN(Coding!AG100,Parameters!$C$37)/Parameters!$C$37))),0))/(Scoring!N100-IF(ISNUMBER(Scoring!E100),Parameters!$E$7,0)+IF(ISNUMBER(IF(Verification!D100&lt;&gt;"",Verification!D100,IF(Coding!AG100=0,"NA",IF(AND(Parameters!$C$39=1,ISNUMBER(Calc!B100),Calc!B100&lt;=Parameters!$C$40),0,MIN(Coding!AG100,Parameters!$C$37)/Parameters!$C$37)))),Parameters!$E$7,0))*100,"NA")</f>
        <v>51.9848484848485</v>
      </c>
      <c r="F100" s="29" t="n">
        <f aca="false">IF(Scoring!R100="Yes",AVERAGE(Scoring!D100:J100)*100,"NA")</f>
        <v>60</v>
      </c>
      <c r="G100" s="29" t="n">
        <f aca="false">IF(AND((Scoring!N100-IF(ISNUMBER(Scoring!F100),Parameters!$E$8,0)+IF(ISNUMBER(IF(Verification!E100&lt;&gt;"",Scoring!F100,Calc!V100)),Parameters!$E$8,0))&gt;=Parameters!$C$56,Scoring!Q100&gt;=Parameters!$C$59),(Scoring!O100-IF(ISNUMBER(Scoring!F100),Parameters!$E$8*Scoring!F100,0)+IF(ISNUMBER(IF(Verification!E100&lt;&gt;"",Scoring!F100,Calc!V100)),Parameters!$E$8*IF(Verification!E100&lt;&gt;"",Scoring!F100,Calc!V100),0))/(Scoring!N100-IF(ISNUMBER(Scoring!F100),Parameters!$E$8,0)+IF(ISNUMBER(IF(Verification!E100&lt;&gt;"",Scoring!F100,Calc!V100)),Parameters!$E$8,0))*100,"NA")</f>
        <v>47.4393939393939</v>
      </c>
      <c r="H100" s="29" t="n">
        <f aca="false">IF(ISNUMBER(Scoring!S100),(Scoring!N100/Parameters!$E$13)*Scoring!S100+(1-Scoring!N100/Parameters!$E$13)*Summary!$B$9,"NA")</f>
        <v>60.9067741935484</v>
      </c>
      <c r="I100" s="29" t="n">
        <f aca="false">IF(AND(ISNUMBER(Scoring!S100),COUNT(Scoring!E100,Scoring!F100)&gt;0),Scoring!S100,"NA")</f>
        <v>51.9848484848485</v>
      </c>
      <c r="J100" s="29" t="n">
        <f aca="false">IF(AND(ISNUMBER($B100),ISNUMBER(C100)),ABS(C100-$B100),"")</f>
        <v>0</v>
      </c>
      <c r="K100" s="29" t="str">
        <f aca="false">IF(AND(ISNUMBER($B100),ISNUMBER(D100)),ABS(D100-$B100),"")</f>
        <v/>
      </c>
      <c r="L100" s="29" t="n">
        <f aca="false">IF(AND(ISNUMBER($B100),ISNUMBER(E100)),ABS(E100-$B100),"")</f>
        <v>0</v>
      </c>
      <c r="M100" s="29" t="n">
        <f aca="false">IF(AND(ISNUMBER($B100),ISNUMBER(F100)),ABS(F100-$B100),"")</f>
        <v>8.01515151515151</v>
      </c>
      <c r="N100" s="29" t="n">
        <f aca="false">IF(AND(ISNUMBER($B100),ISNUMBER(G100)),ABS(G100-$B100),"")</f>
        <v>4.54545454545455</v>
      </c>
      <c r="O100" s="29" t="n">
        <f aca="false">IF(AND(ISNUMBER($B100),ISNUMBER(H100)),ABS(H100-$B100),"")</f>
        <v>8.9219257086999</v>
      </c>
      <c r="P100" s="29" t="n">
        <f aca="false">IF(AND(ISNUMBER($B100),ISNUMBER(I100)),ABS(I100-$B100),"")</f>
        <v>0</v>
      </c>
    </row>
    <row r="101" customFormat="false" ht="15" hidden="false" customHeight="true" outlineLevel="0" collapsed="false">
      <c r="A101" s="15" t="str">
        <f aca="false">Data!$A101</f>
        <v>RSpace</v>
      </c>
      <c r="B101" s="29" t="n">
        <f aca="false">Scoring!S101</f>
        <v>70.625</v>
      </c>
      <c r="C101" s="29" t="n">
        <f aca="false">IF(AND(Scoring!N101&gt;=Parameters!$C$57,Scoring!Q101&gt;=Parameters!$C$59),Scoring!O101/Scoring!N101*100,"NA")</f>
        <v>70.625</v>
      </c>
      <c r="D101" s="29" t="n">
        <f aca="false">IF(AND(Scoring!N101&gt;=Parameters!$C$58,Scoring!Q101&gt;=Parameters!$C$59),Scoring!O101/Scoring!N101*100,"NA")</f>
        <v>70.625</v>
      </c>
      <c r="E101" s="29" t="n">
        <f aca="false">IF(AND((Scoring!N101-IF(ISNUMBER(Scoring!E101),Parameters!$E$7,0)+IF(ISNUMBER(IF(Verification!D101&lt;&gt;"",Verification!D101,IF(Coding!AG101=0,"NA",IF(AND(Parameters!$C$39=1,ISNUMBER(Calc!B101),Calc!B101&lt;=Parameters!$C$40),0,MIN(Coding!AG101,Parameters!$C$37)/Parameters!$C$37)))),Parameters!$E$7,0))&gt;=Parameters!$C$56,Scoring!Q101&gt;=Parameters!$C$59),(Scoring!O101-IF(ISNUMBER(Scoring!E101),Parameters!$E$7*Scoring!E101,0)+IF(ISNUMBER(IF(Verification!D101&lt;&gt;"",Verification!D101,IF(Coding!AG101=0,"NA",IF(AND(Parameters!$C$39=1,ISNUMBER(Calc!B101),Calc!B101&lt;=Parameters!$C$40),0,MIN(Coding!AG101,Parameters!$C$37)/Parameters!$C$37)))),Parameters!$E$7*IF(Verification!D101&lt;&gt;"",Verification!D101,IF(Coding!AG101=0,"NA",IF(AND(Parameters!$C$39=1,ISNUMBER(Calc!B101),Calc!B101&lt;=Parameters!$C$40),0,MIN(Coding!AG101,Parameters!$C$37)/Parameters!$C$37))),0))/(Scoring!N101-IF(ISNUMBER(Scoring!E101),Parameters!$E$7,0)+IF(ISNUMBER(IF(Verification!D101&lt;&gt;"",Verification!D101,IF(Coding!AG101=0,"NA",IF(AND(Parameters!$C$39=1,ISNUMBER(Calc!B101),Calc!B101&lt;=Parameters!$C$40),0,MIN(Coding!AG101,Parameters!$C$37)/Parameters!$C$37)))),Parameters!$E$7,0))*100,"NA")</f>
        <v>70.625</v>
      </c>
      <c r="F101" s="29" t="n">
        <f aca="false">IF(Scoring!R101="Yes",AVERAGE(Scoring!D101:J101)*100,"NA")</f>
        <v>76.3888888888889</v>
      </c>
      <c r="G101" s="29" t="n">
        <f aca="false">IF(AND((Scoring!N101-IF(ISNUMBER(Scoring!F101),Parameters!$E$8,0)+IF(ISNUMBER(IF(Verification!E101&lt;&gt;"",Scoring!F101,Calc!V101)),Parameters!$E$8,0))&gt;=Parameters!$C$56,Scoring!Q101&gt;=Parameters!$C$59),(Scoring!O101-IF(ISNUMBER(Scoring!F101),Parameters!$E$8*Scoring!F101,0)+IF(ISNUMBER(IF(Verification!E101&lt;&gt;"",Scoring!F101,Calc!V101)),Parameters!$E$8*IF(Verification!E101&lt;&gt;"",Scoring!F101,Calc!V101),0))/(Scoring!N101-IF(ISNUMBER(Scoring!F101),Parameters!$E$8,0)+IF(ISNUMBER(IF(Verification!E101&lt;&gt;"",Scoring!F101,Calc!V101)),Parameters!$E$8,0))*100,"NA")</f>
        <v>70.625</v>
      </c>
      <c r="H101" s="29" t="n">
        <f aca="false">IF(ISNUMBER(Scoring!S101),(Scoring!N101/Parameters!$E$13)*Scoring!S101+(1-Scoring!N101/Parameters!$E$13)*Summary!$B$9,"NA")</f>
        <v>72.1451612903226</v>
      </c>
      <c r="I101" s="29" t="n">
        <f aca="false">IF(AND(ISNUMBER(Scoring!S101),COUNT(Scoring!E101,Scoring!F101)&gt;0),Scoring!S101,"NA")</f>
        <v>70.625</v>
      </c>
      <c r="J101" s="29" t="n">
        <f aca="false">IF(AND(ISNUMBER($B101),ISNUMBER(C101)),ABS(C101-$B101),"")</f>
        <v>0</v>
      </c>
      <c r="K101" s="29" t="n">
        <f aca="false">IF(AND(ISNUMBER($B101),ISNUMBER(D101)),ABS(D101-$B101),"")</f>
        <v>0</v>
      </c>
      <c r="L101" s="29" t="n">
        <f aca="false">IF(AND(ISNUMBER($B101),ISNUMBER(E101)),ABS(E101-$B101),"")</f>
        <v>0</v>
      </c>
      <c r="M101" s="29" t="n">
        <f aca="false">IF(AND(ISNUMBER($B101),ISNUMBER(F101)),ABS(F101-$B101),"")</f>
        <v>5.76388888888889</v>
      </c>
      <c r="N101" s="29" t="n">
        <f aca="false">IF(AND(ISNUMBER($B101),ISNUMBER(G101)),ABS(G101-$B101),"")</f>
        <v>0</v>
      </c>
      <c r="O101" s="29" t="n">
        <f aca="false">IF(AND(ISNUMBER($B101),ISNUMBER(H101)),ABS(H101-$B101),"")</f>
        <v>1.52016129032258</v>
      </c>
      <c r="P101" s="29" t="n">
        <f aca="false">IF(AND(ISNUMBER($B101),ISNUMBER(I101)),ABS(I101-$B101),"")</f>
        <v>0</v>
      </c>
    </row>
    <row r="102" customFormat="false" ht="15" hidden="false" customHeight="true" outlineLevel="0" collapsed="false">
      <c r="A102" s="15" t="str">
        <f aca="false">Data!$A102</f>
        <v>Sciety</v>
      </c>
      <c r="B102" s="29" t="str">
        <f aca="false">Scoring!S102</f>
        <v>NA</v>
      </c>
      <c r="C102" s="29" t="str">
        <f aca="false">IF(AND(Scoring!N102&gt;=Parameters!$C$57,Scoring!Q102&gt;=Parameters!$C$59),Scoring!O102/Scoring!N102*100,"NA")</f>
        <v>NA</v>
      </c>
      <c r="D102" s="29" t="str">
        <f aca="false">IF(AND(Scoring!N102&gt;=Parameters!$C$58,Scoring!Q102&gt;=Parameters!$C$59),Scoring!O102/Scoring!N102*100,"NA")</f>
        <v>NA</v>
      </c>
      <c r="E102" s="29" t="str">
        <f aca="false">IF(AND((Scoring!N102-IF(ISNUMBER(Scoring!E102),Parameters!$E$7,0)+IF(ISNUMBER(IF(Verification!D102&lt;&gt;"",Verification!D102,IF(Coding!AG102=0,"NA",IF(AND(Parameters!$C$39=1,ISNUMBER(Calc!B102),Calc!B102&lt;=Parameters!$C$40),0,MIN(Coding!AG102,Parameters!$C$37)/Parameters!$C$37)))),Parameters!$E$7,0))&gt;=Parameters!$C$56,Scoring!Q102&gt;=Parameters!$C$59),(Scoring!O102-IF(ISNUMBER(Scoring!E102),Parameters!$E$7*Scoring!E102,0)+IF(ISNUMBER(IF(Verification!D102&lt;&gt;"",Verification!D102,IF(Coding!AG102=0,"NA",IF(AND(Parameters!$C$39=1,ISNUMBER(Calc!B102),Calc!B102&lt;=Parameters!$C$40),0,MIN(Coding!AG102,Parameters!$C$37)/Parameters!$C$37)))),Parameters!$E$7*IF(Verification!D102&lt;&gt;"",Verification!D102,IF(Coding!AG102=0,"NA",IF(AND(Parameters!$C$39=1,ISNUMBER(Calc!B102),Calc!B102&lt;=Parameters!$C$40),0,MIN(Coding!AG102,Parameters!$C$37)/Parameters!$C$37))),0))/(Scoring!N102-IF(ISNUMBER(Scoring!E102),Parameters!$E$7,0)+IF(ISNUMBER(IF(Verification!D102&lt;&gt;"",Verification!D102,IF(Coding!AG102=0,"NA",IF(AND(Parameters!$C$39=1,ISNUMBER(Calc!B102),Calc!B102&lt;=Parameters!$C$40),0,MIN(Coding!AG102,Parameters!$C$37)/Parameters!$C$37)))),Parameters!$E$7,0))*100,"NA")</f>
        <v>NA</v>
      </c>
      <c r="F102" s="29" t="str">
        <f aca="false">IF(Scoring!R102="Yes",AVERAGE(Scoring!D102:J102)*100,"NA")</f>
        <v>NA</v>
      </c>
      <c r="G102" s="29" t="str">
        <f aca="false">IF(AND((Scoring!N102-IF(ISNUMBER(Scoring!F102),Parameters!$E$8,0)+IF(ISNUMBER(IF(Verification!E102&lt;&gt;"",Scoring!F102,Calc!V102)),Parameters!$E$8,0))&gt;=Parameters!$C$56,Scoring!Q102&gt;=Parameters!$C$59),(Scoring!O102-IF(ISNUMBER(Scoring!F102),Parameters!$E$8*Scoring!F102,0)+IF(ISNUMBER(IF(Verification!E102&lt;&gt;"",Scoring!F102,Calc!V102)),Parameters!$E$8*IF(Verification!E102&lt;&gt;"",Scoring!F102,Calc!V102),0))/(Scoring!N102-IF(ISNUMBER(Scoring!F102),Parameters!$E$8,0)+IF(ISNUMBER(IF(Verification!E102&lt;&gt;"",Scoring!F102,Calc!V102)),Parameters!$E$8,0))*100,"NA")</f>
        <v>NA</v>
      </c>
      <c r="H102" s="29" t="str">
        <f aca="false">IF(ISNUMBER(Scoring!S102),(Scoring!N102/Parameters!$E$13)*Scoring!S102+(1-Scoring!N102/Parameters!$E$13)*Summary!$B$9,"NA")</f>
        <v>NA</v>
      </c>
      <c r="I102" s="29" t="str">
        <f aca="false">IF(AND(ISNUMBER(Scoring!S102),COUNT(Scoring!E102,Scoring!F102)&gt;0),Scoring!S102,"NA")</f>
        <v>NA</v>
      </c>
      <c r="J102" s="29" t="str">
        <f aca="false">IF(AND(ISNUMBER($B102),ISNUMBER(C102)),ABS(C102-$B102),"")</f>
        <v/>
      </c>
      <c r="K102" s="29" t="str">
        <f aca="false">IF(AND(ISNUMBER($B102),ISNUMBER(D102)),ABS(D102-$B102),"")</f>
        <v/>
      </c>
      <c r="L102" s="29" t="str">
        <f aca="false">IF(AND(ISNUMBER($B102),ISNUMBER(E102)),ABS(E102-$B102),"")</f>
        <v/>
      </c>
      <c r="M102" s="29" t="str">
        <f aca="false">IF(AND(ISNUMBER($B102),ISNUMBER(F102)),ABS(F102-$B102),"")</f>
        <v/>
      </c>
      <c r="N102" s="29" t="str">
        <f aca="false">IF(AND(ISNUMBER($B102),ISNUMBER(G102)),ABS(G102-$B102),"")</f>
        <v/>
      </c>
      <c r="O102" s="29" t="str">
        <f aca="false">IF(AND(ISNUMBER($B102),ISNUMBER(H102)),ABS(H102-$B102),"")</f>
        <v/>
      </c>
      <c r="P102" s="29" t="str">
        <f aca="false">IF(AND(ISNUMBER($B102),ISNUMBER(I102)),ABS(I102-$B102),"")</f>
        <v/>
      </c>
    </row>
    <row r="103" customFormat="false" ht="15" hidden="false" customHeight="true" outlineLevel="0" collapsed="false">
      <c r="A103" s="15" t="str">
        <f aca="false">Data!$A103</f>
        <v>Synapse</v>
      </c>
      <c r="B103" s="29" t="str">
        <f aca="false">Scoring!S103</f>
        <v>NA</v>
      </c>
      <c r="C103" s="29" t="n">
        <f aca="false">IF(AND(Scoring!N103&gt;=Parameters!$C$57,Scoring!Q103&gt;=Parameters!$C$59),Scoring!O103/Scoring!N103*100,"NA")</f>
        <v>78</v>
      </c>
      <c r="D103" s="29" t="str">
        <f aca="false">IF(AND(Scoring!N103&gt;=Parameters!$C$58,Scoring!Q103&gt;=Parameters!$C$59),Scoring!O103/Scoring!N103*100,"NA")</f>
        <v>NA</v>
      </c>
      <c r="E103" s="29" t="str">
        <f aca="false">IF(AND((Scoring!N103-IF(ISNUMBER(Scoring!E103),Parameters!$E$7,0)+IF(ISNUMBER(IF(Verification!D103&lt;&gt;"",Verification!D103,IF(Coding!AG103=0,"NA",IF(AND(Parameters!$C$39=1,ISNUMBER(Calc!B103),Calc!B103&lt;=Parameters!$C$40),0,MIN(Coding!AG103,Parameters!$C$37)/Parameters!$C$37)))),Parameters!$E$7,0))&gt;=Parameters!$C$56,Scoring!Q103&gt;=Parameters!$C$59),(Scoring!O103-IF(ISNUMBER(Scoring!E103),Parameters!$E$7*Scoring!E103,0)+IF(ISNUMBER(IF(Verification!D103&lt;&gt;"",Verification!D103,IF(Coding!AG103=0,"NA",IF(AND(Parameters!$C$39=1,ISNUMBER(Calc!B103),Calc!B103&lt;=Parameters!$C$40),0,MIN(Coding!AG103,Parameters!$C$37)/Parameters!$C$37)))),Parameters!$E$7*IF(Verification!D103&lt;&gt;"",Verification!D103,IF(Coding!AG103=0,"NA",IF(AND(Parameters!$C$39=1,ISNUMBER(Calc!B103),Calc!B103&lt;=Parameters!$C$40),0,MIN(Coding!AG103,Parameters!$C$37)/Parameters!$C$37))),0))/(Scoring!N103-IF(ISNUMBER(Scoring!E103),Parameters!$E$7,0)+IF(ISNUMBER(IF(Verification!D103&lt;&gt;"",Verification!D103,IF(Coding!AG103=0,"NA",IF(AND(Parameters!$C$39=1,ISNUMBER(Calc!B103),Calc!B103&lt;=Parameters!$C$40),0,MIN(Coding!AG103,Parameters!$C$37)/Parameters!$C$37)))),Parameters!$E$7,0))*100,"NA")</f>
        <v>NA</v>
      </c>
      <c r="F103" s="29" t="str">
        <f aca="false">IF(Scoring!R103="Yes",AVERAGE(Scoring!D103:J103)*100,"NA")</f>
        <v>NA</v>
      </c>
      <c r="G103" s="29" t="str">
        <f aca="false">IF(AND((Scoring!N103-IF(ISNUMBER(Scoring!F103),Parameters!$E$8,0)+IF(ISNUMBER(IF(Verification!E103&lt;&gt;"",Scoring!F103,Calc!V103)),Parameters!$E$8,0))&gt;=Parameters!$C$56,Scoring!Q103&gt;=Parameters!$C$59),(Scoring!O103-IF(ISNUMBER(Scoring!F103),Parameters!$E$8*Scoring!F103,0)+IF(ISNUMBER(IF(Verification!E103&lt;&gt;"",Scoring!F103,Calc!V103)),Parameters!$E$8*IF(Verification!E103&lt;&gt;"",Scoring!F103,Calc!V103),0))/(Scoring!N103-IF(ISNUMBER(Scoring!F103),Parameters!$E$8,0)+IF(ISNUMBER(IF(Verification!E103&lt;&gt;"",Scoring!F103,Calc!V103)),Parameters!$E$8,0))*100,"NA")</f>
        <v>NA</v>
      </c>
      <c r="H103" s="29" t="str">
        <f aca="false">IF(ISNUMBER(Scoring!S103),(Scoring!N103/Parameters!$E$13)*Scoring!S103+(1-Scoring!N103/Parameters!$E$13)*Summary!$B$9,"NA")</f>
        <v>NA</v>
      </c>
      <c r="I103" s="29" t="str">
        <f aca="false">IF(AND(ISNUMBER(Scoring!S103),COUNT(Scoring!E103,Scoring!F103)&gt;0),Scoring!S103,"NA")</f>
        <v>NA</v>
      </c>
      <c r="J103" s="29" t="str">
        <f aca="false">IF(AND(ISNUMBER($B103),ISNUMBER(C103)),ABS(C103-$B103),"")</f>
        <v/>
      </c>
      <c r="K103" s="29" t="str">
        <f aca="false">IF(AND(ISNUMBER($B103),ISNUMBER(D103)),ABS(D103-$B103),"")</f>
        <v/>
      </c>
      <c r="L103" s="29" t="str">
        <f aca="false">IF(AND(ISNUMBER($B103),ISNUMBER(E103)),ABS(E103-$B103),"")</f>
        <v/>
      </c>
      <c r="M103" s="29" t="str">
        <f aca="false">IF(AND(ISNUMBER($B103),ISNUMBER(F103)),ABS(F103-$B103),"")</f>
        <v/>
      </c>
      <c r="N103" s="29" t="str">
        <f aca="false">IF(AND(ISNUMBER($B103),ISNUMBER(G103)),ABS(G103-$B103),"")</f>
        <v/>
      </c>
      <c r="O103" s="29" t="str">
        <f aca="false">IF(AND(ISNUMBER($B103),ISNUMBER(H103)),ABS(H103-$B103),"")</f>
        <v/>
      </c>
      <c r="P103" s="29" t="str">
        <f aca="false">IF(AND(ISNUMBER($B103),ISNUMBER(I103)),ABS(I103-$B103),"")</f>
        <v/>
      </c>
    </row>
    <row r="104" customFormat="false" ht="15" hidden="false" customHeight="true" outlineLevel="0" collapsed="false">
      <c r="A104" s="15" t="str">
        <f aca="false">Data!$A104</f>
        <v>TagTeam</v>
      </c>
      <c r="B104" s="29" t="str">
        <f aca="false">Scoring!S104</f>
        <v>NA</v>
      </c>
      <c r="C104" s="29" t="str">
        <f aca="false">IF(AND(Scoring!N104&gt;=Parameters!$C$57,Scoring!Q104&gt;=Parameters!$C$59),Scoring!O104/Scoring!N104*100,"NA")</f>
        <v>NA</v>
      </c>
      <c r="D104" s="29" t="str">
        <f aca="false">IF(AND(Scoring!N104&gt;=Parameters!$C$58,Scoring!Q104&gt;=Parameters!$C$59),Scoring!O104/Scoring!N104*100,"NA")</f>
        <v>NA</v>
      </c>
      <c r="E104" s="29" t="str">
        <f aca="false">IF(AND((Scoring!N104-IF(ISNUMBER(Scoring!E104),Parameters!$E$7,0)+IF(ISNUMBER(IF(Verification!D104&lt;&gt;"",Verification!D104,IF(Coding!AG104=0,"NA",IF(AND(Parameters!$C$39=1,ISNUMBER(Calc!B104),Calc!B104&lt;=Parameters!$C$40),0,MIN(Coding!AG104,Parameters!$C$37)/Parameters!$C$37)))),Parameters!$E$7,0))&gt;=Parameters!$C$56,Scoring!Q104&gt;=Parameters!$C$59),(Scoring!O104-IF(ISNUMBER(Scoring!E104),Parameters!$E$7*Scoring!E104,0)+IF(ISNUMBER(IF(Verification!D104&lt;&gt;"",Verification!D104,IF(Coding!AG104=0,"NA",IF(AND(Parameters!$C$39=1,ISNUMBER(Calc!B104),Calc!B104&lt;=Parameters!$C$40),0,MIN(Coding!AG104,Parameters!$C$37)/Parameters!$C$37)))),Parameters!$E$7*IF(Verification!D104&lt;&gt;"",Verification!D104,IF(Coding!AG104=0,"NA",IF(AND(Parameters!$C$39=1,ISNUMBER(Calc!B104),Calc!B104&lt;=Parameters!$C$40),0,MIN(Coding!AG104,Parameters!$C$37)/Parameters!$C$37))),0))/(Scoring!N104-IF(ISNUMBER(Scoring!E104),Parameters!$E$7,0)+IF(ISNUMBER(IF(Verification!D104&lt;&gt;"",Verification!D104,IF(Coding!AG104=0,"NA",IF(AND(Parameters!$C$39=1,ISNUMBER(Calc!B104),Calc!B104&lt;=Parameters!$C$40),0,MIN(Coding!AG104,Parameters!$C$37)/Parameters!$C$37)))),Parameters!$E$7,0))*100,"NA")</f>
        <v>NA</v>
      </c>
      <c r="F104" s="29" t="str">
        <f aca="false">IF(Scoring!R104="Yes",AVERAGE(Scoring!D104:J104)*100,"NA")</f>
        <v>NA</v>
      </c>
      <c r="G104" s="29" t="str">
        <f aca="false">IF(AND((Scoring!N104-IF(ISNUMBER(Scoring!F104),Parameters!$E$8,0)+IF(ISNUMBER(IF(Verification!E104&lt;&gt;"",Scoring!F104,Calc!V104)),Parameters!$E$8,0))&gt;=Parameters!$C$56,Scoring!Q104&gt;=Parameters!$C$59),(Scoring!O104-IF(ISNUMBER(Scoring!F104),Parameters!$E$8*Scoring!F104,0)+IF(ISNUMBER(IF(Verification!E104&lt;&gt;"",Scoring!F104,Calc!V104)),Parameters!$E$8*IF(Verification!E104&lt;&gt;"",Scoring!F104,Calc!V104),0))/(Scoring!N104-IF(ISNUMBER(Scoring!F104),Parameters!$E$8,0)+IF(ISNUMBER(IF(Verification!E104&lt;&gt;"",Scoring!F104,Calc!V104)),Parameters!$E$8,0))*100,"NA")</f>
        <v>NA</v>
      </c>
      <c r="H104" s="29" t="str">
        <f aca="false">IF(ISNUMBER(Scoring!S104),(Scoring!N104/Parameters!$E$13)*Scoring!S104+(1-Scoring!N104/Parameters!$E$13)*Summary!$B$9,"NA")</f>
        <v>NA</v>
      </c>
      <c r="I104" s="29" t="str">
        <f aca="false">IF(AND(ISNUMBER(Scoring!S104),COUNT(Scoring!E104,Scoring!F104)&gt;0),Scoring!S104,"NA")</f>
        <v>NA</v>
      </c>
      <c r="J104" s="29" t="str">
        <f aca="false">IF(AND(ISNUMBER($B104),ISNUMBER(C104)),ABS(C104-$B104),"")</f>
        <v/>
      </c>
      <c r="K104" s="29" t="str">
        <f aca="false">IF(AND(ISNUMBER($B104),ISNUMBER(D104)),ABS(D104-$B104),"")</f>
        <v/>
      </c>
      <c r="L104" s="29" t="str">
        <f aca="false">IF(AND(ISNUMBER($B104),ISNUMBER(E104)),ABS(E104-$B104),"")</f>
        <v/>
      </c>
      <c r="M104" s="29" t="str">
        <f aca="false">IF(AND(ISNUMBER($B104),ISNUMBER(F104)),ABS(F104-$B104),"")</f>
        <v/>
      </c>
      <c r="N104" s="29" t="str">
        <f aca="false">IF(AND(ISNUMBER($B104),ISNUMBER(G104)),ABS(G104-$B104),"")</f>
        <v/>
      </c>
      <c r="O104" s="29" t="str">
        <f aca="false">IF(AND(ISNUMBER($B104),ISNUMBER(H104)),ABS(H104-$B104),"")</f>
        <v/>
      </c>
      <c r="P104" s="29" t="str">
        <f aca="false">IF(AND(ISNUMBER($B104),ISNUMBER(I104)),ABS(I104-$B104),"")</f>
        <v/>
      </c>
    </row>
    <row r="105" customFormat="false" ht="15" hidden="false" customHeight="true" outlineLevel="0" collapsed="false">
      <c r="A105" s="15" t="str">
        <f aca="false">Data!$A105</f>
        <v>Thoth Open Metadata</v>
      </c>
      <c r="B105" s="29" t="n">
        <f aca="false">Scoring!S105</f>
        <v>100</v>
      </c>
      <c r="C105" s="29" t="n">
        <f aca="false">IF(AND(Scoring!N105&gt;=Parameters!$C$57,Scoring!Q105&gt;=Parameters!$C$59),Scoring!O105/Scoring!N105*100,"NA")</f>
        <v>100</v>
      </c>
      <c r="D105" s="29" t="n">
        <f aca="false">IF(AND(Scoring!N105&gt;=Parameters!$C$58,Scoring!Q105&gt;=Parameters!$C$59),Scoring!O105/Scoring!N105*100,"NA")</f>
        <v>100</v>
      </c>
      <c r="E105" s="29" t="n">
        <f aca="false">IF(AND((Scoring!N105-IF(ISNUMBER(Scoring!E105),Parameters!$E$7,0)+IF(ISNUMBER(IF(Verification!D105&lt;&gt;"",Verification!D105,IF(Coding!AG105=0,"NA",IF(AND(Parameters!$C$39=1,ISNUMBER(Calc!B105),Calc!B105&lt;=Parameters!$C$40),0,MIN(Coding!AG105,Parameters!$C$37)/Parameters!$C$37)))),Parameters!$E$7,0))&gt;=Parameters!$C$56,Scoring!Q105&gt;=Parameters!$C$59),(Scoring!O105-IF(ISNUMBER(Scoring!E105),Parameters!$E$7*Scoring!E105,0)+IF(ISNUMBER(IF(Verification!D105&lt;&gt;"",Verification!D105,IF(Coding!AG105=0,"NA",IF(AND(Parameters!$C$39=1,ISNUMBER(Calc!B105),Calc!B105&lt;=Parameters!$C$40),0,MIN(Coding!AG105,Parameters!$C$37)/Parameters!$C$37)))),Parameters!$E$7*IF(Verification!D105&lt;&gt;"",Verification!D105,IF(Coding!AG105=0,"NA",IF(AND(Parameters!$C$39=1,ISNUMBER(Calc!B105),Calc!B105&lt;=Parameters!$C$40),0,MIN(Coding!AG105,Parameters!$C$37)/Parameters!$C$37))),0))/(Scoring!N105-IF(ISNUMBER(Scoring!E105),Parameters!$E$7,0)+IF(ISNUMBER(IF(Verification!D105&lt;&gt;"",Verification!D105,IF(Coding!AG105=0,"NA",IF(AND(Parameters!$C$39=1,ISNUMBER(Calc!B105),Calc!B105&lt;=Parameters!$C$40),0,MIN(Coding!AG105,Parameters!$C$37)/Parameters!$C$37)))),Parameters!$E$7,0))*100,"NA")</f>
        <v>100</v>
      </c>
      <c r="F105" s="29" t="n">
        <f aca="false">IF(Scoring!R105="Yes",AVERAGE(Scoring!D105:J105)*100,"NA")</f>
        <v>100</v>
      </c>
      <c r="G105" s="29" t="n">
        <f aca="false">IF(AND((Scoring!N105-IF(ISNUMBER(Scoring!F105),Parameters!$E$8,0)+IF(ISNUMBER(IF(Verification!E105&lt;&gt;"",Scoring!F105,Calc!V105)),Parameters!$E$8,0))&gt;=Parameters!$C$56,Scoring!Q105&gt;=Parameters!$C$59),(Scoring!O105-IF(ISNUMBER(Scoring!F105),Parameters!$E$8*Scoring!F105,0)+IF(ISNUMBER(IF(Verification!E105&lt;&gt;"",Scoring!F105,Calc!V105)),Parameters!$E$8*IF(Verification!E105&lt;&gt;"",Scoring!F105,Calc!V105),0))/(Scoring!N105-IF(ISNUMBER(Scoring!F105),Parameters!$E$8,0)+IF(ISNUMBER(IF(Verification!E105&lt;&gt;"",Scoring!F105,Calc!V105)),Parameters!$E$8,0))*100,"NA")</f>
        <v>96.5909090909091</v>
      </c>
      <c r="H105" s="29" t="n">
        <f aca="false">IF(ISNUMBER(Scoring!S105),(Scoring!N105/Parameters!$E$13)*Scoring!S105+(1-Scoring!N105/Parameters!$E$13)*Summary!$B$9,"NA")</f>
        <v>97.3870967741936</v>
      </c>
      <c r="I105" s="29" t="n">
        <f aca="false">IF(AND(ISNUMBER(Scoring!S105),COUNT(Scoring!E105,Scoring!F105)&gt;0),Scoring!S105,"NA")</f>
        <v>100</v>
      </c>
      <c r="J105" s="29" t="n">
        <f aca="false">IF(AND(ISNUMBER($B105),ISNUMBER(C105)),ABS(C105-$B105),"")</f>
        <v>0</v>
      </c>
      <c r="K105" s="29" t="n">
        <f aca="false">IF(AND(ISNUMBER($B105),ISNUMBER(D105)),ABS(D105-$B105),"")</f>
        <v>0</v>
      </c>
      <c r="L105" s="29" t="n">
        <f aca="false">IF(AND(ISNUMBER($B105),ISNUMBER(E105)),ABS(E105-$B105),"")</f>
        <v>0</v>
      </c>
      <c r="M105" s="29" t="n">
        <f aca="false">IF(AND(ISNUMBER($B105),ISNUMBER(F105)),ABS(F105-$B105),"")</f>
        <v>0</v>
      </c>
      <c r="N105" s="29" t="n">
        <f aca="false">IF(AND(ISNUMBER($B105),ISNUMBER(G105)),ABS(G105-$B105),"")</f>
        <v>3.40909090909089</v>
      </c>
      <c r="O105" s="29" t="n">
        <f aca="false">IF(AND(ISNUMBER($B105),ISNUMBER(H105)),ABS(H105-$B105),"")</f>
        <v>2.61290322580645</v>
      </c>
      <c r="P105" s="29" t="n">
        <f aca="false">IF(AND(ISNUMBER($B105),ISNUMBER(I105)),ABS(I105-$B105),"")</f>
        <v>0</v>
      </c>
    </row>
    <row r="106" customFormat="false" ht="15" hidden="false" customHeight="true" outlineLevel="0" collapsed="false">
      <c r="A106" s="15" t="str">
        <f aca="false">Data!$A106</f>
        <v>Tropy</v>
      </c>
      <c r="B106" s="29" t="n">
        <f aca="false">Scoring!S106</f>
        <v>45.2</v>
      </c>
      <c r="C106" s="29" t="n">
        <f aca="false">IF(AND(Scoring!N106&gt;=Parameters!$C$57,Scoring!Q106&gt;=Parameters!$C$59),Scoring!O106/Scoring!N106*100,"NA")</f>
        <v>45.2</v>
      </c>
      <c r="D106" s="29" t="n">
        <f aca="false">IF(AND(Scoring!N106&gt;=Parameters!$C$58,Scoring!Q106&gt;=Parameters!$C$59),Scoring!O106/Scoring!N106*100,"NA")</f>
        <v>45.2</v>
      </c>
      <c r="E106" s="29" t="n">
        <f aca="false">IF(AND((Scoring!N106-IF(ISNUMBER(Scoring!E106),Parameters!$E$7,0)+IF(ISNUMBER(IF(Verification!D106&lt;&gt;"",Verification!D106,IF(Coding!AG106=0,"NA",IF(AND(Parameters!$C$39=1,ISNUMBER(Calc!B106),Calc!B106&lt;=Parameters!$C$40),0,MIN(Coding!AG106,Parameters!$C$37)/Parameters!$C$37)))),Parameters!$E$7,0))&gt;=Parameters!$C$56,Scoring!Q106&gt;=Parameters!$C$59),(Scoring!O106-IF(ISNUMBER(Scoring!E106),Parameters!$E$7*Scoring!E106,0)+IF(ISNUMBER(IF(Verification!D106&lt;&gt;"",Verification!D106,IF(Coding!AG106=0,"NA",IF(AND(Parameters!$C$39=1,ISNUMBER(Calc!B106),Calc!B106&lt;=Parameters!$C$40),0,MIN(Coding!AG106,Parameters!$C$37)/Parameters!$C$37)))),Parameters!$E$7*IF(Verification!D106&lt;&gt;"",Verification!D106,IF(Coding!AG106=0,"NA",IF(AND(Parameters!$C$39=1,ISNUMBER(Calc!B106),Calc!B106&lt;=Parameters!$C$40),0,MIN(Coding!AG106,Parameters!$C$37)/Parameters!$C$37))),0))/(Scoring!N106-IF(ISNUMBER(Scoring!E106),Parameters!$E$7,0)+IF(ISNUMBER(IF(Verification!D106&lt;&gt;"",Verification!D106,IF(Coding!AG106=0,"NA",IF(AND(Parameters!$C$39=1,ISNUMBER(Calc!B106),Calc!B106&lt;=Parameters!$C$40),0,MIN(Coding!AG106,Parameters!$C$37)/Parameters!$C$37)))),Parameters!$E$7,0))*100,"NA")</f>
        <v>45.2</v>
      </c>
      <c r="F106" s="29" t="n">
        <f aca="false">IF(Scoring!R106="Yes",AVERAGE(Scoring!D106:J106)*100,"NA")</f>
        <v>55.3095238095238</v>
      </c>
      <c r="G106" s="29" t="n">
        <f aca="false">IF(AND((Scoring!N106-IF(ISNUMBER(Scoring!F106),Parameters!$E$8,0)+IF(ISNUMBER(IF(Verification!E106&lt;&gt;"",Scoring!F106,Calc!V106)),Parameters!$E$8,0))&gt;=Parameters!$C$56,Scoring!Q106&gt;=Parameters!$C$59),(Scoring!O106-IF(ISNUMBER(Scoring!F106),Parameters!$E$8*Scoring!F106,0)+IF(ISNUMBER(IF(Verification!E106&lt;&gt;"",Scoring!F106,Calc!V106)),Parameters!$E$8*IF(Verification!E106&lt;&gt;"",Scoring!F106,Calc!V106),0))/(Scoring!N106-IF(ISNUMBER(Scoring!F106),Parameters!$E$8,0)+IF(ISNUMBER(IF(Verification!E106&lt;&gt;"",Scoring!F106,Calc!V106)),Parameters!$E$8,0))*100,"NA")</f>
        <v>45.2</v>
      </c>
      <c r="H106" s="29" t="n">
        <f aca="false">IF(ISNUMBER(Scoring!S106),(Scoring!N106/Parameters!$E$13)*Scoring!S106+(1-Scoring!N106/Parameters!$E$13)*Summary!$B$9,"NA")</f>
        <v>45.2</v>
      </c>
      <c r="I106" s="29" t="n">
        <f aca="false">IF(AND(ISNUMBER(Scoring!S106),COUNT(Scoring!E106,Scoring!F106)&gt;0),Scoring!S106,"NA")</f>
        <v>45.2</v>
      </c>
      <c r="J106" s="29" t="n">
        <f aca="false">IF(AND(ISNUMBER($B106),ISNUMBER(C106)),ABS(C106-$B106),"")</f>
        <v>0</v>
      </c>
      <c r="K106" s="29" t="n">
        <f aca="false">IF(AND(ISNUMBER($B106),ISNUMBER(D106)),ABS(D106-$B106),"")</f>
        <v>0</v>
      </c>
      <c r="L106" s="29" t="n">
        <f aca="false">IF(AND(ISNUMBER($B106),ISNUMBER(E106)),ABS(E106-$B106),"")</f>
        <v>0</v>
      </c>
      <c r="M106" s="29" t="n">
        <f aca="false">IF(AND(ISNUMBER($B106),ISNUMBER(F106)),ABS(F106-$B106),"")</f>
        <v>10.1095238095238</v>
      </c>
      <c r="N106" s="29" t="n">
        <f aca="false">IF(AND(ISNUMBER($B106),ISNUMBER(G106)),ABS(G106-$B106),"")</f>
        <v>0</v>
      </c>
      <c r="O106" s="29" t="n">
        <f aca="false">IF(AND(ISNUMBER($B106),ISNUMBER(H106)),ABS(H106-$B106),"")</f>
        <v>0</v>
      </c>
      <c r="P106" s="29" t="n">
        <f aca="false">IF(AND(ISNUMBER($B106),ISNUMBER(I106)),ABS(I106-$B106),"")</f>
        <v>0</v>
      </c>
    </row>
    <row r="107" customFormat="false" ht="15" hidden="false" customHeight="true" outlineLevel="0" collapsed="false">
      <c r="A107" s="15" t="str">
        <f aca="false">Data!$A107</f>
        <v>veraPDF</v>
      </c>
      <c r="B107" s="29" t="n">
        <f aca="false">Scoring!S107</f>
        <v>81.1428571428572</v>
      </c>
      <c r="C107" s="29" t="n">
        <f aca="false">IF(AND(Scoring!N107&gt;=Parameters!$C$57,Scoring!Q107&gt;=Parameters!$C$59),Scoring!O107/Scoring!N107*100,"NA")</f>
        <v>81.1428571428572</v>
      </c>
      <c r="D107" s="29" t="n">
        <f aca="false">IF(AND(Scoring!N107&gt;=Parameters!$C$58,Scoring!Q107&gt;=Parameters!$C$59),Scoring!O107/Scoring!N107*100,"NA")</f>
        <v>81.1428571428572</v>
      </c>
      <c r="E107" s="29" t="n">
        <f aca="false">IF(AND((Scoring!N107-IF(ISNUMBER(Scoring!E107),Parameters!$E$7,0)+IF(ISNUMBER(IF(Verification!D107&lt;&gt;"",Verification!D107,IF(Coding!AG107=0,"NA",IF(AND(Parameters!$C$39=1,ISNUMBER(Calc!B107),Calc!B107&lt;=Parameters!$C$40),0,MIN(Coding!AG107,Parameters!$C$37)/Parameters!$C$37)))),Parameters!$E$7,0))&gt;=Parameters!$C$56,Scoring!Q107&gt;=Parameters!$C$59),(Scoring!O107-IF(ISNUMBER(Scoring!E107),Parameters!$E$7*Scoring!E107,0)+IF(ISNUMBER(IF(Verification!D107&lt;&gt;"",Verification!D107,IF(Coding!AG107=0,"NA",IF(AND(Parameters!$C$39=1,ISNUMBER(Calc!B107),Calc!B107&lt;=Parameters!$C$40),0,MIN(Coding!AG107,Parameters!$C$37)/Parameters!$C$37)))),Parameters!$E$7*IF(Verification!D107&lt;&gt;"",Verification!D107,IF(Coding!AG107=0,"NA",IF(AND(Parameters!$C$39=1,ISNUMBER(Calc!B107),Calc!B107&lt;=Parameters!$C$40),0,MIN(Coding!AG107,Parameters!$C$37)/Parameters!$C$37))),0))/(Scoring!N107-IF(ISNUMBER(Scoring!E107),Parameters!$E$7,0)+IF(ISNUMBER(IF(Verification!D107&lt;&gt;"",Verification!D107,IF(Coding!AG107=0,"NA",IF(AND(Parameters!$C$39=1,ISNUMBER(Calc!B107),Calc!B107&lt;=Parameters!$C$40),0,MIN(Coding!AG107,Parameters!$C$37)/Parameters!$C$37)))),Parameters!$E$7,0))*100,"NA")</f>
        <v>81.1428571428572</v>
      </c>
      <c r="F107" s="29" t="n">
        <f aca="false">IF(Scoring!R107="Yes",AVERAGE(Scoring!D107:J107)*100,"NA")</f>
        <v>85.9</v>
      </c>
      <c r="G107" s="29" t="n">
        <f aca="false">IF(AND((Scoring!N107-IF(ISNUMBER(Scoring!F107),Parameters!$E$8,0)+IF(ISNUMBER(IF(Verification!E107&lt;&gt;"",Scoring!F107,Calc!V107)),Parameters!$E$8,0))&gt;=Parameters!$C$56,Scoring!Q107&gt;=Parameters!$C$59),(Scoring!O107-IF(ISNUMBER(Scoring!F107),Parameters!$E$8*Scoring!F107,0)+IF(ISNUMBER(IF(Verification!E107&lt;&gt;"",Scoring!F107,Calc!V107)),Parameters!$E$8*IF(Verification!E107&lt;&gt;"",Scoring!F107,Calc!V107),0))/(Scoring!N107-IF(ISNUMBER(Scoring!F107),Parameters!$E$8,0)+IF(ISNUMBER(IF(Verification!E107&lt;&gt;"",Scoring!F107,Calc!V107)),Parameters!$E$8,0))*100,"NA")</f>
        <v>81.1428571428572</v>
      </c>
      <c r="H107" s="29" t="n">
        <f aca="false">IF(ISNUMBER(Scoring!S107),(Scoring!N107/Parameters!$E$13)*Scoring!S107+(1-Scoring!N107/Parameters!$E$13)*Summary!$B$9,"NA")</f>
        <v>80.2677419354839</v>
      </c>
      <c r="I107" s="29" t="n">
        <f aca="false">IF(AND(ISNUMBER(Scoring!S107),COUNT(Scoring!E107,Scoring!F107)&gt;0),Scoring!S107,"NA")</f>
        <v>81.1428571428572</v>
      </c>
      <c r="J107" s="29" t="n">
        <f aca="false">IF(AND(ISNUMBER($B107),ISNUMBER(C107)),ABS(C107-$B107),"")</f>
        <v>0</v>
      </c>
      <c r="K107" s="29" t="n">
        <f aca="false">IF(AND(ISNUMBER($B107),ISNUMBER(D107)),ABS(D107-$B107),"")</f>
        <v>0</v>
      </c>
      <c r="L107" s="29" t="n">
        <f aca="false">IF(AND(ISNUMBER($B107),ISNUMBER(E107)),ABS(E107-$B107),"")</f>
        <v>0</v>
      </c>
      <c r="M107" s="29" t="n">
        <f aca="false">IF(AND(ISNUMBER($B107),ISNUMBER(F107)),ABS(F107-$B107),"")</f>
        <v>4.75714285714284</v>
      </c>
      <c r="N107" s="29" t="n">
        <f aca="false">IF(AND(ISNUMBER($B107),ISNUMBER(G107)),ABS(G107-$B107),"")</f>
        <v>0</v>
      </c>
      <c r="O107" s="29" t="n">
        <f aca="false">IF(AND(ISNUMBER($B107),ISNUMBER(H107)),ABS(H107-$B107),"")</f>
        <v>0.875115207373284</v>
      </c>
      <c r="P107" s="29" t="n">
        <f aca="false">IF(AND(ISNUMBER($B107),ISNUMBER(I107)),ABS(I107-$B107),"")</f>
        <v>0</v>
      </c>
    </row>
    <row r="108" customFormat="false" ht="15" hidden="false" customHeight="true" outlineLevel="0" collapsed="false">
      <c r="A108" s="15" t="str">
        <f aca="false">Data!$A108</f>
        <v>ViPER</v>
      </c>
      <c r="B108" s="29" t="n">
        <f aca="false">Scoring!S108</f>
        <v>83.05</v>
      </c>
      <c r="C108" s="29" t="n">
        <f aca="false">IF(AND(Scoring!N108&gt;=Parameters!$C$57,Scoring!Q108&gt;=Parameters!$C$59),Scoring!O108/Scoring!N108*100,"NA")</f>
        <v>83.05</v>
      </c>
      <c r="D108" s="29" t="n">
        <f aca="false">IF(AND(Scoring!N108&gt;=Parameters!$C$58,Scoring!Q108&gt;=Parameters!$C$59),Scoring!O108/Scoring!N108*100,"NA")</f>
        <v>83.05</v>
      </c>
      <c r="E108" s="29" t="n">
        <f aca="false">IF(AND((Scoring!N108-IF(ISNUMBER(Scoring!E108),Parameters!$E$7,0)+IF(ISNUMBER(IF(Verification!D108&lt;&gt;"",Verification!D108,IF(Coding!AG108=0,"NA",IF(AND(Parameters!$C$39=1,ISNUMBER(Calc!B108),Calc!B108&lt;=Parameters!$C$40),0,MIN(Coding!AG108,Parameters!$C$37)/Parameters!$C$37)))),Parameters!$E$7,0))&gt;=Parameters!$C$56,Scoring!Q108&gt;=Parameters!$C$59),(Scoring!O108-IF(ISNUMBER(Scoring!E108),Parameters!$E$7*Scoring!E108,0)+IF(ISNUMBER(IF(Verification!D108&lt;&gt;"",Verification!D108,IF(Coding!AG108=0,"NA",IF(AND(Parameters!$C$39=1,ISNUMBER(Calc!B108),Calc!B108&lt;=Parameters!$C$40),0,MIN(Coding!AG108,Parameters!$C$37)/Parameters!$C$37)))),Parameters!$E$7*IF(Verification!D108&lt;&gt;"",Verification!D108,IF(Coding!AG108=0,"NA",IF(AND(Parameters!$C$39=1,ISNUMBER(Calc!B108),Calc!B108&lt;=Parameters!$C$40),0,MIN(Coding!AG108,Parameters!$C$37)/Parameters!$C$37))),0))/(Scoring!N108-IF(ISNUMBER(Scoring!E108),Parameters!$E$7,0)+IF(ISNUMBER(IF(Verification!D108&lt;&gt;"",Verification!D108,IF(Coding!AG108=0,"NA",IF(AND(Parameters!$C$39=1,ISNUMBER(Calc!B108),Calc!B108&lt;=Parameters!$C$40),0,MIN(Coding!AG108,Parameters!$C$37)/Parameters!$C$37)))),Parameters!$E$7,0))*100,"NA")</f>
        <v>83.05</v>
      </c>
      <c r="F108" s="29" t="n">
        <f aca="false">IF(Scoring!R108="Yes",AVERAGE(Scoring!D108:J108)*100,"NA")</f>
        <v>83.3809523809524</v>
      </c>
      <c r="G108" s="29" t="n">
        <f aca="false">IF(AND((Scoring!N108-IF(ISNUMBER(Scoring!F108),Parameters!$E$8,0)+IF(ISNUMBER(IF(Verification!E108&lt;&gt;"",Scoring!F108,Calc!V108)),Parameters!$E$8,0))&gt;=Parameters!$C$56,Scoring!Q108&gt;=Parameters!$C$59),(Scoring!O108-IF(ISNUMBER(Scoring!F108),Parameters!$E$8*Scoring!F108,0)+IF(ISNUMBER(IF(Verification!E108&lt;&gt;"",Scoring!F108,Calc!V108)),Parameters!$E$8*IF(Verification!E108&lt;&gt;"",Scoring!F108,Calc!V108),0))/(Scoring!N108-IF(ISNUMBER(Scoring!F108),Parameters!$E$8,0)+IF(ISNUMBER(IF(Verification!E108&lt;&gt;"",Scoring!F108,Calc!V108)),Parameters!$E$8,0))*100,"NA")</f>
        <v>83.05</v>
      </c>
      <c r="H108" s="29" t="n">
        <f aca="false">IF(ISNUMBER(Scoring!S108),(Scoring!N108/Parameters!$E$13)*Scoring!S108+(1-Scoring!N108/Parameters!$E$13)*Summary!$B$9,"NA")</f>
        <v>83.05</v>
      </c>
      <c r="I108" s="29" t="n">
        <f aca="false">IF(AND(ISNUMBER(Scoring!S108),COUNT(Scoring!E108,Scoring!F108)&gt;0),Scoring!S108,"NA")</f>
        <v>83.05</v>
      </c>
      <c r="J108" s="29" t="n">
        <f aca="false">IF(AND(ISNUMBER($B108),ISNUMBER(C108)),ABS(C108-$B108),"")</f>
        <v>0</v>
      </c>
      <c r="K108" s="29" t="n">
        <f aca="false">IF(AND(ISNUMBER($B108),ISNUMBER(D108)),ABS(D108-$B108),"")</f>
        <v>0</v>
      </c>
      <c r="L108" s="29" t="n">
        <f aca="false">IF(AND(ISNUMBER($B108),ISNUMBER(E108)),ABS(E108-$B108),"")</f>
        <v>0</v>
      </c>
      <c r="M108" s="29" t="n">
        <f aca="false">IF(AND(ISNUMBER($B108),ISNUMBER(F108)),ABS(F108-$B108),"")</f>
        <v>0.330952380952397</v>
      </c>
      <c r="N108" s="29" t="n">
        <f aca="false">IF(AND(ISNUMBER($B108),ISNUMBER(G108)),ABS(G108-$B108),"")</f>
        <v>0</v>
      </c>
      <c r="O108" s="29" t="n">
        <f aca="false">IF(AND(ISNUMBER($B108),ISNUMBER(H108)),ABS(H108-$B108),"")</f>
        <v>0</v>
      </c>
      <c r="P108" s="29" t="n">
        <f aca="false">IF(AND(ISNUMBER($B108),ISNUMBER(I108)),ABS(I108-$B108),"")</f>
        <v>0</v>
      </c>
    </row>
    <row r="109" customFormat="false" ht="15" hidden="false" customHeight="true" outlineLevel="0" collapsed="false">
      <c r="A109" s="15" t="str">
        <f aca="false">Data!$A109</f>
        <v>Vireo ETD</v>
      </c>
      <c r="B109" s="29" t="n">
        <f aca="false">Scoring!S109</f>
        <v>82.9545454545454</v>
      </c>
      <c r="C109" s="29" t="n">
        <f aca="false">IF(AND(Scoring!N109&gt;=Parameters!$C$57,Scoring!Q109&gt;=Parameters!$C$59),Scoring!O109/Scoring!N109*100,"NA")</f>
        <v>82.9545454545454</v>
      </c>
      <c r="D109" s="29" t="n">
        <f aca="false">IF(AND(Scoring!N109&gt;=Parameters!$C$58,Scoring!Q109&gt;=Parameters!$C$59),Scoring!O109/Scoring!N109*100,"NA")</f>
        <v>82.9545454545454</v>
      </c>
      <c r="E109" s="29" t="n">
        <f aca="false">IF(AND((Scoring!N109-IF(ISNUMBER(Scoring!E109),Parameters!$E$7,0)+IF(ISNUMBER(IF(Verification!D109&lt;&gt;"",Verification!D109,IF(Coding!AG109=0,"NA",IF(AND(Parameters!$C$39=1,ISNUMBER(Calc!B109),Calc!B109&lt;=Parameters!$C$40),0,MIN(Coding!AG109,Parameters!$C$37)/Parameters!$C$37)))),Parameters!$E$7,0))&gt;=Parameters!$C$56,Scoring!Q109&gt;=Parameters!$C$59),(Scoring!O109-IF(ISNUMBER(Scoring!E109),Parameters!$E$7*Scoring!E109,0)+IF(ISNUMBER(IF(Verification!D109&lt;&gt;"",Verification!D109,IF(Coding!AG109=0,"NA",IF(AND(Parameters!$C$39=1,ISNUMBER(Calc!B109),Calc!B109&lt;=Parameters!$C$40),0,MIN(Coding!AG109,Parameters!$C$37)/Parameters!$C$37)))),Parameters!$E$7*IF(Verification!D109&lt;&gt;"",Verification!D109,IF(Coding!AG109=0,"NA",IF(AND(Parameters!$C$39=1,ISNUMBER(Calc!B109),Calc!B109&lt;=Parameters!$C$40),0,MIN(Coding!AG109,Parameters!$C$37)/Parameters!$C$37))),0))/(Scoring!N109-IF(ISNUMBER(Scoring!E109),Parameters!$E$7,0)+IF(ISNUMBER(IF(Verification!D109&lt;&gt;"",Verification!D109,IF(Coding!AG109=0,"NA",IF(AND(Parameters!$C$39=1,ISNUMBER(Calc!B109),Calc!B109&lt;=Parameters!$C$40),0,MIN(Coding!AG109,Parameters!$C$37)/Parameters!$C$37)))),Parameters!$E$7,0))*100,"NA")</f>
        <v>82.9545454545454</v>
      </c>
      <c r="F109" s="29" t="n">
        <f aca="false">IF(Scoring!R109="Yes",AVERAGE(Scoring!D109:J109)*100,"NA")</f>
        <v>83.3333333333333</v>
      </c>
      <c r="G109" s="29" t="n">
        <f aca="false">IF(AND((Scoring!N109-IF(ISNUMBER(Scoring!F109),Parameters!$E$8,0)+IF(ISNUMBER(IF(Verification!E109&lt;&gt;"",Scoring!F109,Calc!V109)),Parameters!$E$8,0))&gt;=Parameters!$C$56,Scoring!Q109&gt;=Parameters!$C$59),(Scoring!O109-IF(ISNUMBER(Scoring!F109),Parameters!$E$8*Scoring!F109,0)+IF(ISNUMBER(IF(Verification!E109&lt;&gt;"",Scoring!F109,Calc!V109)),Parameters!$E$8*IF(Verification!E109&lt;&gt;"",Scoring!F109,Calc!V109),0))/(Scoring!N109-IF(ISNUMBER(Scoring!F109),Parameters!$E$8,0)+IF(ISNUMBER(IF(Verification!E109&lt;&gt;"",Scoring!F109,Calc!V109)),Parameters!$E$8,0))*100,"NA")</f>
        <v>82.9545454545454</v>
      </c>
      <c r="H109" s="29" t="n">
        <f aca="false">IF(ISNUMBER(Scoring!S109),(Scoring!N109/Parameters!$E$13)*Scoring!S109+(1-Scoring!N109/Parameters!$E$13)*Summary!$B$9,"NA")</f>
        <v>82.3870967741935</v>
      </c>
      <c r="I109" s="29" t="n">
        <f aca="false">IF(AND(ISNUMBER(Scoring!S109),COUNT(Scoring!E109,Scoring!F109)&gt;0),Scoring!S109,"NA")</f>
        <v>82.9545454545454</v>
      </c>
      <c r="J109" s="29" t="n">
        <f aca="false">IF(AND(ISNUMBER($B109),ISNUMBER(C109)),ABS(C109-$B109),"")</f>
        <v>0</v>
      </c>
      <c r="K109" s="29" t="n">
        <f aca="false">IF(AND(ISNUMBER($B109),ISNUMBER(D109)),ABS(D109-$B109),"")</f>
        <v>0</v>
      </c>
      <c r="L109" s="29" t="n">
        <f aca="false">IF(AND(ISNUMBER($B109),ISNUMBER(E109)),ABS(E109-$B109),"")</f>
        <v>0</v>
      </c>
      <c r="M109" s="29" t="n">
        <f aca="false">IF(AND(ISNUMBER($B109),ISNUMBER(F109)),ABS(F109-$B109),"")</f>
        <v>0.378787878787904</v>
      </c>
      <c r="N109" s="29" t="n">
        <f aca="false">IF(AND(ISNUMBER($B109),ISNUMBER(G109)),ABS(G109-$B109),"")</f>
        <v>0</v>
      </c>
      <c r="O109" s="29" t="n">
        <f aca="false">IF(AND(ISNUMBER($B109),ISNUMBER(H109)),ABS(H109-$B109),"")</f>
        <v>0.567448680351902</v>
      </c>
      <c r="P109" s="29" t="n">
        <f aca="false">IF(AND(ISNUMBER($B109),ISNUMBER(I109)),ABS(I109-$B109),"")</f>
        <v>0</v>
      </c>
    </row>
    <row r="110" customFormat="false" ht="15" hidden="false" customHeight="true" outlineLevel="0" collapsed="false">
      <c r="A110" s="15" t="str">
        <f aca="false">Data!$A110</f>
        <v>VIVO</v>
      </c>
      <c r="B110" s="29" t="n">
        <f aca="false">Scoring!S110</f>
        <v>83.95</v>
      </c>
      <c r="C110" s="29" t="n">
        <f aca="false">IF(AND(Scoring!N110&gt;=Parameters!$C$57,Scoring!Q110&gt;=Parameters!$C$59),Scoring!O110/Scoring!N110*100,"NA")</f>
        <v>83.95</v>
      </c>
      <c r="D110" s="29" t="n">
        <f aca="false">IF(AND(Scoring!N110&gt;=Parameters!$C$58,Scoring!Q110&gt;=Parameters!$C$59),Scoring!O110/Scoring!N110*100,"NA")</f>
        <v>83.95</v>
      </c>
      <c r="E110" s="29" t="n">
        <f aca="false">IF(AND((Scoring!N110-IF(ISNUMBER(Scoring!E110),Parameters!$E$7,0)+IF(ISNUMBER(IF(Verification!D110&lt;&gt;"",Verification!D110,IF(Coding!AG110=0,"NA",IF(AND(Parameters!$C$39=1,ISNUMBER(Calc!B110),Calc!B110&lt;=Parameters!$C$40),0,MIN(Coding!AG110,Parameters!$C$37)/Parameters!$C$37)))),Parameters!$E$7,0))&gt;=Parameters!$C$56,Scoring!Q110&gt;=Parameters!$C$59),(Scoring!O110-IF(ISNUMBER(Scoring!E110),Parameters!$E$7*Scoring!E110,0)+IF(ISNUMBER(IF(Verification!D110&lt;&gt;"",Verification!D110,IF(Coding!AG110=0,"NA",IF(AND(Parameters!$C$39=1,ISNUMBER(Calc!B110),Calc!B110&lt;=Parameters!$C$40),0,MIN(Coding!AG110,Parameters!$C$37)/Parameters!$C$37)))),Parameters!$E$7*IF(Verification!D110&lt;&gt;"",Verification!D110,IF(Coding!AG110=0,"NA",IF(AND(Parameters!$C$39=1,ISNUMBER(Calc!B110),Calc!B110&lt;=Parameters!$C$40),0,MIN(Coding!AG110,Parameters!$C$37)/Parameters!$C$37))),0))/(Scoring!N110-IF(ISNUMBER(Scoring!E110),Parameters!$E$7,0)+IF(ISNUMBER(IF(Verification!D110&lt;&gt;"",Verification!D110,IF(Coding!AG110=0,"NA",IF(AND(Parameters!$C$39=1,ISNUMBER(Calc!B110),Calc!B110&lt;=Parameters!$C$40),0,MIN(Coding!AG110,Parameters!$C$37)/Parameters!$C$37)))),Parameters!$E$7,0))*100,"NA")</f>
        <v>83.95</v>
      </c>
      <c r="F110" s="29" t="n">
        <f aca="false">IF(Scoring!R110="Yes",AVERAGE(Scoring!D110:J110)*100,"NA")</f>
        <v>83.2857142857143</v>
      </c>
      <c r="G110" s="29" t="n">
        <f aca="false">IF(AND((Scoring!N110-IF(ISNUMBER(Scoring!F110),Parameters!$E$8,0)+IF(ISNUMBER(IF(Verification!E110&lt;&gt;"",Scoring!F110,Calc!V110)),Parameters!$E$8,0))&gt;=Parameters!$C$56,Scoring!Q110&gt;=Parameters!$C$59),(Scoring!O110-IF(ISNUMBER(Scoring!F110),Parameters!$E$8*Scoring!F110,0)+IF(ISNUMBER(IF(Verification!E110&lt;&gt;"",Scoring!F110,Calc!V110)),Parameters!$E$8*IF(Verification!E110&lt;&gt;"",Scoring!F110,Calc!V110),0))/(Scoring!N110-IF(ISNUMBER(Scoring!F110),Parameters!$E$8,0)+IF(ISNUMBER(IF(Verification!E110&lt;&gt;"",Scoring!F110,Calc!V110)),Parameters!$E$8,0))*100,"NA")</f>
        <v>83.95</v>
      </c>
      <c r="H110" s="29" t="n">
        <f aca="false">IF(ISNUMBER(Scoring!S110),(Scoring!N110/Parameters!$E$13)*Scoring!S110+(1-Scoring!N110/Parameters!$E$13)*Summary!$B$9,"NA")</f>
        <v>83.95</v>
      </c>
      <c r="I110" s="29" t="n">
        <f aca="false">IF(AND(ISNUMBER(Scoring!S110),COUNT(Scoring!E110,Scoring!F110)&gt;0),Scoring!S110,"NA")</f>
        <v>83.95</v>
      </c>
      <c r="J110" s="29" t="n">
        <f aca="false">IF(AND(ISNUMBER($B110),ISNUMBER(C110)),ABS(C110-$B110),"")</f>
        <v>0</v>
      </c>
      <c r="K110" s="29" t="n">
        <f aca="false">IF(AND(ISNUMBER($B110),ISNUMBER(D110)),ABS(D110-$B110),"")</f>
        <v>0</v>
      </c>
      <c r="L110" s="29" t="n">
        <f aca="false">IF(AND(ISNUMBER($B110),ISNUMBER(E110)),ABS(E110-$B110),"")</f>
        <v>0</v>
      </c>
      <c r="M110" s="29" t="n">
        <f aca="false">IF(AND(ISNUMBER($B110),ISNUMBER(F110)),ABS(F110-$B110),"")</f>
        <v>0.664285714285725</v>
      </c>
      <c r="N110" s="29" t="n">
        <f aca="false">IF(AND(ISNUMBER($B110),ISNUMBER(G110)),ABS(G110-$B110),"")</f>
        <v>0</v>
      </c>
      <c r="O110" s="29" t="n">
        <f aca="false">IF(AND(ISNUMBER($B110),ISNUMBER(H110)),ABS(H110-$B110),"")</f>
        <v>0</v>
      </c>
      <c r="P110" s="29" t="n">
        <f aca="false">IF(AND(ISNUMBER($B110),ISNUMBER(I110)),ABS(I110-$B110),"")</f>
        <v>0</v>
      </c>
    </row>
    <row r="111" customFormat="false" ht="15" hidden="false" customHeight="true" outlineLevel="0" collapsed="false">
      <c r="A111" s="15" t="str">
        <f aca="false">Data!$A111</f>
        <v>VuFind®</v>
      </c>
      <c r="B111" s="29" t="n">
        <f aca="false">Scoring!S111</f>
        <v>94.5</v>
      </c>
      <c r="C111" s="29" t="n">
        <f aca="false">IF(AND(Scoring!N111&gt;=Parameters!$C$57,Scoring!Q111&gt;=Parameters!$C$59),Scoring!O111/Scoring!N111*100,"NA")</f>
        <v>94.5</v>
      </c>
      <c r="D111" s="29" t="n">
        <f aca="false">IF(AND(Scoring!N111&gt;=Parameters!$C$58,Scoring!Q111&gt;=Parameters!$C$59),Scoring!O111/Scoring!N111*100,"NA")</f>
        <v>94.5</v>
      </c>
      <c r="E111" s="29" t="n">
        <f aca="false">IF(AND((Scoring!N111-IF(ISNUMBER(Scoring!E111),Parameters!$E$7,0)+IF(ISNUMBER(IF(Verification!D111&lt;&gt;"",Verification!D111,IF(Coding!AG111=0,"NA",IF(AND(Parameters!$C$39=1,ISNUMBER(Calc!B111),Calc!B111&lt;=Parameters!$C$40),0,MIN(Coding!AG111,Parameters!$C$37)/Parameters!$C$37)))),Parameters!$E$7,0))&gt;=Parameters!$C$56,Scoring!Q111&gt;=Parameters!$C$59),(Scoring!O111-IF(ISNUMBER(Scoring!E111),Parameters!$E$7*Scoring!E111,0)+IF(ISNUMBER(IF(Verification!D111&lt;&gt;"",Verification!D111,IF(Coding!AG111=0,"NA",IF(AND(Parameters!$C$39=1,ISNUMBER(Calc!B111),Calc!B111&lt;=Parameters!$C$40),0,MIN(Coding!AG111,Parameters!$C$37)/Parameters!$C$37)))),Parameters!$E$7*IF(Verification!D111&lt;&gt;"",Verification!D111,IF(Coding!AG111=0,"NA",IF(AND(Parameters!$C$39=1,ISNUMBER(Calc!B111),Calc!B111&lt;=Parameters!$C$40),0,MIN(Coding!AG111,Parameters!$C$37)/Parameters!$C$37))),0))/(Scoring!N111-IF(ISNUMBER(Scoring!E111),Parameters!$E$7,0)+IF(ISNUMBER(IF(Verification!D111&lt;&gt;"",Verification!D111,IF(Coding!AG111=0,"NA",IF(AND(Parameters!$C$39=1,ISNUMBER(Calc!B111),Calc!B111&lt;=Parameters!$C$40),0,MIN(Coding!AG111,Parameters!$C$37)/Parameters!$C$37)))),Parameters!$E$7,0))*100,"NA")</f>
        <v>94.5</v>
      </c>
      <c r="F111" s="29" t="n">
        <f aca="false">IF(Scoring!R111="Yes",AVERAGE(Scoring!D111:J111)*100,"NA")</f>
        <v>96.4285714285714</v>
      </c>
      <c r="G111" s="29" t="n">
        <f aca="false">IF(AND((Scoring!N111-IF(ISNUMBER(Scoring!F111),Parameters!$E$8,0)+IF(ISNUMBER(IF(Verification!E111&lt;&gt;"",Scoring!F111,Calc!V111)),Parameters!$E$8,0))&gt;=Parameters!$C$56,Scoring!Q111&gt;=Parameters!$C$59),(Scoring!O111-IF(ISNUMBER(Scoring!F111),Parameters!$E$8*Scoring!F111,0)+IF(ISNUMBER(IF(Verification!E111&lt;&gt;"",Scoring!F111,Calc!V111)),Parameters!$E$8*IF(Verification!E111&lt;&gt;"",Scoring!F111,Calc!V111),0))/(Scoring!N111-IF(ISNUMBER(Scoring!F111),Parameters!$E$8,0)+IF(ISNUMBER(IF(Verification!E111&lt;&gt;"",Scoring!F111,Calc!V111)),Parameters!$E$8,0))*100,"NA")</f>
        <v>91.5</v>
      </c>
      <c r="H111" s="29" t="n">
        <f aca="false">IF(ISNUMBER(Scoring!S111),(Scoring!N111/Parameters!$E$13)*Scoring!S111+(1-Scoring!N111/Parameters!$E$13)*Summary!$B$9,"NA")</f>
        <v>94.5</v>
      </c>
      <c r="I111" s="29" t="n">
        <f aca="false">IF(AND(ISNUMBER(Scoring!S111),COUNT(Scoring!E111,Scoring!F111)&gt;0),Scoring!S111,"NA")</f>
        <v>94.5</v>
      </c>
      <c r="J111" s="29" t="n">
        <f aca="false">IF(AND(ISNUMBER($B111),ISNUMBER(C111)),ABS(C111-$B111),"")</f>
        <v>0</v>
      </c>
      <c r="K111" s="29" t="n">
        <f aca="false">IF(AND(ISNUMBER($B111),ISNUMBER(D111)),ABS(D111-$B111),"")</f>
        <v>0</v>
      </c>
      <c r="L111" s="29" t="n">
        <f aca="false">IF(AND(ISNUMBER($B111),ISNUMBER(E111)),ABS(E111-$B111),"")</f>
        <v>0</v>
      </c>
      <c r="M111" s="29" t="n">
        <f aca="false">IF(AND(ISNUMBER($B111),ISNUMBER(F111)),ABS(F111-$B111),"")</f>
        <v>1.92857142857143</v>
      </c>
      <c r="N111" s="29" t="n">
        <f aca="false">IF(AND(ISNUMBER($B111),ISNUMBER(G111)),ABS(G111-$B111),"")</f>
        <v>2.99999999999999</v>
      </c>
      <c r="O111" s="29" t="n">
        <f aca="false">IF(AND(ISNUMBER($B111),ISNUMBER(H111)),ABS(H111-$B111),"")</f>
        <v>0</v>
      </c>
      <c r="P111" s="29" t="n">
        <f aca="false">IF(AND(ISNUMBER($B111),ISNUMBER(I111)),ABS(I111-$B111),"")</f>
        <v>0</v>
      </c>
    </row>
    <row r="112" customFormat="false" ht="15" hidden="false" customHeight="true" outlineLevel="0" collapsed="false">
      <c r="A112" s="15" t="str">
        <f aca="false">Data!$A112</f>
        <v>Zenodo</v>
      </c>
      <c r="B112" s="29" t="n">
        <f aca="false">Scoring!S112</f>
        <v>61.5384615384615</v>
      </c>
      <c r="C112" s="29" t="n">
        <f aca="false">IF(AND(Scoring!N112&gt;=Parameters!$C$57,Scoring!Q112&gt;=Parameters!$C$59),Scoring!O112/Scoring!N112*100,"NA")</f>
        <v>61.5384615384615</v>
      </c>
      <c r="D112" s="29" t="n">
        <f aca="false">IF(AND(Scoring!N112&gt;=Parameters!$C$58,Scoring!Q112&gt;=Parameters!$C$59),Scoring!O112/Scoring!N112*100,"NA")</f>
        <v>61.5384615384615</v>
      </c>
      <c r="E112" s="29" t="n">
        <f aca="false">IF(AND((Scoring!N112-IF(ISNUMBER(Scoring!E112),Parameters!$E$7,0)+IF(ISNUMBER(IF(Verification!D112&lt;&gt;"",Verification!D112,IF(Coding!AG112=0,"NA",IF(AND(Parameters!$C$39=1,ISNUMBER(Calc!B112),Calc!B112&lt;=Parameters!$C$40),0,MIN(Coding!AG112,Parameters!$C$37)/Parameters!$C$37)))),Parameters!$E$7,0))&gt;=Parameters!$C$56,Scoring!Q112&gt;=Parameters!$C$59),(Scoring!O112-IF(ISNUMBER(Scoring!E112),Parameters!$E$7*Scoring!E112,0)+IF(ISNUMBER(IF(Verification!D112&lt;&gt;"",Verification!D112,IF(Coding!AG112=0,"NA",IF(AND(Parameters!$C$39=1,ISNUMBER(Calc!B112),Calc!B112&lt;=Parameters!$C$40),0,MIN(Coding!AG112,Parameters!$C$37)/Parameters!$C$37)))),Parameters!$E$7*IF(Verification!D112&lt;&gt;"",Verification!D112,IF(Coding!AG112=0,"NA",IF(AND(Parameters!$C$39=1,ISNUMBER(Calc!B112),Calc!B112&lt;=Parameters!$C$40),0,MIN(Coding!AG112,Parameters!$C$37)/Parameters!$C$37))),0))/(Scoring!N112-IF(ISNUMBER(Scoring!E112),Parameters!$E$7,0)+IF(ISNUMBER(IF(Verification!D112&lt;&gt;"",Verification!D112,IF(Coding!AG112=0,"NA",IF(AND(Parameters!$C$39=1,ISNUMBER(Calc!B112),Calc!B112&lt;=Parameters!$C$40),0,MIN(Coding!AG112,Parameters!$C$37)/Parameters!$C$37)))),Parameters!$E$7,0))*100,"NA")</f>
        <v>61.5384615384615</v>
      </c>
      <c r="F112" s="29" t="n">
        <f aca="false">IF(Scoring!R112="Yes",AVERAGE(Scoring!D112:J112)*100,"NA")</f>
        <v>61.1111111111111</v>
      </c>
      <c r="G112" s="29" t="n">
        <f aca="false">IF(AND((Scoring!N112-IF(ISNUMBER(Scoring!F112),Parameters!$E$8,0)+IF(ISNUMBER(IF(Verification!E112&lt;&gt;"",Scoring!F112,Calc!V112)),Parameters!$E$8,0))&gt;=Parameters!$C$56,Scoring!Q112&gt;=Parameters!$C$59),(Scoring!O112-IF(ISNUMBER(Scoring!F112),Parameters!$E$8*Scoring!F112,0)+IF(ISNUMBER(IF(Verification!E112&lt;&gt;"",Scoring!F112,Calc!V112)),Parameters!$E$8*IF(Verification!E112&lt;&gt;"",Scoring!F112,Calc!V112),0))/(Scoring!N112-IF(ISNUMBER(Scoring!F112),Parameters!$E$8,0)+IF(ISNUMBER(IF(Verification!E112&lt;&gt;"",Scoring!F112,Calc!V112)),Parameters!$E$8,0))*100,"NA")</f>
        <v>57.6923076923077</v>
      </c>
      <c r="H112" s="29" t="n">
        <f aca="false">IF(ISNUMBER(Scoring!S112),(Scoring!N112/Parameters!$E$13)*Scoring!S112+(1-Scoring!N112/Parameters!$E$13)*Summary!$B$9,"NA")</f>
        <v>65.2096774193548</v>
      </c>
      <c r="I112" s="29" t="n">
        <f aca="false">IF(AND(ISNUMBER(Scoring!S112),COUNT(Scoring!E112,Scoring!F112)&gt;0),Scoring!S112,"NA")</f>
        <v>61.5384615384615</v>
      </c>
      <c r="J112" s="29" t="n">
        <f aca="false">IF(AND(ISNUMBER($B112),ISNUMBER(C112)),ABS(C112-$B112),"")</f>
        <v>0</v>
      </c>
      <c r="K112" s="29" t="n">
        <f aca="false">IF(AND(ISNUMBER($B112),ISNUMBER(D112)),ABS(D112-$B112),"")</f>
        <v>0</v>
      </c>
      <c r="L112" s="29" t="n">
        <f aca="false">IF(AND(ISNUMBER($B112),ISNUMBER(E112)),ABS(E112-$B112),"")</f>
        <v>0</v>
      </c>
      <c r="M112" s="29" t="n">
        <f aca="false">IF(AND(ISNUMBER($B112),ISNUMBER(F112)),ABS(F112-$B112),"")</f>
        <v>0.427350427350426</v>
      </c>
      <c r="N112" s="29" t="n">
        <f aca="false">IF(AND(ISNUMBER($B112),ISNUMBER(G112)),ABS(G112-$B112),"")</f>
        <v>3.84615384615385</v>
      </c>
      <c r="O112" s="29" t="n">
        <f aca="false">IF(AND(ISNUMBER($B112),ISNUMBER(H112)),ABS(H112-$B112),"")</f>
        <v>3.6712158808933</v>
      </c>
      <c r="P112" s="29" t="n">
        <f aca="false">IF(AND(ISNUMBER($B112),ISNUMBER(I112)),ABS(I112-$B112),"")</f>
        <v>0</v>
      </c>
    </row>
    <row r="113" customFormat="false" ht="15" hidden="false" customHeight="true" outlineLevel="0" collapsed="false">
      <c r="A113" s="15" t="str">
        <f aca="false">Data!$A113</f>
        <v>Zotero</v>
      </c>
      <c r="B113" s="29" t="n">
        <f aca="false">Scoring!S113</f>
        <v>64</v>
      </c>
      <c r="C113" s="29" t="n">
        <f aca="false">IF(AND(Scoring!N113&gt;=Parameters!$C$57,Scoring!Q113&gt;=Parameters!$C$59),Scoring!O113/Scoring!N113*100,"NA")</f>
        <v>64</v>
      </c>
      <c r="D113" s="29" t="n">
        <f aca="false">IF(AND(Scoring!N113&gt;=Parameters!$C$58,Scoring!Q113&gt;=Parameters!$C$59),Scoring!O113/Scoring!N113*100,"NA")</f>
        <v>64</v>
      </c>
      <c r="E113" s="29" t="n">
        <f aca="false">IF(AND((Scoring!N113-IF(ISNUMBER(Scoring!E113),Parameters!$E$7,0)+IF(ISNUMBER(IF(Verification!D113&lt;&gt;"",Verification!D113,IF(Coding!AG113=0,"NA",IF(AND(Parameters!$C$39=1,ISNUMBER(Calc!B113),Calc!B113&lt;=Parameters!$C$40),0,MIN(Coding!AG113,Parameters!$C$37)/Parameters!$C$37)))),Parameters!$E$7,0))&gt;=Parameters!$C$56,Scoring!Q113&gt;=Parameters!$C$59),(Scoring!O113-IF(ISNUMBER(Scoring!E113),Parameters!$E$7*Scoring!E113,0)+IF(ISNUMBER(IF(Verification!D113&lt;&gt;"",Verification!D113,IF(Coding!AG113=0,"NA",IF(AND(Parameters!$C$39=1,ISNUMBER(Calc!B113),Calc!B113&lt;=Parameters!$C$40),0,MIN(Coding!AG113,Parameters!$C$37)/Parameters!$C$37)))),Parameters!$E$7*IF(Verification!D113&lt;&gt;"",Verification!D113,IF(Coding!AG113=0,"NA",IF(AND(Parameters!$C$39=1,ISNUMBER(Calc!B113),Calc!B113&lt;=Parameters!$C$40),0,MIN(Coding!AG113,Parameters!$C$37)/Parameters!$C$37))),0))/(Scoring!N113-IF(ISNUMBER(Scoring!E113),Parameters!$E$7,0)+IF(ISNUMBER(IF(Verification!D113&lt;&gt;"",Verification!D113,IF(Coding!AG113=0,"NA",IF(AND(Parameters!$C$39=1,ISNUMBER(Calc!B113),Calc!B113&lt;=Parameters!$C$40),0,MIN(Coding!AG113,Parameters!$C$37)/Parameters!$C$37)))),Parameters!$E$7,0))*100,"NA")</f>
        <v>64</v>
      </c>
      <c r="F113" s="29" t="n">
        <f aca="false">IF(Scoring!R113="Yes",AVERAGE(Scoring!D113:J113)*100,"NA")</f>
        <v>71.4285714285714</v>
      </c>
      <c r="G113" s="29" t="n">
        <f aca="false">IF(AND((Scoring!N113-IF(ISNUMBER(Scoring!F113),Parameters!$E$8,0)+IF(ISNUMBER(IF(Verification!E113&lt;&gt;"",Scoring!F113,Calc!V113)),Parameters!$E$8,0))&gt;=Parameters!$C$56,Scoring!Q113&gt;=Parameters!$C$59),(Scoring!O113-IF(ISNUMBER(Scoring!F113),Parameters!$E$8*Scoring!F113,0)+IF(ISNUMBER(IF(Verification!E113&lt;&gt;"",Scoring!F113,Calc!V113)),Parameters!$E$8*IF(Verification!E113&lt;&gt;"",Scoring!F113,Calc!V113),0))/(Scoring!N113-IF(ISNUMBER(Scoring!F113),Parameters!$E$8,0)+IF(ISNUMBER(IF(Verification!E113&lt;&gt;"",Scoring!F113,Calc!V113)),Parameters!$E$8,0))*100,"NA")</f>
        <v>61</v>
      </c>
      <c r="H113" s="29" t="n">
        <f aca="false">IF(ISNUMBER(Scoring!S113),(Scoring!N113/Parameters!$E$13)*Scoring!S113+(1-Scoring!N113/Parameters!$E$13)*Summary!$B$9,"NA")</f>
        <v>64</v>
      </c>
      <c r="I113" s="29" t="n">
        <f aca="false">IF(AND(ISNUMBER(Scoring!S113),COUNT(Scoring!E113,Scoring!F113)&gt;0),Scoring!S113,"NA")</f>
        <v>64</v>
      </c>
      <c r="J113" s="29" t="n">
        <f aca="false">IF(AND(ISNUMBER($B113),ISNUMBER(C113)),ABS(C113-$B113),"")</f>
        <v>0</v>
      </c>
      <c r="K113" s="29" t="n">
        <f aca="false">IF(AND(ISNUMBER($B113),ISNUMBER(D113)),ABS(D113-$B113),"")</f>
        <v>0</v>
      </c>
      <c r="L113" s="29" t="n">
        <f aca="false">IF(AND(ISNUMBER($B113),ISNUMBER(E113)),ABS(E113-$B113),"")</f>
        <v>0</v>
      </c>
      <c r="M113" s="29" t="n">
        <f aca="false">IF(AND(ISNUMBER($B113),ISNUMBER(F113)),ABS(F113-$B113),"")</f>
        <v>7.42857142857143</v>
      </c>
      <c r="N113" s="29" t="n">
        <f aca="false">IF(AND(ISNUMBER($B113),ISNUMBER(G113)),ABS(G113-$B113),"")</f>
        <v>2.99999999999999</v>
      </c>
      <c r="O113" s="29" t="n">
        <f aca="false">IF(AND(ISNUMBER($B113),ISNUMBER(H113)),ABS(H113-$B113),"")</f>
        <v>0</v>
      </c>
      <c r="P113" s="29" t="n">
        <f aca="false">IF(AND(ISNUMBER($B113),ISNUMBER(I113)),ABS(I113-$B113),"")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J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30"/>
    <col collapsed="false" customWidth="true" hidden="false" outlineLevel="0" max="3" min="3" style="1" width="16"/>
    <col collapsed="false" customWidth="true" hidden="false" outlineLevel="0" max="4" min="4" style="1" width="14"/>
    <col collapsed="false" customWidth="true" hidden="false" outlineLevel="0" max="5" min="5" style="1" width="18"/>
    <col collapsed="false" customWidth="true" hidden="false" outlineLevel="0" max="7" min="6" style="1" width="16"/>
    <col collapsed="false" customWidth="true" hidden="false" outlineLevel="0" max="8" min="8" style="1" width="3"/>
    <col collapsed="false" customWidth="true" hidden="false" outlineLevel="0" max="9" min="9" style="1" width="44"/>
    <col collapsed="false" customWidth="true" hidden="false" outlineLevel="0" max="10" min="10" style="1" width="14"/>
  </cols>
  <sheetData>
    <row r="1" customFormat="false" ht="15" hidden="false" customHeight="true" outlineLevel="0" collapsed="false">
      <c r="A1" s="16" t="s">
        <v>339</v>
      </c>
    </row>
    <row r="3" customFormat="false" ht="45" hidden="false" customHeight="true" outlineLevel="0" collapsed="false">
      <c r="A3" s="7" t="s">
        <v>236</v>
      </c>
      <c r="B3" s="7" t="s">
        <v>237</v>
      </c>
      <c r="C3" s="7" t="s">
        <v>340</v>
      </c>
      <c r="D3" s="7" t="s">
        <v>341</v>
      </c>
      <c r="E3" s="7" t="s">
        <v>342</v>
      </c>
      <c r="F3" s="7" t="s">
        <v>343</v>
      </c>
      <c r="G3" s="7" t="s">
        <v>344</v>
      </c>
      <c r="I3" s="11" t="s">
        <v>113</v>
      </c>
    </row>
    <row r="4" customFormat="false" ht="15" hidden="false" customHeight="true" outlineLevel="0" collapsed="false">
      <c r="A4" s="15" t="str">
        <f aca="false">Data!$A2</f>
        <v>2i2c</v>
      </c>
      <c r="B4" s="15" t="str">
        <f aca="false">Data!$B2</f>
        <v>Code for Science and Society</v>
      </c>
      <c r="C4" s="40" t="str">
        <f aca="false">IF(Data!$S2="","",Data!$S2)</f>
        <v/>
      </c>
      <c r="D4" s="28" t="str">
        <f aca="false">IF(AND(ISNUMBER(C4),C4&gt;0),LOG10(C4),"")</f>
        <v/>
      </c>
      <c r="E4" s="32" t="str">
        <f aca="false">IF(Data!$T2&lt;&gt;"","Yes","No")</f>
        <v>No</v>
      </c>
      <c r="F4" s="32" t="str">
        <f aca="false">IF(OR(AND(ISNUMBER(C4),C4&gt;0),E4="Yes"),"Yes","No")</f>
        <v>No</v>
      </c>
      <c r="G4" s="29" t="str">
        <f aca="false">Scoring!S2</f>
        <v>NA</v>
      </c>
      <c r="I4" s="17" t="s">
        <v>345</v>
      </c>
      <c r="J4" s="41" t="n">
        <f aca="false">COUNT(C4:C115)</f>
        <v>54</v>
      </c>
    </row>
    <row r="5" customFormat="false" ht="15" hidden="false" customHeight="true" outlineLevel="0" collapsed="false">
      <c r="A5" s="15" t="str">
        <f aca="false">Data!$A3</f>
        <v>Academic Preservation Trust (APTrust)</v>
      </c>
      <c r="B5" s="15" t="str">
        <f aca="false">Data!$B3</f>
        <v>Academic Preservation Trust (APTrust)</v>
      </c>
      <c r="C5" s="40" t="n">
        <f aca="false">IF(Data!$S3="","",Data!$S3)</f>
        <v>21</v>
      </c>
      <c r="D5" s="28" t="n">
        <f aca="false">IF(AND(ISNUMBER(C5),C5&gt;0),LOG10(C5),"")</f>
        <v>1.32221929473392</v>
      </c>
      <c r="E5" s="32" t="str">
        <f aca="false">IF(Data!$T3&lt;&gt;"","Yes","No")</f>
        <v>Yes</v>
      </c>
      <c r="F5" s="32" t="str">
        <f aca="false">IF(OR(AND(ISNUMBER(C5),C5&gt;0),E5="Yes"),"Yes","No")</f>
        <v>Yes</v>
      </c>
      <c r="G5" s="29" t="n">
        <f aca="false">Scoring!S3</f>
        <v>94</v>
      </c>
      <c r="I5" s="17" t="s">
        <v>346</v>
      </c>
      <c r="J5" s="41" t="n">
        <f aca="false">COUNTIF(C4:C115,0)</f>
        <v>8</v>
      </c>
    </row>
    <row r="6" customFormat="false" ht="15" hidden="false" customHeight="true" outlineLevel="0" collapsed="false">
      <c r="A6" s="15" t="str">
        <f aca="false">Data!$A4</f>
        <v>AfricArXiv</v>
      </c>
      <c r="B6" s="15" t="str">
        <f aca="false">Data!$B4</f>
        <v>UbuntuNet Alliance</v>
      </c>
      <c r="C6" s="40" t="str">
        <f aca="false">IF(Data!$S4="","",Data!$S4)</f>
        <v/>
      </c>
      <c r="D6" s="28" t="str">
        <f aca="false">IF(AND(ISNUMBER(C6),C6&gt;0),LOG10(C6),"")</f>
        <v/>
      </c>
      <c r="E6" s="32" t="str">
        <f aca="false">IF(Data!$T4&lt;&gt;"","Yes","No")</f>
        <v>No</v>
      </c>
      <c r="F6" s="32" t="str">
        <f aca="false">IF(OR(AND(ISNUMBER(C6),C6&gt;0),E6="Yes"),"Yes","No")</f>
        <v>No</v>
      </c>
      <c r="G6" s="29" t="str">
        <f aca="false">Scoring!S4</f>
        <v>NA</v>
      </c>
      <c r="I6" s="17" t="s">
        <v>347</v>
      </c>
      <c r="J6" s="41" t="n">
        <f aca="false">IFERROR(MEDIAN(C4:C115),"n/a")</f>
        <v>32</v>
      </c>
    </row>
    <row r="7" customFormat="false" ht="15" hidden="false" customHeight="true" outlineLevel="0" collapsed="false">
      <c r="A7" s="15" t="str">
        <f aca="false">Data!$A5</f>
        <v>Arches Heritage Data Management Platform</v>
      </c>
      <c r="B7" s="15" t="str">
        <f aca="false">Data!$B5</f>
        <v>Getty Conservation Institute (GCI)</v>
      </c>
      <c r="C7" s="40" t="str">
        <f aca="false">IF(Data!$S5="","",Data!$S5)</f>
        <v/>
      </c>
      <c r="D7" s="28" t="str">
        <f aca="false">IF(AND(ISNUMBER(C7),C7&gt;0),LOG10(C7),"")</f>
        <v/>
      </c>
      <c r="E7" s="32" t="str">
        <f aca="false">IF(Data!$T5&lt;&gt;"","Yes","No")</f>
        <v>No</v>
      </c>
      <c r="F7" s="32" t="str">
        <f aca="false">IF(OR(AND(ISNUMBER(C7),C7&gt;0),E7="Yes"),"Yes","No")</f>
        <v>No</v>
      </c>
      <c r="G7" s="29" t="n">
        <f aca="false">Scoring!S5</f>
        <v>100</v>
      </c>
      <c r="I7" s="17" t="s">
        <v>348</v>
      </c>
      <c r="J7" s="41" t="n">
        <f aca="false">MAX(C4:C115)</f>
        <v>20000</v>
      </c>
    </row>
    <row r="8" customFormat="false" ht="15" hidden="false" customHeight="true" outlineLevel="0" collapsed="false">
      <c r="A8" s="15" t="str">
        <f aca="false">Data!$A6</f>
        <v>Archipelago Commons</v>
      </c>
      <c r="B8" s="15" t="str">
        <f aca="false">Data!$B6</f>
        <v>Metropolitan New York Library Council</v>
      </c>
      <c r="C8" s="40" t="str">
        <f aca="false">IF(Data!$S6="","",Data!$S6)</f>
        <v/>
      </c>
      <c r="D8" s="28" t="str">
        <f aca="false">IF(AND(ISNUMBER(C8),C8&gt;0),LOG10(C8),"")</f>
        <v/>
      </c>
      <c r="E8" s="32" t="str">
        <f aca="false">IF(Data!$T6&lt;&gt;"","Yes","No")</f>
        <v>No</v>
      </c>
      <c r="F8" s="32" t="str">
        <f aca="false">IF(OR(AND(ISNUMBER(C8),C8&gt;0),E8="Yes"),"Yes","No")</f>
        <v>No</v>
      </c>
      <c r="G8" s="29" t="n">
        <f aca="false">Scoring!S6</f>
        <v>82.25</v>
      </c>
      <c r="I8" s="17" t="s">
        <v>349</v>
      </c>
      <c r="J8" s="41" t="n">
        <f aca="false">COUNTIF(E4:E115,"Yes")</f>
        <v>30</v>
      </c>
    </row>
    <row r="9" customFormat="false" ht="15" hidden="false" customHeight="true" outlineLevel="0" collapsed="false">
      <c r="A9" s="15" t="str">
        <f aca="false">Data!$A7</f>
        <v>Archival Resource Key</v>
      </c>
      <c r="B9" s="15" t="str">
        <f aca="false">Data!$B7</f>
        <v>ARK Alliance</v>
      </c>
      <c r="C9" s="40" t="str">
        <f aca="false">IF(Data!$S7="","",Data!$S7)</f>
        <v/>
      </c>
      <c r="D9" s="28" t="str">
        <f aca="false">IF(AND(ISNUMBER(C9),C9&gt;0),LOG10(C9),"")</f>
        <v/>
      </c>
      <c r="E9" s="32" t="str">
        <f aca="false">IF(Data!$T7&lt;&gt;"","Yes","No")</f>
        <v>No</v>
      </c>
      <c r="F9" s="32" t="str">
        <f aca="false">IF(OR(AND(ISNUMBER(C9),C9&gt;0),E9="Yes"),"Yes","No")</f>
        <v>No</v>
      </c>
      <c r="G9" s="29" t="n">
        <f aca="false">Scoring!S7</f>
        <v>75.6410256410256</v>
      </c>
      <c r="I9" s="17" t="s">
        <v>350</v>
      </c>
      <c r="J9" s="41" t="n">
        <f aca="false">IFERROR(AVERAGEIFS(G4:G115,F4:F115,"Yes"),"n/a")</f>
        <v>82.4223172139798</v>
      </c>
    </row>
    <row r="10" customFormat="false" ht="15" hidden="false" customHeight="true" outlineLevel="0" collapsed="false">
      <c r="A10" s="15" t="str">
        <f aca="false">Data!$A8</f>
        <v>Archivematica</v>
      </c>
      <c r="B10" s="15" t="str">
        <f aca="false">Data!$B8</f>
        <v>Artefactual</v>
      </c>
      <c r="C10" s="40" t="str">
        <f aca="false">IF(Data!$S8="","",Data!$S8)</f>
        <v/>
      </c>
      <c r="D10" s="28" t="str">
        <f aca="false">IF(AND(ISNUMBER(C10),C10&gt;0),LOG10(C10),"")</f>
        <v/>
      </c>
      <c r="E10" s="32" t="str">
        <f aca="false">IF(Data!$T8&lt;&gt;"","Yes","No")</f>
        <v>No</v>
      </c>
      <c r="F10" s="32" t="str">
        <f aca="false">IF(OR(AND(ISNUMBER(C10),C10&gt;0),E10="Yes"),"Yes","No")</f>
        <v>No</v>
      </c>
      <c r="G10" s="29" t="str">
        <f aca="false">Scoring!S8</f>
        <v>NA</v>
      </c>
      <c r="I10" s="17" t="s">
        <v>351</v>
      </c>
      <c r="J10" s="41" t="n">
        <f aca="false">IFERROR(AVERAGEIFS(G4:G115,F4:F115,"No"),"n/a")</f>
        <v>69.5390458905453</v>
      </c>
    </row>
    <row r="11" customFormat="false" ht="15" hidden="false" customHeight="true" outlineLevel="0" collapsed="false">
      <c r="A11" s="15" t="str">
        <f aca="false">Data!$A9</f>
        <v>ArchivesSpace</v>
      </c>
      <c r="B11" s="15" t="str">
        <f aca="false">Data!$B9</f>
        <v>ArchivesSpace</v>
      </c>
      <c r="C11" s="40" t="n">
        <f aca="false">IF(Data!$S9="","",Data!$S9)</f>
        <v>500</v>
      </c>
      <c r="D11" s="28" t="n">
        <f aca="false">IF(AND(ISNUMBER(C11),C11&gt;0),LOG10(C11),"")</f>
        <v>2.69897000433602</v>
      </c>
      <c r="E11" s="32" t="str">
        <f aca="false">IF(Data!$T9&lt;&gt;"","Yes","No")</f>
        <v>Yes</v>
      </c>
      <c r="F11" s="32" t="str">
        <f aca="false">IF(OR(AND(ISNUMBER(C11),C11&gt;0),E11="Yes"),"Yes","No")</f>
        <v>Yes</v>
      </c>
      <c r="G11" s="29" t="n">
        <f aca="false">Scoring!S9</f>
        <v>100</v>
      </c>
      <c r="I11" s="17" t="s">
        <v>352</v>
      </c>
      <c r="J11" s="41" t="n">
        <f aca="false">COUNTIFS(F4:F115,"Yes",G4:G115,"&gt;=0")</f>
        <v>43</v>
      </c>
    </row>
    <row r="12" customFormat="false" ht="15" hidden="false" customHeight="true" outlineLevel="0" collapsed="false">
      <c r="A12" s="15" t="str">
        <f aca="false">Data!$A10</f>
        <v>ARGOS</v>
      </c>
      <c r="B12" s="15" t="str">
        <f aca="false">Data!$B10</f>
        <v>OpenAIRE</v>
      </c>
      <c r="C12" s="40" t="n">
        <f aca="false">IF(Data!$S10="","",Data!$S10)</f>
        <v>52</v>
      </c>
      <c r="D12" s="28" t="n">
        <f aca="false">IF(AND(ISNUMBER(C12),C12&gt;0),LOG10(C12),"")</f>
        <v>1.7160033436348</v>
      </c>
      <c r="E12" s="32" t="str">
        <f aca="false">IF(Data!$T10&lt;&gt;"","Yes","No")</f>
        <v>Yes</v>
      </c>
      <c r="F12" s="32" t="str">
        <f aca="false">IF(OR(AND(ISNUMBER(C12),C12&gt;0),E12="Yes"),"Yes","No")</f>
        <v>Yes</v>
      </c>
      <c r="G12" s="29" t="n">
        <f aca="false">Scoring!S10</f>
        <v>100</v>
      </c>
      <c r="I12" s="17" t="s">
        <v>353</v>
      </c>
      <c r="J12" s="41" t="n">
        <f aca="false">COUNTIFS(F4:F115,"No",G4:G115,"&gt;=0")</f>
        <v>44</v>
      </c>
    </row>
    <row r="13" customFormat="false" ht="15" hidden="false" customHeight="true" outlineLevel="0" collapsed="false">
      <c r="A13" s="15" t="str">
        <f aca="false">Data!$A11</f>
        <v>arXiv</v>
      </c>
      <c r="B13" s="15" t="str">
        <f aca="false">Data!$B11</f>
        <v>Cornell University</v>
      </c>
      <c r="C13" s="40" t="n">
        <f aca="false">IF(Data!$S11="","",Data!$S11)</f>
        <v>290</v>
      </c>
      <c r="D13" s="28" t="n">
        <f aca="false">IF(AND(ISNUMBER(C13),C13&gt;0),LOG10(C13),"")</f>
        <v>2.46239799789896</v>
      </c>
      <c r="E13" s="32" t="str">
        <f aca="false">IF(Data!$T11&lt;&gt;"","Yes","No")</f>
        <v>No</v>
      </c>
      <c r="F13" s="32" t="str">
        <f aca="false">IF(OR(AND(ISNUMBER(C13),C13&gt;0),E13="Yes"),"Yes","No")</f>
        <v>Yes</v>
      </c>
      <c r="G13" s="29" t="n">
        <f aca="false">Scoring!S11</f>
        <v>65.75</v>
      </c>
    </row>
    <row r="14" customFormat="false" ht="15" hidden="false" customHeight="true" outlineLevel="0" collapsed="false">
      <c r="A14" s="15" t="str">
        <f aca="false">Data!$A12</f>
        <v>AtoM</v>
      </c>
      <c r="B14" s="15" t="str">
        <f aca="false">Data!$B12</f>
        <v>Artefactual</v>
      </c>
      <c r="C14" s="40" t="str">
        <f aca="false">IF(Data!$S12="","",Data!$S12)</f>
        <v/>
      </c>
      <c r="D14" s="28" t="str">
        <f aca="false">IF(AND(ISNUMBER(C14),C14&gt;0),LOG10(C14),"")</f>
        <v/>
      </c>
      <c r="E14" s="32" t="str">
        <f aca="false">IF(Data!$T12&lt;&gt;"","Yes","No")</f>
        <v>No</v>
      </c>
      <c r="F14" s="32" t="str">
        <f aca="false">IF(OR(AND(ISNUMBER(C14),C14&gt;0),E14="Yes"),"Yes","No")</f>
        <v>No</v>
      </c>
      <c r="G14" s="29" t="str">
        <f aca="false">Scoring!S12</f>
        <v>NA</v>
      </c>
      <c r="I14" s="42" t="s">
        <v>354</v>
      </c>
      <c r="J14" s="42"/>
    </row>
    <row r="15" customFormat="false" ht="15" hidden="false" customHeight="true" outlineLevel="0" collapsed="false">
      <c r="A15" s="15" t="str">
        <f aca="false">Data!$A13</f>
        <v>Avalon Media System</v>
      </c>
      <c r="B15" s="15" t="str">
        <f aca="false">Data!$B13</f>
        <v>Indiana University Libraries</v>
      </c>
      <c r="C15" s="40" t="str">
        <f aca="false">IF(Data!$S13="","",Data!$S13)</f>
        <v/>
      </c>
      <c r="D15" s="28" t="str">
        <f aca="false">IF(AND(ISNUMBER(C15),C15&gt;0),LOG10(C15),"")</f>
        <v/>
      </c>
      <c r="E15" s="32" t="str">
        <f aca="false">IF(Data!$T13&lt;&gt;"","Yes","No")</f>
        <v>No</v>
      </c>
      <c r="F15" s="32" t="str">
        <f aca="false">IF(OR(AND(ISNUMBER(C15),C15&gt;0),E15="Yes"),"Yes","No")</f>
        <v>No</v>
      </c>
      <c r="G15" s="29" t="n">
        <f aca="false">Scoring!S13</f>
        <v>85.75</v>
      </c>
      <c r="I15" s="42"/>
      <c r="J15" s="42"/>
    </row>
    <row r="16" customFormat="false" ht="15" hidden="false" customHeight="true" outlineLevel="0" collapsed="false">
      <c r="A16" s="15" t="str">
        <f aca="false">Data!$A14</f>
        <v>Biodiversity Heritage Library</v>
      </c>
      <c r="B16" s="15" t="str">
        <f aca="false">Data!$B14</f>
        <v>BHL Consortium</v>
      </c>
      <c r="C16" s="40" t="n">
        <f aca="false">IF(Data!$S14="","",Data!$S14)</f>
        <v>38</v>
      </c>
      <c r="D16" s="28" t="n">
        <f aca="false">IF(AND(ISNUMBER(C16),C16&gt;0),LOG10(C16),"")</f>
        <v>1.57978359661681</v>
      </c>
      <c r="E16" s="32" t="str">
        <f aca="false">IF(Data!$T14&lt;&gt;"","Yes","No")</f>
        <v>Yes</v>
      </c>
      <c r="F16" s="32" t="str">
        <f aca="false">IF(OR(AND(ISNUMBER(C16),C16&gt;0),E16="Yes"),"Yes","No")</f>
        <v>Yes</v>
      </c>
      <c r="G16" s="29" t="n">
        <f aca="false">Scoring!S14</f>
        <v>76.25</v>
      </c>
      <c r="I16" s="42"/>
      <c r="J16" s="42"/>
    </row>
    <row r="17" customFormat="false" ht="15" hidden="false" customHeight="true" outlineLevel="0" collapsed="false">
      <c r="A17" s="15" t="str">
        <f aca="false">Data!$A15</f>
        <v>bioRxiv</v>
      </c>
      <c r="B17" s="15" t="str">
        <f aca="false">Data!$B15</f>
        <v>Cold Spring Harbor Laboratory</v>
      </c>
      <c r="C17" s="40" t="str">
        <f aca="false">IF(Data!$S15="","",Data!$S15)</f>
        <v/>
      </c>
      <c r="D17" s="28" t="str">
        <f aca="false">IF(AND(ISNUMBER(C17),C17&gt;0),LOG10(C17),"")</f>
        <v/>
      </c>
      <c r="E17" s="32" t="str">
        <f aca="false">IF(Data!$T15&lt;&gt;"","Yes","No")</f>
        <v>No</v>
      </c>
      <c r="F17" s="32" t="str">
        <f aca="false">IF(OR(AND(ISNUMBER(C17),C17&gt;0),E17="Yes"),"Yes","No")</f>
        <v>No</v>
      </c>
      <c r="G17" s="29" t="str">
        <f aca="false">Scoring!S15</f>
        <v>NA</v>
      </c>
      <c r="I17" s="42"/>
      <c r="J17" s="42"/>
    </row>
    <row r="18" customFormat="false" ht="15" hidden="false" customHeight="true" outlineLevel="0" collapsed="false">
      <c r="A18" s="15" t="str">
        <f aca="false">Data!$A16</f>
        <v>BitCurator Environment</v>
      </c>
      <c r="B18" s="15" t="str">
        <f aca="false">Data!$B16</f>
        <v>BitCurator Consortium</v>
      </c>
      <c r="C18" s="40" t="n">
        <f aca="false">IF(Data!$S16="","",Data!$S16)</f>
        <v>30</v>
      </c>
      <c r="D18" s="28" t="n">
        <f aca="false">IF(AND(ISNUMBER(C18),C18&gt;0),LOG10(C18),"")</f>
        <v>1.47712125471966</v>
      </c>
      <c r="E18" s="32" t="str">
        <f aca="false">IF(Data!$T16&lt;&gt;"","Yes","No")</f>
        <v>Yes</v>
      </c>
      <c r="F18" s="32" t="str">
        <f aca="false">IF(OR(AND(ISNUMBER(C18),C18&gt;0),E18="Yes"),"Yes","No")</f>
        <v>Yes</v>
      </c>
      <c r="G18" s="29" t="n">
        <f aca="false">Scoring!S16</f>
        <v>88.25</v>
      </c>
    </row>
    <row r="19" customFormat="false" ht="15" hidden="false" customHeight="true" outlineLevel="0" collapsed="false">
      <c r="A19" s="15" t="str">
        <f aca="false">Data!$A17</f>
        <v>Blacklight</v>
      </c>
      <c r="B19" s="15" t="str">
        <f aca="false">Data!$B17</f>
        <v>Blacklight</v>
      </c>
      <c r="C19" s="40" t="str">
        <f aca="false">IF(Data!$S17="","",Data!$S17)</f>
        <v/>
      </c>
      <c r="D19" s="28" t="str">
        <f aca="false">IF(AND(ISNUMBER(C19),C19&gt;0),LOG10(C19),"")</f>
        <v/>
      </c>
      <c r="E19" s="32" t="str">
        <f aca="false">IF(Data!$T17&lt;&gt;"","Yes","No")</f>
        <v>No</v>
      </c>
      <c r="F19" s="32" t="str">
        <f aca="false">IF(OR(AND(ISNUMBER(C19),C19&gt;0),E19="Yes"),"Yes","No")</f>
        <v>No</v>
      </c>
      <c r="G19" s="29" t="n">
        <f aca="false">Scoring!S17</f>
        <v>85.05</v>
      </c>
    </row>
    <row r="20" customFormat="false" ht="15" hidden="false" customHeight="true" outlineLevel="0" collapsed="false">
      <c r="A20" s="15" t="str">
        <f aca="false">Data!$A18</f>
        <v>BrCRIS</v>
      </c>
      <c r="B20" s="15" t="str">
        <f aca="false">Data!$B18</f>
        <v>IBICT</v>
      </c>
      <c r="C20" s="40" t="str">
        <f aca="false">IF(Data!$S18="","",Data!$S18)</f>
        <v/>
      </c>
      <c r="D20" s="28" t="str">
        <f aca="false">IF(AND(ISNUMBER(C20),C20&gt;0),LOG10(C20),"")</f>
        <v/>
      </c>
      <c r="E20" s="32" t="str">
        <f aca="false">IF(Data!$T18&lt;&gt;"","Yes","No")</f>
        <v>No</v>
      </c>
      <c r="F20" s="32" t="str">
        <f aca="false">IF(OR(AND(ISNUMBER(C20),C20&gt;0),E20="Yes"),"Yes","No")</f>
        <v>No</v>
      </c>
      <c r="G20" s="29" t="str">
        <f aca="false">Scoring!S18</f>
        <v>NA</v>
      </c>
    </row>
    <row r="21" customFormat="false" ht="15" hidden="false" customHeight="true" outlineLevel="0" collapsed="false">
      <c r="A21" s="15" t="str">
        <f aca="false">Data!$A19</f>
        <v>Browsertrix</v>
      </c>
      <c r="B21" s="15" t="str">
        <f aca="false">Data!$B19</f>
        <v>Webrecorder</v>
      </c>
      <c r="C21" s="40" t="str">
        <f aca="false">IF(Data!$S19="","",Data!$S19)</f>
        <v/>
      </c>
      <c r="D21" s="28" t="str">
        <f aca="false">IF(AND(ISNUMBER(C21),C21&gt;0),LOG10(C21),"")</f>
        <v/>
      </c>
      <c r="E21" s="32" t="str">
        <f aca="false">IF(Data!$T19&lt;&gt;"","Yes","No")</f>
        <v>No</v>
      </c>
      <c r="F21" s="32" t="str">
        <f aca="false">IF(OR(AND(ISNUMBER(C21),C21&gt;0),E21="Yes"),"Yes","No")</f>
        <v>No</v>
      </c>
      <c r="G21" s="29" t="n">
        <f aca="false">Scoring!S19</f>
        <v>54.0441176470588</v>
      </c>
    </row>
    <row r="22" customFormat="false" ht="15" hidden="false" customHeight="true" outlineLevel="0" collapsed="false">
      <c r="A22" s="15" t="str">
        <f aca="false">Data!$A20</f>
        <v>CLOCKSS</v>
      </c>
      <c r="B22" s="15" t="str">
        <f aca="false">Data!$B20</f>
        <v>CLOCKSS</v>
      </c>
      <c r="C22" s="40" t="n">
        <f aca="false">IF(Data!$S20="","",Data!$S20)</f>
        <v>968</v>
      </c>
      <c r="D22" s="28" t="n">
        <f aca="false">IF(AND(ISNUMBER(C22),C22&gt;0),LOG10(C22),"")</f>
        <v>2.98587535730839</v>
      </c>
      <c r="E22" s="32" t="str">
        <f aca="false">IF(Data!$T20&lt;&gt;"","Yes","No")</f>
        <v>Yes</v>
      </c>
      <c r="F22" s="32" t="str">
        <f aca="false">IF(OR(AND(ISNUMBER(C22),C22&gt;0),E22="Yes"),"Yes","No")</f>
        <v>Yes</v>
      </c>
      <c r="G22" s="29" t="str">
        <f aca="false">Scoring!S20</f>
        <v>NA</v>
      </c>
    </row>
    <row r="23" customFormat="false" ht="15" hidden="false" customHeight="true" outlineLevel="0" collapsed="false">
      <c r="A23" s="15" t="str">
        <f aca="false">Data!$A21</f>
        <v>COAR International Repository Directory (IRD)</v>
      </c>
      <c r="B23" s="15" t="str">
        <f aca="false">Data!$B21</f>
        <v>COAR</v>
      </c>
      <c r="C23" s="40" t="str">
        <f aca="false">IF(Data!$S21="","",Data!$S21)</f>
        <v/>
      </c>
      <c r="D23" s="28" t="str">
        <f aca="false">IF(AND(ISNUMBER(C23),C23&gt;0),LOG10(C23),"")</f>
        <v/>
      </c>
      <c r="E23" s="32" t="str">
        <f aca="false">IF(Data!$T21&lt;&gt;"","Yes","No")</f>
        <v>No</v>
      </c>
      <c r="F23" s="32" t="str">
        <f aca="false">IF(OR(AND(ISNUMBER(C23),C23&gt;0),E23="Yes"),"Yes","No")</f>
        <v>No</v>
      </c>
      <c r="G23" s="29" t="n">
        <f aca="false">Scoring!S21</f>
        <v>56.05</v>
      </c>
    </row>
    <row r="24" customFormat="false" ht="15" hidden="false" customHeight="true" outlineLevel="0" collapsed="false">
      <c r="A24" s="15" t="str">
        <f aca="false">Data!$A22</f>
        <v>COAR Notify</v>
      </c>
      <c r="B24" s="15" t="str">
        <f aca="false">Data!$B22</f>
        <v>COAR</v>
      </c>
      <c r="C24" s="40" t="str">
        <f aca="false">IF(Data!$S22="","",Data!$S22)</f>
        <v/>
      </c>
      <c r="D24" s="28" t="str">
        <f aca="false">IF(AND(ISNUMBER(C24),C24&gt;0),LOG10(C24),"")</f>
        <v/>
      </c>
      <c r="E24" s="32" t="str">
        <f aca="false">IF(Data!$T22&lt;&gt;"","Yes","No")</f>
        <v>No</v>
      </c>
      <c r="F24" s="32" t="str">
        <f aca="false">IF(OR(AND(ISNUMBER(C24),C24&gt;0),E24="Yes"),"Yes","No")</f>
        <v>No</v>
      </c>
      <c r="G24" s="29" t="n">
        <f aca="false">Scoring!S22</f>
        <v>62.7</v>
      </c>
    </row>
    <row r="25" customFormat="false" ht="15" hidden="false" customHeight="true" outlineLevel="0" collapsed="false">
      <c r="A25" s="15" t="str">
        <f aca="false">Data!$A23</f>
        <v>CollectiveAccess</v>
      </c>
      <c r="B25" s="15" t="str">
        <f aca="false">Data!$B23</f>
        <v>Whirl-i-Gig</v>
      </c>
      <c r="C25" s="40" t="str">
        <f aca="false">IF(Data!$S23="","",Data!$S23)</f>
        <v/>
      </c>
      <c r="D25" s="28" t="str">
        <f aca="false">IF(AND(ISNUMBER(C25),C25&gt;0),LOG10(C25),"")</f>
        <v/>
      </c>
      <c r="E25" s="32" t="str">
        <f aca="false">IF(Data!$T23&lt;&gt;"","Yes","No")</f>
        <v>No</v>
      </c>
      <c r="F25" s="32" t="str">
        <f aca="false">IF(OR(AND(ISNUMBER(C25),C25&gt;0),E25="Yes"),"Yes","No")</f>
        <v>No</v>
      </c>
      <c r="G25" s="29" t="str">
        <f aca="false">Scoring!S23</f>
        <v>NA</v>
      </c>
    </row>
    <row r="26" customFormat="false" ht="15" hidden="false" customHeight="true" outlineLevel="0" collapsed="false">
      <c r="A26" s="15" t="str">
        <f aca="false">Data!$A24</f>
        <v>CORE</v>
      </c>
      <c r="B26" s="15" t="str">
        <f aca="false">Data!$B24</f>
        <v>The Open University</v>
      </c>
      <c r="C26" s="40" t="str">
        <f aca="false">IF(Data!$S24="","",Data!$S24)</f>
        <v/>
      </c>
      <c r="D26" s="28" t="str">
        <f aca="false">IF(AND(ISNUMBER(C26),C26&gt;0),LOG10(C26),"")</f>
        <v/>
      </c>
      <c r="E26" s="32" t="str">
        <f aca="false">IF(Data!$T24&lt;&gt;"","Yes","No")</f>
        <v>No</v>
      </c>
      <c r="F26" s="32" t="str">
        <f aca="false">IF(OR(AND(ISNUMBER(C26),C26&gt;0),E26="Yes"),"Yes","No")</f>
        <v>No</v>
      </c>
      <c r="G26" s="29" t="n">
        <f aca="false">Scoring!S24</f>
        <v>80.7692307692308</v>
      </c>
    </row>
    <row r="27" customFormat="false" ht="15" hidden="false" customHeight="true" outlineLevel="0" collapsed="false">
      <c r="A27" s="15" t="str">
        <f aca="false">Data!$A25</f>
        <v>COUNTER Code of Practice</v>
      </c>
      <c r="B27" s="15" t="str">
        <f aca="false">Data!$B25</f>
        <v>COUNTER Metrics</v>
      </c>
      <c r="C27" s="40" t="str">
        <f aca="false">IF(Data!$S25="","",Data!$S25)</f>
        <v/>
      </c>
      <c r="D27" s="28" t="str">
        <f aca="false">IF(AND(ISNUMBER(C27),C27&gt;0),LOG10(C27),"")</f>
        <v/>
      </c>
      <c r="E27" s="32" t="str">
        <f aca="false">IF(Data!$T25&lt;&gt;"","Yes","No")</f>
        <v>Yes</v>
      </c>
      <c r="F27" s="32" t="str">
        <f aca="false">IF(OR(AND(ISNUMBER(C27),C27&gt;0),E27="Yes"),"Yes","No")</f>
        <v>Yes</v>
      </c>
      <c r="G27" s="29" t="n">
        <f aca="false">Scoring!S25</f>
        <v>88.5</v>
      </c>
    </row>
    <row r="28" customFormat="false" ht="15" hidden="false" customHeight="true" outlineLevel="0" collapsed="false">
      <c r="A28" s="15" t="str">
        <f aca="false">Data!$A26</f>
        <v>Creative Commons Licenses</v>
      </c>
      <c r="B28" s="15" t="str">
        <f aca="false">Data!$B26</f>
        <v>Creative Commons</v>
      </c>
      <c r="C28" s="40" t="n">
        <f aca="false">IF(Data!$S26="","",Data!$S26)</f>
        <v>0</v>
      </c>
      <c r="D28" s="28" t="str">
        <f aca="false">IF(AND(ISNUMBER(C28),C28&gt;0),LOG10(C28),"")</f>
        <v/>
      </c>
      <c r="E28" s="32" t="str">
        <f aca="false">IF(Data!$T26&lt;&gt;"","Yes","No")</f>
        <v>No</v>
      </c>
      <c r="F28" s="32" t="str">
        <f aca="false">IF(OR(AND(ISNUMBER(C28),C28&gt;0),E28="Yes"),"Yes","No")</f>
        <v>No</v>
      </c>
      <c r="G28" s="29" t="n">
        <f aca="false">Scoring!S26</f>
        <v>67.5</v>
      </c>
    </row>
    <row r="29" customFormat="false" ht="15" hidden="false" customHeight="true" outlineLevel="0" collapsed="false">
      <c r="A29" s="15" t="str">
        <f aca="false">Data!$A27</f>
        <v>Crossref Metadata Retrieval</v>
      </c>
      <c r="B29" s="15" t="str">
        <f aca="false">Data!$B27</f>
        <v>Crossref</v>
      </c>
      <c r="C29" s="40" t="n">
        <f aca="false">IF(Data!$S27="","",Data!$S27)</f>
        <v>20000</v>
      </c>
      <c r="D29" s="28" t="n">
        <f aca="false">IF(AND(ISNUMBER(C29),C29&gt;0),LOG10(C29),"")</f>
        <v>4.30102999566398</v>
      </c>
      <c r="E29" s="32" t="str">
        <f aca="false">IF(Data!$T27&lt;&gt;"","Yes","No")</f>
        <v>No</v>
      </c>
      <c r="F29" s="32" t="str">
        <f aca="false">IF(OR(AND(ISNUMBER(C29),C29&gt;0),E29="Yes"),"Yes","No")</f>
        <v>Yes</v>
      </c>
      <c r="G29" s="29" t="n">
        <f aca="false">Scoring!S27</f>
        <v>82.75</v>
      </c>
    </row>
    <row r="30" customFormat="false" ht="15" hidden="false" customHeight="true" outlineLevel="0" collapsed="false">
      <c r="A30" s="15" t="str">
        <f aca="false">Data!$A28</f>
        <v>D4Science Infrastructure</v>
      </c>
      <c r="B30" s="15" t="str">
        <f aca="false">Data!$B28</f>
        <v>National Research Council of Italy</v>
      </c>
      <c r="C30" s="40" t="str">
        <f aca="false">IF(Data!$S28="","",Data!$S28)</f>
        <v/>
      </c>
      <c r="D30" s="28" t="str">
        <f aca="false">IF(AND(ISNUMBER(C30),C30&gt;0),LOG10(C30),"")</f>
        <v/>
      </c>
      <c r="E30" s="32" t="str">
        <f aca="false">IF(Data!$T28&lt;&gt;"","Yes","No")</f>
        <v>No</v>
      </c>
      <c r="F30" s="32" t="str">
        <f aca="false">IF(OR(AND(ISNUMBER(C30),C30&gt;0),E30="Yes"),"Yes","No")</f>
        <v>No</v>
      </c>
      <c r="G30" s="29" t="str">
        <f aca="false">Scoring!S28</f>
        <v>NA</v>
      </c>
    </row>
    <row r="31" customFormat="false" ht="15" hidden="false" customHeight="true" outlineLevel="0" collapsed="false">
      <c r="A31" s="15" t="str">
        <f aca="false">Data!$A29</f>
        <v>DART (Digital Archivist's Resource Tool)</v>
      </c>
      <c r="B31" s="15" t="str">
        <f aca="false">Data!$B29</f>
        <v>Academic Preservation Trust (APTrust)</v>
      </c>
      <c r="C31" s="40" t="str">
        <f aca="false">IF(Data!$S29="","",Data!$S29)</f>
        <v/>
      </c>
      <c r="D31" s="28" t="str">
        <f aca="false">IF(AND(ISNUMBER(C31),C31&gt;0),LOG10(C31),"")</f>
        <v/>
      </c>
      <c r="E31" s="32" t="str">
        <f aca="false">IF(Data!$T29&lt;&gt;"","Yes","No")</f>
        <v>No</v>
      </c>
      <c r="F31" s="32" t="str">
        <f aca="false">IF(OR(AND(ISNUMBER(C31),C31&gt;0),E31="Yes"),"Yes","No")</f>
        <v>No</v>
      </c>
      <c r="G31" s="29" t="n">
        <f aca="false">Scoring!S29</f>
        <v>79.4230769230769</v>
      </c>
    </row>
    <row r="32" customFormat="false" ht="15" hidden="false" customHeight="true" outlineLevel="0" collapsed="false">
      <c r="A32" s="15" t="str">
        <f aca="false">Data!$A30</f>
        <v>Database Information System</v>
      </c>
      <c r="B32" s="15" t="str">
        <f aca="false">Data!$B30</f>
        <v>University Library of Regensburg</v>
      </c>
      <c r="C32" s="40" t="str">
        <f aca="false">IF(Data!$S30="","",Data!$S30)</f>
        <v/>
      </c>
      <c r="D32" s="28" t="str">
        <f aca="false">IF(AND(ISNUMBER(C32),C32&gt;0),LOG10(C32),"")</f>
        <v/>
      </c>
      <c r="E32" s="32" t="str">
        <f aca="false">IF(Data!$T30&lt;&gt;"","Yes","No")</f>
        <v>No</v>
      </c>
      <c r="F32" s="32" t="str">
        <f aca="false">IF(OR(AND(ISNUMBER(C32),C32&gt;0),E32="Yes"),"Yes","No")</f>
        <v>No</v>
      </c>
      <c r="G32" s="29" t="n">
        <f aca="false">Scoring!S30</f>
        <v>57.0454545454546</v>
      </c>
    </row>
    <row r="33" customFormat="false" ht="15" hidden="false" customHeight="true" outlineLevel="0" collapsed="false">
      <c r="A33" s="15" t="str">
        <f aca="false">Data!$A31</f>
        <v>Data Citation Corpus</v>
      </c>
      <c r="B33" s="15" t="str">
        <f aca="false">Data!$B31</f>
        <v>Make Data Count</v>
      </c>
      <c r="C33" s="40" t="str">
        <f aca="false">IF(Data!$S31="","",Data!$S31)</f>
        <v/>
      </c>
      <c r="D33" s="28" t="str">
        <f aca="false">IF(AND(ISNUMBER(C33),C33&gt;0),LOG10(C33),"")</f>
        <v/>
      </c>
      <c r="E33" s="32" t="str">
        <f aca="false">IF(Data!$T31&lt;&gt;"","Yes","No")</f>
        <v>No</v>
      </c>
      <c r="F33" s="32" t="str">
        <f aca="false">IF(OR(AND(ISNUMBER(C33),C33&gt;0),E33="Yes"),"Yes","No")</f>
        <v>No</v>
      </c>
      <c r="G33" s="29" t="n">
        <f aca="false">Scoring!S31</f>
        <v>48.5</v>
      </c>
    </row>
    <row r="34" customFormat="false" ht="15" hidden="false" customHeight="true" outlineLevel="0" collapsed="false">
      <c r="A34" s="15" t="str">
        <f aca="false">Data!$A32</f>
        <v>DataCite</v>
      </c>
      <c r="B34" s="15" t="str">
        <f aca="false">Data!$B32</f>
        <v>DataCite</v>
      </c>
      <c r="C34" s="40" t="n">
        <f aca="false">IF(Data!$S32="","",Data!$S32)</f>
        <v>1389</v>
      </c>
      <c r="D34" s="28" t="n">
        <f aca="false">IF(AND(ISNUMBER(C34),C34&gt;0),LOG10(C34),"")</f>
        <v>3.14270224573762</v>
      </c>
      <c r="E34" s="32" t="str">
        <f aca="false">IF(Data!$T32&lt;&gt;"","Yes","No")</f>
        <v>No</v>
      </c>
      <c r="F34" s="32" t="str">
        <f aca="false">IF(OR(AND(ISNUMBER(C34),C34&gt;0),E34="Yes"),"Yes","No")</f>
        <v>Yes</v>
      </c>
      <c r="G34" s="29" t="n">
        <f aca="false">Scoring!S32</f>
        <v>68.5</v>
      </c>
    </row>
    <row r="35" customFormat="false" ht="15" hidden="false" customHeight="true" outlineLevel="0" collapsed="false">
      <c r="A35" s="15" t="str">
        <f aca="false">Data!$A33</f>
        <v>Data Stewardship Wizard</v>
      </c>
      <c r="B35" s="15" t="str">
        <f aca="false">Data!$B33</f>
        <v>DSW Team</v>
      </c>
      <c r="C35" s="40" t="str">
        <f aca="false">IF(Data!$S33="","",Data!$S33)</f>
        <v/>
      </c>
      <c r="D35" s="28" t="str">
        <f aca="false">IF(AND(ISNUMBER(C35),C35&gt;0),LOG10(C35),"")</f>
        <v/>
      </c>
      <c r="E35" s="32" t="str">
        <f aca="false">IF(Data!$T33&lt;&gt;"","Yes","No")</f>
        <v>No</v>
      </c>
      <c r="F35" s="32" t="str">
        <f aca="false">IF(OR(AND(ISNUMBER(C35),C35&gt;0),E35="Yes"),"Yes","No")</f>
        <v>No</v>
      </c>
      <c r="G35" s="29" t="n">
        <f aca="false">Scoring!S33</f>
        <v>87</v>
      </c>
    </row>
    <row r="36" customFormat="false" ht="15" hidden="false" customHeight="true" outlineLevel="0" collapsed="false">
      <c r="A36" s="15" t="str">
        <f aca="false">Data!$A34</f>
        <v>Dataverse</v>
      </c>
      <c r="B36" s="15" t="str">
        <f aca="false">Data!$B34</f>
        <v>Harvard University Institute for Quantitative Social Science (IQSS)</v>
      </c>
      <c r="C36" s="40" t="n">
        <f aca="false">IF(Data!$S34="","",Data!$S34)</f>
        <v>0</v>
      </c>
      <c r="D36" s="28" t="str">
        <f aca="false">IF(AND(ISNUMBER(C36),C36&gt;0),LOG10(C36),"")</f>
        <v/>
      </c>
      <c r="E36" s="32" t="str">
        <f aca="false">IF(Data!$T34&lt;&gt;"","Yes","No")</f>
        <v>No</v>
      </c>
      <c r="F36" s="32" t="str">
        <f aca="false">IF(OR(AND(ISNUMBER(C36),C36&gt;0),E36="Yes"),"Yes","No")</f>
        <v>No</v>
      </c>
      <c r="G36" s="29" t="n">
        <f aca="false">Scoring!S34</f>
        <v>64.25</v>
      </c>
    </row>
    <row r="37" customFormat="false" ht="15" hidden="false" customHeight="true" outlineLevel="0" collapsed="false">
      <c r="A37" s="15" t="str">
        <f aca="false">Data!$A35</f>
        <v>DLCM Backend</v>
      </c>
      <c r="B37" s="15" t="str">
        <f aca="false">Data!$B35</f>
        <v>DLCM Technology</v>
      </c>
      <c r="C37" s="40" t="n">
        <f aca="false">IF(Data!$S35="","",Data!$S35)</f>
        <v>5</v>
      </c>
      <c r="D37" s="28" t="n">
        <f aca="false">IF(AND(ISNUMBER(C37),C37&gt;0),LOG10(C37),"")</f>
        <v>0.698970004336019</v>
      </c>
      <c r="E37" s="32" t="str">
        <f aca="false">IF(Data!$T35&lt;&gt;"","Yes","No")</f>
        <v>Yes</v>
      </c>
      <c r="F37" s="32" t="str">
        <f aca="false">IF(OR(AND(ISNUMBER(C37),C37&gt;0),E37="Yes"),"Yes","No")</f>
        <v>Yes</v>
      </c>
      <c r="G37" s="29" t="n">
        <f aca="false">Scoring!S35</f>
        <v>78.2258064516129</v>
      </c>
    </row>
    <row r="38" customFormat="false" ht="15" hidden="false" customHeight="true" outlineLevel="0" collapsed="false">
      <c r="A38" s="15" t="str">
        <f aca="false">Data!$A36</f>
        <v>DLCM Portal</v>
      </c>
      <c r="B38" s="15" t="str">
        <f aca="false">Data!$B36</f>
        <v>DLCM Technology</v>
      </c>
      <c r="C38" s="40" t="str">
        <f aca="false">IF(Data!$S36="","",Data!$S36)</f>
        <v/>
      </c>
      <c r="D38" s="28" t="str">
        <f aca="false">IF(AND(ISNUMBER(C38),C38&gt;0),LOG10(C38),"")</f>
        <v/>
      </c>
      <c r="E38" s="32" t="str">
        <f aca="false">IF(Data!$T36&lt;&gt;"","Yes","No")</f>
        <v>Yes</v>
      </c>
      <c r="F38" s="32" t="str">
        <f aca="false">IF(OR(AND(ISNUMBER(C38),C38&gt;0),E38="Yes"),"Yes","No")</f>
        <v>Yes</v>
      </c>
      <c r="G38" s="29" t="n">
        <f aca="false">Scoring!S36</f>
        <v>78.2258064516129</v>
      </c>
    </row>
    <row r="39" customFormat="false" ht="15" hidden="false" customHeight="true" outlineLevel="0" collapsed="false">
      <c r="A39" s="15" t="str">
        <f aca="false">Data!$A37</f>
        <v>DMP Tool</v>
      </c>
      <c r="B39" s="15" t="str">
        <f aca="false">Data!$B37</f>
        <v>California Digital Library</v>
      </c>
      <c r="C39" s="40" t="str">
        <f aca="false">IF(Data!$S37="","",Data!$S37)</f>
        <v/>
      </c>
      <c r="D39" s="28" t="str">
        <f aca="false">IF(AND(ISNUMBER(C39),C39&gt;0),LOG10(C39),"")</f>
        <v/>
      </c>
      <c r="E39" s="32" t="str">
        <f aca="false">IF(Data!$T37&lt;&gt;"","Yes","No")</f>
        <v>Yes</v>
      </c>
      <c r="F39" s="32" t="str">
        <f aca="false">IF(OR(AND(ISNUMBER(C39),C39&gt;0),E39="Yes"),"Yes","No")</f>
        <v>Yes</v>
      </c>
      <c r="G39" s="29" t="str">
        <f aca="false">Scoring!S37</f>
        <v>NA</v>
      </c>
    </row>
    <row r="40" customFormat="false" ht="15" hidden="false" customHeight="true" outlineLevel="0" collapsed="false">
      <c r="A40" s="15" t="str">
        <f aca="false">Data!$A38</f>
        <v>DOAJ (Directory of Open Access Journals)</v>
      </c>
      <c r="B40" s="15" t="str">
        <f aca="false">Data!$B38</f>
        <v>DOAJ Foundation</v>
      </c>
      <c r="C40" s="40" t="n">
        <f aca="false">IF(Data!$S38="","",Data!$S38)</f>
        <v>600</v>
      </c>
      <c r="D40" s="28" t="n">
        <f aca="false">IF(AND(ISNUMBER(C40),C40&gt;0),LOG10(C40),"")</f>
        <v>2.77815125038364</v>
      </c>
      <c r="E40" s="32" t="str">
        <f aca="false">IF(Data!$T38&lt;&gt;"","Yes","No")</f>
        <v>No</v>
      </c>
      <c r="F40" s="32" t="str">
        <f aca="false">IF(OR(AND(ISNUMBER(C40),C40&gt;0),E40="Yes"),"Yes","No")</f>
        <v>Yes</v>
      </c>
      <c r="G40" s="29" t="n">
        <f aca="false">Scoring!S38</f>
        <v>96.5909090909091</v>
      </c>
    </row>
    <row r="41" customFormat="false" ht="15" hidden="false" customHeight="true" outlineLevel="0" collapsed="false">
      <c r="A41" s="15" t="str">
        <f aca="false">Data!$A39</f>
        <v>dokieli</v>
      </c>
      <c r="B41" s="15" t="str">
        <f aca="false">Data!$B39</f>
        <v>dokieli</v>
      </c>
      <c r="C41" s="40" t="str">
        <f aca="false">IF(Data!$S39="","",Data!$S39)</f>
        <v/>
      </c>
      <c r="D41" s="28" t="str">
        <f aca="false">IF(AND(ISNUMBER(C41),C41&gt;0),LOG10(C41),"")</f>
        <v/>
      </c>
      <c r="E41" s="32" t="str">
        <f aca="false">IF(Data!$T39&lt;&gt;"","Yes","No")</f>
        <v>No</v>
      </c>
      <c r="F41" s="32" t="str">
        <f aca="false">IF(OR(AND(ISNUMBER(C41),C41&gt;0),E41="Yes"),"Yes","No")</f>
        <v>No</v>
      </c>
      <c r="G41" s="29" t="n">
        <f aca="false">Scoring!S39</f>
        <v>67.8125</v>
      </c>
    </row>
    <row r="42" customFormat="false" ht="15" hidden="false" customHeight="true" outlineLevel="0" collapsed="false">
      <c r="A42" s="15" t="str">
        <f aca="false">Data!$A40</f>
        <v>Dryad</v>
      </c>
      <c r="B42" s="15" t="str">
        <f aca="false">Data!$B40</f>
        <v>Dryad</v>
      </c>
      <c r="C42" s="40" t="n">
        <f aca="false">IF(Data!$S40="","",Data!$S40)</f>
        <v>84</v>
      </c>
      <c r="D42" s="28" t="n">
        <f aca="false">IF(AND(ISNUMBER(C42),C42&gt;0),LOG10(C42),"")</f>
        <v>1.92427928606188</v>
      </c>
      <c r="E42" s="32" t="str">
        <f aca="false">IF(Data!$T40&lt;&gt;"","Yes","No")</f>
        <v>No</v>
      </c>
      <c r="F42" s="32" t="str">
        <f aca="false">IF(OR(AND(ISNUMBER(C42),C42&gt;0),E42="Yes"),"Yes","No")</f>
        <v>Yes</v>
      </c>
      <c r="G42" s="29" t="n">
        <f aca="false">Scoring!S40</f>
        <v>74.4318181818182</v>
      </c>
    </row>
    <row r="43" customFormat="false" ht="15" hidden="false" customHeight="true" outlineLevel="0" collapsed="false">
      <c r="A43" s="15" t="str">
        <f aca="false">Data!$A41</f>
        <v>DSpace</v>
      </c>
      <c r="B43" s="15" t="str">
        <f aca="false">Data!$B41</f>
        <v>Lyrasis</v>
      </c>
      <c r="C43" s="40" t="n">
        <f aca="false">IF(Data!$S41="","",Data!$S41)</f>
        <v>103</v>
      </c>
      <c r="D43" s="28" t="n">
        <f aca="false">IF(AND(ISNUMBER(C43),C43&gt;0),LOG10(C43),"")</f>
        <v>2.01283722470517</v>
      </c>
      <c r="E43" s="32" t="str">
        <f aca="false">IF(Data!$T41&lt;&gt;"","Yes","No")</f>
        <v>Yes</v>
      </c>
      <c r="F43" s="32" t="str">
        <f aca="false">IF(OR(AND(ISNUMBER(C43),C43&gt;0),E43="Yes"),"Yes","No")</f>
        <v>Yes</v>
      </c>
      <c r="G43" s="29" t="n">
        <f aca="false">Scoring!S41</f>
        <v>97.25</v>
      </c>
    </row>
    <row r="44" customFormat="false" ht="15" hidden="false" customHeight="true" outlineLevel="0" collapsed="false">
      <c r="A44" s="15" t="str">
        <f aca="false">Data!$A42</f>
        <v>DuraCloud</v>
      </c>
      <c r="B44" s="15" t="str">
        <f aca="false">Data!$B42</f>
        <v>Lyrasis</v>
      </c>
      <c r="C44" s="40" t="str">
        <f aca="false">IF(Data!$S42="","",Data!$S42)</f>
        <v/>
      </c>
      <c r="D44" s="28" t="str">
        <f aca="false">IF(AND(ISNUMBER(C44),C44&gt;0),LOG10(C44),"")</f>
        <v/>
      </c>
      <c r="E44" s="32" t="str">
        <f aca="false">IF(Data!$T42&lt;&gt;"","Yes","No")</f>
        <v>No</v>
      </c>
      <c r="F44" s="32" t="str">
        <f aca="false">IF(OR(AND(ISNUMBER(C44),C44&gt;0),E44="Yes"),"Yes","No")</f>
        <v>No</v>
      </c>
      <c r="G44" s="29" t="str">
        <f aca="false">Scoring!S42</f>
        <v>NA</v>
      </c>
    </row>
    <row r="45" customFormat="false" ht="15" hidden="false" customHeight="true" outlineLevel="0" collapsed="false">
      <c r="A45" s="15" t="str">
        <f aca="false">Data!$A43</f>
        <v>Episciences</v>
      </c>
      <c r="B45" s="15" t="str">
        <f aca="false">Data!$B43</f>
        <v>Center for Direct Scientific Communication (CCSD)</v>
      </c>
      <c r="C45" s="40" t="str">
        <f aca="false">IF(Data!$S43="","",Data!$S43)</f>
        <v/>
      </c>
      <c r="D45" s="28" t="str">
        <f aca="false">IF(AND(ISNUMBER(C45),C45&gt;0),LOG10(C45),"")</f>
        <v/>
      </c>
      <c r="E45" s="32" t="str">
        <f aca="false">IF(Data!$T43&lt;&gt;"","Yes","No")</f>
        <v>No</v>
      </c>
      <c r="F45" s="32" t="str">
        <f aca="false">IF(OR(AND(ISNUMBER(C45),C45&gt;0),E45="Yes"),"Yes","No")</f>
        <v>No</v>
      </c>
      <c r="G45" s="29" t="str">
        <f aca="false">Scoring!S43</f>
        <v>NA</v>
      </c>
    </row>
    <row r="46" customFormat="false" ht="15" hidden="false" customHeight="true" outlineLevel="0" collapsed="false">
      <c r="A46" s="15" t="str">
        <f aca="false">Data!$A44</f>
        <v>EPrints</v>
      </c>
      <c r="B46" s="15" t="str">
        <f aca="false">Data!$B44</f>
        <v>EPrints Services</v>
      </c>
      <c r="C46" s="40" t="str">
        <f aca="false">IF(Data!$S44="","",Data!$S44)</f>
        <v/>
      </c>
      <c r="D46" s="28" t="str">
        <f aca="false">IF(AND(ISNUMBER(C46),C46&gt;0),LOG10(C46),"")</f>
        <v/>
      </c>
      <c r="E46" s="32" t="str">
        <f aca="false">IF(Data!$T44&lt;&gt;"","Yes","No")</f>
        <v>No</v>
      </c>
      <c r="F46" s="32" t="str">
        <f aca="false">IF(OR(AND(ISNUMBER(C46),C46&gt;0),E46="Yes"),"Yes","No")</f>
        <v>No</v>
      </c>
      <c r="G46" s="29" t="str">
        <f aca="false">Scoring!S44</f>
        <v>NA</v>
      </c>
    </row>
    <row r="47" customFormat="false" ht="15" hidden="false" customHeight="true" outlineLevel="0" collapsed="false">
      <c r="A47" s="15" t="str">
        <f aca="false">Data!$A45</f>
        <v>Érudit</v>
      </c>
      <c r="B47" s="15" t="str">
        <f aca="false">Data!$B45</f>
        <v>Érudit</v>
      </c>
      <c r="C47" s="40" t="n">
        <f aca="false">IF(Data!$S45="","",Data!$S45)</f>
        <v>1200</v>
      </c>
      <c r="D47" s="28" t="n">
        <f aca="false">IF(AND(ISNUMBER(C47),C47&gt;0),LOG10(C47),"")</f>
        <v>3.07918124604762</v>
      </c>
      <c r="E47" s="32" t="str">
        <f aca="false">IF(Data!$T45&lt;&gt;"","Yes","No")</f>
        <v>No</v>
      </c>
      <c r="F47" s="32" t="str">
        <f aca="false">IF(OR(AND(ISNUMBER(C47),C47&gt;0),E47="Yes"),"Yes","No")</f>
        <v>Yes</v>
      </c>
      <c r="G47" s="29" t="n">
        <f aca="false">Scoring!S45</f>
        <v>76.9230769230769</v>
      </c>
    </row>
    <row r="48" customFormat="false" ht="15" hidden="false" customHeight="true" outlineLevel="0" collapsed="false">
      <c r="A48" s="15" t="str">
        <f aca="false">Data!$A46</f>
        <v>Europe PMC</v>
      </c>
      <c r="B48" s="15" t="str">
        <f aca="false">Data!$B46</f>
        <v>EMBL European Bioinformatics Institute (EMBL-EBI)</v>
      </c>
      <c r="C48" s="40" t="str">
        <f aca="false">IF(Data!$S46="","",Data!$S46)</f>
        <v/>
      </c>
      <c r="D48" s="28" t="str">
        <f aca="false">IF(AND(ISNUMBER(C48),C48&gt;0),LOG10(C48),"")</f>
        <v/>
      </c>
      <c r="E48" s="32" t="str">
        <f aca="false">IF(Data!$T46&lt;&gt;"","Yes","No")</f>
        <v>No</v>
      </c>
      <c r="F48" s="32" t="str">
        <f aca="false">IF(OR(AND(ISNUMBER(C48),C48&gt;0),E48="Yes"),"Yes","No")</f>
        <v>No</v>
      </c>
      <c r="G48" s="29" t="n">
        <f aca="false">Scoring!S46</f>
        <v>74</v>
      </c>
    </row>
    <row r="49" customFormat="false" ht="15" hidden="false" customHeight="true" outlineLevel="0" collapsed="false">
      <c r="A49" s="15" t="str">
        <f aca="false">Data!$A47</f>
        <v>FAIR Wizard</v>
      </c>
      <c r="B49" s="15" t="str">
        <f aca="false">Data!$B47</f>
        <v>Codevence Solution s.r.o.</v>
      </c>
      <c r="C49" s="40" t="str">
        <f aca="false">IF(Data!$S47="","",Data!$S47)</f>
        <v/>
      </c>
      <c r="D49" s="28" t="str">
        <f aca="false">IF(AND(ISNUMBER(C49),C49&gt;0),LOG10(C49),"")</f>
        <v/>
      </c>
      <c r="E49" s="32" t="str">
        <f aca="false">IF(Data!$T47&lt;&gt;"","Yes","No")</f>
        <v>No</v>
      </c>
      <c r="F49" s="32" t="str">
        <f aca="false">IF(OR(AND(ISNUMBER(C49),C49&gt;0),E49="Yes"),"Yes","No")</f>
        <v>No</v>
      </c>
      <c r="G49" s="29" t="n">
        <f aca="false">Scoring!S47</f>
        <v>61.9879518072289</v>
      </c>
    </row>
    <row r="50" customFormat="false" ht="15" hidden="false" customHeight="true" outlineLevel="0" collapsed="false">
      <c r="A50" s="15" t="str">
        <f aca="false">Data!$A48</f>
        <v>Fedora</v>
      </c>
      <c r="B50" s="15" t="str">
        <f aca="false">Data!$B48</f>
        <v>Lyrasis</v>
      </c>
      <c r="C50" s="40" t="n">
        <f aca="false">IF(Data!$S48="","",Data!$S48)</f>
        <v>46</v>
      </c>
      <c r="D50" s="28" t="n">
        <f aca="false">IF(AND(ISNUMBER(C50),C50&gt;0),LOG10(C50),"")</f>
        <v>1.66275783168157</v>
      </c>
      <c r="E50" s="32" t="str">
        <f aca="false">IF(Data!$T48&lt;&gt;"","Yes","No")</f>
        <v>Yes</v>
      </c>
      <c r="F50" s="32" t="str">
        <f aca="false">IF(OR(AND(ISNUMBER(C50),C50&gt;0),E50="Yes"),"Yes","No")</f>
        <v>Yes</v>
      </c>
      <c r="G50" s="29" t="n">
        <f aca="false">Scoring!S48</f>
        <v>94</v>
      </c>
    </row>
    <row r="51" customFormat="false" ht="15" hidden="false" customHeight="true" outlineLevel="0" collapsed="false">
      <c r="A51" s="15" t="str">
        <f aca="false">Data!$A49</f>
        <v>fido</v>
      </c>
      <c r="B51" s="15" t="str">
        <f aca="false">Data!$B49</f>
        <v>Open Preservation Foundation</v>
      </c>
      <c r="C51" s="40" t="n">
        <f aca="false">IF(Data!$S49="","",Data!$S49)</f>
        <v>32</v>
      </c>
      <c r="D51" s="28" t="n">
        <f aca="false">IF(AND(ISNUMBER(C51),C51&gt;0),LOG10(C51),"")</f>
        <v>1.50514997831991</v>
      </c>
      <c r="E51" s="32" t="str">
        <f aca="false">IF(Data!$T49&lt;&gt;"","Yes","No")</f>
        <v>Yes</v>
      </c>
      <c r="F51" s="32" t="str">
        <f aca="false">IF(OR(AND(ISNUMBER(C51),C51&gt;0),E51="Yes"),"Yes","No")</f>
        <v>Yes</v>
      </c>
      <c r="G51" s="29" t="n">
        <f aca="false">Scoring!S49</f>
        <v>74.95</v>
      </c>
    </row>
    <row r="52" customFormat="false" ht="15" hidden="false" customHeight="true" outlineLevel="0" collapsed="false">
      <c r="A52" s="15" t="str">
        <f aca="false">Data!$A50</f>
        <v>Fulcrum</v>
      </c>
      <c r="B52" s="15" t="str">
        <f aca="false">Data!$B50</f>
        <v>Michigan Publishing</v>
      </c>
      <c r="C52" s="40" t="n">
        <f aca="false">IF(Data!$S50="","",Data!$S50)</f>
        <v>1</v>
      </c>
      <c r="D52" s="28" t="n">
        <f aca="false">IF(AND(ISNUMBER(C52),C52&gt;0),LOG10(C52),"")</f>
        <v>0</v>
      </c>
      <c r="E52" s="32" t="str">
        <f aca="false">IF(Data!$T50&lt;&gt;"","Yes","No")</f>
        <v>No</v>
      </c>
      <c r="F52" s="32" t="str">
        <f aca="false">IF(OR(AND(ISNUMBER(C52),C52&gt;0),E52="Yes"),"Yes","No")</f>
        <v>Yes</v>
      </c>
      <c r="G52" s="29" t="n">
        <f aca="false">Scoring!S50</f>
        <v>56.25</v>
      </c>
    </row>
    <row r="53" customFormat="false" ht="15" hidden="false" customHeight="true" outlineLevel="0" collapsed="false">
      <c r="A53" s="15" t="str">
        <f aca="false">Data!$A51</f>
        <v>Galaxy</v>
      </c>
      <c r="B53" s="15" t="str">
        <f aca="false">Data!$B51</f>
        <v>The Galaxy community</v>
      </c>
      <c r="C53" s="40" t="str">
        <f aca="false">IF(Data!$S51="","",Data!$S51)</f>
        <v/>
      </c>
      <c r="D53" s="28" t="str">
        <f aca="false">IF(AND(ISNUMBER(C53),C53&gt;0),LOG10(C53),"")</f>
        <v/>
      </c>
      <c r="E53" s="32" t="str">
        <f aca="false">IF(Data!$T51&lt;&gt;"","Yes","No")</f>
        <v>No</v>
      </c>
      <c r="F53" s="32" t="str">
        <f aca="false">IF(OR(AND(ISNUMBER(C53),C53&gt;0),E53="Yes"),"Yes","No")</f>
        <v>No</v>
      </c>
      <c r="G53" s="29" t="n">
        <f aca="false">Scoring!S51</f>
        <v>100</v>
      </c>
    </row>
    <row r="54" customFormat="false" ht="15" hidden="false" customHeight="true" outlineLevel="0" collapsed="false">
      <c r="A54" s="15" t="str">
        <f aca="false">Data!$A52</f>
        <v>GeoServer</v>
      </c>
      <c r="B54" s="15" t="str">
        <f aca="false">Data!$B52</f>
        <v>Open Source Geospatial Foundation</v>
      </c>
      <c r="C54" s="40" t="str">
        <f aca="false">IF(Data!$S52="","",Data!$S52)</f>
        <v/>
      </c>
      <c r="D54" s="28" t="str">
        <f aca="false">IF(AND(ISNUMBER(C54),C54&gt;0),LOG10(C54),"")</f>
        <v/>
      </c>
      <c r="E54" s="32" t="str">
        <f aca="false">IF(Data!$T52&lt;&gt;"","Yes","No")</f>
        <v>Yes</v>
      </c>
      <c r="F54" s="32" t="str">
        <f aca="false">IF(OR(AND(ISNUMBER(C54),C54&gt;0),E54="Yes"),"Yes","No")</f>
        <v>Yes</v>
      </c>
      <c r="G54" s="29" t="n">
        <f aca="false">Scoring!S52</f>
        <v>79.5</v>
      </c>
    </row>
    <row r="55" customFormat="false" ht="15" hidden="false" customHeight="true" outlineLevel="0" collapsed="false">
      <c r="A55" s="15" t="str">
        <f aca="false">Data!$A53</f>
        <v>Hyku</v>
      </c>
      <c r="B55" s="15" t="str">
        <f aca="false">Data!$B53</f>
        <v>Samvera</v>
      </c>
      <c r="C55" s="40" t="n">
        <f aca="false">IF(Data!$S53="","",Data!$S53)</f>
        <v>31</v>
      </c>
      <c r="D55" s="28" t="n">
        <f aca="false">IF(AND(ISNUMBER(C55),C55&gt;0),LOG10(C55),"")</f>
        <v>1.49136169383427</v>
      </c>
      <c r="E55" s="32" t="str">
        <f aca="false">IF(Data!$T53&lt;&gt;"","Yes","No")</f>
        <v>No</v>
      </c>
      <c r="F55" s="32" t="str">
        <f aca="false">IF(OR(AND(ISNUMBER(C55),C55&gt;0),E55="Yes"),"Yes","No")</f>
        <v>Yes</v>
      </c>
      <c r="G55" s="29" t="n">
        <f aca="false">Scoring!S53</f>
        <v>94</v>
      </c>
    </row>
    <row r="56" customFormat="false" ht="15" hidden="false" customHeight="true" outlineLevel="0" collapsed="false">
      <c r="A56" s="15" t="str">
        <f aca="false">Data!$A54</f>
        <v>Hyrax</v>
      </c>
      <c r="B56" s="15" t="str">
        <f aca="false">Data!$B54</f>
        <v>Samvera</v>
      </c>
      <c r="C56" s="40" t="n">
        <f aca="false">IF(Data!$S54="","",Data!$S54)</f>
        <v>30</v>
      </c>
      <c r="D56" s="28" t="n">
        <f aca="false">IF(AND(ISNUMBER(C56),C56&gt;0),LOG10(C56),"")</f>
        <v>1.47712125471966</v>
      </c>
      <c r="E56" s="32" t="str">
        <f aca="false">IF(Data!$T54&lt;&gt;"","Yes","No")</f>
        <v>Yes</v>
      </c>
      <c r="F56" s="32" t="str">
        <f aca="false">IF(OR(AND(ISNUMBER(C56),C56&gt;0),E56="Yes"),"Yes","No")</f>
        <v>Yes</v>
      </c>
      <c r="G56" s="29" t="n">
        <f aca="false">Scoring!S54</f>
        <v>94</v>
      </c>
    </row>
    <row r="57" customFormat="false" ht="15" hidden="false" customHeight="true" outlineLevel="0" collapsed="false">
      <c r="A57" s="15" t="str">
        <f aca="false">Data!$A55</f>
        <v>IIIF</v>
      </c>
      <c r="B57" s="15" t="str">
        <f aca="false">Data!$B55</f>
        <v>IIIF Consortium</v>
      </c>
      <c r="C57" s="40" t="n">
        <f aca="false">IF(Data!$S55="","",Data!$S55)</f>
        <v>65</v>
      </c>
      <c r="D57" s="28" t="n">
        <f aca="false">IF(AND(ISNUMBER(C57),C57&gt;0),LOG10(C57),"")</f>
        <v>1.81291335664286</v>
      </c>
      <c r="E57" s="32" t="str">
        <f aca="false">IF(Data!$T55&lt;&gt;"","Yes","No")</f>
        <v>No</v>
      </c>
      <c r="F57" s="32" t="str">
        <f aca="false">IF(OR(AND(ISNUMBER(C57),C57&gt;0),E57="Yes"),"Yes","No")</f>
        <v>Yes</v>
      </c>
      <c r="G57" s="29" t="n">
        <f aca="false">Scoring!S55</f>
        <v>82.75</v>
      </c>
    </row>
    <row r="58" customFormat="false" ht="15" hidden="false" customHeight="true" outlineLevel="0" collapsed="false">
      <c r="A58" s="15" t="str">
        <f aca="false">Data!$A56</f>
        <v>ImpactU</v>
      </c>
      <c r="B58" s="15" t="str">
        <f aca="false">Data!$B56</f>
        <v>Universidad de Antioquia and other Colombian universities</v>
      </c>
      <c r="C58" s="40" t="str">
        <f aca="false">IF(Data!$S56="","",Data!$S56)</f>
        <v/>
      </c>
      <c r="D58" s="28" t="str">
        <f aca="false">IF(AND(ISNUMBER(C58),C58&gt;0),LOG10(C58),"")</f>
        <v/>
      </c>
      <c r="E58" s="32" t="str">
        <f aca="false">IF(Data!$T56&lt;&gt;"","Yes","No")</f>
        <v>No</v>
      </c>
      <c r="F58" s="32" t="str">
        <f aca="false">IF(OR(AND(ISNUMBER(C58),C58&gt;0),E58="Yes"),"Yes","No")</f>
        <v>No</v>
      </c>
      <c r="G58" s="29" t="str">
        <f aca="false">Scoring!S56</f>
        <v>NA</v>
      </c>
    </row>
    <row r="59" customFormat="false" ht="15" hidden="false" customHeight="true" outlineLevel="0" collapsed="false">
      <c r="A59" s="15" t="str">
        <f aca="false">Data!$A57</f>
        <v>International Generic Sample Number (IGSN)</v>
      </c>
      <c r="B59" s="15" t="str">
        <f aca="false">Data!$B57</f>
        <v>International Generic Sample Number Organization e.V.</v>
      </c>
      <c r="C59" s="40" t="n">
        <f aca="false">IF(Data!$S57="","",Data!$S57)</f>
        <v>18</v>
      </c>
      <c r="D59" s="28" t="n">
        <f aca="false">IF(AND(ISNUMBER(C59),C59&gt;0),LOG10(C59),"")</f>
        <v>1.25527250510331</v>
      </c>
      <c r="E59" s="32" t="str">
        <f aca="false">IF(Data!$T57&lt;&gt;"","Yes","No")</f>
        <v>Yes</v>
      </c>
      <c r="F59" s="32" t="str">
        <f aca="false">IF(OR(AND(ISNUMBER(C59),C59&gt;0),E59="Yes"),"Yes","No")</f>
        <v>Yes</v>
      </c>
      <c r="G59" s="29" t="str">
        <f aca="false">Scoring!S57</f>
        <v>NA</v>
      </c>
    </row>
    <row r="60" customFormat="false" ht="15" hidden="false" customHeight="true" outlineLevel="0" collapsed="false">
      <c r="A60" s="15" t="str">
        <f aca="false">Data!$A58</f>
        <v>InvenioRDM</v>
      </c>
      <c r="B60" s="15" t="str">
        <f aca="false">Data!$B58</f>
        <v>CERN</v>
      </c>
      <c r="C60" s="40" t="n">
        <f aca="false">IF(Data!$S58="","",Data!$S58)</f>
        <v>0</v>
      </c>
      <c r="D60" s="28" t="str">
        <f aca="false">IF(AND(ISNUMBER(C60),C60&gt;0),LOG10(C60),"")</f>
        <v/>
      </c>
      <c r="E60" s="32" t="str">
        <f aca="false">IF(Data!$T58&lt;&gt;"","Yes","No")</f>
        <v>No</v>
      </c>
      <c r="F60" s="32" t="str">
        <f aca="false">IF(OR(AND(ISNUMBER(C60),C60&gt;0),E60="Yes"),"Yes","No")</f>
        <v>No</v>
      </c>
      <c r="G60" s="29" t="n">
        <f aca="false">Scoring!S58</f>
        <v>71.75</v>
      </c>
    </row>
    <row r="61" customFormat="false" ht="15" hidden="false" customHeight="true" outlineLevel="0" collapsed="false">
      <c r="A61" s="15" t="str">
        <f aca="false">Data!$A59</f>
        <v>iRODS</v>
      </c>
      <c r="B61" s="15" t="str">
        <f aca="false">Data!$B59</f>
        <v>Renaissance Computing Institute (RENCI)</v>
      </c>
      <c r="C61" s="40" t="n">
        <f aca="false">IF(Data!$S59="","",Data!$S59)</f>
        <v>25</v>
      </c>
      <c r="D61" s="28" t="n">
        <f aca="false">IF(AND(ISNUMBER(C61),C61&gt;0),LOG10(C61),"")</f>
        <v>1.39794000867204</v>
      </c>
      <c r="E61" s="32" t="str">
        <f aca="false">IF(Data!$T59&lt;&gt;"","Yes","No")</f>
        <v>Yes</v>
      </c>
      <c r="F61" s="32" t="str">
        <f aca="false">IF(OR(AND(ISNUMBER(C61),C61&gt;0),E61="Yes"),"Yes","No")</f>
        <v>Yes</v>
      </c>
      <c r="G61" s="29" t="n">
        <f aca="false">Scoring!S59</f>
        <v>90</v>
      </c>
    </row>
    <row r="62" customFormat="false" ht="15" hidden="false" customHeight="true" outlineLevel="0" collapsed="false">
      <c r="A62" s="15" t="str">
        <f aca="false">Data!$A60</f>
        <v>Islandora</v>
      </c>
      <c r="B62" s="15" t="str">
        <f aca="false">Data!$B60</f>
        <v>Islandora Foundation</v>
      </c>
      <c r="C62" s="40" t="str">
        <f aca="false">IF(Data!$S60="","",Data!$S60)</f>
        <v/>
      </c>
      <c r="D62" s="28" t="str">
        <f aca="false">IF(AND(ISNUMBER(C62),C62&gt;0),LOG10(C62),"")</f>
        <v/>
      </c>
      <c r="E62" s="32" t="str">
        <f aca="false">IF(Data!$T60&lt;&gt;"","Yes","No")</f>
        <v>No</v>
      </c>
      <c r="F62" s="32" t="str">
        <f aca="false">IF(OR(AND(ISNUMBER(C62),C62&gt;0),E62="Yes"),"Yes","No")</f>
        <v>No</v>
      </c>
      <c r="G62" s="29" t="n">
        <f aca="false">Scoring!S60</f>
        <v>92.5</v>
      </c>
    </row>
    <row r="63" customFormat="false" ht="15" hidden="false" customHeight="true" outlineLevel="0" collapsed="false">
      <c r="A63" s="15" t="str">
        <f aca="false">Data!$A61</f>
        <v>Janeway</v>
      </c>
      <c r="B63" s="15" t="str">
        <f aca="false">Data!$B61</f>
        <v>Open Library of Humanities</v>
      </c>
      <c r="C63" s="40" t="n">
        <f aca="false">IF(Data!$S61="","",Data!$S61)</f>
        <v>40</v>
      </c>
      <c r="D63" s="28" t="n">
        <f aca="false">IF(AND(ISNUMBER(C63),C63&gt;0),LOG10(C63),"")</f>
        <v>1.60205999132796</v>
      </c>
      <c r="E63" s="32" t="str">
        <f aca="false">IF(Data!$T61&lt;&gt;"","Yes","No")</f>
        <v>No</v>
      </c>
      <c r="F63" s="32" t="str">
        <f aca="false">IF(OR(AND(ISNUMBER(C63),C63&gt;0),E63="Yes"),"Yes","No")</f>
        <v>Yes</v>
      </c>
      <c r="G63" s="29" t="n">
        <f aca="false">Scoring!S61</f>
        <v>62.6666666666667</v>
      </c>
    </row>
    <row r="64" customFormat="false" ht="15" hidden="false" customHeight="true" outlineLevel="0" collapsed="false">
      <c r="A64" s="15" t="str">
        <f aca="false">Data!$A62</f>
        <v>JHOVE</v>
      </c>
      <c r="B64" s="15" t="str">
        <f aca="false">Data!$B62</f>
        <v>Open Preservation Foundation</v>
      </c>
      <c r="C64" s="40" t="n">
        <f aca="false">IF(Data!$S62="","",Data!$S62)</f>
        <v>32</v>
      </c>
      <c r="D64" s="28" t="n">
        <f aca="false">IF(AND(ISNUMBER(C64),C64&gt;0),LOG10(C64),"")</f>
        <v>1.50514997831991</v>
      </c>
      <c r="E64" s="32" t="str">
        <f aca="false">IF(Data!$T62&lt;&gt;"","Yes","No")</f>
        <v>Yes</v>
      </c>
      <c r="F64" s="32" t="str">
        <f aca="false">IF(OR(AND(ISNUMBER(C64),C64&gt;0),E64="Yes"),"Yes","No")</f>
        <v>Yes</v>
      </c>
      <c r="G64" s="29" t="n">
        <f aca="false">Scoring!S62</f>
        <v>74.4512195121951</v>
      </c>
    </row>
    <row r="65" customFormat="false" ht="15" hidden="false" customHeight="true" outlineLevel="0" collapsed="false">
      <c r="A65" s="15" t="str">
        <f aca="false">Data!$A63</f>
        <v>LA Referencia</v>
      </c>
      <c r="B65" s="15" t="str">
        <f aca="false">Data!$B63</f>
        <v>LA Referencia</v>
      </c>
      <c r="C65" s="40" t="n">
        <f aca="false">IF(Data!$S63="","",Data!$S63)</f>
        <v>11</v>
      </c>
      <c r="D65" s="28" t="n">
        <f aca="false">IF(AND(ISNUMBER(C65),C65&gt;0),LOG10(C65),"")</f>
        <v>1.04139268515823</v>
      </c>
      <c r="E65" s="32" t="str">
        <f aca="false">IF(Data!$T63&lt;&gt;"","Yes","No")</f>
        <v>No</v>
      </c>
      <c r="F65" s="32" t="str">
        <f aca="false">IF(OR(AND(ISNUMBER(C65),C65&gt;0),E65="Yes"),"Yes","No")</f>
        <v>Yes</v>
      </c>
      <c r="G65" s="29" t="str">
        <f aca="false">Scoring!S63</f>
        <v>NA</v>
      </c>
    </row>
    <row r="66" customFormat="false" ht="15" hidden="false" customHeight="true" outlineLevel="0" collapsed="false">
      <c r="A66" s="15" t="str">
        <f aca="false">Data!$A64</f>
        <v>Manifold</v>
      </c>
      <c r="B66" s="15" t="str">
        <f aca="false">Data!$B64</f>
        <v>Manifold Digital Services</v>
      </c>
      <c r="C66" s="40" t="n">
        <f aca="false">IF(Data!$S64="","",Data!$S64)</f>
        <v>37</v>
      </c>
      <c r="D66" s="28" t="n">
        <f aca="false">IF(AND(ISNUMBER(C66),C66&gt;0),LOG10(C66),"")</f>
        <v>1.568201724067</v>
      </c>
      <c r="E66" s="32" t="str">
        <f aca="false">IF(Data!$T64&lt;&gt;"","Yes","No")</f>
        <v>No</v>
      </c>
      <c r="F66" s="32" t="str">
        <f aca="false">IF(OR(AND(ISNUMBER(C66),C66&gt;0),E66="Yes"),"Yes","No")</f>
        <v>Yes</v>
      </c>
      <c r="G66" s="29" t="str">
        <f aca="false">Scoring!S64</f>
        <v>NA</v>
      </c>
    </row>
    <row r="67" customFormat="false" ht="15" hidden="false" customHeight="true" outlineLevel="0" collapsed="false">
      <c r="A67" s="15" t="str">
        <f aca="false">Data!$A65</f>
        <v>medRxiv</v>
      </c>
      <c r="B67" s="15" t="str">
        <f aca="false">Data!$B65</f>
        <v>Cold Spring Harbor Laboratory</v>
      </c>
      <c r="C67" s="40" t="str">
        <f aca="false">IF(Data!$S65="","",Data!$S65)</f>
        <v/>
      </c>
      <c r="D67" s="28" t="str">
        <f aca="false">IF(AND(ISNUMBER(C67),C67&gt;0),LOG10(C67),"")</f>
        <v/>
      </c>
      <c r="E67" s="32" t="str">
        <f aca="false">IF(Data!$T65&lt;&gt;"","Yes","No")</f>
        <v>No</v>
      </c>
      <c r="F67" s="32" t="str">
        <f aca="false">IF(OR(AND(ISNUMBER(C67),C67&gt;0),E67="Yes"),"Yes","No")</f>
        <v>No</v>
      </c>
      <c r="G67" s="29" t="n">
        <f aca="false">Scoring!S65</f>
        <v>57.7710843373494</v>
      </c>
    </row>
    <row r="68" customFormat="false" ht="15" hidden="false" customHeight="true" outlineLevel="0" collapsed="false">
      <c r="A68" s="15" t="str">
        <f aca="false">Data!$A66</f>
        <v>Metadata Encoding and Transmission Standard (METS)</v>
      </c>
      <c r="B68" s="15" t="str">
        <f aca="false">Data!$B66</f>
        <v>METS Editorial Board</v>
      </c>
      <c r="C68" s="40" t="str">
        <f aca="false">IF(Data!$S66="","",Data!$S66)</f>
        <v/>
      </c>
      <c r="D68" s="28" t="str">
        <f aca="false">IF(AND(ISNUMBER(C68),C68&gt;0),LOG10(C68),"")</f>
        <v/>
      </c>
      <c r="E68" s="32" t="str">
        <f aca="false">IF(Data!$T66&lt;&gt;"","Yes","No")</f>
        <v>No</v>
      </c>
      <c r="F68" s="32" t="str">
        <f aca="false">IF(OR(AND(ISNUMBER(C68),C68&gt;0),E68="Yes"),"Yes","No")</f>
        <v>No</v>
      </c>
      <c r="G68" s="29" t="n">
        <f aca="false">Scoring!S66</f>
        <v>46.5</v>
      </c>
    </row>
    <row r="69" customFormat="false" ht="15" hidden="false" customHeight="true" outlineLevel="0" collapsed="false">
      <c r="A69" s="15" t="str">
        <f aca="false">Data!$A67</f>
        <v>Mirador</v>
      </c>
      <c r="B69" s="15" t="str">
        <f aca="false">Data!$B67</f>
        <v>Project Mirador</v>
      </c>
      <c r="C69" s="40" t="str">
        <f aca="false">IF(Data!$S67="","",Data!$S67)</f>
        <v/>
      </c>
      <c r="D69" s="28" t="str">
        <f aca="false">IF(AND(ISNUMBER(C69),C69&gt;0),LOG10(C69),"")</f>
        <v/>
      </c>
      <c r="E69" s="32" t="str">
        <f aca="false">IF(Data!$T67&lt;&gt;"","Yes","No")</f>
        <v>No</v>
      </c>
      <c r="F69" s="32" t="str">
        <f aca="false">IF(OR(AND(ISNUMBER(C69),C69&gt;0),E69="Yes"),"Yes","No")</f>
        <v>No</v>
      </c>
      <c r="G69" s="29" t="n">
        <f aca="false">Scoring!S67</f>
        <v>61.5</v>
      </c>
    </row>
    <row r="70" customFormat="false" ht="15" hidden="false" customHeight="true" outlineLevel="0" collapsed="false">
      <c r="A70" s="15" t="str">
        <f aca="false">Data!$A68</f>
        <v>Mukurtu CMS</v>
      </c>
      <c r="B70" s="15" t="str">
        <f aca="false">Data!$B68</f>
        <v>Center for Digital Scholarship and Curation</v>
      </c>
      <c r="C70" s="40" t="str">
        <f aca="false">IF(Data!$S68="","",Data!$S68)</f>
        <v/>
      </c>
      <c r="D70" s="28" t="str">
        <f aca="false">IF(AND(ISNUMBER(C70),C70&gt;0),LOG10(C70),"")</f>
        <v/>
      </c>
      <c r="E70" s="32" t="str">
        <f aca="false">IF(Data!$T68&lt;&gt;"","Yes","No")</f>
        <v>No</v>
      </c>
      <c r="F70" s="32" t="str">
        <f aca="false">IF(OR(AND(ISNUMBER(C70),C70&gt;0),E70="Yes"),"Yes","No")</f>
        <v>No</v>
      </c>
      <c r="G70" s="29" t="n">
        <f aca="false">Scoring!S68</f>
        <v>47.8</v>
      </c>
    </row>
    <row r="71" customFormat="false" ht="15" hidden="false" customHeight="true" outlineLevel="0" collapsed="false">
      <c r="A71" s="15" t="str">
        <f aca="false">Data!$A69</f>
        <v>MyCoRe</v>
      </c>
      <c r="B71" s="15" t="str">
        <f aca="false">Data!$B69</f>
        <v>MyCoRe Community</v>
      </c>
      <c r="C71" s="40" t="str">
        <f aca="false">IF(Data!$S69="","",Data!$S69)</f>
        <v/>
      </c>
      <c r="D71" s="28" t="str">
        <f aca="false">IF(AND(ISNUMBER(C71),C71&gt;0),LOG10(C71),"")</f>
        <v/>
      </c>
      <c r="E71" s="32" t="str">
        <f aca="false">IF(Data!$T69&lt;&gt;"","Yes","No")</f>
        <v>No</v>
      </c>
      <c r="F71" s="32" t="str">
        <f aca="false">IF(OR(AND(ISNUMBER(C71),C71&gt;0),E71="Yes"),"Yes","No")</f>
        <v>No</v>
      </c>
      <c r="G71" s="29" t="str">
        <f aca="false">Scoring!S69</f>
        <v>NA</v>
      </c>
    </row>
    <row r="72" customFormat="false" ht="15" hidden="false" customHeight="true" outlineLevel="0" collapsed="false">
      <c r="A72" s="15" t="str">
        <f aca="false">Data!$A70</f>
        <v>NumPy</v>
      </c>
      <c r="B72" s="15" t="str">
        <f aca="false">Data!$B70</f>
        <v>NumPy Community</v>
      </c>
      <c r="C72" s="40" t="str">
        <f aca="false">IF(Data!$S70="","",Data!$S70)</f>
        <v/>
      </c>
      <c r="D72" s="28" t="str">
        <f aca="false">IF(AND(ISNUMBER(C72),C72&gt;0),LOG10(C72),"")</f>
        <v/>
      </c>
      <c r="E72" s="32" t="str">
        <f aca="false">IF(Data!$T70&lt;&gt;"","Yes","No")</f>
        <v>No</v>
      </c>
      <c r="F72" s="32" t="str">
        <f aca="false">IF(OR(AND(ISNUMBER(C72),C72&gt;0),E72="Yes"),"Yes","No")</f>
        <v>No</v>
      </c>
      <c r="G72" s="29" t="n">
        <f aca="false">Scoring!S70</f>
        <v>100</v>
      </c>
    </row>
    <row r="73" customFormat="false" ht="15" hidden="false" customHeight="true" outlineLevel="0" collapsed="false">
      <c r="A73" s="15" t="str">
        <f aca="false">Data!$A71</f>
        <v>OA.Report</v>
      </c>
      <c r="B73" s="15" t="str">
        <f aca="false">Data!$B71</f>
        <v>OA.Works</v>
      </c>
      <c r="C73" s="40" t="str">
        <f aca="false">IF(Data!$S71="","",Data!$S71)</f>
        <v/>
      </c>
      <c r="D73" s="28" t="str">
        <f aca="false">IF(AND(ISNUMBER(C73),C73&gt;0),LOG10(C73),"")</f>
        <v/>
      </c>
      <c r="E73" s="32" t="str">
        <f aca="false">IF(Data!$T71&lt;&gt;"","Yes","No")</f>
        <v>No</v>
      </c>
      <c r="F73" s="32" t="str">
        <f aca="false">IF(OR(AND(ISNUMBER(C73),C73&gt;0),E73="Yes"),"Yes","No")</f>
        <v>No</v>
      </c>
      <c r="G73" s="29" t="str">
        <f aca="false">Scoring!S71</f>
        <v>NA</v>
      </c>
    </row>
    <row r="74" customFormat="false" ht="15" hidden="false" customHeight="true" outlineLevel="0" collapsed="false">
      <c r="A74" s="15" t="str">
        <f aca="false">Data!$A72</f>
        <v>OA Switchboard</v>
      </c>
      <c r="B74" s="15" t="str">
        <f aca="false">Data!$B72</f>
        <v>Stichting OA Switchboard</v>
      </c>
      <c r="C74" s="40" t="n">
        <f aca="false">IF(Data!$S72="","",Data!$S72)</f>
        <v>200</v>
      </c>
      <c r="D74" s="28" t="n">
        <f aca="false">IF(AND(ISNUMBER(C74),C74&gt;0),LOG10(C74),"")</f>
        <v>2.30102999566398</v>
      </c>
      <c r="E74" s="32" t="str">
        <f aca="false">IF(Data!$T72&lt;&gt;"","Yes","No")</f>
        <v>No</v>
      </c>
      <c r="F74" s="32" t="str">
        <f aca="false">IF(OR(AND(ISNUMBER(C74),C74&gt;0),E74="Yes"),"Yes","No")</f>
        <v>Yes</v>
      </c>
      <c r="G74" s="29" t="n">
        <f aca="false">Scoring!S72</f>
        <v>74.5</v>
      </c>
    </row>
    <row r="75" customFormat="false" ht="15" hidden="false" customHeight="true" outlineLevel="0" collapsed="false">
      <c r="A75" s="15" t="str">
        <f aca="false">Data!$A73</f>
        <v>Omeka</v>
      </c>
      <c r="B75" s="15" t="str">
        <f aca="false">Data!$B73</f>
        <v>Digital Scholar</v>
      </c>
      <c r="C75" s="40" t="n">
        <f aca="false">IF(Data!$S73="","",Data!$S73)</f>
        <v>0</v>
      </c>
      <c r="D75" s="28" t="str">
        <f aca="false">IF(AND(ISNUMBER(C75),C75&gt;0),LOG10(C75),"")</f>
        <v/>
      </c>
      <c r="E75" s="32" t="str">
        <f aca="false">IF(Data!$T73&lt;&gt;"","Yes","No")</f>
        <v>No</v>
      </c>
      <c r="F75" s="32" t="str">
        <f aca="false">IF(OR(AND(ISNUMBER(C75),C75&gt;0),E75="Yes"),"Yes","No")</f>
        <v>No</v>
      </c>
      <c r="G75" s="29" t="n">
        <f aca="false">Scoring!S73</f>
        <v>60.7179487179487</v>
      </c>
    </row>
    <row r="76" customFormat="false" ht="15" hidden="false" customHeight="true" outlineLevel="0" collapsed="false">
      <c r="A76" s="15" t="str">
        <f aca="false">Data!$A74</f>
        <v>OpenAIRE Graph</v>
      </c>
      <c r="B76" s="15" t="str">
        <f aca="false">Data!$B74</f>
        <v>OpenAIRE</v>
      </c>
      <c r="C76" s="40" t="n">
        <f aca="false">IF(Data!$S74="","",Data!$S74)</f>
        <v>52</v>
      </c>
      <c r="D76" s="28" t="n">
        <f aca="false">IF(AND(ISNUMBER(C76),C76&gt;0),LOG10(C76),"")</f>
        <v>1.7160033436348</v>
      </c>
      <c r="E76" s="32" t="str">
        <f aca="false">IF(Data!$T74&lt;&gt;"","Yes","No")</f>
        <v>Yes</v>
      </c>
      <c r="F76" s="32" t="str">
        <f aca="false">IF(OR(AND(ISNUMBER(C76),C76&gt;0),E76="Yes"),"Yes","No")</f>
        <v>Yes</v>
      </c>
      <c r="G76" s="29" t="n">
        <f aca="false">Scoring!S74</f>
        <v>96.4285714285714</v>
      </c>
    </row>
    <row r="77" customFormat="false" ht="15" hidden="false" customHeight="true" outlineLevel="0" collapsed="false">
      <c r="A77" s="15" t="str">
        <f aca="false">Data!$A75</f>
        <v>OpenAlex</v>
      </c>
      <c r="B77" s="15" t="str">
        <f aca="false">Data!$B75</f>
        <v>OurResearch</v>
      </c>
      <c r="C77" s="40" t="str">
        <f aca="false">IF(Data!$S75="","",Data!$S75)</f>
        <v/>
      </c>
      <c r="D77" s="28" t="str">
        <f aca="false">IF(AND(ISNUMBER(C77),C77&gt;0),LOG10(C77),"")</f>
        <v/>
      </c>
      <c r="E77" s="32" t="str">
        <f aca="false">IF(Data!$T75&lt;&gt;"","Yes","No")</f>
        <v>No</v>
      </c>
      <c r="F77" s="32" t="str">
        <f aca="false">IF(OR(AND(ISNUMBER(C77),C77&gt;0),E77="Yes"),"Yes","No")</f>
        <v>No</v>
      </c>
      <c r="G77" s="29" t="n">
        <f aca="false">Scoring!S75</f>
        <v>50.25</v>
      </c>
    </row>
    <row r="78" customFormat="false" ht="15" hidden="false" customHeight="true" outlineLevel="0" collapsed="false">
      <c r="A78" s="15" t="str">
        <f aca="false">Data!$A76</f>
        <v>OpenAPC</v>
      </c>
      <c r="B78" s="15" t="str">
        <f aca="false">Data!$B76</f>
        <v>Bielefeld University</v>
      </c>
      <c r="C78" s="40" t="str">
        <f aca="false">IF(Data!$S76="","",Data!$S76)</f>
        <v/>
      </c>
      <c r="D78" s="28" t="str">
        <f aca="false">IF(AND(ISNUMBER(C78),C78&gt;0),LOG10(C78),"")</f>
        <v/>
      </c>
      <c r="E78" s="32" t="str">
        <f aca="false">IF(Data!$T76&lt;&gt;"","Yes","No")</f>
        <v>No</v>
      </c>
      <c r="F78" s="32" t="str">
        <f aca="false">IF(OR(AND(ISNUMBER(C78),C78&gt;0),E78="Yes"),"Yes","No")</f>
        <v>No</v>
      </c>
      <c r="G78" s="29" t="n">
        <f aca="false">Scoring!S76</f>
        <v>72.5806451612903</v>
      </c>
    </row>
    <row r="79" customFormat="false" ht="15" hidden="false" customHeight="true" outlineLevel="0" collapsed="false">
      <c r="A79" s="15" t="str">
        <f aca="false">Data!$A77</f>
        <v>OpenCitations</v>
      </c>
      <c r="B79" s="15" t="str">
        <f aca="false">Data!$B77</f>
        <v>Research Centre for Open Scholarly Metadata, University of Bologna</v>
      </c>
      <c r="C79" s="40" t="n">
        <f aca="false">IF(Data!$S77="","",Data!$S77)</f>
        <v>21</v>
      </c>
      <c r="D79" s="28" t="n">
        <f aca="false">IF(AND(ISNUMBER(C79),C79&gt;0),LOG10(C79),"")</f>
        <v>1.32221929473392</v>
      </c>
      <c r="E79" s="32" t="str">
        <f aca="false">IF(Data!$T77&lt;&gt;"","Yes","No")</f>
        <v>Yes</v>
      </c>
      <c r="F79" s="32" t="str">
        <f aca="false">IF(OR(AND(ISNUMBER(C79),C79&gt;0),E79="Yes"),"Yes","No")</f>
        <v>Yes</v>
      </c>
      <c r="G79" s="29" t="n">
        <f aca="false">Scoring!S77</f>
        <v>63.64</v>
      </c>
    </row>
    <row r="80" customFormat="false" ht="15" hidden="false" customHeight="true" outlineLevel="0" collapsed="false">
      <c r="A80" s="15" t="str">
        <f aca="false">Data!$A78</f>
        <v>openCost</v>
      </c>
      <c r="B80" s="15" t="str">
        <f aca="false">Data!$B78</f>
        <v>openCost</v>
      </c>
      <c r="C80" s="40" t="str">
        <f aca="false">IF(Data!$S78="","",Data!$S78)</f>
        <v/>
      </c>
      <c r="D80" s="28" t="str">
        <f aca="false">IF(AND(ISNUMBER(C80),C80&gt;0),LOG10(C80),"")</f>
        <v/>
      </c>
      <c r="E80" s="32" t="str">
        <f aca="false">IF(Data!$T78&lt;&gt;"","Yes","No")</f>
        <v>No</v>
      </c>
      <c r="F80" s="32" t="str">
        <f aca="false">IF(OR(AND(ISNUMBER(C80),C80&gt;0),E80="Yes"),"Yes","No")</f>
        <v>No</v>
      </c>
      <c r="G80" s="29" t="n">
        <f aca="false">Scoring!S78</f>
        <v>52.8225806451613</v>
      </c>
    </row>
    <row r="81" customFormat="false" ht="15" hidden="false" customHeight="true" outlineLevel="0" collapsed="false">
      <c r="A81" s="15" t="str">
        <f aca="false">Data!$A79</f>
        <v>Open Data Editor</v>
      </c>
      <c r="B81" s="15" t="str">
        <f aca="false">Data!$B79</f>
        <v>Open Knowledge Foundation</v>
      </c>
      <c r="C81" s="40" t="str">
        <f aca="false">IF(Data!$S79="","",Data!$S79)</f>
        <v/>
      </c>
      <c r="D81" s="28" t="str">
        <f aca="false">IF(AND(ISNUMBER(C81),C81&gt;0),LOG10(C81),"")</f>
        <v/>
      </c>
      <c r="E81" s="32" t="str">
        <f aca="false">IF(Data!$T79&lt;&gt;"","Yes","No")</f>
        <v>No</v>
      </c>
      <c r="F81" s="32" t="str">
        <f aca="false">IF(OR(AND(ISNUMBER(C81),C81&gt;0),E81="Yes"),"Yes","No")</f>
        <v>No</v>
      </c>
      <c r="G81" s="29" t="n">
        <f aca="false">Scoring!S79</f>
        <v>74</v>
      </c>
    </row>
    <row r="82" customFormat="false" ht="15" hidden="false" customHeight="true" outlineLevel="0" collapsed="false">
      <c r="A82" s="15" t="str">
        <f aca="false">Data!$A80</f>
        <v>OpenEdition</v>
      </c>
      <c r="B82" s="15" t="str">
        <f aca="false">Data!$B80</f>
        <v>OpenEdition Center, Aix-Marseille University, the EHESS and Avignon University</v>
      </c>
      <c r="C82" s="40" t="n">
        <f aca="false">IF(Data!$S80="","",Data!$S80)</f>
        <v>130</v>
      </c>
      <c r="D82" s="28" t="n">
        <f aca="false">IF(AND(ISNUMBER(C82),C82&gt;0),LOG10(C82),"")</f>
        <v>2.11394335230684</v>
      </c>
      <c r="E82" s="32" t="str">
        <f aca="false">IF(Data!$T80&lt;&gt;"","Yes","No")</f>
        <v>No</v>
      </c>
      <c r="F82" s="32" t="str">
        <f aca="false">IF(OR(AND(ISNUMBER(C82),C82&gt;0),E82="Yes"),"Yes","No")</f>
        <v>Yes</v>
      </c>
      <c r="G82" s="29" t="n">
        <f aca="false">Scoring!S80</f>
        <v>52.7840909090909</v>
      </c>
    </row>
    <row r="83" customFormat="false" ht="15" hidden="false" customHeight="true" outlineLevel="0" collapsed="false">
      <c r="A83" s="15" t="str">
        <f aca="false">Data!$A81</f>
        <v>Open Journal Systems (OJS)</v>
      </c>
      <c r="B83" s="15" t="str">
        <f aca="false">Data!$B81</f>
        <v>Public Knowledge Project (PKP)</v>
      </c>
      <c r="C83" s="40" t="n">
        <f aca="false">IF(Data!$S81="","",Data!$S81)</f>
        <v>105</v>
      </c>
      <c r="D83" s="28" t="n">
        <f aca="false">IF(AND(ISNUMBER(C83),C83&gt;0),LOG10(C83),"")</f>
        <v>2.02118929906994</v>
      </c>
      <c r="E83" s="32" t="str">
        <f aca="false">IF(Data!$T81&lt;&gt;"","Yes","No")</f>
        <v>No</v>
      </c>
      <c r="F83" s="32" t="str">
        <f aca="false">IF(OR(AND(ISNUMBER(C83),C83&gt;0),E83="Yes"),"Yes","No")</f>
        <v>Yes</v>
      </c>
      <c r="G83" s="29" t="n">
        <f aca="false">Scoring!S81</f>
        <v>88.75</v>
      </c>
    </row>
    <row r="84" customFormat="false" ht="15" hidden="false" customHeight="true" outlineLevel="0" collapsed="false">
      <c r="A84" s="15" t="str">
        <f aca="false">Data!$A82</f>
        <v>Open Monograph Press (OMP)</v>
      </c>
      <c r="B84" s="15" t="str">
        <f aca="false">Data!$B82</f>
        <v>Public Knowledge Project (PKP)</v>
      </c>
      <c r="C84" s="40" t="n">
        <f aca="false">IF(Data!$S82="","",Data!$S82)</f>
        <v>105</v>
      </c>
      <c r="D84" s="28" t="n">
        <f aca="false">IF(AND(ISNUMBER(C84),C84&gt;0),LOG10(C84),"")</f>
        <v>2.02118929906994</v>
      </c>
      <c r="E84" s="32" t="str">
        <f aca="false">IF(Data!$T82&lt;&gt;"","Yes","No")</f>
        <v>No</v>
      </c>
      <c r="F84" s="32" t="str">
        <f aca="false">IF(OR(AND(ISNUMBER(C84),C84&gt;0),E84="Yes"),"Yes","No")</f>
        <v>Yes</v>
      </c>
      <c r="G84" s="29" t="n">
        <f aca="false">Scoring!S82</f>
        <v>88.75</v>
      </c>
    </row>
    <row r="85" customFormat="false" ht="15" hidden="false" customHeight="true" outlineLevel="0" collapsed="false">
      <c r="A85" s="15" t="str">
        <f aca="false">Data!$A83</f>
        <v>Open Preprint Systems (OPS)</v>
      </c>
      <c r="B85" s="15" t="str">
        <f aca="false">Data!$B83</f>
        <v>Public Knowledge Project (PKP)</v>
      </c>
      <c r="C85" s="40" t="n">
        <f aca="false">IF(Data!$S83="","",Data!$S83)</f>
        <v>105</v>
      </c>
      <c r="D85" s="28" t="n">
        <f aca="false">IF(AND(ISNUMBER(C85),C85&gt;0),LOG10(C85),"")</f>
        <v>2.02118929906994</v>
      </c>
      <c r="E85" s="32" t="str">
        <f aca="false">IF(Data!$T83&lt;&gt;"","Yes","No")</f>
        <v>No</v>
      </c>
      <c r="F85" s="32" t="str">
        <f aca="false">IF(OR(AND(ISNUMBER(C85),C85&gt;0),E85="Yes"),"Yes","No")</f>
        <v>Yes</v>
      </c>
      <c r="G85" s="29" t="n">
        <f aca="false">Scoring!S83</f>
        <v>88.75</v>
      </c>
    </row>
    <row r="86" customFormat="false" ht="15" hidden="false" customHeight="true" outlineLevel="0" collapsed="false">
      <c r="A86" s="15" t="str">
        <f aca="false">Data!$A84</f>
        <v>Openverse</v>
      </c>
      <c r="B86" s="15" t="str">
        <f aca="false">Data!$B84</f>
        <v>WordPress Foundation</v>
      </c>
      <c r="C86" s="40" t="str">
        <f aca="false">IF(Data!$S84="","",Data!$S84)</f>
        <v/>
      </c>
      <c r="D86" s="28" t="str">
        <f aca="false">IF(AND(ISNUMBER(C86),C86&gt;0),LOG10(C86),"")</f>
        <v/>
      </c>
      <c r="E86" s="32" t="str">
        <f aca="false">IF(Data!$T84&lt;&gt;"","Yes","No")</f>
        <v>No</v>
      </c>
      <c r="F86" s="32" t="str">
        <f aca="false">IF(OR(AND(ISNUMBER(C86),C86&gt;0),E86="Yes"),"Yes","No")</f>
        <v>No</v>
      </c>
      <c r="G86" s="29" t="n">
        <f aca="false">Scoring!S84</f>
        <v>83.3333333333333</v>
      </c>
    </row>
    <row r="87" customFormat="false" ht="15" hidden="false" customHeight="true" outlineLevel="0" collapsed="false">
      <c r="A87" s="15" t="str">
        <f aca="false">Data!$A85</f>
        <v>O Portal Brasileiro de Publicações e Dados Científicos em Acesso Aberto (The Brazilian Open Access Publications and Scientific Data Portal) (Oasisbr)</v>
      </c>
      <c r="B87" s="15" t="str">
        <f aca="false">Data!$B85</f>
        <v>Instituto Brasileiro de Informação em Ciência e Tecnologia (Brazilian Institute of Information in Science and Technology) (Ibict)</v>
      </c>
      <c r="C87" s="40" t="n">
        <f aca="false">IF(Data!$S85="","",Data!$S85)</f>
        <v>1</v>
      </c>
      <c r="D87" s="28" t="n">
        <f aca="false">IF(AND(ISNUMBER(C87),C87&gt;0),LOG10(C87),"")</f>
        <v>0</v>
      </c>
      <c r="E87" s="32" t="str">
        <f aca="false">IF(Data!$T85&lt;&gt;"","Yes","No")</f>
        <v>No</v>
      </c>
      <c r="F87" s="32" t="str">
        <f aca="false">IF(OR(AND(ISNUMBER(C87),C87&gt;0),E87="Yes"),"Yes","No")</f>
        <v>Yes</v>
      </c>
      <c r="G87" s="29" t="str">
        <f aca="false">Scoring!S85</f>
        <v>NA</v>
      </c>
    </row>
    <row r="88" customFormat="false" ht="15" hidden="false" customHeight="true" outlineLevel="0" collapsed="false">
      <c r="A88" s="15" t="str">
        <f aca="false">Data!$A86</f>
        <v>OSF (Open Science Framework)</v>
      </c>
      <c r="B88" s="15" t="str">
        <f aca="false">Data!$B86</f>
        <v>Center for Open Science, Inc.</v>
      </c>
      <c r="C88" s="40" t="n">
        <f aca="false">IF(Data!$S86="","",Data!$S86)</f>
        <v>75</v>
      </c>
      <c r="D88" s="28" t="n">
        <f aca="false">IF(AND(ISNUMBER(C88),C88&gt;0),LOG10(C88),"")</f>
        <v>1.8750612633917</v>
      </c>
      <c r="E88" s="32" t="str">
        <f aca="false">IF(Data!$T86&lt;&gt;"","Yes","No")</f>
        <v>No</v>
      </c>
      <c r="F88" s="32" t="str">
        <f aca="false">IF(OR(AND(ISNUMBER(C88),C88&gt;0),E88="Yes"),"Yes","No")</f>
        <v>Yes</v>
      </c>
      <c r="G88" s="29" t="n">
        <f aca="false">Scoring!S86</f>
        <v>95.4545454545455</v>
      </c>
    </row>
    <row r="89" customFormat="false" ht="15" hidden="false" customHeight="true" outlineLevel="0" collapsed="false">
      <c r="A89" s="15" t="str">
        <f aca="false">Data!$A87</f>
        <v>Oxford Common File Layout</v>
      </c>
      <c r="B89" s="15" t="str">
        <f aca="false">Data!$B87</f>
        <v>Oxford Common File Layout (OCFL)</v>
      </c>
      <c r="C89" s="40" t="str">
        <f aca="false">IF(Data!$S87="","",Data!$S87)</f>
        <v/>
      </c>
      <c r="D89" s="28" t="str">
        <f aca="false">IF(AND(ISNUMBER(C89),C89&gt;0),LOG10(C89),"")</f>
        <v/>
      </c>
      <c r="E89" s="32" t="str">
        <f aca="false">IF(Data!$T87&lt;&gt;"","Yes","No")</f>
        <v>No</v>
      </c>
      <c r="F89" s="32" t="str">
        <f aca="false">IF(OR(AND(ISNUMBER(C89),C89&gt;0),E89="Yes"),"Yes","No")</f>
        <v>No</v>
      </c>
      <c r="G89" s="29" t="str">
        <f aca="false">Scoring!S87</f>
        <v>NA</v>
      </c>
    </row>
    <row r="90" customFormat="false" ht="15" hidden="false" customHeight="true" outlineLevel="0" collapsed="false">
      <c r="A90" s="15" t="str">
        <f aca="false">Data!$A88</f>
        <v>Peer Community In</v>
      </c>
      <c r="B90" s="15" t="str">
        <f aca="false">Data!$B88</f>
        <v>PCI, Peer Community In</v>
      </c>
      <c r="C90" s="40" t="n">
        <f aca="false">IF(Data!$S88="","",Data!$S88)</f>
        <v>80</v>
      </c>
      <c r="D90" s="28" t="n">
        <f aca="false">IF(AND(ISNUMBER(C90),C90&gt;0),LOG10(C90),"")</f>
        <v>1.90308998699194</v>
      </c>
      <c r="E90" s="32" t="str">
        <f aca="false">IF(Data!$T88&lt;&gt;"","Yes","No")</f>
        <v>No</v>
      </c>
      <c r="F90" s="32" t="str">
        <f aca="false">IF(OR(AND(ISNUMBER(C90),C90&gt;0),E90="Yes"),"Yes","No")</f>
        <v>Yes</v>
      </c>
      <c r="G90" s="29" t="str">
        <f aca="false">Scoring!S88</f>
        <v>NA</v>
      </c>
    </row>
    <row r="91" customFormat="false" ht="15" hidden="false" customHeight="true" outlineLevel="0" collapsed="false">
      <c r="A91" s="15" t="str">
        <f aca="false">Data!$A89</f>
        <v>PKP Preservation Network</v>
      </c>
      <c r="B91" s="15" t="str">
        <f aca="false">Data!$B89</f>
        <v>Public Knowledge Project (PKP)</v>
      </c>
      <c r="C91" s="40" t="str">
        <f aca="false">IF(Data!$S89="","",Data!$S89)</f>
        <v/>
      </c>
      <c r="D91" s="28" t="str">
        <f aca="false">IF(AND(ISNUMBER(C91),C91&gt;0),LOG10(C91),"")</f>
        <v/>
      </c>
      <c r="E91" s="32" t="str">
        <f aca="false">IF(Data!$T89&lt;&gt;"","Yes","No")</f>
        <v>Yes</v>
      </c>
      <c r="F91" s="32" t="str">
        <f aca="false">IF(OR(AND(ISNUMBER(C91),C91&gt;0),E91="Yes"),"Yes","No")</f>
        <v>Yes</v>
      </c>
      <c r="G91" s="29" t="n">
        <f aca="false">Scoring!S89</f>
        <v>100</v>
      </c>
    </row>
    <row r="92" customFormat="false" ht="15" hidden="false" customHeight="true" outlineLevel="0" collapsed="false">
      <c r="A92" s="15" t="str">
        <f aca="false">Data!$A90</f>
        <v>PREreview</v>
      </c>
      <c r="B92" s="15" t="str">
        <f aca="false">Data!$B90</f>
        <v>Code for Science and Society</v>
      </c>
      <c r="C92" s="40" t="n">
        <f aca="false">IF(Data!$S90="","",Data!$S90)</f>
        <v>0</v>
      </c>
      <c r="D92" s="28" t="str">
        <f aca="false">IF(AND(ISNUMBER(C92),C92&gt;0),LOG10(C92),"")</f>
        <v/>
      </c>
      <c r="E92" s="32" t="str">
        <f aca="false">IF(Data!$T90&lt;&gt;"","Yes","No")</f>
        <v>No</v>
      </c>
      <c r="F92" s="32" t="str">
        <f aca="false">IF(OR(AND(ISNUMBER(C92),C92&gt;0),E92="Yes"),"Yes","No")</f>
        <v>No</v>
      </c>
      <c r="G92" s="29" t="n">
        <f aca="false">Scoring!S90</f>
        <v>84</v>
      </c>
    </row>
    <row r="93" customFormat="false" ht="15" hidden="false" customHeight="true" outlineLevel="0" collapsed="false">
      <c r="A93" s="15" t="str">
        <f aca="false">Data!$A91</f>
        <v>Pressbooks</v>
      </c>
      <c r="B93" s="15" t="str">
        <f aca="false">Data!$B91</f>
        <v>Book Oven, Inc.</v>
      </c>
      <c r="C93" s="40" t="n">
        <f aca="false">IF(Data!$S91="","",Data!$S91)</f>
        <v>0</v>
      </c>
      <c r="D93" s="28" t="str">
        <f aca="false">IF(AND(ISNUMBER(C93),C93&gt;0),LOG10(C93),"")</f>
        <v/>
      </c>
      <c r="E93" s="32" t="str">
        <f aca="false">IF(Data!$T91&lt;&gt;"","Yes","No")</f>
        <v>No</v>
      </c>
      <c r="F93" s="32" t="str">
        <f aca="false">IF(OR(AND(ISNUMBER(C93),C93&gt;0),E93="Yes"),"Yes","No")</f>
        <v>No</v>
      </c>
      <c r="G93" s="29" t="n">
        <f aca="false">Scoring!S91</f>
        <v>47.7205882352941</v>
      </c>
    </row>
    <row r="94" customFormat="false" ht="15" hidden="false" customHeight="true" outlineLevel="0" collapsed="false">
      <c r="A94" s="15" t="str">
        <f aca="false">Data!$A92</f>
        <v>Public Access Submission System</v>
      </c>
      <c r="B94" s="15" t="str">
        <f aca="false">Data!$B92</f>
        <v>Eclipse Foundation</v>
      </c>
      <c r="C94" s="40" t="str">
        <f aca="false">IF(Data!$S92="","",Data!$S92)</f>
        <v/>
      </c>
      <c r="D94" s="28" t="str">
        <f aca="false">IF(AND(ISNUMBER(C94),C94&gt;0),LOG10(C94),"")</f>
        <v/>
      </c>
      <c r="E94" s="32" t="str">
        <f aca="false">IF(Data!$T92&lt;&gt;"","Yes","No")</f>
        <v>No</v>
      </c>
      <c r="F94" s="32" t="str">
        <f aca="false">IF(OR(AND(ISNUMBER(C94),C94&gt;0),E94="Yes"),"Yes","No")</f>
        <v>No</v>
      </c>
      <c r="G94" s="29" t="n">
        <f aca="false">Scoring!S92</f>
        <v>88.9230769230769</v>
      </c>
    </row>
    <row r="95" customFormat="false" ht="15" hidden="false" customHeight="true" outlineLevel="0" collapsed="false">
      <c r="A95" s="15" t="str">
        <f aca="false">Data!$A93</f>
        <v>Public Utility Data Liberation (PUDL)</v>
      </c>
      <c r="B95" s="15" t="str">
        <f aca="false">Data!$B93</f>
        <v>Catalyst Cooperative</v>
      </c>
      <c r="C95" s="40" t="n">
        <f aca="false">IF(Data!$S93="","",Data!$S93)</f>
        <v>9</v>
      </c>
      <c r="D95" s="28" t="n">
        <f aca="false">IF(AND(ISNUMBER(C95),C95&gt;0),LOG10(C95),"")</f>
        <v>0.954242509439325</v>
      </c>
      <c r="E95" s="32" t="str">
        <f aca="false">IF(Data!$T93&lt;&gt;"","Yes","No")</f>
        <v>Yes</v>
      </c>
      <c r="F95" s="32" t="str">
        <f aca="false">IF(OR(AND(ISNUMBER(C95),C95&gt;0),E95="Yes"),"Yes","No")</f>
        <v>Yes</v>
      </c>
      <c r="G95" s="29" t="n">
        <f aca="false">Scoring!S93</f>
        <v>87.8048780487805</v>
      </c>
    </row>
    <row r="96" customFormat="false" ht="15" hidden="false" customHeight="true" outlineLevel="0" collapsed="false">
      <c r="A96" s="15" t="str">
        <f aca="false">Data!$A94</f>
        <v>PubPub</v>
      </c>
      <c r="B96" s="15" t="str">
        <f aca="false">Data!$B94</f>
        <v>Knowledge Futures</v>
      </c>
      <c r="C96" s="40" t="n">
        <f aca="false">IF(Data!$S94="","",Data!$S94)</f>
        <v>52</v>
      </c>
      <c r="D96" s="28" t="n">
        <f aca="false">IF(AND(ISNUMBER(C96),C96&gt;0),LOG10(C96),"")</f>
        <v>1.7160033436348</v>
      </c>
      <c r="E96" s="32" t="str">
        <f aca="false">IF(Data!$T94&lt;&gt;"","Yes","No")</f>
        <v>No</v>
      </c>
      <c r="F96" s="32" t="str">
        <f aca="false">IF(OR(AND(ISNUMBER(C96),C96&gt;0),E96="Yes"),"Yes","No")</f>
        <v>Yes</v>
      </c>
      <c r="G96" s="29" t="n">
        <f aca="false">Scoring!S94</f>
        <v>61.5</v>
      </c>
    </row>
    <row r="97" customFormat="false" ht="15" hidden="false" customHeight="true" outlineLevel="0" collapsed="false">
      <c r="A97" s="15" t="str">
        <f aca="false">Data!$A95</f>
        <v>Pundit</v>
      </c>
      <c r="B97" s="15" t="str">
        <f aca="false">Data!$B95</f>
        <v>Net7 Srl</v>
      </c>
      <c r="C97" s="40" t="str">
        <f aca="false">IF(Data!$S95="","",Data!$S95)</f>
        <v/>
      </c>
      <c r="D97" s="28" t="str">
        <f aca="false">IF(AND(ISNUMBER(C97),C97&gt;0),LOG10(C97),"")</f>
        <v/>
      </c>
      <c r="E97" s="32" t="str">
        <f aca="false">IF(Data!$T95&lt;&gt;"","Yes","No")</f>
        <v>No</v>
      </c>
      <c r="F97" s="32" t="str">
        <f aca="false">IF(OR(AND(ISNUMBER(C97),C97&gt;0),E97="Yes"),"Yes","No")</f>
        <v>No</v>
      </c>
      <c r="G97" s="29" t="n">
        <f aca="false">Scoring!S95</f>
        <v>37.7058823529412</v>
      </c>
    </row>
    <row r="98" customFormat="false" ht="15" hidden="false" customHeight="true" outlineLevel="0" collapsed="false">
      <c r="A98" s="15" t="str">
        <f aca="false">Data!$A96</f>
        <v>pyOpenSci</v>
      </c>
      <c r="B98" s="15" t="str">
        <f aca="false">Data!$B96</f>
        <v>Community Initiatives</v>
      </c>
      <c r="C98" s="40" t="str">
        <f aca="false">IF(Data!$S96="","",Data!$S96)</f>
        <v/>
      </c>
      <c r="D98" s="28" t="str">
        <f aca="false">IF(AND(ISNUMBER(C98),C98&gt;0),LOG10(C98),"")</f>
        <v/>
      </c>
      <c r="E98" s="32" t="str">
        <f aca="false">IF(Data!$T96&lt;&gt;"","Yes","No")</f>
        <v>No</v>
      </c>
      <c r="F98" s="32" t="str">
        <f aca="false">IF(OR(AND(ISNUMBER(C98),C98&gt;0),E98="Yes"),"Yes","No")</f>
        <v>No</v>
      </c>
      <c r="G98" s="29" t="n">
        <f aca="false">Scoring!S96</f>
        <v>78.9333333333333</v>
      </c>
    </row>
    <row r="99" customFormat="false" ht="15" hidden="false" customHeight="true" outlineLevel="0" collapsed="false">
      <c r="A99" s="15" t="str">
        <f aca="false">Data!$A97</f>
        <v>Renku</v>
      </c>
      <c r="B99" s="15" t="str">
        <f aca="false">Data!$B97</f>
        <v>Swiss Data Science Center</v>
      </c>
      <c r="C99" s="40" t="str">
        <f aca="false">IF(Data!$S97="","",Data!$S97)</f>
        <v/>
      </c>
      <c r="D99" s="28" t="str">
        <f aca="false">IF(AND(ISNUMBER(C99),C99&gt;0),LOG10(C99),"")</f>
        <v/>
      </c>
      <c r="E99" s="32" t="str">
        <f aca="false">IF(Data!$T97&lt;&gt;"","Yes","No")</f>
        <v>No</v>
      </c>
      <c r="F99" s="32" t="str">
        <f aca="false">IF(OR(AND(ISNUMBER(C99),C99&gt;0),E99="Yes"),"Yes","No")</f>
        <v>No</v>
      </c>
      <c r="G99" s="29" t="n">
        <f aca="false">Scoring!S97</f>
        <v>76.5</v>
      </c>
    </row>
    <row r="100" customFormat="false" ht="15" hidden="false" customHeight="true" outlineLevel="0" collapsed="false">
      <c r="A100" s="15" t="str">
        <f aca="false">Data!$A98</f>
        <v>RePEc</v>
      </c>
      <c r="B100" s="15" t="str">
        <f aca="false">Data!$B98</f>
        <v>RePEc</v>
      </c>
      <c r="C100" s="40" t="str">
        <f aca="false">IF(Data!$S98="","",Data!$S98)</f>
        <v/>
      </c>
      <c r="D100" s="28" t="str">
        <f aca="false">IF(AND(ISNUMBER(C100),C100&gt;0),LOG10(C100),"")</f>
        <v/>
      </c>
      <c r="E100" s="32" t="str">
        <f aca="false">IF(Data!$T98&lt;&gt;"","Yes","No")</f>
        <v>No</v>
      </c>
      <c r="F100" s="32" t="str">
        <f aca="false">IF(OR(AND(ISNUMBER(C100),C100&gt;0),E100="Yes"),"Yes","No")</f>
        <v>No</v>
      </c>
      <c r="G100" s="29" t="n">
        <f aca="false">Scoring!S98</f>
        <v>52.2727272727273</v>
      </c>
    </row>
    <row r="101" customFormat="false" ht="15" hidden="false" customHeight="true" outlineLevel="0" collapsed="false">
      <c r="A101" s="15" t="str">
        <f aca="false">Data!$A99</f>
        <v>Research Organization Registry (ROR)</v>
      </c>
      <c r="B101" s="15" t="str">
        <f aca="false">Data!$B99</f>
        <v>California Digital Library, Crossref, DataCite</v>
      </c>
      <c r="C101" s="40" t="n">
        <f aca="false">IF(Data!$S99="","",Data!$S99)</f>
        <v>0</v>
      </c>
      <c r="D101" s="28" t="str">
        <f aca="false">IF(AND(ISNUMBER(C101),C101&gt;0),LOG10(C101),"")</f>
        <v/>
      </c>
      <c r="E101" s="32" t="str">
        <f aca="false">IF(Data!$T99&lt;&gt;"","Yes","No")</f>
        <v>No</v>
      </c>
      <c r="F101" s="32" t="str">
        <f aca="false">IF(OR(AND(ISNUMBER(C101),C101&gt;0),E101="Yes"),"Yes","No")</f>
        <v>No</v>
      </c>
      <c r="G101" s="29" t="n">
        <f aca="false">Scoring!S99</f>
        <v>91</v>
      </c>
    </row>
    <row r="102" customFormat="false" ht="15" hidden="false" customHeight="true" outlineLevel="0" collapsed="false">
      <c r="A102" s="15" t="str">
        <f aca="false">Data!$A100</f>
        <v>Rogue Scholar</v>
      </c>
      <c r="B102" s="15" t="str">
        <f aca="false">Data!$B100</f>
        <v>The Rogue Scholar</v>
      </c>
      <c r="C102" s="40" t="n">
        <f aca="false">IF(Data!$S100="","",Data!$S100)</f>
        <v>18</v>
      </c>
      <c r="D102" s="28" t="n">
        <f aca="false">IF(AND(ISNUMBER(C102),C102&gt;0),LOG10(C102),"")</f>
        <v>1.25527250510331</v>
      </c>
      <c r="E102" s="32" t="str">
        <f aca="false">IF(Data!$T100&lt;&gt;"","Yes","No")</f>
        <v>No</v>
      </c>
      <c r="F102" s="32" t="str">
        <f aca="false">IF(OR(AND(ISNUMBER(C102),C102&gt;0),E102="Yes"),"Yes","No")</f>
        <v>Yes</v>
      </c>
      <c r="G102" s="29" t="n">
        <f aca="false">Scoring!S100</f>
        <v>51.9848484848485</v>
      </c>
    </row>
    <row r="103" customFormat="false" ht="15" hidden="false" customHeight="true" outlineLevel="0" collapsed="false">
      <c r="A103" s="15" t="str">
        <f aca="false">Data!$A101</f>
        <v>RSpace</v>
      </c>
      <c r="B103" s="15" t="str">
        <f aca="false">Data!$B101</f>
        <v>Research Innovations Ltd (trading as Research Space)</v>
      </c>
      <c r="C103" s="40" t="str">
        <f aca="false">IF(Data!$S101="","",Data!$S101)</f>
        <v/>
      </c>
      <c r="D103" s="28" t="str">
        <f aca="false">IF(AND(ISNUMBER(C103),C103&gt;0),LOG10(C103),"")</f>
        <v/>
      </c>
      <c r="E103" s="32" t="str">
        <f aca="false">IF(Data!$T101&lt;&gt;"","Yes","No")</f>
        <v>No</v>
      </c>
      <c r="F103" s="32" t="str">
        <f aca="false">IF(OR(AND(ISNUMBER(C103),C103&gt;0),E103="Yes"),"Yes","No")</f>
        <v>No</v>
      </c>
      <c r="G103" s="29" t="n">
        <f aca="false">Scoring!S101</f>
        <v>70.625</v>
      </c>
    </row>
    <row r="104" customFormat="false" ht="15" hidden="false" customHeight="true" outlineLevel="0" collapsed="false">
      <c r="A104" s="15" t="str">
        <f aca="false">Data!$A102</f>
        <v>Sciety</v>
      </c>
      <c r="B104" s="15" t="str">
        <f aca="false">Data!$B102</f>
        <v>eLife</v>
      </c>
      <c r="C104" s="40" t="n">
        <f aca="false">IF(Data!$S102="","",Data!$S102)</f>
        <v>26</v>
      </c>
      <c r="D104" s="28" t="n">
        <f aca="false">IF(AND(ISNUMBER(C104),C104&gt;0),LOG10(C104),"")</f>
        <v>1.41497334797082</v>
      </c>
      <c r="E104" s="32" t="str">
        <f aca="false">IF(Data!$T102&lt;&gt;"","Yes","No")</f>
        <v>Yes</v>
      </c>
      <c r="F104" s="32" t="str">
        <f aca="false">IF(OR(AND(ISNUMBER(C104),C104&gt;0),E104="Yes"),"Yes","No")</f>
        <v>Yes</v>
      </c>
      <c r="G104" s="29" t="str">
        <f aca="false">Scoring!S102</f>
        <v>NA</v>
      </c>
    </row>
    <row r="105" customFormat="false" ht="15" hidden="false" customHeight="true" outlineLevel="0" collapsed="false">
      <c r="A105" s="15" t="str">
        <f aca="false">Data!$A103</f>
        <v>Synapse</v>
      </c>
      <c r="B105" s="15" t="str">
        <f aca="false">Data!$B103</f>
        <v>Sage Bionetworks</v>
      </c>
      <c r="C105" s="40" t="str">
        <f aca="false">IF(Data!$S103="","",Data!$S103)</f>
        <v/>
      </c>
      <c r="D105" s="28" t="str">
        <f aca="false">IF(AND(ISNUMBER(C105),C105&gt;0),LOG10(C105),"")</f>
        <v/>
      </c>
      <c r="E105" s="32" t="str">
        <f aca="false">IF(Data!$T103&lt;&gt;"","Yes","No")</f>
        <v>No</v>
      </c>
      <c r="F105" s="32" t="str">
        <f aca="false">IF(OR(AND(ISNUMBER(C105),C105&gt;0),E105="Yes"),"Yes","No")</f>
        <v>No</v>
      </c>
      <c r="G105" s="29" t="str">
        <f aca="false">Scoring!S103</f>
        <v>NA</v>
      </c>
    </row>
    <row r="106" customFormat="false" ht="15" hidden="false" customHeight="true" outlineLevel="0" collapsed="false">
      <c r="A106" s="15" t="str">
        <f aca="false">Data!$A104</f>
        <v>TagTeam</v>
      </c>
      <c r="B106" s="15" t="str">
        <f aca="false">Data!$B104</f>
        <v>Harvard University</v>
      </c>
      <c r="C106" s="40" t="n">
        <f aca="false">IF(Data!$S104="","",Data!$S104)</f>
        <v>425</v>
      </c>
      <c r="D106" s="28" t="n">
        <f aca="false">IF(AND(ISNUMBER(C106),C106&gt;0),LOG10(C106),"")</f>
        <v>2.62838893005031</v>
      </c>
      <c r="E106" s="32" t="str">
        <f aca="false">IF(Data!$T104&lt;&gt;"","Yes","No")</f>
        <v>Yes</v>
      </c>
      <c r="F106" s="32" t="str">
        <f aca="false">IF(OR(AND(ISNUMBER(C106),C106&gt;0),E106="Yes"),"Yes","No")</f>
        <v>Yes</v>
      </c>
      <c r="G106" s="29" t="str">
        <f aca="false">Scoring!S104</f>
        <v>NA</v>
      </c>
    </row>
    <row r="107" customFormat="false" ht="15" hidden="false" customHeight="true" outlineLevel="0" collapsed="false">
      <c r="A107" s="15" t="str">
        <f aca="false">Data!$A105</f>
        <v>Thoth Open Metadata</v>
      </c>
      <c r="B107" s="15" t="str">
        <f aca="false">Data!$B105</f>
        <v>Thoth Open Metadata</v>
      </c>
      <c r="C107" s="40" t="n">
        <f aca="false">IF(Data!$S105="","",Data!$S105)</f>
        <v>30</v>
      </c>
      <c r="D107" s="28" t="n">
        <f aca="false">IF(AND(ISNUMBER(C107),C107&gt;0),LOG10(C107),"")</f>
        <v>1.47712125471966</v>
      </c>
      <c r="E107" s="32" t="str">
        <f aca="false">IF(Data!$T105&lt;&gt;"","Yes","No")</f>
        <v>Yes</v>
      </c>
      <c r="F107" s="32" t="str">
        <f aca="false">IF(OR(AND(ISNUMBER(C107),C107&gt;0),E107="Yes"),"Yes","No")</f>
        <v>Yes</v>
      </c>
      <c r="G107" s="29" t="n">
        <f aca="false">Scoring!S105</f>
        <v>100</v>
      </c>
    </row>
    <row r="108" customFormat="false" ht="15" hidden="false" customHeight="true" outlineLevel="0" collapsed="false">
      <c r="A108" s="15" t="str">
        <f aca="false">Data!$A106</f>
        <v>Tropy</v>
      </c>
      <c r="B108" s="15" t="str">
        <f aca="false">Data!$B106</f>
        <v>Digital Scholar</v>
      </c>
      <c r="C108" s="40" t="str">
        <f aca="false">IF(Data!$S106="","",Data!$S106)</f>
        <v/>
      </c>
      <c r="D108" s="28" t="str">
        <f aca="false">IF(AND(ISNUMBER(C108),C108&gt;0),LOG10(C108),"")</f>
        <v/>
      </c>
      <c r="E108" s="32" t="str">
        <f aca="false">IF(Data!$T106&lt;&gt;"","Yes","No")</f>
        <v>No</v>
      </c>
      <c r="F108" s="32" t="str">
        <f aca="false">IF(OR(AND(ISNUMBER(C108),C108&gt;0),E108="Yes"),"Yes","No")</f>
        <v>No</v>
      </c>
      <c r="G108" s="29" t="n">
        <f aca="false">Scoring!S106</f>
        <v>45.2</v>
      </c>
    </row>
    <row r="109" customFormat="false" ht="15" hidden="false" customHeight="true" outlineLevel="0" collapsed="false">
      <c r="A109" s="15" t="str">
        <f aca="false">Data!$A107</f>
        <v>veraPDF</v>
      </c>
      <c r="B109" s="15" t="str">
        <f aca="false">Data!$B107</f>
        <v>veraPDF Consortium</v>
      </c>
      <c r="C109" s="40" t="str">
        <f aca="false">IF(Data!$S107="","",Data!$S107)</f>
        <v/>
      </c>
      <c r="D109" s="28" t="str">
        <f aca="false">IF(AND(ISNUMBER(C109),C109&gt;0),LOG10(C109),"")</f>
        <v/>
      </c>
      <c r="E109" s="32" t="str">
        <f aca="false">IF(Data!$T107&lt;&gt;"","Yes","No")</f>
        <v>Yes</v>
      </c>
      <c r="F109" s="32" t="str">
        <f aca="false">IF(OR(AND(ISNUMBER(C109),C109&gt;0),E109="Yes"),"Yes","No")</f>
        <v>Yes</v>
      </c>
      <c r="G109" s="29" t="n">
        <f aca="false">Scoring!S107</f>
        <v>81.1428571428572</v>
      </c>
    </row>
    <row r="110" customFormat="false" ht="15" hidden="false" customHeight="true" outlineLevel="0" collapsed="false">
      <c r="A110" s="15" t="str">
        <f aca="false">Data!$A108</f>
        <v>ViPER</v>
      </c>
      <c r="B110" s="15" t="str">
        <f aca="false">Data!$B108</f>
        <v>Open Preservation Foundation</v>
      </c>
      <c r="C110" s="40" t="n">
        <f aca="false">IF(Data!$S108="","",Data!$S108)</f>
        <v>32</v>
      </c>
      <c r="D110" s="28" t="n">
        <f aca="false">IF(AND(ISNUMBER(C110),C110&gt;0),LOG10(C110),"")</f>
        <v>1.50514997831991</v>
      </c>
      <c r="E110" s="32" t="str">
        <f aca="false">IF(Data!$T108&lt;&gt;"","Yes","No")</f>
        <v>Yes</v>
      </c>
      <c r="F110" s="32" t="str">
        <f aca="false">IF(OR(AND(ISNUMBER(C110),C110&gt;0),E110="Yes"),"Yes","No")</f>
        <v>Yes</v>
      </c>
      <c r="G110" s="29" t="n">
        <f aca="false">Scoring!S108</f>
        <v>83.05</v>
      </c>
    </row>
    <row r="111" customFormat="false" ht="15" hidden="false" customHeight="true" outlineLevel="0" collapsed="false">
      <c r="A111" s="15" t="str">
        <f aca="false">Data!$A109</f>
        <v>Vireo ETD</v>
      </c>
      <c r="B111" s="15" t="str">
        <f aca="false">Data!$B109</f>
        <v>Texas Digital Library</v>
      </c>
      <c r="C111" s="40" t="n">
        <f aca="false">IF(Data!$S109="","",Data!$S109)</f>
        <v>14</v>
      </c>
      <c r="D111" s="28" t="n">
        <f aca="false">IF(AND(ISNUMBER(C111),C111&gt;0),LOG10(C111),"")</f>
        <v>1.14612803567824</v>
      </c>
      <c r="E111" s="32" t="str">
        <f aca="false">IF(Data!$T109&lt;&gt;"","Yes","No")</f>
        <v>Yes</v>
      </c>
      <c r="F111" s="32" t="str">
        <f aca="false">IF(OR(AND(ISNUMBER(C111),C111&gt;0),E111="Yes"),"Yes","No")</f>
        <v>Yes</v>
      </c>
      <c r="G111" s="29" t="n">
        <f aca="false">Scoring!S109</f>
        <v>82.9545454545454</v>
      </c>
    </row>
    <row r="112" customFormat="false" ht="15" hidden="false" customHeight="true" outlineLevel="0" collapsed="false">
      <c r="A112" s="15" t="str">
        <f aca="false">Data!$A110</f>
        <v>VIVO</v>
      </c>
      <c r="B112" s="15" t="str">
        <f aca="false">Data!$B110</f>
        <v>Lyrasis</v>
      </c>
      <c r="C112" s="40" t="n">
        <f aca="false">IF(Data!$S110="","",Data!$S110)</f>
        <v>14</v>
      </c>
      <c r="D112" s="28" t="n">
        <f aca="false">IF(AND(ISNUMBER(C112),C112&gt;0),LOG10(C112),"")</f>
        <v>1.14612803567824</v>
      </c>
      <c r="E112" s="32" t="str">
        <f aca="false">IF(Data!$T110&lt;&gt;"","Yes","No")</f>
        <v>Yes</v>
      </c>
      <c r="F112" s="32" t="str">
        <f aca="false">IF(OR(AND(ISNUMBER(C112),C112&gt;0),E112="Yes"),"Yes","No")</f>
        <v>Yes</v>
      </c>
      <c r="G112" s="29" t="n">
        <f aca="false">Scoring!S110</f>
        <v>83.95</v>
      </c>
    </row>
    <row r="113" customFormat="false" ht="15" hidden="false" customHeight="true" outlineLevel="0" collapsed="false">
      <c r="A113" s="15" t="str">
        <f aca="false">Data!$A111</f>
        <v>VuFind®</v>
      </c>
      <c r="B113" s="15" t="str">
        <f aca="false">Data!$B111</f>
        <v>Open Library Foundation</v>
      </c>
      <c r="C113" s="40" t="n">
        <f aca="false">IF(Data!$S111="","",Data!$S111)</f>
        <v>10</v>
      </c>
      <c r="D113" s="28" t="n">
        <f aca="false">IF(AND(ISNUMBER(C113),C113&gt;0),LOG10(C113),"")</f>
        <v>1</v>
      </c>
      <c r="E113" s="32" t="str">
        <f aca="false">IF(Data!$T111&lt;&gt;"","Yes","No")</f>
        <v>Yes</v>
      </c>
      <c r="F113" s="32" t="str">
        <f aca="false">IF(OR(AND(ISNUMBER(C113),C113&gt;0),E113="Yes"),"Yes","No")</f>
        <v>Yes</v>
      </c>
      <c r="G113" s="29" t="n">
        <f aca="false">Scoring!S111</f>
        <v>94.5</v>
      </c>
    </row>
    <row r="114" customFormat="false" ht="15" hidden="false" customHeight="true" outlineLevel="0" collapsed="false">
      <c r="A114" s="15" t="str">
        <f aca="false">Data!$A112</f>
        <v>Zenodo</v>
      </c>
      <c r="B114" s="15" t="str">
        <f aca="false">Data!$B112</f>
        <v>CERN</v>
      </c>
      <c r="C114" s="40" t="n">
        <f aca="false">IF(Data!$S112="","",Data!$S112)</f>
        <v>0</v>
      </c>
      <c r="D114" s="28" t="str">
        <f aca="false">IF(AND(ISNUMBER(C114),C114&gt;0),LOG10(C114),"")</f>
        <v/>
      </c>
      <c r="E114" s="32" t="str">
        <f aca="false">IF(Data!$T112&lt;&gt;"","Yes","No")</f>
        <v>No</v>
      </c>
      <c r="F114" s="32" t="str">
        <f aca="false">IF(OR(AND(ISNUMBER(C114),C114&gt;0),E114="Yes"),"Yes","No")</f>
        <v>No</v>
      </c>
      <c r="G114" s="29" t="n">
        <f aca="false">Scoring!S112</f>
        <v>61.5384615384615</v>
      </c>
    </row>
    <row r="115" customFormat="false" ht="15" hidden="false" customHeight="true" outlineLevel="0" collapsed="false">
      <c r="A115" s="15" t="str">
        <f aca="false">Data!$A113</f>
        <v>Zotero</v>
      </c>
      <c r="B115" s="15" t="str">
        <f aca="false">Data!$B113</f>
        <v>Digital Scholar</v>
      </c>
      <c r="C115" s="40" t="str">
        <f aca="false">IF(Data!$S113="","",Data!$S113)</f>
        <v/>
      </c>
      <c r="D115" s="28" t="str">
        <f aca="false">IF(AND(ISNUMBER(C115),C115&gt;0),LOG10(C115),"")</f>
        <v/>
      </c>
      <c r="E115" s="32" t="str">
        <f aca="false">IF(Data!$T113&lt;&gt;"","Yes","No")</f>
        <v>No</v>
      </c>
      <c r="F115" s="32" t="str">
        <f aca="false">IF(OR(AND(ISNUMBER(C115),C115&gt;0),E115="Yes"),"Yes","No")</f>
        <v>No</v>
      </c>
      <c r="G115" s="29" t="n">
        <f aca="false">Scoring!S113</f>
        <v>64</v>
      </c>
    </row>
  </sheetData>
  <mergeCells count="1">
    <mergeCell ref="I14: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80"/>
    <col collapsed="false" customWidth="true" hidden="false" outlineLevel="0" max="4" min="4" style="1" width="45"/>
    <col collapsed="false" customWidth="true" hidden="false" outlineLevel="0" max="5" min="5" style="1" width="26"/>
    <col collapsed="false" customWidth="true" hidden="false" outlineLevel="0" max="6" min="6" style="1" width="40"/>
    <col collapsed="false" customWidth="true" hidden="false" outlineLevel="0" max="7" min="7" style="1" width="16"/>
    <col collapsed="false" customWidth="true" hidden="false" outlineLevel="0" max="8" min="8" style="1" width="30"/>
  </cols>
  <sheetData>
    <row r="1" customFormat="false" ht="15" hidden="false" customHeight="true" outlineLevel="0" collapsed="false">
      <c r="A1" s="25" t="s">
        <v>355</v>
      </c>
    </row>
    <row r="2" customFormat="false" ht="15" hidden="false" customHeight="true" outlineLevel="0" collapsed="false">
      <c r="A2" s="27" t="s">
        <v>356</v>
      </c>
    </row>
    <row r="4" customFormat="false" ht="23.25" hidden="false" customHeight="true" outlineLevel="0" collapsed="false">
      <c r="A4" s="39" t="s">
        <v>357</v>
      </c>
      <c r="B4" s="39" t="s">
        <v>236</v>
      </c>
      <c r="C4" s="39" t="s">
        <v>358</v>
      </c>
      <c r="D4" s="39" t="s">
        <v>359</v>
      </c>
      <c r="E4" s="39" t="s">
        <v>360</v>
      </c>
      <c r="F4" s="39" t="s">
        <v>361</v>
      </c>
      <c r="G4" s="39" t="s">
        <v>362</v>
      </c>
      <c r="H4" s="39" t="s">
        <v>363</v>
      </c>
    </row>
    <row r="5" customFormat="false" ht="34.5" hidden="false" customHeight="true" outlineLevel="0" collapsed="false">
      <c r="A5" s="12" t="n">
        <v>6</v>
      </c>
      <c r="B5" s="12" t="str">
        <f aca="false">Data!$A6</f>
        <v>Archipelago Commons</v>
      </c>
      <c r="C5" s="12" t="s">
        <v>364</v>
      </c>
      <c r="D5" s="12" t="str">
        <f aca="false">IF(Coding!N6=1,Dictionary!$A$5&amp;"; ","")&amp;IF(Coding!O6=1,Dictionary!$A$6&amp;"; ","")&amp;IF(Coding!P6=1,Dictionary!$A$7&amp;"; ","")&amp;IF(Coding!Q6=1,Dictionary!$A$8&amp;"; ","")&amp;IF(Coding!R6=1,Dictionary!$A$9&amp;"; ","")&amp;IF(Coding!S6=1,Dictionary!$A$10&amp;"; ","")&amp;IF(Coding!T6=1,Dictionary!$A$11&amp;"; ","")&amp;IF(Coding!U6=1,Dictionary!$A$12&amp;"; ","")&amp;IF(Coding!V6=1,Dictionary!$A$13&amp;"; ","")&amp;IF(Coding!W6=1,Dictionary!$A$14&amp;"; ","")&amp;IF(Coding!X6=1,Dictionary!$A$15&amp;"; ","")&amp;IF(Coding!Y6=1,Dictionary!$A$16&amp;"; ","")</f>
        <v>Mailing lists and discussion forums (including Slack); </v>
      </c>
      <c r="E5" s="12" t="str">
        <f aca="false">IF(Coding!AH6=1,"Both filled; coded not in checklist: "&amp;Coding!AJ6,"Only 938 filled")</f>
        <v>Both filled; coded not in checklist: 0</v>
      </c>
      <c r="F5" s="12" t="s">
        <v>365</v>
      </c>
      <c r="G5" s="43"/>
      <c r="H5" s="12"/>
    </row>
    <row r="6" customFormat="false" ht="113.25" hidden="false" customHeight="true" outlineLevel="0" collapsed="false">
      <c r="A6" s="12" t="n">
        <v>11</v>
      </c>
      <c r="B6" s="12" t="str">
        <f aca="false">Data!$A11</f>
        <v>arXiv</v>
      </c>
      <c r="C6" s="12" t="s">
        <v>366</v>
      </c>
      <c r="D6" s="12" t="str">
        <f aca="false">IF(Coding!N11=1,Dictionary!$A$5&amp;"; ","")&amp;IF(Coding!O11=1,Dictionary!$A$6&amp;"; ","")&amp;IF(Coding!P11=1,Dictionary!$A$7&amp;"; ","")&amp;IF(Coding!Q11=1,Dictionary!$A$8&amp;"; ","")&amp;IF(Coding!R11=1,Dictionary!$A$9&amp;"; ","")&amp;IF(Coding!S11=1,Dictionary!$A$10&amp;"; ","")&amp;IF(Coding!T11=1,Dictionary!$A$11&amp;"; ","")&amp;IF(Coding!U11=1,Dictionary!$A$12&amp;"; ","")&amp;IF(Coding!V11=1,Dictionary!$A$13&amp;"; ","")&amp;IF(Coding!W11=1,Dictionary!$A$14&amp;"; ","")&amp;IF(Coding!X11=1,Dictionary!$A$15&amp;"; ","")&amp;IF(Coding!Y11=1,Dictionary!$A$16&amp;"; ","")</f>
        <v>Interest, working, user, or advisory groups; </v>
      </c>
      <c r="E6" s="12" t="str">
        <f aca="false">IF(Coding!AH11=1,"Both filled; coded not in checklist: "&amp;Coding!AJ11,"Only 938 filled")</f>
        <v>Only 938 filled</v>
      </c>
      <c r="F6" s="12" t="s">
        <v>365</v>
      </c>
      <c r="G6" s="43"/>
      <c r="H6" s="12"/>
    </row>
    <row r="7" customFormat="false" ht="45.75" hidden="false" customHeight="true" outlineLevel="0" collapsed="false">
      <c r="A7" s="12" t="n">
        <v>25</v>
      </c>
      <c r="B7" s="12" t="str">
        <f aca="false">Data!$A25</f>
        <v>COUNTER Code of Practice</v>
      </c>
      <c r="C7" s="12" t="s">
        <v>367</v>
      </c>
      <c r="D7" s="12" t="str">
        <f aca="false">IF(Coding!N25=1,Dictionary!$A$5&amp;"; ","")&amp;IF(Coding!O25=1,Dictionary!$A$6&amp;"; ","")&amp;IF(Coding!P25=1,Dictionary!$A$7&amp;"; ","")&amp;IF(Coding!Q25=1,Dictionary!$A$8&amp;"; ","")&amp;IF(Coding!R25=1,Dictionary!$A$9&amp;"; ","")&amp;IF(Coding!S25=1,Dictionary!$A$10&amp;"; ","")&amp;IF(Coding!T25=1,Dictionary!$A$11&amp;"; ","")&amp;IF(Coding!U25=1,Dictionary!$A$12&amp;"; ","")&amp;IF(Coding!V25=1,Dictionary!$A$13&amp;"; ","")&amp;IF(Coding!W25=1,Dictionary!$A$14&amp;"; ","")&amp;IF(Coding!X25=1,Dictionary!$A$15&amp;"; ","")&amp;IF(Coding!Y25=1,Dictionary!$A$16&amp;"; ","")</f>
        <v>Annual meetings; Interest, working, user, or advisory groups; Webinars and training; </v>
      </c>
      <c r="E7" s="12" t="str">
        <f aca="false">IF(Coding!AH25=1,"Both filled; coded not in checklist: "&amp;Coding!AJ25,"Only 938 filled")</f>
        <v>Both filled; coded not in checklist: 0</v>
      </c>
      <c r="F7" s="12" t="s">
        <v>365</v>
      </c>
      <c r="G7" s="43"/>
      <c r="H7" s="12"/>
    </row>
    <row r="8" customFormat="false" ht="34.5" hidden="false" customHeight="true" outlineLevel="0" collapsed="false">
      <c r="A8" s="12" t="n">
        <v>26</v>
      </c>
      <c r="B8" s="12" t="str">
        <f aca="false">Data!$A26</f>
        <v>Creative Commons Licenses</v>
      </c>
      <c r="C8" s="12" t="s">
        <v>368</v>
      </c>
      <c r="D8" s="12" t="str">
        <f aca="false">IF(Coding!N26=1,Dictionary!$A$5&amp;"; ","")&amp;IF(Coding!O26=1,Dictionary!$A$6&amp;"; ","")&amp;IF(Coding!P26=1,Dictionary!$A$7&amp;"; ","")&amp;IF(Coding!Q26=1,Dictionary!$A$8&amp;"; ","")&amp;IF(Coding!R26=1,Dictionary!$A$9&amp;"; ","")&amp;IF(Coding!S26=1,Dictionary!$A$10&amp;"; ","")&amp;IF(Coding!T26=1,Dictionary!$A$11&amp;"; ","")&amp;IF(Coding!U26=1,Dictionary!$A$12&amp;"; ","")&amp;IF(Coding!V26=1,Dictionary!$A$13&amp;"; ","")&amp;IF(Coding!W26=1,Dictionary!$A$14&amp;"; ","")&amp;IF(Coding!X26=1,Dictionary!$A$15&amp;"; ","")&amp;IF(Coding!Y26=1,Dictionary!$A$16&amp;"; ","")</f>
        <v>Annual meetings; Blogs; Community calls; Staff roles with responsibility for community engagement; </v>
      </c>
      <c r="E8" s="12" t="str">
        <f aca="false">IF(Coding!AH26=1,"Both filled; coded not in checklist: "&amp;Coding!AJ26,"Only 938 filled")</f>
        <v>Only 938 filled</v>
      </c>
      <c r="F8" s="12" t="s">
        <v>365</v>
      </c>
      <c r="G8" s="43"/>
      <c r="H8" s="12"/>
    </row>
    <row r="9" customFormat="false" ht="124.5" hidden="false" customHeight="true" outlineLevel="0" collapsed="false">
      <c r="A9" s="12" t="n">
        <v>27</v>
      </c>
      <c r="B9" s="12" t="str">
        <f aca="false">Data!$A27</f>
        <v>Crossref Metadata Retrieval</v>
      </c>
      <c r="C9" s="12" t="s">
        <v>369</v>
      </c>
      <c r="D9" s="12" t="str">
        <f aca="false">IF(Coding!N27=1,Dictionary!$A$5&amp;"; ","")&amp;IF(Coding!O27=1,Dictionary!$A$6&amp;"; ","")&amp;IF(Coding!P27=1,Dictionary!$A$7&amp;"; ","")&amp;IF(Coding!Q27=1,Dictionary!$A$8&amp;"; ","")&amp;IF(Coding!R27=1,Dictionary!$A$9&amp;"; ","")&amp;IF(Coding!S27=1,Dictionary!$A$10&amp;"; ","")&amp;IF(Coding!T27=1,Dictionary!$A$11&amp;"; ","")&amp;IF(Coding!U27=1,Dictionary!$A$12&amp;"; ","")&amp;IF(Coding!V27=1,Dictionary!$A$13&amp;"; ","")&amp;IF(Coding!W27=1,Dictionary!$A$14&amp;"; ","")&amp;IF(Coding!X27=1,Dictionary!$A$15&amp;"; ","")&amp;IF(Coding!Y27=1,Dictionary!$A$16&amp;"; ","")</f>
        <v>Conference participation; Interest, working, user, or advisory groups; Mailing lists and discussion forums (including Slack); Volunteer or ambassador network; Webinars and training; </v>
      </c>
      <c r="E9" s="12" t="str">
        <f aca="false">IF(Coding!AH27=1,"Both filled; coded not in checklist: "&amp;Coding!AJ27,"Only 938 filled")</f>
        <v>Only 938 filled</v>
      </c>
      <c r="F9" s="12" t="s">
        <v>365</v>
      </c>
      <c r="G9" s="43"/>
      <c r="H9" s="12"/>
    </row>
    <row r="10" customFormat="false" ht="57" hidden="false" customHeight="true" outlineLevel="0" collapsed="false">
      <c r="A10" s="12" t="n">
        <v>38</v>
      </c>
      <c r="B10" s="12" t="str">
        <f aca="false">Data!$A38</f>
        <v>DOAJ (Directory of Open Access Journals)</v>
      </c>
      <c r="C10" s="12" t="s">
        <v>370</v>
      </c>
      <c r="D10" s="12" t="str">
        <f aca="false">IF(Coding!N38=1,Dictionary!$A$5&amp;"; ","")&amp;IF(Coding!O38=1,Dictionary!$A$6&amp;"; ","")&amp;IF(Coding!P38=1,Dictionary!$A$7&amp;"; ","")&amp;IF(Coding!Q38=1,Dictionary!$A$8&amp;"; ","")&amp;IF(Coding!R38=1,Dictionary!$A$9&amp;"; ","")&amp;IF(Coding!S38=1,Dictionary!$A$10&amp;"; ","")&amp;IF(Coding!T38=1,Dictionary!$A$11&amp;"; ","")&amp;IF(Coding!U38=1,Dictionary!$A$12&amp;"; ","")&amp;IF(Coding!V38=1,Dictionary!$A$13&amp;"; ","")&amp;IF(Coding!W38=1,Dictionary!$A$14&amp;"; ","")&amp;IF(Coding!X38=1,Dictionary!$A$15&amp;"; ","")&amp;IF(Coding!Y38=1,Dictionary!$A$16&amp;"; ","")</f>
        <v>Interest, working, user, or advisory groups; </v>
      </c>
      <c r="E10" s="12" t="str">
        <f aca="false">IF(Coding!AH38=1,"Both filled; coded not in checklist: "&amp;Coding!AJ38,"Only 938 filled")</f>
        <v>Both filled; coded not in checklist: 0</v>
      </c>
      <c r="F10" s="12" t="s">
        <v>371</v>
      </c>
      <c r="G10" s="43"/>
      <c r="H10" s="12"/>
    </row>
    <row r="11" customFormat="false" ht="34.5" hidden="false" customHeight="true" outlineLevel="0" collapsed="false">
      <c r="A11" s="12" t="n">
        <v>39</v>
      </c>
      <c r="B11" s="12" t="str">
        <f aca="false">Data!$A39</f>
        <v>dokieli</v>
      </c>
      <c r="C11" s="12" t="s">
        <v>372</v>
      </c>
      <c r="D11" s="12" t="str">
        <f aca="false">IF(Coding!N39=1,Dictionary!$A$5&amp;"; ","")&amp;IF(Coding!O39=1,Dictionary!$A$6&amp;"; ","")&amp;IF(Coding!P39=1,Dictionary!$A$7&amp;"; ","")&amp;IF(Coding!Q39=1,Dictionary!$A$8&amp;"; ","")&amp;IF(Coding!R39=1,Dictionary!$A$9&amp;"; ","")&amp;IF(Coding!S39=1,Dictionary!$A$10&amp;"; ","")&amp;IF(Coding!T39=1,Dictionary!$A$11&amp;"; ","")&amp;IF(Coding!U39=1,Dictionary!$A$12&amp;"; ","")&amp;IF(Coding!V39=1,Dictionary!$A$13&amp;"; ","")&amp;IF(Coding!W39=1,Dictionary!$A$14&amp;"; ","")&amp;IF(Coding!X39=1,Dictionary!$A$15&amp;"; ","")&amp;IF(Coding!Y39=1,Dictionary!$A$16&amp;"; ","")</f>
        <v>Conference participation; Mailing lists and discussion forums (including Slack); Webinars and training; </v>
      </c>
      <c r="E11" s="12" t="str">
        <f aca="false">IF(Coding!AH39=1,"Both filled; coded not in checklist: "&amp;Coding!AJ39,"Only 938 filled")</f>
        <v>Only 938 filled</v>
      </c>
      <c r="F11" s="12" t="s">
        <v>365</v>
      </c>
      <c r="G11" s="43"/>
      <c r="H11" s="12"/>
    </row>
    <row r="12" customFormat="false" ht="68.25" hidden="false" customHeight="true" outlineLevel="0" collapsed="false">
      <c r="A12" s="12" t="n">
        <v>40</v>
      </c>
      <c r="B12" s="12" t="str">
        <f aca="false">Data!$A40</f>
        <v>Dryad</v>
      </c>
      <c r="C12" s="12" t="s">
        <v>373</v>
      </c>
      <c r="D12" s="12" t="str">
        <f aca="false">IF(Coding!N40=1,Dictionary!$A$5&amp;"; ","")&amp;IF(Coding!O40=1,Dictionary!$A$6&amp;"; ","")&amp;IF(Coding!P40=1,Dictionary!$A$7&amp;"; ","")&amp;IF(Coding!Q40=1,Dictionary!$A$8&amp;"; ","")&amp;IF(Coding!R40=1,Dictionary!$A$9&amp;"; ","")&amp;IF(Coding!S40=1,Dictionary!$A$10&amp;"; ","")&amp;IF(Coding!T40=1,Dictionary!$A$11&amp;"; ","")&amp;IF(Coding!U40=1,Dictionary!$A$12&amp;"; ","")&amp;IF(Coding!V40=1,Dictionary!$A$13&amp;"; ","")&amp;IF(Coding!W40=1,Dictionary!$A$14&amp;"; ","")&amp;IF(Coding!X40=1,Dictionary!$A$15&amp;"; ","")&amp;IF(Coding!Y40=1,Dictionary!$A$16&amp;"; ","")</f>
        <v>Interest, working, user, or advisory groups; Mailing lists and discussion forums (including Slack); </v>
      </c>
      <c r="E12" s="12" t="str">
        <f aca="false">IF(Coding!AH40=1,"Both filled; coded not in checklist: "&amp;Coding!AJ40,"Only 938 filled")</f>
        <v>Only 938 filled</v>
      </c>
      <c r="F12" s="12" t="s">
        <v>365</v>
      </c>
      <c r="G12" s="43"/>
      <c r="H12" s="12"/>
    </row>
    <row r="13" customFormat="false" ht="68.25" hidden="false" customHeight="true" outlineLevel="0" collapsed="false">
      <c r="A13" s="12" t="n">
        <v>53</v>
      </c>
      <c r="B13" s="12" t="str">
        <f aca="false">Data!$A53</f>
        <v>Hyku</v>
      </c>
      <c r="C13" s="12" t="s">
        <v>374</v>
      </c>
      <c r="D13" s="12" t="str">
        <f aca="false">IF(Coding!N53=1,Dictionary!$A$5&amp;"; ","")&amp;IF(Coding!O53=1,Dictionary!$A$6&amp;"; ","")&amp;IF(Coding!P53=1,Dictionary!$A$7&amp;"; ","")&amp;IF(Coding!Q53=1,Dictionary!$A$8&amp;"; ","")&amp;IF(Coding!R53=1,Dictionary!$A$9&amp;"; ","")&amp;IF(Coding!S53=1,Dictionary!$A$10&amp;"; ","")&amp;IF(Coding!T53=1,Dictionary!$A$11&amp;"; ","")&amp;IF(Coding!U53=1,Dictionary!$A$12&amp;"; ","")&amp;IF(Coding!V53=1,Dictionary!$A$13&amp;"; ","")&amp;IF(Coding!W53=1,Dictionary!$A$14&amp;"; ","")&amp;IF(Coding!X53=1,Dictionary!$A$15&amp;"; ","")&amp;IF(Coding!Y53=1,Dictionary!$A$16&amp;"; ","")</f>
        <v>Interest, working, user, or advisory groups; </v>
      </c>
      <c r="E13" s="12" t="str">
        <f aca="false">IF(Coding!AH53=1,"Both filled; coded not in checklist: "&amp;Coding!AJ53,"Only 938 filled")</f>
        <v>Both filled; coded not in checklist: 0</v>
      </c>
      <c r="F13" s="12" t="s">
        <v>365</v>
      </c>
      <c r="G13" s="43"/>
      <c r="H13" s="12"/>
    </row>
    <row r="14" customFormat="false" ht="45.75" hidden="false" customHeight="true" outlineLevel="0" collapsed="false">
      <c r="A14" s="12" t="n">
        <v>58</v>
      </c>
      <c r="B14" s="12" t="str">
        <f aca="false">Data!$A58</f>
        <v>InvenioRDM</v>
      </c>
      <c r="C14" s="12" t="s">
        <v>375</v>
      </c>
      <c r="D14" s="12" t="str">
        <f aca="false">IF(Coding!N58=1,Dictionary!$A$5&amp;"; ","")&amp;IF(Coding!O58=1,Dictionary!$A$6&amp;"; ","")&amp;IF(Coding!P58=1,Dictionary!$A$7&amp;"; ","")&amp;IF(Coding!Q58=1,Dictionary!$A$8&amp;"; ","")&amp;IF(Coding!R58=1,Dictionary!$A$9&amp;"; ","")&amp;IF(Coding!S58=1,Dictionary!$A$10&amp;"; ","")&amp;IF(Coding!T58=1,Dictionary!$A$11&amp;"; ","")&amp;IF(Coding!U58=1,Dictionary!$A$12&amp;"; ","")&amp;IF(Coding!V58=1,Dictionary!$A$13&amp;"; ","")&amp;IF(Coding!W58=1,Dictionary!$A$14&amp;"; ","")&amp;IF(Coding!X58=1,Dictionary!$A$15&amp;"; ","")&amp;IF(Coding!Y58=1,Dictionary!$A$16&amp;"; ","")</f>
        <v>Staff roles with responsibility for community engagement; </v>
      </c>
      <c r="E14" s="12" t="str">
        <f aca="false">IF(Coding!AH58=1,"Both filled; coded not in checklist: "&amp;Coding!AJ58,"Only 938 filled")</f>
        <v>Only 938 filled</v>
      </c>
      <c r="F14" s="12" t="s">
        <v>365</v>
      </c>
      <c r="G14" s="43"/>
      <c r="H14" s="12"/>
    </row>
    <row r="15" customFormat="false" ht="113.25" hidden="false" customHeight="true" outlineLevel="0" collapsed="false">
      <c r="A15" s="12" t="n">
        <v>60</v>
      </c>
      <c r="B15" s="12" t="str">
        <f aca="false">Data!$A60</f>
        <v>Islandora</v>
      </c>
      <c r="C15" s="12" t="s">
        <v>376</v>
      </c>
      <c r="D15" s="12" t="str">
        <f aca="false">IF(Coding!N60=1,Dictionary!$A$5&amp;"; ","")&amp;IF(Coding!O60=1,Dictionary!$A$6&amp;"; ","")&amp;IF(Coding!P60=1,Dictionary!$A$7&amp;"; ","")&amp;IF(Coding!Q60=1,Dictionary!$A$8&amp;"; ","")&amp;IF(Coding!R60=1,Dictionary!$A$9&amp;"; ","")&amp;IF(Coding!S60=1,Dictionary!$A$10&amp;"; ","")&amp;IF(Coding!T60=1,Dictionary!$A$11&amp;"; ","")&amp;IF(Coding!U60=1,Dictionary!$A$12&amp;"; ","")&amp;IF(Coding!V60=1,Dictionary!$A$13&amp;"; ","")&amp;IF(Coding!W60=1,Dictionary!$A$14&amp;"; ","")&amp;IF(Coding!X60=1,Dictionary!$A$15&amp;"; ","")&amp;IF(Coding!Y60=1,Dictionary!$A$16&amp;"; ","")</f>
        <v>Interest, working, user, or advisory groups; </v>
      </c>
      <c r="E15" s="12" t="str">
        <f aca="false">IF(Coding!AH60=1,"Both filled; coded not in checklist: "&amp;Coding!AJ60,"Only 938 filled")</f>
        <v>Both filled; coded not in checklist: 0</v>
      </c>
      <c r="F15" s="12" t="s">
        <v>365</v>
      </c>
      <c r="G15" s="43"/>
      <c r="H15" s="12"/>
    </row>
    <row r="16" customFormat="false" ht="57" hidden="false" customHeight="true" outlineLevel="0" collapsed="false">
      <c r="A16" s="12" t="n">
        <v>67</v>
      </c>
      <c r="B16" s="12" t="str">
        <f aca="false">Data!$A67</f>
        <v>Mirador</v>
      </c>
      <c r="C16" s="12" t="s">
        <v>377</v>
      </c>
      <c r="D16" s="12" t="str">
        <f aca="false">IF(Coding!N67=1,Dictionary!$A$5&amp;"; ","")&amp;IF(Coding!O67=1,Dictionary!$A$6&amp;"; ","")&amp;IF(Coding!P67=1,Dictionary!$A$7&amp;"; ","")&amp;IF(Coding!Q67=1,Dictionary!$A$8&amp;"; ","")&amp;IF(Coding!R67=1,Dictionary!$A$9&amp;"; ","")&amp;IF(Coding!S67=1,Dictionary!$A$10&amp;"; ","")&amp;IF(Coding!T67=1,Dictionary!$A$11&amp;"; ","")&amp;IF(Coding!U67=1,Dictionary!$A$12&amp;"; ","")&amp;IF(Coding!V67=1,Dictionary!$A$13&amp;"; ","")&amp;IF(Coding!W67=1,Dictionary!$A$14&amp;"; ","")&amp;IF(Coding!X67=1,Dictionary!$A$15&amp;"; ","")&amp;IF(Coding!Y67=1,Dictionary!$A$16&amp;"; ","")</f>
        <v>Community calls; Mailing lists and discussion forums (including Slack); </v>
      </c>
      <c r="E16" s="12" t="str">
        <f aca="false">IF(Coding!AH67=1,"Both filled; coded not in checklist: "&amp;Coding!AJ67,"Only 938 filled")</f>
        <v>Only 938 filled</v>
      </c>
      <c r="F16" s="12" t="s">
        <v>365</v>
      </c>
      <c r="G16" s="43"/>
      <c r="H16" s="12"/>
    </row>
    <row r="17" customFormat="false" ht="90.75" hidden="false" customHeight="true" outlineLevel="0" collapsed="false">
      <c r="A17" s="12" t="n">
        <v>72</v>
      </c>
      <c r="B17" s="12" t="str">
        <f aca="false">Data!$A72</f>
        <v>OA Switchboard</v>
      </c>
      <c r="C17" s="12" t="s">
        <v>378</v>
      </c>
      <c r="D17" s="12" t="str">
        <f aca="false">IF(Coding!N72=1,Dictionary!$A$5&amp;"; ","")&amp;IF(Coding!O72=1,Dictionary!$A$6&amp;"; ","")&amp;IF(Coding!P72=1,Dictionary!$A$7&amp;"; ","")&amp;IF(Coding!Q72=1,Dictionary!$A$8&amp;"; ","")&amp;IF(Coding!R72=1,Dictionary!$A$9&amp;"; ","")&amp;IF(Coding!S72=1,Dictionary!$A$10&amp;"; ","")&amp;IF(Coding!T72=1,Dictionary!$A$11&amp;"; ","")&amp;IF(Coding!U72=1,Dictionary!$A$12&amp;"; ","")&amp;IF(Coding!V72=1,Dictionary!$A$13&amp;"; ","")&amp;IF(Coding!W72=1,Dictionary!$A$14&amp;"; ","")&amp;IF(Coding!X72=1,Dictionary!$A$15&amp;"; ","")&amp;IF(Coding!Y72=1,Dictionary!$A$16&amp;"; ","")</f>
        <v>Blogs; Interest, working, user, or advisory groups; </v>
      </c>
      <c r="E17" s="12" t="str">
        <f aca="false">IF(Coding!AH72=1,"Both filled; coded not in checklist: "&amp;Coding!AJ72,"Only 938 filled")</f>
        <v>Only 938 filled</v>
      </c>
      <c r="F17" s="12" t="s">
        <v>379</v>
      </c>
      <c r="G17" s="43"/>
      <c r="H17" s="12"/>
    </row>
    <row r="18" customFormat="false" ht="23.25" hidden="false" customHeight="true" outlineLevel="0" collapsed="false">
      <c r="A18" s="12" t="n">
        <v>75</v>
      </c>
      <c r="B18" s="12" t="str">
        <f aca="false">Data!$A75</f>
        <v>OpenAlex</v>
      </c>
      <c r="C18" s="12" t="s">
        <v>380</v>
      </c>
      <c r="D18" s="12" t="str">
        <f aca="false">IF(Coding!N75=1,Dictionary!$A$5&amp;"; ","")&amp;IF(Coding!O75=1,Dictionary!$A$6&amp;"; ","")&amp;IF(Coding!P75=1,Dictionary!$A$7&amp;"; ","")&amp;IF(Coding!Q75=1,Dictionary!$A$8&amp;"; ","")&amp;IF(Coding!R75=1,Dictionary!$A$9&amp;"; ","")&amp;IF(Coding!S75=1,Dictionary!$A$10&amp;"; ","")&amp;IF(Coding!T75=1,Dictionary!$A$11&amp;"; ","")&amp;IF(Coding!U75=1,Dictionary!$A$12&amp;"; ","")&amp;IF(Coding!V75=1,Dictionary!$A$13&amp;"; ","")&amp;IF(Coding!W75=1,Dictionary!$A$14&amp;"; ","")&amp;IF(Coding!X75=1,Dictionary!$A$15&amp;"; ","")&amp;IF(Coding!Y75=1,Dictionary!$A$16&amp;"; ","")</f>
        <v>Interest, working, user, or advisory groups; Social media; Webinars and training; </v>
      </c>
      <c r="E18" s="12" t="str">
        <f aca="false">IF(Coding!AH75=1,"Both filled; coded not in checklist: "&amp;Coding!AJ75,"Only 938 filled")</f>
        <v>Only 938 filled</v>
      </c>
      <c r="F18" s="12" t="s">
        <v>365</v>
      </c>
      <c r="G18" s="43"/>
      <c r="H18" s="12"/>
    </row>
    <row r="19" customFormat="false" ht="113.25" hidden="false" customHeight="true" outlineLevel="0" collapsed="false">
      <c r="A19" s="12" t="n">
        <v>82</v>
      </c>
      <c r="B19" s="12" t="str">
        <f aca="false">Data!$A82</f>
        <v>Open Monograph Press (OMP)</v>
      </c>
      <c r="C19" s="12" t="s">
        <v>381</v>
      </c>
      <c r="D19" s="12" t="str">
        <f aca="false">IF(Coding!N82=1,Dictionary!$A$5&amp;"; ","")&amp;IF(Coding!O82=1,Dictionary!$A$6&amp;"; ","")&amp;IF(Coding!P82=1,Dictionary!$A$7&amp;"; ","")&amp;IF(Coding!Q82=1,Dictionary!$A$8&amp;"; ","")&amp;IF(Coding!R82=1,Dictionary!$A$9&amp;"; ","")&amp;IF(Coding!S82=1,Dictionary!$A$10&amp;"; ","")&amp;IF(Coding!T82=1,Dictionary!$A$11&amp;"; ","")&amp;IF(Coding!U82=1,Dictionary!$A$12&amp;"; ","")&amp;IF(Coding!V82=1,Dictionary!$A$13&amp;"; ","")&amp;IF(Coding!W82=1,Dictionary!$A$14&amp;"; ","")&amp;IF(Coding!X82=1,Dictionary!$A$15&amp;"; ","")&amp;IF(Coding!Y82=1,Dictionary!$A$16&amp;"; ","")</f>
        <v>Development sprints; Interest, working, user, or advisory groups; Mailing lists and discussion forums (including Slack); Staff roles with responsibility for community engagement; Webinars and training; </v>
      </c>
      <c r="E19" s="12" t="str">
        <f aca="false">IF(Coding!AH82=1,"Both filled; coded not in checklist: "&amp;Coding!AJ82,"Only 938 filled")</f>
        <v>Only 938 filled</v>
      </c>
      <c r="F19" s="12" t="s">
        <v>365</v>
      </c>
      <c r="G19" s="43"/>
      <c r="H19" s="12"/>
    </row>
    <row r="20" customFormat="false" ht="113.25" hidden="false" customHeight="true" outlineLevel="0" collapsed="false">
      <c r="A20" s="12" t="n">
        <v>83</v>
      </c>
      <c r="B20" s="12" t="str">
        <f aca="false">Data!$A83</f>
        <v>Open Preprint Systems (OPS)</v>
      </c>
      <c r="C20" s="12" t="s">
        <v>381</v>
      </c>
      <c r="D20" s="12" t="str">
        <f aca="false">IF(Coding!N83=1,Dictionary!$A$5&amp;"; ","")&amp;IF(Coding!O83=1,Dictionary!$A$6&amp;"; ","")&amp;IF(Coding!P83=1,Dictionary!$A$7&amp;"; ","")&amp;IF(Coding!Q83=1,Dictionary!$A$8&amp;"; ","")&amp;IF(Coding!R83=1,Dictionary!$A$9&amp;"; ","")&amp;IF(Coding!S83=1,Dictionary!$A$10&amp;"; ","")&amp;IF(Coding!T83=1,Dictionary!$A$11&amp;"; ","")&amp;IF(Coding!U83=1,Dictionary!$A$12&amp;"; ","")&amp;IF(Coding!V83=1,Dictionary!$A$13&amp;"; ","")&amp;IF(Coding!W83=1,Dictionary!$A$14&amp;"; ","")&amp;IF(Coding!X83=1,Dictionary!$A$15&amp;"; ","")&amp;IF(Coding!Y83=1,Dictionary!$A$16&amp;"; ","")</f>
        <v>Development sprints; Interest, working, user, or advisory groups; Mailing lists and discussion forums (including Slack); Staff roles with responsibility for community engagement; Webinars and training; </v>
      </c>
      <c r="E20" s="12" t="str">
        <f aca="false">IF(Coding!AH83=1,"Both filled; coded not in checklist: "&amp;Coding!AJ83,"Only 938 filled")</f>
        <v>Only 938 filled</v>
      </c>
      <c r="F20" s="12" t="s">
        <v>365</v>
      </c>
      <c r="G20" s="43"/>
      <c r="H20" s="12"/>
    </row>
    <row r="21" customFormat="false" ht="113.25" hidden="false" customHeight="true" outlineLevel="0" collapsed="false">
      <c r="A21" s="12" t="n">
        <v>90</v>
      </c>
      <c r="B21" s="12" t="str">
        <f aca="false">Data!$A90</f>
        <v>PREreview</v>
      </c>
      <c r="C21" s="12" t="s">
        <v>382</v>
      </c>
      <c r="D21" s="12" t="str">
        <f aca="false">IF(Coding!N90=1,Dictionary!$A$5&amp;"; ","")&amp;IF(Coding!O90=1,Dictionary!$A$6&amp;"; ","")&amp;IF(Coding!P90=1,Dictionary!$A$7&amp;"; ","")&amp;IF(Coding!Q90=1,Dictionary!$A$8&amp;"; ","")&amp;IF(Coding!R90=1,Dictionary!$A$9&amp;"; ","")&amp;IF(Coding!S90=1,Dictionary!$A$10&amp;"; ","")&amp;IF(Coding!T90=1,Dictionary!$A$11&amp;"; ","")&amp;IF(Coding!U90=1,Dictionary!$A$12&amp;"; ","")&amp;IF(Coding!V90=1,Dictionary!$A$13&amp;"; ","")&amp;IF(Coding!W90=1,Dictionary!$A$14&amp;"; ","")&amp;IF(Coding!X90=1,Dictionary!$A$15&amp;"; ","")&amp;IF(Coding!Y90=1,Dictionary!$A$16&amp;"; ","")</f>
        <v>Volunteer or ambassador network; Webinars and training; </v>
      </c>
      <c r="E21" s="12" t="str">
        <f aca="false">IF(Coding!AH90=1,"Both filled; coded not in checklist: "&amp;Coding!AJ90,"Only 938 filled")</f>
        <v>Both filled; coded not in checklist: 0</v>
      </c>
      <c r="F21" s="12" t="s">
        <v>365</v>
      </c>
      <c r="G21" s="43"/>
      <c r="H21" s="12"/>
    </row>
    <row r="22" customFormat="false" ht="57" hidden="false" customHeight="true" outlineLevel="0" collapsed="false">
      <c r="A22" s="12" t="n">
        <v>91</v>
      </c>
      <c r="B22" s="12" t="str">
        <f aca="false">Data!$A91</f>
        <v>Pressbooks</v>
      </c>
      <c r="C22" s="12" t="s">
        <v>383</v>
      </c>
      <c r="D22" s="12" t="str">
        <f aca="false">IF(Coding!N91=1,Dictionary!$A$5&amp;"; ","")&amp;IF(Coding!O91=1,Dictionary!$A$6&amp;"; ","")&amp;IF(Coding!P91=1,Dictionary!$A$7&amp;"; ","")&amp;IF(Coding!Q91=1,Dictionary!$A$8&amp;"; ","")&amp;IF(Coding!R91=1,Dictionary!$A$9&amp;"; ","")&amp;IF(Coding!S91=1,Dictionary!$A$10&amp;"; ","")&amp;IF(Coding!T91=1,Dictionary!$A$11&amp;"; ","")&amp;IF(Coding!U91=1,Dictionary!$A$12&amp;"; ","")&amp;IF(Coding!V91=1,Dictionary!$A$13&amp;"; ","")&amp;IF(Coding!W91=1,Dictionary!$A$14&amp;"; ","")&amp;IF(Coding!X91=1,Dictionary!$A$15&amp;"; ","")&amp;IF(Coding!Y91=1,Dictionary!$A$16&amp;"; ","")</f>
        <v>Community calls; Conference participation; </v>
      </c>
      <c r="E22" s="12" t="str">
        <f aca="false">IF(Coding!AH91=1,"Both filled; coded not in checklist: "&amp;Coding!AJ91,"Only 938 filled")</f>
        <v>Only 938 filled</v>
      </c>
      <c r="F22" s="12" t="s">
        <v>384</v>
      </c>
      <c r="G22" s="43"/>
      <c r="H22" s="12"/>
    </row>
    <row r="23" customFormat="false" ht="79.5" hidden="false" customHeight="true" outlineLevel="0" collapsed="false">
      <c r="A23" s="12" t="n">
        <v>94</v>
      </c>
      <c r="B23" s="12" t="str">
        <f aca="false">Data!$A94</f>
        <v>PubPub</v>
      </c>
      <c r="C23" s="12" t="s">
        <v>385</v>
      </c>
      <c r="D23" s="12" t="str">
        <f aca="false">IF(Coding!N94=1,Dictionary!$A$5&amp;"; ","")&amp;IF(Coding!O94=1,Dictionary!$A$6&amp;"; ","")&amp;IF(Coding!P94=1,Dictionary!$A$7&amp;"; ","")&amp;IF(Coding!Q94=1,Dictionary!$A$8&amp;"; ","")&amp;IF(Coding!R94=1,Dictionary!$A$9&amp;"; ","")&amp;IF(Coding!S94=1,Dictionary!$A$10&amp;"; ","")&amp;IF(Coding!T94=1,Dictionary!$A$11&amp;"; ","")&amp;IF(Coding!U94=1,Dictionary!$A$12&amp;"; ","")&amp;IF(Coding!V94=1,Dictionary!$A$13&amp;"; ","")&amp;IF(Coding!W94=1,Dictionary!$A$14&amp;"; ","")&amp;IF(Coding!X94=1,Dictionary!$A$15&amp;"; ","")&amp;IF(Coding!Y94=1,Dictionary!$A$16&amp;"; ","")</f>
        <v>Interest, working, user, or advisory groups; Staff roles with responsibility for community engagement; </v>
      </c>
      <c r="E23" s="12" t="str">
        <f aca="false">IF(Coding!AH94=1,"Both filled; coded not in checklist: "&amp;Coding!AJ94,"Only 938 filled")</f>
        <v>Only 938 filled</v>
      </c>
      <c r="F23" s="12" t="s">
        <v>365</v>
      </c>
      <c r="G23" s="43"/>
      <c r="H23" s="12"/>
    </row>
    <row r="24" customFormat="false" ht="102" hidden="false" customHeight="true" outlineLevel="0" collapsed="false">
      <c r="A24" s="12" t="n">
        <v>99</v>
      </c>
      <c r="B24" s="12" t="str">
        <f aca="false">Data!$A99</f>
        <v>Research Organization Registry (ROR)</v>
      </c>
      <c r="C24" s="12" t="s">
        <v>386</v>
      </c>
      <c r="D24" s="12" t="str">
        <f aca="false">IF(Coding!N99=1,Dictionary!$A$5&amp;"; ","")&amp;IF(Coding!O99=1,Dictionary!$A$6&amp;"; ","")&amp;IF(Coding!P99=1,Dictionary!$A$7&amp;"; ","")&amp;IF(Coding!Q99=1,Dictionary!$A$8&amp;"; ","")&amp;IF(Coding!R99=1,Dictionary!$A$9&amp;"; ","")&amp;IF(Coding!S99=1,Dictionary!$A$10&amp;"; ","")&amp;IF(Coding!T99=1,Dictionary!$A$11&amp;"; ","")&amp;IF(Coding!U99=1,Dictionary!$A$12&amp;"; ","")&amp;IF(Coding!V99=1,Dictionary!$A$13&amp;"; ","")&amp;IF(Coding!W99=1,Dictionary!$A$14&amp;"; ","")&amp;IF(Coding!X99=1,Dictionary!$A$15&amp;"; ","")&amp;IF(Coding!Y99=1,Dictionary!$A$16&amp;"; ","")</f>
        <v>Community calls; Interest, working, user, or advisory groups; </v>
      </c>
      <c r="E24" s="12" t="str">
        <f aca="false">IF(Coding!AH99=1,"Both filled; coded not in checklist: "&amp;Coding!AJ99,"Only 938 filled")</f>
        <v>Both filled; coded not in checklist: 0</v>
      </c>
      <c r="F24" s="12" t="s">
        <v>365</v>
      </c>
      <c r="G24" s="43"/>
      <c r="H24" s="12"/>
    </row>
    <row r="26" customFormat="false" ht="15" hidden="false" customHeight="false" outlineLevel="0" collapsed="false">
      <c r="A26" s="44" t="s">
        <v>387</v>
      </c>
    </row>
  </sheetData>
  <dataValidations count="1">
    <dataValidation allowBlank="true" errorStyle="stop" operator="between" showDropDown="false" showErrorMessage="false" showInputMessage="false" sqref="G5:G24" type="list">
      <formula1>"Correct,Partly correct,Wrong"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3" min="3" style="1" width="58"/>
    <col collapsed="false" customWidth="true" hidden="false" outlineLevel="0" max="4" min="4" style="1" width="34"/>
  </cols>
  <sheetData>
    <row r="1" customFormat="false" ht="15" hidden="false" customHeight="true" outlineLevel="0" collapsed="false">
      <c r="A1" s="25" t="s">
        <v>388</v>
      </c>
    </row>
    <row r="2" customFormat="false" ht="15" hidden="false" customHeight="true" outlineLevel="0" collapsed="false">
      <c r="A2" s="27" t="s">
        <v>389</v>
      </c>
    </row>
    <row r="4" customFormat="false" ht="15" hidden="false" customHeight="true" outlineLevel="0" collapsed="false">
      <c r="A4" s="11" t="s">
        <v>390</v>
      </c>
      <c r="C4" s="11" t="s">
        <v>391</v>
      </c>
      <c r="D4" s="11" t="s">
        <v>392</v>
      </c>
    </row>
    <row r="5" customFormat="false" ht="15" hidden="false" customHeight="true" outlineLevel="0" collapsed="false">
      <c r="A5" s="15" t="s">
        <v>393</v>
      </c>
      <c r="C5" s="15" t="s">
        <v>393</v>
      </c>
      <c r="D5" s="45" t="s">
        <v>394</v>
      </c>
    </row>
    <row r="6" customFormat="false" ht="15" hidden="false" customHeight="true" outlineLevel="0" collapsed="false">
      <c r="A6" s="15" t="s">
        <v>395</v>
      </c>
      <c r="C6" s="15" t="s">
        <v>393</v>
      </c>
      <c r="D6" s="45" t="s">
        <v>396</v>
      </c>
    </row>
    <row r="7" customFormat="false" ht="15" hidden="false" customHeight="true" outlineLevel="0" collapsed="false">
      <c r="A7" s="15" t="s">
        <v>397</v>
      </c>
      <c r="C7" s="15" t="s">
        <v>393</v>
      </c>
      <c r="D7" s="45" t="s">
        <v>398</v>
      </c>
    </row>
    <row r="8" customFormat="false" ht="15" hidden="false" customHeight="true" outlineLevel="0" collapsed="false">
      <c r="A8" s="15" t="s">
        <v>399</v>
      </c>
      <c r="C8" s="15" t="s">
        <v>393</v>
      </c>
      <c r="D8" s="45" t="s">
        <v>400</v>
      </c>
    </row>
    <row r="9" customFormat="false" ht="15" hidden="false" customHeight="true" outlineLevel="0" collapsed="false">
      <c r="A9" s="15" t="s">
        <v>401</v>
      </c>
      <c r="C9" s="15" t="s">
        <v>393</v>
      </c>
      <c r="D9" s="45" t="s">
        <v>402</v>
      </c>
    </row>
    <row r="10" customFormat="false" ht="15" hidden="false" customHeight="true" outlineLevel="0" collapsed="false">
      <c r="A10" s="15" t="s">
        <v>403</v>
      </c>
      <c r="C10" s="15" t="s">
        <v>395</v>
      </c>
      <c r="D10" s="45" t="s">
        <v>404</v>
      </c>
    </row>
    <row r="11" customFormat="false" ht="15" hidden="false" customHeight="true" outlineLevel="0" collapsed="false">
      <c r="A11" s="15" t="s">
        <v>405</v>
      </c>
      <c r="C11" s="15" t="s">
        <v>395</v>
      </c>
      <c r="D11" s="45" t="s">
        <v>406</v>
      </c>
    </row>
    <row r="12" customFormat="false" ht="15" hidden="false" customHeight="true" outlineLevel="0" collapsed="false">
      <c r="A12" s="15" t="s">
        <v>407</v>
      </c>
      <c r="C12" s="15" t="s">
        <v>395</v>
      </c>
      <c r="D12" s="45" t="s">
        <v>408</v>
      </c>
    </row>
    <row r="13" customFormat="false" ht="15" hidden="false" customHeight="true" outlineLevel="0" collapsed="false">
      <c r="A13" s="15" t="s">
        <v>409</v>
      </c>
      <c r="C13" s="15" t="s">
        <v>395</v>
      </c>
      <c r="D13" s="45" t="s">
        <v>410</v>
      </c>
    </row>
    <row r="14" customFormat="false" ht="15" hidden="false" customHeight="true" outlineLevel="0" collapsed="false">
      <c r="A14" s="15" t="s">
        <v>411</v>
      </c>
      <c r="C14" s="15" t="s">
        <v>395</v>
      </c>
      <c r="D14" s="45" t="s">
        <v>412</v>
      </c>
    </row>
    <row r="15" customFormat="false" ht="15" hidden="false" customHeight="true" outlineLevel="0" collapsed="false">
      <c r="A15" s="15" t="s">
        <v>413</v>
      </c>
      <c r="C15" s="15" t="s">
        <v>397</v>
      </c>
      <c r="D15" s="45" t="s">
        <v>414</v>
      </c>
    </row>
    <row r="16" customFormat="false" ht="15" hidden="false" customHeight="true" outlineLevel="0" collapsed="false">
      <c r="A16" s="15" t="s">
        <v>415</v>
      </c>
      <c r="C16" s="15" t="s">
        <v>397</v>
      </c>
      <c r="D16" s="45" t="s">
        <v>416</v>
      </c>
    </row>
    <row r="17" customFormat="false" ht="15" hidden="false" customHeight="true" outlineLevel="0" collapsed="false">
      <c r="C17" s="15" t="s">
        <v>397</v>
      </c>
      <c r="D17" s="45" t="s">
        <v>417</v>
      </c>
    </row>
    <row r="18" customFormat="false" ht="15" hidden="false" customHeight="true" outlineLevel="0" collapsed="false">
      <c r="C18" s="15" t="s">
        <v>397</v>
      </c>
      <c r="D18" s="45" t="s">
        <v>418</v>
      </c>
    </row>
    <row r="19" customFormat="false" ht="15" hidden="false" customHeight="true" outlineLevel="0" collapsed="false">
      <c r="C19" s="15" t="s">
        <v>397</v>
      </c>
      <c r="D19" s="45" t="s">
        <v>419</v>
      </c>
    </row>
    <row r="20" customFormat="false" ht="15" hidden="false" customHeight="true" outlineLevel="0" collapsed="false">
      <c r="C20" s="15" t="s">
        <v>397</v>
      </c>
      <c r="D20" s="45" t="s">
        <v>420</v>
      </c>
    </row>
    <row r="21" customFormat="false" ht="15" hidden="false" customHeight="true" outlineLevel="0" collapsed="false">
      <c r="C21" s="15" t="s">
        <v>399</v>
      </c>
      <c r="D21" s="45" t="s">
        <v>421</v>
      </c>
    </row>
    <row r="22" customFormat="false" ht="15" hidden="false" customHeight="true" outlineLevel="0" collapsed="false">
      <c r="C22" s="15" t="s">
        <v>399</v>
      </c>
      <c r="D22" s="45" t="s">
        <v>422</v>
      </c>
    </row>
    <row r="23" customFormat="false" ht="15" hidden="false" customHeight="true" outlineLevel="0" collapsed="false">
      <c r="C23" s="15" t="s">
        <v>399</v>
      </c>
      <c r="D23" s="45" t="s">
        <v>423</v>
      </c>
    </row>
    <row r="24" customFormat="false" ht="15" hidden="false" customHeight="true" outlineLevel="0" collapsed="false">
      <c r="C24" s="15" t="s">
        <v>401</v>
      </c>
      <c r="D24" s="45" t="s">
        <v>424</v>
      </c>
    </row>
    <row r="25" customFormat="false" ht="15" hidden="false" customHeight="true" outlineLevel="0" collapsed="false">
      <c r="C25" s="15" t="s">
        <v>401</v>
      </c>
      <c r="D25" s="45" t="s">
        <v>425</v>
      </c>
    </row>
    <row r="26" customFormat="false" ht="15" hidden="false" customHeight="true" outlineLevel="0" collapsed="false">
      <c r="C26" s="15" t="s">
        <v>403</v>
      </c>
      <c r="D26" s="45" t="s">
        <v>426</v>
      </c>
    </row>
    <row r="27" customFormat="false" ht="15" hidden="false" customHeight="true" outlineLevel="0" collapsed="false">
      <c r="C27" s="15" t="s">
        <v>403</v>
      </c>
      <c r="D27" s="45" t="s">
        <v>427</v>
      </c>
    </row>
    <row r="28" customFormat="false" ht="15" hidden="false" customHeight="true" outlineLevel="0" collapsed="false">
      <c r="C28" s="15" t="s">
        <v>403</v>
      </c>
      <c r="D28" s="45" t="s">
        <v>428</v>
      </c>
    </row>
    <row r="29" customFormat="false" ht="15" hidden="false" customHeight="true" outlineLevel="0" collapsed="false">
      <c r="C29" s="15" t="s">
        <v>403</v>
      </c>
      <c r="D29" s="45" t="s">
        <v>429</v>
      </c>
    </row>
    <row r="30" customFormat="false" ht="15" hidden="false" customHeight="true" outlineLevel="0" collapsed="false">
      <c r="C30" s="15" t="s">
        <v>403</v>
      </c>
      <c r="D30" s="45" t="s">
        <v>430</v>
      </c>
    </row>
    <row r="31" customFormat="false" ht="15" hidden="false" customHeight="true" outlineLevel="0" collapsed="false">
      <c r="C31" s="15" t="s">
        <v>403</v>
      </c>
      <c r="D31" s="45" t="s">
        <v>431</v>
      </c>
    </row>
    <row r="32" customFormat="false" ht="15" hidden="false" customHeight="true" outlineLevel="0" collapsed="false">
      <c r="C32" s="15" t="s">
        <v>403</v>
      </c>
      <c r="D32" s="45" t="s">
        <v>432</v>
      </c>
    </row>
    <row r="33" customFormat="false" ht="15" hidden="false" customHeight="true" outlineLevel="0" collapsed="false">
      <c r="C33" s="15" t="s">
        <v>403</v>
      </c>
      <c r="D33" s="45" t="s">
        <v>433</v>
      </c>
    </row>
    <row r="34" customFormat="false" ht="15" hidden="false" customHeight="true" outlineLevel="0" collapsed="false">
      <c r="C34" s="15" t="s">
        <v>403</v>
      </c>
      <c r="D34" s="45" t="s">
        <v>434</v>
      </c>
    </row>
    <row r="35" customFormat="false" ht="15" hidden="false" customHeight="true" outlineLevel="0" collapsed="false">
      <c r="C35" s="15" t="s">
        <v>403</v>
      </c>
      <c r="D35" s="45" t="s">
        <v>435</v>
      </c>
    </row>
    <row r="36" customFormat="false" ht="15" hidden="false" customHeight="true" outlineLevel="0" collapsed="false">
      <c r="C36" s="15" t="s">
        <v>405</v>
      </c>
      <c r="D36" s="45" t="s">
        <v>436</v>
      </c>
    </row>
    <row r="37" customFormat="false" ht="15" hidden="false" customHeight="true" outlineLevel="0" collapsed="false">
      <c r="C37" s="15" t="s">
        <v>405</v>
      </c>
      <c r="D37" s="45" t="s">
        <v>437</v>
      </c>
    </row>
    <row r="38" customFormat="false" ht="15" hidden="false" customHeight="true" outlineLevel="0" collapsed="false">
      <c r="C38" s="15" t="s">
        <v>405</v>
      </c>
      <c r="D38" s="45" t="s">
        <v>438</v>
      </c>
    </row>
    <row r="39" customFormat="false" ht="15" hidden="false" customHeight="true" outlineLevel="0" collapsed="false">
      <c r="C39" s="15" t="s">
        <v>405</v>
      </c>
      <c r="D39" s="45" t="s">
        <v>439</v>
      </c>
    </row>
    <row r="40" customFormat="false" ht="15" hidden="false" customHeight="true" outlineLevel="0" collapsed="false">
      <c r="C40" s="15" t="s">
        <v>405</v>
      </c>
      <c r="D40" s="45" t="s">
        <v>440</v>
      </c>
    </row>
    <row r="41" customFormat="false" ht="15" hidden="false" customHeight="true" outlineLevel="0" collapsed="false">
      <c r="C41" s="15" t="s">
        <v>405</v>
      </c>
      <c r="D41" s="45" t="s">
        <v>441</v>
      </c>
    </row>
    <row r="42" customFormat="false" ht="15" hidden="false" customHeight="true" outlineLevel="0" collapsed="false">
      <c r="C42" s="15" t="s">
        <v>405</v>
      </c>
      <c r="D42" s="45" t="s">
        <v>442</v>
      </c>
    </row>
    <row r="43" customFormat="false" ht="15" hidden="false" customHeight="true" outlineLevel="0" collapsed="false">
      <c r="C43" s="15" t="s">
        <v>405</v>
      </c>
      <c r="D43" s="45" t="s">
        <v>443</v>
      </c>
    </row>
    <row r="44" customFormat="false" ht="15" hidden="false" customHeight="true" outlineLevel="0" collapsed="false">
      <c r="C44" s="15" t="s">
        <v>405</v>
      </c>
      <c r="D44" s="45" t="s">
        <v>444</v>
      </c>
    </row>
    <row r="45" customFormat="false" ht="15" hidden="false" customHeight="true" outlineLevel="0" collapsed="false">
      <c r="C45" s="15" t="s">
        <v>405</v>
      </c>
      <c r="D45" s="45" t="s">
        <v>445</v>
      </c>
    </row>
    <row r="46" customFormat="false" ht="15" hidden="false" customHeight="true" outlineLevel="0" collapsed="false">
      <c r="C46" s="15" t="s">
        <v>407</v>
      </c>
      <c r="D46" s="45" t="s">
        <v>446</v>
      </c>
    </row>
    <row r="47" customFormat="false" ht="15" hidden="false" customHeight="true" outlineLevel="0" collapsed="false">
      <c r="C47" s="15" t="s">
        <v>407</v>
      </c>
      <c r="D47" s="45" t="s">
        <v>447</v>
      </c>
    </row>
    <row r="48" customFormat="false" ht="15" hidden="false" customHeight="true" outlineLevel="0" collapsed="false">
      <c r="C48" s="15" t="s">
        <v>407</v>
      </c>
      <c r="D48" s="45" t="s">
        <v>448</v>
      </c>
    </row>
    <row r="49" customFormat="false" ht="15" hidden="false" customHeight="true" outlineLevel="0" collapsed="false">
      <c r="C49" s="15" t="s">
        <v>407</v>
      </c>
      <c r="D49" s="45" t="s">
        <v>449</v>
      </c>
    </row>
    <row r="50" customFormat="false" ht="15" hidden="false" customHeight="true" outlineLevel="0" collapsed="false">
      <c r="C50" s="15" t="s">
        <v>407</v>
      </c>
      <c r="D50" s="45" t="s">
        <v>450</v>
      </c>
    </row>
    <row r="51" customFormat="false" ht="15" hidden="false" customHeight="true" outlineLevel="0" collapsed="false">
      <c r="C51" s="15" t="s">
        <v>407</v>
      </c>
      <c r="D51" s="45" t="s">
        <v>451</v>
      </c>
    </row>
    <row r="52" customFormat="false" ht="15" hidden="false" customHeight="true" outlineLevel="0" collapsed="false">
      <c r="C52" s="15" t="s">
        <v>407</v>
      </c>
      <c r="D52" s="45" t="s">
        <v>452</v>
      </c>
    </row>
    <row r="53" customFormat="false" ht="15" hidden="false" customHeight="true" outlineLevel="0" collapsed="false">
      <c r="C53" s="15" t="s">
        <v>409</v>
      </c>
      <c r="D53" s="45" t="s">
        <v>453</v>
      </c>
    </row>
    <row r="54" customFormat="false" ht="15" hidden="false" customHeight="true" outlineLevel="0" collapsed="false">
      <c r="C54" s="15" t="s">
        <v>409</v>
      </c>
      <c r="D54" s="45" t="s">
        <v>454</v>
      </c>
    </row>
    <row r="55" customFormat="false" ht="15" hidden="false" customHeight="true" outlineLevel="0" collapsed="false">
      <c r="C55" s="15" t="s">
        <v>409</v>
      </c>
      <c r="D55" s="45" t="s">
        <v>455</v>
      </c>
    </row>
    <row r="56" customFormat="false" ht="15" hidden="false" customHeight="true" outlineLevel="0" collapsed="false">
      <c r="C56" s="15" t="s">
        <v>409</v>
      </c>
      <c r="D56" s="45" t="s">
        <v>456</v>
      </c>
    </row>
    <row r="57" customFormat="false" ht="15" hidden="false" customHeight="true" outlineLevel="0" collapsed="false">
      <c r="C57" s="15" t="s">
        <v>409</v>
      </c>
      <c r="D57" s="45" t="s">
        <v>457</v>
      </c>
    </row>
    <row r="58" customFormat="false" ht="15" hidden="false" customHeight="true" outlineLevel="0" collapsed="false">
      <c r="C58" s="15" t="s">
        <v>409</v>
      </c>
      <c r="D58" s="45" t="s">
        <v>458</v>
      </c>
    </row>
    <row r="59" customFormat="false" ht="15" hidden="false" customHeight="true" outlineLevel="0" collapsed="false">
      <c r="C59" s="15" t="s">
        <v>409</v>
      </c>
      <c r="D59" s="45" t="s">
        <v>459</v>
      </c>
    </row>
    <row r="60" customFormat="false" ht="15" hidden="false" customHeight="true" outlineLevel="0" collapsed="false">
      <c r="C60" s="15" t="s">
        <v>409</v>
      </c>
      <c r="D60" s="45" t="s">
        <v>460</v>
      </c>
    </row>
    <row r="61" customFormat="false" ht="15" hidden="false" customHeight="true" outlineLevel="0" collapsed="false">
      <c r="C61" s="15" t="s">
        <v>409</v>
      </c>
      <c r="D61" s="45" t="s">
        <v>461</v>
      </c>
    </row>
    <row r="62" customFormat="false" ht="15" hidden="false" customHeight="true" outlineLevel="0" collapsed="false">
      <c r="C62" s="15" t="s">
        <v>409</v>
      </c>
      <c r="D62" s="45" t="s">
        <v>462</v>
      </c>
    </row>
    <row r="63" customFormat="false" ht="15" hidden="false" customHeight="true" outlineLevel="0" collapsed="false">
      <c r="C63" s="15" t="s">
        <v>409</v>
      </c>
      <c r="D63" s="45" t="s">
        <v>463</v>
      </c>
    </row>
    <row r="64" customFormat="false" ht="15" hidden="false" customHeight="true" outlineLevel="0" collapsed="false">
      <c r="C64" s="15" t="s">
        <v>411</v>
      </c>
      <c r="D64" s="45" t="s">
        <v>464</v>
      </c>
    </row>
    <row r="65" customFormat="false" ht="15" hidden="false" customHeight="true" outlineLevel="0" collapsed="false">
      <c r="C65" s="15" t="s">
        <v>411</v>
      </c>
      <c r="D65" s="45" t="s">
        <v>465</v>
      </c>
    </row>
    <row r="66" customFormat="false" ht="15" hidden="false" customHeight="true" outlineLevel="0" collapsed="false">
      <c r="C66" s="15" t="s">
        <v>411</v>
      </c>
      <c r="D66" s="45" t="s">
        <v>466</v>
      </c>
    </row>
    <row r="67" customFormat="false" ht="15" hidden="false" customHeight="true" outlineLevel="0" collapsed="false">
      <c r="C67" s="15" t="s">
        <v>411</v>
      </c>
      <c r="D67" s="45" t="s">
        <v>467</v>
      </c>
    </row>
    <row r="68" customFormat="false" ht="15" hidden="false" customHeight="true" outlineLevel="0" collapsed="false">
      <c r="C68" s="15" t="s">
        <v>411</v>
      </c>
      <c r="D68" s="45" t="s">
        <v>468</v>
      </c>
    </row>
    <row r="69" customFormat="false" ht="15" hidden="false" customHeight="true" outlineLevel="0" collapsed="false">
      <c r="C69" s="15" t="s">
        <v>413</v>
      </c>
      <c r="D69" s="45" t="s">
        <v>469</v>
      </c>
    </row>
    <row r="70" customFormat="false" ht="15" hidden="false" customHeight="true" outlineLevel="0" collapsed="false">
      <c r="C70" s="15" t="s">
        <v>413</v>
      </c>
      <c r="D70" s="45" t="s">
        <v>470</v>
      </c>
    </row>
    <row r="71" customFormat="false" ht="15" hidden="false" customHeight="true" outlineLevel="0" collapsed="false">
      <c r="C71" s="15" t="s">
        <v>413</v>
      </c>
      <c r="D71" s="45" t="s">
        <v>471</v>
      </c>
    </row>
    <row r="72" customFormat="false" ht="15" hidden="false" customHeight="true" outlineLevel="0" collapsed="false">
      <c r="C72" s="15" t="s">
        <v>413</v>
      </c>
      <c r="D72" s="45" t="s">
        <v>472</v>
      </c>
    </row>
    <row r="73" customFormat="false" ht="15" hidden="false" customHeight="true" outlineLevel="0" collapsed="false">
      <c r="C73" s="15" t="s">
        <v>413</v>
      </c>
      <c r="D73" s="45" t="s">
        <v>473</v>
      </c>
    </row>
    <row r="74" customFormat="false" ht="15" hidden="false" customHeight="true" outlineLevel="0" collapsed="false">
      <c r="C74" s="15" t="s">
        <v>415</v>
      </c>
      <c r="D74" s="45" t="s">
        <v>474</v>
      </c>
    </row>
    <row r="75" customFormat="false" ht="15" hidden="false" customHeight="true" outlineLevel="0" collapsed="false">
      <c r="C75" s="15" t="s">
        <v>415</v>
      </c>
      <c r="D75" s="45" t="s">
        <v>475</v>
      </c>
    </row>
    <row r="76" customFormat="false" ht="15" hidden="false" customHeight="true" outlineLevel="0" collapsed="false">
      <c r="C76" s="15" t="s">
        <v>415</v>
      </c>
      <c r="D76" s="45" t="s">
        <v>476</v>
      </c>
    </row>
    <row r="77" customFormat="false" ht="15" hidden="false" customHeight="true" outlineLevel="0" collapsed="false">
      <c r="C77" s="15" t="s">
        <v>415</v>
      </c>
      <c r="D77" s="45" t="s">
        <v>477</v>
      </c>
    </row>
    <row r="78" customFormat="false" ht="15" hidden="false" customHeight="true" outlineLevel="0" collapsed="false">
      <c r="C78" s="15" t="s">
        <v>415</v>
      </c>
      <c r="D78" s="45" t="s">
        <v>478</v>
      </c>
    </row>
    <row r="79" customFormat="false" ht="15" hidden="false" customHeight="true" outlineLevel="0" collapsed="false">
      <c r="C79" s="15" t="s">
        <v>415</v>
      </c>
      <c r="D79" s="45" t="s">
        <v>479</v>
      </c>
    </row>
    <row r="80" customFormat="false" ht="15" hidden="false" customHeight="true" outlineLevel="0" collapsed="false">
      <c r="C80" s="15" t="s">
        <v>415</v>
      </c>
      <c r="D80" s="45" t="s">
        <v>480</v>
      </c>
    </row>
    <row r="81" customFormat="false" ht="15" hidden="false" customHeight="true" outlineLevel="0" collapsed="false">
      <c r="C81" s="15" t="s">
        <v>415</v>
      </c>
      <c r="D81" s="45" t="s">
        <v>481</v>
      </c>
    </row>
    <row r="82" customFormat="false" ht="15" hidden="false" customHeight="true" outlineLevel="0" collapsed="false">
      <c r="C82" s="15"/>
      <c r="D82" s="45"/>
    </row>
    <row r="83" customFormat="false" ht="15" hidden="false" customHeight="true" outlineLevel="0" collapsed="false">
      <c r="C83" s="15"/>
      <c r="D83" s="45"/>
    </row>
    <row r="84" customFormat="false" ht="15" hidden="false" customHeight="true" outlineLevel="0" collapsed="false">
      <c r="C84" s="15"/>
      <c r="D84" s="45"/>
    </row>
    <row r="85" customFormat="false" ht="15" hidden="false" customHeight="true" outlineLevel="0" collapsed="false">
      <c r="C85" s="15"/>
      <c r="D85" s="45"/>
    </row>
    <row r="86" customFormat="false" ht="15" hidden="false" customHeight="true" outlineLevel="0" collapsed="false">
      <c r="C86" s="15"/>
      <c r="D86" s="45"/>
    </row>
    <row r="87" customFormat="false" ht="15" hidden="false" customHeight="true" outlineLevel="0" collapsed="false">
      <c r="C87" s="15"/>
      <c r="D87" s="45"/>
    </row>
    <row r="88" customFormat="false" ht="15" hidden="false" customHeight="true" outlineLevel="0" collapsed="false">
      <c r="C88" s="15"/>
      <c r="D88" s="45"/>
    </row>
    <row r="89" customFormat="false" ht="15" hidden="false" customHeight="true" outlineLevel="0" collapsed="false">
      <c r="C89" s="15"/>
      <c r="D89" s="45"/>
    </row>
    <row r="90" customFormat="false" ht="15" hidden="false" customHeight="true" outlineLevel="0" collapsed="false">
      <c r="C90" s="15"/>
      <c r="D90" s="45"/>
    </row>
    <row r="91" customFormat="false" ht="15" hidden="false" customHeight="true" outlineLevel="0" collapsed="false">
      <c r="C91" s="15"/>
      <c r="D91" s="45"/>
    </row>
    <row r="92" customFormat="false" ht="15" hidden="false" customHeight="true" outlineLevel="0" collapsed="false">
      <c r="C92" s="15"/>
      <c r="D92" s="45"/>
    </row>
    <row r="93" customFormat="false" ht="15" hidden="false" customHeight="true" outlineLevel="0" collapsed="false">
      <c r="C93" s="15"/>
      <c r="D93" s="45"/>
    </row>
    <row r="94" customFormat="false" ht="15" hidden="false" customHeight="true" outlineLevel="0" collapsed="false">
      <c r="C94" s="15"/>
      <c r="D94" s="45"/>
    </row>
    <row r="95" customFormat="false" ht="15" hidden="false" customHeight="true" outlineLevel="0" collapsed="false">
      <c r="C95" s="15"/>
      <c r="D95" s="45"/>
    </row>
    <row r="96" customFormat="false" ht="15" hidden="false" customHeight="true" outlineLevel="0" collapsed="false">
      <c r="C96" s="15"/>
      <c r="D96" s="4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34"/>
    <col collapsed="false" customWidth="true" hidden="false" outlineLevel="0" max="4" min="4" style="1" width="30"/>
    <col collapsed="false" customWidth="true" hidden="false" outlineLevel="0" max="5" min="5" style="1" width="20"/>
    <col collapsed="false" customWidth="true" hidden="false" outlineLevel="0" max="6" min="6" style="1" width="34"/>
  </cols>
  <sheetData>
    <row r="1" customFormat="false" ht="17.25" hidden="false" customHeight="true" outlineLevel="0" collapsed="false">
      <c r="A1" s="2" t="s">
        <v>482</v>
      </c>
    </row>
    <row r="2" customFormat="false" ht="15" hidden="false" customHeight="true" outlineLevel="0" collapsed="false">
      <c r="A2" s="3" t="s">
        <v>483</v>
      </c>
    </row>
    <row r="4" customFormat="false" ht="15" hidden="false" customHeight="true" outlineLevel="0" collapsed="false">
      <c r="A4" s="16" t="s">
        <v>484</v>
      </c>
    </row>
    <row r="5" customFormat="false" ht="30" hidden="false" customHeight="true" outlineLevel="0" collapsed="false">
      <c r="A5" s="7" t="s">
        <v>10</v>
      </c>
      <c r="B5" s="7" t="s">
        <v>11</v>
      </c>
      <c r="C5" s="7" t="s">
        <v>485</v>
      </c>
      <c r="D5" s="7" t="s">
        <v>12</v>
      </c>
      <c r="E5" s="7" t="s">
        <v>486</v>
      </c>
      <c r="F5" s="7" t="s">
        <v>487</v>
      </c>
    </row>
    <row r="6" customFormat="false" ht="15" hidden="false" customHeight="true" outlineLevel="0" collapsed="false">
      <c r="A6" s="17" t="s">
        <v>18</v>
      </c>
      <c r="B6" s="17" t="s">
        <v>488</v>
      </c>
      <c r="C6" s="8" t="s">
        <v>489</v>
      </c>
      <c r="D6" s="17" t="s">
        <v>20</v>
      </c>
      <c r="E6" s="46" t="n">
        <v>0.08</v>
      </c>
      <c r="F6" s="1" t="s">
        <v>490</v>
      </c>
    </row>
    <row r="7" customFormat="false" ht="15" hidden="false" customHeight="true" outlineLevel="0" collapsed="false">
      <c r="A7" s="17" t="s">
        <v>25</v>
      </c>
      <c r="B7" s="17" t="s">
        <v>491</v>
      </c>
      <c r="C7" s="8" t="s">
        <v>492</v>
      </c>
      <c r="D7" s="17" t="s">
        <v>20</v>
      </c>
      <c r="E7" s="46" t="n">
        <v>0.22</v>
      </c>
      <c r="F7" s="1" t="s">
        <v>493</v>
      </c>
    </row>
    <row r="8" customFormat="false" ht="15" hidden="false" customHeight="true" outlineLevel="0" collapsed="false">
      <c r="A8" s="17" t="s">
        <v>31</v>
      </c>
      <c r="B8" s="17" t="s">
        <v>494</v>
      </c>
      <c r="C8" s="8" t="s">
        <v>495</v>
      </c>
      <c r="D8" s="17" t="s">
        <v>33</v>
      </c>
      <c r="E8" s="46" t="n">
        <v>0.18</v>
      </c>
      <c r="F8" s="1" t="s">
        <v>496</v>
      </c>
    </row>
    <row r="9" customFormat="false" ht="15" hidden="false" customHeight="true" outlineLevel="0" collapsed="false">
      <c r="A9" s="17" t="s">
        <v>38</v>
      </c>
      <c r="B9" s="17" t="s">
        <v>497</v>
      </c>
      <c r="C9" s="8" t="s">
        <v>498</v>
      </c>
      <c r="D9" s="17" t="s">
        <v>33</v>
      </c>
      <c r="E9" s="46" t="n">
        <v>0.12</v>
      </c>
      <c r="F9" s="1" t="s">
        <v>499</v>
      </c>
    </row>
    <row r="10" customFormat="false" ht="15" hidden="false" customHeight="true" outlineLevel="0" collapsed="false">
      <c r="A10" s="17" t="s">
        <v>44</v>
      </c>
      <c r="B10" s="17" t="s">
        <v>500</v>
      </c>
      <c r="C10" s="8" t="s">
        <v>501</v>
      </c>
      <c r="D10" s="17" t="s">
        <v>33</v>
      </c>
      <c r="E10" s="46" t="n">
        <v>0.05</v>
      </c>
      <c r="F10" s="1" t="s">
        <v>502</v>
      </c>
    </row>
    <row r="11" customFormat="false" ht="15" hidden="false" customHeight="true" outlineLevel="0" collapsed="false">
      <c r="A11" s="17" t="s">
        <v>49</v>
      </c>
      <c r="B11" s="17" t="s">
        <v>503</v>
      </c>
      <c r="C11" s="8" t="s">
        <v>504</v>
      </c>
      <c r="D11" s="17" t="s">
        <v>51</v>
      </c>
      <c r="E11" s="46" t="n">
        <v>0.15</v>
      </c>
    </row>
    <row r="12" customFormat="false" ht="15" hidden="false" customHeight="true" outlineLevel="0" collapsed="false">
      <c r="A12" s="17" t="s">
        <v>55</v>
      </c>
      <c r="B12" s="17" t="s">
        <v>505</v>
      </c>
      <c r="C12" s="8" t="s">
        <v>506</v>
      </c>
      <c r="D12" s="17" t="s">
        <v>51</v>
      </c>
      <c r="E12" s="46" t="n">
        <v>0.2</v>
      </c>
    </row>
    <row r="13" customFormat="false" ht="15" hidden="false" customHeight="true" outlineLevel="0" collapsed="false">
      <c r="D13" s="11" t="s">
        <v>507</v>
      </c>
      <c r="E13" s="47" t="n">
        <f aca="false">SUM(E6:E12)</f>
        <v>1</v>
      </c>
      <c r="F13" s="11" t="str">
        <f aca="false">IF(ROUND(E13,6)=1,"OK","CHECK: weights must sum to 100%")</f>
        <v>OK</v>
      </c>
    </row>
    <row r="15" customFormat="false" ht="15" hidden="false" customHeight="true" outlineLevel="0" collapsed="false">
      <c r="A15" s="16" t="s">
        <v>508</v>
      </c>
    </row>
    <row r="16" customFormat="false" ht="30" hidden="false" customHeight="true" outlineLevel="0" collapsed="false">
      <c r="A16" s="7"/>
      <c r="B16" s="7" t="s">
        <v>12</v>
      </c>
      <c r="C16" s="7" t="s">
        <v>509</v>
      </c>
      <c r="D16" s="7" t="s">
        <v>510</v>
      </c>
      <c r="E16" s="7" t="s">
        <v>511</v>
      </c>
    </row>
    <row r="17" customFormat="false" ht="15" hidden="false" customHeight="true" outlineLevel="0" collapsed="false">
      <c r="B17" s="17" t="s">
        <v>20</v>
      </c>
      <c r="C17" s="46" t="n">
        <v>0.3</v>
      </c>
      <c r="D17" s="21" t="n">
        <f aca="false">E6+E7</f>
        <v>0.3</v>
      </c>
      <c r="E17" s="17" t="str">
        <f aca="false">IF(ROUND(C17-D17,6)=0,"OK","MISMATCH")</f>
        <v>OK</v>
      </c>
    </row>
    <row r="18" customFormat="false" ht="15" hidden="false" customHeight="true" outlineLevel="0" collapsed="false">
      <c r="B18" s="17" t="s">
        <v>33</v>
      </c>
      <c r="C18" s="46" t="n">
        <v>0.35</v>
      </c>
      <c r="D18" s="21" t="n">
        <f aca="false">E8+E9+E10</f>
        <v>0.35</v>
      </c>
      <c r="E18" s="17" t="str">
        <f aca="false">IF(ROUND(C18-D18,6)=0,"OK","MISMATCH")</f>
        <v>OK</v>
      </c>
    </row>
    <row r="19" customFormat="false" ht="15" hidden="false" customHeight="true" outlineLevel="0" collapsed="false">
      <c r="B19" s="17" t="s">
        <v>51</v>
      </c>
      <c r="C19" s="46" t="n">
        <v>0.35</v>
      </c>
      <c r="D19" s="21" t="n">
        <f aca="false">E11+E12</f>
        <v>0.35</v>
      </c>
      <c r="E19" s="17" t="str">
        <f aca="false">IF(ROUND(C19-D19,6)=0,"OK","MISMATCH")</f>
        <v>OK</v>
      </c>
    </row>
    <row r="20" customFormat="false" ht="15" hidden="false" customHeight="true" outlineLevel="0" collapsed="false">
      <c r="A20" s="3" t="s">
        <v>512</v>
      </c>
    </row>
    <row r="21" customFormat="false" ht="15" hidden="false" customHeight="true" outlineLevel="0" collapsed="false">
      <c r="B21" s="15" t="s">
        <v>513</v>
      </c>
      <c r="C21" s="48" t="n">
        <v>0.25</v>
      </c>
    </row>
    <row r="23" customFormat="false" ht="15" hidden="false" customHeight="true" outlineLevel="0" collapsed="false">
      <c r="A23" s="16" t="s">
        <v>514</v>
      </c>
    </row>
    <row r="24" customFormat="false" ht="21.75" hidden="false" customHeight="true" outlineLevel="0" collapsed="false">
      <c r="A24" s="7"/>
      <c r="B24" s="7" t="s">
        <v>515</v>
      </c>
      <c r="C24" s="7" t="s">
        <v>222</v>
      </c>
      <c r="D24" s="7" t="s">
        <v>487</v>
      </c>
    </row>
    <row r="25" customFormat="false" ht="15" hidden="false" customHeight="true" outlineLevel="0" collapsed="false">
      <c r="B25" s="17" t="s">
        <v>516</v>
      </c>
      <c r="C25" s="49" t="n">
        <v>1</v>
      </c>
      <c r="D25" s="3" t="s">
        <v>517</v>
      </c>
    </row>
    <row r="26" customFormat="false" ht="15" hidden="false" customHeight="true" outlineLevel="0" collapsed="false">
      <c r="B26" s="17" t="s">
        <v>518</v>
      </c>
      <c r="C26" s="49" t="n">
        <v>0.67</v>
      </c>
    </row>
    <row r="27" customFormat="false" ht="15" hidden="false" customHeight="true" outlineLevel="0" collapsed="false">
      <c r="B27" s="17" t="s">
        <v>519</v>
      </c>
      <c r="C27" s="49" t="n">
        <v>0.33</v>
      </c>
    </row>
    <row r="28" customFormat="false" ht="15" hidden="false" customHeight="true" outlineLevel="0" collapsed="false">
      <c r="B28" s="17" t="s">
        <v>520</v>
      </c>
      <c r="C28" s="49" t="n">
        <v>0</v>
      </c>
    </row>
    <row r="30" customFormat="false" ht="15" hidden="false" customHeight="true" outlineLevel="0" collapsed="false">
      <c r="A30" s="16" t="s">
        <v>521</v>
      </c>
    </row>
    <row r="31" customFormat="false" ht="21.75" hidden="false" customHeight="true" outlineLevel="0" collapsed="false">
      <c r="A31" s="7"/>
      <c r="B31" s="7" t="s">
        <v>515</v>
      </c>
      <c r="C31" s="7" t="s">
        <v>222</v>
      </c>
      <c r="D31" s="7" t="s">
        <v>487</v>
      </c>
    </row>
    <row r="32" customFormat="false" ht="15" hidden="false" customHeight="true" outlineLevel="0" collapsed="false">
      <c r="B32" s="17" t="s">
        <v>522</v>
      </c>
      <c r="C32" s="49" t="n">
        <v>1</v>
      </c>
      <c r="D32" s="3" t="s">
        <v>523</v>
      </c>
    </row>
    <row r="33" customFormat="false" ht="15" hidden="false" customHeight="true" outlineLevel="0" collapsed="false">
      <c r="B33" s="17" t="s">
        <v>524</v>
      </c>
      <c r="C33" s="49" t="n">
        <v>0.5</v>
      </c>
    </row>
    <row r="34" customFormat="false" ht="15" hidden="false" customHeight="true" outlineLevel="0" collapsed="false">
      <c r="B34" s="17" t="s">
        <v>525</v>
      </c>
      <c r="C34" s="49" t="n">
        <v>0</v>
      </c>
    </row>
    <row r="36" customFormat="false" ht="15" hidden="false" customHeight="true" outlineLevel="0" collapsed="false">
      <c r="A36" s="16" t="s">
        <v>526</v>
      </c>
    </row>
    <row r="37" customFormat="false" ht="15" hidden="false" customHeight="true" outlineLevel="0" collapsed="false">
      <c r="B37" s="17" t="s">
        <v>527</v>
      </c>
      <c r="C37" s="50" t="n">
        <v>8</v>
      </c>
      <c r="D37" s="3" t="s">
        <v>528</v>
      </c>
    </row>
    <row r="38" customFormat="false" ht="15" hidden="false" customHeight="true" outlineLevel="0" collapsed="false">
      <c r="B38" s="17" t="s">
        <v>529</v>
      </c>
      <c r="C38" s="50" t="n">
        <v>6</v>
      </c>
      <c r="D38" s="3" t="s">
        <v>530</v>
      </c>
    </row>
    <row r="39" customFormat="false" ht="15" hidden="false" customHeight="true" outlineLevel="0" collapsed="false">
      <c r="B39" s="17" t="s">
        <v>531</v>
      </c>
      <c r="C39" s="50" t="n">
        <v>1</v>
      </c>
      <c r="D39" s="3" t="s">
        <v>532</v>
      </c>
    </row>
    <row r="40" customFormat="false" ht="15" hidden="false" customHeight="true" outlineLevel="0" collapsed="false">
      <c r="B40" s="17" t="s">
        <v>533</v>
      </c>
      <c r="C40" s="49" t="n">
        <v>0.33</v>
      </c>
      <c r="D40" s="3" t="s">
        <v>534</v>
      </c>
    </row>
    <row r="41" customFormat="false" ht="15" hidden="false" customHeight="true" outlineLevel="0" collapsed="false">
      <c r="B41" s="17" t="s">
        <v>535</v>
      </c>
      <c r="C41" s="49"/>
      <c r="D41" s="3" t="s">
        <v>536</v>
      </c>
    </row>
    <row r="43" customFormat="false" ht="15" hidden="false" customHeight="true" outlineLevel="0" collapsed="false">
      <c r="A43" s="16" t="s">
        <v>537</v>
      </c>
    </row>
    <row r="44" customFormat="false" ht="15" hidden="false" customHeight="true" outlineLevel="0" collapsed="false">
      <c r="B44" s="17" t="s">
        <v>538</v>
      </c>
      <c r="C44" s="49" t="n">
        <v>1</v>
      </c>
      <c r="D44" s="3" t="s">
        <v>539</v>
      </c>
    </row>
    <row r="45" customFormat="false" ht="15" hidden="false" customHeight="true" outlineLevel="0" collapsed="false">
      <c r="B45" s="17" t="s">
        <v>540</v>
      </c>
      <c r="C45" s="49" t="n">
        <v>0.5</v>
      </c>
      <c r="D45" s="3" t="s">
        <v>541</v>
      </c>
    </row>
    <row r="46" customFormat="false" ht="15" hidden="false" customHeight="true" outlineLevel="0" collapsed="false">
      <c r="B46" s="17" t="s">
        <v>542</v>
      </c>
      <c r="C46" s="51" t="s">
        <v>543</v>
      </c>
      <c r="D46" s="3" t="s">
        <v>544</v>
      </c>
    </row>
    <row r="48" customFormat="false" ht="15" hidden="false" customHeight="true" outlineLevel="0" collapsed="false">
      <c r="A48" s="16" t="s">
        <v>545</v>
      </c>
    </row>
    <row r="49" customFormat="false" ht="15" hidden="false" customHeight="true" outlineLevel="0" collapsed="false">
      <c r="B49" s="52" t="s">
        <v>546</v>
      </c>
      <c r="D49" s="3" t="s">
        <v>547</v>
      </c>
    </row>
    <row r="50" customFormat="false" ht="15" hidden="false" customHeight="true" outlineLevel="0" collapsed="false">
      <c r="B50" s="52" t="s">
        <v>548</v>
      </c>
    </row>
    <row r="51" customFormat="false" ht="15" hidden="false" customHeight="true" outlineLevel="0" collapsed="false">
      <c r="B51" s="52" t="s">
        <v>549</v>
      </c>
    </row>
    <row r="52" customFormat="false" ht="15" hidden="false" customHeight="true" outlineLevel="0" collapsed="false">
      <c r="B52" s="52" t="s">
        <v>550</v>
      </c>
    </row>
    <row r="53" customFormat="false" ht="15" hidden="false" customHeight="true" outlineLevel="0" collapsed="false">
      <c r="B53" s="52" t="s">
        <v>551</v>
      </c>
    </row>
    <row r="55" customFormat="false" ht="15" hidden="false" customHeight="true" outlineLevel="0" collapsed="false">
      <c r="A55" s="16" t="s">
        <v>552</v>
      </c>
    </row>
    <row r="56" customFormat="false" ht="15" hidden="false" customHeight="true" outlineLevel="0" collapsed="false">
      <c r="B56" s="17" t="s">
        <v>553</v>
      </c>
      <c r="C56" s="46" t="n">
        <v>0.6</v>
      </c>
      <c r="D56" s="3" t="s">
        <v>554</v>
      </c>
    </row>
    <row r="57" customFormat="false" ht="15" hidden="false" customHeight="true" outlineLevel="0" collapsed="false">
      <c r="B57" s="17" t="s">
        <v>555</v>
      </c>
      <c r="C57" s="46" t="n">
        <v>0.5</v>
      </c>
      <c r="D57" s="3"/>
    </row>
    <row r="58" customFormat="false" ht="15" hidden="false" customHeight="true" outlineLevel="0" collapsed="false">
      <c r="B58" s="17" t="s">
        <v>556</v>
      </c>
      <c r="C58" s="46" t="n">
        <v>0.7</v>
      </c>
      <c r="D58" s="3"/>
    </row>
    <row r="59" customFormat="false" ht="15" hidden="false" customHeight="true" outlineLevel="0" collapsed="false">
      <c r="B59" s="17" t="s">
        <v>557</v>
      </c>
      <c r="C59" s="50" t="n">
        <v>3</v>
      </c>
      <c r="D59" s="3" t="s">
        <v>558</v>
      </c>
    </row>
    <row r="60" customFormat="false" ht="15" hidden="false" customHeight="true" outlineLevel="0" collapsed="false">
      <c r="B60" s="17" t="s">
        <v>559</v>
      </c>
      <c r="C60" s="46" t="n">
        <v>0.85</v>
      </c>
      <c r="D60" s="3" t="s">
        <v>560</v>
      </c>
    </row>
    <row r="62" customFormat="false" ht="15" hidden="false" customHeight="true" outlineLevel="0" collapsed="false">
      <c r="A62" s="11" t="s">
        <v>561</v>
      </c>
      <c r="D62" s="15"/>
    </row>
    <row r="63" customFormat="false" ht="15" hidden="false" customHeight="true" outlineLevel="0" collapsed="false">
      <c r="A63" s="15"/>
      <c r="B63" s="15" t="s">
        <v>562</v>
      </c>
      <c r="C63" s="45" t="n">
        <v>1</v>
      </c>
      <c r="D63" s="15" t="s">
        <v>563</v>
      </c>
    </row>
    <row r="64" customFormat="false" ht="15" hidden="false" customHeight="true" outlineLevel="0" collapsed="false">
      <c r="A64" s="15"/>
      <c r="B64" s="15" t="s">
        <v>564</v>
      </c>
      <c r="C64" s="45" t="n">
        <v>0.5</v>
      </c>
      <c r="D64" s="15" t="s">
        <v>565</v>
      </c>
    </row>
    <row r="65" customFormat="false" ht="15" hidden="false" customHeight="true" outlineLevel="0" collapsed="false">
      <c r="A65" s="11" t="s">
        <v>566</v>
      </c>
      <c r="D65" s="15"/>
    </row>
    <row r="66" customFormat="false" ht="15" hidden="false" customHeight="true" outlineLevel="0" collapsed="false">
      <c r="A66" s="15"/>
      <c r="B66" s="45" t="s">
        <v>567</v>
      </c>
      <c r="D66" s="15"/>
    </row>
    <row r="67" customFormat="false" ht="15" hidden="false" customHeight="true" outlineLevel="0" collapsed="false">
      <c r="A67" s="15"/>
      <c r="B67" s="45" t="s">
        <v>568</v>
      </c>
      <c r="D67" s="15"/>
    </row>
    <row r="68" customFormat="false" ht="15" hidden="false" customHeight="true" outlineLevel="0" collapsed="false">
      <c r="A68" s="15"/>
      <c r="B68" s="45" t="s">
        <v>569</v>
      </c>
      <c r="D68" s="15"/>
    </row>
    <row r="69" customFormat="false" ht="15" hidden="false" customHeight="true" outlineLevel="0" collapsed="false">
      <c r="A69" s="15"/>
      <c r="B69" s="45" t="s">
        <v>570</v>
      </c>
      <c r="D69" s="15"/>
    </row>
    <row r="70" customFormat="false" ht="15" hidden="false" customHeight="true" outlineLevel="0" collapsed="false">
      <c r="A70" s="15"/>
      <c r="B70" s="45" t="s">
        <v>571</v>
      </c>
      <c r="D70"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T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0" min="1" style="1" width="22"/>
  </cols>
  <sheetData>
    <row r="1" customFormat="false" ht="42" hidden="false" customHeight="true" outlineLevel="0" collapsed="false">
      <c r="A1" s="7" t="s">
        <v>572</v>
      </c>
      <c r="B1" s="7" t="s">
        <v>573</v>
      </c>
      <c r="C1" s="7" t="s">
        <v>574</v>
      </c>
      <c r="D1" s="7" t="s">
        <v>575</v>
      </c>
      <c r="E1" s="7" t="s">
        <v>576</v>
      </c>
      <c r="F1" s="7" t="s">
        <v>501</v>
      </c>
      <c r="G1" s="7" t="s">
        <v>489</v>
      </c>
      <c r="H1" s="7" t="s">
        <v>577</v>
      </c>
      <c r="I1" s="7" t="s">
        <v>578</v>
      </c>
      <c r="J1" s="7" t="s">
        <v>579</v>
      </c>
      <c r="K1" s="7" t="s">
        <v>580</v>
      </c>
      <c r="L1" s="7" t="s">
        <v>581</v>
      </c>
      <c r="M1" s="7" t="s">
        <v>582</v>
      </c>
      <c r="N1" s="7" t="s">
        <v>498</v>
      </c>
      <c r="O1" s="7" t="s">
        <v>504</v>
      </c>
      <c r="P1" s="7" t="s">
        <v>583</v>
      </c>
      <c r="Q1" s="7" t="s">
        <v>506</v>
      </c>
      <c r="R1" s="7" t="s">
        <v>584</v>
      </c>
      <c r="S1" s="7" t="s">
        <v>585</v>
      </c>
      <c r="T1" s="7" t="s">
        <v>586</v>
      </c>
    </row>
    <row r="2" customFormat="false" ht="15" hidden="false" customHeight="true" outlineLevel="0" collapsed="false">
      <c r="A2" s="15" t="s">
        <v>587</v>
      </c>
      <c r="B2" s="15" t="s">
        <v>588</v>
      </c>
      <c r="C2" s="15" t="s">
        <v>589</v>
      </c>
      <c r="D2" s="15" t="s">
        <v>590</v>
      </c>
      <c r="E2" s="15" t="s">
        <v>591</v>
      </c>
      <c r="F2" s="15" t="s">
        <v>592</v>
      </c>
      <c r="G2" s="15" t="s">
        <v>516</v>
      </c>
      <c r="I2" s="53" t="s">
        <v>593</v>
      </c>
      <c r="J2" s="15" t="s">
        <v>594</v>
      </c>
      <c r="K2" s="15" t="s">
        <v>519</v>
      </c>
      <c r="O2" s="15" t="s">
        <v>516</v>
      </c>
      <c r="P2" s="15" t="s">
        <v>595</v>
      </c>
    </row>
    <row r="3" customFormat="false" ht="15" hidden="false" customHeight="true" outlineLevel="0" collapsed="false">
      <c r="A3" s="15" t="s">
        <v>596</v>
      </c>
      <c r="B3" s="15" t="s">
        <v>596</v>
      </c>
      <c r="C3" s="15" t="s">
        <v>597</v>
      </c>
      <c r="D3" s="15" t="s">
        <v>590</v>
      </c>
      <c r="E3" s="15" t="s">
        <v>598</v>
      </c>
      <c r="F3" s="15" t="s">
        <v>599</v>
      </c>
      <c r="G3" s="15" t="s">
        <v>516</v>
      </c>
      <c r="H3" s="15" t="s">
        <v>600</v>
      </c>
      <c r="J3" s="15" t="s">
        <v>601</v>
      </c>
      <c r="K3" s="15" t="s">
        <v>516</v>
      </c>
      <c r="L3" s="15" t="s">
        <v>602</v>
      </c>
      <c r="N3" s="15" t="s">
        <v>603</v>
      </c>
      <c r="O3" s="15" t="s">
        <v>516</v>
      </c>
      <c r="P3" s="15" t="s">
        <v>604</v>
      </c>
      <c r="Q3" s="15" t="s">
        <v>522</v>
      </c>
      <c r="R3" s="15" t="s">
        <v>605</v>
      </c>
      <c r="S3" s="15" t="n">
        <v>21</v>
      </c>
      <c r="T3" s="15" t="s">
        <v>606</v>
      </c>
    </row>
    <row r="4" customFormat="false" ht="15" hidden="false" customHeight="true" outlineLevel="0" collapsed="false">
      <c r="A4" s="15" t="s">
        <v>607</v>
      </c>
      <c r="B4" s="15" t="s">
        <v>608</v>
      </c>
      <c r="C4" s="15" t="s">
        <v>609</v>
      </c>
      <c r="D4" s="15" t="s">
        <v>610</v>
      </c>
      <c r="E4" s="15" t="s">
        <v>611</v>
      </c>
      <c r="G4" s="15" t="s">
        <v>519</v>
      </c>
      <c r="K4" s="15" t="s">
        <v>612</v>
      </c>
      <c r="O4" s="15" t="s">
        <v>516</v>
      </c>
      <c r="P4" s="15" t="s">
        <v>613</v>
      </c>
      <c r="Q4" s="15" t="s">
        <v>524</v>
      </c>
    </row>
    <row r="5" customFormat="false" ht="15" hidden="false" customHeight="true" outlineLevel="0" collapsed="false">
      <c r="A5" s="15" t="s">
        <v>614</v>
      </c>
      <c r="B5" s="15" t="s">
        <v>615</v>
      </c>
      <c r="C5" s="15" t="s">
        <v>616</v>
      </c>
      <c r="D5" s="15" t="s">
        <v>590</v>
      </c>
      <c r="E5" s="15" t="s">
        <v>617</v>
      </c>
      <c r="F5" s="15" t="s">
        <v>618</v>
      </c>
      <c r="G5" s="15" t="s">
        <v>516</v>
      </c>
      <c r="J5" s="15" t="s">
        <v>619</v>
      </c>
      <c r="K5" s="15" t="s">
        <v>612</v>
      </c>
      <c r="N5" s="15" t="s">
        <v>620</v>
      </c>
      <c r="O5" s="15" t="s">
        <v>516</v>
      </c>
      <c r="P5" s="15" t="s">
        <v>621</v>
      </c>
      <c r="Q5" s="15" t="s">
        <v>522</v>
      </c>
      <c r="R5" s="15" t="s">
        <v>622</v>
      </c>
    </row>
    <row r="6" customFormat="false" ht="15" hidden="false" customHeight="true" outlineLevel="0" collapsed="false">
      <c r="A6" s="15" t="s">
        <v>623</v>
      </c>
      <c r="B6" s="15" t="s">
        <v>624</v>
      </c>
      <c r="C6" s="15" t="s">
        <v>625</v>
      </c>
      <c r="D6" s="15" t="s">
        <v>590</v>
      </c>
      <c r="E6" s="15" t="s">
        <v>626</v>
      </c>
      <c r="F6" s="15" t="s">
        <v>627</v>
      </c>
      <c r="G6" s="15" t="s">
        <v>516</v>
      </c>
      <c r="H6" s="15" t="s">
        <v>628</v>
      </c>
      <c r="I6" s="53" t="s">
        <v>629</v>
      </c>
      <c r="J6" s="15" t="s">
        <v>630</v>
      </c>
      <c r="K6" s="15" t="s">
        <v>516</v>
      </c>
      <c r="L6" s="15" t="s">
        <v>631</v>
      </c>
      <c r="N6" s="15" t="s">
        <v>632</v>
      </c>
      <c r="O6" s="15" t="s">
        <v>516</v>
      </c>
      <c r="P6" s="15" t="s">
        <v>633</v>
      </c>
      <c r="Q6" s="15" t="s">
        <v>522</v>
      </c>
      <c r="R6" s="15" t="s">
        <v>634</v>
      </c>
    </row>
    <row r="7" customFormat="false" ht="15" hidden="false" customHeight="true" outlineLevel="0" collapsed="false">
      <c r="A7" s="15" t="s">
        <v>635</v>
      </c>
      <c r="B7" s="15" t="s">
        <v>636</v>
      </c>
      <c r="C7" s="15" t="s">
        <v>637</v>
      </c>
      <c r="D7" s="15" t="s">
        <v>590</v>
      </c>
      <c r="E7" s="15" t="s">
        <v>638</v>
      </c>
      <c r="F7" s="15" t="s">
        <v>639</v>
      </c>
      <c r="G7" s="15" t="s">
        <v>516</v>
      </c>
      <c r="J7" s="15" t="s">
        <v>640</v>
      </c>
      <c r="K7" s="15" t="s">
        <v>516</v>
      </c>
      <c r="L7" s="15" t="s">
        <v>641</v>
      </c>
      <c r="N7" s="15" t="s">
        <v>640</v>
      </c>
      <c r="O7" s="15" t="s">
        <v>516</v>
      </c>
      <c r="P7" s="15" t="s">
        <v>642</v>
      </c>
      <c r="Q7" s="15" t="s">
        <v>524</v>
      </c>
    </row>
    <row r="8" customFormat="false" ht="15" hidden="false" customHeight="true" outlineLevel="0" collapsed="false">
      <c r="A8" s="15" t="s">
        <v>643</v>
      </c>
      <c r="B8" s="15" t="s">
        <v>644</v>
      </c>
      <c r="C8" s="15" t="s">
        <v>645</v>
      </c>
      <c r="D8" s="15" t="s">
        <v>646</v>
      </c>
      <c r="E8" s="15" t="s">
        <v>647</v>
      </c>
      <c r="F8" s="15" t="s">
        <v>648</v>
      </c>
      <c r="G8" s="15" t="s">
        <v>516</v>
      </c>
      <c r="J8" s="15" t="s">
        <v>649</v>
      </c>
      <c r="K8" s="15" t="s">
        <v>612</v>
      </c>
      <c r="N8" s="15" t="s">
        <v>650</v>
      </c>
      <c r="O8" s="15" t="s">
        <v>612</v>
      </c>
      <c r="P8" s="15" t="s">
        <v>651</v>
      </c>
    </row>
    <row r="9" customFormat="false" ht="15" hidden="false" customHeight="true" outlineLevel="0" collapsed="false">
      <c r="A9" s="15" t="s">
        <v>652</v>
      </c>
      <c r="B9" s="15" t="s">
        <v>652</v>
      </c>
      <c r="C9" s="15" t="s">
        <v>653</v>
      </c>
      <c r="D9" s="15" t="s">
        <v>590</v>
      </c>
      <c r="E9" s="15" t="s">
        <v>654</v>
      </c>
      <c r="F9" s="15" t="s">
        <v>655</v>
      </c>
      <c r="G9" s="15" t="s">
        <v>516</v>
      </c>
      <c r="H9" s="15" t="s">
        <v>656</v>
      </c>
      <c r="J9" s="15" t="s">
        <v>657</v>
      </c>
      <c r="K9" s="15" t="s">
        <v>612</v>
      </c>
      <c r="N9" s="15" t="s">
        <v>657</v>
      </c>
      <c r="O9" s="15" t="s">
        <v>516</v>
      </c>
      <c r="P9" s="15" t="s">
        <v>658</v>
      </c>
      <c r="Q9" s="15" t="s">
        <v>522</v>
      </c>
      <c r="R9" s="15" t="s">
        <v>659</v>
      </c>
      <c r="S9" s="15" t="n">
        <v>500</v>
      </c>
      <c r="T9" s="15" t="s">
        <v>660</v>
      </c>
    </row>
    <row r="10" customFormat="false" ht="15" hidden="false" customHeight="true" outlineLevel="0" collapsed="false">
      <c r="A10" s="15" t="s">
        <v>661</v>
      </c>
      <c r="B10" s="15" t="s">
        <v>662</v>
      </c>
      <c r="C10" s="15" t="s">
        <v>663</v>
      </c>
      <c r="E10" s="15" t="s">
        <v>617</v>
      </c>
      <c r="F10" s="15" t="s">
        <v>664</v>
      </c>
      <c r="G10" s="15" t="s">
        <v>516</v>
      </c>
      <c r="H10" s="15" t="s">
        <v>665</v>
      </c>
      <c r="J10" s="15" t="s">
        <v>666</v>
      </c>
      <c r="K10" s="15" t="s">
        <v>612</v>
      </c>
      <c r="O10" s="15" t="s">
        <v>516</v>
      </c>
      <c r="P10" s="15" t="s">
        <v>667</v>
      </c>
      <c r="Q10" s="15" t="s">
        <v>522</v>
      </c>
      <c r="R10" s="15" t="s">
        <v>668</v>
      </c>
      <c r="S10" s="15" t="n">
        <v>52</v>
      </c>
      <c r="T10" s="15" t="s">
        <v>669</v>
      </c>
    </row>
    <row r="11" customFormat="false" ht="15" hidden="false" customHeight="true" outlineLevel="0" collapsed="false">
      <c r="A11" s="15" t="s">
        <v>670</v>
      </c>
      <c r="B11" s="15" t="s">
        <v>671</v>
      </c>
      <c r="C11" s="15" t="s">
        <v>672</v>
      </c>
      <c r="D11" s="15" t="s">
        <v>590</v>
      </c>
      <c r="E11" s="15" t="s">
        <v>611</v>
      </c>
      <c r="F11" s="15" t="s">
        <v>673</v>
      </c>
      <c r="G11" s="15" t="s">
        <v>516</v>
      </c>
      <c r="I11" s="53" t="s">
        <v>674</v>
      </c>
      <c r="K11" s="15" t="s">
        <v>516</v>
      </c>
      <c r="L11" s="15" t="s">
        <v>675</v>
      </c>
      <c r="N11" s="15" t="s">
        <v>676</v>
      </c>
      <c r="O11" s="15" t="s">
        <v>516</v>
      </c>
      <c r="P11" s="15" t="s">
        <v>677</v>
      </c>
      <c r="Q11" s="15" t="s">
        <v>522</v>
      </c>
      <c r="R11" s="15" t="s">
        <v>678</v>
      </c>
      <c r="S11" s="15" t="n">
        <v>290</v>
      </c>
    </row>
    <row r="12" customFormat="false" ht="15" hidden="false" customHeight="true" outlineLevel="0" collapsed="false">
      <c r="A12" s="15" t="s">
        <v>679</v>
      </c>
      <c r="B12" s="15" t="s">
        <v>644</v>
      </c>
      <c r="C12" s="15" t="s">
        <v>680</v>
      </c>
      <c r="D12" s="15" t="s">
        <v>646</v>
      </c>
      <c r="E12" s="15" t="s">
        <v>681</v>
      </c>
      <c r="F12" s="15" t="s">
        <v>682</v>
      </c>
      <c r="G12" s="15" t="s">
        <v>518</v>
      </c>
      <c r="K12" s="15" t="s">
        <v>612</v>
      </c>
      <c r="N12" s="15" t="s">
        <v>683</v>
      </c>
      <c r="O12" s="15" t="s">
        <v>612</v>
      </c>
      <c r="P12" s="15" t="s">
        <v>684</v>
      </c>
    </row>
    <row r="13" customFormat="false" ht="15" hidden="false" customHeight="true" outlineLevel="0" collapsed="false">
      <c r="A13" s="15" t="s">
        <v>685</v>
      </c>
      <c r="B13" s="15" t="s">
        <v>686</v>
      </c>
      <c r="C13" s="15" t="s">
        <v>687</v>
      </c>
      <c r="D13" s="15" t="s">
        <v>590</v>
      </c>
      <c r="E13" s="15" t="s">
        <v>626</v>
      </c>
      <c r="F13" s="15" t="s">
        <v>688</v>
      </c>
      <c r="G13" s="15" t="s">
        <v>516</v>
      </c>
      <c r="H13" s="15" t="s">
        <v>689</v>
      </c>
      <c r="J13" s="15" t="s">
        <v>690</v>
      </c>
      <c r="K13" s="15" t="s">
        <v>612</v>
      </c>
      <c r="L13" s="15" t="s">
        <v>691</v>
      </c>
      <c r="N13" s="15" t="s">
        <v>692</v>
      </c>
      <c r="O13" s="15" t="s">
        <v>516</v>
      </c>
      <c r="P13" s="15" t="s">
        <v>693</v>
      </c>
      <c r="Q13" s="15" t="s">
        <v>522</v>
      </c>
      <c r="R13" s="15" t="s">
        <v>694</v>
      </c>
    </row>
    <row r="14" customFormat="false" ht="15" hidden="false" customHeight="true" outlineLevel="0" collapsed="false">
      <c r="A14" s="15" t="s">
        <v>695</v>
      </c>
      <c r="B14" s="15" t="s">
        <v>696</v>
      </c>
      <c r="C14" s="15" t="s">
        <v>697</v>
      </c>
      <c r="D14" s="15" t="s">
        <v>590</v>
      </c>
      <c r="E14" s="15" t="s">
        <v>698</v>
      </c>
      <c r="F14" s="15" t="s">
        <v>699</v>
      </c>
      <c r="G14" s="15" t="s">
        <v>516</v>
      </c>
      <c r="H14" s="15" t="s">
        <v>700</v>
      </c>
      <c r="J14" s="15" t="s">
        <v>701</v>
      </c>
      <c r="K14" s="15" t="s">
        <v>612</v>
      </c>
      <c r="L14" s="15" t="s">
        <v>702</v>
      </c>
      <c r="N14" s="15" t="s">
        <v>701</v>
      </c>
      <c r="O14" s="15" t="s">
        <v>516</v>
      </c>
      <c r="P14" s="15" t="s">
        <v>703</v>
      </c>
      <c r="Q14" s="15" t="s">
        <v>522</v>
      </c>
      <c r="R14" s="15" t="s">
        <v>704</v>
      </c>
      <c r="S14" s="15" t="n">
        <v>38</v>
      </c>
      <c r="T14" s="15" t="s">
        <v>705</v>
      </c>
    </row>
    <row r="15" customFormat="false" ht="15" hidden="false" customHeight="true" outlineLevel="0" collapsed="false">
      <c r="A15" s="15" t="s">
        <v>706</v>
      </c>
      <c r="B15" s="15" t="s">
        <v>707</v>
      </c>
      <c r="C15" s="15" t="s">
        <v>708</v>
      </c>
      <c r="D15" s="15" t="s">
        <v>590</v>
      </c>
      <c r="E15" s="15" t="s">
        <v>611</v>
      </c>
      <c r="G15" s="15" t="s">
        <v>516</v>
      </c>
      <c r="I15" s="53" t="s">
        <v>709</v>
      </c>
      <c r="K15" s="15" t="s">
        <v>612</v>
      </c>
      <c r="O15" s="15" t="s">
        <v>519</v>
      </c>
      <c r="Q15" s="15" t="s">
        <v>524</v>
      </c>
    </row>
    <row r="16" customFormat="false" ht="15" hidden="false" customHeight="true" outlineLevel="0" collapsed="false">
      <c r="A16" s="15" t="s">
        <v>710</v>
      </c>
      <c r="B16" s="15" t="s">
        <v>711</v>
      </c>
      <c r="C16" s="15" t="s">
        <v>712</v>
      </c>
      <c r="E16" s="15" t="s">
        <v>713</v>
      </c>
      <c r="F16" s="15" t="s">
        <v>714</v>
      </c>
      <c r="G16" s="15" t="s">
        <v>516</v>
      </c>
      <c r="H16" s="15" t="s">
        <v>715</v>
      </c>
      <c r="J16" s="15" t="s">
        <v>716</v>
      </c>
      <c r="K16" s="15" t="s">
        <v>612</v>
      </c>
      <c r="L16" s="15" t="s">
        <v>717</v>
      </c>
      <c r="N16" s="15" t="s">
        <v>718</v>
      </c>
      <c r="O16" s="15" t="s">
        <v>516</v>
      </c>
      <c r="P16" s="15" t="s">
        <v>719</v>
      </c>
      <c r="Q16" s="15" t="s">
        <v>522</v>
      </c>
      <c r="R16" s="15" t="s">
        <v>720</v>
      </c>
      <c r="S16" s="15" t="n">
        <v>30</v>
      </c>
      <c r="T16" s="15" t="s">
        <v>716</v>
      </c>
    </row>
    <row r="17" customFormat="false" ht="15" hidden="false" customHeight="true" outlineLevel="0" collapsed="false">
      <c r="A17" s="15" t="s">
        <v>721</v>
      </c>
      <c r="B17" s="15" t="s">
        <v>721</v>
      </c>
      <c r="C17" s="15" t="s">
        <v>722</v>
      </c>
      <c r="D17" s="15" t="s">
        <v>590</v>
      </c>
      <c r="E17" s="15" t="s">
        <v>723</v>
      </c>
      <c r="F17" s="15" t="s">
        <v>724</v>
      </c>
      <c r="G17" s="15" t="s">
        <v>516</v>
      </c>
      <c r="H17" s="15" t="s">
        <v>725</v>
      </c>
      <c r="J17" s="15" t="s">
        <v>726</v>
      </c>
      <c r="K17" s="15" t="s">
        <v>612</v>
      </c>
      <c r="L17" s="15" t="s">
        <v>602</v>
      </c>
      <c r="N17" s="15" t="s">
        <v>727</v>
      </c>
      <c r="O17" s="15" t="s">
        <v>518</v>
      </c>
      <c r="Q17" s="15" t="s">
        <v>524</v>
      </c>
    </row>
    <row r="18" customFormat="false" ht="15" hidden="false" customHeight="true" outlineLevel="0" collapsed="false">
      <c r="A18" s="15" t="s">
        <v>728</v>
      </c>
      <c r="B18" s="15" t="s">
        <v>729</v>
      </c>
      <c r="C18" s="15" t="s">
        <v>730</v>
      </c>
      <c r="D18" s="15" t="s">
        <v>731</v>
      </c>
      <c r="E18" s="15" t="s">
        <v>732</v>
      </c>
      <c r="F18" s="15" t="s">
        <v>733</v>
      </c>
      <c r="G18" s="15" t="s">
        <v>518</v>
      </c>
      <c r="K18" s="15" t="s">
        <v>612</v>
      </c>
      <c r="O18" s="15" t="s">
        <v>516</v>
      </c>
      <c r="P18" s="15" t="s">
        <v>734</v>
      </c>
      <c r="Q18" s="15" t="s">
        <v>524</v>
      </c>
    </row>
    <row r="19" customFormat="false" ht="15" hidden="false" customHeight="true" outlineLevel="0" collapsed="false">
      <c r="A19" s="15" t="s">
        <v>735</v>
      </c>
      <c r="B19" s="15" t="s">
        <v>736</v>
      </c>
      <c r="C19" s="15" t="s">
        <v>737</v>
      </c>
      <c r="D19" s="15" t="s">
        <v>590</v>
      </c>
      <c r="E19" s="15" t="s">
        <v>738</v>
      </c>
      <c r="F19" s="15" t="s">
        <v>739</v>
      </c>
      <c r="G19" s="15" t="s">
        <v>516</v>
      </c>
      <c r="H19" s="15" t="s">
        <v>407</v>
      </c>
      <c r="J19" s="15" t="s">
        <v>740</v>
      </c>
      <c r="K19" s="15" t="s">
        <v>612</v>
      </c>
      <c r="L19" s="15" t="s">
        <v>741</v>
      </c>
      <c r="O19" s="15" t="s">
        <v>516</v>
      </c>
      <c r="P19" s="15" t="s">
        <v>742</v>
      </c>
    </row>
    <row r="20" customFormat="false" ht="15" hidden="false" customHeight="true" outlineLevel="0" collapsed="false">
      <c r="A20" s="15" t="s">
        <v>743</v>
      </c>
      <c r="B20" s="15" t="s">
        <v>743</v>
      </c>
      <c r="C20" s="15" t="s">
        <v>744</v>
      </c>
      <c r="D20" s="15" t="s">
        <v>590</v>
      </c>
      <c r="E20" s="15" t="s">
        <v>598</v>
      </c>
      <c r="F20" s="15" t="s">
        <v>745</v>
      </c>
      <c r="G20" s="15" t="s">
        <v>516</v>
      </c>
      <c r="J20" s="15" t="s">
        <v>746</v>
      </c>
      <c r="K20" s="15" t="s">
        <v>612</v>
      </c>
      <c r="O20" s="15" t="s">
        <v>519</v>
      </c>
      <c r="Q20" s="15" t="s">
        <v>522</v>
      </c>
      <c r="R20" s="15" t="s">
        <v>747</v>
      </c>
      <c r="S20" s="15" t="n">
        <v>968</v>
      </c>
      <c r="T20" s="15" t="s">
        <v>748</v>
      </c>
    </row>
    <row r="21" customFormat="false" ht="15" hidden="false" customHeight="true" outlineLevel="0" collapsed="false">
      <c r="A21" s="15" t="s">
        <v>749</v>
      </c>
      <c r="B21" s="15" t="s">
        <v>750</v>
      </c>
      <c r="C21" s="15" t="s">
        <v>751</v>
      </c>
      <c r="E21" s="15" t="s">
        <v>752</v>
      </c>
      <c r="F21" s="15" t="s">
        <v>753</v>
      </c>
      <c r="G21" s="15" t="s">
        <v>516</v>
      </c>
      <c r="H21" s="15" t="s">
        <v>754</v>
      </c>
      <c r="J21" s="15" t="s">
        <v>755</v>
      </c>
      <c r="K21" s="15" t="s">
        <v>612</v>
      </c>
      <c r="L21" s="15" t="s">
        <v>756</v>
      </c>
      <c r="N21" s="15" t="s">
        <v>757</v>
      </c>
      <c r="O21" s="15" t="s">
        <v>518</v>
      </c>
      <c r="Q21" s="15" t="s">
        <v>524</v>
      </c>
    </row>
    <row r="22" customFormat="false" ht="15" hidden="false" customHeight="true" outlineLevel="0" collapsed="false">
      <c r="A22" s="15" t="s">
        <v>758</v>
      </c>
      <c r="B22" s="15" t="s">
        <v>750</v>
      </c>
      <c r="C22" s="15" t="s">
        <v>759</v>
      </c>
      <c r="E22" s="15" t="s">
        <v>638</v>
      </c>
      <c r="F22" s="15" t="s">
        <v>760</v>
      </c>
      <c r="G22" s="15" t="s">
        <v>516</v>
      </c>
      <c r="H22" s="15" t="s">
        <v>761</v>
      </c>
      <c r="J22" s="15" t="s">
        <v>762</v>
      </c>
      <c r="K22" s="15" t="s">
        <v>612</v>
      </c>
      <c r="L22" s="15" t="s">
        <v>763</v>
      </c>
      <c r="N22" s="15" t="s">
        <v>764</v>
      </c>
      <c r="O22" s="15" t="s">
        <v>519</v>
      </c>
      <c r="Q22" s="15" t="s">
        <v>524</v>
      </c>
    </row>
    <row r="23" customFormat="false" ht="15" hidden="false" customHeight="true" outlineLevel="0" collapsed="false">
      <c r="A23" s="15" t="s">
        <v>765</v>
      </c>
      <c r="B23" s="15" t="s">
        <v>766</v>
      </c>
      <c r="C23" s="15" t="s">
        <v>767</v>
      </c>
      <c r="D23" s="15" t="s">
        <v>590</v>
      </c>
      <c r="E23" s="15" t="s">
        <v>768</v>
      </c>
      <c r="F23" s="15" t="s">
        <v>769</v>
      </c>
      <c r="G23" s="15" t="s">
        <v>516</v>
      </c>
      <c r="J23" s="15" t="s">
        <v>770</v>
      </c>
      <c r="K23" s="15" t="s">
        <v>612</v>
      </c>
      <c r="N23" s="15" t="s">
        <v>771</v>
      </c>
      <c r="O23" s="15" t="s">
        <v>612</v>
      </c>
      <c r="P23" s="15" t="s">
        <v>771</v>
      </c>
      <c r="Q23" s="15" t="s">
        <v>524</v>
      </c>
    </row>
    <row r="24" customFormat="false" ht="15" hidden="false" customHeight="true" outlineLevel="0" collapsed="false">
      <c r="A24" s="15" t="s">
        <v>772</v>
      </c>
      <c r="B24" s="15" t="s">
        <v>773</v>
      </c>
      <c r="C24" s="15" t="s">
        <v>774</v>
      </c>
      <c r="D24" s="15" t="s">
        <v>775</v>
      </c>
      <c r="E24" s="15" t="s">
        <v>776</v>
      </c>
      <c r="F24" s="15" t="s">
        <v>777</v>
      </c>
      <c r="G24" s="15" t="s">
        <v>516</v>
      </c>
      <c r="I24" s="53" t="s">
        <v>778</v>
      </c>
      <c r="J24" s="15" t="s">
        <v>779</v>
      </c>
      <c r="K24" s="15" t="s">
        <v>516</v>
      </c>
      <c r="L24" s="15" t="s">
        <v>780</v>
      </c>
      <c r="N24" s="15" t="s">
        <v>781</v>
      </c>
      <c r="O24" s="15" t="s">
        <v>516</v>
      </c>
      <c r="P24" s="15" t="s">
        <v>782</v>
      </c>
      <c r="Q24" s="15" t="s">
        <v>522</v>
      </c>
      <c r="R24" s="15" t="s">
        <v>783</v>
      </c>
    </row>
    <row r="25" customFormat="false" ht="15" hidden="false" customHeight="true" outlineLevel="0" collapsed="false">
      <c r="A25" s="15" t="s">
        <v>784</v>
      </c>
      <c r="B25" s="15" t="s">
        <v>785</v>
      </c>
      <c r="C25" s="15" t="s">
        <v>786</v>
      </c>
      <c r="D25" s="15" t="s">
        <v>775</v>
      </c>
      <c r="E25" s="15" t="s">
        <v>638</v>
      </c>
      <c r="F25" s="15" t="s">
        <v>787</v>
      </c>
      <c r="G25" s="15" t="s">
        <v>516</v>
      </c>
      <c r="H25" s="15" t="s">
        <v>788</v>
      </c>
      <c r="I25" s="15" t="s">
        <v>789</v>
      </c>
      <c r="J25" s="15" t="s">
        <v>790</v>
      </c>
      <c r="K25" s="15" t="s">
        <v>516</v>
      </c>
      <c r="L25" s="15" t="s">
        <v>791</v>
      </c>
      <c r="N25" s="15" t="s">
        <v>792</v>
      </c>
      <c r="O25" s="15" t="s">
        <v>516</v>
      </c>
      <c r="P25" s="15" t="s">
        <v>792</v>
      </c>
      <c r="Q25" s="15" t="s">
        <v>522</v>
      </c>
      <c r="R25" s="15" t="s">
        <v>793</v>
      </c>
      <c r="T25" s="15" t="s">
        <v>794</v>
      </c>
    </row>
    <row r="26" customFormat="false" ht="15" hidden="false" customHeight="true" outlineLevel="0" collapsed="false">
      <c r="A26" s="15" t="s">
        <v>795</v>
      </c>
      <c r="B26" s="15" t="s">
        <v>796</v>
      </c>
      <c r="C26" s="15" t="s">
        <v>797</v>
      </c>
      <c r="D26" s="15" t="s">
        <v>590</v>
      </c>
      <c r="E26" s="15" t="s">
        <v>638</v>
      </c>
      <c r="F26" s="15" t="s">
        <v>798</v>
      </c>
      <c r="G26" s="15" t="s">
        <v>516</v>
      </c>
      <c r="I26" s="15" t="s">
        <v>368</v>
      </c>
      <c r="K26" s="15" t="s">
        <v>516</v>
      </c>
      <c r="L26" s="15" t="s">
        <v>675</v>
      </c>
      <c r="N26" s="15" t="s">
        <v>799</v>
      </c>
      <c r="O26" s="15" t="s">
        <v>516</v>
      </c>
      <c r="P26" s="15" t="s">
        <v>800</v>
      </c>
      <c r="S26" s="15" t="n">
        <v>0</v>
      </c>
    </row>
    <row r="27" customFormat="false" ht="15" hidden="false" customHeight="true" outlineLevel="0" collapsed="false">
      <c r="A27" s="15" t="s">
        <v>801</v>
      </c>
      <c r="B27" s="15" t="s">
        <v>802</v>
      </c>
      <c r="C27" s="15" t="s">
        <v>803</v>
      </c>
      <c r="D27" s="15" t="s">
        <v>590</v>
      </c>
      <c r="E27" s="15" t="s">
        <v>804</v>
      </c>
      <c r="F27" s="15" t="s">
        <v>805</v>
      </c>
      <c r="G27" s="15" t="s">
        <v>516</v>
      </c>
      <c r="I27" s="53" t="s">
        <v>806</v>
      </c>
      <c r="J27" s="15" t="s">
        <v>807</v>
      </c>
      <c r="K27" s="15" t="s">
        <v>516</v>
      </c>
      <c r="L27" s="15" t="s">
        <v>641</v>
      </c>
      <c r="N27" s="15" t="s">
        <v>808</v>
      </c>
      <c r="O27" s="15" t="s">
        <v>516</v>
      </c>
      <c r="P27" s="15" t="s">
        <v>809</v>
      </c>
      <c r="Q27" s="15" t="s">
        <v>522</v>
      </c>
      <c r="R27" s="15" t="s">
        <v>810</v>
      </c>
      <c r="S27" s="15" t="n">
        <v>20000</v>
      </c>
    </row>
    <row r="28" customFormat="false" ht="15" hidden="false" customHeight="true" outlineLevel="0" collapsed="false">
      <c r="A28" s="15" t="s">
        <v>811</v>
      </c>
      <c r="B28" s="15" t="s">
        <v>812</v>
      </c>
      <c r="C28" s="15" t="s">
        <v>813</v>
      </c>
      <c r="D28" s="15" t="s">
        <v>814</v>
      </c>
      <c r="E28" s="15" t="s">
        <v>815</v>
      </c>
      <c r="F28" s="15" t="s">
        <v>816</v>
      </c>
      <c r="G28" s="15" t="s">
        <v>519</v>
      </c>
      <c r="K28" s="15" t="s">
        <v>612</v>
      </c>
      <c r="O28" s="15" t="s">
        <v>519</v>
      </c>
    </row>
    <row r="29" customFormat="false" ht="15" hidden="false" customHeight="true" outlineLevel="0" collapsed="false">
      <c r="A29" s="15" t="s">
        <v>817</v>
      </c>
      <c r="B29" s="15" t="s">
        <v>596</v>
      </c>
      <c r="C29" s="15" t="s">
        <v>818</v>
      </c>
      <c r="D29" s="15" t="s">
        <v>590</v>
      </c>
      <c r="E29" s="15" t="s">
        <v>713</v>
      </c>
      <c r="F29" s="15" t="s">
        <v>819</v>
      </c>
      <c r="G29" s="15" t="s">
        <v>516</v>
      </c>
      <c r="J29" s="15" t="s">
        <v>820</v>
      </c>
      <c r="K29" s="15" t="s">
        <v>612</v>
      </c>
      <c r="L29" s="15" t="s">
        <v>602</v>
      </c>
      <c r="N29" s="15" t="s">
        <v>821</v>
      </c>
      <c r="O29" s="15" t="s">
        <v>519</v>
      </c>
      <c r="Q29" s="15" t="s">
        <v>522</v>
      </c>
      <c r="R29" s="15" t="s">
        <v>605</v>
      </c>
    </row>
    <row r="30" customFormat="false" ht="15" hidden="false" customHeight="true" outlineLevel="0" collapsed="false">
      <c r="A30" s="15" t="s">
        <v>822</v>
      </c>
      <c r="B30" s="15" t="s">
        <v>823</v>
      </c>
      <c r="C30" s="15" t="s">
        <v>824</v>
      </c>
      <c r="D30" s="15" t="s">
        <v>825</v>
      </c>
      <c r="E30" s="15" t="s">
        <v>826</v>
      </c>
      <c r="F30" s="15" t="s">
        <v>827</v>
      </c>
      <c r="G30" s="15" t="s">
        <v>516</v>
      </c>
      <c r="H30" s="15" t="s">
        <v>828</v>
      </c>
      <c r="K30" s="15" t="s">
        <v>612</v>
      </c>
      <c r="L30" s="15" t="s">
        <v>829</v>
      </c>
      <c r="O30" s="15" t="s">
        <v>519</v>
      </c>
      <c r="Q30" s="15" t="s">
        <v>524</v>
      </c>
    </row>
    <row r="31" customFormat="false" ht="15" hidden="false" customHeight="true" outlineLevel="0" collapsed="false">
      <c r="A31" s="15" t="s">
        <v>830</v>
      </c>
      <c r="B31" s="15" t="s">
        <v>831</v>
      </c>
      <c r="C31" s="15" t="s">
        <v>832</v>
      </c>
      <c r="E31" s="15" t="s">
        <v>833</v>
      </c>
      <c r="F31" s="15" t="s">
        <v>834</v>
      </c>
      <c r="G31" s="15" t="s">
        <v>516</v>
      </c>
      <c r="H31" s="15" t="s">
        <v>835</v>
      </c>
      <c r="J31" s="15" t="s">
        <v>836</v>
      </c>
      <c r="K31" s="15" t="s">
        <v>612</v>
      </c>
      <c r="L31" s="15" t="s">
        <v>837</v>
      </c>
      <c r="M31" s="15" t="s">
        <v>838</v>
      </c>
      <c r="N31" s="15" t="s">
        <v>836</v>
      </c>
      <c r="O31" s="15" t="s">
        <v>520</v>
      </c>
      <c r="Q31" s="15" t="s">
        <v>524</v>
      </c>
    </row>
    <row r="32" customFormat="false" ht="15" hidden="false" customHeight="true" outlineLevel="0" collapsed="false">
      <c r="A32" s="15" t="s">
        <v>839</v>
      </c>
      <c r="B32" s="15" t="s">
        <v>839</v>
      </c>
      <c r="C32" s="15" t="s">
        <v>840</v>
      </c>
      <c r="D32" s="15" t="s">
        <v>825</v>
      </c>
      <c r="E32" s="15" t="s">
        <v>841</v>
      </c>
      <c r="F32" s="15" t="s">
        <v>842</v>
      </c>
      <c r="G32" s="15" t="s">
        <v>516</v>
      </c>
      <c r="I32" s="53" t="s">
        <v>843</v>
      </c>
      <c r="J32" s="15" t="s">
        <v>844</v>
      </c>
      <c r="K32" s="15" t="s">
        <v>519</v>
      </c>
      <c r="L32" s="15" t="s">
        <v>845</v>
      </c>
      <c r="N32" s="15" t="s">
        <v>846</v>
      </c>
      <c r="O32" s="15" t="s">
        <v>516</v>
      </c>
      <c r="P32" s="15" t="s">
        <v>847</v>
      </c>
      <c r="Q32" s="15" t="s">
        <v>522</v>
      </c>
      <c r="R32" s="15" t="s">
        <v>848</v>
      </c>
      <c r="S32" s="15" t="n">
        <v>1389</v>
      </c>
    </row>
    <row r="33" customFormat="false" ht="15" hidden="false" customHeight="true" outlineLevel="0" collapsed="false">
      <c r="A33" s="15" t="s">
        <v>849</v>
      </c>
      <c r="B33" s="15" t="s">
        <v>850</v>
      </c>
      <c r="C33" s="15" t="s">
        <v>851</v>
      </c>
      <c r="D33" s="15" t="s">
        <v>852</v>
      </c>
      <c r="E33" s="15" t="s">
        <v>617</v>
      </c>
      <c r="F33" s="15" t="s">
        <v>853</v>
      </c>
      <c r="G33" s="15" t="s">
        <v>516</v>
      </c>
      <c r="H33" s="15" t="s">
        <v>854</v>
      </c>
      <c r="J33" s="15" t="s">
        <v>855</v>
      </c>
      <c r="K33" s="15" t="s">
        <v>612</v>
      </c>
      <c r="L33" s="15" t="s">
        <v>856</v>
      </c>
      <c r="N33" s="15" t="s">
        <v>857</v>
      </c>
      <c r="O33" s="15" t="s">
        <v>516</v>
      </c>
      <c r="P33" s="15" t="s">
        <v>858</v>
      </c>
      <c r="Q33" s="15" t="s">
        <v>524</v>
      </c>
    </row>
    <row r="34" customFormat="false" ht="15" hidden="false" customHeight="true" outlineLevel="0" collapsed="false">
      <c r="A34" s="15" t="s">
        <v>859</v>
      </c>
      <c r="B34" s="15" t="s">
        <v>860</v>
      </c>
      <c r="C34" s="15" t="s">
        <v>861</v>
      </c>
      <c r="D34" s="15" t="s">
        <v>590</v>
      </c>
      <c r="E34" s="15" t="s">
        <v>862</v>
      </c>
      <c r="F34" s="15" t="s">
        <v>863</v>
      </c>
      <c r="G34" s="15" t="s">
        <v>516</v>
      </c>
      <c r="I34" s="53" t="s">
        <v>864</v>
      </c>
      <c r="J34" s="15" t="s">
        <v>865</v>
      </c>
      <c r="K34" s="15" t="s">
        <v>516</v>
      </c>
      <c r="L34" s="15" t="s">
        <v>866</v>
      </c>
      <c r="N34" s="15" t="s">
        <v>867</v>
      </c>
      <c r="O34" s="15" t="s">
        <v>516</v>
      </c>
      <c r="P34" s="15" t="s">
        <v>868</v>
      </c>
      <c r="Q34" s="15" t="s">
        <v>524</v>
      </c>
      <c r="S34" s="15" t="n">
        <v>0</v>
      </c>
    </row>
    <row r="35" customFormat="false" ht="15" hidden="false" customHeight="true" outlineLevel="0" collapsed="false">
      <c r="A35" s="15" t="s">
        <v>869</v>
      </c>
      <c r="B35" s="15" t="s">
        <v>870</v>
      </c>
      <c r="C35" s="15" t="s">
        <v>871</v>
      </c>
      <c r="D35" s="15" t="s">
        <v>872</v>
      </c>
      <c r="E35" s="15" t="s">
        <v>873</v>
      </c>
      <c r="F35" s="15" t="s">
        <v>871</v>
      </c>
      <c r="G35" s="15" t="s">
        <v>516</v>
      </c>
      <c r="H35" s="15" t="s">
        <v>874</v>
      </c>
      <c r="J35" s="15" t="s">
        <v>875</v>
      </c>
      <c r="K35" s="15" t="s">
        <v>612</v>
      </c>
      <c r="N35" s="15" t="s">
        <v>876</v>
      </c>
      <c r="O35" s="15" t="s">
        <v>516</v>
      </c>
      <c r="P35" s="15" t="s">
        <v>875</v>
      </c>
      <c r="S35" s="15" t="n">
        <v>5</v>
      </c>
      <c r="T35" s="15" t="s">
        <v>877</v>
      </c>
    </row>
    <row r="36" customFormat="false" ht="15" hidden="false" customHeight="true" outlineLevel="0" collapsed="false">
      <c r="A36" s="15" t="s">
        <v>878</v>
      </c>
      <c r="B36" s="15" t="s">
        <v>870</v>
      </c>
      <c r="C36" s="15" t="s">
        <v>879</v>
      </c>
      <c r="D36" s="15" t="s">
        <v>872</v>
      </c>
      <c r="E36" s="15" t="s">
        <v>880</v>
      </c>
      <c r="F36" s="15" t="s">
        <v>879</v>
      </c>
      <c r="G36" s="15" t="s">
        <v>516</v>
      </c>
      <c r="H36" s="15" t="s">
        <v>874</v>
      </c>
      <c r="J36" s="15" t="s">
        <v>881</v>
      </c>
      <c r="K36" s="15" t="s">
        <v>612</v>
      </c>
      <c r="N36" s="15" t="s">
        <v>882</v>
      </c>
      <c r="O36" s="15" t="s">
        <v>516</v>
      </c>
      <c r="P36" s="15" t="s">
        <v>883</v>
      </c>
      <c r="T36" s="15" t="s">
        <v>877</v>
      </c>
    </row>
    <row r="37" customFormat="false" ht="15" hidden="false" customHeight="true" outlineLevel="0" collapsed="false">
      <c r="A37" s="15" t="s">
        <v>884</v>
      </c>
      <c r="B37" s="15" t="s">
        <v>885</v>
      </c>
      <c r="C37" s="15" t="s">
        <v>886</v>
      </c>
      <c r="D37" s="15" t="s">
        <v>590</v>
      </c>
      <c r="E37" s="15" t="s">
        <v>617</v>
      </c>
      <c r="F37" s="15" t="s">
        <v>887</v>
      </c>
      <c r="G37" s="15" t="s">
        <v>516</v>
      </c>
      <c r="H37" s="15" t="s">
        <v>888</v>
      </c>
      <c r="K37" s="15" t="s">
        <v>612</v>
      </c>
      <c r="L37" s="15" t="s">
        <v>837</v>
      </c>
      <c r="O37" s="15" t="s">
        <v>520</v>
      </c>
      <c r="T37" s="15" t="s">
        <v>889</v>
      </c>
    </row>
    <row r="38" customFormat="false" ht="15" hidden="false" customHeight="true" outlineLevel="0" collapsed="false">
      <c r="A38" s="15" t="s">
        <v>890</v>
      </c>
      <c r="B38" s="15" t="s">
        <v>891</v>
      </c>
      <c r="C38" s="15" t="s">
        <v>892</v>
      </c>
      <c r="D38" s="15" t="s">
        <v>893</v>
      </c>
      <c r="E38" s="15" t="s">
        <v>894</v>
      </c>
      <c r="F38" s="15" t="s">
        <v>895</v>
      </c>
      <c r="G38" s="15" t="s">
        <v>516</v>
      </c>
      <c r="H38" s="15" t="s">
        <v>896</v>
      </c>
      <c r="I38" s="53" t="s">
        <v>897</v>
      </c>
      <c r="K38" s="15" t="s">
        <v>612</v>
      </c>
      <c r="L38" s="15" t="s">
        <v>763</v>
      </c>
      <c r="M38" s="53" t="s">
        <v>898</v>
      </c>
      <c r="O38" s="15" t="s">
        <v>516</v>
      </c>
      <c r="P38" s="15" t="s">
        <v>899</v>
      </c>
      <c r="Q38" s="15" t="s">
        <v>522</v>
      </c>
      <c r="R38" s="15" t="s">
        <v>900</v>
      </c>
      <c r="S38" s="15" t="n">
        <v>600</v>
      </c>
    </row>
    <row r="39" customFormat="false" ht="15" hidden="false" customHeight="true" outlineLevel="0" collapsed="false">
      <c r="A39" s="15" t="s">
        <v>901</v>
      </c>
      <c r="B39" s="15" t="s">
        <v>901</v>
      </c>
      <c r="C39" s="15" t="s">
        <v>902</v>
      </c>
      <c r="E39" s="15" t="s">
        <v>903</v>
      </c>
      <c r="F39" s="15" t="s">
        <v>904</v>
      </c>
      <c r="G39" s="15" t="s">
        <v>516</v>
      </c>
      <c r="I39" s="53" t="s">
        <v>905</v>
      </c>
      <c r="J39" s="15" t="s">
        <v>906</v>
      </c>
      <c r="K39" s="15" t="s">
        <v>612</v>
      </c>
      <c r="L39" s="15" t="s">
        <v>907</v>
      </c>
      <c r="N39" s="15" t="s">
        <v>904</v>
      </c>
      <c r="O39" s="15" t="s">
        <v>516</v>
      </c>
      <c r="P39" s="15" t="s">
        <v>908</v>
      </c>
    </row>
    <row r="40" customFormat="false" ht="15" hidden="false" customHeight="true" outlineLevel="0" collapsed="false">
      <c r="A40" s="15" t="s">
        <v>909</v>
      </c>
      <c r="B40" s="15" t="s">
        <v>909</v>
      </c>
      <c r="C40" s="15" t="s">
        <v>910</v>
      </c>
      <c r="D40" s="15" t="s">
        <v>590</v>
      </c>
      <c r="E40" s="15" t="s">
        <v>611</v>
      </c>
      <c r="F40" s="15" t="s">
        <v>911</v>
      </c>
      <c r="G40" s="15" t="s">
        <v>516</v>
      </c>
      <c r="I40" s="53" t="s">
        <v>912</v>
      </c>
      <c r="J40" s="15" t="s">
        <v>913</v>
      </c>
      <c r="K40" s="15" t="s">
        <v>612</v>
      </c>
      <c r="L40" s="15" t="s">
        <v>914</v>
      </c>
      <c r="O40" s="15" t="s">
        <v>516</v>
      </c>
      <c r="P40" s="15" t="s">
        <v>915</v>
      </c>
      <c r="Q40" s="15" t="s">
        <v>522</v>
      </c>
      <c r="R40" s="15" t="s">
        <v>916</v>
      </c>
      <c r="S40" s="15" t="n">
        <v>84</v>
      </c>
    </row>
    <row r="41" customFormat="false" ht="15" hidden="false" customHeight="true" outlineLevel="0" collapsed="false">
      <c r="A41" s="15" t="s">
        <v>917</v>
      </c>
      <c r="B41" s="15" t="s">
        <v>918</v>
      </c>
      <c r="C41" s="15" t="s">
        <v>919</v>
      </c>
      <c r="D41" s="15" t="s">
        <v>590</v>
      </c>
      <c r="E41" s="15" t="s">
        <v>862</v>
      </c>
      <c r="F41" s="15" t="s">
        <v>920</v>
      </c>
      <c r="G41" s="15" t="s">
        <v>516</v>
      </c>
      <c r="H41" s="15" t="s">
        <v>921</v>
      </c>
      <c r="I41" s="15" t="s">
        <v>922</v>
      </c>
      <c r="J41" s="15" t="s">
        <v>923</v>
      </c>
      <c r="K41" s="15" t="s">
        <v>516</v>
      </c>
      <c r="L41" s="15" t="s">
        <v>924</v>
      </c>
      <c r="N41" s="15" t="s">
        <v>925</v>
      </c>
      <c r="O41" s="15" t="s">
        <v>516</v>
      </c>
      <c r="P41" s="15" t="s">
        <v>926</v>
      </c>
      <c r="Q41" s="15" t="s">
        <v>522</v>
      </c>
      <c r="R41" s="15" t="s">
        <v>927</v>
      </c>
      <c r="S41" s="15" t="n">
        <v>103</v>
      </c>
      <c r="T41" s="15" t="s">
        <v>928</v>
      </c>
    </row>
    <row r="42" customFormat="false" ht="15" hidden="false" customHeight="true" outlineLevel="0" collapsed="false">
      <c r="A42" s="15" t="s">
        <v>929</v>
      </c>
      <c r="B42" s="15" t="s">
        <v>918</v>
      </c>
      <c r="C42" s="15" t="s">
        <v>930</v>
      </c>
      <c r="D42" s="15" t="s">
        <v>590</v>
      </c>
      <c r="E42" s="15" t="s">
        <v>931</v>
      </c>
      <c r="F42" s="15" t="s">
        <v>932</v>
      </c>
      <c r="G42" s="15" t="s">
        <v>516</v>
      </c>
      <c r="K42" s="15" t="s">
        <v>612</v>
      </c>
      <c r="N42" s="15" t="s">
        <v>933</v>
      </c>
      <c r="O42" s="15" t="s">
        <v>516</v>
      </c>
      <c r="P42" s="15" t="s">
        <v>934</v>
      </c>
    </row>
    <row r="43" customFormat="false" ht="15" hidden="false" customHeight="true" outlineLevel="0" collapsed="false">
      <c r="A43" s="15" t="s">
        <v>935</v>
      </c>
      <c r="B43" s="15" t="s">
        <v>936</v>
      </c>
      <c r="C43" s="15" t="s">
        <v>937</v>
      </c>
      <c r="D43" s="15" t="s">
        <v>938</v>
      </c>
      <c r="E43" s="15" t="s">
        <v>939</v>
      </c>
      <c r="F43" s="15" t="s">
        <v>940</v>
      </c>
      <c r="G43" s="15" t="s">
        <v>518</v>
      </c>
      <c r="K43" s="15" t="s">
        <v>612</v>
      </c>
      <c r="O43" s="15" t="s">
        <v>519</v>
      </c>
      <c r="Q43" s="15" t="s">
        <v>524</v>
      </c>
      <c r="R43" s="15" t="s">
        <v>941</v>
      </c>
    </row>
    <row r="44" customFormat="false" ht="15" hidden="false" customHeight="true" outlineLevel="0" collapsed="false">
      <c r="A44" s="15" t="s">
        <v>942</v>
      </c>
      <c r="B44" s="15" t="s">
        <v>943</v>
      </c>
      <c r="C44" s="15" t="s">
        <v>944</v>
      </c>
      <c r="D44" s="15" t="s">
        <v>775</v>
      </c>
      <c r="E44" s="15" t="s">
        <v>862</v>
      </c>
      <c r="F44" s="15" t="s">
        <v>945</v>
      </c>
      <c r="G44" s="15" t="s">
        <v>516</v>
      </c>
      <c r="J44" s="15" t="s">
        <v>946</v>
      </c>
      <c r="K44" s="15" t="s">
        <v>612</v>
      </c>
      <c r="N44" s="15" t="s">
        <v>947</v>
      </c>
      <c r="O44" s="15" t="s">
        <v>518</v>
      </c>
    </row>
    <row r="45" customFormat="false" ht="15" hidden="false" customHeight="true" outlineLevel="0" collapsed="false">
      <c r="A45" s="15" t="s">
        <v>948</v>
      </c>
      <c r="B45" s="15" t="s">
        <v>948</v>
      </c>
      <c r="C45" s="15" t="s">
        <v>949</v>
      </c>
      <c r="D45" s="15" t="s">
        <v>646</v>
      </c>
      <c r="E45" s="15" t="s">
        <v>950</v>
      </c>
      <c r="F45" s="15" t="s">
        <v>951</v>
      </c>
      <c r="G45" s="15" t="s">
        <v>516</v>
      </c>
      <c r="I45" s="15" t="s">
        <v>952</v>
      </c>
      <c r="J45" s="15" t="s">
        <v>953</v>
      </c>
      <c r="K45" s="15" t="s">
        <v>516</v>
      </c>
      <c r="L45" s="15" t="s">
        <v>954</v>
      </c>
      <c r="N45" s="15" t="s">
        <v>955</v>
      </c>
      <c r="O45" s="15" t="s">
        <v>516</v>
      </c>
      <c r="P45" s="15" t="s">
        <v>956</v>
      </c>
      <c r="Q45" s="15" t="s">
        <v>522</v>
      </c>
      <c r="R45" s="15" t="s">
        <v>957</v>
      </c>
      <c r="S45" s="15" t="n">
        <v>1200</v>
      </c>
    </row>
    <row r="46" customFormat="false" ht="15" hidden="false" customHeight="true" outlineLevel="0" collapsed="false">
      <c r="A46" s="15" t="s">
        <v>958</v>
      </c>
      <c r="B46" s="15" t="s">
        <v>959</v>
      </c>
      <c r="C46" s="15" t="s">
        <v>960</v>
      </c>
      <c r="D46" s="15" t="s">
        <v>775</v>
      </c>
      <c r="E46" s="15" t="s">
        <v>961</v>
      </c>
      <c r="F46" s="15" t="s">
        <v>962</v>
      </c>
      <c r="G46" s="15" t="s">
        <v>516</v>
      </c>
      <c r="I46" s="53" t="s">
        <v>963</v>
      </c>
      <c r="J46" s="15" t="s">
        <v>964</v>
      </c>
      <c r="K46" s="15" t="s">
        <v>516</v>
      </c>
      <c r="L46" s="15" t="s">
        <v>965</v>
      </c>
      <c r="N46" s="15" t="s">
        <v>966</v>
      </c>
      <c r="O46" s="15" t="s">
        <v>516</v>
      </c>
      <c r="P46" s="15" t="s">
        <v>967</v>
      </c>
      <c r="Q46" s="15" t="s">
        <v>522</v>
      </c>
      <c r="R46" s="15" t="s">
        <v>968</v>
      </c>
    </row>
    <row r="47" customFormat="false" ht="15" hidden="false" customHeight="true" outlineLevel="0" collapsed="false">
      <c r="A47" s="15" t="s">
        <v>969</v>
      </c>
      <c r="B47" s="15" t="s">
        <v>970</v>
      </c>
      <c r="C47" s="15" t="s">
        <v>971</v>
      </c>
      <c r="D47" s="15" t="s">
        <v>852</v>
      </c>
      <c r="E47" s="15" t="s">
        <v>617</v>
      </c>
      <c r="G47" s="15" t="s">
        <v>516</v>
      </c>
      <c r="H47" s="15" t="s">
        <v>972</v>
      </c>
      <c r="J47" s="15" t="s">
        <v>973</v>
      </c>
      <c r="K47" s="15" t="s">
        <v>612</v>
      </c>
      <c r="L47" s="15" t="s">
        <v>974</v>
      </c>
      <c r="M47" s="15" t="s">
        <v>975</v>
      </c>
      <c r="O47" s="15" t="s">
        <v>519</v>
      </c>
      <c r="Q47" s="15" t="s">
        <v>524</v>
      </c>
    </row>
    <row r="48" customFormat="false" ht="15" hidden="false" customHeight="true" outlineLevel="0" collapsed="false">
      <c r="A48" s="15" t="s">
        <v>976</v>
      </c>
      <c r="B48" s="15" t="s">
        <v>918</v>
      </c>
      <c r="C48" s="15" t="s">
        <v>977</v>
      </c>
      <c r="D48" s="15" t="s">
        <v>590</v>
      </c>
      <c r="E48" s="15" t="s">
        <v>862</v>
      </c>
      <c r="F48" s="15" t="s">
        <v>978</v>
      </c>
      <c r="G48" s="15" t="s">
        <v>516</v>
      </c>
      <c r="H48" s="15" t="s">
        <v>979</v>
      </c>
      <c r="I48" s="53" t="s">
        <v>980</v>
      </c>
      <c r="J48" s="15" t="s">
        <v>981</v>
      </c>
      <c r="K48" s="15" t="s">
        <v>516</v>
      </c>
      <c r="L48" s="15" t="s">
        <v>982</v>
      </c>
      <c r="N48" s="15" t="s">
        <v>983</v>
      </c>
      <c r="O48" s="15" t="s">
        <v>516</v>
      </c>
      <c r="P48" s="15" t="s">
        <v>926</v>
      </c>
      <c r="Q48" s="15" t="s">
        <v>522</v>
      </c>
      <c r="R48" s="15" t="s">
        <v>984</v>
      </c>
      <c r="S48" s="15" t="n">
        <v>46</v>
      </c>
      <c r="T48" s="15" t="s">
        <v>985</v>
      </c>
    </row>
    <row r="49" customFormat="false" ht="15" hidden="false" customHeight="true" outlineLevel="0" collapsed="false">
      <c r="A49" s="15" t="s">
        <v>986</v>
      </c>
      <c r="B49" s="15" t="s">
        <v>987</v>
      </c>
      <c r="C49" s="15" t="s">
        <v>988</v>
      </c>
      <c r="D49" s="15" t="s">
        <v>775</v>
      </c>
      <c r="E49" s="15" t="s">
        <v>713</v>
      </c>
      <c r="F49" s="15" t="s">
        <v>989</v>
      </c>
      <c r="G49" s="15" t="s">
        <v>516</v>
      </c>
      <c r="H49" s="15" t="s">
        <v>990</v>
      </c>
      <c r="J49" s="15" t="s">
        <v>991</v>
      </c>
      <c r="K49" s="15" t="s">
        <v>612</v>
      </c>
      <c r="L49" s="15" t="s">
        <v>631</v>
      </c>
      <c r="N49" s="15" t="s">
        <v>992</v>
      </c>
      <c r="O49" s="15" t="s">
        <v>519</v>
      </c>
      <c r="Q49" s="15" t="s">
        <v>522</v>
      </c>
      <c r="S49" s="15" t="n">
        <v>32</v>
      </c>
      <c r="T49" s="15" t="s">
        <v>993</v>
      </c>
    </row>
    <row r="50" customFormat="false" ht="15" hidden="false" customHeight="true" outlineLevel="0" collapsed="false">
      <c r="A50" s="15" t="s">
        <v>994</v>
      </c>
      <c r="B50" s="15" t="s">
        <v>995</v>
      </c>
      <c r="C50" s="15" t="s">
        <v>996</v>
      </c>
      <c r="D50" s="15" t="s">
        <v>590</v>
      </c>
      <c r="E50" s="15" t="s">
        <v>997</v>
      </c>
      <c r="F50" s="15" t="s">
        <v>998</v>
      </c>
      <c r="G50" s="15" t="s">
        <v>516</v>
      </c>
      <c r="I50" s="53" t="s">
        <v>999</v>
      </c>
      <c r="K50" s="15" t="s">
        <v>612</v>
      </c>
      <c r="L50" s="15" t="s">
        <v>1000</v>
      </c>
      <c r="O50" s="15" t="s">
        <v>516</v>
      </c>
      <c r="P50" s="15" t="s">
        <v>1001</v>
      </c>
      <c r="Q50" s="15" t="s">
        <v>524</v>
      </c>
      <c r="S50" s="15" t="n">
        <v>1</v>
      </c>
    </row>
    <row r="51" customFormat="false" ht="15" hidden="false" customHeight="true" outlineLevel="0" collapsed="false">
      <c r="A51" s="15" t="s">
        <v>1002</v>
      </c>
      <c r="B51" s="15" t="s">
        <v>1003</v>
      </c>
      <c r="C51" s="15" t="s">
        <v>1004</v>
      </c>
      <c r="E51" s="15" t="s">
        <v>1005</v>
      </c>
      <c r="F51" s="15" t="s">
        <v>1006</v>
      </c>
      <c r="G51" s="15" t="s">
        <v>516</v>
      </c>
      <c r="J51" s="15" t="s">
        <v>1007</v>
      </c>
      <c r="K51" s="15" t="s">
        <v>612</v>
      </c>
      <c r="N51" s="15" t="s">
        <v>1008</v>
      </c>
      <c r="O51" s="15" t="s">
        <v>516</v>
      </c>
      <c r="P51" s="15" t="s">
        <v>1009</v>
      </c>
      <c r="Q51" s="15" t="s">
        <v>522</v>
      </c>
      <c r="R51" s="15" t="s">
        <v>1010</v>
      </c>
    </row>
    <row r="52" customFormat="false" ht="15" hidden="false" customHeight="true" outlineLevel="0" collapsed="false">
      <c r="A52" s="15" t="s">
        <v>1011</v>
      </c>
      <c r="B52" s="15" t="s">
        <v>1012</v>
      </c>
      <c r="C52" s="15" t="s">
        <v>1013</v>
      </c>
      <c r="E52" s="15" t="s">
        <v>1014</v>
      </c>
      <c r="F52" s="15" t="s">
        <v>1015</v>
      </c>
      <c r="G52" s="15" t="s">
        <v>516</v>
      </c>
      <c r="H52" s="15" t="s">
        <v>1016</v>
      </c>
      <c r="J52" s="15" t="s">
        <v>1017</v>
      </c>
      <c r="K52" s="15" t="s">
        <v>612</v>
      </c>
      <c r="L52" s="15" t="s">
        <v>1018</v>
      </c>
      <c r="N52" s="15" t="s">
        <v>1019</v>
      </c>
      <c r="O52" s="15" t="s">
        <v>516</v>
      </c>
      <c r="P52" s="15" t="s">
        <v>1020</v>
      </c>
      <c r="Q52" s="15" t="s">
        <v>522</v>
      </c>
      <c r="R52" s="15" t="s">
        <v>1021</v>
      </c>
      <c r="T52" s="15" t="s">
        <v>1022</v>
      </c>
    </row>
    <row r="53" customFormat="false" ht="15" hidden="false" customHeight="true" outlineLevel="0" collapsed="false">
      <c r="A53" s="15" t="s">
        <v>1023</v>
      </c>
      <c r="B53" s="15" t="s">
        <v>1024</v>
      </c>
      <c r="C53" s="15" t="s">
        <v>1025</v>
      </c>
      <c r="D53" s="15" t="s">
        <v>590</v>
      </c>
      <c r="E53" s="15" t="s">
        <v>862</v>
      </c>
      <c r="F53" s="15" t="s">
        <v>1026</v>
      </c>
      <c r="G53" s="15" t="s">
        <v>516</v>
      </c>
      <c r="H53" s="15" t="s">
        <v>1027</v>
      </c>
      <c r="I53" s="15" t="s">
        <v>1028</v>
      </c>
      <c r="K53" s="15" t="s">
        <v>516</v>
      </c>
      <c r="L53" s="15" t="s">
        <v>1029</v>
      </c>
      <c r="N53" s="15" t="s">
        <v>1030</v>
      </c>
      <c r="O53" s="15" t="s">
        <v>516</v>
      </c>
      <c r="P53" s="15" t="s">
        <v>1031</v>
      </c>
      <c r="Q53" s="15" t="s">
        <v>522</v>
      </c>
      <c r="R53" s="15" t="s">
        <v>694</v>
      </c>
      <c r="S53" s="15" t="n">
        <v>31</v>
      </c>
    </row>
    <row r="54" customFormat="false" ht="15" hidden="false" customHeight="true" outlineLevel="0" collapsed="false">
      <c r="A54" s="15" t="s">
        <v>1032</v>
      </c>
      <c r="B54" s="15" t="s">
        <v>1024</v>
      </c>
      <c r="C54" s="15" t="s">
        <v>1033</v>
      </c>
      <c r="D54" s="15" t="s">
        <v>590</v>
      </c>
      <c r="E54" s="15" t="s">
        <v>862</v>
      </c>
      <c r="F54" s="15" t="s">
        <v>1034</v>
      </c>
      <c r="G54" s="15" t="s">
        <v>516</v>
      </c>
      <c r="H54" s="15" t="s">
        <v>1027</v>
      </c>
      <c r="J54" s="15" t="s">
        <v>1030</v>
      </c>
      <c r="K54" s="15" t="s">
        <v>612</v>
      </c>
      <c r="L54" s="15" t="s">
        <v>602</v>
      </c>
      <c r="N54" s="15" t="s">
        <v>1035</v>
      </c>
      <c r="O54" s="15" t="s">
        <v>516</v>
      </c>
      <c r="P54" s="15" t="s">
        <v>1036</v>
      </c>
      <c r="Q54" s="15" t="s">
        <v>522</v>
      </c>
      <c r="R54" s="15" t="s">
        <v>694</v>
      </c>
      <c r="S54" s="15" t="n">
        <v>30</v>
      </c>
      <c r="T54" s="15" t="s">
        <v>1037</v>
      </c>
    </row>
    <row r="55" customFormat="false" ht="15" hidden="false" customHeight="true" outlineLevel="0" collapsed="false">
      <c r="A55" s="15" t="s">
        <v>1038</v>
      </c>
      <c r="B55" s="15" t="s">
        <v>1039</v>
      </c>
      <c r="C55" s="15" t="s">
        <v>1040</v>
      </c>
      <c r="D55" s="15" t="s">
        <v>590</v>
      </c>
      <c r="E55" s="15" t="s">
        <v>638</v>
      </c>
      <c r="F55" s="15" t="s">
        <v>1041</v>
      </c>
      <c r="G55" s="15" t="s">
        <v>516</v>
      </c>
      <c r="I55" s="53" t="s">
        <v>1042</v>
      </c>
      <c r="J55" s="15" t="s">
        <v>1043</v>
      </c>
      <c r="K55" s="15" t="s">
        <v>612</v>
      </c>
      <c r="L55" s="15" t="s">
        <v>641</v>
      </c>
      <c r="N55" s="15" t="s">
        <v>1044</v>
      </c>
      <c r="O55" s="15" t="s">
        <v>516</v>
      </c>
      <c r="P55" s="15" t="s">
        <v>1045</v>
      </c>
      <c r="Q55" s="15" t="s">
        <v>522</v>
      </c>
      <c r="R55" s="15" t="s">
        <v>1046</v>
      </c>
      <c r="S55" s="15" t="n">
        <v>65</v>
      </c>
    </row>
    <row r="56" customFormat="false" ht="15" hidden="false" customHeight="true" outlineLevel="0" collapsed="false">
      <c r="A56" s="15" t="s">
        <v>1047</v>
      </c>
      <c r="B56" s="15" t="s">
        <v>1048</v>
      </c>
      <c r="C56" s="15" t="s">
        <v>1049</v>
      </c>
      <c r="D56" s="15" t="s">
        <v>1050</v>
      </c>
      <c r="E56" s="15" t="s">
        <v>1051</v>
      </c>
      <c r="F56" s="15" t="s">
        <v>1052</v>
      </c>
      <c r="G56" s="15" t="s">
        <v>612</v>
      </c>
      <c r="K56" s="15" t="s">
        <v>612</v>
      </c>
      <c r="L56" s="15" t="s">
        <v>1053</v>
      </c>
      <c r="O56" s="15" t="s">
        <v>612</v>
      </c>
    </row>
    <row r="57" customFormat="false" ht="15" hidden="false" customHeight="true" outlineLevel="0" collapsed="false">
      <c r="A57" s="15" t="s">
        <v>1054</v>
      </c>
      <c r="B57" s="15" t="s">
        <v>1055</v>
      </c>
      <c r="C57" s="15" t="s">
        <v>1056</v>
      </c>
      <c r="D57" s="15" t="s">
        <v>825</v>
      </c>
      <c r="E57" s="15" t="s">
        <v>1057</v>
      </c>
      <c r="F57" s="15" t="s">
        <v>1058</v>
      </c>
      <c r="G57" s="15" t="s">
        <v>516</v>
      </c>
      <c r="J57" s="15" t="s">
        <v>1059</v>
      </c>
      <c r="K57" s="15" t="s">
        <v>612</v>
      </c>
      <c r="O57" s="15" t="s">
        <v>519</v>
      </c>
      <c r="R57" s="15" t="s">
        <v>1060</v>
      </c>
      <c r="S57" s="15" t="n">
        <v>18</v>
      </c>
      <c r="T57" s="15" t="s">
        <v>1061</v>
      </c>
    </row>
    <row r="58" customFormat="false" ht="15" hidden="false" customHeight="true" outlineLevel="0" collapsed="false">
      <c r="A58" s="15" t="s">
        <v>1062</v>
      </c>
      <c r="B58" s="15" t="s">
        <v>1063</v>
      </c>
      <c r="C58" s="15" t="s">
        <v>1064</v>
      </c>
      <c r="E58" s="15" t="s">
        <v>862</v>
      </c>
      <c r="F58" s="15" t="s">
        <v>1065</v>
      </c>
      <c r="G58" s="15" t="s">
        <v>516</v>
      </c>
      <c r="I58" s="15" t="s">
        <v>375</v>
      </c>
      <c r="K58" s="15" t="s">
        <v>612</v>
      </c>
      <c r="L58" s="15" t="s">
        <v>641</v>
      </c>
      <c r="N58" s="15" t="s">
        <v>1066</v>
      </c>
      <c r="O58" s="15" t="s">
        <v>516</v>
      </c>
      <c r="P58" s="15" t="s">
        <v>1067</v>
      </c>
      <c r="Q58" s="15" t="s">
        <v>522</v>
      </c>
      <c r="R58" s="15" t="s">
        <v>1067</v>
      </c>
      <c r="S58" s="15" t="n">
        <v>0</v>
      </c>
    </row>
    <row r="59" customFormat="false" ht="15" hidden="false" customHeight="true" outlineLevel="0" collapsed="false">
      <c r="A59" s="15" t="s">
        <v>1068</v>
      </c>
      <c r="B59" s="15" t="s">
        <v>1069</v>
      </c>
      <c r="C59" s="15" t="s">
        <v>1070</v>
      </c>
      <c r="D59" s="15" t="s">
        <v>590</v>
      </c>
      <c r="E59" s="15" t="s">
        <v>1071</v>
      </c>
      <c r="F59" s="15" t="s">
        <v>1072</v>
      </c>
      <c r="G59" s="15" t="s">
        <v>516</v>
      </c>
      <c r="H59" s="15" t="s">
        <v>1073</v>
      </c>
      <c r="J59" s="15" t="s">
        <v>1074</v>
      </c>
      <c r="K59" s="15" t="s">
        <v>516</v>
      </c>
      <c r="L59" s="15" t="s">
        <v>602</v>
      </c>
      <c r="N59" s="15" t="s">
        <v>1075</v>
      </c>
      <c r="O59" s="15" t="s">
        <v>516</v>
      </c>
      <c r="P59" s="15" t="s">
        <v>1076</v>
      </c>
      <c r="Q59" s="15" t="s">
        <v>524</v>
      </c>
      <c r="R59" s="15" t="s">
        <v>1077</v>
      </c>
      <c r="S59" s="15" t="n">
        <v>25</v>
      </c>
      <c r="T59" s="15" t="s">
        <v>1078</v>
      </c>
    </row>
    <row r="60" customFormat="false" ht="15" hidden="false" customHeight="true" outlineLevel="0" collapsed="false">
      <c r="A60" s="15" t="s">
        <v>1079</v>
      </c>
      <c r="B60" s="15" t="s">
        <v>1080</v>
      </c>
      <c r="C60" s="15" t="s">
        <v>1081</v>
      </c>
      <c r="D60" s="15" t="s">
        <v>646</v>
      </c>
      <c r="E60" s="15" t="s">
        <v>1082</v>
      </c>
      <c r="F60" s="15" t="s">
        <v>1083</v>
      </c>
      <c r="G60" s="15" t="s">
        <v>516</v>
      </c>
      <c r="H60" s="15" t="s">
        <v>1084</v>
      </c>
      <c r="I60" s="53" t="s">
        <v>1085</v>
      </c>
      <c r="K60" s="15" t="s">
        <v>516</v>
      </c>
      <c r="L60" s="15" t="s">
        <v>602</v>
      </c>
      <c r="N60" s="15" t="s">
        <v>1086</v>
      </c>
      <c r="O60" s="15" t="s">
        <v>516</v>
      </c>
      <c r="P60" s="15" t="s">
        <v>1087</v>
      </c>
    </row>
    <row r="61" customFormat="false" ht="15" hidden="false" customHeight="true" outlineLevel="0" collapsed="false">
      <c r="A61" s="15" t="s">
        <v>1088</v>
      </c>
      <c r="B61" s="15" t="s">
        <v>1089</v>
      </c>
      <c r="C61" s="15" t="s">
        <v>1090</v>
      </c>
      <c r="D61" s="15" t="s">
        <v>775</v>
      </c>
      <c r="E61" s="15" t="s">
        <v>997</v>
      </c>
      <c r="F61" s="15" t="s">
        <v>1091</v>
      </c>
      <c r="G61" s="15" t="s">
        <v>518</v>
      </c>
      <c r="I61" s="15" t="s">
        <v>1092</v>
      </c>
      <c r="J61" s="15" t="s">
        <v>1093</v>
      </c>
      <c r="K61" s="15" t="s">
        <v>612</v>
      </c>
      <c r="L61" s="15" t="s">
        <v>741</v>
      </c>
      <c r="N61" s="15" t="s">
        <v>1093</v>
      </c>
      <c r="O61" s="15" t="s">
        <v>516</v>
      </c>
      <c r="P61" s="15" t="s">
        <v>1094</v>
      </c>
      <c r="Q61" s="15" t="s">
        <v>524</v>
      </c>
      <c r="S61" s="15" t="n">
        <v>40</v>
      </c>
    </row>
    <row r="62" customFormat="false" ht="15" hidden="false" customHeight="true" outlineLevel="0" collapsed="false">
      <c r="A62" s="15" t="s">
        <v>1095</v>
      </c>
      <c r="B62" s="15" t="s">
        <v>987</v>
      </c>
      <c r="C62" s="15" t="s">
        <v>1096</v>
      </c>
      <c r="D62" s="15" t="s">
        <v>775</v>
      </c>
      <c r="E62" s="15" t="s">
        <v>1097</v>
      </c>
      <c r="F62" s="15" t="s">
        <v>1098</v>
      </c>
      <c r="G62" s="15" t="s">
        <v>516</v>
      </c>
      <c r="H62" s="15" t="s">
        <v>1099</v>
      </c>
      <c r="J62" s="15" t="s">
        <v>991</v>
      </c>
      <c r="K62" s="15" t="s">
        <v>612</v>
      </c>
      <c r="L62" s="15" t="s">
        <v>1053</v>
      </c>
      <c r="N62" s="15" t="s">
        <v>1100</v>
      </c>
      <c r="O62" s="15" t="s">
        <v>518</v>
      </c>
      <c r="Q62" s="15" t="s">
        <v>524</v>
      </c>
      <c r="S62" s="15" t="n">
        <v>32</v>
      </c>
      <c r="T62" s="15" t="s">
        <v>1101</v>
      </c>
    </row>
    <row r="63" customFormat="false" ht="15" hidden="false" customHeight="true" outlineLevel="0" collapsed="false">
      <c r="A63" s="15" t="s">
        <v>1102</v>
      </c>
      <c r="B63" s="15" t="s">
        <v>1102</v>
      </c>
      <c r="C63" s="15" t="s">
        <v>1103</v>
      </c>
      <c r="D63" s="15" t="s">
        <v>1104</v>
      </c>
      <c r="E63" s="15" t="s">
        <v>776</v>
      </c>
      <c r="F63" s="15" t="s">
        <v>1105</v>
      </c>
      <c r="G63" s="15" t="s">
        <v>519</v>
      </c>
      <c r="K63" s="15" t="s">
        <v>519</v>
      </c>
      <c r="O63" s="15" t="s">
        <v>518</v>
      </c>
      <c r="Q63" s="15" t="s">
        <v>522</v>
      </c>
      <c r="S63" s="15" t="n">
        <v>11</v>
      </c>
    </row>
    <row r="64" customFormat="false" ht="15" hidden="false" customHeight="true" outlineLevel="0" collapsed="false">
      <c r="A64" s="15" t="s">
        <v>1106</v>
      </c>
      <c r="B64" s="15" t="s">
        <v>1107</v>
      </c>
      <c r="C64" s="15" t="s">
        <v>1108</v>
      </c>
      <c r="D64" s="15" t="s">
        <v>590</v>
      </c>
      <c r="E64" s="15" t="s">
        <v>997</v>
      </c>
      <c r="F64" s="15" t="s">
        <v>1109</v>
      </c>
      <c r="G64" s="15" t="s">
        <v>516</v>
      </c>
      <c r="I64" s="15" t="s">
        <v>1110</v>
      </c>
      <c r="K64" s="15" t="s">
        <v>518</v>
      </c>
      <c r="L64" s="15" t="s">
        <v>1018</v>
      </c>
      <c r="N64" s="15" t="s">
        <v>1111</v>
      </c>
      <c r="O64" s="15" t="s">
        <v>612</v>
      </c>
      <c r="S64" s="15" t="n">
        <v>37</v>
      </c>
    </row>
    <row r="65" customFormat="false" ht="15" hidden="false" customHeight="true" outlineLevel="0" collapsed="false">
      <c r="A65" s="15" t="s">
        <v>1112</v>
      </c>
      <c r="B65" s="15" t="s">
        <v>707</v>
      </c>
      <c r="C65" s="15" t="s">
        <v>1113</v>
      </c>
      <c r="D65" s="15" t="s">
        <v>590</v>
      </c>
      <c r="E65" s="15" t="s">
        <v>611</v>
      </c>
      <c r="G65" s="15" t="s">
        <v>516</v>
      </c>
      <c r="H65" s="15" t="s">
        <v>1114</v>
      </c>
      <c r="I65" s="53" t="s">
        <v>1115</v>
      </c>
      <c r="K65" s="15" t="s">
        <v>519</v>
      </c>
      <c r="L65" s="15" t="s">
        <v>1116</v>
      </c>
      <c r="O65" s="15" t="s">
        <v>519</v>
      </c>
      <c r="Q65" s="15" t="s">
        <v>524</v>
      </c>
    </row>
    <row r="66" customFormat="false" ht="15" hidden="false" customHeight="true" outlineLevel="0" collapsed="false">
      <c r="A66" s="15" t="s">
        <v>1117</v>
      </c>
      <c r="B66" s="15" t="s">
        <v>1118</v>
      </c>
      <c r="C66" s="15" t="s">
        <v>1119</v>
      </c>
      <c r="D66" s="15" t="s">
        <v>590</v>
      </c>
      <c r="E66" s="15" t="s">
        <v>638</v>
      </c>
      <c r="F66" s="15" t="s">
        <v>1120</v>
      </c>
      <c r="G66" s="15" t="s">
        <v>516</v>
      </c>
      <c r="H66" s="15" t="s">
        <v>1121</v>
      </c>
      <c r="J66" s="15" t="s">
        <v>1122</v>
      </c>
      <c r="K66" s="15" t="s">
        <v>516</v>
      </c>
      <c r="L66" s="15" t="s">
        <v>1123</v>
      </c>
      <c r="N66" s="15" t="s">
        <v>1124</v>
      </c>
      <c r="O66" s="15" t="s">
        <v>520</v>
      </c>
      <c r="Q66" s="15" t="s">
        <v>524</v>
      </c>
      <c r="R66" s="15" t="s">
        <v>1125</v>
      </c>
    </row>
    <row r="67" customFormat="false" ht="15" hidden="false" customHeight="true" outlineLevel="0" collapsed="false">
      <c r="A67" s="15" t="s">
        <v>1126</v>
      </c>
      <c r="B67" s="15" t="s">
        <v>1127</v>
      </c>
      <c r="C67" s="15" t="s">
        <v>1128</v>
      </c>
      <c r="E67" s="15" t="s">
        <v>1129</v>
      </c>
      <c r="F67" s="15" t="s">
        <v>1130</v>
      </c>
      <c r="G67" s="15" t="s">
        <v>516</v>
      </c>
      <c r="I67" s="53" t="s">
        <v>1131</v>
      </c>
      <c r="K67" s="15" t="s">
        <v>516</v>
      </c>
      <c r="L67" s="15" t="s">
        <v>866</v>
      </c>
      <c r="N67" s="15" t="s">
        <v>1132</v>
      </c>
      <c r="O67" s="15" t="s">
        <v>516</v>
      </c>
      <c r="P67" s="15" t="s">
        <v>1133</v>
      </c>
      <c r="Q67" s="15" t="s">
        <v>524</v>
      </c>
    </row>
    <row r="68" customFormat="false" ht="15" hidden="false" customHeight="true" outlineLevel="0" collapsed="false">
      <c r="A68" s="15" t="s">
        <v>1134</v>
      </c>
      <c r="B68" s="15" t="s">
        <v>1135</v>
      </c>
      <c r="C68" s="15" t="s">
        <v>1136</v>
      </c>
      <c r="D68" s="15" t="s">
        <v>590</v>
      </c>
      <c r="E68" s="15" t="s">
        <v>1137</v>
      </c>
      <c r="F68" s="15" t="s">
        <v>1138</v>
      </c>
      <c r="G68" s="15" t="s">
        <v>516</v>
      </c>
      <c r="I68" s="53" t="s">
        <v>1139</v>
      </c>
      <c r="K68" s="15" t="s">
        <v>516</v>
      </c>
      <c r="L68" s="15" t="s">
        <v>741</v>
      </c>
      <c r="N68" s="15" t="s">
        <v>1140</v>
      </c>
      <c r="O68" s="15" t="s">
        <v>518</v>
      </c>
      <c r="Q68" s="15" t="s">
        <v>524</v>
      </c>
    </row>
    <row r="69" customFormat="false" ht="15" hidden="false" customHeight="true" outlineLevel="0" collapsed="false">
      <c r="A69" s="15" t="s">
        <v>1141</v>
      </c>
      <c r="B69" s="15" t="s">
        <v>1142</v>
      </c>
      <c r="C69" s="15" t="s">
        <v>1143</v>
      </c>
      <c r="D69" s="15" t="s">
        <v>825</v>
      </c>
      <c r="E69" s="15" t="s">
        <v>1144</v>
      </c>
      <c r="F69" s="15" t="s">
        <v>1145</v>
      </c>
      <c r="G69" s="15" t="s">
        <v>520</v>
      </c>
      <c r="K69" s="15" t="s">
        <v>612</v>
      </c>
      <c r="N69" s="15" t="s">
        <v>1146</v>
      </c>
      <c r="O69" s="15" t="s">
        <v>612</v>
      </c>
      <c r="P69" s="15" t="s">
        <v>1147</v>
      </c>
      <c r="Q69" s="15" t="s">
        <v>524</v>
      </c>
    </row>
    <row r="70" customFormat="false" ht="15" hidden="false" customHeight="true" outlineLevel="0" collapsed="false">
      <c r="A70" s="15" t="s">
        <v>1148</v>
      </c>
      <c r="B70" s="15" t="s">
        <v>1149</v>
      </c>
      <c r="C70" s="15" t="s">
        <v>1150</v>
      </c>
      <c r="E70" s="15" t="s">
        <v>1151</v>
      </c>
      <c r="F70" s="15" t="s">
        <v>1152</v>
      </c>
      <c r="G70" s="15" t="s">
        <v>516</v>
      </c>
      <c r="J70" s="15" t="s">
        <v>1153</v>
      </c>
      <c r="K70" s="15" t="s">
        <v>612</v>
      </c>
      <c r="N70" s="15" t="s">
        <v>1154</v>
      </c>
      <c r="O70" s="15" t="s">
        <v>516</v>
      </c>
      <c r="P70" s="15" t="s">
        <v>1155</v>
      </c>
      <c r="Q70" s="15" t="s">
        <v>522</v>
      </c>
      <c r="R70" s="15" t="s">
        <v>1156</v>
      </c>
    </row>
    <row r="71" customFormat="false" ht="15" hidden="false" customHeight="true" outlineLevel="0" collapsed="false">
      <c r="A71" s="15" t="s">
        <v>1157</v>
      </c>
      <c r="B71" s="15" t="s">
        <v>1158</v>
      </c>
      <c r="C71" s="15" t="s">
        <v>1159</v>
      </c>
      <c r="D71" s="15" t="s">
        <v>590</v>
      </c>
      <c r="E71" s="15" t="s">
        <v>1160</v>
      </c>
      <c r="F71" s="15" t="s">
        <v>1161</v>
      </c>
      <c r="G71" s="15" t="s">
        <v>516</v>
      </c>
      <c r="J71" s="15" t="s">
        <v>1162</v>
      </c>
      <c r="K71" s="15" t="s">
        <v>612</v>
      </c>
      <c r="O71" s="15" t="s">
        <v>519</v>
      </c>
      <c r="Q71" s="15" t="s">
        <v>522</v>
      </c>
      <c r="R71" s="15" t="s">
        <v>1163</v>
      </c>
    </row>
    <row r="72" customFormat="false" ht="15" hidden="false" customHeight="true" outlineLevel="0" collapsed="false">
      <c r="A72" s="15" t="s">
        <v>1164</v>
      </c>
      <c r="B72" s="15" t="s">
        <v>1165</v>
      </c>
      <c r="C72" s="15" t="s">
        <v>1166</v>
      </c>
      <c r="D72" s="15" t="s">
        <v>1167</v>
      </c>
      <c r="E72" s="15" t="s">
        <v>1168</v>
      </c>
      <c r="F72" s="15" t="s">
        <v>1169</v>
      </c>
      <c r="G72" s="15" t="s">
        <v>516</v>
      </c>
      <c r="I72" s="53" t="s">
        <v>1170</v>
      </c>
      <c r="K72" s="15" t="s">
        <v>516</v>
      </c>
      <c r="L72" s="15" t="s">
        <v>641</v>
      </c>
      <c r="N72" s="15" t="s">
        <v>1171</v>
      </c>
      <c r="O72" s="15" t="s">
        <v>516</v>
      </c>
      <c r="P72" s="15" t="s">
        <v>1172</v>
      </c>
      <c r="Q72" s="15" t="s">
        <v>522</v>
      </c>
      <c r="R72" s="15" t="s">
        <v>1172</v>
      </c>
      <c r="S72" s="15" t="n">
        <v>200</v>
      </c>
    </row>
    <row r="73" customFormat="false" ht="15" hidden="false" customHeight="true" outlineLevel="0" collapsed="false">
      <c r="A73" s="15" t="s">
        <v>1173</v>
      </c>
      <c r="B73" s="15" t="s">
        <v>1174</v>
      </c>
      <c r="C73" s="15" t="s">
        <v>1175</v>
      </c>
      <c r="D73" s="15" t="s">
        <v>590</v>
      </c>
      <c r="E73" s="15" t="s">
        <v>1176</v>
      </c>
      <c r="F73" s="15" t="s">
        <v>1177</v>
      </c>
      <c r="G73" s="15" t="s">
        <v>518</v>
      </c>
      <c r="I73" s="53" t="s">
        <v>1178</v>
      </c>
      <c r="K73" s="15" t="s">
        <v>516</v>
      </c>
      <c r="L73" s="15" t="s">
        <v>741</v>
      </c>
      <c r="N73" s="15" t="s">
        <v>1179</v>
      </c>
      <c r="O73" s="15" t="s">
        <v>516</v>
      </c>
      <c r="P73" s="15" t="s">
        <v>1179</v>
      </c>
      <c r="Q73" s="15" t="s">
        <v>524</v>
      </c>
      <c r="R73" s="15" t="s">
        <v>1180</v>
      </c>
      <c r="S73" s="15" t="n">
        <v>0</v>
      </c>
    </row>
    <row r="74" customFormat="false" ht="15" hidden="false" customHeight="true" outlineLevel="0" collapsed="false">
      <c r="A74" s="15" t="s">
        <v>1181</v>
      </c>
      <c r="B74" s="15" t="s">
        <v>662</v>
      </c>
      <c r="C74" s="15" t="s">
        <v>1182</v>
      </c>
      <c r="E74" s="15" t="s">
        <v>833</v>
      </c>
      <c r="F74" s="15" t="s">
        <v>1183</v>
      </c>
      <c r="G74" s="15" t="s">
        <v>516</v>
      </c>
      <c r="H74" s="15" t="s">
        <v>1184</v>
      </c>
      <c r="J74" s="15" t="s">
        <v>1185</v>
      </c>
      <c r="K74" s="15" t="s">
        <v>612</v>
      </c>
      <c r="O74" s="15" t="s">
        <v>516</v>
      </c>
      <c r="P74" s="15" t="s">
        <v>667</v>
      </c>
      <c r="Q74" s="15" t="s">
        <v>522</v>
      </c>
      <c r="R74" s="15" t="s">
        <v>668</v>
      </c>
      <c r="S74" s="15" t="n">
        <v>52</v>
      </c>
      <c r="T74" s="15" t="s">
        <v>669</v>
      </c>
    </row>
    <row r="75" customFormat="false" ht="15" hidden="false" customHeight="true" outlineLevel="0" collapsed="false">
      <c r="A75" s="15" t="s">
        <v>1186</v>
      </c>
      <c r="B75" s="15" t="s">
        <v>1187</v>
      </c>
      <c r="C75" s="15" t="s">
        <v>1188</v>
      </c>
      <c r="D75" s="15" t="s">
        <v>590</v>
      </c>
      <c r="E75" s="15" t="s">
        <v>804</v>
      </c>
      <c r="F75" s="15" t="s">
        <v>1189</v>
      </c>
      <c r="G75" s="15" t="s">
        <v>516</v>
      </c>
      <c r="I75" s="53" t="s">
        <v>1190</v>
      </c>
      <c r="K75" s="15" t="s">
        <v>520</v>
      </c>
      <c r="L75" s="15" t="s">
        <v>1018</v>
      </c>
      <c r="N75" s="15" t="s">
        <v>1191</v>
      </c>
      <c r="O75" s="15" t="s">
        <v>520</v>
      </c>
      <c r="Q75" s="15" t="s">
        <v>522</v>
      </c>
    </row>
    <row r="76" customFormat="false" ht="15" hidden="false" customHeight="true" outlineLevel="0" collapsed="false">
      <c r="A76" s="15" t="s">
        <v>1192</v>
      </c>
      <c r="B76" s="15" t="s">
        <v>1193</v>
      </c>
      <c r="C76" s="15" t="s">
        <v>1194</v>
      </c>
      <c r="D76" s="15" t="s">
        <v>825</v>
      </c>
      <c r="E76" s="15" t="s">
        <v>804</v>
      </c>
      <c r="F76" s="15" t="s">
        <v>1195</v>
      </c>
      <c r="G76" s="15" t="s">
        <v>516</v>
      </c>
      <c r="H76" s="15" t="s">
        <v>1196</v>
      </c>
      <c r="J76" s="15" t="s">
        <v>1197</v>
      </c>
      <c r="K76" s="15" t="s">
        <v>612</v>
      </c>
      <c r="N76" s="15" t="s">
        <v>1198</v>
      </c>
      <c r="O76" s="15" t="s">
        <v>516</v>
      </c>
      <c r="P76" s="15" t="s">
        <v>1199</v>
      </c>
    </row>
    <row r="77" customFormat="false" ht="15" hidden="false" customHeight="true" outlineLevel="0" collapsed="false">
      <c r="A77" s="15" t="s">
        <v>1200</v>
      </c>
      <c r="B77" s="15" t="s">
        <v>1201</v>
      </c>
      <c r="C77" s="15" t="s">
        <v>1202</v>
      </c>
      <c r="D77" s="15" t="s">
        <v>814</v>
      </c>
      <c r="E77" s="15" t="s">
        <v>804</v>
      </c>
      <c r="F77" s="15" t="s">
        <v>1203</v>
      </c>
      <c r="G77" s="15" t="s">
        <v>519</v>
      </c>
      <c r="H77" s="15" t="s">
        <v>1204</v>
      </c>
      <c r="K77" s="15" t="s">
        <v>516</v>
      </c>
      <c r="L77" s="15" t="s">
        <v>641</v>
      </c>
      <c r="N77" s="15" t="s">
        <v>1205</v>
      </c>
      <c r="O77" s="15" t="s">
        <v>516</v>
      </c>
      <c r="P77" s="15" t="s">
        <v>1206</v>
      </c>
      <c r="Q77" s="15" t="s">
        <v>522</v>
      </c>
      <c r="R77" s="15" t="s">
        <v>1206</v>
      </c>
      <c r="S77" s="15" t="n">
        <v>21</v>
      </c>
      <c r="T77" s="15" t="s">
        <v>1207</v>
      </c>
    </row>
    <row r="78" customFormat="false" ht="15" hidden="false" customHeight="true" outlineLevel="0" collapsed="false">
      <c r="A78" s="15" t="s">
        <v>1208</v>
      </c>
      <c r="B78" s="15" t="s">
        <v>1208</v>
      </c>
      <c r="C78" s="15" t="s">
        <v>1209</v>
      </c>
      <c r="D78" s="15" t="s">
        <v>825</v>
      </c>
      <c r="E78" s="15" t="s">
        <v>1210</v>
      </c>
      <c r="F78" s="15" t="s">
        <v>1211</v>
      </c>
      <c r="G78" s="15" t="s">
        <v>516</v>
      </c>
      <c r="H78" s="15" t="s">
        <v>1212</v>
      </c>
      <c r="J78" s="15" t="s">
        <v>1213</v>
      </c>
      <c r="K78" s="15" t="s">
        <v>612</v>
      </c>
      <c r="N78" s="15" t="s">
        <v>1214</v>
      </c>
      <c r="O78" s="15" t="s">
        <v>520</v>
      </c>
    </row>
    <row r="79" customFormat="false" ht="15" hidden="false" customHeight="true" outlineLevel="0" collapsed="false">
      <c r="A79" s="15" t="s">
        <v>1215</v>
      </c>
      <c r="B79" s="15" t="s">
        <v>1216</v>
      </c>
      <c r="C79" s="15" t="s">
        <v>1217</v>
      </c>
      <c r="D79" s="15" t="s">
        <v>775</v>
      </c>
      <c r="E79" s="15" t="s">
        <v>1218</v>
      </c>
      <c r="F79" s="15" t="s">
        <v>1219</v>
      </c>
      <c r="G79" s="15" t="s">
        <v>516</v>
      </c>
      <c r="H79" s="15" t="s">
        <v>1220</v>
      </c>
      <c r="J79" s="15" t="s">
        <v>1221</v>
      </c>
      <c r="K79" s="15" t="s">
        <v>612</v>
      </c>
      <c r="L79" s="15" t="s">
        <v>1222</v>
      </c>
      <c r="N79" s="15" t="s">
        <v>1223</v>
      </c>
      <c r="O79" s="15" t="s">
        <v>516</v>
      </c>
      <c r="P79" s="15" t="s">
        <v>1224</v>
      </c>
      <c r="Q79" s="15" t="s">
        <v>522</v>
      </c>
      <c r="R79" s="15" t="s">
        <v>1225</v>
      </c>
    </row>
    <row r="80" customFormat="false" ht="15" hidden="false" customHeight="true" outlineLevel="0" collapsed="false">
      <c r="A80" s="15" t="s">
        <v>1226</v>
      </c>
      <c r="B80" s="15" t="s">
        <v>1227</v>
      </c>
      <c r="C80" s="15" t="s">
        <v>1228</v>
      </c>
      <c r="D80" s="15" t="s">
        <v>938</v>
      </c>
      <c r="E80" s="15" t="s">
        <v>776</v>
      </c>
      <c r="F80" s="15" t="s">
        <v>1229</v>
      </c>
      <c r="G80" s="15" t="s">
        <v>516</v>
      </c>
      <c r="I80" s="53" t="s">
        <v>1230</v>
      </c>
      <c r="K80" s="15" t="s">
        <v>612</v>
      </c>
      <c r="L80" s="15" t="s">
        <v>829</v>
      </c>
      <c r="O80" s="15" t="s">
        <v>519</v>
      </c>
      <c r="Q80" s="15" t="s">
        <v>522</v>
      </c>
      <c r="R80" s="15" t="s">
        <v>1231</v>
      </c>
      <c r="S80" s="15" t="n">
        <v>130</v>
      </c>
    </row>
    <row r="81" customFormat="false" ht="15" hidden="false" customHeight="true" outlineLevel="0" collapsed="false">
      <c r="A81" s="15" t="s">
        <v>1232</v>
      </c>
      <c r="B81" s="15" t="s">
        <v>1233</v>
      </c>
      <c r="C81" s="15" t="s">
        <v>1234</v>
      </c>
      <c r="D81" s="15" t="s">
        <v>646</v>
      </c>
      <c r="E81" s="15" t="s">
        <v>997</v>
      </c>
      <c r="F81" s="15" t="s">
        <v>1235</v>
      </c>
      <c r="G81" s="15" t="s">
        <v>516</v>
      </c>
      <c r="I81" s="53" t="s">
        <v>1236</v>
      </c>
      <c r="K81" s="15" t="s">
        <v>516</v>
      </c>
      <c r="L81" s="15" t="s">
        <v>641</v>
      </c>
      <c r="N81" s="15" t="s">
        <v>1237</v>
      </c>
      <c r="O81" s="15" t="s">
        <v>516</v>
      </c>
      <c r="P81" s="15" t="s">
        <v>1238</v>
      </c>
      <c r="Q81" s="15" t="s">
        <v>522</v>
      </c>
      <c r="R81" s="15" t="s">
        <v>1239</v>
      </c>
      <c r="S81" s="15" t="n">
        <v>105</v>
      </c>
    </row>
    <row r="82" customFormat="false" ht="15" hidden="false" customHeight="true" outlineLevel="0" collapsed="false">
      <c r="A82" s="15" t="s">
        <v>1240</v>
      </c>
      <c r="B82" s="15" t="s">
        <v>1233</v>
      </c>
      <c r="C82" s="15" t="s">
        <v>1241</v>
      </c>
      <c r="D82" s="15" t="s">
        <v>646</v>
      </c>
      <c r="E82" s="15" t="s">
        <v>997</v>
      </c>
      <c r="F82" s="15" t="s">
        <v>1242</v>
      </c>
      <c r="G82" s="15" t="s">
        <v>516</v>
      </c>
      <c r="I82" s="53" t="s">
        <v>1236</v>
      </c>
      <c r="K82" s="15" t="s">
        <v>516</v>
      </c>
      <c r="L82" s="15" t="s">
        <v>641</v>
      </c>
      <c r="N82" s="15" t="s">
        <v>1237</v>
      </c>
      <c r="O82" s="15" t="s">
        <v>516</v>
      </c>
      <c r="P82" s="15" t="s">
        <v>1238</v>
      </c>
      <c r="Q82" s="15" t="s">
        <v>522</v>
      </c>
      <c r="R82" s="15" t="s">
        <v>1239</v>
      </c>
      <c r="S82" s="15" t="n">
        <v>105</v>
      </c>
    </row>
    <row r="83" customFormat="false" ht="15" hidden="false" customHeight="true" outlineLevel="0" collapsed="false">
      <c r="A83" s="15" t="s">
        <v>1243</v>
      </c>
      <c r="B83" s="15" t="s">
        <v>1233</v>
      </c>
      <c r="C83" s="15" t="s">
        <v>1244</v>
      </c>
      <c r="D83" s="15" t="s">
        <v>646</v>
      </c>
      <c r="E83" s="15" t="s">
        <v>997</v>
      </c>
      <c r="F83" s="15" t="s">
        <v>1245</v>
      </c>
      <c r="G83" s="15" t="s">
        <v>516</v>
      </c>
      <c r="I83" s="53" t="s">
        <v>1236</v>
      </c>
      <c r="K83" s="15" t="s">
        <v>516</v>
      </c>
      <c r="L83" s="15" t="s">
        <v>641</v>
      </c>
      <c r="N83" s="15" t="s">
        <v>1237</v>
      </c>
      <c r="O83" s="15" t="s">
        <v>516</v>
      </c>
      <c r="P83" s="15" t="s">
        <v>1238</v>
      </c>
      <c r="Q83" s="15" t="s">
        <v>522</v>
      </c>
      <c r="R83" s="15" t="s">
        <v>1246</v>
      </c>
      <c r="S83" s="15" t="n">
        <v>105</v>
      </c>
    </row>
    <row r="84" customFormat="false" ht="15" hidden="false" customHeight="true" outlineLevel="0" collapsed="false">
      <c r="A84" s="15" t="s">
        <v>1247</v>
      </c>
      <c r="B84" s="15" t="s">
        <v>1248</v>
      </c>
      <c r="C84" s="15" t="s">
        <v>1249</v>
      </c>
      <c r="D84" s="15" t="s">
        <v>590</v>
      </c>
      <c r="E84" s="15" t="s">
        <v>776</v>
      </c>
      <c r="F84" s="15" t="s">
        <v>1250</v>
      </c>
      <c r="G84" s="15" t="s">
        <v>516</v>
      </c>
      <c r="J84" s="15" t="s">
        <v>1251</v>
      </c>
      <c r="K84" s="15" t="s">
        <v>612</v>
      </c>
      <c r="N84" s="15" t="s">
        <v>1252</v>
      </c>
      <c r="O84" s="15" t="s">
        <v>516</v>
      </c>
      <c r="P84" s="15" t="s">
        <v>1253</v>
      </c>
      <c r="Q84" s="15" t="s">
        <v>524</v>
      </c>
      <c r="R84" s="15" t="s">
        <v>1254</v>
      </c>
    </row>
    <row r="85" customFormat="false" ht="15" hidden="false" customHeight="true" outlineLevel="0" collapsed="false">
      <c r="A85" s="15" t="s">
        <v>1255</v>
      </c>
      <c r="B85" s="15" t="s">
        <v>1256</v>
      </c>
      <c r="C85" s="15" t="s">
        <v>1257</v>
      </c>
      <c r="D85" s="15" t="s">
        <v>731</v>
      </c>
      <c r="E85" s="15" t="s">
        <v>611</v>
      </c>
      <c r="F85" s="15" t="s">
        <v>1258</v>
      </c>
      <c r="G85" s="15" t="s">
        <v>519</v>
      </c>
      <c r="K85" s="15" t="s">
        <v>519</v>
      </c>
      <c r="O85" s="15" t="s">
        <v>519</v>
      </c>
      <c r="S85" s="15" t="n">
        <v>1</v>
      </c>
    </row>
    <row r="86" customFormat="false" ht="15" hidden="false" customHeight="true" outlineLevel="0" collapsed="false">
      <c r="A86" s="15" t="s">
        <v>1259</v>
      </c>
      <c r="B86" s="15" t="s">
        <v>1260</v>
      </c>
      <c r="C86" s="15" t="s">
        <v>1261</v>
      </c>
      <c r="D86" s="15" t="s">
        <v>590</v>
      </c>
      <c r="E86" s="15" t="s">
        <v>1262</v>
      </c>
      <c r="F86" s="15" t="s">
        <v>1263</v>
      </c>
      <c r="G86" s="15" t="s">
        <v>516</v>
      </c>
      <c r="I86" s="53" t="s">
        <v>1264</v>
      </c>
      <c r="K86" s="15" t="s">
        <v>516</v>
      </c>
      <c r="L86" s="15" t="s">
        <v>1265</v>
      </c>
      <c r="N86" s="15" t="s">
        <v>1266</v>
      </c>
      <c r="O86" s="15" t="s">
        <v>516</v>
      </c>
      <c r="P86" s="15" t="s">
        <v>1266</v>
      </c>
      <c r="Q86" s="15" t="s">
        <v>522</v>
      </c>
      <c r="R86" s="15" t="s">
        <v>1267</v>
      </c>
      <c r="S86" s="15" t="n">
        <v>75</v>
      </c>
    </row>
    <row r="87" customFormat="false" ht="15" hidden="false" customHeight="true" outlineLevel="0" collapsed="false">
      <c r="A87" s="15" t="s">
        <v>1268</v>
      </c>
      <c r="B87" s="15" t="s">
        <v>1269</v>
      </c>
      <c r="C87" s="15" t="s">
        <v>1270</v>
      </c>
      <c r="E87" s="15" t="s">
        <v>638</v>
      </c>
      <c r="F87" s="15" t="s">
        <v>1271</v>
      </c>
      <c r="G87" s="15" t="s">
        <v>520</v>
      </c>
      <c r="K87" s="15" t="s">
        <v>516</v>
      </c>
      <c r="L87" s="15" t="s">
        <v>1272</v>
      </c>
      <c r="N87" s="15" t="s">
        <v>1273</v>
      </c>
      <c r="O87" s="15" t="s">
        <v>520</v>
      </c>
    </row>
    <row r="88" customFormat="false" ht="15" hidden="false" customHeight="true" outlineLevel="0" collapsed="false">
      <c r="A88" s="15" t="s">
        <v>1274</v>
      </c>
      <c r="B88" s="15" t="s">
        <v>1275</v>
      </c>
      <c r="C88" s="15" t="s">
        <v>1276</v>
      </c>
      <c r="D88" s="15" t="s">
        <v>938</v>
      </c>
      <c r="E88" s="15" t="s">
        <v>1277</v>
      </c>
      <c r="F88" s="15" t="s">
        <v>1278</v>
      </c>
      <c r="G88" s="15" t="s">
        <v>516</v>
      </c>
      <c r="I88" s="53" t="s">
        <v>1279</v>
      </c>
      <c r="K88" s="15" t="s">
        <v>612</v>
      </c>
      <c r="L88" s="15" t="s">
        <v>837</v>
      </c>
      <c r="O88" s="15" t="s">
        <v>516</v>
      </c>
      <c r="P88" s="15" t="s">
        <v>1280</v>
      </c>
      <c r="Q88" s="15" t="s">
        <v>522</v>
      </c>
      <c r="S88" s="15" t="n">
        <v>80</v>
      </c>
    </row>
    <row r="89" customFormat="false" ht="15" hidden="false" customHeight="true" outlineLevel="0" collapsed="false">
      <c r="A89" s="15" t="s">
        <v>1281</v>
      </c>
      <c r="B89" s="15" t="s">
        <v>1233</v>
      </c>
      <c r="C89" s="15" t="s">
        <v>1282</v>
      </c>
      <c r="D89" s="15" t="s">
        <v>646</v>
      </c>
      <c r="E89" s="15" t="s">
        <v>598</v>
      </c>
      <c r="F89" s="15" t="s">
        <v>1283</v>
      </c>
      <c r="G89" s="15" t="s">
        <v>516</v>
      </c>
      <c r="J89" s="15" t="s">
        <v>1284</v>
      </c>
      <c r="K89" s="15" t="s">
        <v>612</v>
      </c>
      <c r="N89" s="15" t="s">
        <v>1237</v>
      </c>
      <c r="O89" s="15" t="s">
        <v>516</v>
      </c>
      <c r="P89" s="15" t="s">
        <v>1238</v>
      </c>
      <c r="Q89" s="15" t="s">
        <v>522</v>
      </c>
      <c r="R89" s="15" t="s">
        <v>1239</v>
      </c>
      <c r="T89" s="15" t="s">
        <v>1285</v>
      </c>
    </row>
    <row r="90" customFormat="false" ht="15" hidden="false" customHeight="true" outlineLevel="0" collapsed="false">
      <c r="A90" s="15" t="s">
        <v>1286</v>
      </c>
      <c r="B90" s="15" t="s">
        <v>588</v>
      </c>
      <c r="C90" s="15" t="s">
        <v>1287</v>
      </c>
      <c r="D90" s="15" t="s">
        <v>590</v>
      </c>
      <c r="E90" s="15" t="s">
        <v>1288</v>
      </c>
      <c r="F90" s="15" t="s">
        <v>1289</v>
      </c>
      <c r="G90" s="15" t="s">
        <v>516</v>
      </c>
      <c r="H90" s="15" t="s">
        <v>1290</v>
      </c>
      <c r="I90" s="53" t="s">
        <v>1291</v>
      </c>
      <c r="J90" s="15" t="s">
        <v>1292</v>
      </c>
      <c r="K90" s="15" t="s">
        <v>516</v>
      </c>
      <c r="L90" s="15" t="s">
        <v>1293</v>
      </c>
      <c r="M90" s="15" t="s">
        <v>1294</v>
      </c>
      <c r="N90" s="15" t="s">
        <v>1295</v>
      </c>
      <c r="O90" s="15" t="s">
        <v>516</v>
      </c>
      <c r="P90" s="15" t="s">
        <v>1296</v>
      </c>
      <c r="Q90" s="15" t="s">
        <v>524</v>
      </c>
      <c r="S90" s="15" t="n">
        <v>0</v>
      </c>
    </row>
    <row r="91" customFormat="false" ht="15" hidden="false" customHeight="true" outlineLevel="0" collapsed="false">
      <c r="A91" s="15" t="s">
        <v>1297</v>
      </c>
      <c r="B91" s="15" t="s">
        <v>1298</v>
      </c>
      <c r="C91" s="15" t="s">
        <v>1299</v>
      </c>
      <c r="D91" s="15" t="s">
        <v>646</v>
      </c>
      <c r="E91" s="15" t="s">
        <v>997</v>
      </c>
      <c r="F91" s="15" t="s">
        <v>1300</v>
      </c>
      <c r="G91" s="15" t="s">
        <v>516</v>
      </c>
      <c r="I91" s="53" t="s">
        <v>1301</v>
      </c>
      <c r="K91" s="15" t="s">
        <v>516</v>
      </c>
      <c r="L91" s="15" t="s">
        <v>1272</v>
      </c>
      <c r="O91" s="15" t="s">
        <v>519</v>
      </c>
      <c r="S91" s="15" t="n">
        <v>0</v>
      </c>
    </row>
    <row r="92" customFormat="false" ht="15" hidden="false" customHeight="true" outlineLevel="0" collapsed="false">
      <c r="A92" s="15" t="s">
        <v>1302</v>
      </c>
      <c r="B92" s="15" t="s">
        <v>1303</v>
      </c>
      <c r="C92" s="15" t="s">
        <v>1304</v>
      </c>
      <c r="D92" s="15" t="s">
        <v>646</v>
      </c>
      <c r="E92" s="15" t="s">
        <v>1305</v>
      </c>
      <c r="F92" s="15" t="s">
        <v>1306</v>
      </c>
      <c r="G92" s="15" t="s">
        <v>518</v>
      </c>
      <c r="K92" s="15" t="s">
        <v>516</v>
      </c>
      <c r="L92" s="15" t="s">
        <v>1307</v>
      </c>
      <c r="N92" s="15" t="s">
        <v>1308</v>
      </c>
      <c r="O92" s="15" t="s">
        <v>516</v>
      </c>
      <c r="P92" s="15" t="s">
        <v>1309</v>
      </c>
      <c r="Q92" s="15" t="s">
        <v>522</v>
      </c>
      <c r="R92" s="15" t="s">
        <v>1310</v>
      </c>
    </row>
    <row r="93" customFormat="false" ht="15" hidden="false" customHeight="true" outlineLevel="0" collapsed="false">
      <c r="A93" s="15" t="s">
        <v>1311</v>
      </c>
      <c r="B93" s="15" t="s">
        <v>1312</v>
      </c>
      <c r="C93" s="15" t="s">
        <v>1313</v>
      </c>
      <c r="D93" s="15" t="s">
        <v>590</v>
      </c>
      <c r="E93" s="15" t="s">
        <v>1314</v>
      </c>
      <c r="F93" s="15" t="s">
        <v>1315</v>
      </c>
      <c r="G93" s="15" t="s">
        <v>516</v>
      </c>
      <c r="H93" s="15" t="s">
        <v>1316</v>
      </c>
      <c r="J93" s="15" t="s">
        <v>1317</v>
      </c>
      <c r="K93" s="15" t="s">
        <v>612</v>
      </c>
      <c r="N93" s="15" t="s">
        <v>1318</v>
      </c>
      <c r="O93" s="15" t="s">
        <v>516</v>
      </c>
      <c r="P93" s="15" t="s">
        <v>1319</v>
      </c>
      <c r="Q93" s="15" t="s">
        <v>524</v>
      </c>
      <c r="R93" s="15" t="s">
        <v>1320</v>
      </c>
      <c r="S93" s="15" t="n">
        <v>9</v>
      </c>
      <c r="T93" s="15" t="s">
        <v>1321</v>
      </c>
    </row>
    <row r="94" customFormat="false" ht="15" hidden="false" customHeight="true" outlineLevel="0" collapsed="false">
      <c r="A94" s="15" t="s">
        <v>1322</v>
      </c>
      <c r="B94" s="15" t="s">
        <v>1323</v>
      </c>
      <c r="C94" s="15" t="s">
        <v>1324</v>
      </c>
      <c r="D94" s="15" t="s">
        <v>590</v>
      </c>
      <c r="E94" s="15" t="s">
        <v>997</v>
      </c>
      <c r="F94" s="15" t="s">
        <v>1325</v>
      </c>
      <c r="G94" s="15" t="s">
        <v>516</v>
      </c>
      <c r="I94" s="53" t="s">
        <v>1326</v>
      </c>
      <c r="K94" s="15" t="s">
        <v>516</v>
      </c>
      <c r="L94" s="15" t="s">
        <v>1307</v>
      </c>
      <c r="N94" s="15" t="s">
        <v>1327</v>
      </c>
      <c r="O94" s="15" t="s">
        <v>516</v>
      </c>
      <c r="P94" s="15" t="s">
        <v>1328</v>
      </c>
      <c r="Q94" s="15" t="s">
        <v>524</v>
      </c>
      <c r="S94" s="15" t="n">
        <v>52</v>
      </c>
    </row>
    <row r="95" customFormat="false" ht="15" hidden="false" customHeight="true" outlineLevel="0" collapsed="false">
      <c r="A95" s="15" t="s">
        <v>1329</v>
      </c>
      <c r="B95" s="15" t="s">
        <v>1330</v>
      </c>
      <c r="C95" s="15" t="s">
        <v>1331</v>
      </c>
      <c r="D95" s="15" t="s">
        <v>814</v>
      </c>
      <c r="E95" s="15" t="s">
        <v>1332</v>
      </c>
      <c r="F95" s="15" t="s">
        <v>1333</v>
      </c>
      <c r="G95" s="15" t="s">
        <v>519</v>
      </c>
      <c r="H95" s="15" t="s">
        <v>1334</v>
      </c>
      <c r="K95" s="15" t="s">
        <v>612</v>
      </c>
      <c r="L95" s="15" t="s">
        <v>602</v>
      </c>
      <c r="O95" s="15" t="s">
        <v>520</v>
      </c>
    </row>
    <row r="96" customFormat="false" ht="15" hidden="false" customHeight="true" outlineLevel="0" collapsed="false">
      <c r="A96" s="15" t="s">
        <v>1335</v>
      </c>
      <c r="B96" s="15" t="s">
        <v>1336</v>
      </c>
      <c r="C96" s="15" t="s">
        <v>1337</v>
      </c>
      <c r="D96" s="15" t="s">
        <v>590</v>
      </c>
      <c r="E96" s="15" t="s">
        <v>1338</v>
      </c>
      <c r="F96" s="15" t="s">
        <v>1339</v>
      </c>
      <c r="G96" s="15" t="s">
        <v>518</v>
      </c>
      <c r="K96" s="15" t="s">
        <v>612</v>
      </c>
      <c r="N96" s="15" t="s">
        <v>1340</v>
      </c>
      <c r="O96" s="15" t="s">
        <v>516</v>
      </c>
      <c r="P96" s="15" t="s">
        <v>1341</v>
      </c>
      <c r="Q96" s="15" t="s">
        <v>524</v>
      </c>
      <c r="R96" s="15" t="s">
        <v>1342</v>
      </c>
    </row>
    <row r="97" customFormat="false" ht="15" hidden="false" customHeight="true" outlineLevel="0" collapsed="false">
      <c r="A97" s="15" t="s">
        <v>1343</v>
      </c>
      <c r="B97" s="15" t="s">
        <v>1344</v>
      </c>
      <c r="C97" s="15" t="s">
        <v>1345</v>
      </c>
      <c r="D97" s="15" t="s">
        <v>872</v>
      </c>
      <c r="E97" s="15" t="s">
        <v>1346</v>
      </c>
      <c r="F97" s="15" t="s">
        <v>1347</v>
      </c>
      <c r="G97" s="15" t="s">
        <v>516</v>
      </c>
      <c r="H97" s="15" t="s">
        <v>1348</v>
      </c>
      <c r="J97" s="15" t="s">
        <v>1349</v>
      </c>
      <c r="K97" s="15" t="s">
        <v>516</v>
      </c>
      <c r="L97" s="15" t="s">
        <v>1123</v>
      </c>
      <c r="N97" s="15" t="s">
        <v>1350</v>
      </c>
      <c r="O97" s="15" t="s">
        <v>519</v>
      </c>
    </row>
    <row r="98" customFormat="false" ht="15" hidden="false" customHeight="true" outlineLevel="0" collapsed="false">
      <c r="A98" s="15" t="s">
        <v>1351</v>
      </c>
      <c r="B98" s="15" t="s">
        <v>1351</v>
      </c>
      <c r="C98" s="15" t="s">
        <v>1352</v>
      </c>
      <c r="E98" s="15" t="s">
        <v>826</v>
      </c>
      <c r="F98" s="15" t="s">
        <v>1353</v>
      </c>
      <c r="G98" s="15" t="s">
        <v>516</v>
      </c>
      <c r="H98" s="15" t="s">
        <v>1354</v>
      </c>
      <c r="J98" s="15" t="s">
        <v>1355</v>
      </c>
      <c r="K98" s="15" t="s">
        <v>612</v>
      </c>
      <c r="L98" s="15" t="s">
        <v>1356</v>
      </c>
      <c r="M98" s="15" t="s">
        <v>1357</v>
      </c>
      <c r="O98" s="15" t="s">
        <v>520</v>
      </c>
      <c r="Q98" s="15" t="s">
        <v>524</v>
      </c>
      <c r="R98" s="15" t="s">
        <v>1358</v>
      </c>
    </row>
    <row r="99" customFormat="false" ht="15" hidden="false" customHeight="true" outlineLevel="0" collapsed="false">
      <c r="A99" s="15" t="s">
        <v>1359</v>
      </c>
      <c r="B99" s="15" t="s">
        <v>1360</v>
      </c>
      <c r="C99" s="15" t="s">
        <v>1361</v>
      </c>
      <c r="E99" s="15" t="s">
        <v>1057</v>
      </c>
      <c r="F99" s="15" t="s">
        <v>1362</v>
      </c>
      <c r="G99" s="15" t="s">
        <v>516</v>
      </c>
      <c r="H99" s="15" t="s">
        <v>1363</v>
      </c>
      <c r="I99" s="53" t="s">
        <v>1364</v>
      </c>
      <c r="J99" s="15" t="s">
        <v>1365</v>
      </c>
      <c r="K99" s="15" t="s">
        <v>516</v>
      </c>
      <c r="L99" s="15" t="s">
        <v>641</v>
      </c>
      <c r="N99" s="15" t="s">
        <v>1366</v>
      </c>
      <c r="O99" s="15" t="s">
        <v>516</v>
      </c>
      <c r="P99" s="15" t="s">
        <v>1367</v>
      </c>
      <c r="Q99" s="15" t="s">
        <v>522</v>
      </c>
      <c r="R99" s="15" t="s">
        <v>1368</v>
      </c>
      <c r="S99" s="15" t="n">
        <v>0</v>
      </c>
    </row>
    <row r="100" customFormat="false" ht="15" hidden="false" customHeight="true" outlineLevel="0" collapsed="false">
      <c r="A100" s="15" t="s">
        <v>1369</v>
      </c>
      <c r="B100" s="15" t="s">
        <v>1370</v>
      </c>
      <c r="C100" s="15" t="s">
        <v>1371</v>
      </c>
      <c r="D100" s="15" t="s">
        <v>825</v>
      </c>
      <c r="E100" s="15" t="s">
        <v>1372</v>
      </c>
      <c r="F100" s="15" t="s">
        <v>1373</v>
      </c>
      <c r="G100" s="15" t="s">
        <v>518</v>
      </c>
      <c r="K100" s="15" t="s">
        <v>516</v>
      </c>
      <c r="L100" s="15" t="s">
        <v>1374</v>
      </c>
      <c r="N100" s="15" t="s">
        <v>1375</v>
      </c>
      <c r="O100" s="15" t="s">
        <v>519</v>
      </c>
      <c r="Q100" s="15" t="s">
        <v>524</v>
      </c>
      <c r="S100" s="15" t="n">
        <v>18</v>
      </c>
    </row>
    <row r="101" customFormat="false" ht="15" hidden="false" customHeight="true" outlineLevel="0" collapsed="false">
      <c r="A101" s="15" t="s">
        <v>1376</v>
      </c>
      <c r="B101" s="15" t="s">
        <v>1377</v>
      </c>
      <c r="C101" s="15" t="s">
        <v>1378</v>
      </c>
      <c r="D101" s="15" t="s">
        <v>775</v>
      </c>
      <c r="E101" s="15" t="s">
        <v>1082</v>
      </c>
      <c r="F101" s="15" t="s">
        <v>1379</v>
      </c>
      <c r="G101" s="15" t="s">
        <v>516</v>
      </c>
      <c r="H101" s="15" t="s">
        <v>1380</v>
      </c>
      <c r="J101" s="15" t="s">
        <v>1381</v>
      </c>
      <c r="K101" s="15" t="s">
        <v>612</v>
      </c>
      <c r="L101" s="15" t="s">
        <v>1382</v>
      </c>
      <c r="N101" s="15" t="s">
        <v>1381</v>
      </c>
      <c r="O101" s="15" t="s">
        <v>516</v>
      </c>
      <c r="P101" s="15" t="s">
        <v>1383</v>
      </c>
    </row>
    <row r="102" customFormat="false" ht="15" hidden="false" customHeight="true" outlineLevel="0" collapsed="false">
      <c r="A102" s="15" t="s">
        <v>1384</v>
      </c>
      <c r="B102" s="15" t="s">
        <v>1385</v>
      </c>
      <c r="C102" s="15" t="s">
        <v>1386</v>
      </c>
      <c r="D102" s="15" t="s">
        <v>775</v>
      </c>
      <c r="E102" s="15" t="s">
        <v>1288</v>
      </c>
      <c r="F102" s="15" t="s">
        <v>1387</v>
      </c>
      <c r="G102" s="15" t="s">
        <v>516</v>
      </c>
      <c r="J102" s="15" t="s">
        <v>1388</v>
      </c>
      <c r="K102" s="15" t="s">
        <v>612</v>
      </c>
      <c r="O102" s="15" t="s">
        <v>519</v>
      </c>
      <c r="Q102" s="15" t="s">
        <v>522</v>
      </c>
      <c r="S102" s="15" t="n">
        <v>26</v>
      </c>
      <c r="T102" s="15" t="s">
        <v>1389</v>
      </c>
    </row>
    <row r="103" customFormat="false" ht="15" hidden="false" customHeight="true" outlineLevel="0" collapsed="false">
      <c r="A103" s="15" t="s">
        <v>1390</v>
      </c>
      <c r="B103" s="15" t="s">
        <v>1391</v>
      </c>
      <c r="C103" s="15" t="s">
        <v>1392</v>
      </c>
      <c r="D103" s="15" t="s">
        <v>590</v>
      </c>
      <c r="E103" s="15" t="s">
        <v>1393</v>
      </c>
      <c r="F103" s="15" t="s">
        <v>1394</v>
      </c>
      <c r="G103" s="15" t="s">
        <v>516</v>
      </c>
      <c r="H103" s="15" t="s">
        <v>1395</v>
      </c>
      <c r="J103" s="15" t="s">
        <v>1396</v>
      </c>
      <c r="K103" s="15" t="s">
        <v>612</v>
      </c>
      <c r="N103" s="15" t="s">
        <v>1397</v>
      </c>
      <c r="O103" s="15" t="s">
        <v>516</v>
      </c>
      <c r="P103" s="15" t="s">
        <v>1398</v>
      </c>
    </row>
    <row r="104" customFormat="false" ht="15" hidden="false" customHeight="true" outlineLevel="0" collapsed="false">
      <c r="A104" s="15" t="s">
        <v>1399</v>
      </c>
      <c r="B104" s="15" t="s">
        <v>1400</v>
      </c>
      <c r="C104" s="15" t="s">
        <v>1401</v>
      </c>
      <c r="D104" s="15" t="s">
        <v>590</v>
      </c>
      <c r="E104" s="15" t="s">
        <v>1402</v>
      </c>
      <c r="F104" s="15" t="s">
        <v>1403</v>
      </c>
      <c r="G104" s="15" t="s">
        <v>516</v>
      </c>
      <c r="K104" s="15" t="s">
        <v>612</v>
      </c>
      <c r="N104" s="15" t="s">
        <v>1404</v>
      </c>
      <c r="O104" s="15" t="s">
        <v>612</v>
      </c>
      <c r="P104" s="15" t="s">
        <v>1405</v>
      </c>
      <c r="Q104" s="15" t="s">
        <v>524</v>
      </c>
      <c r="S104" s="15" t="n">
        <v>425</v>
      </c>
      <c r="T104" s="15" t="s">
        <v>1406</v>
      </c>
    </row>
    <row r="105" customFormat="false" ht="15" hidden="false" customHeight="true" outlineLevel="0" collapsed="false">
      <c r="A105" s="15" t="s">
        <v>1407</v>
      </c>
      <c r="B105" s="15" t="s">
        <v>1407</v>
      </c>
      <c r="C105" s="15" t="s">
        <v>1408</v>
      </c>
      <c r="D105" s="15" t="s">
        <v>775</v>
      </c>
      <c r="E105" s="15" t="s">
        <v>1409</v>
      </c>
      <c r="F105" s="15" t="s">
        <v>1410</v>
      </c>
      <c r="G105" s="15" t="s">
        <v>516</v>
      </c>
      <c r="H105" s="15" t="s">
        <v>1411</v>
      </c>
      <c r="J105" s="15" t="s">
        <v>1412</v>
      </c>
      <c r="K105" s="15" t="s">
        <v>519</v>
      </c>
      <c r="L105" s="15" t="s">
        <v>1413</v>
      </c>
      <c r="O105" s="15" t="s">
        <v>516</v>
      </c>
      <c r="P105" s="15" t="s">
        <v>1414</v>
      </c>
      <c r="Q105" s="15" t="s">
        <v>522</v>
      </c>
      <c r="R105" s="15" t="s">
        <v>1415</v>
      </c>
      <c r="S105" s="15" t="n">
        <v>30</v>
      </c>
      <c r="T105" s="15" t="s">
        <v>1416</v>
      </c>
    </row>
    <row r="106" customFormat="false" ht="15" hidden="false" customHeight="true" outlineLevel="0" collapsed="false">
      <c r="A106" s="15" t="s">
        <v>1417</v>
      </c>
      <c r="B106" s="15" t="s">
        <v>1174</v>
      </c>
      <c r="C106" s="15" t="s">
        <v>1418</v>
      </c>
      <c r="D106" s="15" t="s">
        <v>590</v>
      </c>
      <c r="E106" s="15" t="s">
        <v>1419</v>
      </c>
      <c r="F106" s="15" t="s">
        <v>1420</v>
      </c>
      <c r="G106" s="15" t="s">
        <v>516</v>
      </c>
      <c r="H106" s="15" t="s">
        <v>1421</v>
      </c>
      <c r="J106" s="15" t="s">
        <v>1422</v>
      </c>
      <c r="K106" s="15" t="s">
        <v>612</v>
      </c>
      <c r="L106" s="15" t="s">
        <v>1018</v>
      </c>
      <c r="N106" s="15" t="s">
        <v>1423</v>
      </c>
      <c r="O106" s="15" t="s">
        <v>519</v>
      </c>
      <c r="Q106" s="15" t="s">
        <v>524</v>
      </c>
      <c r="R106" s="15" t="s">
        <v>1424</v>
      </c>
    </row>
    <row r="107" customFormat="false" ht="15" hidden="false" customHeight="true" outlineLevel="0" collapsed="false">
      <c r="A107" s="15" t="s">
        <v>1425</v>
      </c>
      <c r="B107" s="15" t="s">
        <v>1426</v>
      </c>
      <c r="C107" s="15" t="s">
        <v>1427</v>
      </c>
      <c r="D107" s="15" t="s">
        <v>775</v>
      </c>
      <c r="E107" s="15" t="s">
        <v>1428</v>
      </c>
      <c r="F107" s="15" t="s">
        <v>1429</v>
      </c>
      <c r="G107" s="15" t="s">
        <v>516</v>
      </c>
      <c r="H107" s="15" t="s">
        <v>1430</v>
      </c>
      <c r="J107" s="15" t="s">
        <v>1431</v>
      </c>
      <c r="K107" s="15" t="s">
        <v>612</v>
      </c>
      <c r="O107" s="15" t="s">
        <v>518</v>
      </c>
      <c r="Q107" s="15" t="s">
        <v>522</v>
      </c>
      <c r="T107" s="15" t="s">
        <v>1432</v>
      </c>
    </row>
    <row r="108" customFormat="false" ht="15" hidden="false" customHeight="true" outlineLevel="0" collapsed="false">
      <c r="A108" s="15" t="s">
        <v>1433</v>
      </c>
      <c r="B108" s="15" t="s">
        <v>987</v>
      </c>
      <c r="C108" s="15" t="s">
        <v>1434</v>
      </c>
      <c r="D108" s="15" t="s">
        <v>775</v>
      </c>
      <c r="E108" s="15" t="s">
        <v>713</v>
      </c>
      <c r="F108" s="15" t="s">
        <v>1435</v>
      </c>
      <c r="G108" s="15" t="s">
        <v>516</v>
      </c>
      <c r="H108" s="15" t="s">
        <v>990</v>
      </c>
      <c r="J108" s="15" t="s">
        <v>991</v>
      </c>
      <c r="K108" s="15" t="s">
        <v>612</v>
      </c>
      <c r="L108" s="15" t="s">
        <v>1436</v>
      </c>
      <c r="N108" s="15" t="s">
        <v>992</v>
      </c>
      <c r="O108" s="15" t="s">
        <v>518</v>
      </c>
      <c r="Q108" s="15" t="s">
        <v>522</v>
      </c>
      <c r="S108" s="15" t="n">
        <v>32</v>
      </c>
      <c r="T108" s="15" t="s">
        <v>993</v>
      </c>
    </row>
    <row r="109" customFormat="false" ht="15" hidden="false" customHeight="true" outlineLevel="0" collapsed="false">
      <c r="A109" s="15" t="s">
        <v>1437</v>
      </c>
      <c r="B109" s="15" t="s">
        <v>1438</v>
      </c>
      <c r="C109" s="15" t="s">
        <v>1439</v>
      </c>
      <c r="D109" s="15" t="s">
        <v>590</v>
      </c>
      <c r="E109" s="15" t="s">
        <v>1440</v>
      </c>
      <c r="F109" s="15" t="s">
        <v>1441</v>
      </c>
      <c r="G109" s="15" t="s">
        <v>516</v>
      </c>
      <c r="H109" s="15" t="s">
        <v>1442</v>
      </c>
      <c r="J109" s="15" t="s">
        <v>1443</v>
      </c>
      <c r="K109" s="15" t="s">
        <v>612</v>
      </c>
      <c r="L109" s="15" t="s">
        <v>602</v>
      </c>
      <c r="O109" s="15" t="s">
        <v>520</v>
      </c>
      <c r="Q109" s="15" t="s">
        <v>522</v>
      </c>
      <c r="R109" s="15" t="s">
        <v>1444</v>
      </c>
      <c r="S109" s="15" t="n">
        <v>14</v>
      </c>
      <c r="T109" s="15" t="s">
        <v>1445</v>
      </c>
    </row>
    <row r="110" customFormat="false" ht="15" hidden="false" customHeight="true" outlineLevel="0" collapsed="false">
      <c r="A110" s="15" t="s">
        <v>1446</v>
      </c>
      <c r="B110" s="15" t="s">
        <v>918</v>
      </c>
      <c r="C110" s="15" t="s">
        <v>1447</v>
      </c>
      <c r="D110" s="15" t="s">
        <v>590</v>
      </c>
      <c r="E110" s="15" t="s">
        <v>1448</v>
      </c>
      <c r="F110" s="15" t="s">
        <v>1449</v>
      </c>
      <c r="G110" s="15" t="s">
        <v>516</v>
      </c>
      <c r="H110" s="15" t="s">
        <v>1450</v>
      </c>
      <c r="J110" s="15" t="s">
        <v>1451</v>
      </c>
      <c r="K110" s="15" t="s">
        <v>612</v>
      </c>
      <c r="L110" s="15" t="s">
        <v>602</v>
      </c>
      <c r="N110" s="15" t="s">
        <v>1452</v>
      </c>
      <c r="O110" s="15" t="s">
        <v>519</v>
      </c>
      <c r="Q110" s="15" t="s">
        <v>522</v>
      </c>
      <c r="R110" s="15" t="s">
        <v>1453</v>
      </c>
      <c r="S110" s="15" t="n">
        <v>14</v>
      </c>
      <c r="T110" s="15" t="s">
        <v>1454</v>
      </c>
    </row>
    <row r="111" customFormat="false" ht="15" hidden="false" customHeight="true" outlineLevel="0" collapsed="false">
      <c r="A111" s="15" t="s">
        <v>1455</v>
      </c>
      <c r="B111" s="15" t="s">
        <v>1456</v>
      </c>
      <c r="C111" s="15" t="s">
        <v>1457</v>
      </c>
      <c r="D111" s="15" t="s">
        <v>590</v>
      </c>
      <c r="E111" s="15" t="s">
        <v>776</v>
      </c>
      <c r="F111" s="15" t="s">
        <v>1458</v>
      </c>
      <c r="G111" s="15" t="s">
        <v>516</v>
      </c>
      <c r="H111" s="15" t="s">
        <v>1459</v>
      </c>
      <c r="I111" s="15" t="s">
        <v>1460</v>
      </c>
      <c r="K111" s="15" t="s">
        <v>516</v>
      </c>
      <c r="L111" s="15" t="s">
        <v>1029</v>
      </c>
      <c r="N111" s="15" t="s">
        <v>1461</v>
      </c>
      <c r="O111" s="15" t="s">
        <v>516</v>
      </c>
      <c r="P111" s="15" t="s">
        <v>1462</v>
      </c>
      <c r="Q111" s="15" t="s">
        <v>522</v>
      </c>
      <c r="R111" s="15" t="s">
        <v>1463</v>
      </c>
      <c r="S111" s="15" t="n">
        <v>10</v>
      </c>
      <c r="T111" s="15" t="s">
        <v>1464</v>
      </c>
    </row>
    <row r="112" customFormat="false" ht="15" hidden="false" customHeight="true" outlineLevel="0" collapsed="false">
      <c r="A112" s="15" t="s">
        <v>1465</v>
      </c>
      <c r="B112" s="15" t="s">
        <v>1063</v>
      </c>
      <c r="C112" s="15" t="s">
        <v>1466</v>
      </c>
      <c r="D112" s="15" t="s">
        <v>872</v>
      </c>
      <c r="E112" s="15" t="s">
        <v>611</v>
      </c>
      <c r="F112" s="15" t="s">
        <v>1467</v>
      </c>
      <c r="G112" s="15" t="s">
        <v>520</v>
      </c>
      <c r="K112" s="15" t="s">
        <v>516</v>
      </c>
      <c r="L112" s="15" t="s">
        <v>907</v>
      </c>
      <c r="N112" s="15" t="s">
        <v>1066</v>
      </c>
      <c r="O112" s="15" t="s">
        <v>516</v>
      </c>
      <c r="P112" s="15" t="s">
        <v>1468</v>
      </c>
      <c r="Q112" s="15" t="s">
        <v>524</v>
      </c>
      <c r="S112" s="15" t="n">
        <v>0</v>
      </c>
    </row>
    <row r="113" customFormat="false" ht="15" hidden="false" customHeight="true" outlineLevel="0" collapsed="false">
      <c r="A113" s="15" t="s">
        <v>1469</v>
      </c>
      <c r="B113" s="15" t="s">
        <v>1174</v>
      </c>
      <c r="C113" s="15" t="s">
        <v>1470</v>
      </c>
      <c r="D113" s="15" t="s">
        <v>590</v>
      </c>
      <c r="E113" s="15" t="s">
        <v>1332</v>
      </c>
      <c r="F113" s="15" t="s">
        <v>1471</v>
      </c>
      <c r="G113" s="15" t="s">
        <v>516</v>
      </c>
      <c r="H113" s="15" t="s">
        <v>1472</v>
      </c>
      <c r="J113" s="15" t="s">
        <v>1473</v>
      </c>
      <c r="K113" s="15" t="s">
        <v>612</v>
      </c>
      <c r="L113" s="15" t="s">
        <v>1474</v>
      </c>
      <c r="N113" s="15" t="s">
        <v>1475</v>
      </c>
      <c r="O113" s="15" t="s">
        <v>516</v>
      </c>
      <c r="P113" s="15" t="s">
        <v>1476</v>
      </c>
      <c r="Q113" s="15" t="s">
        <v>524</v>
      </c>
      <c r="R113" s="15" t="s">
        <v>1424</v>
      </c>
    </row>
  </sheetData>
  <autoFilter ref="A1:T1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2026-10-14T07:07:29Z</dcterms:created>
  <dc:creator>openpyxl</dc:creator>
  <dc:description/>
  <dc:language>en-US</dc:language>
  <cp:lastModifiedBy/>
  <dcterms:modified xsi:type="dcterms:W3CDTF">2026-10-14T08:25:22Z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