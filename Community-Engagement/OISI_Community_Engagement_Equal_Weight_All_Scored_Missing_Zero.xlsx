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Parameters" sheetId="4" state="visible" r:id="rId4"/>
    <sheet name="Verification" sheetId="5" state="visible" r:id="rId5"/>
    <sheet name="Activity Coding" sheetId="6" state="visible" r:id="rId6"/>
    <sheet name="Contribution Coding" sheetId="7" state="visible" r:id="rId7"/>
    <sheet name="Calc" sheetId="8" state="visible" r:id="rId8"/>
    <sheet name="Review Queue" sheetId="9" state="visible" r:id="rId9"/>
    <sheet name="Data" sheetId="10" state="visible" r:id="rId10"/>
    <sheet name="Formula Checks" sheetId="11" state="visible" r:id="rId11"/>
  </sheets>
  <definedNames>
    <definedName name="_xlnm._FilterDatabase" localSheetId="0" hidden="1">'Summary'!$A$1:$B$8</definedName>
    <definedName name="_xlnm._FilterDatabase" localSheetId="1" hidden="1">'Scoring'!$A$1:$N$113</definedName>
    <definedName name="_xlnm._FilterDatabase" localSheetId="2" hidden="1">'Metric Rules'!$A$1:$F$20</definedName>
    <definedName name="_xlnm._FilterDatabase" localSheetId="3" hidden="1">'Parameters'!$A$1:$F$13</definedName>
    <definedName name="_xlnm._FilterDatabase" localSheetId="4" hidden="1">'Verification'!$A$1:$M$113</definedName>
    <definedName name="_xlnm._FilterDatabase" localSheetId="5" hidden="1">'Activity Coding'!$A$1:$AD$113</definedName>
    <definedName name="_xlnm._FilterDatabase" localSheetId="6" hidden="1">'Contribution Coding'!$A$1:$M$113</definedName>
    <definedName name="_xlnm._FilterDatabase" localSheetId="7" hidden="1">'Calc'!$A$1:$L$113</definedName>
    <definedName name="_xlnm._FilterDatabase" localSheetId="8" hidden="1">'Review Queue'!$A$1:$E$309</definedName>
    <definedName name="_xlnm._FilterDatabase" localSheetId="9" hidden="1">'Data'!$A$1:$T$113</definedName>
    <definedName name="_xlnm._FilterDatabase" localSheetId="10" hidden="1">'Formula Checks'!$A$1:$C$8</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s="1" t="inlineStr">
        <is>
          <t>Community Analysis equal-metric scoring summary</t>
        </is>
      </c>
      <c r="B1" s="1" t="n"/>
    </row>
    <row r="2">
      <c r="A2" s="2" t="inlineStr">
        <is>
          <t>Services in source snapshot</t>
        </is>
      </c>
      <c r="B2" s="2" t="n">
        <v>112</v>
      </c>
    </row>
    <row r="3">
      <c r="A3" s="2" t="inlineStr">
        <is>
          <t>Metric set</t>
        </is>
      </c>
      <c r="B3" s="2" t="inlineStr">
        <is>
          <t>E1, E2, C1, C2, C3, N1; six equally weighted metrics</t>
        </is>
      </c>
    </row>
    <row r="4">
      <c r="A4" s="2" t="inlineStr">
        <is>
          <t>Weight per metric</t>
        </is>
      </c>
      <c r="B4" s="2" t="inlineStr">
        <is>
          <t>1/6 = 16.6667% (displayed 16.67%)</t>
        </is>
      </c>
    </row>
    <row r="5">
      <c r="A5" s="2" t="inlineStr">
        <is>
          <t>Scored services</t>
        </is>
      </c>
      <c r="B5" s="2">
        <f>COUNT(Scoring!K2:K113)</f>
        <v/>
      </c>
    </row>
    <row r="6">
      <c r="A6" s="2" t="inlineStr">
        <is>
          <t>Mean score</t>
        </is>
      </c>
      <c r="B6" s="2">
        <f>IFERROR(AVERAGE(Scoring!K2:K113),"")</f>
        <v/>
      </c>
    </row>
    <row r="7">
      <c r="A7" s="2" t="inlineStr">
        <is>
          <t>Scoring rule</t>
        </is>
      </c>
      <c r="B7" s="2" t="inlineStr">
        <is>
          <t>Equal arithmetic mean of all six metrics; every unavailable metric is scored as 0. No coverage eligibility gate.</t>
        </is>
      </c>
    </row>
    <row r="8">
      <c r="A8" s="2" t="inlineStr">
        <is>
          <t>Interpretation</t>
        </is>
      </c>
      <c r="B8" s="2" t="inlineStr">
        <is>
          <t>Zero-filled scores are conservative evidence-adjusted results; zero due to unavailable data does not establish zero underlying performance.</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5" customWidth="1" min="3" max="3"/>
    <col width="48" customWidth="1" min="4" max="4"/>
    <col width="48" customWidth="1" min="5" max="5"/>
    <col width="48" customWidth="1" min="6" max="6"/>
    <col width="48" customWidth="1" min="7" max="7"/>
    <col width="48" customWidth="1" min="8" max="8"/>
    <col width="48" customWidth="1" min="9" max="9"/>
    <col width="33" customWidth="1" min="10" max="10"/>
    <col width="45" customWidth="1" min="11" max="11"/>
    <col width="29" customWidth="1" min="12" max="12"/>
    <col width="35" customWidth="1" min="13" max="13"/>
    <col width="70" customWidth="1" min="14" max="14"/>
  </cols>
  <sheetData>
    <row r="1">
      <c r="A1" s="1" t="inlineStr">
        <is>
          <t>Service</t>
        </is>
      </c>
      <c r="B1" s="1" t="inlineStr">
        <is>
          <t>Provider</t>
        </is>
      </c>
      <c r="C1" s="1" t="inlineStr">
        <is>
          <t>Solution category</t>
        </is>
      </c>
      <c r="D1" s="1" t="inlineStr">
        <is>
          <t>E1</t>
        </is>
      </c>
      <c r="E1" s="1" t="inlineStr">
        <is>
          <t>E2</t>
        </is>
      </c>
      <c r="F1" s="1" t="inlineStr">
        <is>
          <t>C1</t>
        </is>
      </c>
      <c r="G1" s="1" t="inlineStr">
        <is>
          <t>C2</t>
        </is>
      </c>
      <c r="H1" s="1" t="inlineStr">
        <is>
          <t>C3</t>
        </is>
      </c>
      <c r="I1" s="1" t="inlineStr">
        <is>
          <t>N1</t>
        </is>
      </c>
      <c r="J1" s="1" t="inlineStr">
        <is>
          <t>Metrics with source data (of 6)</t>
        </is>
      </c>
      <c r="K1" s="1" t="inlineStr">
        <is>
          <t>Community Analysis score (0-100; missing=0)</t>
        </is>
      </c>
      <c r="L1" s="1" t="inlineStr">
        <is>
          <t>Missing metrics scored as 0</t>
        </is>
      </c>
      <c r="M1" s="1" t="inlineStr">
        <is>
          <t>Review status</t>
        </is>
      </c>
      <c r="N1" s="1" t="inlineStr">
        <is>
          <t>Data-quality flags</t>
        </is>
      </c>
    </row>
    <row r="2">
      <c r="A2" s="2" t="inlineStr">
        <is>
          <t>2i2c</t>
        </is>
      </c>
      <c r="B2" s="2" t="inlineStr">
        <is>
          <t>Code for Science and Society</t>
        </is>
      </c>
      <c r="C2" s="2" t="inlineStr">
        <is>
          <t>Authoring tool</t>
        </is>
      </c>
      <c r="D2" s="2">
        <f>IF(ISNUMBER(Verification!B2),Verification!B2,IF(Calc!B2="",0,Calc!B2))</f>
        <v/>
      </c>
      <c r="E2" s="2">
        <f>IF(ISNUMBER(Verification!C2),Verification!C2,IF(Calc!C2="",0,Calc!C2))</f>
        <v/>
      </c>
      <c r="F2" s="2">
        <f>IF(ISNUMBER(Verification!D2),Verification!D2,IF(Calc!D2="",0,Calc!D2))</f>
        <v/>
      </c>
      <c r="G2" s="2">
        <f>IF(ISNUMBER(Verification!E2),Verification!E2,IF(Calc!E2="",0,Calc!E2))</f>
        <v/>
      </c>
      <c r="H2" s="2">
        <f>IF(ISNUMBER(Verification!F2),Verification!F2,IF(Calc!F2="",0,Calc!F2))</f>
        <v/>
      </c>
      <c r="I2" s="2">
        <f>IF(ISNUMBER(Verification!G2),Verification!G2,IF(Calc!G2="",0,Calc!G2))</f>
        <v/>
      </c>
      <c r="J2" s="2">
        <f>COUNT(Calc!B2:G2)</f>
        <v/>
      </c>
      <c r="K2" s="2">
        <f>AVERAGE(D2:I2)</f>
        <v/>
      </c>
      <c r="L2" s="2">
        <f>6-J2</f>
        <v/>
      </c>
      <c r="M2" s="2">
        <f>IF(COUNTIF(Verification!H2:L2,"Review*")&gt;0,"Scored - coding review","Scored")</f>
        <v/>
      </c>
      <c r="N2" s="2" t="inlineStr">
        <is>
          <t>938 coding requires reviewer confirmation; 019 scored from populated repository field; 043 evidence URL should be checked; not scored separately; 116 retained as source evidence only; not scored; 2 unavailable metric(s) scored as 0</t>
        </is>
      </c>
    </row>
    <row r="3">
      <c r="A3" s="2" t="inlineStr">
        <is>
          <t>Academic Preservation Trust (APTrust)</t>
        </is>
      </c>
      <c r="B3" s="2" t="inlineStr">
        <is>
          <t>Academic Preservation Trust (APTrust)</t>
        </is>
      </c>
      <c r="C3" s="2" t="inlineStr">
        <is>
          <t>Digital preservation service</t>
        </is>
      </c>
      <c r="D3" s="2">
        <f>IF(ISNUMBER(Verification!B3),Verification!B3,IF(Calc!B3="",0,Calc!B3))</f>
        <v/>
      </c>
      <c r="E3" s="2">
        <f>IF(ISNUMBER(Verification!C3),Verification!C3,IF(Calc!C3="",0,Calc!C3))</f>
        <v/>
      </c>
      <c r="F3" s="2">
        <f>IF(ISNUMBER(Verification!D3),Verification!D3,IF(Calc!D3="",0,Calc!D3))</f>
        <v/>
      </c>
      <c r="G3" s="2">
        <f>IF(ISNUMBER(Verification!E3),Verification!E3,IF(Calc!E3="",0,Calc!E3))</f>
        <v/>
      </c>
      <c r="H3" s="2">
        <f>IF(ISNUMBER(Verification!F3),Verification!F3,IF(Calc!F3="",0,Calc!F3))</f>
        <v/>
      </c>
      <c r="I3" s="2">
        <f>IF(ISNUMBER(Verification!G3),Verification!G3,IF(Calc!G3="",0,Calc!G3))</f>
        <v/>
      </c>
      <c r="J3" s="2">
        <f>COUNT(Calc!B3:G3)</f>
        <v/>
      </c>
      <c r="K3" s="2">
        <f>AVERAGE(D3:I3)</f>
        <v/>
      </c>
      <c r="L3" s="2">
        <f>6-J3</f>
        <v/>
      </c>
      <c r="M3" s="2">
        <f>IF(COUNTIF(Verification!H3:L3,"Review*")&gt;0,"Scored - coding review","Scored")</f>
        <v/>
      </c>
      <c r="N3" s="2" t="inlineStr">
        <is>
          <t>041 scored from available URL tier; 019 scored from populated repository field; 043 evidence URL should be checked; not scored separately; 116 retained as source evidence only; not scored</t>
        </is>
      </c>
    </row>
    <row r="4">
      <c r="A4" s="2" t="inlineStr">
        <is>
          <t>AfricArXiv</t>
        </is>
      </c>
      <c r="B4" s="2" t="inlineStr">
        <is>
          <t>UbuntuNet Alliance</t>
        </is>
      </c>
      <c r="C4" s="2" t="inlineStr">
        <is>
          <t>Repository service</t>
        </is>
      </c>
      <c r="D4" s="2">
        <f>IF(ISNUMBER(Verification!B4),Verification!B4,IF(Calc!B4="",0,Calc!B4))</f>
        <v/>
      </c>
      <c r="E4" s="2">
        <f>IF(ISNUMBER(Verification!C4),Verification!C4,IF(Calc!C4="",0,Calc!C4))</f>
        <v/>
      </c>
      <c r="F4" s="2">
        <f>IF(ISNUMBER(Verification!D4),Verification!D4,IF(Calc!D4="",0,Calc!D4))</f>
        <v/>
      </c>
      <c r="G4" s="2">
        <f>IF(ISNUMBER(Verification!E4),Verification!E4,IF(Calc!E4="",0,Calc!E4))</f>
        <v/>
      </c>
      <c r="H4" s="2">
        <f>IF(ISNUMBER(Verification!F4),Verification!F4,IF(Calc!F4="",0,Calc!F4))</f>
        <v/>
      </c>
      <c r="I4" s="2">
        <f>IF(ISNUMBER(Verification!G4),Verification!G4,IF(Calc!G4="",0,Calc!G4))</f>
        <v/>
      </c>
      <c r="J4" s="2">
        <f>COUNT(Calc!B4:G4)</f>
        <v/>
      </c>
      <c r="K4" s="2">
        <f>AVERAGE(D4:I4)</f>
        <v/>
      </c>
      <c r="L4" s="2">
        <f>6-J4</f>
        <v/>
      </c>
      <c r="M4" s="2">
        <f>IF(COUNTIF(Verification!H4:L4,"Review*")&gt;0,"Scored - coding review","Scored")</f>
        <v/>
      </c>
      <c r="N4" s="2" t="inlineStr">
        <is>
          <t>043 evidence URL should be checked; not scored separately; 4 unavailable metric(s) scored as 0</t>
        </is>
      </c>
    </row>
    <row r="5">
      <c r="A5" s="2" t="inlineStr">
        <is>
          <t>Arches Heritage Data Management Platform</t>
        </is>
      </c>
      <c r="B5" s="2" t="inlineStr">
        <is>
          <t>Getty Conservation Institute (GCI)</t>
        </is>
      </c>
      <c r="C5" s="2" t="inlineStr">
        <is>
          <t>Data management planning tool or service</t>
        </is>
      </c>
      <c r="D5" s="2">
        <f>IF(ISNUMBER(Verification!B5),Verification!B5,IF(Calc!B5="",0,Calc!B5))</f>
        <v/>
      </c>
      <c r="E5" s="2">
        <f>IF(ISNUMBER(Verification!C5),Verification!C5,IF(Calc!C5="",0,Calc!C5))</f>
        <v/>
      </c>
      <c r="F5" s="2">
        <f>IF(ISNUMBER(Verification!D5),Verification!D5,IF(Calc!D5="",0,Calc!D5))</f>
        <v/>
      </c>
      <c r="G5" s="2">
        <f>IF(ISNUMBER(Verification!E5),Verification!E5,IF(Calc!E5="",0,Calc!E5))</f>
        <v/>
      </c>
      <c r="H5" s="2">
        <f>IF(ISNUMBER(Verification!F5),Verification!F5,IF(Calc!F5="",0,Calc!F5))</f>
        <v/>
      </c>
      <c r="I5" s="2">
        <f>IF(ISNUMBER(Verification!G5),Verification!G5,IF(Calc!G5="",0,Calc!G5))</f>
        <v/>
      </c>
      <c r="J5" s="2">
        <f>COUNT(Calc!B5:G5)</f>
        <v/>
      </c>
      <c r="K5" s="2">
        <f>AVERAGE(D5:I5)</f>
        <v/>
      </c>
      <c r="L5" s="2">
        <f>6-J5</f>
        <v/>
      </c>
      <c r="M5" s="2">
        <f>IF(COUNTIF(Verification!H5:L5,"Review*")&gt;0,"Scored - coding review","Scored")</f>
        <v/>
      </c>
      <c r="N5" s="2" t="inlineStr">
        <is>
          <t>041 scored from available URL tier; 019 scored from populated repository field; 043 evidence URL should be checked; not scored separately; 116 retained as source evidence only; not scored; 2 unavailable metric(s) scored as 0</t>
        </is>
      </c>
    </row>
    <row r="6">
      <c r="A6" s="2" t="inlineStr">
        <is>
          <t>Archipelago Commons</t>
        </is>
      </c>
      <c r="B6" s="2" t="inlineStr">
        <is>
          <t>Metropolitan New York Library Council</t>
        </is>
      </c>
      <c r="C6" s="2" t="inlineStr">
        <is>
          <t>Digital library, collection or exhibit platform | Repository software</t>
        </is>
      </c>
      <c r="D6" s="2">
        <f>IF(ISNUMBER(Verification!B6),Verification!B6,IF(Calc!B6="",0,Calc!B6))</f>
        <v/>
      </c>
      <c r="E6" s="2">
        <f>IF(ISNUMBER(Verification!C6),Verification!C6,IF(Calc!C6="",0,Calc!C6))</f>
        <v/>
      </c>
      <c r="F6" s="2">
        <f>IF(ISNUMBER(Verification!D6),Verification!D6,IF(Calc!D6="",0,Calc!D6))</f>
        <v/>
      </c>
      <c r="G6" s="2">
        <f>IF(ISNUMBER(Verification!E6),Verification!E6,IF(Calc!E6="",0,Calc!E6))</f>
        <v/>
      </c>
      <c r="H6" s="2">
        <f>IF(ISNUMBER(Verification!F6),Verification!F6,IF(Calc!F6="",0,Calc!F6))</f>
        <v/>
      </c>
      <c r="I6" s="2">
        <f>IF(ISNUMBER(Verification!G6),Verification!G6,IF(Calc!G6="",0,Calc!G6))</f>
        <v/>
      </c>
      <c r="J6" s="2">
        <f>COUNT(Calc!B6:G6)</f>
        <v/>
      </c>
      <c r="K6" s="2">
        <f>AVERAGE(D6:I6)</f>
        <v/>
      </c>
      <c r="L6" s="2">
        <f>6-J6</f>
        <v/>
      </c>
      <c r="M6" s="2">
        <f>IF(COUNTIF(Verification!H6:L6,"Review*")&gt;0,"Scored - coding review","Scored")</f>
        <v/>
      </c>
      <c r="N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inlineStr">
        <is>
          <t>ARK Alliance</t>
        </is>
      </c>
      <c r="C7" s="2" t="inlineStr">
        <is>
          <t>Standard, specification or protocol</t>
        </is>
      </c>
      <c r="D7" s="2">
        <f>IF(ISNUMBER(Verification!B7),Verification!B7,IF(Calc!B7="",0,Calc!B7))</f>
        <v/>
      </c>
      <c r="E7" s="2">
        <f>IF(ISNUMBER(Verification!C7),Verification!C7,IF(Calc!C7="",0,Calc!C7))</f>
        <v/>
      </c>
      <c r="F7" s="2">
        <f>IF(ISNUMBER(Verification!D7),Verification!D7,IF(Calc!D7="",0,Calc!D7))</f>
        <v/>
      </c>
      <c r="G7" s="2">
        <f>IF(ISNUMBER(Verification!E7),Verification!E7,IF(Calc!E7="",0,Calc!E7))</f>
        <v/>
      </c>
      <c r="H7" s="2">
        <f>IF(ISNUMBER(Verification!F7),Verification!F7,IF(Calc!F7="",0,Calc!F7))</f>
        <v/>
      </c>
      <c r="I7" s="2">
        <f>IF(ISNUMBER(Verification!G7),Verification!G7,IF(Calc!G7="",0,Calc!G7))</f>
        <v/>
      </c>
      <c r="J7" s="2">
        <f>COUNT(Calc!B7:G7)</f>
        <v/>
      </c>
      <c r="K7" s="2">
        <f>AVERAGE(D7:I7)</f>
        <v/>
      </c>
      <c r="L7" s="2">
        <f>6-J7</f>
        <v/>
      </c>
      <c r="M7" s="2">
        <f>IF(COUNTIF(Verification!H7:L7,"Review*")&gt;0,"Scored - coding review","Scored")</f>
        <v/>
      </c>
      <c r="N7" s="2" t="inlineStr">
        <is>
          <t>041 scored from available URL tier; 019 scored from populated repository field; 043 evidence URL should be checked; not scored separately; 116 retained as source evidence only; not scored; 1 unavailable metric(s) scored as 0</t>
        </is>
      </c>
    </row>
    <row r="8">
      <c r="A8" s="2" t="inlineStr">
        <is>
          <t>Archivematica</t>
        </is>
      </c>
      <c r="B8" s="2" t="inlineStr">
        <is>
          <t>Artefactual</t>
        </is>
      </c>
      <c r="C8" s="2" t="inlineStr">
        <is>
          <t>Digital preservation system</t>
        </is>
      </c>
      <c r="D8" s="2">
        <f>IF(ISNUMBER(Verification!B8),Verification!B8,IF(Calc!B8="",0,Calc!B8))</f>
        <v/>
      </c>
      <c r="E8" s="2">
        <f>IF(ISNUMBER(Verification!C8),Verification!C8,IF(Calc!C8="",0,Calc!C8))</f>
        <v/>
      </c>
      <c r="F8" s="2">
        <f>IF(ISNUMBER(Verification!D8),Verification!D8,IF(Calc!D8="",0,Calc!D8))</f>
        <v/>
      </c>
      <c r="G8" s="2">
        <f>IF(ISNUMBER(Verification!E8),Verification!E8,IF(Calc!E8="",0,Calc!E8))</f>
        <v/>
      </c>
      <c r="H8" s="2">
        <f>IF(ISNUMBER(Verification!F8),Verification!F8,IF(Calc!F8="",0,Calc!F8))</f>
        <v/>
      </c>
      <c r="I8" s="2">
        <f>IF(ISNUMBER(Verification!G8),Verification!G8,IF(Calc!G8="",0,Calc!G8))</f>
        <v/>
      </c>
      <c r="J8" s="2">
        <f>COUNT(Calc!B8:G8)</f>
        <v/>
      </c>
      <c r="K8" s="2">
        <f>AVERAGE(D8:I8)</f>
        <v/>
      </c>
      <c r="L8" s="2">
        <f>6-J8</f>
        <v/>
      </c>
      <c r="M8" s="2">
        <f>IF(COUNTIF(Verification!H8:L8,"Review*")&gt;0,"Scored - coding review","Scored")</f>
        <v/>
      </c>
      <c r="N8" s="2" t="inlineStr">
        <is>
          <t>041 scored from available URL tier; 019 scored from populated repository field; 043 evidence URL should be checked; not scored separately; 116 retained as source evidence only; not scored; 3 unavailable metric(s) scored as 0</t>
        </is>
      </c>
    </row>
    <row r="9">
      <c r="A9" s="2" t="inlineStr">
        <is>
          <t>ArchivesSpace</t>
        </is>
      </c>
      <c r="B9" s="2" t="inlineStr">
        <is>
          <t>ArchivesSpace</t>
        </is>
      </c>
      <c r="C9" s="2" t="inlineStr">
        <is>
          <t>Archive information management system | Discovery system</t>
        </is>
      </c>
      <c r="D9" s="2">
        <f>IF(ISNUMBER(Verification!B9),Verification!B9,IF(Calc!B9="",0,Calc!B9))</f>
        <v/>
      </c>
      <c r="E9" s="2">
        <f>IF(ISNUMBER(Verification!C9),Verification!C9,IF(Calc!C9="",0,Calc!C9))</f>
        <v/>
      </c>
      <c r="F9" s="2">
        <f>IF(ISNUMBER(Verification!D9),Verification!D9,IF(Calc!D9="",0,Calc!D9))</f>
        <v/>
      </c>
      <c r="G9" s="2">
        <f>IF(ISNUMBER(Verification!E9),Verification!E9,IF(Calc!E9="",0,Calc!E9))</f>
        <v/>
      </c>
      <c r="H9" s="2">
        <f>IF(ISNUMBER(Verification!F9),Verification!F9,IF(Calc!F9="",0,Calc!F9))</f>
        <v/>
      </c>
      <c r="I9" s="2">
        <f>IF(ISNUMBER(Verification!G9),Verification!G9,IF(Calc!G9="",0,Calc!G9))</f>
        <v/>
      </c>
      <c r="J9" s="2">
        <f>COUNT(Calc!B9:G9)</f>
        <v/>
      </c>
      <c r="K9" s="2">
        <f>AVERAGE(D9:I9)</f>
        <v/>
      </c>
      <c r="L9" s="2">
        <f>6-J9</f>
        <v/>
      </c>
      <c r="M9" s="2">
        <f>IF(COUNTIF(Verification!H9:L9,"Review*")&gt;0,"Scored - coding review","Scored")</f>
        <v/>
      </c>
      <c r="N9" s="2" t="inlineStr">
        <is>
          <t>041 scored from available URL tier; 019 scored from populated repository field; 043 evidence URL should be checked; not scored separately; 116 retained as source evidence only; not scored; 1 unavailable metric(s) scored as 0</t>
        </is>
      </c>
    </row>
    <row r="10">
      <c r="A10" s="2" t="inlineStr">
        <is>
          <t>ARGOS</t>
        </is>
      </c>
      <c r="B10" s="2" t="inlineStr">
        <is>
          <t>OpenAIRE</t>
        </is>
      </c>
      <c r="C10" s="2" t="inlineStr">
        <is>
          <t>Data management planning tool or service</t>
        </is>
      </c>
      <c r="D10" s="2">
        <f>IF(ISNUMBER(Verification!B10),Verification!B10,IF(Calc!B10="",0,Calc!B10))</f>
        <v/>
      </c>
      <c r="E10" s="2">
        <f>IF(ISNUMBER(Verification!C10),Verification!C10,IF(Calc!C10="",0,Calc!C10))</f>
        <v/>
      </c>
      <c r="F10" s="2">
        <f>IF(ISNUMBER(Verification!D10),Verification!D10,IF(Calc!D10="",0,Calc!D10))</f>
        <v/>
      </c>
      <c r="G10" s="2">
        <f>IF(ISNUMBER(Verification!E10),Verification!E10,IF(Calc!E10="",0,Calc!E10))</f>
        <v/>
      </c>
      <c r="H10" s="2">
        <f>IF(ISNUMBER(Verification!F10),Verification!F10,IF(Calc!F10="",0,Calc!F10))</f>
        <v/>
      </c>
      <c r="I10" s="2">
        <f>IF(ISNUMBER(Verification!G10),Verification!G10,IF(Calc!G10="",0,Calc!G10))</f>
        <v/>
      </c>
      <c r="J10" s="2">
        <f>COUNT(Calc!B10:G10)</f>
        <v/>
      </c>
      <c r="K10" s="2">
        <f>AVERAGE(D10:I10)</f>
        <v/>
      </c>
      <c r="L10" s="2">
        <f>6-J10</f>
        <v/>
      </c>
      <c r="M10" s="2">
        <f>IF(COUNTIF(Verification!H10:L10,"Review*")&gt;0,"Scored - coding review","Scored")</f>
        <v/>
      </c>
      <c r="N10" s="2" t="inlineStr">
        <is>
          <t>019 scored from populated repository field; 043 evidence URL should be checked; not scored separately; 116 retained as source evidence only; not scored; 2 unavailable metric(s) scored as 0</t>
        </is>
      </c>
    </row>
    <row r="11">
      <c r="A11" s="2" t="inlineStr">
        <is>
          <t>arXiv</t>
        </is>
      </c>
      <c r="B11" s="2" t="inlineStr">
        <is>
          <t>Cornell University</t>
        </is>
      </c>
      <c r="C11" s="2" t="inlineStr">
        <is>
          <t>Repository service</t>
        </is>
      </c>
      <c r="D11" s="2">
        <f>IF(ISNUMBER(Verification!B11),Verification!B11,IF(Calc!B11="",0,Calc!B11))</f>
        <v/>
      </c>
      <c r="E11" s="2">
        <f>IF(ISNUMBER(Verification!C11),Verification!C11,IF(Calc!C11="",0,Calc!C11))</f>
        <v/>
      </c>
      <c r="F11" s="2">
        <f>IF(ISNUMBER(Verification!D11),Verification!D11,IF(Calc!D11="",0,Calc!D11))</f>
        <v/>
      </c>
      <c r="G11" s="2">
        <f>IF(ISNUMBER(Verification!E11),Verification!E11,IF(Calc!E11="",0,Calc!E11))</f>
        <v/>
      </c>
      <c r="H11" s="2">
        <f>IF(ISNUMBER(Verification!F11),Verification!F11,IF(Calc!F11="",0,Calc!F11))</f>
        <v/>
      </c>
      <c r="I11" s="2">
        <f>IF(ISNUMBER(Verification!G11),Verification!G11,IF(Calc!G11="",0,Calc!G11))</f>
        <v/>
      </c>
      <c r="J11" s="2">
        <f>COUNT(Calc!B11:G11)</f>
        <v/>
      </c>
      <c r="K11" s="2">
        <f>AVERAGE(D11:I11)</f>
        <v/>
      </c>
      <c r="L11" s="2">
        <f>6-J11</f>
        <v/>
      </c>
      <c r="M11" s="2">
        <f>IF(COUNTIF(Verification!H11:L11,"Review*")&gt;0,"Scored - coding review","Scored")</f>
        <v/>
      </c>
      <c r="N11" s="2" t="inlineStr">
        <is>
          <t>938 coding requires reviewer confirmation; 041 scored from available URL tier; 019 scored from populated repository field; 043 evidence URL should be checked; not scored separately</t>
        </is>
      </c>
    </row>
    <row r="12">
      <c r="A12" s="2" t="inlineStr">
        <is>
          <t>AtoM</t>
        </is>
      </c>
      <c r="B12" s="2" t="inlineStr">
        <is>
          <t>Artefactual</t>
        </is>
      </c>
      <c r="C12" s="2" t="inlineStr">
        <is>
          <t>Archive information management system</t>
        </is>
      </c>
      <c r="D12" s="2">
        <f>IF(ISNUMBER(Verification!B12),Verification!B12,IF(Calc!B12="",0,Calc!B12))</f>
        <v/>
      </c>
      <c r="E12" s="2">
        <f>IF(ISNUMBER(Verification!C12),Verification!C12,IF(Calc!C12="",0,Calc!C12))</f>
        <v/>
      </c>
      <c r="F12" s="2">
        <f>IF(ISNUMBER(Verification!D12),Verification!D12,IF(Calc!D12="",0,Calc!D12))</f>
        <v/>
      </c>
      <c r="G12" s="2">
        <f>IF(ISNUMBER(Verification!E12),Verification!E12,IF(Calc!E12="",0,Calc!E12))</f>
        <v/>
      </c>
      <c r="H12" s="2">
        <f>IF(ISNUMBER(Verification!F12),Verification!F12,IF(Calc!F12="",0,Calc!F12))</f>
        <v/>
      </c>
      <c r="I12" s="2">
        <f>IF(ISNUMBER(Verification!G12),Verification!G12,IF(Calc!G12="",0,Calc!G12))</f>
        <v/>
      </c>
      <c r="J12" s="2">
        <f>COUNT(Calc!B12:G12)</f>
        <v/>
      </c>
      <c r="K12" s="2">
        <f>AVERAGE(D12:I12)</f>
        <v/>
      </c>
      <c r="L12" s="2">
        <f>6-J12</f>
        <v/>
      </c>
      <c r="M12" s="2">
        <f>IF(COUNTIF(Verification!H12:L12,"Review*")&gt;0,"Scored - coding review","Scored")</f>
        <v/>
      </c>
      <c r="N12" s="2" t="inlineStr">
        <is>
          <t>041 scored from available URL tier; 019 scored from populated repository field; 043 evidence URL should be checked; not scored separately; 4 unavailable metric(s) scored as 0</t>
        </is>
      </c>
    </row>
    <row r="13">
      <c r="A13" s="2" t="inlineStr">
        <is>
          <t>Avalon Media System</t>
        </is>
      </c>
      <c r="B13" s="2" t="inlineStr">
        <is>
          <t>Indiana University Libraries</t>
        </is>
      </c>
      <c r="C13" s="2" t="inlineStr">
        <is>
          <t>Digital library, collection or exhibit platform | Repository software</t>
        </is>
      </c>
      <c r="D13" s="2">
        <f>IF(ISNUMBER(Verification!B13),Verification!B13,IF(Calc!B13="",0,Calc!B13))</f>
        <v/>
      </c>
      <c r="E13" s="2">
        <f>IF(ISNUMBER(Verification!C13),Verification!C13,IF(Calc!C13="",0,Calc!C13))</f>
        <v/>
      </c>
      <c r="F13" s="2">
        <f>IF(ISNUMBER(Verification!D13),Verification!D13,IF(Calc!D13="",0,Calc!D13))</f>
        <v/>
      </c>
      <c r="G13" s="2">
        <f>IF(ISNUMBER(Verification!E13),Verification!E13,IF(Calc!E13="",0,Calc!E13))</f>
        <v/>
      </c>
      <c r="H13" s="2">
        <f>IF(ISNUMBER(Verification!F13),Verification!F13,IF(Calc!F13="",0,Calc!F13))</f>
        <v/>
      </c>
      <c r="I13" s="2">
        <f>IF(ISNUMBER(Verification!G13),Verification!G13,IF(Calc!G13="",0,Calc!G13))</f>
        <v/>
      </c>
      <c r="J13" s="2">
        <f>COUNT(Calc!B13:G13)</f>
        <v/>
      </c>
      <c r="K13" s="2">
        <f>AVERAGE(D13:I13)</f>
        <v/>
      </c>
      <c r="L13" s="2">
        <f>6-J13</f>
        <v/>
      </c>
      <c r="M13" s="2">
        <f>IF(COUNTIF(Verification!H13:L13,"Review*")&gt;0,"Scored - coding review","Scored")</f>
        <v/>
      </c>
      <c r="N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inlineStr">
        <is>
          <t>BHL Consortium</t>
        </is>
      </c>
      <c r="C14" s="2" t="inlineStr">
        <is>
          <t>Digital library, collection or exhibit platform | Open scholarly dataset | Repository service</t>
        </is>
      </c>
      <c r="D14" s="2">
        <f>IF(ISNUMBER(Verification!B14),Verification!B14,IF(Calc!B14="",0,Calc!B14))</f>
        <v/>
      </c>
      <c r="E14" s="2">
        <f>IF(ISNUMBER(Verification!C14),Verification!C14,IF(Calc!C14="",0,Calc!C14))</f>
        <v/>
      </c>
      <c r="F14" s="2">
        <f>IF(ISNUMBER(Verification!D14),Verification!D14,IF(Calc!D14="",0,Calc!D14))</f>
        <v/>
      </c>
      <c r="G14" s="2">
        <f>IF(ISNUMBER(Verification!E14),Verification!E14,IF(Calc!E14="",0,Calc!E14))</f>
        <v/>
      </c>
      <c r="H14" s="2">
        <f>IF(ISNUMBER(Verification!F14),Verification!F14,IF(Calc!F14="",0,Calc!F14))</f>
        <v/>
      </c>
      <c r="I14" s="2">
        <f>IF(ISNUMBER(Verification!G14),Verification!G14,IF(Calc!G14="",0,Calc!G14))</f>
        <v/>
      </c>
      <c r="J14" s="2">
        <f>COUNT(Calc!B14:G14)</f>
        <v/>
      </c>
      <c r="K14" s="2">
        <f>AVERAGE(D14:I14)</f>
        <v/>
      </c>
      <c r="L14" s="2">
        <f>6-J14</f>
        <v/>
      </c>
      <c r="M14" s="2">
        <f>IF(COUNTIF(Verification!H14:L14,"Review*")&gt;0,"Scored - coding review","Scored")</f>
        <v/>
      </c>
      <c r="N14" s="2" t="inlineStr">
        <is>
          <t>041 scored from available URL tier; 019 scored from populated repository field; 043 evidence URL should be checked; not scored separately; 116 retained as source evidence only; not scored</t>
        </is>
      </c>
    </row>
    <row r="15">
      <c r="A15" s="2" t="inlineStr">
        <is>
          <t>bioRxiv</t>
        </is>
      </c>
      <c r="B15" s="2" t="inlineStr">
        <is>
          <t>Cold Spring Harbor Laboratory</t>
        </is>
      </c>
      <c r="C15" s="2" t="inlineStr">
        <is>
          <t>Repository service</t>
        </is>
      </c>
      <c r="D15" s="2">
        <f>IF(ISNUMBER(Verification!B15),Verification!B15,IF(Calc!B15="",0,Calc!B15))</f>
        <v/>
      </c>
      <c r="E15" s="2">
        <f>IF(ISNUMBER(Verification!C15),Verification!C15,IF(Calc!C15="",0,Calc!C15))</f>
        <v/>
      </c>
      <c r="F15" s="2">
        <f>IF(ISNUMBER(Verification!D15),Verification!D15,IF(Calc!D15="",0,Calc!D15))</f>
        <v/>
      </c>
      <c r="G15" s="2">
        <f>IF(ISNUMBER(Verification!E15),Verification!E15,IF(Calc!E15="",0,Calc!E15))</f>
        <v/>
      </c>
      <c r="H15" s="2">
        <f>IF(ISNUMBER(Verification!F15),Verification!F15,IF(Calc!F15="",0,Calc!F15))</f>
        <v/>
      </c>
      <c r="I15" s="2">
        <f>IF(ISNUMBER(Verification!G15),Verification!G15,IF(Calc!G15="",0,Calc!G15))</f>
        <v/>
      </c>
      <c r="J15" s="2">
        <f>COUNT(Calc!B15:G15)</f>
        <v/>
      </c>
      <c r="K15" s="2">
        <f>AVERAGE(D15:I15)</f>
        <v/>
      </c>
      <c r="L15" s="2">
        <f>6-J15</f>
        <v/>
      </c>
      <c r="M15" s="2">
        <f>IF(COUNTIF(Verification!H15:L15,"Review*")&gt;0,"Scored - coding review","Scored")</f>
        <v/>
      </c>
      <c r="N15" s="2" t="inlineStr">
        <is>
          <t>938 coding requires reviewer confirmation; 3 unavailable metric(s) scored as 0</t>
        </is>
      </c>
    </row>
    <row r="16">
      <c r="A16" s="2" t="inlineStr">
        <is>
          <t>BitCurator Environment</t>
        </is>
      </c>
      <c r="B16" s="2" t="inlineStr">
        <is>
          <t>BitCurator Consortium</t>
        </is>
      </c>
      <c r="C16" s="2" t="inlineStr">
        <is>
          <t>Digital preservation tool</t>
        </is>
      </c>
      <c r="D16" s="2">
        <f>IF(ISNUMBER(Verification!B16),Verification!B16,IF(Calc!B16="",0,Calc!B16))</f>
        <v/>
      </c>
      <c r="E16" s="2">
        <f>IF(ISNUMBER(Verification!C16),Verification!C16,IF(Calc!C16="",0,Calc!C16))</f>
        <v/>
      </c>
      <c r="F16" s="2">
        <f>IF(ISNUMBER(Verification!D16),Verification!D16,IF(Calc!D16="",0,Calc!D16))</f>
        <v/>
      </c>
      <c r="G16" s="2">
        <f>IF(ISNUMBER(Verification!E16),Verification!E16,IF(Calc!E16="",0,Calc!E16))</f>
        <v/>
      </c>
      <c r="H16" s="2">
        <f>IF(ISNUMBER(Verification!F16),Verification!F16,IF(Calc!F16="",0,Calc!F16))</f>
        <v/>
      </c>
      <c r="I16" s="2">
        <f>IF(ISNUMBER(Verification!G16),Verification!G16,IF(Calc!G16="",0,Calc!G16))</f>
        <v/>
      </c>
      <c r="J16" s="2">
        <f>COUNT(Calc!B16:G16)</f>
        <v/>
      </c>
      <c r="K16" s="2">
        <f>AVERAGE(D16:I16)</f>
        <v/>
      </c>
      <c r="L16" s="2">
        <f>6-J16</f>
        <v/>
      </c>
      <c r="M16" s="2">
        <f>IF(COUNTIF(Verification!H16:L16,"Review*")&gt;0,"Scored - coding review","Scored")</f>
        <v/>
      </c>
      <c r="N16" s="2" t="inlineStr">
        <is>
          <t>041 scored from available URL tier; 019 scored from populated repository field; 043 evidence URL should be checked; not scored separately; 116 retained as source evidence only; not scored</t>
        </is>
      </c>
    </row>
    <row r="17">
      <c r="A17" s="2" t="inlineStr">
        <is>
          <t>Blacklight</t>
        </is>
      </c>
      <c r="B17" s="2" t="inlineStr">
        <is>
          <t>Blacklight</t>
        </is>
      </c>
      <c r="C17" s="2" t="inlineStr">
        <is>
          <t>Discovery system | Integrated Library System (ILS) or Library Services Platform (LSP)</t>
        </is>
      </c>
      <c r="D17" s="2">
        <f>IF(ISNUMBER(Verification!B17),Verification!B17,IF(Calc!B17="",0,Calc!B17))</f>
        <v/>
      </c>
      <c r="E17" s="2">
        <f>IF(ISNUMBER(Verification!C17),Verification!C17,IF(Calc!C17="",0,Calc!C17))</f>
        <v/>
      </c>
      <c r="F17" s="2">
        <f>IF(ISNUMBER(Verification!D17),Verification!D17,IF(Calc!D17="",0,Calc!D17))</f>
        <v/>
      </c>
      <c r="G17" s="2">
        <f>IF(ISNUMBER(Verification!E17),Verification!E17,IF(Calc!E17="",0,Calc!E17))</f>
        <v/>
      </c>
      <c r="H17" s="2">
        <f>IF(ISNUMBER(Verification!F17),Verification!F17,IF(Calc!F17="",0,Calc!F17))</f>
        <v/>
      </c>
      <c r="I17" s="2">
        <f>IF(ISNUMBER(Verification!G17),Verification!G17,IF(Calc!G17="",0,Calc!G17))</f>
        <v/>
      </c>
      <c r="J17" s="2">
        <f>COUNT(Calc!B17:G17)</f>
        <v/>
      </c>
      <c r="K17" s="2">
        <f>AVERAGE(D17:I17)</f>
        <v/>
      </c>
      <c r="L17" s="2">
        <f>6-J17</f>
        <v/>
      </c>
      <c r="M17" s="2">
        <f>IF(COUNTIF(Verification!H17:L17,"Review*")&gt;0,"Scored - coding review","Scored")</f>
        <v/>
      </c>
      <c r="N17" s="2" t="inlineStr">
        <is>
          <t>041 scored from available URL tier; 019 scored from populated repository field; 116 retained as source evidence only; not scored</t>
        </is>
      </c>
    </row>
    <row r="18">
      <c r="A18" s="2" t="inlineStr">
        <is>
          <t>BrCRIS</t>
        </is>
      </c>
      <c r="B18" s="2" t="inlineStr">
        <is>
          <t>IBICT</t>
        </is>
      </c>
      <c r="C18" s="2" t="inlineStr">
        <is>
          <t>Discovery system | Research profiling system</t>
        </is>
      </c>
      <c r="D18" s="2">
        <f>IF(ISNUMBER(Verification!B18),Verification!B18,IF(Calc!B18="",0,Calc!B18))</f>
        <v/>
      </c>
      <c r="E18" s="2">
        <f>IF(ISNUMBER(Verification!C18),Verification!C18,IF(Calc!C18="",0,Calc!C18))</f>
        <v/>
      </c>
      <c r="F18" s="2">
        <f>IF(ISNUMBER(Verification!D18),Verification!D18,IF(Calc!D18="",0,Calc!D18))</f>
        <v/>
      </c>
      <c r="G18" s="2">
        <f>IF(ISNUMBER(Verification!E18),Verification!E18,IF(Calc!E18="",0,Calc!E18))</f>
        <v/>
      </c>
      <c r="H18" s="2">
        <f>IF(ISNUMBER(Verification!F18),Verification!F18,IF(Calc!F18="",0,Calc!F18))</f>
        <v/>
      </c>
      <c r="I18" s="2">
        <f>IF(ISNUMBER(Verification!G18),Verification!G18,IF(Calc!G18="",0,Calc!G18))</f>
        <v/>
      </c>
      <c r="J18" s="2">
        <f>COUNT(Calc!B18:G18)</f>
        <v/>
      </c>
      <c r="K18" s="2">
        <f>AVERAGE(D18:I18)</f>
        <v/>
      </c>
      <c r="L18" s="2">
        <f>6-J18</f>
        <v/>
      </c>
      <c r="M18" s="2">
        <f>IF(COUNTIF(Verification!H18:L18,"Review*")&gt;0,"Scored - coding review","Scored")</f>
        <v/>
      </c>
      <c r="N18" s="2" t="inlineStr">
        <is>
          <t>019 scored from populated repository field; 043 evidence URL should be checked; not scored separately; 3 unavailable metric(s) scored as 0</t>
        </is>
      </c>
    </row>
    <row r="19">
      <c r="A19" s="2" t="inlineStr">
        <is>
          <t>Browsertrix</t>
        </is>
      </c>
      <c r="B19" s="2" t="inlineStr">
        <is>
          <t>Webrecorder</t>
        </is>
      </c>
      <c r="C19" s="2" t="inlineStr">
        <is>
          <t>Digital library, collection or exhibit platform | Web archiving system</t>
        </is>
      </c>
      <c r="D19" s="2">
        <f>IF(ISNUMBER(Verification!B19),Verification!B19,IF(Calc!B19="",0,Calc!B19))</f>
        <v/>
      </c>
      <c r="E19" s="2">
        <f>IF(ISNUMBER(Verification!C19),Verification!C19,IF(Calc!C19="",0,Calc!C19))</f>
        <v/>
      </c>
      <c r="F19" s="2">
        <f>IF(ISNUMBER(Verification!D19),Verification!D19,IF(Calc!D19="",0,Calc!D19))</f>
        <v/>
      </c>
      <c r="G19" s="2">
        <f>IF(ISNUMBER(Verification!E19),Verification!E19,IF(Calc!E19="",0,Calc!E19))</f>
        <v/>
      </c>
      <c r="H19" s="2">
        <f>IF(ISNUMBER(Verification!F19),Verification!F19,IF(Calc!F19="",0,Calc!F19))</f>
        <v/>
      </c>
      <c r="I19" s="2">
        <f>IF(ISNUMBER(Verification!G19),Verification!G19,IF(Calc!G19="",0,Calc!G19))</f>
        <v/>
      </c>
      <c r="J19" s="2">
        <f>COUNT(Calc!B19:G19)</f>
        <v/>
      </c>
      <c r="K19" s="2">
        <f>AVERAGE(D19:I19)</f>
        <v/>
      </c>
      <c r="L19" s="2">
        <f>6-J19</f>
        <v/>
      </c>
      <c r="M19" s="2">
        <f>IF(COUNTIF(Verification!H19:L19,"Review*")&gt;0,"Scored - coding review","Scored")</f>
        <v/>
      </c>
      <c r="N19" s="2" t="inlineStr">
        <is>
          <t>019 scored from populated repository field; 043 evidence URL should be checked; not scored separately; 116 retained as source evidence only; not scored; 1 unavailable metric(s) scored as 0</t>
        </is>
      </c>
    </row>
    <row r="20">
      <c r="A20" s="2" t="inlineStr">
        <is>
          <t>CLOCKSS</t>
        </is>
      </c>
      <c r="B20" s="2" t="inlineStr">
        <is>
          <t>CLOCKSS</t>
        </is>
      </c>
      <c r="C20" s="2" t="inlineStr">
        <is>
          <t>Digital preservation service</t>
        </is>
      </c>
      <c r="D20" s="2">
        <f>IF(ISNUMBER(Verification!B20),Verification!B20,IF(Calc!B20="",0,Calc!B20))</f>
        <v/>
      </c>
      <c r="E20" s="2">
        <f>IF(ISNUMBER(Verification!C20),Verification!C20,IF(Calc!C20="",0,Calc!C20))</f>
        <v/>
      </c>
      <c r="F20" s="2">
        <f>IF(ISNUMBER(Verification!D20),Verification!D20,IF(Calc!D20="",0,Calc!D20))</f>
        <v/>
      </c>
      <c r="G20" s="2">
        <f>IF(ISNUMBER(Verification!E20),Verification!E20,IF(Calc!E20="",0,Calc!E20))</f>
        <v/>
      </c>
      <c r="H20" s="2">
        <f>IF(ISNUMBER(Verification!F20),Verification!F20,IF(Calc!F20="",0,Calc!F20))</f>
        <v/>
      </c>
      <c r="I20" s="2">
        <f>IF(ISNUMBER(Verification!G20),Verification!G20,IF(Calc!G20="",0,Calc!G20))</f>
        <v/>
      </c>
      <c r="J20" s="2">
        <f>COUNT(Calc!B20:G20)</f>
        <v/>
      </c>
      <c r="K20" s="2">
        <f>AVERAGE(D20:I20)</f>
        <v/>
      </c>
      <c r="L20" s="2">
        <f>6-J20</f>
        <v/>
      </c>
      <c r="M20" s="2">
        <f>IF(COUNTIF(Verification!H20:L20,"Review*")&gt;0,"Scored - coding review","Scored")</f>
        <v/>
      </c>
      <c r="N20" s="2" t="inlineStr">
        <is>
          <t>019 scored from populated repository field; 116 retained as source evidence only; not scored; 3 unavailable metric(s) scored as 0</t>
        </is>
      </c>
    </row>
    <row r="21">
      <c r="A21" s="2" t="inlineStr">
        <is>
          <t>COAR International Repository Directory (IRD)</t>
        </is>
      </c>
      <c r="B21" s="2" t="inlineStr">
        <is>
          <t>COAR</t>
        </is>
      </c>
      <c r="C21" s="2" t="inlineStr">
        <is>
          <t>Index or directory</t>
        </is>
      </c>
      <c r="D21" s="2">
        <f>IF(ISNUMBER(Verification!B21),Verification!B21,IF(Calc!B21="",0,Calc!B21))</f>
        <v/>
      </c>
      <c r="E21" s="2">
        <f>IF(ISNUMBER(Verification!C21),Verification!C21,IF(Calc!C21="",0,Calc!C21))</f>
        <v/>
      </c>
      <c r="F21" s="2">
        <f>IF(ISNUMBER(Verification!D21),Verification!D21,IF(Calc!D21="",0,Calc!D21))</f>
        <v/>
      </c>
      <c r="G21" s="2">
        <f>IF(ISNUMBER(Verification!E21),Verification!E21,IF(Calc!E21="",0,Calc!E21))</f>
        <v/>
      </c>
      <c r="H21" s="2">
        <f>IF(ISNUMBER(Verification!F21),Verification!F21,IF(Calc!F21="",0,Calc!F21))</f>
        <v/>
      </c>
      <c r="I21" s="2">
        <f>IF(ISNUMBER(Verification!G21),Verification!G21,IF(Calc!G21="",0,Calc!G21))</f>
        <v/>
      </c>
      <c r="J21" s="2">
        <f>COUNT(Calc!B21:G21)</f>
        <v/>
      </c>
      <c r="K21" s="2">
        <f>AVERAGE(D21:I21)</f>
        <v/>
      </c>
      <c r="L21" s="2">
        <f>6-J21</f>
        <v/>
      </c>
      <c r="M21" s="2">
        <f>IF(COUNTIF(Verification!H21:L21,"Review*")&gt;0,"Scored - coding review","Scored")</f>
        <v/>
      </c>
      <c r="N21" s="2" t="inlineStr">
        <is>
          <t>041 scored from available URL tier; 019 scored from populated repository field; 116 retained as source evidence only; not scored</t>
        </is>
      </c>
    </row>
    <row r="22">
      <c r="A22" s="2" t="inlineStr">
        <is>
          <t>COAR Notify</t>
        </is>
      </c>
      <c r="B22" s="2" t="inlineStr">
        <is>
          <t>COAR</t>
        </is>
      </c>
      <c r="C22" s="2" t="inlineStr">
        <is>
          <t>Standard, specification or protocol</t>
        </is>
      </c>
      <c r="D22" s="2">
        <f>IF(ISNUMBER(Verification!B22),Verification!B22,IF(Calc!B22="",0,Calc!B22))</f>
        <v/>
      </c>
      <c r="E22" s="2">
        <f>IF(ISNUMBER(Verification!C22),Verification!C22,IF(Calc!C22="",0,Calc!C22))</f>
        <v/>
      </c>
      <c r="F22" s="2">
        <f>IF(ISNUMBER(Verification!D22),Verification!D22,IF(Calc!D22="",0,Calc!D22))</f>
        <v/>
      </c>
      <c r="G22" s="2">
        <f>IF(ISNUMBER(Verification!E22),Verification!E22,IF(Calc!E22="",0,Calc!E22))</f>
        <v/>
      </c>
      <c r="H22" s="2">
        <f>IF(ISNUMBER(Verification!F22),Verification!F22,IF(Calc!F22="",0,Calc!F22))</f>
        <v/>
      </c>
      <c r="I22" s="2">
        <f>IF(ISNUMBER(Verification!G22),Verification!G22,IF(Calc!G22="",0,Calc!G22))</f>
        <v/>
      </c>
      <c r="J22" s="2">
        <f>COUNT(Calc!B22:G22)</f>
        <v/>
      </c>
      <c r="K22" s="2">
        <f>AVERAGE(D22:I22)</f>
        <v/>
      </c>
      <c r="L22" s="2">
        <f>6-J22</f>
        <v/>
      </c>
      <c r="M22" s="2">
        <f>IF(COUNTIF(Verification!H22:L22,"Review*")&gt;0,"Scored - coding review","Scored")</f>
        <v/>
      </c>
      <c r="N22" s="2" t="inlineStr">
        <is>
          <t>041 scored from available URL tier; 019 scored from populated repository field; 116 retained as source evidence only; not scored</t>
        </is>
      </c>
    </row>
    <row r="23">
      <c r="A23" s="2" t="inlineStr">
        <is>
          <t>CollectiveAccess</t>
        </is>
      </c>
      <c r="B23" s="2" t="inlineStr">
        <is>
          <t>Whirl-i-Gig</t>
        </is>
      </c>
      <c r="C23" s="2" t="inlineStr">
        <is>
          <t>Archive information management system | Digital asset management system | Digital library, collection or exhibit platform</t>
        </is>
      </c>
      <c r="D23" s="2">
        <f>IF(ISNUMBER(Verification!B23),Verification!B23,IF(Calc!B23="",0,Calc!B23))</f>
        <v/>
      </c>
      <c r="E23" s="2">
        <f>IF(ISNUMBER(Verification!C23),Verification!C23,IF(Calc!C23="",0,Calc!C23))</f>
        <v/>
      </c>
      <c r="F23" s="2">
        <f>IF(ISNUMBER(Verification!D23),Verification!D23,IF(Calc!D23="",0,Calc!D23))</f>
        <v/>
      </c>
      <c r="G23" s="2">
        <f>IF(ISNUMBER(Verification!E23),Verification!E23,IF(Calc!E23="",0,Calc!E23))</f>
        <v/>
      </c>
      <c r="H23" s="2">
        <f>IF(ISNUMBER(Verification!F23),Verification!F23,IF(Calc!F23="",0,Calc!F23))</f>
        <v/>
      </c>
      <c r="I23" s="2">
        <f>IF(ISNUMBER(Verification!G23),Verification!G23,IF(Calc!G23="",0,Calc!G23))</f>
        <v/>
      </c>
      <c r="J23" s="2">
        <f>COUNT(Calc!B23:G23)</f>
        <v/>
      </c>
      <c r="K23" s="2">
        <f>AVERAGE(D23:I23)</f>
        <v/>
      </c>
      <c r="L23" s="2">
        <f>6-J23</f>
        <v/>
      </c>
      <c r="M23" s="2">
        <f>IF(COUNTIF(Verification!H23:L23,"Review*")&gt;0,"Scored - coding review","Scored")</f>
        <v/>
      </c>
      <c r="N23" s="2" t="inlineStr">
        <is>
          <t>041 scored from available URL tier; 019 scored from populated repository field; 043 evidence URL should be checked; not scored separately; 116 retained as source evidence only; not scored; 3 unavailable metric(s) scored as 0</t>
        </is>
      </c>
    </row>
    <row r="24">
      <c r="A24" s="2" t="inlineStr">
        <is>
          <t>CORE</t>
        </is>
      </c>
      <c r="B24" s="2" t="inlineStr">
        <is>
          <t>The Open University</t>
        </is>
      </c>
      <c r="C24" s="2" t="inlineStr">
        <is>
          <t>Discovery system</t>
        </is>
      </c>
      <c r="D24" s="2">
        <f>IF(ISNUMBER(Verification!B24),Verification!B24,IF(Calc!B24="",0,Calc!B24))</f>
        <v/>
      </c>
      <c r="E24" s="2">
        <f>IF(ISNUMBER(Verification!C24),Verification!C24,IF(Calc!C24="",0,Calc!C24))</f>
        <v/>
      </c>
      <c r="F24" s="2">
        <f>IF(ISNUMBER(Verification!D24),Verification!D24,IF(Calc!D24="",0,Calc!D24))</f>
        <v/>
      </c>
      <c r="G24" s="2">
        <f>IF(ISNUMBER(Verification!E24),Verification!E24,IF(Calc!E24="",0,Calc!E24))</f>
        <v/>
      </c>
      <c r="H24" s="2">
        <f>IF(ISNUMBER(Verification!F24),Verification!F24,IF(Calc!F24="",0,Calc!F24))</f>
        <v/>
      </c>
      <c r="I24" s="2">
        <f>IF(ISNUMBER(Verification!G24),Verification!G24,IF(Calc!G24="",0,Calc!G24))</f>
        <v/>
      </c>
      <c r="J24" s="2">
        <f>COUNT(Calc!B24:G24)</f>
        <v/>
      </c>
      <c r="K24" s="2">
        <f>AVERAGE(D24:I24)</f>
        <v/>
      </c>
      <c r="L24" s="2">
        <f>6-J24</f>
        <v/>
      </c>
      <c r="M24" s="2">
        <f>IF(COUNTIF(Verification!H24:L24,"Review*")&gt;0,"Scored - coding review","Scored")</f>
        <v/>
      </c>
      <c r="N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inlineStr">
        <is>
          <t>COUNTER Metrics</t>
        </is>
      </c>
      <c r="C25" s="2" t="inlineStr">
        <is>
          <t>Standard, specification or protocol</t>
        </is>
      </c>
      <c r="D25" s="2">
        <f>IF(ISNUMBER(Verification!B25),Verification!B25,IF(Calc!B25="",0,Calc!B25))</f>
        <v/>
      </c>
      <c r="E25" s="2">
        <f>IF(ISNUMBER(Verification!C25),Verification!C25,IF(Calc!C25="",0,Calc!C25))</f>
        <v/>
      </c>
      <c r="F25" s="2">
        <f>IF(ISNUMBER(Verification!D25),Verification!D25,IF(Calc!D25="",0,Calc!D25))</f>
        <v/>
      </c>
      <c r="G25" s="2">
        <f>IF(ISNUMBER(Verification!E25),Verification!E25,IF(Calc!E25="",0,Calc!E25))</f>
        <v/>
      </c>
      <c r="H25" s="2">
        <f>IF(ISNUMBER(Verification!F25),Verification!F25,IF(Calc!F25="",0,Calc!F25))</f>
        <v/>
      </c>
      <c r="I25" s="2">
        <f>IF(ISNUMBER(Verification!G25),Verification!G25,IF(Calc!G25="",0,Calc!G25))</f>
        <v/>
      </c>
      <c r="J25" s="2">
        <f>COUNT(Calc!B25:G25)</f>
        <v/>
      </c>
      <c r="K25" s="2">
        <f>AVERAGE(D25:I25)</f>
        <v/>
      </c>
      <c r="L25" s="2">
        <f>6-J25</f>
        <v/>
      </c>
      <c r="M25" s="2">
        <f>IF(COUNTIF(Verification!H25:L25,"Review*")&gt;0,"Scored - coding review","Scored")</f>
        <v/>
      </c>
      <c r="N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inlineStr">
        <is>
          <t>Creative Commons</t>
        </is>
      </c>
      <c r="C26" s="2" t="inlineStr">
        <is>
          <t>Standard, specification or protocol</t>
        </is>
      </c>
      <c r="D26" s="2">
        <f>IF(ISNUMBER(Verification!B26),Verification!B26,IF(Calc!B26="",0,Calc!B26))</f>
        <v/>
      </c>
      <c r="E26" s="2">
        <f>IF(ISNUMBER(Verification!C26),Verification!C26,IF(Calc!C26="",0,Calc!C26))</f>
        <v/>
      </c>
      <c r="F26" s="2">
        <f>IF(ISNUMBER(Verification!D26),Verification!D26,IF(Calc!D26="",0,Calc!D26))</f>
        <v/>
      </c>
      <c r="G26" s="2">
        <f>IF(ISNUMBER(Verification!E26),Verification!E26,IF(Calc!E26="",0,Calc!E26))</f>
        <v/>
      </c>
      <c r="H26" s="2">
        <f>IF(ISNUMBER(Verification!F26),Verification!F26,IF(Calc!F26="",0,Calc!F26))</f>
        <v/>
      </c>
      <c r="I26" s="2">
        <f>IF(ISNUMBER(Verification!G26),Verification!G26,IF(Calc!G26="",0,Calc!G26))</f>
        <v/>
      </c>
      <c r="J26" s="2">
        <f>COUNT(Calc!B26:G26)</f>
        <v/>
      </c>
      <c r="K26" s="2">
        <f>AVERAGE(D26:I26)</f>
        <v/>
      </c>
      <c r="L26" s="2">
        <f>6-J26</f>
        <v/>
      </c>
      <c r="M26" s="2">
        <f>IF(COUNTIF(Verification!H26:L26,"Review*")&gt;0,"Scored - coding review","Scored")</f>
        <v/>
      </c>
      <c r="N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inlineStr">
        <is>
          <t>Crossref</t>
        </is>
      </c>
      <c r="C27" s="2" t="inlineStr">
        <is>
          <t>Open scholarly dataset</t>
        </is>
      </c>
      <c r="D27" s="2">
        <f>IF(ISNUMBER(Verification!B27),Verification!B27,IF(Calc!B27="",0,Calc!B27))</f>
        <v/>
      </c>
      <c r="E27" s="2">
        <f>IF(ISNUMBER(Verification!C27),Verification!C27,IF(Calc!C27="",0,Calc!C27))</f>
        <v/>
      </c>
      <c r="F27" s="2">
        <f>IF(ISNUMBER(Verification!D27),Verification!D27,IF(Calc!D27="",0,Calc!D27))</f>
        <v/>
      </c>
      <c r="G27" s="2">
        <f>IF(ISNUMBER(Verification!E27),Verification!E27,IF(Calc!E27="",0,Calc!E27))</f>
        <v/>
      </c>
      <c r="H27" s="2">
        <f>IF(ISNUMBER(Verification!F27),Verification!F27,IF(Calc!F27="",0,Calc!F27))</f>
        <v/>
      </c>
      <c r="I27" s="2">
        <f>IF(ISNUMBER(Verification!G27),Verification!G27,IF(Calc!G27="",0,Calc!G27))</f>
        <v/>
      </c>
      <c r="J27" s="2">
        <f>COUNT(Calc!B27:G27)</f>
        <v/>
      </c>
      <c r="K27" s="2">
        <f>AVERAGE(D27:I27)</f>
        <v/>
      </c>
      <c r="L27" s="2">
        <f>6-J27</f>
        <v/>
      </c>
      <c r="M27" s="2">
        <f>IF(COUNTIF(Verification!H27:L27,"Review*")&gt;0,"Scored - coding review","Scored")</f>
        <v/>
      </c>
      <c r="N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inlineStr">
        <is>
          <t>National Research Council of Italy</t>
        </is>
      </c>
      <c r="C28" s="2" t="inlineStr">
        <is>
          <t>Computing framework | Informal scholarly communications | Repository service</t>
        </is>
      </c>
      <c r="D28" s="2">
        <f>IF(ISNUMBER(Verification!B28),Verification!B28,IF(Calc!B28="",0,Calc!B28))</f>
        <v/>
      </c>
      <c r="E28" s="2">
        <f>IF(ISNUMBER(Verification!C28),Verification!C28,IF(Calc!C28="",0,Calc!C28))</f>
        <v/>
      </c>
      <c r="F28" s="2">
        <f>IF(ISNUMBER(Verification!D28),Verification!D28,IF(Calc!D28="",0,Calc!D28))</f>
        <v/>
      </c>
      <c r="G28" s="2">
        <f>IF(ISNUMBER(Verification!E28),Verification!E28,IF(Calc!E28="",0,Calc!E28))</f>
        <v/>
      </c>
      <c r="H28" s="2">
        <f>IF(ISNUMBER(Verification!F28),Verification!F28,IF(Calc!F28="",0,Calc!F28))</f>
        <v/>
      </c>
      <c r="I28" s="2">
        <f>IF(ISNUMBER(Verification!G28),Verification!G28,IF(Calc!G28="",0,Calc!G28))</f>
        <v/>
      </c>
      <c r="J28" s="2">
        <f>COUNT(Calc!B28:G28)</f>
        <v/>
      </c>
      <c r="K28" s="2">
        <f>AVERAGE(D28:I28)</f>
        <v/>
      </c>
      <c r="L28" s="2">
        <f>6-J28</f>
        <v/>
      </c>
      <c r="M28" s="2">
        <f>IF(COUNTIF(Verification!H28:L28,"Review*")&gt;0,"Scored - coding review","Scored")</f>
        <v/>
      </c>
      <c r="N28" s="2" t="inlineStr">
        <is>
          <t>019 scored from populated repository field; 3 unavailable metric(s) scored as 0</t>
        </is>
      </c>
    </row>
    <row r="29">
      <c r="A29" s="2" t="inlineStr">
        <is>
          <t>DART (Digital Archivist's Resource Tool)</t>
        </is>
      </c>
      <c r="B29" s="2" t="inlineStr">
        <is>
          <t>Academic Preservation Trust (APTrust)</t>
        </is>
      </c>
      <c r="C29" s="2" t="inlineStr">
        <is>
          <t>Digital preservation tool</t>
        </is>
      </c>
      <c r="D29" s="2">
        <f>IF(ISNUMBER(Verification!B29),Verification!B29,IF(Calc!B29="",0,Calc!B29))</f>
        <v/>
      </c>
      <c r="E29" s="2">
        <f>IF(ISNUMBER(Verification!C29),Verification!C29,IF(Calc!C29="",0,Calc!C29))</f>
        <v/>
      </c>
      <c r="F29" s="2">
        <f>IF(ISNUMBER(Verification!D29),Verification!D29,IF(Calc!D29="",0,Calc!D29))</f>
        <v/>
      </c>
      <c r="G29" s="2">
        <f>IF(ISNUMBER(Verification!E29),Verification!E29,IF(Calc!E29="",0,Calc!E29))</f>
        <v/>
      </c>
      <c r="H29" s="2">
        <f>IF(ISNUMBER(Verification!F29),Verification!F29,IF(Calc!F29="",0,Calc!F29))</f>
        <v/>
      </c>
      <c r="I29" s="2">
        <f>IF(ISNUMBER(Verification!G29),Verification!G29,IF(Calc!G29="",0,Calc!G29))</f>
        <v/>
      </c>
      <c r="J29" s="2">
        <f>COUNT(Calc!B29:G29)</f>
        <v/>
      </c>
      <c r="K29" s="2">
        <f>AVERAGE(D29:I29)</f>
        <v/>
      </c>
      <c r="L29" s="2">
        <f>6-J29</f>
        <v/>
      </c>
      <c r="M29" s="2">
        <f>IF(COUNTIF(Verification!H29:L29,"Review*")&gt;0,"Scored - coding review","Scored")</f>
        <v/>
      </c>
      <c r="N29" s="2" t="inlineStr">
        <is>
          <t>041 scored from available URL tier; 019 scored from populated repository field; 116 retained as source evidence only; not scored; 1 unavailable metric(s) scored as 0</t>
        </is>
      </c>
    </row>
    <row r="30">
      <c r="A30" s="2" t="inlineStr">
        <is>
          <t>Database Information System</t>
        </is>
      </c>
      <c r="B30" s="2" t="inlineStr">
        <is>
          <t>University Library of Regensburg</t>
        </is>
      </c>
      <c r="C30" s="2" t="inlineStr">
        <is>
          <t>Discovery system | Index or directory</t>
        </is>
      </c>
      <c r="D30" s="2">
        <f>IF(ISNUMBER(Verification!B30),Verification!B30,IF(Calc!B30="",0,Calc!B30))</f>
        <v/>
      </c>
      <c r="E30" s="2">
        <f>IF(ISNUMBER(Verification!C30),Verification!C30,IF(Calc!C30="",0,Calc!C30))</f>
        <v/>
      </c>
      <c r="F30" s="2">
        <f>IF(ISNUMBER(Verification!D30),Verification!D30,IF(Calc!D30="",0,Calc!D30))</f>
        <v/>
      </c>
      <c r="G30" s="2">
        <f>IF(ISNUMBER(Verification!E30),Verification!E30,IF(Calc!E30="",0,Calc!E30))</f>
        <v/>
      </c>
      <c r="H30" s="2">
        <f>IF(ISNUMBER(Verification!F30),Verification!F30,IF(Calc!F30="",0,Calc!F30))</f>
        <v/>
      </c>
      <c r="I30" s="2">
        <f>IF(ISNUMBER(Verification!G30),Verification!G30,IF(Calc!G30="",0,Calc!G30))</f>
        <v/>
      </c>
      <c r="J30" s="2">
        <f>COUNT(Calc!B30:G30)</f>
        <v/>
      </c>
      <c r="K30" s="2">
        <f>AVERAGE(D30:I30)</f>
        <v/>
      </c>
      <c r="L30" s="2">
        <f>6-J30</f>
        <v/>
      </c>
      <c r="M30" s="2">
        <f>IF(COUNTIF(Verification!H30:L30,"Review*")&gt;0,"Scored - coding review","Scored")</f>
        <v/>
      </c>
      <c r="N30" s="2" t="inlineStr">
        <is>
          <t>019 scored from populated repository field; 1 unavailable metric(s) scored as 0</t>
        </is>
      </c>
    </row>
    <row r="31">
      <c r="A31" s="2" t="inlineStr">
        <is>
          <t>Data Citation Corpus</t>
        </is>
      </c>
      <c r="B31" s="2" t="inlineStr">
        <is>
          <t>Make Data Count</t>
        </is>
      </c>
      <c r="C31" s="2" t="inlineStr">
        <is>
          <t>Discovery system | Open scholarly dataset</t>
        </is>
      </c>
      <c r="D31" s="2">
        <f>IF(ISNUMBER(Verification!B31),Verification!B31,IF(Calc!B31="",0,Calc!B31))</f>
        <v/>
      </c>
      <c r="E31" s="2">
        <f>IF(ISNUMBER(Verification!C31),Verification!C31,IF(Calc!C31="",0,Calc!C31))</f>
        <v/>
      </c>
      <c r="F31" s="2">
        <f>IF(ISNUMBER(Verification!D31),Verification!D31,IF(Calc!D31="",0,Calc!D31))</f>
        <v/>
      </c>
      <c r="G31" s="2">
        <f>IF(ISNUMBER(Verification!E31),Verification!E31,IF(Calc!E31="",0,Calc!E31))</f>
        <v/>
      </c>
      <c r="H31" s="2">
        <f>IF(ISNUMBER(Verification!F31),Verification!F31,IF(Calc!F31="",0,Calc!F31))</f>
        <v/>
      </c>
      <c r="I31" s="2">
        <f>IF(ISNUMBER(Verification!G31),Verification!G31,IF(Calc!G31="",0,Calc!G31))</f>
        <v/>
      </c>
      <c r="J31" s="2">
        <f>COUNT(Calc!B31:G31)</f>
        <v/>
      </c>
      <c r="K31" s="2">
        <f>AVERAGE(D31:I31)</f>
        <v/>
      </c>
      <c r="L31" s="2">
        <f>6-J31</f>
        <v/>
      </c>
      <c r="M31" s="2">
        <f>IF(COUNTIF(Verification!H31:L31,"Review*")&gt;0,"Scored - coding review","Scored")</f>
        <v/>
      </c>
      <c r="N31" s="2" t="inlineStr">
        <is>
          <t>940 Other route requires reviewer confirmation; 041 scored from available URL tier; 019 scored from populated repository field; 116 retained as source evidence only; not scored</t>
        </is>
      </c>
    </row>
    <row r="32">
      <c r="A32" s="2" t="inlineStr">
        <is>
          <t>DataCite</t>
        </is>
      </c>
      <c r="B32" s="2" t="inlineStr">
        <is>
          <t>DataCite</t>
        </is>
      </c>
      <c r="C32" s="2" t="inlineStr">
        <is>
          <t>Discovery system | Persistent identifier service</t>
        </is>
      </c>
      <c r="D32" s="2">
        <f>IF(ISNUMBER(Verification!B32),Verification!B32,IF(Calc!B32="",0,Calc!B32))</f>
        <v/>
      </c>
      <c r="E32" s="2">
        <f>IF(ISNUMBER(Verification!C32),Verification!C32,IF(Calc!C32="",0,Calc!C32))</f>
        <v/>
      </c>
      <c r="F32" s="2">
        <f>IF(ISNUMBER(Verification!D32),Verification!D32,IF(Calc!D32="",0,Calc!D32))</f>
        <v/>
      </c>
      <c r="G32" s="2">
        <f>IF(ISNUMBER(Verification!E32),Verification!E32,IF(Calc!E32="",0,Calc!E32))</f>
        <v/>
      </c>
      <c r="H32" s="2">
        <f>IF(ISNUMBER(Verification!F32),Verification!F32,IF(Calc!F32="",0,Calc!F32))</f>
        <v/>
      </c>
      <c r="I32" s="2">
        <f>IF(ISNUMBER(Verification!G32),Verification!G32,IF(Calc!G32="",0,Calc!G32))</f>
        <v/>
      </c>
      <c r="J32" s="2">
        <f>COUNT(Calc!B32:G32)</f>
        <v/>
      </c>
      <c r="K32" s="2">
        <f>AVERAGE(D32:I32)</f>
        <v/>
      </c>
      <c r="L32" s="2">
        <f>6-J32</f>
        <v/>
      </c>
      <c r="M32" s="2">
        <f>IF(COUNTIF(Verification!H32:L32,"Review*")&gt;0,"Scored - coding review","Scored")</f>
        <v/>
      </c>
      <c r="N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inlineStr">
        <is>
          <t>DSW Team</t>
        </is>
      </c>
      <c r="C33" s="2" t="inlineStr">
        <is>
          <t>Data management planning tool or service</t>
        </is>
      </c>
      <c r="D33" s="2">
        <f>IF(ISNUMBER(Verification!B33),Verification!B33,IF(Calc!B33="",0,Calc!B33))</f>
        <v/>
      </c>
      <c r="E33" s="2">
        <f>IF(ISNUMBER(Verification!C33),Verification!C33,IF(Calc!C33="",0,Calc!C33))</f>
        <v/>
      </c>
      <c r="F33" s="2">
        <f>IF(ISNUMBER(Verification!D33),Verification!D33,IF(Calc!D33="",0,Calc!D33))</f>
        <v/>
      </c>
      <c r="G33" s="2">
        <f>IF(ISNUMBER(Verification!E33),Verification!E33,IF(Calc!E33="",0,Calc!E33))</f>
        <v/>
      </c>
      <c r="H33" s="2">
        <f>IF(ISNUMBER(Verification!F33),Verification!F33,IF(Calc!F33="",0,Calc!F33))</f>
        <v/>
      </c>
      <c r="I33" s="2">
        <f>IF(ISNUMBER(Verification!G33),Verification!G33,IF(Calc!G33="",0,Calc!G33))</f>
        <v/>
      </c>
      <c r="J33" s="2">
        <f>COUNT(Calc!B33:G33)</f>
        <v/>
      </c>
      <c r="K33" s="2">
        <f>AVERAGE(D33:I33)</f>
        <v/>
      </c>
      <c r="L33" s="2">
        <f>6-J33</f>
        <v/>
      </c>
      <c r="M33" s="2">
        <f>IF(COUNTIF(Verification!H33:L33,"Review*")&gt;0,"Scored - coding review","Scored")</f>
        <v/>
      </c>
      <c r="N33" s="2" t="inlineStr">
        <is>
          <t>041 scored from available URL tier; 019 scored from populated repository field; 043 evidence URL should be checked; not scored separately; 116 retained as source evidence only; not scored</t>
        </is>
      </c>
    </row>
    <row r="34">
      <c r="A34" s="2" t="inlineStr">
        <is>
          <t>Dataverse</t>
        </is>
      </c>
      <c r="B34" s="2" t="inlineStr">
        <is>
          <t>Harvard University Institute for Quantitative Social Science (IQSS)</t>
        </is>
      </c>
      <c r="C34" s="2" t="inlineStr">
        <is>
          <t>Repository software</t>
        </is>
      </c>
      <c r="D34" s="2">
        <f>IF(ISNUMBER(Verification!B34),Verification!B34,IF(Calc!B34="",0,Calc!B34))</f>
        <v/>
      </c>
      <c r="E34" s="2">
        <f>IF(ISNUMBER(Verification!C34),Verification!C34,IF(Calc!C34="",0,Calc!C34))</f>
        <v/>
      </c>
      <c r="F34" s="2">
        <f>IF(ISNUMBER(Verification!D34),Verification!D34,IF(Calc!D34="",0,Calc!D34))</f>
        <v/>
      </c>
      <c r="G34" s="2">
        <f>IF(ISNUMBER(Verification!E34),Verification!E34,IF(Calc!E34="",0,Calc!E34))</f>
        <v/>
      </c>
      <c r="H34" s="2">
        <f>IF(ISNUMBER(Verification!F34),Verification!F34,IF(Calc!F34="",0,Calc!F34))</f>
        <v/>
      </c>
      <c r="I34" s="2">
        <f>IF(ISNUMBER(Verification!G34),Verification!G34,IF(Calc!G34="",0,Calc!G34))</f>
        <v/>
      </c>
      <c r="J34" s="2">
        <f>COUNT(Calc!B34:G34)</f>
        <v/>
      </c>
      <c r="K34" s="2">
        <f>AVERAGE(D34:I34)</f>
        <v/>
      </c>
      <c r="L34" s="2">
        <f>6-J34</f>
        <v/>
      </c>
      <c r="M34" s="2">
        <f>IF(COUNTIF(Verification!H34:L34,"Review*")&gt;0,"Scored - coding review","Scored")</f>
        <v/>
      </c>
      <c r="N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inlineStr">
        <is>
          <t>DLCM Technology</t>
        </is>
      </c>
      <c r="C35" s="2" t="inlineStr">
        <is>
          <t>Archive information management system | Digital preservation system</t>
        </is>
      </c>
      <c r="D35" s="2">
        <f>IF(ISNUMBER(Verification!B35),Verification!B35,IF(Calc!B35="",0,Calc!B35))</f>
        <v/>
      </c>
      <c r="E35" s="2">
        <f>IF(ISNUMBER(Verification!C35),Verification!C35,IF(Calc!C35="",0,Calc!C35))</f>
        <v/>
      </c>
      <c r="F35" s="2">
        <f>IF(ISNUMBER(Verification!D35),Verification!D35,IF(Calc!D35="",0,Calc!D35))</f>
        <v/>
      </c>
      <c r="G35" s="2">
        <f>IF(ISNUMBER(Verification!E35),Verification!E35,IF(Calc!E35="",0,Calc!E35))</f>
        <v/>
      </c>
      <c r="H35" s="2">
        <f>IF(ISNUMBER(Verification!F35),Verification!F35,IF(Calc!F35="",0,Calc!F35))</f>
        <v/>
      </c>
      <c r="I35" s="2">
        <f>IF(ISNUMBER(Verification!G35),Verification!G35,IF(Calc!G35="",0,Calc!G35))</f>
        <v/>
      </c>
      <c r="J35" s="2">
        <f>COUNT(Calc!B35:G35)</f>
        <v/>
      </c>
      <c r="K35" s="2">
        <f>AVERAGE(D35:I35)</f>
        <v/>
      </c>
      <c r="L35" s="2">
        <f>6-J35</f>
        <v/>
      </c>
      <c r="M35" s="2">
        <f>IF(COUNTIF(Verification!H35:L35,"Review*")&gt;0,"Scored - coding review","Scored")</f>
        <v/>
      </c>
      <c r="N35" s="2" t="inlineStr">
        <is>
          <t>041 scored from available URL tier; 019 scored from populated repository field; 043 evidence URL should be checked; not scored separately; 116 retained as source evidence only; not scored; 1 unavailable metric(s) scored as 0</t>
        </is>
      </c>
    </row>
    <row r="36">
      <c r="A36" s="2" t="inlineStr">
        <is>
          <t>DLCM Portal</t>
        </is>
      </c>
      <c r="B36" s="2" t="inlineStr">
        <is>
          <t>DLCM Technology</t>
        </is>
      </c>
      <c r="C36" s="2" t="inlineStr">
        <is>
          <t>Archive information management system | Digital preservation system | Software preservation service</t>
        </is>
      </c>
      <c r="D36" s="2">
        <f>IF(ISNUMBER(Verification!B36),Verification!B36,IF(Calc!B36="",0,Calc!B36))</f>
        <v/>
      </c>
      <c r="E36" s="2">
        <f>IF(ISNUMBER(Verification!C36),Verification!C36,IF(Calc!C36="",0,Calc!C36))</f>
        <v/>
      </c>
      <c r="F36" s="2">
        <f>IF(ISNUMBER(Verification!D36),Verification!D36,IF(Calc!D36="",0,Calc!D36))</f>
        <v/>
      </c>
      <c r="G36" s="2">
        <f>IF(ISNUMBER(Verification!E36),Verification!E36,IF(Calc!E36="",0,Calc!E36))</f>
        <v/>
      </c>
      <c r="H36" s="2">
        <f>IF(ISNUMBER(Verification!F36),Verification!F36,IF(Calc!F36="",0,Calc!F36))</f>
        <v/>
      </c>
      <c r="I36" s="2">
        <f>IF(ISNUMBER(Verification!G36),Verification!G36,IF(Calc!G36="",0,Calc!G36))</f>
        <v/>
      </c>
      <c r="J36" s="2">
        <f>COUNT(Calc!B36:G36)</f>
        <v/>
      </c>
      <c r="K36" s="2">
        <f>AVERAGE(D36:I36)</f>
        <v/>
      </c>
      <c r="L36" s="2">
        <f>6-J36</f>
        <v/>
      </c>
      <c r="M36" s="2">
        <f>IF(COUNTIF(Verification!H36:L36,"Review*")&gt;0,"Scored - coding review","Scored")</f>
        <v/>
      </c>
      <c r="N36" s="2" t="inlineStr">
        <is>
          <t>041 scored from available URL tier; 019 scored from populated repository field; 043 evidence URL should be checked; not scored separately; 116 retained as source evidence only; not scored; 1 unavailable metric(s) scored as 0</t>
        </is>
      </c>
    </row>
    <row r="37">
      <c r="A37" s="2" t="inlineStr">
        <is>
          <t>DMP Tool</t>
        </is>
      </c>
      <c r="B37" s="2" t="inlineStr">
        <is>
          <t>California Digital Library</t>
        </is>
      </c>
      <c r="C37" s="2" t="inlineStr">
        <is>
          <t>Data management planning tool or service</t>
        </is>
      </c>
      <c r="D37" s="2">
        <f>IF(ISNUMBER(Verification!B37),Verification!B37,IF(Calc!B37="",0,Calc!B37))</f>
        <v/>
      </c>
      <c r="E37" s="2">
        <f>IF(ISNUMBER(Verification!C37),Verification!C37,IF(Calc!C37="",0,Calc!C37))</f>
        <v/>
      </c>
      <c r="F37" s="2">
        <f>IF(ISNUMBER(Verification!D37),Verification!D37,IF(Calc!D37="",0,Calc!D37))</f>
        <v/>
      </c>
      <c r="G37" s="2">
        <f>IF(ISNUMBER(Verification!E37),Verification!E37,IF(Calc!E37="",0,Calc!E37))</f>
        <v/>
      </c>
      <c r="H37" s="2">
        <f>IF(ISNUMBER(Verification!F37),Verification!F37,IF(Calc!F37="",0,Calc!F37))</f>
        <v/>
      </c>
      <c r="I37" s="2">
        <f>IF(ISNUMBER(Verification!G37),Verification!G37,IF(Calc!G37="",0,Calc!G37))</f>
        <v/>
      </c>
      <c r="J37" s="2">
        <f>COUNT(Calc!B37:G37)</f>
        <v/>
      </c>
      <c r="K37" s="2">
        <f>AVERAGE(D37:I37)</f>
        <v/>
      </c>
      <c r="L37" s="2">
        <f>6-J37</f>
        <v/>
      </c>
      <c r="M37" s="2">
        <f>IF(COUNTIF(Verification!H37:L37,"Review*")&gt;0,"Scored - coding review","Scored")</f>
        <v/>
      </c>
      <c r="N37" s="2" t="inlineStr">
        <is>
          <t>019 scored from populated repository field; 2 unavailable metric(s) scored as 0</t>
        </is>
      </c>
    </row>
    <row r="38">
      <c r="A38" s="2" t="inlineStr">
        <is>
          <t>DOAJ (Directory of Open Access Journals)</t>
        </is>
      </c>
      <c r="B38" s="2" t="inlineStr">
        <is>
          <t>DOAJ Foundation</t>
        </is>
      </c>
      <c r="C38" s="2" t="inlineStr">
        <is>
          <t>Discovery system | Index or directory | Open scholarly dataset</t>
        </is>
      </c>
      <c r="D38" s="2">
        <f>IF(ISNUMBER(Verification!B38),Verification!B38,IF(Calc!B38="",0,Calc!B38))</f>
        <v/>
      </c>
      <c r="E38" s="2">
        <f>IF(ISNUMBER(Verification!C38),Verification!C38,IF(Calc!C38="",0,Calc!C38))</f>
        <v/>
      </c>
      <c r="F38" s="2">
        <f>IF(ISNUMBER(Verification!D38),Verification!D38,IF(Calc!D38="",0,Calc!D38))</f>
        <v/>
      </c>
      <c r="G38" s="2">
        <f>IF(ISNUMBER(Verification!E38),Verification!E38,IF(Calc!E38="",0,Calc!E38))</f>
        <v/>
      </c>
      <c r="H38" s="2">
        <f>IF(ISNUMBER(Verification!F38),Verification!F38,IF(Calc!F38="",0,Calc!F38))</f>
        <v/>
      </c>
      <c r="I38" s="2">
        <f>IF(ISNUMBER(Verification!G38),Verification!G38,IF(Calc!G38="",0,Calc!G38))</f>
        <v/>
      </c>
      <c r="J38" s="2">
        <f>COUNT(Calc!B38:G38)</f>
        <v/>
      </c>
      <c r="K38" s="2">
        <f>AVERAGE(D38:I38)</f>
        <v/>
      </c>
      <c r="L38" s="2">
        <f>6-J38</f>
        <v/>
      </c>
      <c r="M38" s="2">
        <f>IF(COUNTIF(Verification!H38:L38,"Review*")&gt;0,"Scored - coding review","Scored")</f>
        <v/>
      </c>
      <c r="N38" s="2" t="inlineStr">
        <is>
          <t>938 coding requires reviewer confirmation; 940 Other route requires reviewer confirmation; 019 scored from populated repository field; 043 evidence URL should be checked; not scored separately; 1 unavailable metric(s) scored as 0</t>
        </is>
      </c>
    </row>
    <row r="39">
      <c r="A39" s="2" t="inlineStr">
        <is>
          <t>dokieli</t>
        </is>
      </c>
      <c r="B39" s="2" t="inlineStr">
        <is>
          <t>dokieli</t>
        </is>
      </c>
      <c r="C39" s="2" t="inlineStr">
        <is>
          <t>Annotations system | Authoring tool | Informal scholarly communications</t>
        </is>
      </c>
      <c r="D39" s="2">
        <f>IF(ISNUMBER(Verification!B39),Verification!B39,IF(Calc!B39="",0,Calc!B39))</f>
        <v/>
      </c>
      <c r="E39" s="2">
        <f>IF(ISNUMBER(Verification!C39),Verification!C39,IF(Calc!C39="",0,Calc!C39))</f>
        <v/>
      </c>
      <c r="F39" s="2">
        <f>IF(ISNUMBER(Verification!D39),Verification!D39,IF(Calc!D39="",0,Calc!D39))</f>
        <v/>
      </c>
      <c r="G39" s="2">
        <f>IF(ISNUMBER(Verification!E39),Verification!E39,IF(Calc!E39="",0,Calc!E39))</f>
        <v/>
      </c>
      <c r="H39" s="2">
        <f>IF(ISNUMBER(Verification!F39),Verification!F39,IF(Calc!F39="",0,Calc!F39))</f>
        <v/>
      </c>
      <c r="I39" s="2">
        <f>IF(ISNUMBER(Verification!G39),Verification!G39,IF(Calc!G39="",0,Calc!G39))</f>
        <v/>
      </c>
      <c r="J39" s="2">
        <f>COUNT(Calc!B39:G39)</f>
        <v/>
      </c>
      <c r="K39" s="2">
        <f>AVERAGE(D39:I39)</f>
        <v/>
      </c>
      <c r="L39" s="2">
        <f>6-J39</f>
        <v/>
      </c>
      <c r="M39" s="2">
        <f>IF(COUNTIF(Verification!H39:L39,"Review*")&gt;0,"Scored - coding review","Scored")</f>
        <v/>
      </c>
      <c r="N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inlineStr">
        <is>
          <t>Dryad</t>
        </is>
      </c>
      <c r="C40" s="2" t="inlineStr">
        <is>
          <t>Repository service</t>
        </is>
      </c>
      <c r="D40" s="2">
        <f>IF(ISNUMBER(Verification!B40),Verification!B40,IF(Calc!B40="",0,Calc!B40))</f>
        <v/>
      </c>
      <c r="E40" s="2">
        <f>IF(ISNUMBER(Verification!C40),Verification!C40,IF(Calc!C40="",0,Calc!C40))</f>
        <v/>
      </c>
      <c r="F40" s="2">
        <f>IF(ISNUMBER(Verification!D40),Verification!D40,IF(Calc!D40="",0,Calc!D40))</f>
        <v/>
      </c>
      <c r="G40" s="2">
        <f>IF(ISNUMBER(Verification!E40),Verification!E40,IF(Calc!E40="",0,Calc!E40))</f>
        <v/>
      </c>
      <c r="H40" s="2">
        <f>IF(ISNUMBER(Verification!F40),Verification!F40,IF(Calc!F40="",0,Calc!F40))</f>
        <v/>
      </c>
      <c r="I40" s="2">
        <f>IF(ISNUMBER(Verification!G40),Verification!G40,IF(Calc!G40="",0,Calc!G40))</f>
        <v/>
      </c>
      <c r="J40" s="2">
        <f>COUNT(Calc!B40:G40)</f>
        <v/>
      </c>
      <c r="K40" s="2">
        <f>AVERAGE(D40:I40)</f>
        <v/>
      </c>
      <c r="L40" s="2">
        <f>6-J40</f>
        <v/>
      </c>
      <c r="M40" s="2">
        <f>IF(COUNTIF(Verification!H40:L40,"Review*")&gt;0,"Scored - coding review","Scored")</f>
        <v/>
      </c>
      <c r="N40" s="2" t="inlineStr">
        <is>
          <t>938 coding requires reviewer confirmation; 019 scored from populated repository field; 043 evidence URL should be checked; not scored separately; 116 retained as source evidence only; not scored; 1 unavailable metric(s) scored as 0</t>
        </is>
      </c>
    </row>
    <row r="41">
      <c r="A41" s="2" t="inlineStr">
        <is>
          <t>DSpace</t>
        </is>
      </c>
      <c r="B41" s="2" t="inlineStr">
        <is>
          <t>Lyrasis</t>
        </is>
      </c>
      <c r="C41" s="2" t="inlineStr">
        <is>
          <t>Repository software</t>
        </is>
      </c>
      <c r="D41" s="2">
        <f>IF(ISNUMBER(Verification!B41),Verification!B41,IF(Calc!B41="",0,Calc!B41))</f>
        <v/>
      </c>
      <c r="E41" s="2">
        <f>IF(ISNUMBER(Verification!C41),Verification!C41,IF(Calc!C41="",0,Calc!C41))</f>
        <v/>
      </c>
      <c r="F41" s="2">
        <f>IF(ISNUMBER(Verification!D41),Verification!D41,IF(Calc!D41="",0,Calc!D41))</f>
        <v/>
      </c>
      <c r="G41" s="2">
        <f>IF(ISNUMBER(Verification!E41),Verification!E41,IF(Calc!E41="",0,Calc!E41))</f>
        <v/>
      </c>
      <c r="H41" s="2">
        <f>IF(ISNUMBER(Verification!F41),Verification!F41,IF(Calc!F41="",0,Calc!F41))</f>
        <v/>
      </c>
      <c r="I41" s="2">
        <f>IF(ISNUMBER(Verification!G41),Verification!G41,IF(Calc!G41="",0,Calc!G41))</f>
        <v/>
      </c>
      <c r="J41" s="2">
        <f>COUNT(Calc!B41:G41)</f>
        <v/>
      </c>
      <c r="K41" s="2">
        <f>AVERAGE(D41:I41)</f>
        <v/>
      </c>
      <c r="L41" s="2">
        <f>6-J41</f>
        <v/>
      </c>
      <c r="M41" s="2">
        <f>IF(COUNTIF(Verification!H41:L41,"Review*")&gt;0,"Scored - coding review","Scored")</f>
        <v/>
      </c>
      <c r="N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inlineStr">
        <is>
          <t>Lyrasis</t>
        </is>
      </c>
      <c r="C42" s="2" t="inlineStr">
        <is>
          <t>Digital preservation service | Digital preservation system | Digital preservation tool</t>
        </is>
      </c>
      <c r="D42" s="2">
        <f>IF(ISNUMBER(Verification!B42),Verification!B42,IF(Calc!B42="",0,Calc!B42))</f>
        <v/>
      </c>
      <c r="E42" s="2">
        <f>IF(ISNUMBER(Verification!C42),Verification!C42,IF(Calc!C42="",0,Calc!C42))</f>
        <v/>
      </c>
      <c r="F42" s="2">
        <f>IF(ISNUMBER(Verification!D42),Verification!D42,IF(Calc!D42="",0,Calc!D42))</f>
        <v/>
      </c>
      <c r="G42" s="2">
        <f>IF(ISNUMBER(Verification!E42),Verification!E42,IF(Calc!E42="",0,Calc!E42))</f>
        <v/>
      </c>
      <c r="H42" s="2">
        <f>IF(ISNUMBER(Verification!F42),Verification!F42,IF(Calc!F42="",0,Calc!F42))</f>
        <v/>
      </c>
      <c r="I42" s="2">
        <f>IF(ISNUMBER(Verification!G42),Verification!G42,IF(Calc!G42="",0,Calc!G42))</f>
        <v/>
      </c>
      <c r="J42" s="2">
        <f>COUNT(Calc!B42:G42)</f>
        <v/>
      </c>
      <c r="K42" s="2">
        <f>AVERAGE(D42:I42)</f>
        <v/>
      </c>
      <c r="L42" s="2">
        <f>6-J42</f>
        <v/>
      </c>
      <c r="M42" s="2">
        <f>IF(COUNTIF(Verification!H42:L42,"Review*")&gt;0,"Scored - coding review","Scored")</f>
        <v/>
      </c>
      <c r="N42" s="2" t="inlineStr">
        <is>
          <t>041 scored from available URL tier; 019 scored from populated repository field; 043 evidence URL should be checked; not scored separately; 2 unavailable metric(s) scored as 0</t>
        </is>
      </c>
    </row>
    <row r="43">
      <c r="A43" s="2" t="inlineStr">
        <is>
          <t>Episciences</t>
        </is>
      </c>
      <c r="B43" s="2" t="inlineStr">
        <is>
          <t>Center for Direct Scientific Communication (CCSD)</t>
        </is>
      </c>
      <c r="C43" s="2" t="inlineStr">
        <is>
          <t>Peer review system | Publishing system | Submissions system</t>
        </is>
      </c>
      <c r="D43" s="2">
        <f>IF(ISNUMBER(Verification!B43),Verification!B43,IF(Calc!B43="",0,Calc!B43))</f>
        <v/>
      </c>
      <c r="E43" s="2">
        <f>IF(ISNUMBER(Verification!C43),Verification!C43,IF(Calc!C43="",0,Calc!C43))</f>
        <v/>
      </c>
      <c r="F43" s="2">
        <f>IF(ISNUMBER(Verification!D43),Verification!D43,IF(Calc!D43="",0,Calc!D43))</f>
        <v/>
      </c>
      <c r="G43" s="2">
        <f>IF(ISNUMBER(Verification!E43),Verification!E43,IF(Calc!E43="",0,Calc!E43))</f>
        <v/>
      </c>
      <c r="H43" s="2">
        <f>IF(ISNUMBER(Verification!F43),Verification!F43,IF(Calc!F43="",0,Calc!F43))</f>
        <v/>
      </c>
      <c r="I43" s="2">
        <f>IF(ISNUMBER(Verification!G43),Verification!G43,IF(Calc!G43="",0,Calc!G43))</f>
        <v/>
      </c>
      <c r="J43" s="2">
        <f>COUNT(Calc!B43:G43)</f>
        <v/>
      </c>
      <c r="K43" s="2">
        <f>AVERAGE(D43:I43)</f>
        <v/>
      </c>
      <c r="L43" s="2">
        <f>6-J43</f>
        <v/>
      </c>
      <c r="M43" s="2">
        <f>IF(COUNTIF(Verification!H43:L43,"Review*")&gt;0,"Scored - coding review","Scored")</f>
        <v/>
      </c>
      <c r="N43" s="2" t="inlineStr">
        <is>
          <t>019 scored from populated repository field; 3 unavailable metric(s) scored as 0</t>
        </is>
      </c>
    </row>
    <row r="44">
      <c r="A44" s="2" t="inlineStr">
        <is>
          <t>EPrints</t>
        </is>
      </c>
      <c r="B44" s="2" t="inlineStr">
        <is>
          <t>EPrints Services</t>
        </is>
      </c>
      <c r="C44" s="2" t="inlineStr">
        <is>
          <t>Repository software</t>
        </is>
      </c>
      <c r="D44" s="2">
        <f>IF(ISNUMBER(Verification!B44),Verification!B44,IF(Calc!B44="",0,Calc!B44))</f>
        <v/>
      </c>
      <c r="E44" s="2">
        <f>IF(ISNUMBER(Verification!C44),Verification!C44,IF(Calc!C44="",0,Calc!C44))</f>
        <v/>
      </c>
      <c r="F44" s="2">
        <f>IF(ISNUMBER(Verification!D44),Verification!D44,IF(Calc!D44="",0,Calc!D44))</f>
        <v/>
      </c>
      <c r="G44" s="2">
        <f>IF(ISNUMBER(Verification!E44),Verification!E44,IF(Calc!E44="",0,Calc!E44))</f>
        <v/>
      </c>
      <c r="H44" s="2">
        <f>IF(ISNUMBER(Verification!F44),Verification!F44,IF(Calc!F44="",0,Calc!F44))</f>
        <v/>
      </c>
      <c r="I44" s="2">
        <f>IF(ISNUMBER(Verification!G44),Verification!G44,IF(Calc!G44="",0,Calc!G44))</f>
        <v/>
      </c>
      <c r="J44" s="2">
        <f>COUNT(Calc!B44:G44)</f>
        <v/>
      </c>
      <c r="K44" s="2">
        <f>AVERAGE(D44:I44)</f>
        <v/>
      </c>
      <c r="L44" s="2">
        <f>6-J44</f>
        <v/>
      </c>
      <c r="M44" s="2">
        <f>IF(COUNTIF(Verification!H44:L44,"Review*")&gt;0,"Scored - coding review","Scored")</f>
        <v/>
      </c>
      <c r="N44" s="2" t="inlineStr">
        <is>
          <t>041 scored from available URL tier; 019 scored from populated repository field; 116 retained as source evidence only; not scored; 3 unavailable metric(s) scored as 0</t>
        </is>
      </c>
    </row>
    <row r="45">
      <c r="A45" s="2" t="inlineStr">
        <is>
          <t>Érudit</t>
        </is>
      </c>
      <c r="B45" s="2" t="inlineStr">
        <is>
          <t>Érudit</t>
        </is>
      </c>
      <c r="C45" s="2" t="inlineStr">
        <is>
          <t>Discovery system | Publishing system | Repository software</t>
        </is>
      </c>
      <c r="D45" s="2">
        <f>IF(ISNUMBER(Verification!B45),Verification!B45,IF(Calc!B45="",0,Calc!B45))</f>
        <v/>
      </c>
      <c r="E45" s="2">
        <f>IF(ISNUMBER(Verification!C45),Verification!C45,IF(Calc!C45="",0,Calc!C45))</f>
        <v/>
      </c>
      <c r="F45" s="2">
        <f>IF(ISNUMBER(Verification!D45),Verification!D45,IF(Calc!D45="",0,Calc!D45))</f>
        <v/>
      </c>
      <c r="G45" s="2">
        <f>IF(ISNUMBER(Verification!E45),Verification!E45,IF(Calc!E45="",0,Calc!E45))</f>
        <v/>
      </c>
      <c r="H45" s="2">
        <f>IF(ISNUMBER(Verification!F45),Verification!F45,IF(Calc!F45="",0,Calc!F45))</f>
        <v/>
      </c>
      <c r="I45" s="2">
        <f>IF(ISNUMBER(Verification!G45),Verification!G45,IF(Calc!G45="",0,Calc!G45))</f>
        <v/>
      </c>
      <c r="J45" s="2">
        <f>COUNT(Calc!B45:G45)</f>
        <v/>
      </c>
      <c r="K45" s="2">
        <f>AVERAGE(D45:I45)</f>
        <v/>
      </c>
      <c r="L45" s="2">
        <f>6-J45</f>
        <v/>
      </c>
      <c r="M45" s="2">
        <f>IF(COUNTIF(Verification!H45:L45,"Review*")&gt;0,"Scored - coding review","Scored")</f>
        <v/>
      </c>
      <c r="N45" s="2" t="inlineStr">
        <is>
          <t>938 coding requires reviewer confirmation; 041 scored from available URL tier; 019 scored from populated repository field; 043 evidence URL should be checked; not scored separately; 116 retained as source evidence only; not scored; 1 unavailable metric(s) scored as 0</t>
        </is>
      </c>
    </row>
    <row r="46">
      <c r="A46" s="2" t="inlineStr">
        <is>
          <t>Europe PMC</t>
        </is>
      </c>
      <c r="B46" s="2" t="inlineStr">
        <is>
          <t>EMBL European Bioinformatics Institute (EMBL-EBI)</t>
        </is>
      </c>
      <c r="C46" s="2" t="inlineStr">
        <is>
          <t>Digital preservation system | Discovery system | Repository service</t>
        </is>
      </c>
      <c r="D46" s="2">
        <f>IF(ISNUMBER(Verification!B46),Verification!B46,IF(Calc!B46="",0,Calc!B46))</f>
        <v/>
      </c>
      <c r="E46" s="2">
        <f>IF(ISNUMBER(Verification!C46),Verification!C46,IF(Calc!C46="",0,Calc!C46))</f>
        <v/>
      </c>
      <c r="F46" s="2">
        <f>IF(ISNUMBER(Verification!D46),Verification!D46,IF(Calc!D46="",0,Calc!D46))</f>
        <v/>
      </c>
      <c r="G46" s="2">
        <f>IF(ISNUMBER(Verification!E46),Verification!E46,IF(Calc!E46="",0,Calc!E46))</f>
        <v/>
      </c>
      <c r="H46" s="2">
        <f>IF(ISNUMBER(Verification!F46),Verification!F46,IF(Calc!F46="",0,Calc!F46))</f>
        <v/>
      </c>
      <c r="I46" s="2">
        <f>IF(ISNUMBER(Verification!G46),Verification!G46,IF(Calc!G46="",0,Calc!G46))</f>
        <v/>
      </c>
      <c r="J46" s="2">
        <f>COUNT(Calc!B46:G46)</f>
        <v/>
      </c>
      <c r="K46" s="2">
        <f>AVERAGE(D46:I46)</f>
        <v/>
      </c>
      <c r="L46" s="2">
        <f>6-J46</f>
        <v/>
      </c>
      <c r="M46" s="2">
        <f>IF(COUNTIF(Verification!H46:L46,"Review*")&gt;0,"Scored - coding review","Scored")</f>
        <v/>
      </c>
      <c r="N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inlineStr">
        <is>
          <t>Codevence Solution s.r.o.</t>
        </is>
      </c>
      <c r="C47" s="2" t="inlineStr">
        <is>
          <t>Data management planning tool or service</t>
        </is>
      </c>
      <c r="D47" s="2">
        <f>IF(ISNUMBER(Verification!B47),Verification!B47,IF(Calc!B47="",0,Calc!B47))</f>
        <v/>
      </c>
      <c r="E47" s="2">
        <f>IF(ISNUMBER(Verification!C47),Verification!C47,IF(Calc!C47="",0,Calc!C47))</f>
        <v/>
      </c>
      <c r="F47" s="2">
        <f>IF(ISNUMBER(Verification!D47),Verification!D47,IF(Calc!D47="",0,Calc!D47))</f>
        <v/>
      </c>
      <c r="G47" s="2">
        <f>IF(ISNUMBER(Verification!E47),Verification!E47,IF(Calc!E47="",0,Calc!E47))</f>
        <v/>
      </c>
      <c r="H47" s="2">
        <f>IF(ISNUMBER(Verification!F47),Verification!F47,IF(Calc!F47="",0,Calc!F47))</f>
        <v/>
      </c>
      <c r="I47" s="2">
        <f>IF(ISNUMBER(Verification!G47),Verification!G47,IF(Calc!G47="",0,Calc!G47))</f>
        <v/>
      </c>
      <c r="J47" s="2">
        <f>COUNT(Calc!B47:G47)</f>
        <v/>
      </c>
      <c r="K47" s="2">
        <f>AVERAGE(D47:I47)</f>
        <v/>
      </c>
      <c r="L47" s="2">
        <f>6-J47</f>
        <v/>
      </c>
      <c r="M47" s="2">
        <f>IF(COUNTIF(Verification!H47:L47,"Review*")&gt;0,"Scored - coding review","Scored")</f>
        <v/>
      </c>
      <c r="N47" s="2" t="inlineStr">
        <is>
          <t>940 Other route requires reviewer confirmation; 116 retained as source evidence only; not scored; 2 unavailable metric(s) scored as 0</t>
        </is>
      </c>
    </row>
    <row r="48">
      <c r="A48" s="2" t="inlineStr">
        <is>
          <t>Fedora</t>
        </is>
      </c>
      <c r="B48" s="2" t="inlineStr">
        <is>
          <t>Lyrasis</t>
        </is>
      </c>
      <c r="C48" s="2" t="inlineStr">
        <is>
          <t>Repository software</t>
        </is>
      </c>
      <c r="D48" s="2">
        <f>IF(ISNUMBER(Verification!B48),Verification!B48,IF(Calc!B48="",0,Calc!B48))</f>
        <v/>
      </c>
      <c r="E48" s="2">
        <f>IF(ISNUMBER(Verification!C48),Verification!C48,IF(Calc!C48="",0,Calc!C48))</f>
        <v/>
      </c>
      <c r="F48" s="2">
        <f>IF(ISNUMBER(Verification!D48),Verification!D48,IF(Calc!D48="",0,Calc!D48))</f>
        <v/>
      </c>
      <c r="G48" s="2">
        <f>IF(ISNUMBER(Verification!E48),Verification!E48,IF(Calc!E48="",0,Calc!E48))</f>
        <v/>
      </c>
      <c r="H48" s="2">
        <f>IF(ISNUMBER(Verification!F48),Verification!F48,IF(Calc!F48="",0,Calc!F48))</f>
        <v/>
      </c>
      <c r="I48" s="2">
        <f>IF(ISNUMBER(Verification!G48),Verification!G48,IF(Calc!G48="",0,Calc!G48))</f>
        <v/>
      </c>
      <c r="J48" s="2">
        <f>COUNT(Calc!B48:G48)</f>
        <v/>
      </c>
      <c r="K48" s="2">
        <f>AVERAGE(D48:I48)</f>
        <v/>
      </c>
      <c r="L48" s="2">
        <f>6-J48</f>
        <v/>
      </c>
      <c r="M48" s="2">
        <f>IF(COUNTIF(Verification!H48:L48,"Review*")&gt;0,"Scored - coding review","Scored")</f>
        <v/>
      </c>
      <c r="N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inlineStr">
        <is>
          <t>Open Preservation Foundation</t>
        </is>
      </c>
      <c r="C49" s="2" t="inlineStr">
        <is>
          <t>Digital preservation tool</t>
        </is>
      </c>
      <c r="D49" s="2">
        <f>IF(ISNUMBER(Verification!B49),Verification!B49,IF(Calc!B49="",0,Calc!B49))</f>
        <v/>
      </c>
      <c r="E49" s="2">
        <f>IF(ISNUMBER(Verification!C49),Verification!C49,IF(Calc!C49="",0,Calc!C49))</f>
        <v/>
      </c>
      <c r="F49" s="2">
        <f>IF(ISNUMBER(Verification!D49),Verification!D49,IF(Calc!D49="",0,Calc!D49))</f>
        <v/>
      </c>
      <c r="G49" s="2">
        <f>IF(ISNUMBER(Verification!E49),Verification!E49,IF(Calc!E49="",0,Calc!E49))</f>
        <v/>
      </c>
      <c r="H49" s="2">
        <f>IF(ISNUMBER(Verification!F49),Verification!F49,IF(Calc!F49="",0,Calc!F49))</f>
        <v/>
      </c>
      <c r="I49" s="2">
        <f>IF(ISNUMBER(Verification!G49),Verification!G49,IF(Calc!G49="",0,Calc!G49))</f>
        <v/>
      </c>
      <c r="J49" s="2">
        <f>COUNT(Calc!B49:G49)</f>
        <v/>
      </c>
      <c r="K49" s="2">
        <f>AVERAGE(D49:I49)</f>
        <v/>
      </c>
      <c r="L49" s="2">
        <f>6-J49</f>
        <v/>
      </c>
      <c r="M49" s="2">
        <f>IF(COUNTIF(Verification!H49:L49,"Review*")&gt;0,"Scored - coding review","Scored")</f>
        <v/>
      </c>
      <c r="N49" s="2" t="inlineStr">
        <is>
          <t>041 scored from available URL tier; 019 scored from populated repository field; 116 retained as source evidence only; not scored</t>
        </is>
      </c>
    </row>
    <row r="50">
      <c r="A50" s="2" t="inlineStr">
        <is>
          <t>Fulcrum</t>
        </is>
      </c>
      <c r="B50" s="2" t="inlineStr">
        <is>
          <t>Michigan Publishing</t>
        </is>
      </c>
      <c r="C50" s="2" t="inlineStr">
        <is>
          <t>Publishing system</t>
        </is>
      </c>
      <c r="D50" s="2">
        <f>IF(ISNUMBER(Verification!B50),Verification!B50,IF(Calc!B50="",0,Calc!B50))</f>
        <v/>
      </c>
      <c r="E50" s="2">
        <f>IF(ISNUMBER(Verification!C50),Verification!C50,IF(Calc!C50="",0,Calc!C50))</f>
        <v/>
      </c>
      <c r="F50" s="2">
        <f>IF(ISNUMBER(Verification!D50),Verification!D50,IF(Calc!D50="",0,Calc!D50))</f>
        <v/>
      </c>
      <c r="G50" s="2">
        <f>IF(ISNUMBER(Verification!E50),Verification!E50,IF(Calc!E50="",0,Calc!E50))</f>
        <v/>
      </c>
      <c r="H50" s="2">
        <f>IF(ISNUMBER(Verification!F50),Verification!F50,IF(Calc!F50="",0,Calc!F50))</f>
        <v/>
      </c>
      <c r="I50" s="2">
        <f>IF(ISNUMBER(Verification!G50),Verification!G50,IF(Calc!G50="",0,Calc!G50))</f>
        <v/>
      </c>
      <c r="J50" s="2">
        <f>COUNT(Calc!B50:G50)</f>
        <v/>
      </c>
      <c r="K50" s="2">
        <f>AVERAGE(D50:I50)</f>
        <v/>
      </c>
      <c r="L50" s="2">
        <f>6-J50</f>
        <v/>
      </c>
      <c r="M50" s="2">
        <f>IF(COUNTIF(Verification!H50:L50,"Review*")&gt;0,"Scored - coding review","Scored")</f>
        <v/>
      </c>
      <c r="N50" s="2" t="inlineStr">
        <is>
          <t>938 coding requires reviewer confirmation; 019 scored from populated repository field; 043 evidence URL should be checked; not scored separately; 1 unavailable metric(s) scored as 0</t>
        </is>
      </c>
    </row>
    <row r="51">
      <c r="A51" s="2" t="inlineStr">
        <is>
          <t>Galaxy</t>
        </is>
      </c>
      <c r="B51" s="2" t="inlineStr">
        <is>
          <t>The Galaxy community</t>
        </is>
      </c>
      <c r="C51" s="2" t="inlineStr">
        <is>
          <t>Computing framework | Discovery system</t>
        </is>
      </c>
      <c r="D51" s="2">
        <f>IF(ISNUMBER(Verification!B51),Verification!B51,IF(Calc!B51="",0,Calc!B51))</f>
        <v/>
      </c>
      <c r="E51" s="2">
        <f>IF(ISNUMBER(Verification!C51),Verification!C51,IF(Calc!C51="",0,Calc!C51))</f>
        <v/>
      </c>
      <c r="F51" s="2">
        <f>IF(ISNUMBER(Verification!D51),Verification!D51,IF(Calc!D51="",0,Calc!D51))</f>
        <v/>
      </c>
      <c r="G51" s="2">
        <f>IF(ISNUMBER(Verification!E51),Verification!E51,IF(Calc!E51="",0,Calc!E51))</f>
        <v/>
      </c>
      <c r="H51" s="2">
        <f>IF(ISNUMBER(Verification!F51),Verification!F51,IF(Calc!F51="",0,Calc!F51))</f>
        <v/>
      </c>
      <c r="I51" s="2">
        <f>IF(ISNUMBER(Verification!G51),Verification!G51,IF(Calc!G51="",0,Calc!G51))</f>
        <v/>
      </c>
      <c r="J51" s="2">
        <f>COUNT(Calc!B51:G51)</f>
        <v/>
      </c>
      <c r="K51" s="2">
        <f>AVERAGE(D51:I51)</f>
        <v/>
      </c>
      <c r="L51" s="2">
        <f>6-J51</f>
        <v/>
      </c>
      <c r="M51" s="2">
        <f>IF(COUNTIF(Verification!H51:L51,"Review*")&gt;0,"Scored - coding review","Scored")</f>
        <v/>
      </c>
      <c r="N51" s="2" t="inlineStr">
        <is>
          <t>041 scored from available URL tier; 019 scored from populated repository field; 043 evidence URL should be checked; not scored separately; 116 retained as source evidence only; not scored; 2 unavailable metric(s) scored as 0</t>
        </is>
      </c>
    </row>
    <row r="52">
      <c r="A52" s="2" t="inlineStr">
        <is>
          <t>GeoServer</t>
        </is>
      </c>
      <c r="B52" s="2" t="inlineStr">
        <is>
          <t>Open Source Geospatial Foundation</t>
        </is>
      </c>
      <c r="C52" s="2" t="inlineStr">
        <is>
          <t>Geospatial data tool or platform</t>
        </is>
      </c>
      <c r="D52" s="2">
        <f>IF(ISNUMBER(Verification!B52),Verification!B52,IF(Calc!B52="",0,Calc!B52))</f>
        <v/>
      </c>
      <c r="E52" s="2">
        <f>IF(ISNUMBER(Verification!C52),Verification!C52,IF(Calc!C52="",0,Calc!C52))</f>
        <v/>
      </c>
      <c r="F52" s="2">
        <f>IF(ISNUMBER(Verification!D52),Verification!D52,IF(Calc!D52="",0,Calc!D52))</f>
        <v/>
      </c>
      <c r="G52" s="2">
        <f>IF(ISNUMBER(Verification!E52),Verification!E52,IF(Calc!E52="",0,Calc!E52))</f>
        <v/>
      </c>
      <c r="H52" s="2">
        <f>IF(ISNUMBER(Verification!F52),Verification!F52,IF(Calc!F52="",0,Calc!F52))</f>
        <v/>
      </c>
      <c r="I52" s="2">
        <f>IF(ISNUMBER(Verification!G52),Verification!G52,IF(Calc!G52="",0,Calc!G52))</f>
        <v/>
      </c>
      <c r="J52" s="2">
        <f>COUNT(Calc!B52:G52)</f>
        <v/>
      </c>
      <c r="K52" s="2">
        <f>AVERAGE(D52:I52)</f>
        <v/>
      </c>
      <c r="L52" s="2">
        <f>6-J52</f>
        <v/>
      </c>
      <c r="M52" s="2">
        <f>IF(COUNTIF(Verification!H52:L52,"Review*")&gt;0,"Scored - coding review","Scored")</f>
        <v/>
      </c>
      <c r="N52" s="2" t="inlineStr">
        <is>
          <t>041 scored from available URL tier; 019 scored from populated repository field; 043 evidence URL should be checked; not scored separately; 116 retained as source evidence only; not scored</t>
        </is>
      </c>
    </row>
    <row r="53">
      <c r="A53" s="2" t="inlineStr">
        <is>
          <t>Hyku</t>
        </is>
      </c>
      <c r="B53" s="2" t="inlineStr">
        <is>
          <t>Samvera</t>
        </is>
      </c>
      <c r="C53" s="2" t="inlineStr">
        <is>
          <t>Repository software</t>
        </is>
      </c>
      <c r="D53" s="2">
        <f>IF(ISNUMBER(Verification!B53),Verification!B53,IF(Calc!B53="",0,Calc!B53))</f>
        <v/>
      </c>
      <c r="E53" s="2">
        <f>IF(ISNUMBER(Verification!C53),Verification!C53,IF(Calc!C53="",0,Calc!C53))</f>
        <v/>
      </c>
      <c r="F53" s="2">
        <f>IF(ISNUMBER(Verification!D53),Verification!D53,IF(Calc!D53="",0,Calc!D53))</f>
        <v/>
      </c>
      <c r="G53" s="2">
        <f>IF(ISNUMBER(Verification!E53),Verification!E53,IF(Calc!E53="",0,Calc!E53))</f>
        <v/>
      </c>
      <c r="H53" s="2">
        <f>IF(ISNUMBER(Verification!F53),Verification!F53,IF(Calc!F53="",0,Calc!F53))</f>
        <v/>
      </c>
      <c r="I53" s="2">
        <f>IF(ISNUMBER(Verification!G53),Verification!G53,IF(Calc!G53="",0,Calc!G53))</f>
        <v/>
      </c>
      <c r="J53" s="2">
        <f>COUNT(Calc!B53:G53)</f>
        <v/>
      </c>
      <c r="K53" s="2">
        <f>AVERAGE(D53:I53)</f>
        <v/>
      </c>
      <c r="L53" s="2">
        <f>6-J53</f>
        <v/>
      </c>
      <c r="M53" s="2">
        <f>IF(COUNTIF(Verification!H53:L53,"Review*")&gt;0,"Scored - coding review","Scored")</f>
        <v/>
      </c>
      <c r="N53" s="2" t="inlineStr">
        <is>
          <t>938 coding requires reviewer confirmation; 041 scored from available URL tier; 019 scored from populated repository field; 043 evidence URL should be checked; not scored separately</t>
        </is>
      </c>
    </row>
    <row r="54">
      <c r="A54" s="2" t="inlineStr">
        <is>
          <t>Hyrax</t>
        </is>
      </c>
      <c r="B54" s="2" t="inlineStr">
        <is>
          <t>Samvera</t>
        </is>
      </c>
      <c r="C54" s="2" t="inlineStr">
        <is>
          <t>Repository software</t>
        </is>
      </c>
      <c r="D54" s="2">
        <f>IF(ISNUMBER(Verification!B54),Verification!B54,IF(Calc!B54="",0,Calc!B54))</f>
        <v/>
      </c>
      <c r="E54" s="2">
        <f>IF(ISNUMBER(Verification!C54),Verification!C54,IF(Calc!C54="",0,Calc!C54))</f>
        <v/>
      </c>
      <c r="F54" s="2">
        <f>IF(ISNUMBER(Verification!D54),Verification!D54,IF(Calc!D54="",0,Calc!D54))</f>
        <v/>
      </c>
      <c r="G54" s="2">
        <f>IF(ISNUMBER(Verification!E54),Verification!E54,IF(Calc!E54="",0,Calc!E54))</f>
        <v/>
      </c>
      <c r="H54" s="2">
        <f>IF(ISNUMBER(Verification!F54),Verification!F54,IF(Calc!F54="",0,Calc!F54))</f>
        <v/>
      </c>
      <c r="I54" s="2">
        <f>IF(ISNUMBER(Verification!G54),Verification!G54,IF(Calc!G54="",0,Calc!G54))</f>
        <v/>
      </c>
      <c r="J54" s="2">
        <f>COUNT(Calc!B54:G54)</f>
        <v/>
      </c>
      <c r="K54" s="2">
        <f>AVERAGE(D54:I54)</f>
        <v/>
      </c>
      <c r="L54" s="2">
        <f>6-J54</f>
        <v/>
      </c>
      <c r="M54" s="2">
        <f>IF(COUNTIF(Verification!H54:L54,"Review*")&gt;0,"Scored - coding review","Scored")</f>
        <v/>
      </c>
      <c r="N54" s="2" t="inlineStr">
        <is>
          <t>041 scored from available URL tier; 019 scored from populated repository field; 043 evidence URL should be checked; not scored separately; 116 retained as source evidence only; not scored</t>
        </is>
      </c>
    </row>
    <row r="55">
      <c r="A55" s="2" t="inlineStr">
        <is>
          <t>IIIF</t>
        </is>
      </c>
      <c r="B55" s="2" t="inlineStr">
        <is>
          <t>IIIF Consortium</t>
        </is>
      </c>
      <c r="C55" s="2" t="inlineStr">
        <is>
          <t>Standard, specification or protocol</t>
        </is>
      </c>
      <c r="D55" s="2">
        <f>IF(ISNUMBER(Verification!B55),Verification!B55,IF(Calc!B55="",0,Calc!B55))</f>
        <v/>
      </c>
      <c r="E55" s="2">
        <f>IF(ISNUMBER(Verification!C55),Verification!C55,IF(Calc!C55="",0,Calc!C55))</f>
        <v/>
      </c>
      <c r="F55" s="2">
        <f>IF(ISNUMBER(Verification!D55),Verification!D55,IF(Calc!D55="",0,Calc!D55))</f>
        <v/>
      </c>
      <c r="G55" s="2">
        <f>IF(ISNUMBER(Verification!E55),Verification!E55,IF(Calc!E55="",0,Calc!E55))</f>
        <v/>
      </c>
      <c r="H55" s="2">
        <f>IF(ISNUMBER(Verification!F55),Verification!F55,IF(Calc!F55="",0,Calc!F55))</f>
        <v/>
      </c>
      <c r="I55" s="2">
        <f>IF(ISNUMBER(Verification!G55),Verification!G55,IF(Calc!G55="",0,Calc!G55))</f>
        <v/>
      </c>
      <c r="J55" s="2">
        <f>COUNT(Calc!B55:G55)</f>
        <v/>
      </c>
      <c r="K55" s="2">
        <f>AVERAGE(D55:I55)</f>
        <v/>
      </c>
      <c r="L55" s="2">
        <f>6-J55</f>
        <v/>
      </c>
      <c r="M55" s="2">
        <f>IF(COUNTIF(Verification!H55:L55,"Review*")&gt;0,"Scored - coding review","Scored")</f>
        <v/>
      </c>
      <c r="N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inlineStr">
        <is>
          <t>Universidad de Antioquia and other Colombian universities</t>
        </is>
      </c>
      <c r="C56" s="2" t="inlineStr">
        <is>
          <t>Open scholarly dataset | Research profiling system</t>
        </is>
      </c>
      <c r="D56" s="2">
        <f>IF(ISNUMBER(Verification!B56),Verification!B56,IF(Calc!B56="",0,Calc!B56))</f>
        <v/>
      </c>
      <c r="E56" s="2">
        <f>IF(ISNUMBER(Verification!C56),Verification!C56,IF(Calc!C56="",0,Calc!C56))</f>
        <v/>
      </c>
      <c r="F56" s="2">
        <f>IF(ISNUMBER(Verification!D56),Verification!D56,IF(Calc!D56="",0,Calc!D56))</f>
        <v/>
      </c>
      <c r="G56" s="2">
        <f>IF(ISNUMBER(Verification!E56),Verification!E56,IF(Calc!E56="",0,Calc!E56))</f>
        <v/>
      </c>
      <c r="H56" s="2">
        <f>IF(ISNUMBER(Verification!F56),Verification!F56,IF(Calc!F56="",0,Calc!F56))</f>
        <v/>
      </c>
      <c r="I56" s="2">
        <f>IF(ISNUMBER(Verification!G56),Verification!G56,IF(Calc!G56="",0,Calc!G56))</f>
        <v/>
      </c>
      <c r="J56" s="2">
        <f>COUNT(Calc!B56:G56)</f>
        <v/>
      </c>
      <c r="K56" s="2">
        <f>AVERAGE(D56:I56)</f>
        <v/>
      </c>
      <c r="L56" s="2">
        <f>6-J56</f>
        <v/>
      </c>
      <c r="M56" s="2">
        <f>IF(COUNTIF(Verification!H56:L56,"Review*")&gt;0,"Scored - coding review","Scored")</f>
        <v/>
      </c>
      <c r="N56" s="2" t="inlineStr">
        <is>
          <t>019 scored from populated repository field; 5 unavailable metric(s) scored as 0</t>
        </is>
      </c>
    </row>
    <row r="57">
      <c r="A57" s="2" t="inlineStr">
        <is>
          <t>International Generic Sample Number (IGSN)</t>
        </is>
      </c>
      <c r="B57" s="2" t="inlineStr">
        <is>
          <t>International Generic Sample Number Organization e.V.</t>
        </is>
      </c>
      <c r="C57" s="2" t="inlineStr">
        <is>
          <t>Persistent identifier service</t>
        </is>
      </c>
      <c r="D57" s="2">
        <f>IF(ISNUMBER(Verification!B57),Verification!B57,IF(Calc!B57="",0,Calc!B57))</f>
        <v/>
      </c>
      <c r="E57" s="2">
        <f>IF(ISNUMBER(Verification!C57),Verification!C57,IF(Calc!C57="",0,Calc!C57))</f>
        <v/>
      </c>
      <c r="F57" s="2">
        <f>IF(ISNUMBER(Verification!D57),Verification!D57,IF(Calc!D57="",0,Calc!D57))</f>
        <v/>
      </c>
      <c r="G57" s="2">
        <f>IF(ISNUMBER(Verification!E57),Verification!E57,IF(Calc!E57="",0,Calc!E57))</f>
        <v/>
      </c>
      <c r="H57" s="2">
        <f>IF(ISNUMBER(Verification!F57),Verification!F57,IF(Calc!F57="",0,Calc!F57))</f>
        <v/>
      </c>
      <c r="I57" s="2">
        <f>IF(ISNUMBER(Verification!G57),Verification!G57,IF(Calc!G57="",0,Calc!G57))</f>
        <v/>
      </c>
      <c r="J57" s="2">
        <f>COUNT(Calc!B57:G57)</f>
        <v/>
      </c>
      <c r="K57" s="2">
        <f>AVERAGE(D57:I57)</f>
        <v/>
      </c>
      <c r="L57" s="2">
        <f>6-J57</f>
        <v/>
      </c>
      <c r="M57" s="2">
        <f>IF(COUNTIF(Verification!H57:L57,"Review*")&gt;0,"Scored - coding review","Scored")</f>
        <v/>
      </c>
      <c r="N57" s="2" t="inlineStr">
        <is>
          <t>019 scored from populated repository field; 116 retained as source evidence only; not scored; 3 unavailable metric(s) scored as 0</t>
        </is>
      </c>
    </row>
    <row r="58">
      <c r="A58" s="2" t="inlineStr">
        <is>
          <t>InvenioRDM</t>
        </is>
      </c>
      <c r="B58" s="2" t="inlineStr">
        <is>
          <t>CERN</t>
        </is>
      </c>
      <c r="C58" s="2" t="inlineStr">
        <is>
          <t>Repository software</t>
        </is>
      </c>
      <c r="D58" s="2">
        <f>IF(ISNUMBER(Verification!B58),Verification!B58,IF(Calc!B58="",0,Calc!B58))</f>
        <v/>
      </c>
      <c r="E58" s="2">
        <f>IF(ISNUMBER(Verification!C58),Verification!C58,IF(Calc!C58="",0,Calc!C58))</f>
        <v/>
      </c>
      <c r="F58" s="2">
        <f>IF(ISNUMBER(Verification!D58),Verification!D58,IF(Calc!D58="",0,Calc!D58))</f>
        <v/>
      </c>
      <c r="G58" s="2">
        <f>IF(ISNUMBER(Verification!E58),Verification!E58,IF(Calc!E58="",0,Calc!E58))</f>
        <v/>
      </c>
      <c r="H58" s="2">
        <f>IF(ISNUMBER(Verification!F58),Verification!F58,IF(Calc!F58="",0,Calc!F58))</f>
        <v/>
      </c>
      <c r="I58" s="2">
        <f>IF(ISNUMBER(Verification!G58),Verification!G58,IF(Calc!G58="",0,Calc!G58))</f>
        <v/>
      </c>
      <c r="J58" s="2">
        <f>COUNT(Calc!B58:G58)</f>
        <v/>
      </c>
      <c r="K58" s="2">
        <f>AVERAGE(D58:I58)</f>
        <v/>
      </c>
      <c r="L58" s="2">
        <f>6-J58</f>
        <v/>
      </c>
      <c r="M58" s="2">
        <f>IF(COUNTIF(Verification!H58:L58,"Review*")&gt;0,"Scored - coding review","Scored")</f>
        <v/>
      </c>
      <c r="N58" s="2" t="inlineStr">
        <is>
          <t>938 coding requires reviewer confirmation; 041 scored from available URL tier; 019 scored from populated repository field; 043 evidence URL should be checked; not scored separately</t>
        </is>
      </c>
    </row>
    <row r="59">
      <c r="A59" s="2" t="inlineStr">
        <is>
          <t>iRODS</t>
        </is>
      </c>
      <c r="B59" s="2" t="inlineStr">
        <is>
          <t>Renaissance Computing Institute (RENCI)</t>
        </is>
      </c>
      <c r="C59" s="2" t="inlineStr">
        <is>
          <t>Data management planning tool or service | Digital preservation system | Discovery system</t>
        </is>
      </c>
      <c r="D59" s="2">
        <f>IF(ISNUMBER(Verification!B59),Verification!B59,IF(Calc!B59="",0,Calc!B59))</f>
        <v/>
      </c>
      <c r="E59" s="2">
        <f>IF(ISNUMBER(Verification!C59),Verification!C59,IF(Calc!C59="",0,Calc!C59))</f>
        <v/>
      </c>
      <c r="F59" s="2">
        <f>IF(ISNUMBER(Verification!D59),Verification!D59,IF(Calc!D59="",0,Calc!D59))</f>
        <v/>
      </c>
      <c r="G59" s="2">
        <f>IF(ISNUMBER(Verification!E59),Verification!E59,IF(Calc!E59="",0,Calc!E59))</f>
        <v/>
      </c>
      <c r="H59" s="2">
        <f>IF(ISNUMBER(Verification!F59),Verification!F59,IF(Calc!F59="",0,Calc!F59))</f>
        <v/>
      </c>
      <c r="I59" s="2">
        <f>IF(ISNUMBER(Verification!G59),Verification!G59,IF(Calc!G59="",0,Calc!G59))</f>
        <v/>
      </c>
      <c r="J59" s="2">
        <f>COUNT(Calc!B59:G59)</f>
        <v/>
      </c>
      <c r="K59" s="2">
        <f>AVERAGE(D59:I59)</f>
        <v/>
      </c>
      <c r="L59" s="2">
        <f>6-J59</f>
        <v/>
      </c>
      <c r="M59" s="2">
        <f>IF(COUNTIF(Verification!H59:L59,"Review*")&gt;0,"Scored - coding review","Scored")</f>
        <v/>
      </c>
      <c r="N59" s="2" t="inlineStr">
        <is>
          <t>041 scored from available URL tier; 019 scored from populated repository field; 043 evidence URL should be checked; not scored separately; 116 retained as source evidence only; not scored</t>
        </is>
      </c>
    </row>
    <row r="60">
      <c r="A60" s="2" t="inlineStr">
        <is>
          <t>Islandora</t>
        </is>
      </c>
      <c r="B60" s="2" t="inlineStr">
        <is>
          <t>Islandora Foundation</t>
        </is>
      </c>
      <c r="C60" s="2" t="inlineStr">
        <is>
          <t>Authoring tool | Digital asset management system</t>
        </is>
      </c>
      <c r="D60" s="2">
        <f>IF(ISNUMBER(Verification!B60),Verification!B60,IF(Calc!B60="",0,Calc!B60))</f>
        <v/>
      </c>
      <c r="E60" s="2">
        <f>IF(ISNUMBER(Verification!C60),Verification!C60,IF(Calc!C60="",0,Calc!C60))</f>
        <v/>
      </c>
      <c r="F60" s="2">
        <f>IF(ISNUMBER(Verification!D60),Verification!D60,IF(Calc!D60="",0,Calc!D60))</f>
        <v/>
      </c>
      <c r="G60" s="2">
        <f>IF(ISNUMBER(Verification!E60),Verification!E60,IF(Calc!E60="",0,Calc!E60))</f>
        <v/>
      </c>
      <c r="H60" s="2">
        <f>IF(ISNUMBER(Verification!F60),Verification!F60,IF(Calc!F60="",0,Calc!F60))</f>
        <v/>
      </c>
      <c r="I60" s="2">
        <f>IF(ISNUMBER(Verification!G60),Verification!G60,IF(Calc!G60="",0,Calc!G60))</f>
        <v/>
      </c>
      <c r="J60" s="2">
        <f>COUNT(Calc!B60:G60)</f>
        <v/>
      </c>
      <c r="K60" s="2">
        <f>AVERAGE(D60:I60)</f>
        <v/>
      </c>
      <c r="L60" s="2">
        <f>6-J60</f>
        <v/>
      </c>
      <c r="M60" s="2">
        <f>IF(COUNTIF(Verification!H60:L60,"Review*")&gt;0,"Scored - coding review","Scored")</f>
        <v/>
      </c>
      <c r="N60" s="2" t="inlineStr">
        <is>
          <t>938 coding requires reviewer confirmation; 041 scored from available URL tier; 019 scored from populated repository field; 043 evidence URL should be checked; not scored separately</t>
        </is>
      </c>
    </row>
    <row r="61">
      <c r="A61" s="2" t="inlineStr">
        <is>
          <t>Janeway</t>
        </is>
      </c>
      <c r="B61" s="2" t="inlineStr">
        <is>
          <t>Open Library of Humanities</t>
        </is>
      </c>
      <c r="C61" s="2" t="inlineStr">
        <is>
          <t>Publishing system</t>
        </is>
      </c>
      <c r="D61" s="2">
        <f>IF(ISNUMBER(Verification!B61),Verification!B61,IF(Calc!B61="",0,Calc!B61))</f>
        <v/>
      </c>
      <c r="E61" s="2">
        <f>IF(ISNUMBER(Verification!C61),Verification!C61,IF(Calc!C61="",0,Calc!C61))</f>
        <v/>
      </c>
      <c r="F61" s="2">
        <f>IF(ISNUMBER(Verification!D61),Verification!D61,IF(Calc!D61="",0,Calc!D61))</f>
        <v/>
      </c>
      <c r="G61" s="2">
        <f>IF(ISNUMBER(Verification!E61),Verification!E61,IF(Calc!E61="",0,Calc!E61))</f>
        <v/>
      </c>
      <c r="H61" s="2">
        <f>IF(ISNUMBER(Verification!F61),Verification!F61,IF(Calc!F61="",0,Calc!F61))</f>
        <v/>
      </c>
      <c r="I61" s="2">
        <f>IF(ISNUMBER(Verification!G61),Verification!G61,IF(Calc!G61="",0,Calc!G61))</f>
        <v/>
      </c>
      <c r="J61" s="2">
        <f>COUNT(Calc!B61:G61)</f>
        <v/>
      </c>
      <c r="K61" s="2">
        <f>AVERAGE(D61:I61)</f>
        <v/>
      </c>
      <c r="L61" s="2">
        <f>6-J61</f>
        <v/>
      </c>
      <c r="M61" s="2">
        <f>IF(COUNTIF(Verification!H61:L61,"Review*")&gt;0,"Scored - coding review","Scored")</f>
        <v/>
      </c>
      <c r="N61" s="2" t="inlineStr">
        <is>
          <t>938 coding requires reviewer confirmation; 041 scored from available URL tier; 019 scored from populated repository field; 043 evidence URL should be checked; not scored separately; 116 retained as source evidence only; not scored; 2 unavailable metric(s) scored as 0</t>
        </is>
      </c>
    </row>
    <row r="62">
      <c r="A62" s="2" t="inlineStr">
        <is>
          <t>JHOVE</t>
        </is>
      </c>
      <c r="B62" s="2" t="inlineStr">
        <is>
          <t>Open Preservation Foundation</t>
        </is>
      </c>
      <c r="C62" s="2" t="inlineStr">
        <is>
          <t>Computing library | Digital preservation tool</t>
        </is>
      </c>
      <c r="D62" s="2">
        <f>IF(ISNUMBER(Verification!B62),Verification!B62,IF(Calc!B62="",0,Calc!B62))</f>
        <v/>
      </c>
      <c r="E62" s="2">
        <f>IF(ISNUMBER(Verification!C62),Verification!C62,IF(Calc!C62="",0,Calc!C62))</f>
        <v/>
      </c>
      <c r="F62" s="2">
        <f>IF(ISNUMBER(Verification!D62),Verification!D62,IF(Calc!D62="",0,Calc!D62))</f>
        <v/>
      </c>
      <c r="G62" s="2">
        <f>IF(ISNUMBER(Verification!E62),Verification!E62,IF(Calc!E62="",0,Calc!E62))</f>
        <v/>
      </c>
      <c r="H62" s="2">
        <f>IF(ISNUMBER(Verification!F62),Verification!F62,IF(Calc!F62="",0,Calc!F62))</f>
        <v/>
      </c>
      <c r="I62" s="2">
        <f>IF(ISNUMBER(Verification!G62),Verification!G62,IF(Calc!G62="",0,Calc!G62))</f>
        <v/>
      </c>
      <c r="J62" s="2">
        <f>COUNT(Calc!B62:G62)</f>
        <v/>
      </c>
      <c r="K62" s="2">
        <f>AVERAGE(D62:I62)</f>
        <v/>
      </c>
      <c r="L62" s="2">
        <f>6-J62</f>
        <v/>
      </c>
      <c r="M62" s="2">
        <f>IF(COUNTIF(Verification!H62:L62,"Review*")&gt;0,"Scored - coding review","Scored")</f>
        <v/>
      </c>
      <c r="N62" s="2" t="inlineStr">
        <is>
          <t>041 scored from available URL tier; 019 scored from populated repository field; 116 retained as source evidence only; not scored; 1 unavailable metric(s) scored as 0</t>
        </is>
      </c>
    </row>
    <row r="63">
      <c r="A63" s="2" t="inlineStr">
        <is>
          <t>LA Referencia</t>
        </is>
      </c>
      <c r="B63" s="2" t="inlineStr">
        <is>
          <t>LA Referencia</t>
        </is>
      </c>
      <c r="C63" s="2" t="inlineStr">
        <is>
          <t>Discovery system</t>
        </is>
      </c>
      <c r="D63" s="2">
        <f>IF(ISNUMBER(Verification!B63),Verification!B63,IF(Calc!B63="",0,Calc!B63))</f>
        <v/>
      </c>
      <c r="E63" s="2">
        <f>IF(ISNUMBER(Verification!C63),Verification!C63,IF(Calc!C63="",0,Calc!C63))</f>
        <v/>
      </c>
      <c r="F63" s="2">
        <f>IF(ISNUMBER(Verification!D63),Verification!D63,IF(Calc!D63="",0,Calc!D63))</f>
        <v/>
      </c>
      <c r="G63" s="2">
        <f>IF(ISNUMBER(Verification!E63),Verification!E63,IF(Calc!E63="",0,Calc!E63))</f>
        <v/>
      </c>
      <c r="H63" s="2">
        <f>IF(ISNUMBER(Verification!F63),Verification!F63,IF(Calc!F63="",0,Calc!F63))</f>
        <v/>
      </c>
      <c r="I63" s="2">
        <f>IF(ISNUMBER(Verification!G63),Verification!G63,IF(Calc!G63="",0,Calc!G63))</f>
        <v/>
      </c>
      <c r="J63" s="2">
        <f>COUNT(Calc!B63:G63)</f>
        <v/>
      </c>
      <c r="K63" s="2">
        <f>AVERAGE(D63:I63)</f>
        <v/>
      </c>
      <c r="L63" s="2">
        <f>6-J63</f>
        <v/>
      </c>
      <c r="M63" s="2">
        <f>IF(COUNTIF(Verification!H63:L63,"Review*")&gt;0,"Scored - coding review","Scored")</f>
        <v/>
      </c>
      <c r="N63" s="2" t="inlineStr">
        <is>
          <t>019 scored from populated repository field; 3 unavailable metric(s) scored as 0</t>
        </is>
      </c>
    </row>
    <row r="64">
      <c r="A64" s="2" t="inlineStr">
        <is>
          <t>Manifold</t>
        </is>
      </c>
      <c r="B64" s="2" t="inlineStr">
        <is>
          <t>Manifold Digital Services</t>
        </is>
      </c>
      <c r="C64" s="2" t="inlineStr">
        <is>
          <t>Publishing system</t>
        </is>
      </c>
      <c r="D64" s="2">
        <f>IF(ISNUMBER(Verification!B64),Verification!B64,IF(Calc!B64="",0,Calc!B64))</f>
        <v/>
      </c>
      <c r="E64" s="2">
        <f>IF(ISNUMBER(Verification!C64),Verification!C64,IF(Calc!C64="",0,Calc!C64))</f>
        <v/>
      </c>
      <c r="F64" s="2">
        <f>IF(ISNUMBER(Verification!D64),Verification!D64,IF(Calc!D64="",0,Calc!D64))</f>
        <v/>
      </c>
      <c r="G64" s="2">
        <f>IF(ISNUMBER(Verification!E64),Verification!E64,IF(Calc!E64="",0,Calc!E64))</f>
        <v/>
      </c>
      <c r="H64" s="2">
        <f>IF(ISNUMBER(Verification!F64),Verification!F64,IF(Calc!F64="",0,Calc!F64))</f>
        <v/>
      </c>
      <c r="I64" s="2">
        <f>IF(ISNUMBER(Verification!G64),Verification!G64,IF(Calc!G64="",0,Calc!G64))</f>
        <v/>
      </c>
      <c r="J64" s="2">
        <f>COUNT(Calc!B64:G64)</f>
        <v/>
      </c>
      <c r="K64" s="2">
        <f>AVERAGE(D64:I64)</f>
        <v/>
      </c>
      <c r="L64" s="2">
        <f>6-J64</f>
        <v/>
      </c>
      <c r="M64" s="2">
        <f>IF(COUNTIF(Verification!H64:L64,"Review*")&gt;0,"Scored - coding review","Scored")</f>
        <v/>
      </c>
      <c r="N64" s="2" t="inlineStr">
        <is>
          <t>938 coding requires reviewer confirmation; 041 scored from available URL tier; 019 scored from populated repository field; 2 unavailable metric(s) scored as 0</t>
        </is>
      </c>
    </row>
    <row r="65">
      <c r="A65" s="2" t="inlineStr">
        <is>
          <t>medRxiv</t>
        </is>
      </c>
      <c r="B65" s="2" t="inlineStr">
        <is>
          <t>Cold Spring Harbor Laboratory</t>
        </is>
      </c>
      <c r="C65" s="2" t="inlineStr">
        <is>
          <t>Repository service</t>
        </is>
      </c>
      <c r="D65" s="2">
        <f>IF(ISNUMBER(Verification!B65),Verification!B65,IF(Calc!B65="",0,Calc!B65))</f>
        <v/>
      </c>
      <c r="E65" s="2">
        <f>IF(ISNUMBER(Verification!C65),Verification!C65,IF(Calc!C65="",0,Calc!C65))</f>
        <v/>
      </c>
      <c r="F65" s="2">
        <f>IF(ISNUMBER(Verification!D65),Verification!D65,IF(Calc!D65="",0,Calc!D65))</f>
        <v/>
      </c>
      <c r="G65" s="2">
        <f>IF(ISNUMBER(Verification!E65),Verification!E65,IF(Calc!E65="",0,Calc!E65))</f>
        <v/>
      </c>
      <c r="H65" s="2">
        <f>IF(ISNUMBER(Verification!F65),Verification!F65,IF(Calc!F65="",0,Calc!F65))</f>
        <v/>
      </c>
      <c r="I65" s="2">
        <f>IF(ISNUMBER(Verification!G65),Verification!G65,IF(Calc!G65="",0,Calc!G65))</f>
        <v/>
      </c>
      <c r="J65" s="2">
        <f>COUNT(Calc!B65:G65)</f>
        <v/>
      </c>
      <c r="K65" s="2">
        <f>AVERAGE(D65:I65)</f>
        <v/>
      </c>
      <c r="L65" s="2">
        <f>6-J65</f>
        <v/>
      </c>
      <c r="M65" s="2">
        <f>IF(COUNTIF(Verification!H65:L65,"Review*")&gt;0,"Scored - coding review","Scored")</f>
        <v/>
      </c>
      <c r="N65" s="2" t="inlineStr">
        <is>
          <t>938 coding requires reviewer confirmation; 2 unavailable metric(s) scored as 0</t>
        </is>
      </c>
    </row>
    <row r="66">
      <c r="A66" s="2" t="inlineStr">
        <is>
          <t>Metadata Encoding and Transmission Standard (METS)</t>
        </is>
      </c>
      <c r="B66" s="2" t="inlineStr">
        <is>
          <t>METS Editorial Board</t>
        </is>
      </c>
      <c r="C66" s="2" t="inlineStr">
        <is>
          <t>Standard, specification or protocol</t>
        </is>
      </c>
      <c r="D66" s="2">
        <f>IF(ISNUMBER(Verification!B66),Verification!B66,IF(Calc!B66="",0,Calc!B66))</f>
        <v/>
      </c>
      <c r="E66" s="2">
        <f>IF(ISNUMBER(Verification!C66),Verification!C66,IF(Calc!C66="",0,Calc!C66))</f>
        <v/>
      </c>
      <c r="F66" s="2">
        <f>IF(ISNUMBER(Verification!D66),Verification!D66,IF(Calc!D66="",0,Calc!D66))</f>
        <v/>
      </c>
      <c r="G66" s="2">
        <f>IF(ISNUMBER(Verification!E66),Verification!E66,IF(Calc!E66="",0,Calc!E66))</f>
        <v/>
      </c>
      <c r="H66" s="2">
        <f>IF(ISNUMBER(Verification!F66),Verification!F66,IF(Calc!F66="",0,Calc!F66))</f>
        <v/>
      </c>
      <c r="I66" s="2">
        <f>IF(ISNUMBER(Verification!G66),Verification!G66,IF(Calc!G66="",0,Calc!G66))</f>
        <v/>
      </c>
      <c r="J66" s="2">
        <f>COUNT(Calc!B66:G66)</f>
        <v/>
      </c>
      <c r="K66" s="2">
        <f>AVERAGE(D66:I66)</f>
        <v/>
      </c>
      <c r="L66" s="2">
        <f>6-J66</f>
        <v/>
      </c>
      <c r="M66" s="2">
        <f>IF(COUNTIF(Verification!H66:L66,"Review*")&gt;0,"Scored - coding review","Scored")</f>
        <v/>
      </c>
      <c r="N66" s="2" t="inlineStr">
        <is>
          <t>041 scored from available URL tier; 019 scored from populated repository field; 116 retained as source evidence only; not scored</t>
        </is>
      </c>
    </row>
    <row r="67">
      <c r="A67" s="2" t="inlineStr">
        <is>
          <t>Mirador</t>
        </is>
      </c>
      <c r="B67" s="2" t="inlineStr">
        <is>
          <t>Project Mirador</t>
        </is>
      </c>
      <c r="C67" s="2" t="inlineStr">
        <is>
          <t>Annotations system | Media viewer/player</t>
        </is>
      </c>
      <c r="D67" s="2">
        <f>IF(ISNUMBER(Verification!B67),Verification!B67,IF(Calc!B67="",0,Calc!B67))</f>
        <v/>
      </c>
      <c r="E67" s="2">
        <f>IF(ISNUMBER(Verification!C67),Verification!C67,IF(Calc!C67="",0,Calc!C67))</f>
        <v/>
      </c>
      <c r="F67" s="2">
        <f>IF(ISNUMBER(Verification!D67),Verification!D67,IF(Calc!D67="",0,Calc!D67))</f>
        <v/>
      </c>
      <c r="G67" s="2">
        <f>IF(ISNUMBER(Verification!E67),Verification!E67,IF(Calc!E67="",0,Calc!E67))</f>
        <v/>
      </c>
      <c r="H67" s="2">
        <f>IF(ISNUMBER(Verification!F67),Verification!F67,IF(Calc!F67="",0,Calc!F67))</f>
        <v/>
      </c>
      <c r="I67" s="2">
        <f>IF(ISNUMBER(Verification!G67),Verification!G67,IF(Calc!G67="",0,Calc!G67))</f>
        <v/>
      </c>
      <c r="J67" s="2">
        <f>COUNT(Calc!B67:G67)</f>
        <v/>
      </c>
      <c r="K67" s="2">
        <f>AVERAGE(D67:I67)</f>
        <v/>
      </c>
      <c r="L67" s="2">
        <f>6-J67</f>
        <v/>
      </c>
      <c r="M67" s="2">
        <f>IF(COUNTIF(Verification!H67:L67,"Review*")&gt;0,"Scored - coding review","Scored")</f>
        <v/>
      </c>
      <c r="N67" s="2" t="inlineStr">
        <is>
          <t>938 coding requires reviewer confirmation; 041 scored from available URL tier; 019 scored from populated repository field; 043 evidence URL should be checked; not scored separately</t>
        </is>
      </c>
    </row>
    <row r="68">
      <c r="A68" s="2" t="inlineStr">
        <is>
          <t>Mukurtu CMS</t>
        </is>
      </c>
      <c r="B68" s="2" t="inlineStr">
        <is>
          <t>Center for Digital Scholarship and Curation</t>
        </is>
      </c>
      <c r="C68" s="2" t="inlineStr">
        <is>
          <t>Archive information management system | Digital asset management system</t>
        </is>
      </c>
      <c r="D68" s="2">
        <f>IF(ISNUMBER(Verification!B68),Verification!B68,IF(Calc!B68="",0,Calc!B68))</f>
        <v/>
      </c>
      <c r="E68" s="2">
        <f>IF(ISNUMBER(Verification!C68),Verification!C68,IF(Calc!C68="",0,Calc!C68))</f>
        <v/>
      </c>
      <c r="F68" s="2">
        <f>IF(ISNUMBER(Verification!D68),Verification!D68,IF(Calc!D68="",0,Calc!D68))</f>
        <v/>
      </c>
      <c r="G68" s="2">
        <f>IF(ISNUMBER(Verification!E68),Verification!E68,IF(Calc!E68="",0,Calc!E68))</f>
        <v/>
      </c>
      <c r="H68" s="2">
        <f>IF(ISNUMBER(Verification!F68),Verification!F68,IF(Calc!F68="",0,Calc!F68))</f>
        <v/>
      </c>
      <c r="I68" s="2">
        <f>IF(ISNUMBER(Verification!G68),Verification!G68,IF(Calc!G68="",0,Calc!G68))</f>
        <v/>
      </c>
      <c r="J68" s="2">
        <f>COUNT(Calc!B68:G68)</f>
        <v/>
      </c>
      <c r="K68" s="2">
        <f>AVERAGE(D68:I68)</f>
        <v/>
      </c>
      <c r="L68" s="2">
        <f>6-J68</f>
        <v/>
      </c>
      <c r="M68" s="2">
        <f>IF(COUNTIF(Verification!H68:L68,"Review*")&gt;0,"Scored - coding review","Scored")</f>
        <v/>
      </c>
      <c r="N68" s="2" t="inlineStr">
        <is>
          <t>938 coding requires reviewer confirmation; 041 scored from available URL tier; 019 scored from populated repository field</t>
        </is>
      </c>
    </row>
    <row r="69">
      <c r="A69" s="2" t="inlineStr">
        <is>
          <t>MyCoRe</t>
        </is>
      </c>
      <c r="B69" s="2" t="inlineStr">
        <is>
          <t>MyCoRe Community</t>
        </is>
      </c>
      <c r="C69" s="2" t="inlineStr">
        <is>
          <t>Digital asset management system | Digital library, collection or exhibit platform | Repository software</t>
        </is>
      </c>
      <c r="D69" s="2">
        <f>IF(ISNUMBER(Verification!B69),Verification!B69,IF(Calc!B69="",0,Calc!B69))</f>
        <v/>
      </c>
      <c r="E69" s="2">
        <f>IF(ISNUMBER(Verification!C69),Verification!C69,IF(Calc!C69="",0,Calc!C69))</f>
        <v/>
      </c>
      <c r="F69" s="2">
        <f>IF(ISNUMBER(Verification!D69),Verification!D69,IF(Calc!D69="",0,Calc!D69))</f>
        <v/>
      </c>
      <c r="G69" s="2">
        <f>IF(ISNUMBER(Verification!E69),Verification!E69,IF(Calc!E69="",0,Calc!E69))</f>
        <v/>
      </c>
      <c r="H69" s="2">
        <f>IF(ISNUMBER(Verification!F69),Verification!F69,IF(Calc!F69="",0,Calc!F69))</f>
        <v/>
      </c>
      <c r="I69" s="2">
        <f>IF(ISNUMBER(Verification!G69),Verification!G69,IF(Calc!G69="",0,Calc!G69))</f>
        <v/>
      </c>
      <c r="J69" s="2">
        <f>COUNT(Calc!B69:G69)</f>
        <v/>
      </c>
      <c r="K69" s="2">
        <f>AVERAGE(D69:I69)</f>
        <v/>
      </c>
      <c r="L69" s="2">
        <f>6-J69</f>
        <v/>
      </c>
      <c r="M69" s="2">
        <f>IF(COUNTIF(Verification!H69:L69,"Review*")&gt;0,"Scored - coding review","Scored")</f>
        <v/>
      </c>
      <c r="N69" s="2" t="inlineStr">
        <is>
          <t>041 scored from available URL tier; 019 scored from populated repository field; 043 evidence URL should be checked; not scored separately; 3 unavailable metric(s) scored as 0</t>
        </is>
      </c>
    </row>
    <row r="70">
      <c r="A70" s="2" t="inlineStr">
        <is>
          <t>NumPy</t>
        </is>
      </c>
      <c r="B70" s="2" t="inlineStr">
        <is>
          <t>NumPy Community</t>
        </is>
      </c>
      <c r="C70" s="2" t="inlineStr">
        <is>
          <t>Computing library | Standard, specification or protocol</t>
        </is>
      </c>
      <c r="D70" s="2">
        <f>IF(ISNUMBER(Verification!B70),Verification!B70,IF(Calc!B70="",0,Calc!B70))</f>
        <v/>
      </c>
      <c r="E70" s="2">
        <f>IF(ISNUMBER(Verification!C70),Verification!C70,IF(Calc!C70="",0,Calc!C70))</f>
        <v/>
      </c>
      <c r="F70" s="2">
        <f>IF(ISNUMBER(Verification!D70),Verification!D70,IF(Calc!D70="",0,Calc!D70))</f>
        <v/>
      </c>
      <c r="G70" s="2">
        <f>IF(ISNUMBER(Verification!E70),Verification!E70,IF(Calc!E70="",0,Calc!E70))</f>
        <v/>
      </c>
      <c r="H70" s="2">
        <f>IF(ISNUMBER(Verification!F70),Verification!F70,IF(Calc!F70="",0,Calc!F70))</f>
        <v/>
      </c>
      <c r="I70" s="2">
        <f>IF(ISNUMBER(Verification!G70),Verification!G70,IF(Calc!G70="",0,Calc!G70))</f>
        <v/>
      </c>
      <c r="J70" s="2">
        <f>COUNT(Calc!B70:G70)</f>
        <v/>
      </c>
      <c r="K70" s="2">
        <f>AVERAGE(D70:I70)</f>
        <v/>
      </c>
      <c r="L70" s="2">
        <f>6-J70</f>
        <v/>
      </c>
      <c r="M70" s="2">
        <f>IF(COUNTIF(Verification!H70:L70,"Review*")&gt;0,"Scored - coding review","Scored")</f>
        <v/>
      </c>
      <c r="N70" s="2" t="inlineStr">
        <is>
          <t>041 scored from available URL tier; 019 scored from populated repository field; 043 evidence URL should be checked; not scored separately; 116 retained as source evidence only; not scored; 2 unavailable metric(s) scored as 0</t>
        </is>
      </c>
    </row>
    <row r="71">
      <c r="A71" s="2" t="inlineStr">
        <is>
          <t>OA.Report</t>
        </is>
      </c>
      <c r="B71" s="2" t="inlineStr">
        <is>
          <t>OA.Works</t>
        </is>
      </c>
      <c r="C71" s="2" t="inlineStr">
        <is>
          <t>Open access or subscription management tool | Research profiling system</t>
        </is>
      </c>
      <c r="D71" s="2">
        <f>IF(ISNUMBER(Verification!B71),Verification!B71,IF(Calc!B71="",0,Calc!B71))</f>
        <v/>
      </c>
      <c r="E71" s="2">
        <f>IF(ISNUMBER(Verification!C71),Verification!C71,IF(Calc!C71="",0,Calc!C71))</f>
        <v/>
      </c>
      <c r="F71" s="2">
        <f>IF(ISNUMBER(Verification!D71),Verification!D71,IF(Calc!D71="",0,Calc!D71))</f>
        <v/>
      </c>
      <c r="G71" s="2">
        <f>IF(ISNUMBER(Verification!E71),Verification!E71,IF(Calc!E71="",0,Calc!E71))</f>
        <v/>
      </c>
      <c r="H71" s="2">
        <f>IF(ISNUMBER(Verification!F71),Verification!F71,IF(Calc!F71="",0,Calc!F71))</f>
        <v/>
      </c>
      <c r="I71" s="2">
        <f>IF(ISNUMBER(Verification!G71),Verification!G71,IF(Calc!G71="",0,Calc!G71))</f>
        <v/>
      </c>
      <c r="J71" s="2">
        <f>COUNT(Calc!B71:G71)</f>
        <v/>
      </c>
      <c r="K71" s="2">
        <f>AVERAGE(D71:I71)</f>
        <v/>
      </c>
      <c r="L71" s="2">
        <f>6-J71</f>
        <v/>
      </c>
      <c r="M71" s="2">
        <f>IF(COUNTIF(Verification!H71:L71,"Review*")&gt;0,"Scored - coding review","Scored")</f>
        <v/>
      </c>
      <c r="N71" s="2" t="inlineStr">
        <is>
          <t>019 scored from populated repository field; 116 retained as source evidence only; not scored; 3 unavailable metric(s) scored as 0</t>
        </is>
      </c>
    </row>
    <row r="72">
      <c r="A72" s="2" t="inlineStr">
        <is>
          <t>OA Switchboard</t>
        </is>
      </c>
      <c r="B72" s="2" t="inlineStr">
        <is>
          <t>Stichting OA Switchboard</t>
        </is>
      </c>
      <c r="C72" s="2" t="inlineStr">
        <is>
          <t>Open access or subscription management tool</t>
        </is>
      </c>
      <c r="D72" s="2">
        <f>IF(ISNUMBER(Verification!B72),Verification!B72,IF(Calc!B72="",0,Calc!B72))</f>
        <v/>
      </c>
      <c r="E72" s="2">
        <f>IF(ISNUMBER(Verification!C72),Verification!C72,IF(Calc!C72="",0,Calc!C72))</f>
        <v/>
      </c>
      <c r="F72" s="2">
        <f>IF(ISNUMBER(Verification!D72),Verification!D72,IF(Calc!D72="",0,Calc!D72))</f>
        <v/>
      </c>
      <c r="G72" s="2">
        <f>IF(ISNUMBER(Verification!E72),Verification!E72,IF(Calc!E72="",0,Calc!E72))</f>
        <v/>
      </c>
      <c r="H72" s="2">
        <f>IF(ISNUMBER(Verification!F72),Verification!F72,IF(Calc!F72="",0,Calc!F72))</f>
        <v/>
      </c>
      <c r="I72" s="2">
        <f>IF(ISNUMBER(Verification!G72),Verification!G72,IF(Calc!G72="",0,Calc!G72))</f>
        <v/>
      </c>
      <c r="J72" s="2">
        <f>COUNT(Calc!B72:G72)</f>
        <v/>
      </c>
      <c r="K72" s="2">
        <f>AVERAGE(D72:I72)</f>
        <v/>
      </c>
      <c r="L72" s="2">
        <f>6-J72</f>
        <v/>
      </c>
      <c r="M72" s="2">
        <f>IF(COUNTIF(Verification!H72:L72,"Review*")&gt;0,"Scored - coding review","Scored")</f>
        <v/>
      </c>
      <c r="N72" s="2" t="inlineStr">
        <is>
          <t>938 coding requires reviewer confirmation; 041 scored from available URL tier; 019 scored from populated repository field; 043 evidence URL should be checked; not scored separately</t>
        </is>
      </c>
    </row>
    <row r="73">
      <c r="A73" s="2" t="inlineStr">
        <is>
          <t>Omeka</t>
        </is>
      </c>
      <c r="B73" s="2" t="inlineStr">
        <is>
          <t>Digital Scholar</t>
        </is>
      </c>
      <c r="C73" s="2" t="inlineStr">
        <is>
          <t>Digital library, collection or exhibit platform</t>
        </is>
      </c>
      <c r="D73" s="2">
        <f>IF(ISNUMBER(Verification!B73),Verification!B73,IF(Calc!B73="",0,Calc!B73))</f>
        <v/>
      </c>
      <c r="E73" s="2">
        <f>IF(ISNUMBER(Verification!C73),Verification!C73,IF(Calc!C73="",0,Calc!C73))</f>
        <v/>
      </c>
      <c r="F73" s="2">
        <f>IF(ISNUMBER(Verification!D73),Verification!D73,IF(Calc!D73="",0,Calc!D73))</f>
        <v/>
      </c>
      <c r="G73" s="2">
        <f>IF(ISNUMBER(Verification!E73),Verification!E73,IF(Calc!E73="",0,Calc!E73))</f>
        <v/>
      </c>
      <c r="H73" s="2">
        <f>IF(ISNUMBER(Verification!F73),Verification!F73,IF(Calc!F73="",0,Calc!F73))</f>
        <v/>
      </c>
      <c r="I73" s="2">
        <f>IF(ISNUMBER(Verification!G73),Verification!G73,IF(Calc!G73="",0,Calc!G73))</f>
        <v/>
      </c>
      <c r="J73" s="2">
        <f>COUNT(Calc!B73:G73)</f>
        <v/>
      </c>
      <c r="K73" s="2">
        <f>AVERAGE(D73:I73)</f>
        <v/>
      </c>
      <c r="L73" s="2">
        <f>6-J73</f>
        <v/>
      </c>
      <c r="M73" s="2">
        <f>IF(COUNTIF(Verification!H73:L73,"Review*")&gt;0,"Scored - coding review","Scored")</f>
        <v/>
      </c>
      <c r="N73" s="2" t="inlineStr">
        <is>
          <t>938 coding requires reviewer confirmation; 041 scored from available URL tier; 019 scored from populated repository field; 043 evidence URL should be checked; not scored separately; 1 unavailable metric(s) scored as 0</t>
        </is>
      </c>
    </row>
    <row r="74">
      <c r="A74" s="2" t="inlineStr">
        <is>
          <t>OpenAIRE Graph</t>
        </is>
      </c>
      <c r="B74" s="2" t="inlineStr">
        <is>
          <t>OpenAIRE</t>
        </is>
      </c>
      <c r="C74" s="2" t="inlineStr">
        <is>
          <t>Discovery system | Open scholarly dataset</t>
        </is>
      </c>
      <c r="D74" s="2">
        <f>IF(ISNUMBER(Verification!B74),Verification!B74,IF(Calc!B74="",0,Calc!B74))</f>
        <v/>
      </c>
      <c r="E74" s="2">
        <f>IF(ISNUMBER(Verification!C74),Verification!C74,IF(Calc!C74="",0,Calc!C74))</f>
        <v/>
      </c>
      <c r="F74" s="2">
        <f>IF(ISNUMBER(Verification!D74),Verification!D74,IF(Calc!D74="",0,Calc!D74))</f>
        <v/>
      </c>
      <c r="G74" s="2">
        <f>IF(ISNUMBER(Verification!E74),Verification!E74,IF(Calc!E74="",0,Calc!E74))</f>
        <v/>
      </c>
      <c r="H74" s="2">
        <f>IF(ISNUMBER(Verification!F74),Verification!F74,IF(Calc!F74="",0,Calc!F74))</f>
        <v/>
      </c>
      <c r="I74" s="2">
        <f>IF(ISNUMBER(Verification!G74),Verification!G74,IF(Calc!G74="",0,Calc!G74))</f>
        <v/>
      </c>
      <c r="J74" s="2">
        <f>COUNT(Calc!B74:G74)</f>
        <v/>
      </c>
      <c r="K74" s="2">
        <f>AVERAGE(D74:I74)</f>
        <v/>
      </c>
      <c r="L74" s="2">
        <f>6-J74</f>
        <v/>
      </c>
      <c r="M74" s="2">
        <f>IF(COUNTIF(Verification!H74:L74,"Review*")&gt;0,"Scored - coding review","Scored")</f>
        <v/>
      </c>
      <c r="N74" s="2" t="inlineStr">
        <is>
          <t>019 scored from populated repository field; 043 evidence URL should be checked; not scored separately; 116 retained as source evidence only; not scored; 2 unavailable metric(s) scored as 0</t>
        </is>
      </c>
    </row>
    <row r="75">
      <c r="A75" s="2" t="inlineStr">
        <is>
          <t>OpenAlex</t>
        </is>
      </c>
      <c r="B75" s="2" t="inlineStr">
        <is>
          <t>OurResearch</t>
        </is>
      </c>
      <c r="C75" s="2" t="inlineStr">
        <is>
          <t>Open scholarly dataset</t>
        </is>
      </c>
      <c r="D75" s="2">
        <f>IF(ISNUMBER(Verification!B75),Verification!B75,IF(Calc!B75="",0,Calc!B75))</f>
        <v/>
      </c>
      <c r="E75" s="2">
        <f>IF(ISNUMBER(Verification!C75),Verification!C75,IF(Calc!C75="",0,Calc!C75))</f>
        <v/>
      </c>
      <c r="F75" s="2">
        <f>IF(ISNUMBER(Verification!D75),Verification!D75,IF(Calc!D75="",0,Calc!D75))</f>
        <v/>
      </c>
      <c r="G75" s="2">
        <f>IF(ISNUMBER(Verification!E75),Verification!E75,IF(Calc!E75="",0,Calc!E75))</f>
        <v/>
      </c>
      <c r="H75" s="2">
        <f>IF(ISNUMBER(Verification!F75),Verification!F75,IF(Calc!F75="",0,Calc!F75))</f>
        <v/>
      </c>
      <c r="I75" s="2">
        <f>IF(ISNUMBER(Verification!G75),Verification!G75,IF(Calc!G75="",0,Calc!G75))</f>
        <v/>
      </c>
      <c r="J75" s="2">
        <f>COUNT(Calc!B75:G75)</f>
        <v/>
      </c>
      <c r="K75" s="2">
        <f>AVERAGE(D75:I75)</f>
        <v/>
      </c>
      <c r="L75" s="2">
        <f>6-J75</f>
        <v/>
      </c>
      <c r="M75" s="2">
        <f>IF(COUNTIF(Verification!H75:L75,"Review*")&gt;0,"Scored - coding review","Scored")</f>
        <v/>
      </c>
      <c r="N75" s="2" t="inlineStr">
        <is>
          <t>938 coding requires reviewer confirmation; 041 scored from available URL tier; 019 scored from populated repository field</t>
        </is>
      </c>
    </row>
    <row r="76">
      <c r="A76" s="2" t="inlineStr">
        <is>
          <t>OpenAPC</t>
        </is>
      </c>
      <c r="B76" s="2" t="inlineStr">
        <is>
          <t>Bielefeld University</t>
        </is>
      </c>
      <c r="C76" s="2" t="inlineStr">
        <is>
          <t>Open scholarly dataset</t>
        </is>
      </c>
      <c r="D76" s="2">
        <f>IF(ISNUMBER(Verification!B76),Verification!B76,IF(Calc!B76="",0,Calc!B76))</f>
        <v/>
      </c>
      <c r="E76" s="2">
        <f>IF(ISNUMBER(Verification!C76),Verification!C76,IF(Calc!C76="",0,Calc!C76))</f>
        <v/>
      </c>
      <c r="F76" s="2">
        <f>IF(ISNUMBER(Verification!D76),Verification!D76,IF(Calc!D76="",0,Calc!D76))</f>
        <v/>
      </c>
      <c r="G76" s="2">
        <f>IF(ISNUMBER(Verification!E76),Verification!E76,IF(Calc!E76="",0,Calc!E76))</f>
        <v/>
      </c>
      <c r="H76" s="2">
        <f>IF(ISNUMBER(Verification!F76),Verification!F76,IF(Calc!F76="",0,Calc!F76))</f>
        <v/>
      </c>
      <c r="I76" s="2">
        <f>IF(ISNUMBER(Verification!G76),Verification!G76,IF(Calc!G76="",0,Calc!G76))</f>
        <v/>
      </c>
      <c r="J76" s="2">
        <f>COUNT(Calc!B76:G76)</f>
        <v/>
      </c>
      <c r="K76" s="2">
        <f>AVERAGE(D76:I76)</f>
        <v/>
      </c>
      <c r="L76" s="2">
        <f>6-J76</f>
        <v/>
      </c>
      <c r="M76" s="2">
        <f>IF(COUNTIF(Verification!H76:L76,"Review*")&gt;0,"Scored - coding review","Scored")</f>
        <v/>
      </c>
      <c r="N76" s="2" t="inlineStr">
        <is>
          <t>041 scored from available URL tier; 019 scored from populated repository field; 043 evidence URL should be checked; not scored separately; 116 retained as source evidence only; not scored; 1 unavailable metric(s) scored as 0</t>
        </is>
      </c>
    </row>
    <row r="77">
      <c r="A77" s="2" t="inlineStr">
        <is>
          <t>OpenCitations</t>
        </is>
      </c>
      <c r="B77" s="2" t="inlineStr">
        <is>
          <t>Research Centre for Open Scholarly Metadata, University of Bologna</t>
        </is>
      </c>
      <c r="C77" s="2" t="inlineStr">
        <is>
          <t>Open scholarly dataset</t>
        </is>
      </c>
      <c r="D77" s="2">
        <f>IF(ISNUMBER(Verification!B77),Verification!B77,IF(Calc!B77="",0,Calc!B77))</f>
        <v/>
      </c>
      <c r="E77" s="2">
        <f>IF(ISNUMBER(Verification!C77),Verification!C77,IF(Calc!C77="",0,Calc!C77))</f>
        <v/>
      </c>
      <c r="F77" s="2">
        <f>IF(ISNUMBER(Verification!D77),Verification!D77,IF(Calc!D77="",0,Calc!D77))</f>
        <v/>
      </c>
      <c r="G77" s="2">
        <f>IF(ISNUMBER(Verification!E77),Verification!E77,IF(Calc!E77="",0,Calc!E77))</f>
        <v/>
      </c>
      <c r="H77" s="2">
        <f>IF(ISNUMBER(Verification!F77),Verification!F77,IF(Calc!F77="",0,Calc!F77))</f>
        <v/>
      </c>
      <c r="I77" s="2">
        <f>IF(ISNUMBER(Verification!G77),Verification!G77,IF(Calc!G77="",0,Calc!G77))</f>
        <v/>
      </c>
      <c r="J77" s="2">
        <f>COUNT(Calc!B77:G77)</f>
        <v/>
      </c>
      <c r="K77" s="2">
        <f>AVERAGE(D77:I77)</f>
        <v/>
      </c>
      <c r="L77" s="2">
        <f>6-J77</f>
        <v/>
      </c>
      <c r="M77" s="2">
        <f>IF(COUNTIF(Verification!H77:L77,"Review*")&gt;0,"Scored - coding review","Scored")</f>
        <v/>
      </c>
      <c r="N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inlineStr">
        <is>
          <t>openCost</t>
        </is>
      </c>
      <c r="C78" s="2" t="inlineStr">
        <is>
          <t>Open scholarly dataset | Standard, specification or protocol</t>
        </is>
      </c>
      <c r="D78" s="2">
        <f>IF(ISNUMBER(Verification!B78),Verification!B78,IF(Calc!B78="",0,Calc!B78))</f>
        <v/>
      </c>
      <c r="E78" s="2">
        <f>IF(ISNUMBER(Verification!C78),Verification!C78,IF(Calc!C78="",0,Calc!C78))</f>
        <v/>
      </c>
      <c r="F78" s="2">
        <f>IF(ISNUMBER(Verification!D78),Verification!D78,IF(Calc!D78="",0,Calc!D78))</f>
        <v/>
      </c>
      <c r="G78" s="2">
        <f>IF(ISNUMBER(Verification!E78),Verification!E78,IF(Calc!E78="",0,Calc!E78))</f>
        <v/>
      </c>
      <c r="H78" s="2">
        <f>IF(ISNUMBER(Verification!F78),Verification!F78,IF(Calc!F78="",0,Calc!F78))</f>
        <v/>
      </c>
      <c r="I78" s="2">
        <f>IF(ISNUMBER(Verification!G78),Verification!G78,IF(Calc!G78="",0,Calc!G78))</f>
        <v/>
      </c>
      <c r="J78" s="2">
        <f>COUNT(Calc!B78:G78)</f>
        <v/>
      </c>
      <c r="K78" s="2">
        <f>AVERAGE(D78:I78)</f>
        <v/>
      </c>
      <c r="L78" s="2">
        <f>6-J78</f>
        <v/>
      </c>
      <c r="M78" s="2">
        <f>IF(COUNTIF(Verification!H78:L78,"Review*")&gt;0,"Scored - coding review","Scored")</f>
        <v/>
      </c>
      <c r="N78" s="2" t="inlineStr">
        <is>
          <t>041 scored from available URL tier; 019 scored from populated repository field; 116 retained as source evidence only; not scored; 1 unavailable metric(s) scored as 0</t>
        </is>
      </c>
    </row>
    <row r="79">
      <c r="A79" s="2" t="inlineStr">
        <is>
          <t>Open Data Editor</t>
        </is>
      </c>
      <c r="B79" s="2" t="inlineStr">
        <is>
          <t>Open Knowledge Foundation</t>
        </is>
      </c>
      <c r="C79" s="2" t="inlineStr">
        <is>
          <t>Data collection or management tool</t>
        </is>
      </c>
      <c r="D79" s="2">
        <f>IF(ISNUMBER(Verification!B79),Verification!B79,IF(Calc!B79="",0,Calc!B79))</f>
        <v/>
      </c>
      <c r="E79" s="2">
        <f>IF(ISNUMBER(Verification!C79),Verification!C79,IF(Calc!C79="",0,Calc!C79))</f>
        <v/>
      </c>
      <c r="F79" s="2">
        <f>IF(ISNUMBER(Verification!D79),Verification!D79,IF(Calc!D79="",0,Calc!D79))</f>
        <v/>
      </c>
      <c r="G79" s="2">
        <f>IF(ISNUMBER(Verification!E79),Verification!E79,IF(Calc!E79="",0,Calc!E79))</f>
        <v/>
      </c>
      <c r="H79" s="2">
        <f>IF(ISNUMBER(Verification!F79),Verification!F79,IF(Calc!F79="",0,Calc!F79))</f>
        <v/>
      </c>
      <c r="I79" s="2">
        <f>IF(ISNUMBER(Verification!G79),Verification!G79,IF(Calc!G79="",0,Calc!G79))</f>
        <v/>
      </c>
      <c r="J79" s="2">
        <f>COUNT(Calc!B79:G79)</f>
        <v/>
      </c>
      <c r="K79" s="2">
        <f>AVERAGE(D79:I79)</f>
        <v/>
      </c>
      <c r="L79" s="2">
        <f>6-J79</f>
        <v/>
      </c>
      <c r="M79" s="2">
        <f>IF(COUNTIF(Verification!H79:L79,"Review*")&gt;0,"Scored - coding review","Scored")</f>
        <v/>
      </c>
      <c r="N79" s="2" t="inlineStr">
        <is>
          <t>041 scored from available URL tier; 019 scored from populated repository field; 043 evidence URL should be checked; not scored separately; 116 retained as source evidence only; not scored</t>
        </is>
      </c>
    </row>
    <row r="80">
      <c r="A80" s="2" t="inlineStr">
        <is>
          <t>OpenEdition</t>
        </is>
      </c>
      <c r="B80" s="2" t="inlineStr">
        <is>
          <t>OpenEdition Center, Aix-Marseille University, the EHESS and Avignon University</t>
        </is>
      </c>
      <c r="C80" s="2" t="inlineStr">
        <is>
          <t>Discovery system</t>
        </is>
      </c>
      <c r="D80" s="2">
        <f>IF(ISNUMBER(Verification!B80),Verification!B80,IF(Calc!B80="",0,Calc!B80))</f>
        <v/>
      </c>
      <c r="E80" s="2">
        <f>IF(ISNUMBER(Verification!C80),Verification!C80,IF(Calc!C80="",0,Calc!C80))</f>
        <v/>
      </c>
      <c r="F80" s="2">
        <f>IF(ISNUMBER(Verification!D80),Verification!D80,IF(Calc!D80="",0,Calc!D80))</f>
        <v/>
      </c>
      <c r="G80" s="2">
        <f>IF(ISNUMBER(Verification!E80),Verification!E80,IF(Calc!E80="",0,Calc!E80))</f>
        <v/>
      </c>
      <c r="H80" s="2">
        <f>IF(ISNUMBER(Verification!F80),Verification!F80,IF(Calc!F80="",0,Calc!F80))</f>
        <v/>
      </c>
      <c r="I80" s="2">
        <f>IF(ISNUMBER(Verification!G80),Verification!G80,IF(Calc!G80="",0,Calc!G80))</f>
        <v/>
      </c>
      <c r="J80" s="2">
        <f>COUNT(Calc!B80:G80)</f>
        <v/>
      </c>
      <c r="K80" s="2">
        <f>AVERAGE(D80:I80)</f>
        <v/>
      </c>
      <c r="L80" s="2">
        <f>6-J80</f>
        <v/>
      </c>
      <c r="M80" s="2">
        <f>IF(COUNTIF(Verification!H80:L80,"Review*")&gt;0,"Scored - coding review","Scored")</f>
        <v/>
      </c>
      <c r="N80" s="2" t="inlineStr">
        <is>
          <t>938 coding requires reviewer confirmation; 019 scored from populated repository field; 1 unavailable metric(s) scored as 0</t>
        </is>
      </c>
    </row>
    <row r="81">
      <c r="A81" s="2" t="inlineStr">
        <is>
          <t>Open Journal Systems (OJS)</t>
        </is>
      </c>
      <c r="B81" s="2" t="inlineStr">
        <is>
          <t>Public Knowledge Project (PKP)</t>
        </is>
      </c>
      <c r="C81" s="2" t="inlineStr">
        <is>
          <t>Publishing system</t>
        </is>
      </c>
      <c r="D81" s="2">
        <f>IF(ISNUMBER(Verification!B81),Verification!B81,IF(Calc!B81="",0,Calc!B81))</f>
        <v/>
      </c>
      <c r="E81" s="2">
        <f>IF(ISNUMBER(Verification!C81),Verification!C81,IF(Calc!C81="",0,Calc!C81))</f>
        <v/>
      </c>
      <c r="F81" s="2">
        <f>IF(ISNUMBER(Verification!D81),Verification!D81,IF(Calc!D81="",0,Calc!D81))</f>
        <v/>
      </c>
      <c r="G81" s="2">
        <f>IF(ISNUMBER(Verification!E81),Verification!E81,IF(Calc!E81="",0,Calc!E81))</f>
        <v/>
      </c>
      <c r="H81" s="2">
        <f>IF(ISNUMBER(Verification!F81),Verification!F81,IF(Calc!F81="",0,Calc!F81))</f>
        <v/>
      </c>
      <c r="I81" s="2">
        <f>IF(ISNUMBER(Verification!G81),Verification!G81,IF(Calc!G81="",0,Calc!G81))</f>
        <v/>
      </c>
      <c r="J81" s="2">
        <f>COUNT(Calc!B81:G81)</f>
        <v/>
      </c>
      <c r="K81" s="2">
        <f>AVERAGE(D81:I81)</f>
        <v/>
      </c>
      <c r="L81" s="2">
        <f>6-J81</f>
        <v/>
      </c>
      <c r="M81" s="2">
        <f>IF(COUNTIF(Verification!H81:L81,"Review*")&gt;0,"Scored - coding review","Scored")</f>
        <v/>
      </c>
      <c r="N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inlineStr">
        <is>
          <t>Public Knowledge Project (PKP)</t>
        </is>
      </c>
      <c r="C82" s="2" t="inlineStr">
        <is>
          <t>Publishing system</t>
        </is>
      </c>
      <c r="D82" s="2">
        <f>IF(ISNUMBER(Verification!B82),Verification!B82,IF(Calc!B82="",0,Calc!B82))</f>
        <v/>
      </c>
      <c r="E82" s="2">
        <f>IF(ISNUMBER(Verification!C82),Verification!C82,IF(Calc!C82="",0,Calc!C82))</f>
        <v/>
      </c>
      <c r="F82" s="2">
        <f>IF(ISNUMBER(Verification!D82),Verification!D82,IF(Calc!D82="",0,Calc!D82))</f>
        <v/>
      </c>
      <c r="G82" s="2">
        <f>IF(ISNUMBER(Verification!E82),Verification!E82,IF(Calc!E82="",0,Calc!E82))</f>
        <v/>
      </c>
      <c r="H82" s="2">
        <f>IF(ISNUMBER(Verification!F82),Verification!F82,IF(Calc!F82="",0,Calc!F82))</f>
        <v/>
      </c>
      <c r="I82" s="2">
        <f>IF(ISNUMBER(Verification!G82),Verification!G82,IF(Calc!G82="",0,Calc!G82))</f>
        <v/>
      </c>
      <c r="J82" s="2">
        <f>COUNT(Calc!B82:G82)</f>
        <v/>
      </c>
      <c r="K82" s="2">
        <f>AVERAGE(D82:I82)</f>
        <v/>
      </c>
      <c r="L82" s="2">
        <f>6-J82</f>
        <v/>
      </c>
      <c r="M82" s="2">
        <f>IF(COUNTIF(Verification!H82:L82,"Review*")&gt;0,"Scored - coding review","Scored")</f>
        <v/>
      </c>
      <c r="N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inlineStr">
        <is>
          <t>Public Knowledge Project (PKP)</t>
        </is>
      </c>
      <c r="C83" s="2" t="inlineStr">
        <is>
          <t>Publishing system</t>
        </is>
      </c>
      <c r="D83" s="2">
        <f>IF(ISNUMBER(Verification!B83),Verification!B83,IF(Calc!B83="",0,Calc!B83))</f>
        <v/>
      </c>
      <c r="E83" s="2">
        <f>IF(ISNUMBER(Verification!C83),Verification!C83,IF(Calc!C83="",0,Calc!C83))</f>
        <v/>
      </c>
      <c r="F83" s="2">
        <f>IF(ISNUMBER(Verification!D83),Verification!D83,IF(Calc!D83="",0,Calc!D83))</f>
        <v/>
      </c>
      <c r="G83" s="2">
        <f>IF(ISNUMBER(Verification!E83),Verification!E83,IF(Calc!E83="",0,Calc!E83))</f>
        <v/>
      </c>
      <c r="H83" s="2">
        <f>IF(ISNUMBER(Verification!F83),Verification!F83,IF(Calc!F83="",0,Calc!F83))</f>
        <v/>
      </c>
      <c r="I83" s="2">
        <f>IF(ISNUMBER(Verification!G83),Verification!G83,IF(Calc!G83="",0,Calc!G83))</f>
        <v/>
      </c>
      <c r="J83" s="2">
        <f>COUNT(Calc!B83:G83)</f>
        <v/>
      </c>
      <c r="K83" s="2">
        <f>AVERAGE(D83:I83)</f>
        <v/>
      </c>
      <c r="L83" s="2">
        <f>6-J83</f>
        <v/>
      </c>
      <c r="M83" s="2">
        <f>IF(COUNTIF(Verification!H83:L83,"Review*")&gt;0,"Scored - coding review","Scored")</f>
        <v/>
      </c>
      <c r="N83" s="2" t="inlineStr">
        <is>
          <t>938 coding requires reviewer confirmation; 041 scored from available URL tier; 019 scored from populated repository field; 043 evidence URL should be checked; not scored separately</t>
        </is>
      </c>
    </row>
    <row r="84">
      <c r="A84" s="2" t="inlineStr">
        <is>
          <t>Openverse</t>
        </is>
      </c>
      <c r="B84" s="2" t="inlineStr">
        <is>
          <t>WordPress Foundation</t>
        </is>
      </c>
      <c r="C84" s="2" t="inlineStr">
        <is>
          <t>Discovery system</t>
        </is>
      </c>
      <c r="D84" s="2">
        <f>IF(ISNUMBER(Verification!B84),Verification!B84,IF(Calc!B84="",0,Calc!B84))</f>
        <v/>
      </c>
      <c r="E84" s="2">
        <f>IF(ISNUMBER(Verification!C84),Verification!C84,IF(Calc!C84="",0,Calc!C84))</f>
        <v/>
      </c>
      <c r="F84" s="2">
        <f>IF(ISNUMBER(Verification!D84),Verification!D84,IF(Calc!D84="",0,Calc!D84))</f>
        <v/>
      </c>
      <c r="G84" s="2">
        <f>IF(ISNUMBER(Verification!E84),Verification!E84,IF(Calc!E84="",0,Calc!E84))</f>
        <v/>
      </c>
      <c r="H84" s="2">
        <f>IF(ISNUMBER(Verification!F84),Verification!F84,IF(Calc!F84="",0,Calc!F84))</f>
        <v/>
      </c>
      <c r="I84" s="2">
        <f>IF(ISNUMBER(Verification!G84),Verification!G84,IF(Calc!G84="",0,Calc!G84))</f>
        <v/>
      </c>
      <c r="J84" s="2">
        <f>COUNT(Calc!B84:G84)</f>
        <v/>
      </c>
      <c r="K84" s="2">
        <f>AVERAGE(D84:I84)</f>
        <v/>
      </c>
      <c r="L84" s="2">
        <f>6-J84</f>
        <v/>
      </c>
      <c r="M84" s="2">
        <f>IF(COUNTIF(Verification!H84:L84,"Review*")&gt;0,"Scored - coding review","Scored")</f>
        <v/>
      </c>
      <c r="N84" s="2" t="inlineStr">
        <is>
          <t>041 scored from available URL tier; 019 scored from populated repository field; 043 evidence URL should be checked; not scored separately; 116 retained as source evidence only; not scored; 2 unavailable metric(s) scored as 0</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f>IF(ISNUMBER(Verification!B85),Verification!B85,IF(Calc!B85="",0,Calc!B85))</f>
        <v/>
      </c>
      <c r="E85" s="2">
        <f>IF(ISNUMBER(Verification!C85),Verification!C85,IF(Calc!C85="",0,Calc!C85))</f>
        <v/>
      </c>
      <c r="F85" s="2">
        <f>IF(ISNUMBER(Verification!D85),Verification!D85,IF(Calc!D85="",0,Calc!D85))</f>
        <v/>
      </c>
      <c r="G85" s="2">
        <f>IF(ISNUMBER(Verification!E85),Verification!E85,IF(Calc!E85="",0,Calc!E85))</f>
        <v/>
      </c>
      <c r="H85" s="2">
        <f>IF(ISNUMBER(Verification!F85),Verification!F85,IF(Calc!F85="",0,Calc!F85))</f>
        <v/>
      </c>
      <c r="I85" s="2">
        <f>IF(ISNUMBER(Verification!G85),Verification!G85,IF(Calc!G85="",0,Calc!G85))</f>
        <v/>
      </c>
      <c r="J85" s="2">
        <f>COUNT(Calc!B85:G85)</f>
        <v/>
      </c>
      <c r="K85" s="2">
        <f>AVERAGE(D85:I85)</f>
        <v/>
      </c>
      <c r="L85" s="2">
        <f>6-J85</f>
        <v/>
      </c>
      <c r="M85" s="2">
        <f>IF(COUNTIF(Verification!H85:L85,"Review*")&gt;0,"Scored - coding review","Scored")</f>
        <v/>
      </c>
      <c r="N85" s="2" t="inlineStr">
        <is>
          <t>019 scored from populated repository field; 3 unavailable metric(s) scored as 0</t>
        </is>
      </c>
    </row>
    <row r="86">
      <c r="A86" s="2" t="inlineStr">
        <is>
          <t>OSF (Open Science Framework)</t>
        </is>
      </c>
      <c r="B86" s="2" t="inlineStr">
        <is>
          <t>Center for Open Science, Inc.</t>
        </is>
      </c>
      <c r="C86" s="2" t="inlineStr">
        <is>
          <t>Repository service | Repository software</t>
        </is>
      </c>
      <c r="D86" s="2">
        <f>IF(ISNUMBER(Verification!B86),Verification!B86,IF(Calc!B86="",0,Calc!B86))</f>
        <v/>
      </c>
      <c r="E86" s="2">
        <f>IF(ISNUMBER(Verification!C86),Verification!C86,IF(Calc!C86="",0,Calc!C86))</f>
        <v/>
      </c>
      <c r="F86" s="2">
        <f>IF(ISNUMBER(Verification!D86),Verification!D86,IF(Calc!D86="",0,Calc!D86))</f>
        <v/>
      </c>
      <c r="G86" s="2">
        <f>IF(ISNUMBER(Verification!E86),Verification!E86,IF(Calc!E86="",0,Calc!E86))</f>
        <v/>
      </c>
      <c r="H86" s="2">
        <f>IF(ISNUMBER(Verification!F86),Verification!F86,IF(Calc!F86="",0,Calc!F86))</f>
        <v/>
      </c>
      <c r="I86" s="2">
        <f>IF(ISNUMBER(Verification!G86),Verification!G86,IF(Calc!G86="",0,Calc!G86))</f>
        <v/>
      </c>
      <c r="J86" s="2">
        <f>COUNT(Calc!B86:G86)</f>
        <v/>
      </c>
      <c r="K86" s="2">
        <f>AVERAGE(D86:I86)</f>
        <v/>
      </c>
      <c r="L86" s="2">
        <f>6-J86</f>
        <v/>
      </c>
      <c r="M86" s="2">
        <f>IF(COUNTIF(Verification!H86:L86,"Review*")&gt;0,"Scored - coding review","Scored")</f>
        <v/>
      </c>
      <c r="N86" s="2" t="inlineStr">
        <is>
          <t>938 coding requires reviewer confirmation; 041 scored from available URL tier; 019 scored from populated repository field; 043 evidence URL should be checked; not scored separately; 1 unavailable metric(s) scored as 0</t>
        </is>
      </c>
    </row>
    <row r="87">
      <c r="A87" s="2" t="inlineStr">
        <is>
          <t>Oxford Common File Layout</t>
        </is>
      </c>
      <c r="B87" s="2" t="inlineStr">
        <is>
          <t>Oxford Common File Layout (OCFL)</t>
        </is>
      </c>
      <c r="C87" s="2" t="inlineStr">
        <is>
          <t>Standard, specification or protocol</t>
        </is>
      </c>
      <c r="D87" s="2">
        <f>IF(ISNUMBER(Verification!B87),Verification!B87,IF(Calc!B87="",0,Calc!B87))</f>
        <v/>
      </c>
      <c r="E87" s="2">
        <f>IF(ISNUMBER(Verification!C87),Verification!C87,IF(Calc!C87="",0,Calc!C87))</f>
        <v/>
      </c>
      <c r="F87" s="2">
        <f>IF(ISNUMBER(Verification!D87),Verification!D87,IF(Calc!D87="",0,Calc!D87))</f>
        <v/>
      </c>
      <c r="G87" s="2">
        <f>IF(ISNUMBER(Verification!E87),Verification!E87,IF(Calc!E87="",0,Calc!E87))</f>
        <v/>
      </c>
      <c r="H87" s="2">
        <f>IF(ISNUMBER(Verification!F87),Verification!F87,IF(Calc!F87="",0,Calc!F87))</f>
        <v/>
      </c>
      <c r="I87" s="2">
        <f>IF(ISNUMBER(Verification!G87),Verification!G87,IF(Calc!G87="",0,Calc!G87))</f>
        <v/>
      </c>
      <c r="J87" s="2">
        <f>COUNT(Calc!B87:G87)</f>
        <v/>
      </c>
      <c r="K87" s="2">
        <f>AVERAGE(D87:I87)</f>
        <v/>
      </c>
      <c r="L87" s="2">
        <f>6-J87</f>
        <v/>
      </c>
      <c r="M87" s="2">
        <f>IF(COUNTIF(Verification!H87:L87,"Review*")&gt;0,"Scored - coding review","Scored")</f>
        <v/>
      </c>
      <c r="N87" s="2" t="inlineStr">
        <is>
          <t>041 scored from available URL tier; 019 scored from populated repository field; 1 unavailable metric(s) scored as 0</t>
        </is>
      </c>
    </row>
    <row r="88">
      <c r="A88" s="2" t="inlineStr">
        <is>
          <t>Peer Community In</t>
        </is>
      </c>
      <c r="B88" s="2" t="inlineStr">
        <is>
          <t>PCI, Peer Community In</t>
        </is>
      </c>
      <c r="C88" s="2" t="inlineStr">
        <is>
          <t>Peer review system</t>
        </is>
      </c>
      <c r="D88" s="2">
        <f>IF(ISNUMBER(Verification!B88),Verification!B88,IF(Calc!B88="",0,Calc!B88))</f>
        <v/>
      </c>
      <c r="E88" s="2">
        <f>IF(ISNUMBER(Verification!C88),Verification!C88,IF(Calc!C88="",0,Calc!C88))</f>
        <v/>
      </c>
      <c r="F88" s="2">
        <f>IF(ISNUMBER(Verification!D88),Verification!D88,IF(Calc!D88="",0,Calc!D88))</f>
        <v/>
      </c>
      <c r="G88" s="2">
        <f>IF(ISNUMBER(Verification!E88),Verification!E88,IF(Calc!E88="",0,Calc!E88))</f>
        <v/>
      </c>
      <c r="H88" s="2">
        <f>IF(ISNUMBER(Verification!F88),Verification!F88,IF(Calc!F88="",0,Calc!F88))</f>
        <v/>
      </c>
      <c r="I88" s="2">
        <f>IF(ISNUMBER(Verification!G88),Verification!G88,IF(Calc!G88="",0,Calc!G88))</f>
        <v/>
      </c>
      <c r="J88" s="2">
        <f>COUNT(Calc!B88:G88)</f>
        <v/>
      </c>
      <c r="K88" s="2">
        <f>AVERAGE(D88:I88)</f>
        <v/>
      </c>
      <c r="L88" s="2">
        <f>6-J88</f>
        <v/>
      </c>
      <c r="M88" s="2">
        <f>IF(COUNTIF(Verification!H88:L88,"Review*")&gt;0,"Scored - coding review","Scored")</f>
        <v/>
      </c>
      <c r="N88" s="2" t="inlineStr">
        <is>
          <t>938 coding requires reviewer confirmation; 019 scored from populated repository field; 043 evidence URL should be checked; not scored separately; 3 unavailable metric(s) scored as 0</t>
        </is>
      </c>
    </row>
    <row r="89">
      <c r="A89" s="2" t="inlineStr">
        <is>
          <t>PKP Preservation Network</t>
        </is>
      </c>
      <c r="B89" s="2" t="inlineStr">
        <is>
          <t>Public Knowledge Project (PKP)</t>
        </is>
      </c>
      <c r="C89" s="2" t="inlineStr">
        <is>
          <t>Digital preservation service</t>
        </is>
      </c>
      <c r="D89" s="2">
        <f>IF(ISNUMBER(Verification!B89),Verification!B89,IF(Calc!B89="",0,Calc!B89))</f>
        <v/>
      </c>
      <c r="E89" s="2">
        <f>IF(ISNUMBER(Verification!C89),Verification!C89,IF(Calc!C89="",0,Calc!C89))</f>
        <v/>
      </c>
      <c r="F89" s="2">
        <f>IF(ISNUMBER(Verification!D89),Verification!D89,IF(Calc!D89="",0,Calc!D89))</f>
        <v/>
      </c>
      <c r="G89" s="2">
        <f>IF(ISNUMBER(Verification!E89),Verification!E89,IF(Calc!E89="",0,Calc!E89))</f>
        <v/>
      </c>
      <c r="H89" s="2">
        <f>IF(ISNUMBER(Verification!F89),Verification!F89,IF(Calc!F89="",0,Calc!F89))</f>
        <v/>
      </c>
      <c r="I89" s="2">
        <f>IF(ISNUMBER(Verification!G89),Verification!G89,IF(Calc!G89="",0,Calc!G89))</f>
        <v/>
      </c>
      <c r="J89" s="2">
        <f>COUNT(Calc!B89:G89)</f>
        <v/>
      </c>
      <c r="K89" s="2">
        <f>AVERAGE(D89:I89)</f>
        <v/>
      </c>
      <c r="L89" s="2">
        <f>6-J89</f>
        <v/>
      </c>
      <c r="M89" s="2">
        <f>IF(COUNTIF(Verification!H89:L89,"Review*")&gt;0,"Scored - coding review","Scored")</f>
        <v/>
      </c>
      <c r="N89" s="2" t="inlineStr">
        <is>
          <t>041 scored from available URL tier; 019 scored from populated repository field; 043 evidence URL should be checked; not scored separately; 116 retained as source evidence only; not scored; 2 unavailable metric(s) scored as 0</t>
        </is>
      </c>
    </row>
    <row r="90">
      <c r="A90" s="2" t="inlineStr">
        <is>
          <t>PREreview</t>
        </is>
      </c>
      <c r="B90" s="2" t="inlineStr">
        <is>
          <t>Code for Science and Society</t>
        </is>
      </c>
      <c r="C90" s="2" t="inlineStr">
        <is>
          <t>Discovery system | Peer review system</t>
        </is>
      </c>
      <c r="D90" s="2">
        <f>IF(ISNUMBER(Verification!B90),Verification!B90,IF(Calc!B90="",0,Calc!B90))</f>
        <v/>
      </c>
      <c r="E90" s="2">
        <f>IF(ISNUMBER(Verification!C90),Verification!C90,IF(Calc!C90="",0,Calc!C90))</f>
        <v/>
      </c>
      <c r="F90" s="2">
        <f>IF(ISNUMBER(Verification!D90),Verification!D90,IF(Calc!D90="",0,Calc!D90))</f>
        <v/>
      </c>
      <c r="G90" s="2">
        <f>IF(ISNUMBER(Verification!E90),Verification!E90,IF(Calc!E90="",0,Calc!E90))</f>
        <v/>
      </c>
      <c r="H90" s="2">
        <f>IF(ISNUMBER(Verification!F90),Verification!F90,IF(Calc!F90="",0,Calc!F90))</f>
        <v/>
      </c>
      <c r="I90" s="2">
        <f>IF(ISNUMBER(Verification!G90),Verification!G90,IF(Calc!G90="",0,Calc!G90))</f>
        <v/>
      </c>
      <c r="J90" s="2">
        <f>COUNT(Calc!B90:G90)</f>
        <v/>
      </c>
      <c r="K90" s="2">
        <f>AVERAGE(D90:I90)</f>
        <v/>
      </c>
      <c r="L90" s="2">
        <f>6-J90</f>
        <v/>
      </c>
      <c r="M90" s="2">
        <f>IF(COUNTIF(Verification!H90:L90,"Review*")&gt;0,"Scored - coding review","Scored")</f>
        <v/>
      </c>
      <c r="N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inlineStr">
        <is>
          <t>Book Oven, Inc.</t>
        </is>
      </c>
      <c r="C91" s="2" t="inlineStr">
        <is>
          <t>Publishing system</t>
        </is>
      </c>
      <c r="D91" s="2">
        <f>IF(ISNUMBER(Verification!B91),Verification!B91,IF(Calc!B91="",0,Calc!B91))</f>
        <v/>
      </c>
      <c r="E91" s="2">
        <f>IF(ISNUMBER(Verification!C91),Verification!C91,IF(Calc!C91="",0,Calc!C91))</f>
        <v/>
      </c>
      <c r="F91" s="2">
        <f>IF(ISNUMBER(Verification!D91),Verification!D91,IF(Calc!D91="",0,Calc!D91))</f>
        <v/>
      </c>
      <c r="G91" s="2">
        <f>IF(ISNUMBER(Verification!E91),Verification!E91,IF(Calc!E91="",0,Calc!E91))</f>
        <v/>
      </c>
      <c r="H91" s="2">
        <f>IF(ISNUMBER(Verification!F91),Verification!F91,IF(Calc!F91="",0,Calc!F91))</f>
        <v/>
      </c>
      <c r="I91" s="2">
        <f>IF(ISNUMBER(Verification!G91),Verification!G91,IF(Calc!G91="",0,Calc!G91))</f>
        <v/>
      </c>
      <c r="J91" s="2">
        <f>COUNT(Calc!B91:G91)</f>
        <v/>
      </c>
      <c r="K91" s="2">
        <f>AVERAGE(D91:I91)</f>
        <v/>
      </c>
      <c r="L91" s="2">
        <f>6-J91</f>
        <v/>
      </c>
      <c r="M91" s="2">
        <f>IF(COUNTIF(Verification!H91:L91,"Review*")&gt;0,"Scored - coding review","Scored")</f>
        <v/>
      </c>
      <c r="N91" s="2" t="inlineStr">
        <is>
          <t>938 coding requires reviewer confirmation; 019 scored from populated repository field; 1 unavailable metric(s) scored as 0</t>
        </is>
      </c>
    </row>
    <row r="92">
      <c r="A92" s="2" t="inlineStr">
        <is>
          <t>Public Access Submission System</t>
        </is>
      </c>
      <c r="B92" s="2" t="inlineStr">
        <is>
          <t>Eclipse Foundation</t>
        </is>
      </c>
      <c r="C92" s="2" t="inlineStr">
        <is>
          <t>Submissions system</t>
        </is>
      </c>
      <c r="D92" s="2">
        <f>IF(ISNUMBER(Verification!B92),Verification!B92,IF(Calc!B92="",0,Calc!B92))</f>
        <v/>
      </c>
      <c r="E92" s="2">
        <f>IF(ISNUMBER(Verification!C92),Verification!C92,IF(Calc!C92="",0,Calc!C92))</f>
        <v/>
      </c>
      <c r="F92" s="2">
        <f>IF(ISNUMBER(Verification!D92),Verification!D92,IF(Calc!D92="",0,Calc!D92))</f>
        <v/>
      </c>
      <c r="G92" s="2">
        <f>IF(ISNUMBER(Verification!E92),Verification!E92,IF(Calc!E92="",0,Calc!E92))</f>
        <v/>
      </c>
      <c r="H92" s="2">
        <f>IF(ISNUMBER(Verification!F92),Verification!F92,IF(Calc!F92="",0,Calc!F92))</f>
        <v/>
      </c>
      <c r="I92" s="2">
        <f>IF(ISNUMBER(Verification!G92),Verification!G92,IF(Calc!G92="",0,Calc!G92))</f>
        <v/>
      </c>
      <c r="J92" s="2">
        <f>COUNT(Calc!B92:G92)</f>
        <v/>
      </c>
      <c r="K92" s="2">
        <f>AVERAGE(D92:I92)</f>
        <v/>
      </c>
      <c r="L92" s="2">
        <f>6-J92</f>
        <v/>
      </c>
      <c r="M92" s="2">
        <f>IF(COUNTIF(Verification!H92:L92,"Review*")&gt;0,"Scored - coding review","Scored")</f>
        <v/>
      </c>
      <c r="N92" s="2" t="inlineStr">
        <is>
          <t>041 scored from available URL tier; 019 scored from populated repository field; 043 evidence URL should be checked; not scored separately; 1 unavailable metric(s) scored as 0</t>
        </is>
      </c>
    </row>
    <row r="93">
      <c r="A93" s="2" t="inlineStr">
        <is>
          <t>Public Utility Data Liberation (PUDL)</t>
        </is>
      </c>
      <c r="B93" s="2" t="inlineStr">
        <is>
          <t>Catalyst Cooperative</t>
        </is>
      </c>
      <c r="C93" s="2" t="inlineStr">
        <is>
          <t>Open scholarly dataset | Web archiving system</t>
        </is>
      </c>
      <c r="D93" s="2">
        <f>IF(ISNUMBER(Verification!B93),Verification!B93,IF(Calc!B93="",0,Calc!B93))</f>
        <v/>
      </c>
      <c r="E93" s="2">
        <f>IF(ISNUMBER(Verification!C93),Verification!C93,IF(Calc!C93="",0,Calc!C93))</f>
        <v/>
      </c>
      <c r="F93" s="2">
        <f>IF(ISNUMBER(Verification!D93),Verification!D93,IF(Calc!D93="",0,Calc!D93))</f>
        <v/>
      </c>
      <c r="G93" s="2">
        <f>IF(ISNUMBER(Verification!E93),Verification!E93,IF(Calc!E93="",0,Calc!E93))</f>
        <v/>
      </c>
      <c r="H93" s="2">
        <f>IF(ISNUMBER(Verification!F93),Verification!F93,IF(Calc!F93="",0,Calc!F93))</f>
        <v/>
      </c>
      <c r="I93" s="2">
        <f>IF(ISNUMBER(Verification!G93),Verification!G93,IF(Calc!G93="",0,Calc!G93))</f>
        <v/>
      </c>
      <c r="J93" s="2">
        <f>COUNT(Calc!B93:G93)</f>
        <v/>
      </c>
      <c r="K93" s="2">
        <f>AVERAGE(D93:I93)</f>
        <v/>
      </c>
      <c r="L93" s="2">
        <f>6-J93</f>
        <v/>
      </c>
      <c r="M93" s="2">
        <f>IF(COUNTIF(Verification!H93:L93,"Review*")&gt;0,"Scored - coding review","Scored")</f>
        <v/>
      </c>
      <c r="N93" s="2" t="inlineStr">
        <is>
          <t>041 scored from available URL tier; 019 scored from populated repository field; 043 evidence URL should be checked; not scored separately; 116 retained as source evidence only; not scored; 1 unavailable metric(s) scored as 0</t>
        </is>
      </c>
    </row>
    <row r="94">
      <c r="A94" s="2" t="inlineStr">
        <is>
          <t>PubPub</t>
        </is>
      </c>
      <c r="B94" s="2" t="inlineStr">
        <is>
          <t>Knowledge Futures</t>
        </is>
      </c>
      <c r="C94" s="2" t="inlineStr">
        <is>
          <t>Publishing system</t>
        </is>
      </c>
      <c r="D94" s="2">
        <f>IF(ISNUMBER(Verification!B94),Verification!B94,IF(Calc!B94="",0,Calc!B94))</f>
        <v/>
      </c>
      <c r="E94" s="2">
        <f>IF(ISNUMBER(Verification!C94),Verification!C94,IF(Calc!C94="",0,Calc!C94))</f>
        <v/>
      </c>
      <c r="F94" s="2">
        <f>IF(ISNUMBER(Verification!D94),Verification!D94,IF(Calc!D94="",0,Calc!D94))</f>
        <v/>
      </c>
      <c r="G94" s="2">
        <f>IF(ISNUMBER(Verification!E94),Verification!E94,IF(Calc!E94="",0,Calc!E94))</f>
        <v/>
      </c>
      <c r="H94" s="2">
        <f>IF(ISNUMBER(Verification!F94),Verification!F94,IF(Calc!F94="",0,Calc!F94))</f>
        <v/>
      </c>
      <c r="I94" s="2">
        <f>IF(ISNUMBER(Verification!G94),Verification!G94,IF(Calc!G94="",0,Calc!G94))</f>
        <v/>
      </c>
      <c r="J94" s="2">
        <f>COUNT(Calc!B94:G94)</f>
        <v/>
      </c>
      <c r="K94" s="2">
        <f>AVERAGE(D94:I94)</f>
        <v/>
      </c>
      <c r="L94" s="2">
        <f>6-J94</f>
        <v/>
      </c>
      <c r="M94" s="2">
        <f>IF(COUNTIF(Verification!H94:L94,"Review*")&gt;0,"Scored - coding review","Scored")</f>
        <v/>
      </c>
      <c r="N94" s="2" t="inlineStr">
        <is>
          <t>938 coding requires reviewer confirmation; 041 scored from available URL tier; 019 scored from populated repository field; 043 evidence URL should be checked; not scored separately</t>
        </is>
      </c>
    </row>
    <row r="95">
      <c r="A95" s="2" t="inlineStr">
        <is>
          <t>Pundit</t>
        </is>
      </c>
      <c r="B95" s="2" t="inlineStr">
        <is>
          <t>Net7 Srl</t>
        </is>
      </c>
      <c r="C95" s="2" t="inlineStr">
        <is>
          <t>Annotations system</t>
        </is>
      </c>
      <c r="D95" s="2">
        <f>IF(ISNUMBER(Verification!B95),Verification!B95,IF(Calc!B95="",0,Calc!B95))</f>
        <v/>
      </c>
      <c r="E95" s="2">
        <f>IF(ISNUMBER(Verification!C95),Verification!C95,IF(Calc!C95="",0,Calc!C95))</f>
        <v/>
      </c>
      <c r="F95" s="2">
        <f>IF(ISNUMBER(Verification!D95),Verification!D95,IF(Calc!D95="",0,Calc!D95))</f>
        <v/>
      </c>
      <c r="G95" s="2">
        <f>IF(ISNUMBER(Verification!E95),Verification!E95,IF(Calc!E95="",0,Calc!E95))</f>
        <v/>
      </c>
      <c r="H95" s="2">
        <f>IF(ISNUMBER(Verification!F95),Verification!F95,IF(Calc!F95="",0,Calc!F95))</f>
        <v/>
      </c>
      <c r="I95" s="2">
        <f>IF(ISNUMBER(Verification!G95),Verification!G95,IF(Calc!G95="",0,Calc!G95))</f>
        <v/>
      </c>
      <c r="J95" s="2">
        <f>COUNT(Calc!B95:G95)</f>
        <v/>
      </c>
      <c r="K95" s="2">
        <f>AVERAGE(D95:I95)</f>
        <v/>
      </c>
      <c r="L95" s="2">
        <f>6-J95</f>
        <v/>
      </c>
      <c r="M95" s="2">
        <f>IF(COUNTIF(Verification!H95:L95,"Review*")&gt;0,"Scored - coding review","Scored")</f>
        <v/>
      </c>
      <c r="N95" s="2" t="inlineStr">
        <is>
          <t>019 scored from populated repository field; 037 status conflicts with listed 038/938 activity; both scored independently; 1 unavailable metric(s) scored as 0</t>
        </is>
      </c>
    </row>
    <row r="96">
      <c r="A96" s="2" t="inlineStr">
        <is>
          <t>pyOpenSci</t>
        </is>
      </c>
      <c r="B96" s="2" t="inlineStr">
        <is>
          <t>Community Initiatives</t>
        </is>
      </c>
      <c r="C96" s="2" t="inlineStr">
        <is>
          <t>Research software community</t>
        </is>
      </c>
      <c r="D96" s="2">
        <f>IF(ISNUMBER(Verification!B96),Verification!B96,IF(Calc!B96="",0,Calc!B96))</f>
        <v/>
      </c>
      <c r="E96" s="2">
        <f>IF(ISNUMBER(Verification!C96),Verification!C96,IF(Calc!C96="",0,Calc!C96))</f>
        <v/>
      </c>
      <c r="F96" s="2">
        <f>IF(ISNUMBER(Verification!D96),Verification!D96,IF(Calc!D96="",0,Calc!D96))</f>
        <v/>
      </c>
      <c r="G96" s="2">
        <f>IF(ISNUMBER(Verification!E96),Verification!E96,IF(Calc!E96="",0,Calc!E96))</f>
        <v/>
      </c>
      <c r="H96" s="2">
        <f>IF(ISNUMBER(Verification!F96),Verification!F96,IF(Calc!F96="",0,Calc!F96))</f>
        <v/>
      </c>
      <c r="I96" s="2">
        <f>IF(ISNUMBER(Verification!G96),Verification!G96,IF(Calc!G96="",0,Calc!G96))</f>
        <v/>
      </c>
      <c r="J96" s="2">
        <f>COUNT(Calc!B96:G96)</f>
        <v/>
      </c>
      <c r="K96" s="2">
        <f>AVERAGE(D96:I96)</f>
        <v/>
      </c>
      <c r="L96" s="2">
        <f>6-J96</f>
        <v/>
      </c>
      <c r="M96" s="2">
        <f>IF(COUNTIF(Verification!H96:L96,"Review*")&gt;0,"Scored - coding review","Scored")</f>
        <v/>
      </c>
      <c r="N96" s="2" t="inlineStr">
        <is>
          <t>041 scored from available URL tier; 019 scored from populated repository field; 043 evidence URL should be checked; not scored separately; 2 unavailable metric(s) scored as 0</t>
        </is>
      </c>
    </row>
    <row r="97">
      <c r="A97" s="2" t="inlineStr">
        <is>
          <t>Renku</t>
        </is>
      </c>
      <c r="B97" s="2" t="inlineStr">
        <is>
          <t>Swiss Data Science Center</t>
        </is>
      </c>
      <c r="C97" s="2" t="inlineStr">
        <is>
          <t>Data management planning tool or service | Discovery system | Research software community</t>
        </is>
      </c>
      <c r="D97" s="2">
        <f>IF(ISNUMBER(Verification!B97),Verification!B97,IF(Calc!B97="",0,Calc!B97))</f>
        <v/>
      </c>
      <c r="E97" s="2">
        <f>IF(ISNUMBER(Verification!C97),Verification!C97,IF(Calc!C97="",0,Calc!C97))</f>
        <v/>
      </c>
      <c r="F97" s="2">
        <f>IF(ISNUMBER(Verification!D97),Verification!D97,IF(Calc!D97="",0,Calc!D97))</f>
        <v/>
      </c>
      <c r="G97" s="2">
        <f>IF(ISNUMBER(Verification!E97),Verification!E97,IF(Calc!E97="",0,Calc!E97))</f>
        <v/>
      </c>
      <c r="H97" s="2">
        <f>IF(ISNUMBER(Verification!F97),Verification!F97,IF(Calc!F97="",0,Calc!F97))</f>
        <v/>
      </c>
      <c r="I97" s="2">
        <f>IF(ISNUMBER(Verification!G97),Verification!G97,IF(Calc!G97="",0,Calc!G97))</f>
        <v/>
      </c>
      <c r="J97" s="2">
        <f>COUNT(Calc!B97:G97)</f>
        <v/>
      </c>
      <c r="K97" s="2">
        <f>AVERAGE(D97:I97)</f>
        <v/>
      </c>
      <c r="L97" s="2">
        <f>6-J97</f>
        <v/>
      </c>
      <c r="M97" s="2">
        <f>IF(COUNTIF(Verification!H97:L97,"Review*")&gt;0,"Scored - coding review","Scored")</f>
        <v/>
      </c>
      <c r="N97" s="2" t="inlineStr">
        <is>
          <t>041 scored from available URL tier; 019 scored from populated repository field; 116 retained as source evidence only; not scored</t>
        </is>
      </c>
    </row>
    <row r="98">
      <c r="A98" s="2" t="inlineStr">
        <is>
          <t>RePEc</t>
        </is>
      </c>
      <c r="B98" s="2" t="inlineStr">
        <is>
          <t>RePEc</t>
        </is>
      </c>
      <c r="C98" s="2" t="inlineStr">
        <is>
          <t>Discovery system | Index or directory</t>
        </is>
      </c>
      <c r="D98" s="2">
        <f>IF(ISNUMBER(Verification!B98),Verification!B98,IF(Calc!B98="",0,Calc!B98))</f>
        <v/>
      </c>
      <c r="E98" s="2">
        <f>IF(ISNUMBER(Verification!C98),Verification!C98,IF(Calc!C98="",0,Calc!C98))</f>
        <v/>
      </c>
      <c r="F98" s="2">
        <f>IF(ISNUMBER(Verification!D98),Verification!D98,IF(Calc!D98="",0,Calc!D98))</f>
        <v/>
      </c>
      <c r="G98" s="2">
        <f>IF(ISNUMBER(Verification!E98),Verification!E98,IF(Calc!E98="",0,Calc!E98))</f>
        <v/>
      </c>
      <c r="H98" s="2">
        <f>IF(ISNUMBER(Verification!F98),Verification!F98,IF(Calc!F98="",0,Calc!F98))</f>
        <v/>
      </c>
      <c r="I98" s="2">
        <f>IF(ISNUMBER(Verification!G98),Verification!G98,IF(Calc!G98="",0,Calc!G98))</f>
        <v/>
      </c>
      <c r="J98" s="2">
        <f>COUNT(Calc!B98:G98)</f>
        <v/>
      </c>
      <c r="K98" s="2">
        <f>AVERAGE(D98:I98)</f>
        <v/>
      </c>
      <c r="L98" s="2">
        <f>6-J98</f>
        <v/>
      </c>
      <c r="M98" s="2">
        <f>IF(COUNTIF(Verification!H98:L98,"Review*")&gt;0,"Scored - coding review","Scored")</f>
        <v/>
      </c>
      <c r="N98" s="2" t="inlineStr">
        <is>
          <t>940 Other route requires reviewer confirmation; 019 scored from populated repository field; 116 retained as source evidence only; not scored; 1 unavailable metric(s) scored as 0</t>
        </is>
      </c>
    </row>
    <row r="99">
      <c r="A99" s="2" t="inlineStr">
        <is>
          <t>Research Organization Registry (ROR)</t>
        </is>
      </c>
      <c r="B99" s="2" t="inlineStr">
        <is>
          <t>California Digital Library, Crossref, DataCite</t>
        </is>
      </c>
      <c r="C99" s="2" t="inlineStr">
        <is>
          <t>Persistent identifier service</t>
        </is>
      </c>
      <c r="D99" s="2">
        <f>IF(ISNUMBER(Verification!B99),Verification!B99,IF(Calc!B99="",0,Calc!B99))</f>
        <v/>
      </c>
      <c r="E99" s="2">
        <f>IF(ISNUMBER(Verification!C99),Verification!C99,IF(Calc!C99="",0,Calc!C99))</f>
        <v/>
      </c>
      <c r="F99" s="2">
        <f>IF(ISNUMBER(Verification!D99),Verification!D99,IF(Calc!D99="",0,Calc!D99))</f>
        <v/>
      </c>
      <c r="G99" s="2">
        <f>IF(ISNUMBER(Verification!E99),Verification!E99,IF(Calc!E99="",0,Calc!E99))</f>
        <v/>
      </c>
      <c r="H99" s="2">
        <f>IF(ISNUMBER(Verification!F99),Verification!F99,IF(Calc!F99="",0,Calc!F99))</f>
        <v/>
      </c>
      <c r="I99" s="2">
        <f>IF(ISNUMBER(Verification!G99),Verification!G99,IF(Calc!G99="",0,Calc!G99))</f>
        <v/>
      </c>
      <c r="J99" s="2">
        <f>COUNT(Calc!B99:G99)</f>
        <v/>
      </c>
      <c r="K99" s="2">
        <f>AVERAGE(D99:I99)</f>
        <v/>
      </c>
      <c r="L99" s="2">
        <f>6-J99</f>
        <v/>
      </c>
      <c r="M99" s="2">
        <f>IF(COUNTIF(Verification!H99:L99,"Review*")&gt;0,"Scored - coding review","Scored")</f>
        <v/>
      </c>
      <c r="N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inlineStr">
        <is>
          <t>The Rogue Scholar</t>
        </is>
      </c>
      <c r="C100" s="2" t="inlineStr">
        <is>
          <t>Digital preservation system | Discovery system</t>
        </is>
      </c>
      <c r="D100" s="2">
        <f>IF(ISNUMBER(Verification!B100),Verification!B100,IF(Calc!B100="",0,Calc!B100))</f>
        <v/>
      </c>
      <c r="E100" s="2">
        <f>IF(ISNUMBER(Verification!C100),Verification!C100,IF(Calc!C100="",0,Calc!C100))</f>
        <v/>
      </c>
      <c r="F100" s="2">
        <f>IF(ISNUMBER(Verification!D100),Verification!D100,IF(Calc!D100="",0,Calc!D100))</f>
        <v/>
      </c>
      <c r="G100" s="2">
        <f>IF(ISNUMBER(Verification!E100),Verification!E100,IF(Calc!E100="",0,Calc!E100))</f>
        <v/>
      </c>
      <c r="H100" s="2">
        <f>IF(ISNUMBER(Verification!F100),Verification!F100,IF(Calc!F100="",0,Calc!F100))</f>
        <v/>
      </c>
      <c r="I100" s="2">
        <f>IF(ISNUMBER(Verification!G100),Verification!G100,IF(Calc!G100="",0,Calc!G100))</f>
        <v/>
      </c>
      <c r="J100" s="2">
        <f>COUNT(Calc!B100:G100)</f>
        <v/>
      </c>
      <c r="K100" s="2">
        <f>AVERAGE(D100:I100)</f>
        <v/>
      </c>
      <c r="L100" s="2">
        <f>6-J100</f>
        <v/>
      </c>
      <c r="M100" s="2">
        <f>IF(COUNTIF(Verification!H100:L100,"Review*")&gt;0,"Scored - coding review","Scored")</f>
        <v/>
      </c>
      <c r="N100" s="2" t="inlineStr">
        <is>
          <t>041 scored from available URL tier; 019 scored from populated repository field; 2 unavailable metric(s) scored as 0</t>
        </is>
      </c>
    </row>
    <row r="101">
      <c r="A101" s="2" t="inlineStr">
        <is>
          <t>RSpace</t>
        </is>
      </c>
      <c r="B101" s="2" t="inlineStr">
        <is>
          <t>Research Innovations Ltd (trading as Research Space)</t>
        </is>
      </c>
      <c r="C101" s="2" t="inlineStr">
        <is>
          <t>Authoring tool | Digital asset management system</t>
        </is>
      </c>
      <c r="D101" s="2">
        <f>IF(ISNUMBER(Verification!B101),Verification!B101,IF(Calc!B101="",0,Calc!B101))</f>
        <v/>
      </c>
      <c r="E101" s="2">
        <f>IF(ISNUMBER(Verification!C101),Verification!C101,IF(Calc!C101="",0,Calc!C101))</f>
        <v/>
      </c>
      <c r="F101" s="2">
        <f>IF(ISNUMBER(Verification!D101),Verification!D101,IF(Calc!D101="",0,Calc!D101))</f>
        <v/>
      </c>
      <c r="G101" s="2">
        <f>IF(ISNUMBER(Verification!E101),Verification!E101,IF(Calc!E101="",0,Calc!E101))</f>
        <v/>
      </c>
      <c r="H101" s="2">
        <f>IF(ISNUMBER(Verification!F101),Verification!F101,IF(Calc!F101="",0,Calc!F101))</f>
        <v/>
      </c>
      <c r="I101" s="2">
        <f>IF(ISNUMBER(Verification!G101),Verification!G101,IF(Calc!G101="",0,Calc!G101))</f>
        <v/>
      </c>
      <c r="J101" s="2">
        <f>COUNT(Calc!B101:G101)</f>
        <v/>
      </c>
      <c r="K101" s="2">
        <f>AVERAGE(D101:I101)</f>
        <v/>
      </c>
      <c r="L101" s="2">
        <f>6-J101</f>
        <v/>
      </c>
      <c r="M101" s="2">
        <f>IF(COUNTIF(Verification!H101:L101,"Review*")&gt;0,"Scored - coding review","Scored")</f>
        <v/>
      </c>
      <c r="N101" s="2" t="inlineStr">
        <is>
          <t>041 scored from available URL tier; 019 scored from populated repository field; 043 evidence URL should be checked; not scored separately; 116 retained as source evidence only; not scored</t>
        </is>
      </c>
    </row>
    <row r="102">
      <c r="A102" s="2" t="inlineStr">
        <is>
          <t>Sciety</t>
        </is>
      </c>
      <c r="B102" s="2" t="inlineStr">
        <is>
          <t>eLife</t>
        </is>
      </c>
      <c r="C102" s="2" t="inlineStr">
        <is>
          <t>Discovery system | Peer review system</t>
        </is>
      </c>
      <c r="D102" s="2">
        <f>IF(ISNUMBER(Verification!B102),Verification!B102,IF(Calc!B102="",0,Calc!B102))</f>
        <v/>
      </c>
      <c r="E102" s="2">
        <f>IF(ISNUMBER(Verification!C102),Verification!C102,IF(Calc!C102="",0,Calc!C102))</f>
        <v/>
      </c>
      <c r="F102" s="2">
        <f>IF(ISNUMBER(Verification!D102),Verification!D102,IF(Calc!D102="",0,Calc!D102))</f>
        <v/>
      </c>
      <c r="G102" s="2">
        <f>IF(ISNUMBER(Verification!E102),Verification!E102,IF(Calc!E102="",0,Calc!E102))</f>
        <v/>
      </c>
      <c r="H102" s="2">
        <f>IF(ISNUMBER(Verification!F102),Verification!F102,IF(Calc!F102="",0,Calc!F102))</f>
        <v/>
      </c>
      <c r="I102" s="2">
        <f>IF(ISNUMBER(Verification!G102),Verification!G102,IF(Calc!G102="",0,Calc!G102))</f>
        <v/>
      </c>
      <c r="J102" s="2">
        <f>COUNT(Calc!B102:G102)</f>
        <v/>
      </c>
      <c r="K102" s="2">
        <f>AVERAGE(D102:I102)</f>
        <v/>
      </c>
      <c r="L102" s="2">
        <f>6-J102</f>
        <v/>
      </c>
      <c r="M102" s="2">
        <f>IF(COUNTIF(Verification!H102:L102,"Review*")&gt;0,"Scored - coding review","Scored")</f>
        <v/>
      </c>
      <c r="N102" s="2" t="inlineStr">
        <is>
          <t>019 scored from populated repository field; 116 retained as source evidence only; not scored; 3 unavailable metric(s) scored as 0</t>
        </is>
      </c>
    </row>
    <row r="103">
      <c r="A103" s="2" t="inlineStr">
        <is>
          <t>Synapse</t>
        </is>
      </c>
      <c r="B103" s="2" t="inlineStr">
        <is>
          <t>Sage Bionetworks</t>
        </is>
      </c>
      <c r="C103" s="2" t="inlineStr">
        <is>
          <t>Annotations system | Repository service</t>
        </is>
      </c>
      <c r="D103" s="2">
        <f>IF(ISNUMBER(Verification!B103),Verification!B103,IF(Calc!B103="",0,Calc!B103))</f>
        <v/>
      </c>
      <c r="E103" s="2">
        <f>IF(ISNUMBER(Verification!C103),Verification!C103,IF(Calc!C103="",0,Calc!C103))</f>
        <v/>
      </c>
      <c r="F103" s="2">
        <f>IF(ISNUMBER(Verification!D103),Verification!D103,IF(Calc!D103="",0,Calc!D103))</f>
        <v/>
      </c>
      <c r="G103" s="2">
        <f>IF(ISNUMBER(Verification!E103),Verification!E103,IF(Calc!E103="",0,Calc!E103))</f>
        <v/>
      </c>
      <c r="H103" s="2">
        <f>IF(ISNUMBER(Verification!F103),Verification!F103,IF(Calc!F103="",0,Calc!F103))</f>
        <v/>
      </c>
      <c r="I103" s="2">
        <f>IF(ISNUMBER(Verification!G103),Verification!G103,IF(Calc!G103="",0,Calc!G103))</f>
        <v/>
      </c>
      <c r="J103" s="2">
        <f>COUNT(Calc!B103:G103)</f>
        <v/>
      </c>
      <c r="K103" s="2">
        <f>AVERAGE(D103:I103)</f>
        <v/>
      </c>
      <c r="L103" s="2">
        <f>6-J103</f>
        <v/>
      </c>
      <c r="M103" s="2">
        <f>IF(COUNTIF(Verification!H103:L103,"Review*")&gt;0,"Scored - coding review","Scored")</f>
        <v/>
      </c>
      <c r="N103" s="2" t="inlineStr">
        <is>
          <t>041 scored from available URL tier; 019 scored from populated repository field; 043 evidence URL should be checked; not scored separately; 116 retained as source evidence only; not scored; 2 unavailable metric(s) scored as 0</t>
        </is>
      </c>
    </row>
    <row r="104">
      <c r="A104" s="2" t="inlineStr">
        <is>
          <t>TagTeam</t>
        </is>
      </c>
      <c r="B104" s="2" t="inlineStr">
        <is>
          <t>Harvard University</t>
        </is>
      </c>
      <c r="C104" s="2" t="inlineStr">
        <is>
          <t>Annotations system | Discovery system</t>
        </is>
      </c>
      <c r="D104" s="2">
        <f>IF(ISNUMBER(Verification!B104),Verification!B104,IF(Calc!B104="",0,Calc!B104))</f>
        <v/>
      </c>
      <c r="E104" s="2">
        <f>IF(ISNUMBER(Verification!C104),Verification!C104,IF(Calc!C104="",0,Calc!C104))</f>
        <v/>
      </c>
      <c r="F104" s="2">
        <f>IF(ISNUMBER(Verification!D104),Verification!D104,IF(Calc!D104="",0,Calc!D104))</f>
        <v/>
      </c>
      <c r="G104" s="2">
        <f>IF(ISNUMBER(Verification!E104),Verification!E104,IF(Calc!E104="",0,Calc!E104))</f>
        <v/>
      </c>
      <c r="H104" s="2">
        <f>IF(ISNUMBER(Verification!F104),Verification!F104,IF(Calc!F104="",0,Calc!F104))</f>
        <v/>
      </c>
      <c r="I104" s="2">
        <f>IF(ISNUMBER(Verification!G104),Verification!G104,IF(Calc!G104="",0,Calc!G104))</f>
        <v/>
      </c>
      <c r="J104" s="2">
        <f>COUNT(Calc!B104:G104)</f>
        <v/>
      </c>
      <c r="K104" s="2">
        <f>AVERAGE(D104:I104)</f>
        <v/>
      </c>
      <c r="L104" s="2">
        <f>6-J104</f>
        <v/>
      </c>
      <c r="M104" s="2">
        <f>IF(COUNTIF(Verification!H104:L104,"Review*")&gt;0,"Scored - coding review","Scored")</f>
        <v/>
      </c>
      <c r="N104" s="2" t="inlineStr">
        <is>
          <t>041 scored from available URL tier; 019 scored from populated repository field; 043 evidence URL should be checked; not scored separately; 3 unavailable metric(s) scored as 0</t>
        </is>
      </c>
    </row>
    <row r="105">
      <c r="A105" s="2" t="inlineStr">
        <is>
          <t>Thoth Open Metadata</t>
        </is>
      </c>
      <c r="B105" s="2" t="inlineStr">
        <is>
          <t>Thoth Open Metadata</t>
        </is>
      </c>
      <c r="C105" s="2" t="inlineStr">
        <is>
          <t>Digital preservation service | Format conversion tool or service | Open scholarly dataset</t>
        </is>
      </c>
      <c r="D105" s="2">
        <f>IF(ISNUMBER(Verification!B105),Verification!B105,IF(Calc!B105="",0,Calc!B105))</f>
        <v/>
      </c>
      <c r="E105" s="2">
        <f>IF(ISNUMBER(Verification!C105),Verification!C105,IF(Calc!C105="",0,Calc!C105))</f>
        <v/>
      </c>
      <c r="F105" s="2">
        <f>IF(ISNUMBER(Verification!D105),Verification!D105,IF(Calc!D105="",0,Calc!D105))</f>
        <v/>
      </c>
      <c r="G105" s="2">
        <f>IF(ISNUMBER(Verification!E105),Verification!E105,IF(Calc!E105="",0,Calc!E105))</f>
        <v/>
      </c>
      <c r="H105" s="2">
        <f>IF(ISNUMBER(Verification!F105),Verification!F105,IF(Calc!F105="",0,Calc!F105))</f>
        <v/>
      </c>
      <c r="I105" s="2">
        <f>IF(ISNUMBER(Verification!G105),Verification!G105,IF(Calc!G105="",0,Calc!G105))</f>
        <v/>
      </c>
      <c r="J105" s="2">
        <f>COUNT(Calc!B105:G105)</f>
        <v/>
      </c>
      <c r="K105" s="2">
        <f>AVERAGE(D105:I105)</f>
        <v/>
      </c>
      <c r="L105" s="2">
        <f>6-J105</f>
        <v/>
      </c>
      <c r="M105" s="2">
        <f>IF(COUNTIF(Verification!H105:L105,"Review*")&gt;0,"Scored - coding review","Scored")</f>
        <v/>
      </c>
      <c r="N105" s="2" t="inlineStr">
        <is>
          <t>019 scored from populated repository field; 043 evidence URL should be checked; not scored separately; 116 retained as source evidence only; not scored; 1 unavailable metric(s) scored as 0</t>
        </is>
      </c>
    </row>
    <row r="106">
      <c r="A106" s="2" t="inlineStr">
        <is>
          <t>Tropy</t>
        </is>
      </c>
      <c r="B106" s="2" t="inlineStr">
        <is>
          <t>Digital Scholar</t>
        </is>
      </c>
      <c r="C106" s="2" t="inlineStr">
        <is>
          <t>Digital asset management system</t>
        </is>
      </c>
      <c r="D106" s="2">
        <f>IF(ISNUMBER(Verification!B106),Verification!B106,IF(Calc!B106="",0,Calc!B106))</f>
        <v/>
      </c>
      <c r="E106" s="2">
        <f>IF(ISNUMBER(Verification!C106),Verification!C106,IF(Calc!C106="",0,Calc!C106))</f>
        <v/>
      </c>
      <c r="F106" s="2">
        <f>IF(ISNUMBER(Verification!D106),Verification!D106,IF(Calc!D106="",0,Calc!D106))</f>
        <v/>
      </c>
      <c r="G106" s="2">
        <f>IF(ISNUMBER(Verification!E106),Verification!E106,IF(Calc!E106="",0,Calc!E106))</f>
        <v/>
      </c>
      <c r="H106" s="2">
        <f>IF(ISNUMBER(Verification!F106),Verification!F106,IF(Calc!F106="",0,Calc!F106))</f>
        <v/>
      </c>
      <c r="I106" s="2">
        <f>IF(ISNUMBER(Verification!G106),Verification!G106,IF(Calc!G106="",0,Calc!G106))</f>
        <v/>
      </c>
      <c r="J106" s="2">
        <f>COUNT(Calc!B106:G106)</f>
        <v/>
      </c>
      <c r="K106" s="2">
        <f>AVERAGE(D106:I106)</f>
        <v/>
      </c>
      <c r="L106" s="2">
        <f>6-J106</f>
        <v/>
      </c>
      <c r="M106" s="2">
        <f>IF(COUNTIF(Verification!H106:L106,"Review*")&gt;0,"Scored - coding review","Scored")</f>
        <v/>
      </c>
      <c r="N106" s="2" t="inlineStr">
        <is>
          <t>041 scored from available URL tier; 019 scored from populated repository field; 116 retained as source evidence only; not scored</t>
        </is>
      </c>
    </row>
    <row r="107">
      <c r="A107" s="2" t="inlineStr">
        <is>
          <t>veraPDF</t>
        </is>
      </c>
      <c r="B107" s="2" t="inlineStr">
        <is>
          <t>veraPDF Consortium</t>
        </is>
      </c>
      <c r="C107" s="2" t="inlineStr">
        <is>
          <t>Digital preservation tool | Standard, specification or protocol</t>
        </is>
      </c>
      <c r="D107" s="2">
        <f>IF(ISNUMBER(Verification!B107),Verification!B107,IF(Calc!B107="",0,Calc!B107))</f>
        <v/>
      </c>
      <c r="E107" s="2">
        <f>IF(ISNUMBER(Verification!C107),Verification!C107,IF(Calc!C107="",0,Calc!C107))</f>
        <v/>
      </c>
      <c r="F107" s="2">
        <f>IF(ISNUMBER(Verification!D107),Verification!D107,IF(Calc!D107="",0,Calc!D107))</f>
        <v/>
      </c>
      <c r="G107" s="2">
        <f>IF(ISNUMBER(Verification!E107),Verification!E107,IF(Calc!E107="",0,Calc!E107))</f>
        <v/>
      </c>
      <c r="H107" s="2">
        <f>IF(ISNUMBER(Verification!F107),Verification!F107,IF(Calc!F107="",0,Calc!F107))</f>
        <v/>
      </c>
      <c r="I107" s="2">
        <f>IF(ISNUMBER(Verification!G107),Verification!G107,IF(Calc!G107="",0,Calc!G107))</f>
        <v/>
      </c>
      <c r="J107" s="2">
        <f>COUNT(Calc!B107:G107)</f>
        <v/>
      </c>
      <c r="K107" s="2">
        <f>AVERAGE(D107:I107)</f>
        <v/>
      </c>
      <c r="L107" s="2">
        <f>6-J107</f>
        <v/>
      </c>
      <c r="M107" s="2">
        <f>IF(COUNTIF(Verification!H107:L107,"Review*")&gt;0,"Scored - coding review","Scored")</f>
        <v/>
      </c>
      <c r="N107" s="2" t="inlineStr">
        <is>
          <t>019 scored from populated repository field; 116 retained as source evidence only; not scored; 2 unavailable metric(s) scored as 0</t>
        </is>
      </c>
    </row>
    <row r="108">
      <c r="A108" s="2" t="inlineStr">
        <is>
          <t>ViPER</t>
        </is>
      </c>
      <c r="B108" s="2" t="inlineStr">
        <is>
          <t>Open Preservation Foundation</t>
        </is>
      </c>
      <c r="C108" s="2" t="inlineStr">
        <is>
          <t>Digital preservation tool</t>
        </is>
      </c>
      <c r="D108" s="2">
        <f>IF(ISNUMBER(Verification!B108),Verification!B108,IF(Calc!B108="",0,Calc!B108))</f>
        <v/>
      </c>
      <c r="E108" s="2">
        <f>IF(ISNUMBER(Verification!C108),Verification!C108,IF(Calc!C108="",0,Calc!C108))</f>
        <v/>
      </c>
      <c r="F108" s="2">
        <f>IF(ISNUMBER(Verification!D108),Verification!D108,IF(Calc!D108="",0,Calc!D108))</f>
        <v/>
      </c>
      <c r="G108" s="2">
        <f>IF(ISNUMBER(Verification!E108),Verification!E108,IF(Calc!E108="",0,Calc!E108))</f>
        <v/>
      </c>
      <c r="H108" s="2">
        <f>IF(ISNUMBER(Verification!F108),Verification!F108,IF(Calc!F108="",0,Calc!F108))</f>
        <v/>
      </c>
      <c r="I108" s="2">
        <f>IF(ISNUMBER(Verification!G108),Verification!G108,IF(Calc!G108="",0,Calc!G108))</f>
        <v/>
      </c>
      <c r="J108" s="2">
        <f>COUNT(Calc!B108:G108)</f>
        <v/>
      </c>
      <c r="K108" s="2">
        <f>AVERAGE(D108:I108)</f>
        <v/>
      </c>
      <c r="L108" s="2">
        <f>6-J108</f>
        <v/>
      </c>
      <c r="M108" s="2">
        <f>IF(COUNTIF(Verification!H108:L108,"Review*")&gt;0,"Scored - coding review","Scored")</f>
        <v/>
      </c>
      <c r="N108" s="2" t="inlineStr">
        <is>
          <t>041 scored from available URL tier; 019 scored from populated repository field; 116 retained as source evidence only; not scored</t>
        </is>
      </c>
    </row>
    <row r="109">
      <c r="A109" s="2" t="inlineStr">
        <is>
          <t>Vireo ETD</t>
        </is>
      </c>
      <c r="B109" s="2" t="inlineStr">
        <is>
          <t>Texas Digital Library</t>
        </is>
      </c>
      <c r="C109" s="2" t="inlineStr">
        <is>
          <t>Publishing system | Repository software | Submissions system</t>
        </is>
      </c>
      <c r="D109" s="2">
        <f>IF(ISNUMBER(Verification!B109),Verification!B109,IF(Calc!B109="",0,Calc!B109))</f>
        <v/>
      </c>
      <c r="E109" s="2">
        <f>IF(ISNUMBER(Verification!C109),Verification!C109,IF(Calc!C109="",0,Calc!C109))</f>
        <v/>
      </c>
      <c r="F109" s="2">
        <f>IF(ISNUMBER(Verification!D109),Verification!D109,IF(Calc!D109="",0,Calc!D109))</f>
        <v/>
      </c>
      <c r="G109" s="2">
        <f>IF(ISNUMBER(Verification!E109),Verification!E109,IF(Calc!E109="",0,Calc!E109))</f>
        <v/>
      </c>
      <c r="H109" s="2">
        <f>IF(ISNUMBER(Verification!F109),Verification!F109,IF(Calc!F109="",0,Calc!F109))</f>
        <v/>
      </c>
      <c r="I109" s="2">
        <f>IF(ISNUMBER(Verification!G109),Verification!G109,IF(Calc!G109="",0,Calc!G109))</f>
        <v/>
      </c>
      <c r="J109" s="2">
        <f>COUNT(Calc!B109:G109)</f>
        <v/>
      </c>
      <c r="K109" s="2">
        <f>AVERAGE(D109:I109)</f>
        <v/>
      </c>
      <c r="L109" s="2">
        <f>6-J109</f>
        <v/>
      </c>
      <c r="M109" s="2">
        <f>IF(COUNTIF(Verification!H109:L109,"Review*")&gt;0,"Scored - coding review","Scored")</f>
        <v/>
      </c>
      <c r="N109" s="2" t="inlineStr">
        <is>
          <t>019 scored from populated repository field; 116 retained as source evidence only; not scored; 1 unavailable metric(s) scored as 0</t>
        </is>
      </c>
    </row>
    <row r="110">
      <c r="A110" s="2" t="inlineStr">
        <is>
          <t>VIVO</t>
        </is>
      </c>
      <c r="B110" s="2" t="inlineStr">
        <is>
          <t>Lyrasis</t>
        </is>
      </c>
      <c r="C110" s="2" t="inlineStr">
        <is>
          <t>Discovery system | Research profiling system | Standard, specification or protocol</t>
        </is>
      </c>
      <c r="D110" s="2">
        <f>IF(ISNUMBER(Verification!B110),Verification!B110,IF(Calc!B110="",0,Calc!B110))</f>
        <v/>
      </c>
      <c r="E110" s="2">
        <f>IF(ISNUMBER(Verification!C110),Verification!C110,IF(Calc!C110="",0,Calc!C110))</f>
        <v/>
      </c>
      <c r="F110" s="2">
        <f>IF(ISNUMBER(Verification!D110),Verification!D110,IF(Calc!D110="",0,Calc!D110))</f>
        <v/>
      </c>
      <c r="G110" s="2">
        <f>IF(ISNUMBER(Verification!E110),Verification!E110,IF(Calc!E110="",0,Calc!E110))</f>
        <v/>
      </c>
      <c r="H110" s="2">
        <f>IF(ISNUMBER(Verification!F110),Verification!F110,IF(Calc!F110="",0,Calc!F110))</f>
        <v/>
      </c>
      <c r="I110" s="2">
        <f>IF(ISNUMBER(Verification!G110),Verification!G110,IF(Calc!G110="",0,Calc!G110))</f>
        <v/>
      </c>
      <c r="J110" s="2">
        <f>COUNT(Calc!B110:G110)</f>
        <v/>
      </c>
      <c r="K110" s="2">
        <f>AVERAGE(D110:I110)</f>
        <v/>
      </c>
      <c r="L110" s="2">
        <f>6-J110</f>
        <v/>
      </c>
      <c r="M110" s="2">
        <f>IF(COUNTIF(Verification!H110:L110,"Review*")&gt;0,"Scored - coding review","Scored")</f>
        <v/>
      </c>
      <c r="N110" s="2" t="inlineStr">
        <is>
          <t>041 scored from available URL tier; 019 scored from populated repository field; 116 retained as source evidence only; not scored</t>
        </is>
      </c>
    </row>
    <row r="111">
      <c r="A111" s="2" t="inlineStr">
        <is>
          <t>VuFind®</t>
        </is>
      </c>
      <c r="B111" s="2" t="inlineStr">
        <is>
          <t>Open Library Foundation</t>
        </is>
      </c>
      <c r="C111" s="2" t="inlineStr">
        <is>
          <t>Discovery system</t>
        </is>
      </c>
      <c r="D111" s="2">
        <f>IF(ISNUMBER(Verification!B111),Verification!B111,IF(Calc!B111="",0,Calc!B111))</f>
        <v/>
      </c>
      <c r="E111" s="2">
        <f>IF(ISNUMBER(Verification!C111),Verification!C111,IF(Calc!C111="",0,Calc!C111))</f>
        <v/>
      </c>
      <c r="F111" s="2">
        <f>IF(ISNUMBER(Verification!D111),Verification!D111,IF(Calc!D111="",0,Calc!D111))</f>
        <v/>
      </c>
      <c r="G111" s="2">
        <f>IF(ISNUMBER(Verification!E111),Verification!E111,IF(Calc!E111="",0,Calc!E111))</f>
        <v/>
      </c>
      <c r="H111" s="2">
        <f>IF(ISNUMBER(Verification!F111),Verification!F111,IF(Calc!F111="",0,Calc!F111))</f>
        <v/>
      </c>
      <c r="I111" s="2">
        <f>IF(ISNUMBER(Verification!G111),Verification!G111,IF(Calc!G111="",0,Calc!G111))</f>
        <v/>
      </c>
      <c r="J111" s="2">
        <f>COUNT(Calc!B111:G111)</f>
        <v/>
      </c>
      <c r="K111" s="2">
        <f>AVERAGE(D111:I111)</f>
        <v/>
      </c>
      <c r="L111" s="2">
        <f>6-J111</f>
        <v/>
      </c>
      <c r="M111" s="2">
        <f>IF(COUNTIF(Verification!H111:L111,"Review*")&gt;0,"Scored - coding review","Scored")</f>
        <v/>
      </c>
      <c r="N111" s="2" t="inlineStr">
        <is>
          <t>938 coding requires reviewer confirmation; 041 scored from available URL tier; 019 scored from populated repository field; 043 evidence URL should be checked; not scored separately</t>
        </is>
      </c>
    </row>
    <row r="112">
      <c r="A112" s="2" t="inlineStr">
        <is>
          <t>Zenodo</t>
        </is>
      </c>
      <c r="B112" s="2" t="inlineStr">
        <is>
          <t>CERN</t>
        </is>
      </c>
      <c r="C112" s="2" t="inlineStr">
        <is>
          <t>Repository service</t>
        </is>
      </c>
      <c r="D112" s="2">
        <f>IF(ISNUMBER(Verification!B112),Verification!B112,IF(Calc!B112="",0,Calc!B112))</f>
        <v/>
      </c>
      <c r="E112" s="2">
        <f>IF(ISNUMBER(Verification!C112),Verification!C112,IF(Calc!C112="",0,Calc!C112))</f>
        <v/>
      </c>
      <c r="F112" s="2">
        <f>IF(ISNUMBER(Verification!D112),Verification!D112,IF(Calc!D112="",0,Calc!D112))</f>
        <v/>
      </c>
      <c r="G112" s="2">
        <f>IF(ISNUMBER(Verification!E112),Verification!E112,IF(Calc!E112="",0,Calc!E112))</f>
        <v/>
      </c>
      <c r="H112" s="2">
        <f>IF(ISNUMBER(Verification!F112),Verification!F112,IF(Calc!F112="",0,Calc!F112))</f>
        <v/>
      </c>
      <c r="I112" s="2">
        <f>IF(ISNUMBER(Verification!G112),Verification!G112,IF(Calc!G112="",0,Calc!G112))</f>
        <v/>
      </c>
      <c r="J112" s="2">
        <f>COUNT(Calc!B112:G112)</f>
        <v/>
      </c>
      <c r="K112" s="2">
        <f>AVERAGE(D112:I112)</f>
        <v/>
      </c>
      <c r="L112" s="2">
        <f>6-J112</f>
        <v/>
      </c>
      <c r="M112" s="2">
        <f>IF(COUNTIF(Verification!H112:L112,"Review*")&gt;0,"Scored - coding review","Scored")</f>
        <v/>
      </c>
      <c r="N112" s="2" t="inlineStr">
        <is>
          <t>041 scored from available URL tier; 019 scored from populated repository field; 043 evidence URL should be checked; not scored separately; 1 unavailable metric(s) scored as 0</t>
        </is>
      </c>
    </row>
    <row r="113">
      <c r="A113" s="2" t="inlineStr">
        <is>
          <t>Zotero</t>
        </is>
      </c>
      <c r="B113" s="2" t="inlineStr">
        <is>
          <t>Digital Scholar</t>
        </is>
      </c>
      <c r="C113" s="2" t="inlineStr">
        <is>
          <t>Annotations system</t>
        </is>
      </c>
      <c r="D113" s="2">
        <f>IF(ISNUMBER(Verification!B113),Verification!B113,IF(Calc!B113="",0,Calc!B113))</f>
        <v/>
      </c>
      <c r="E113" s="2">
        <f>IF(ISNUMBER(Verification!C113),Verification!C113,IF(Calc!C113="",0,Calc!C113))</f>
        <v/>
      </c>
      <c r="F113" s="2">
        <f>IF(ISNUMBER(Verification!D113),Verification!D113,IF(Calc!D113="",0,Calc!D113))</f>
        <v/>
      </c>
      <c r="G113" s="2">
        <f>IF(ISNUMBER(Verification!E113),Verification!E113,IF(Calc!E113="",0,Calc!E113))</f>
        <v/>
      </c>
      <c r="H113" s="2">
        <f>IF(ISNUMBER(Verification!F113),Verification!F113,IF(Calc!F113="",0,Calc!F113))</f>
        <v/>
      </c>
      <c r="I113" s="2">
        <f>IF(ISNUMBER(Verification!G113),Verification!G113,IF(Calc!G113="",0,Calc!G113))</f>
        <v/>
      </c>
      <c r="J113" s="2">
        <f>COUNT(Calc!B113:G113)</f>
        <v/>
      </c>
      <c r="K113" s="2">
        <f>AVERAGE(D113:I113)</f>
        <v/>
      </c>
      <c r="L113" s="2">
        <f>6-J113</f>
        <v/>
      </c>
      <c r="M113" s="2">
        <f>IF(COUNTIF(Verification!H113:L113,"Review*")&gt;0,"Scored - coding review","Scored")</f>
        <v/>
      </c>
      <c r="N113" s="2" t="inlineStr">
        <is>
          <t>041 scored from available URL tier; 019 scored from populated repository field; 043 evidence URL should be checked; not scored separately; 116 retained as source evidence only; not scored</t>
        </is>
      </c>
    </row>
  </sheetData>
  <autoFilter ref="A1:N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0" customWidth="1" min="3" max="3"/>
    <col width="18" customWidth="1" min="4" max="4"/>
    <col width="75" customWidth="1" min="5" max="5"/>
    <col width="70" customWidth="1" min="6" max="6"/>
  </cols>
  <sheetData>
    <row r="1">
      <c r="A1" s="1" t="inlineStr">
        <is>
          <t>OISI Community Analysis / Community Engagement: Equal-Weight Scoring Rules</t>
        </is>
      </c>
      <c r="B1" s="1" t="n"/>
      <c r="C1" s="1" t="n"/>
      <c r="D1" s="1" t="n"/>
      <c r="E1" s="1" t="n"/>
      <c r="F1" s="1" t="n"/>
    </row>
    <row r="2">
      <c r="A2" s="2" t="inlineStr">
        <is>
          <t>Scoring set</t>
        </is>
      </c>
      <c r="B2" s="2" t="inlineStr">
        <is>
          <t>Six metrics E1, E2, C1, C2, C3, N1. Each is equally weighted.</t>
        </is>
      </c>
      <c r="C2" s="2" t="n"/>
      <c r="D2" s="2" t="n"/>
      <c r="E2" s="2" t="n"/>
      <c r="F2" s="2" t="n"/>
    </row>
    <row r="3">
      <c r="A3" s="2" t="inlineStr">
        <is>
          <t>Weights</t>
        </is>
      </c>
      <c r="B3" s="2" t="inlineStr">
        <is>
          <t>Each metric = 1/6 = 16.6667%; displayed as 16.67%. Calculations use the exact 1/6 fraction.</t>
        </is>
      </c>
      <c r="C3" s="2" t="n"/>
      <c r="D3" s="2" t="n"/>
      <c r="E3" s="2" t="n"/>
      <c r="F3" s="2" t="n"/>
    </row>
    <row r="4">
      <c r="A4" s="2" t="inlineStr">
        <is>
          <t>Final score</t>
        </is>
      </c>
      <c r="B4" s="2" t="inlineStr">
        <is>
          <t>Arithmetic mean of all six metric scores on a 0-100 scale.</t>
        </is>
      </c>
      <c r="C4" s="2" t="n"/>
      <c r="D4" s="2" t="n"/>
      <c r="E4" s="2" t="n"/>
      <c r="F4" s="2" t="n"/>
    </row>
    <row r="5">
      <c r="A5" s="2" t="inlineStr">
        <is>
          <t>Coverage rule</t>
        </is>
      </c>
      <c r="B5" s="2" t="inlineStr">
        <is>
          <t>No coverage eligibility gate. Every infrastructure receives a score.</t>
        </is>
      </c>
      <c r="C5" s="2" t="n"/>
      <c r="D5" s="2" t="n"/>
      <c r="E5" s="2" t="n"/>
      <c r="F5" s="2" t="n"/>
    </row>
    <row r="6">
      <c r="A6" s="2" t="inlineStr">
        <is>
          <t>Missing values</t>
        </is>
      </c>
      <c r="B6" s="2" t="inlineStr">
        <is>
          <t>Unavailable, blank, Unknown, or ambiguous metric values are scored as 0. This zero-filled score is not proof of zero underlying performance.</t>
        </is>
      </c>
      <c r="C6" s="2" t="n"/>
      <c r="D6" s="2" t="n"/>
      <c r="E6" s="2" t="n"/>
      <c r="F6" s="2" t="n"/>
    </row>
    <row r="7">
      <c r="A7" s="2" t="inlineStr">
        <is>
          <t>Performance bands</t>
        </is>
      </c>
      <c r="B7" s="2" t="inlineStr">
        <is>
          <t>None are used.</t>
        </is>
      </c>
      <c r="C7" s="2" t="n"/>
      <c r="D7" s="2" t="n"/>
      <c r="E7" s="2" t="n"/>
      <c r="F7" s="2" t="n"/>
    </row>
    <row r="8">
      <c r="A8" s="2" t="inlineStr">
        <is>
          <t>038 and 938</t>
        </is>
      </c>
      <c r="B8" s="2" t="inlineStr">
        <is>
          <t>Twelve named 038 activity types plus a thirteenth Other category, only when Other is selected and 938 supports a distinct unlisted activity. Duplicate categories are counted once.</t>
        </is>
      </c>
      <c r="C8" s="2" t="n"/>
      <c r="D8" s="2" t="n"/>
      <c r="E8" s="2" t="n"/>
      <c r="F8" s="2" t="n"/>
    </row>
    <row r="9">
      <c r="A9" s="2" t="inlineStr">
        <is>
          <t>040 and 940</t>
        </is>
      </c>
      <c r="B9" s="2" t="inlineStr">
        <is>
          <t>Eight named 040 contribution routes plus a ninth Other category, only when Other is selected and 940 supports a distinct unlisted route.</t>
        </is>
      </c>
      <c r="C9" s="2" t="n"/>
      <c r="D9" s="2" t="n"/>
      <c r="E9" s="2" t="n"/>
      <c r="F9" s="2" t="n"/>
    </row>
    <row r="10">
      <c r="A10" s="2" t="inlineStr">
        <is>
          <t>116</t>
        </is>
      </c>
      <c r="B10" s="2" t="inlineStr">
        <is>
          <t>Evidence only; not a scored metric. It is not included in E2 counts.</t>
        </is>
      </c>
      <c r="C10" s="2" t="n"/>
      <c r="D10" s="2" t="n"/>
      <c r="E10" s="2" t="n"/>
      <c r="F10" s="2" t="n"/>
    </row>
    <row r="11">
      <c r="A11" s="2" t="inlineStr">
        <is>
          <t>042 and 043</t>
        </is>
      </c>
      <c r="B11" s="2" t="inlineStr">
        <is>
          <t>042 is one status metric. 043 is supporting evidence for reviewer verification and is not scored separately.</t>
        </is>
      </c>
      <c r="C11" s="2" t="n"/>
      <c r="D11" s="2" t="n"/>
      <c r="E11" s="2" t="n"/>
      <c r="F11" s="2" t="n"/>
    </row>
    <row r="12">
      <c r="A12" s="2" t="inlineStr">
        <is>
          <t>Review status</t>
        </is>
      </c>
      <c r="B12" s="2" t="inlineStr">
        <is>
          <t>C2 and C3 are scored automatically when their source fields are populated. URL review notes are audit context, not a scoring prerequisite. Free-text coding and Other categories remain reviewable.</t>
        </is>
      </c>
      <c r="C12" s="2" t="n"/>
      <c r="D12" s="2" t="n"/>
      <c r="E12" s="2" t="n"/>
      <c r="F12" s="2" t="n"/>
    </row>
    <row r="13">
      <c r="A13" s="2" t="n"/>
      <c r="B13" s="2" t="n"/>
      <c r="C13" s="2" t="n"/>
      <c r="D13" s="2" t="n"/>
      <c r="E13" s="2" t="n"/>
      <c r="F13" s="2" t="n"/>
    </row>
    <row r="14">
      <c r="A14" s="2" t="inlineStr">
        <is>
          <t>Code</t>
        </is>
      </c>
      <c r="B14" s="2" t="inlineStr">
        <is>
          <t>Metric</t>
        </is>
      </c>
      <c r="C14" s="2" t="inlineStr">
        <is>
          <t>Source fields</t>
        </is>
      </c>
      <c r="D14" s="2" t="inlineStr">
        <is>
          <t>Equal weight</t>
        </is>
      </c>
      <c r="E14" s="2" t="inlineStr">
        <is>
          <t>Scoring rule</t>
        </is>
      </c>
      <c r="F14" s="2" t="inlineStr">
        <is>
          <t>Missing / verification treatment</t>
        </is>
      </c>
    </row>
    <row r="15">
      <c r="A15" s="2" t="inlineStr">
        <is>
          <t>E1</t>
        </is>
      </c>
      <c r="B15" s="2" t="inlineStr">
        <is>
          <t>Engagement status</t>
        </is>
      </c>
      <c r="C15" s="2" t="inlineStr">
        <is>
          <t>037</t>
        </is>
      </c>
      <c r="D15" s="2" t="n">
        <v>0.1666666666666667</v>
      </c>
      <c r="E15" s="2" t="inlineStr">
        <is>
          <t>Implemented/available=100; In progress=67; Considering=33; Not planning=0.</t>
        </is>
      </c>
      <c r="F15" s="2" t="inlineStr">
        <is>
          <t>Unknown/blank=0.</t>
        </is>
      </c>
    </row>
    <row r="16">
      <c r="A16" s="2" t="inlineStr">
        <is>
          <t>E2</t>
        </is>
      </c>
      <c r="B16" s="2" t="inlineStr">
        <is>
          <t>Engagement activity breadth</t>
        </is>
      </c>
      <c r="C16" s="2" t="inlineStr">
        <is>
          <t>038 + reviewed/coded 938</t>
        </is>
      </c>
      <c r="D16" s="2" t="n">
        <v>0.1666666666666667</v>
      </c>
      <c r="E16" s="2" t="inlineStr">
        <is>
          <t>100 x distinct supported activity types / 13. Twelve named types plus valid Other; categories deduplicated.</t>
        </is>
      </c>
      <c r="F16" s="2" t="inlineStr">
        <is>
          <t>No supported type=0. Review 938 coding and Other where needed.</t>
        </is>
      </c>
    </row>
    <row r="17">
      <c r="A17" s="2" t="inlineStr">
        <is>
          <t>C1</t>
        </is>
      </c>
      <c r="B17" s="2" t="inlineStr">
        <is>
          <t>Contribution opportunity breadth</t>
        </is>
      </c>
      <c r="C17" s="2" t="inlineStr">
        <is>
          <t>040 + reviewed 940</t>
        </is>
      </c>
      <c r="D17" s="2" t="n">
        <v>0.1666666666666667</v>
      </c>
      <c r="E17" s="2" t="inlineStr">
        <is>
          <t>100 x distinct supported routes / 9. Eight named routes plus valid Other; categories deduplicated.</t>
        </is>
      </c>
      <c r="F17" s="2" t="inlineStr">
        <is>
          <t>No supported route=0. Review 940 Other where needed.</t>
        </is>
      </c>
    </row>
    <row r="18">
      <c r="A18" s="2" t="inlineStr">
        <is>
          <t>C2</t>
        </is>
      </c>
      <c r="B18" s="2" t="inlineStr">
        <is>
          <t>Contribution guidance</t>
        </is>
      </c>
      <c r="C18" s="2" t="inlineStr">
        <is>
          <t>041</t>
        </is>
      </c>
      <c r="D18" s="2" t="n">
        <v>0.1666666666666667</v>
      </c>
      <c r="E18" s="2" t="inlineStr">
        <is>
          <t>Available dedicated contribution-guide URL=100; available relevant general participation URL=50.</t>
        </is>
      </c>
      <c r="F18" s="2" t="inlineStr">
        <is>
          <t>Blank or suspect URL=0.</t>
        </is>
      </c>
    </row>
    <row r="19">
      <c r="A19" s="2" t="inlineStr">
        <is>
          <t>C3</t>
        </is>
      </c>
      <c r="B19" s="2" t="inlineStr">
        <is>
          <t>Public contribution repository</t>
        </is>
      </c>
      <c r="C19" s="2" t="inlineStr">
        <is>
          <t>019</t>
        </is>
      </c>
      <c r="D19" s="2" t="n">
        <v>0.1666666666666667</v>
      </c>
      <c r="E19" s="2" t="inlineStr">
        <is>
          <t>Available public-forge URL=100; populated URL on another/unspecified host=50.</t>
        </is>
      </c>
      <c r="F19" s="2" t="inlineStr">
        <is>
          <t>Blank field=0.</t>
        </is>
      </c>
    </row>
    <row r="20">
      <c r="A20" s="2" t="inlineStr">
        <is>
          <t>N1</t>
        </is>
      </c>
      <c r="B20" s="2" t="inlineStr">
        <is>
          <t>Code of Conduct status</t>
        </is>
      </c>
      <c r="C20" s="2" t="inlineStr">
        <is>
          <t>042; 043 evidence only</t>
        </is>
      </c>
      <c r="D20" s="2" t="n">
        <v>0.1666666666666667</v>
      </c>
      <c r="E20" s="2" t="inlineStr">
        <is>
          <t>Implemented/available=100; In progress=67; Considering=33; Not planning=0.</t>
        </is>
      </c>
      <c r="F20" s="2" t="inlineStr">
        <is>
          <t>Unknown/blank=0. Use 043 as evidence only; no separate URL bonus/penalty.</t>
        </is>
      </c>
    </row>
  </sheetData>
  <autoFilter ref="A1:F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7" customWidth="1" min="1" max="1"/>
    <col width="34" customWidth="1" min="2" max="2"/>
    <col width="48" customWidth="1" min="3" max="3"/>
    <col width="21" customWidth="1" min="4" max="4"/>
    <col width="18" customWidth="1" min="5" max="5"/>
    <col width="28" customWidth="1" min="6" max="6"/>
  </cols>
  <sheetData>
    <row r="1">
      <c r="A1" s="1" t="inlineStr">
        <is>
          <t>Code</t>
        </is>
      </c>
      <c r="B1" s="1" t="inlineStr">
        <is>
          <t>Metric</t>
        </is>
      </c>
      <c r="C1" s="1" t="inlineStr">
        <is>
          <t>Source fields</t>
        </is>
      </c>
      <c r="D1" s="1" t="inlineStr">
        <is>
          <t>Weight (exact)</t>
        </is>
      </c>
      <c r="E1" s="1" t="inlineStr">
        <is>
          <t>Weight (display)</t>
        </is>
      </c>
      <c r="F1" s="1" t="inlineStr">
        <is>
          <t>Dimension</t>
        </is>
      </c>
    </row>
    <row r="2">
      <c r="A2" s="2" t="inlineStr">
        <is>
          <t>E1</t>
        </is>
      </c>
      <c r="B2" s="2" t="inlineStr">
        <is>
          <t>Engagement status</t>
        </is>
      </c>
      <c r="C2" s="2" t="inlineStr">
        <is>
          <t>037</t>
        </is>
      </c>
      <c r="D2" s="2" t="n">
        <v>0.1666666666666667</v>
      </c>
      <c r="E2" s="2" t="inlineStr">
        <is>
          <t>16.67%</t>
        </is>
      </c>
      <c r="F2" s="2" t="inlineStr">
        <is>
          <t>Engagement &amp; Participation</t>
        </is>
      </c>
    </row>
    <row r="3">
      <c r="A3" s="2" t="inlineStr">
        <is>
          <t>E2</t>
        </is>
      </c>
      <c r="B3" s="2" t="inlineStr">
        <is>
          <t>Engagement activity breadth</t>
        </is>
      </c>
      <c r="C3" s="2" t="inlineStr">
        <is>
          <t>038 + reviewed/coded 938</t>
        </is>
      </c>
      <c r="D3" s="2" t="n">
        <v>0.1666666666666667</v>
      </c>
      <c r="E3" s="2" t="inlineStr">
        <is>
          <t>16.67%</t>
        </is>
      </c>
      <c r="F3" s="2" t="inlineStr">
        <is>
          <t>Engagement &amp; Participation</t>
        </is>
      </c>
    </row>
    <row r="4">
      <c r="A4" s="2" t="inlineStr">
        <is>
          <t>C1</t>
        </is>
      </c>
      <c r="B4" s="2" t="inlineStr">
        <is>
          <t>Contribution opportunity breadth</t>
        </is>
      </c>
      <c r="C4" s="2" t="inlineStr">
        <is>
          <t>040 + reviewed 940</t>
        </is>
      </c>
      <c r="D4" s="2" t="n">
        <v>0.1666666666666667</v>
      </c>
      <c r="E4" s="2" t="inlineStr">
        <is>
          <t>16.67%</t>
        </is>
      </c>
      <c r="F4" s="2" t="inlineStr">
        <is>
          <t>Contribution Mechanisms</t>
        </is>
      </c>
    </row>
    <row r="5">
      <c r="A5" s="2" t="inlineStr">
        <is>
          <t>C2</t>
        </is>
      </c>
      <c r="B5" s="2" t="inlineStr">
        <is>
          <t>Contribution guidance</t>
        </is>
      </c>
      <c r="C5" s="2" t="inlineStr">
        <is>
          <t>041</t>
        </is>
      </c>
      <c r="D5" s="2" t="n">
        <v>0.1666666666666667</v>
      </c>
      <c r="E5" s="2" t="inlineStr">
        <is>
          <t>16.67%</t>
        </is>
      </c>
      <c r="F5" s="2" t="inlineStr">
        <is>
          <t>Contribution Mechanisms</t>
        </is>
      </c>
    </row>
    <row r="6">
      <c r="A6" s="2" t="inlineStr">
        <is>
          <t>C3</t>
        </is>
      </c>
      <c r="B6" s="2" t="inlineStr">
        <is>
          <t>Public contribution repository</t>
        </is>
      </c>
      <c r="C6" s="2" t="inlineStr">
        <is>
          <t>019</t>
        </is>
      </c>
      <c r="D6" s="2" t="n">
        <v>0.1666666666666667</v>
      </c>
      <c r="E6" s="2" t="inlineStr">
        <is>
          <t>16.67%</t>
        </is>
      </c>
      <c r="F6" s="2" t="inlineStr">
        <is>
          <t>Contribution Mechanisms</t>
        </is>
      </c>
    </row>
    <row r="7">
      <c r="A7" s="2" t="inlineStr">
        <is>
          <t>N1</t>
        </is>
      </c>
      <c r="B7" s="2" t="inlineStr">
        <is>
          <t>Code of Conduct status</t>
        </is>
      </c>
      <c r="C7" s="2" t="inlineStr">
        <is>
          <t>042; 043 evidence only</t>
        </is>
      </c>
      <c r="D7" s="2" t="n">
        <v>0.1666666666666667</v>
      </c>
      <c r="E7" s="2" t="inlineStr">
        <is>
          <t>16.67%</t>
        </is>
      </c>
      <c r="F7" s="2" t="inlineStr">
        <is>
          <t>Community Norms</t>
        </is>
      </c>
    </row>
    <row r="8">
      <c r="A8" s="2" t="inlineStr">
        <is>
          <t>Total</t>
        </is>
      </c>
      <c r="B8" s="2" t="inlineStr"/>
      <c r="C8" s="2" t="inlineStr"/>
      <c r="D8" s="2" t="n">
        <v>1</v>
      </c>
      <c r="E8" s="2" t="inlineStr">
        <is>
          <t>100.00%</t>
        </is>
      </c>
      <c r="F8" s="2" t="inlineStr"/>
    </row>
    <row r="9">
      <c r="A9" s="2" t="n"/>
      <c r="B9" s="2" t="n"/>
      <c r="C9" s="2" t="n"/>
      <c r="D9" s="2" t="n"/>
      <c r="E9" s="2" t="n"/>
      <c r="F9" s="2" t="n"/>
    </row>
    <row r="10">
      <c r="A10" s="2" t="inlineStr">
        <is>
          <t>Breadth denominator</t>
        </is>
      </c>
      <c r="B10" s="2" t="inlineStr">
        <is>
          <t>Available indicators</t>
        </is>
      </c>
      <c r="C10" s="2" t="inlineStr">
        <is>
          <t>Count rule</t>
        </is>
      </c>
      <c r="D10" s="2" t="n"/>
      <c r="E10" s="2" t="n"/>
      <c r="F10" s="2" t="n"/>
    </row>
    <row r="11">
      <c r="A11" s="2" t="inlineStr">
        <is>
          <t>038</t>
        </is>
      </c>
      <c r="B11" s="2" t="n">
        <v>13</v>
      </c>
      <c r="C11" s="2" t="inlineStr">
        <is>
          <t>12 named types + valid Other; no duplicate category count</t>
        </is>
      </c>
      <c r="D11" s="2" t="n"/>
      <c r="E11" s="2" t="n"/>
      <c r="F11" s="2" t="n"/>
    </row>
    <row r="12">
      <c r="A12" s="2" t="inlineStr">
        <is>
          <t>040</t>
        </is>
      </c>
      <c r="B12" s="2" t="n">
        <v>9</v>
      </c>
      <c r="C12" s="2" t="inlineStr">
        <is>
          <t>8 named routes + valid Other; no duplicate route count</t>
        </is>
      </c>
      <c r="D12" s="2" t="n"/>
      <c r="E12" s="2" t="n"/>
      <c r="F12" s="2" t="n"/>
    </row>
    <row r="13">
      <c r="A13" s="2" t="inlineStr">
        <is>
          <t>Coverage eligibility gate</t>
        </is>
      </c>
      <c r="B13" s="2" t="inlineStr">
        <is>
          <t>None</t>
        </is>
      </c>
      <c r="C13" s="2" t="inlineStr">
        <is>
          <t>All infrastructures receive an equal-weight score; unavailable metrics contribute 0</t>
        </is>
      </c>
      <c r="D13" s="2" t="n"/>
      <c r="E13" s="2" t="n"/>
      <c r="F13" s="2" t="n"/>
    </row>
  </sheetData>
  <autoFilter ref="A1:F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21" customWidth="1" min="3" max="3"/>
    <col width="21" customWidth="1" min="4" max="4"/>
    <col width="21" customWidth="1" min="5" max="5"/>
    <col width="21" customWidth="1" min="6" max="6"/>
    <col width="21" customWidth="1" min="7" max="7"/>
    <col width="15" customWidth="1" min="8" max="8"/>
    <col width="15" customWidth="1" min="9" max="9"/>
    <col width="27" customWidth="1" min="10" max="10"/>
    <col width="29" customWidth="1" min="11" max="11"/>
    <col width="15" customWidth="1" min="12" max="12"/>
    <col width="55" customWidth="1" min="13" max="13"/>
  </cols>
  <sheetData>
    <row r="1">
      <c r="A1" s="1" t="inlineStr">
        <is>
          <t>Service</t>
        </is>
      </c>
      <c r="B1" s="1" t="inlineStr">
        <is>
          <t>E1 override (0-100)</t>
        </is>
      </c>
      <c r="C1" s="1" t="inlineStr">
        <is>
          <t>E2 override (0-100)</t>
        </is>
      </c>
      <c r="D1" s="1" t="inlineStr">
        <is>
          <t>C1 override (0-100)</t>
        </is>
      </c>
      <c r="E1" s="1" t="inlineStr">
        <is>
          <t>C2 override (0-100)</t>
        </is>
      </c>
      <c r="F1" s="1" t="inlineStr">
        <is>
          <t>C3 override (0-100)</t>
        </is>
      </c>
      <c r="G1" s="1" t="inlineStr">
        <is>
          <t>N1 override (0-100)</t>
        </is>
      </c>
      <c r="H1" s="1" t="inlineStr">
        <is>
          <t>938 reviewed?</t>
        </is>
      </c>
      <c r="I1" s="1" t="inlineStr">
        <is>
          <t>940 reviewed?</t>
        </is>
      </c>
      <c r="J1" s="1" t="inlineStr">
        <is>
          <t>041 verified?</t>
        </is>
      </c>
      <c r="K1" s="1" t="inlineStr">
        <is>
          <t>019 verified public repo?</t>
        </is>
      </c>
      <c r="L1" s="1" t="inlineStr">
        <is>
          <t>043 checked?</t>
        </is>
      </c>
      <c r="M1" s="1" t="inlineStr">
        <is>
          <t>Reviewer notes</t>
        </is>
      </c>
    </row>
    <row r="2">
      <c r="A2" s="2" t="inlineStr">
        <is>
          <t>2i2c</t>
        </is>
      </c>
      <c r="B2" s="2" t="n"/>
      <c r="C2" s="2" t="n"/>
      <c r="D2" s="2" t="n"/>
      <c r="E2" s="2" t="n"/>
      <c r="F2" s="2" t="n"/>
      <c r="G2" s="2" t="n"/>
      <c r="H2" s="2" t="inlineStr">
        <is>
          <t>Review coding</t>
        </is>
      </c>
      <c r="I2" s="2" t="inlineStr">
        <is>
          <t>N/A</t>
        </is>
      </c>
      <c r="J2" s="2" t="inlineStr">
        <is>
          <t>No score</t>
        </is>
      </c>
      <c r="K2" s="2" t="inlineStr">
        <is>
          <t>Scored from available field</t>
        </is>
      </c>
      <c r="L2" s="2" t="inlineStr">
        <is>
          <t>Evidence only</t>
        </is>
      </c>
      <c r="M2" s="2" t="n"/>
    </row>
    <row r="3">
      <c r="A3" s="2" t="inlineStr">
        <is>
          <t>Academic Preservation Trust (APTrust)</t>
        </is>
      </c>
      <c r="B3" s="2" t="n"/>
      <c r="C3" s="2" t="n"/>
      <c r="D3" s="2" t="n"/>
      <c r="E3" s="2" t="n"/>
      <c r="F3" s="2" t="n"/>
      <c r="G3" s="2" t="n"/>
      <c r="H3" s="2" t="inlineStr">
        <is>
          <t>N/A</t>
        </is>
      </c>
      <c r="I3" s="2" t="inlineStr">
        <is>
          <t>N/A</t>
        </is>
      </c>
      <c r="J3" s="2" t="inlineStr">
        <is>
          <t>Scored from available URL</t>
        </is>
      </c>
      <c r="K3" s="2" t="inlineStr">
        <is>
          <t>Scored from available field</t>
        </is>
      </c>
      <c r="L3" s="2" t="inlineStr">
        <is>
          <t>Evidence only</t>
        </is>
      </c>
      <c r="M3" s="2" t="n"/>
    </row>
    <row r="4">
      <c r="A4" s="2" t="inlineStr">
        <is>
          <t>AfricArXiv</t>
        </is>
      </c>
      <c r="B4" s="2" t="n"/>
      <c r="C4" s="2" t="n"/>
      <c r="D4" s="2" t="n"/>
      <c r="E4" s="2" t="n"/>
      <c r="F4" s="2" t="n"/>
      <c r="G4" s="2" t="n"/>
      <c r="H4" s="2" t="inlineStr">
        <is>
          <t>N/A</t>
        </is>
      </c>
      <c r="I4" s="2" t="inlineStr">
        <is>
          <t>N/A</t>
        </is>
      </c>
      <c r="J4" s="2" t="inlineStr">
        <is>
          <t>No score</t>
        </is>
      </c>
      <c r="K4" s="2" t="inlineStr">
        <is>
          <t>No score</t>
        </is>
      </c>
      <c r="L4" s="2" t="inlineStr">
        <is>
          <t>Evidence only</t>
        </is>
      </c>
      <c r="M4" s="2" t="n"/>
    </row>
    <row r="5">
      <c r="A5" s="2" t="inlineStr">
        <is>
          <t>Arches Heritage Data Management Platform</t>
        </is>
      </c>
      <c r="B5" s="2" t="n"/>
      <c r="C5" s="2" t="n"/>
      <c r="D5" s="2" t="n"/>
      <c r="E5" s="2" t="n"/>
      <c r="F5" s="2" t="n"/>
      <c r="G5" s="2" t="n"/>
      <c r="H5" s="2" t="inlineStr">
        <is>
          <t>N/A</t>
        </is>
      </c>
      <c r="I5" s="2" t="inlineStr">
        <is>
          <t>N/A</t>
        </is>
      </c>
      <c r="J5" s="2" t="inlineStr">
        <is>
          <t>Scored from available URL</t>
        </is>
      </c>
      <c r="K5" s="2" t="inlineStr">
        <is>
          <t>Scored from available field</t>
        </is>
      </c>
      <c r="L5" s="2" t="inlineStr">
        <is>
          <t>Evidence only</t>
        </is>
      </c>
      <c r="M5" s="2" t="n"/>
    </row>
    <row r="6">
      <c r="A6" s="2" t="inlineStr">
        <is>
          <t>Archipelago Commons</t>
        </is>
      </c>
      <c r="B6" s="2" t="n"/>
      <c r="C6" s="2" t="n"/>
      <c r="D6" s="2" t="n"/>
      <c r="E6" s="2" t="n"/>
      <c r="F6" s="2" t="n"/>
      <c r="G6" s="2" t="n"/>
      <c r="H6" s="2" t="inlineStr">
        <is>
          <t>Review coding</t>
        </is>
      </c>
      <c r="I6" s="2" t="inlineStr">
        <is>
          <t>N/A</t>
        </is>
      </c>
      <c r="J6" s="2" t="inlineStr">
        <is>
          <t>Scored from available URL</t>
        </is>
      </c>
      <c r="K6" s="2" t="inlineStr">
        <is>
          <t>Scored from available field</t>
        </is>
      </c>
      <c r="L6" s="2" t="inlineStr">
        <is>
          <t>Evidence only</t>
        </is>
      </c>
      <c r="M6" s="2" t="n"/>
    </row>
    <row r="7">
      <c r="A7" s="2" t="inlineStr">
        <is>
          <t>Archival Resource Key</t>
        </is>
      </c>
      <c r="B7" s="2" t="n"/>
      <c r="C7" s="2" t="n"/>
      <c r="D7" s="2" t="n"/>
      <c r="E7" s="2" t="n"/>
      <c r="F7" s="2" t="n"/>
      <c r="G7" s="2" t="n"/>
      <c r="H7" s="2" t="inlineStr">
        <is>
          <t>N/A</t>
        </is>
      </c>
      <c r="I7" s="2" t="inlineStr">
        <is>
          <t>N/A</t>
        </is>
      </c>
      <c r="J7" s="2" t="inlineStr">
        <is>
          <t>Scored from available URL</t>
        </is>
      </c>
      <c r="K7" s="2" t="inlineStr">
        <is>
          <t>Scored from available field</t>
        </is>
      </c>
      <c r="L7" s="2" t="inlineStr">
        <is>
          <t>Evidence only</t>
        </is>
      </c>
      <c r="M7" s="2" t="n"/>
    </row>
    <row r="8">
      <c r="A8" s="2" t="inlineStr">
        <is>
          <t>Archivematica</t>
        </is>
      </c>
      <c r="B8" s="2" t="n"/>
      <c r="C8" s="2" t="n"/>
      <c r="D8" s="2" t="n"/>
      <c r="E8" s="2" t="n"/>
      <c r="F8" s="2" t="n"/>
      <c r="G8" s="2" t="n"/>
      <c r="H8" s="2" t="inlineStr">
        <is>
          <t>N/A</t>
        </is>
      </c>
      <c r="I8" s="2" t="inlineStr">
        <is>
          <t>N/A</t>
        </is>
      </c>
      <c r="J8" s="2" t="inlineStr">
        <is>
          <t>Scored from available URL</t>
        </is>
      </c>
      <c r="K8" s="2" t="inlineStr">
        <is>
          <t>Scored from available field</t>
        </is>
      </c>
      <c r="L8" s="2" t="inlineStr">
        <is>
          <t>Evidence only</t>
        </is>
      </c>
      <c r="M8" s="2" t="n"/>
    </row>
    <row r="9">
      <c r="A9" s="2" t="inlineStr">
        <is>
          <t>ArchivesSpace</t>
        </is>
      </c>
      <c r="B9" s="2" t="n"/>
      <c r="C9" s="2" t="n"/>
      <c r="D9" s="2" t="n"/>
      <c r="E9" s="2" t="n"/>
      <c r="F9" s="2" t="n"/>
      <c r="G9" s="2" t="n"/>
      <c r="H9" s="2" t="inlineStr">
        <is>
          <t>N/A</t>
        </is>
      </c>
      <c r="I9" s="2" t="inlineStr">
        <is>
          <t>N/A</t>
        </is>
      </c>
      <c r="J9" s="2" t="inlineStr">
        <is>
          <t>Scored from available URL</t>
        </is>
      </c>
      <c r="K9" s="2" t="inlineStr">
        <is>
          <t>Scored from available field</t>
        </is>
      </c>
      <c r="L9" s="2" t="inlineStr">
        <is>
          <t>Evidence only</t>
        </is>
      </c>
      <c r="M9" s="2" t="n"/>
    </row>
    <row r="10">
      <c r="A10" s="2" t="inlineStr">
        <is>
          <t>ARGOS</t>
        </is>
      </c>
      <c r="B10" s="2" t="n"/>
      <c r="C10" s="2" t="n"/>
      <c r="D10" s="2" t="n"/>
      <c r="E10" s="2" t="n"/>
      <c r="F10" s="2" t="n"/>
      <c r="G10" s="2" t="n"/>
      <c r="H10" s="2" t="inlineStr">
        <is>
          <t>N/A</t>
        </is>
      </c>
      <c r="I10" s="2" t="inlineStr">
        <is>
          <t>N/A</t>
        </is>
      </c>
      <c r="J10" s="2" t="inlineStr">
        <is>
          <t>No score</t>
        </is>
      </c>
      <c r="K10" s="2" t="inlineStr">
        <is>
          <t>Scored from available field</t>
        </is>
      </c>
      <c r="L10" s="2" t="inlineStr">
        <is>
          <t>Evidence only</t>
        </is>
      </c>
      <c r="M10" s="2" t="n"/>
    </row>
    <row r="11">
      <c r="A11" s="2" t="inlineStr">
        <is>
          <t>arXiv</t>
        </is>
      </c>
      <c r="B11" s="2" t="n"/>
      <c r="C11" s="2" t="n"/>
      <c r="D11" s="2" t="n"/>
      <c r="E11" s="2" t="n"/>
      <c r="F11" s="2" t="n"/>
      <c r="G11" s="2" t="n"/>
      <c r="H11" s="2" t="inlineStr">
        <is>
          <t>Review coding</t>
        </is>
      </c>
      <c r="I11" s="2" t="inlineStr">
        <is>
          <t>N/A</t>
        </is>
      </c>
      <c r="J11" s="2" t="inlineStr">
        <is>
          <t>Scored from available URL</t>
        </is>
      </c>
      <c r="K11" s="2" t="inlineStr">
        <is>
          <t>Scored from available field</t>
        </is>
      </c>
      <c r="L11" s="2" t="inlineStr">
        <is>
          <t>Evidence only</t>
        </is>
      </c>
      <c r="M11" s="2" t="n"/>
    </row>
    <row r="12">
      <c r="A12" s="2" t="inlineStr">
        <is>
          <t>AtoM</t>
        </is>
      </c>
      <c r="B12" s="2" t="n"/>
      <c r="C12" s="2" t="n"/>
      <c r="D12" s="2" t="n"/>
      <c r="E12" s="2" t="n"/>
      <c r="F12" s="2" t="n"/>
      <c r="G12" s="2" t="n"/>
      <c r="H12" s="2" t="inlineStr">
        <is>
          <t>N/A</t>
        </is>
      </c>
      <c r="I12" s="2" t="inlineStr">
        <is>
          <t>N/A</t>
        </is>
      </c>
      <c r="J12" s="2" t="inlineStr">
        <is>
          <t>No score</t>
        </is>
      </c>
      <c r="K12" s="2" t="inlineStr">
        <is>
          <t>Scored from available field</t>
        </is>
      </c>
      <c r="L12" s="2" t="inlineStr">
        <is>
          <t>Evidence only</t>
        </is>
      </c>
      <c r="M12" s="2" t="n"/>
    </row>
    <row r="13">
      <c r="A13" s="2" t="inlineStr">
        <is>
          <t>Avalon Media System</t>
        </is>
      </c>
      <c r="B13" s="2" t="n"/>
      <c r="C13" s="2" t="n"/>
      <c r="D13" s="2" t="n"/>
      <c r="E13" s="2" t="n"/>
      <c r="F13" s="2" t="n"/>
      <c r="G13" s="2" t="n"/>
      <c r="H13" s="2" t="inlineStr">
        <is>
          <t>N/A</t>
        </is>
      </c>
      <c r="I13" s="2" t="inlineStr">
        <is>
          <t>N/A</t>
        </is>
      </c>
      <c r="J13" s="2" t="inlineStr">
        <is>
          <t>Scored from available URL</t>
        </is>
      </c>
      <c r="K13" s="2" t="inlineStr">
        <is>
          <t>Scored from available field</t>
        </is>
      </c>
      <c r="L13" s="2" t="inlineStr">
        <is>
          <t>Evidence only</t>
        </is>
      </c>
      <c r="M13" s="2" t="n"/>
    </row>
    <row r="14">
      <c r="A14" s="2" t="inlineStr">
        <is>
          <t>Biodiversity Heritage Library</t>
        </is>
      </c>
      <c r="B14" s="2" t="n"/>
      <c r="C14" s="2" t="n"/>
      <c r="D14" s="2" t="n"/>
      <c r="E14" s="2" t="n"/>
      <c r="F14" s="2" t="n"/>
      <c r="G14" s="2" t="n"/>
      <c r="H14" s="2" t="inlineStr">
        <is>
          <t>N/A</t>
        </is>
      </c>
      <c r="I14" s="2" t="inlineStr">
        <is>
          <t>N/A</t>
        </is>
      </c>
      <c r="J14" s="2" t="inlineStr">
        <is>
          <t>Scored from available URL</t>
        </is>
      </c>
      <c r="K14" s="2" t="inlineStr">
        <is>
          <t>Scored from available field</t>
        </is>
      </c>
      <c r="L14" s="2" t="inlineStr">
        <is>
          <t>Evidence only</t>
        </is>
      </c>
      <c r="M14" s="2" t="n"/>
    </row>
    <row r="15">
      <c r="A15" s="2" t="inlineStr">
        <is>
          <t>bioRxiv</t>
        </is>
      </c>
      <c r="B15" s="2" t="n"/>
      <c r="C15" s="2" t="n"/>
      <c r="D15" s="2" t="n"/>
      <c r="E15" s="2" t="n"/>
      <c r="F15" s="2" t="n"/>
      <c r="G15" s="2" t="n"/>
      <c r="H15" s="2" t="inlineStr">
        <is>
          <t>Review coding</t>
        </is>
      </c>
      <c r="I15" s="2" t="inlineStr">
        <is>
          <t>N/A</t>
        </is>
      </c>
      <c r="J15" s="2" t="inlineStr">
        <is>
          <t>No score</t>
        </is>
      </c>
      <c r="K15" s="2" t="inlineStr">
        <is>
          <t>No score</t>
        </is>
      </c>
      <c r="L15" s="2" t="inlineStr">
        <is>
          <t>No URL</t>
        </is>
      </c>
      <c r="M15" s="2" t="n"/>
    </row>
    <row r="16">
      <c r="A16" s="2" t="inlineStr">
        <is>
          <t>BitCurator Environment</t>
        </is>
      </c>
      <c r="B16" s="2" t="n"/>
      <c r="C16" s="2" t="n"/>
      <c r="D16" s="2" t="n"/>
      <c r="E16" s="2" t="n"/>
      <c r="F16" s="2" t="n"/>
      <c r="G16" s="2" t="n"/>
      <c r="H16" s="2" t="inlineStr">
        <is>
          <t>N/A</t>
        </is>
      </c>
      <c r="I16" s="2" t="inlineStr">
        <is>
          <t>N/A</t>
        </is>
      </c>
      <c r="J16" s="2" t="inlineStr">
        <is>
          <t>Scored from available URL</t>
        </is>
      </c>
      <c r="K16" s="2" t="inlineStr">
        <is>
          <t>Scored from available field</t>
        </is>
      </c>
      <c r="L16" s="2" t="inlineStr">
        <is>
          <t>Evidence only</t>
        </is>
      </c>
      <c r="M16" s="2" t="n"/>
    </row>
    <row r="17">
      <c r="A17" s="2" t="inlineStr">
        <is>
          <t>Blacklight</t>
        </is>
      </c>
      <c r="B17" s="2" t="n"/>
      <c r="C17" s="2" t="n"/>
      <c r="D17" s="2" t="n"/>
      <c r="E17" s="2" t="n"/>
      <c r="F17" s="2" t="n"/>
      <c r="G17" s="2" t="n"/>
      <c r="H17" s="2" t="inlineStr">
        <is>
          <t>N/A</t>
        </is>
      </c>
      <c r="I17" s="2" t="inlineStr">
        <is>
          <t>N/A</t>
        </is>
      </c>
      <c r="J17" s="2" t="inlineStr">
        <is>
          <t>Scored from available URL</t>
        </is>
      </c>
      <c r="K17" s="2" t="inlineStr">
        <is>
          <t>Scored from available field</t>
        </is>
      </c>
      <c r="L17" s="2" t="inlineStr">
        <is>
          <t>No URL</t>
        </is>
      </c>
      <c r="M17" s="2" t="n"/>
    </row>
    <row r="18">
      <c r="A18" s="2" t="inlineStr">
        <is>
          <t>BrCRIS</t>
        </is>
      </c>
      <c r="B18" s="2" t="n"/>
      <c r="C18" s="2" t="n"/>
      <c r="D18" s="2" t="n"/>
      <c r="E18" s="2" t="n"/>
      <c r="F18" s="2" t="n"/>
      <c r="G18" s="2" t="n"/>
      <c r="H18" s="2" t="inlineStr">
        <is>
          <t>N/A</t>
        </is>
      </c>
      <c r="I18" s="2" t="inlineStr">
        <is>
          <t>N/A</t>
        </is>
      </c>
      <c r="J18" s="2" t="inlineStr">
        <is>
          <t>No score</t>
        </is>
      </c>
      <c r="K18" s="2" t="inlineStr">
        <is>
          <t>Scored from available field</t>
        </is>
      </c>
      <c r="L18" s="2" t="inlineStr">
        <is>
          <t>Evidence only</t>
        </is>
      </c>
      <c r="M18" s="2" t="n"/>
    </row>
    <row r="19">
      <c r="A19" s="2" t="inlineStr">
        <is>
          <t>Browsertrix</t>
        </is>
      </c>
      <c r="B19" s="2" t="n"/>
      <c r="C19" s="2" t="n"/>
      <c r="D19" s="2" t="n"/>
      <c r="E19" s="2" t="n"/>
      <c r="F19" s="2" t="n"/>
      <c r="G19" s="2" t="n"/>
      <c r="H19" s="2" t="inlineStr">
        <is>
          <t>N/A</t>
        </is>
      </c>
      <c r="I19" s="2" t="inlineStr">
        <is>
          <t>N/A</t>
        </is>
      </c>
      <c r="J19" s="2" t="inlineStr">
        <is>
          <t>No score</t>
        </is>
      </c>
      <c r="K19" s="2" t="inlineStr">
        <is>
          <t>Scored from available field</t>
        </is>
      </c>
      <c r="L19" s="2" t="inlineStr">
        <is>
          <t>Evidence only</t>
        </is>
      </c>
      <c r="M19" s="2" t="n"/>
    </row>
    <row r="20">
      <c r="A20" s="2" t="inlineStr">
        <is>
          <t>CLOCKSS</t>
        </is>
      </c>
      <c r="B20" s="2" t="n"/>
      <c r="C20" s="2" t="n"/>
      <c r="D20" s="2" t="n"/>
      <c r="E20" s="2" t="n"/>
      <c r="F20" s="2" t="n"/>
      <c r="G20" s="2" t="n"/>
      <c r="H20" s="2" t="inlineStr">
        <is>
          <t>N/A</t>
        </is>
      </c>
      <c r="I20" s="2" t="inlineStr">
        <is>
          <t>N/A</t>
        </is>
      </c>
      <c r="J20" s="2" t="inlineStr">
        <is>
          <t>No score</t>
        </is>
      </c>
      <c r="K20" s="2" t="inlineStr">
        <is>
          <t>Scored from available field</t>
        </is>
      </c>
      <c r="L20" s="2" t="inlineStr">
        <is>
          <t>No URL</t>
        </is>
      </c>
      <c r="M20" s="2" t="n"/>
    </row>
    <row r="21">
      <c r="A21" s="2" t="inlineStr">
        <is>
          <t>COAR International Repository Directory (IRD)</t>
        </is>
      </c>
      <c r="B21" s="2" t="n"/>
      <c r="C21" s="2" t="n"/>
      <c r="D21" s="2" t="n"/>
      <c r="E21" s="2" t="n"/>
      <c r="F21" s="2" t="n"/>
      <c r="G21" s="2" t="n"/>
      <c r="H21" s="2" t="inlineStr">
        <is>
          <t>N/A</t>
        </is>
      </c>
      <c r="I21" s="2" t="inlineStr">
        <is>
          <t>N/A</t>
        </is>
      </c>
      <c r="J21" s="2" t="inlineStr">
        <is>
          <t>Scored from available URL</t>
        </is>
      </c>
      <c r="K21" s="2" t="inlineStr">
        <is>
          <t>Scored from available field</t>
        </is>
      </c>
      <c r="L21" s="2" t="inlineStr">
        <is>
          <t>No URL</t>
        </is>
      </c>
      <c r="M21" s="2" t="n"/>
    </row>
    <row r="22">
      <c r="A22" s="2" t="inlineStr">
        <is>
          <t>COAR Notify</t>
        </is>
      </c>
      <c r="B22" s="2" t="n"/>
      <c r="C22" s="2" t="n"/>
      <c r="D22" s="2" t="n"/>
      <c r="E22" s="2" t="n"/>
      <c r="F22" s="2" t="n"/>
      <c r="G22" s="2" t="n"/>
      <c r="H22" s="2" t="inlineStr">
        <is>
          <t>N/A</t>
        </is>
      </c>
      <c r="I22" s="2" t="inlineStr">
        <is>
          <t>N/A</t>
        </is>
      </c>
      <c r="J22" s="2" t="inlineStr">
        <is>
          <t>Scored from available URL</t>
        </is>
      </c>
      <c r="K22" s="2" t="inlineStr">
        <is>
          <t>Scored from available field</t>
        </is>
      </c>
      <c r="L22" s="2" t="inlineStr">
        <is>
          <t>No URL</t>
        </is>
      </c>
      <c r="M22" s="2" t="n"/>
    </row>
    <row r="23">
      <c r="A23" s="2" t="inlineStr">
        <is>
          <t>CollectiveAccess</t>
        </is>
      </c>
      <c r="B23" s="2" t="n"/>
      <c r="C23" s="2" t="n"/>
      <c r="D23" s="2" t="n"/>
      <c r="E23" s="2" t="n"/>
      <c r="F23" s="2" t="n"/>
      <c r="G23" s="2" t="n"/>
      <c r="H23" s="2" t="inlineStr">
        <is>
          <t>N/A</t>
        </is>
      </c>
      <c r="I23" s="2" t="inlineStr">
        <is>
          <t>N/A</t>
        </is>
      </c>
      <c r="J23" s="2" t="inlineStr">
        <is>
          <t>Scored from available URL</t>
        </is>
      </c>
      <c r="K23" s="2" t="inlineStr">
        <is>
          <t>Scored from available field</t>
        </is>
      </c>
      <c r="L23" s="2" t="inlineStr">
        <is>
          <t>Evidence only</t>
        </is>
      </c>
      <c r="M23" s="2" t="n"/>
    </row>
    <row r="24">
      <c r="A24" s="2" t="inlineStr">
        <is>
          <t>CORE</t>
        </is>
      </c>
      <c r="B24" s="2" t="n"/>
      <c r="C24" s="2" t="n"/>
      <c r="D24" s="2" t="n"/>
      <c r="E24" s="2" t="n"/>
      <c r="F24" s="2" t="n"/>
      <c r="G24" s="2" t="n"/>
      <c r="H24" s="2" t="inlineStr">
        <is>
          <t>Review coding</t>
        </is>
      </c>
      <c r="I24" s="2" t="inlineStr">
        <is>
          <t>N/A</t>
        </is>
      </c>
      <c r="J24" s="2" t="inlineStr">
        <is>
          <t>Scored from available URL</t>
        </is>
      </c>
      <c r="K24" s="2" t="inlineStr">
        <is>
          <t>Scored from available field</t>
        </is>
      </c>
      <c r="L24" s="2" t="inlineStr">
        <is>
          <t>Evidence only</t>
        </is>
      </c>
      <c r="M24" s="2" t="n"/>
    </row>
    <row r="25">
      <c r="A25" s="2" t="inlineStr">
        <is>
          <t>COUNTER Code of Practice</t>
        </is>
      </c>
      <c r="B25" s="2" t="n"/>
      <c r="C25" s="2" t="n"/>
      <c r="D25" s="2" t="n"/>
      <c r="E25" s="2" t="n"/>
      <c r="F25" s="2" t="n"/>
      <c r="G25" s="2" t="n"/>
      <c r="H25" s="2" t="inlineStr">
        <is>
          <t>Review coding</t>
        </is>
      </c>
      <c r="I25" s="2" t="inlineStr">
        <is>
          <t>N/A</t>
        </is>
      </c>
      <c r="J25" s="2" t="inlineStr">
        <is>
          <t>Scored from available URL</t>
        </is>
      </c>
      <c r="K25" s="2" t="inlineStr">
        <is>
          <t>Scored from available field</t>
        </is>
      </c>
      <c r="L25" s="2" t="inlineStr">
        <is>
          <t>Evidence only</t>
        </is>
      </c>
      <c r="M25" s="2" t="n"/>
    </row>
    <row r="26">
      <c r="A26" s="2" t="inlineStr">
        <is>
          <t>Creative Commons Licenses</t>
        </is>
      </c>
      <c r="B26" s="2" t="n"/>
      <c r="C26" s="2" t="n"/>
      <c r="D26" s="2" t="n"/>
      <c r="E26" s="2" t="n"/>
      <c r="F26" s="2" t="n"/>
      <c r="G26" s="2" t="n"/>
      <c r="H26" s="2" t="inlineStr">
        <is>
          <t>Review coding</t>
        </is>
      </c>
      <c r="I26" s="2" t="inlineStr">
        <is>
          <t>N/A</t>
        </is>
      </c>
      <c r="J26" s="2" t="inlineStr">
        <is>
          <t>Scored from available URL</t>
        </is>
      </c>
      <c r="K26" s="2" t="inlineStr">
        <is>
          <t>Scored from available field</t>
        </is>
      </c>
      <c r="L26" s="2" t="inlineStr">
        <is>
          <t>Evidence only</t>
        </is>
      </c>
      <c r="M26" s="2" t="n"/>
    </row>
    <row r="27">
      <c r="A27" s="2" t="inlineStr">
        <is>
          <t>Crossref Metadata Retrieval</t>
        </is>
      </c>
      <c r="B27" s="2" t="n"/>
      <c r="C27" s="2" t="n"/>
      <c r="D27" s="2" t="n"/>
      <c r="E27" s="2" t="n"/>
      <c r="F27" s="2" t="n"/>
      <c r="G27" s="2" t="n"/>
      <c r="H27" s="2" t="inlineStr">
        <is>
          <t>Review coding</t>
        </is>
      </c>
      <c r="I27" s="2" t="inlineStr">
        <is>
          <t>N/A</t>
        </is>
      </c>
      <c r="J27" s="2" t="inlineStr">
        <is>
          <t>Scored from available URL</t>
        </is>
      </c>
      <c r="K27" s="2" t="inlineStr">
        <is>
          <t>Scored from available field</t>
        </is>
      </c>
      <c r="L27" s="2" t="inlineStr">
        <is>
          <t>Evidence only</t>
        </is>
      </c>
      <c r="M27" s="2" t="n"/>
    </row>
    <row r="28">
      <c r="A28" s="2" t="inlineStr">
        <is>
          <t>D4Science Infrastructure</t>
        </is>
      </c>
      <c r="B28" s="2" t="n"/>
      <c r="C28" s="2" t="n"/>
      <c r="D28" s="2" t="n"/>
      <c r="E28" s="2" t="n"/>
      <c r="F28" s="2" t="n"/>
      <c r="G28" s="2" t="n"/>
      <c r="H28" s="2" t="inlineStr">
        <is>
          <t>N/A</t>
        </is>
      </c>
      <c r="I28" s="2" t="inlineStr">
        <is>
          <t>N/A</t>
        </is>
      </c>
      <c r="J28" s="2" t="inlineStr">
        <is>
          <t>No score</t>
        </is>
      </c>
      <c r="K28" s="2" t="inlineStr">
        <is>
          <t>Scored from available field</t>
        </is>
      </c>
      <c r="L28" s="2" t="inlineStr">
        <is>
          <t>No URL</t>
        </is>
      </c>
      <c r="M28" s="2" t="n"/>
    </row>
    <row r="29">
      <c r="A29" s="2" t="inlineStr">
        <is>
          <t>DART (Digital Archivist's Resource Tool)</t>
        </is>
      </c>
      <c r="B29" s="2" t="n"/>
      <c r="C29" s="2" t="n"/>
      <c r="D29" s="2" t="n"/>
      <c r="E29" s="2" t="n"/>
      <c r="F29" s="2" t="n"/>
      <c r="G29" s="2" t="n"/>
      <c r="H29" s="2" t="inlineStr">
        <is>
          <t>N/A</t>
        </is>
      </c>
      <c r="I29" s="2" t="inlineStr">
        <is>
          <t>N/A</t>
        </is>
      </c>
      <c r="J29" s="2" t="inlineStr">
        <is>
          <t>Scored from available URL</t>
        </is>
      </c>
      <c r="K29" s="2" t="inlineStr">
        <is>
          <t>Scored from available field</t>
        </is>
      </c>
      <c r="L29" s="2" t="inlineStr">
        <is>
          <t>No URL</t>
        </is>
      </c>
      <c r="M29" s="2" t="n"/>
    </row>
    <row r="30">
      <c r="A30" s="2" t="inlineStr">
        <is>
          <t>Database Information System</t>
        </is>
      </c>
      <c r="B30" s="2" t="n"/>
      <c r="C30" s="2" t="n"/>
      <c r="D30" s="2" t="n"/>
      <c r="E30" s="2" t="n"/>
      <c r="F30" s="2" t="n"/>
      <c r="G30" s="2" t="n"/>
      <c r="H30" s="2" t="inlineStr">
        <is>
          <t>N/A</t>
        </is>
      </c>
      <c r="I30" s="2" t="inlineStr">
        <is>
          <t>N/A</t>
        </is>
      </c>
      <c r="J30" s="2" t="inlineStr">
        <is>
          <t>No score</t>
        </is>
      </c>
      <c r="K30" s="2" t="inlineStr">
        <is>
          <t>Scored from available field</t>
        </is>
      </c>
      <c r="L30" s="2" t="inlineStr">
        <is>
          <t>No URL</t>
        </is>
      </c>
      <c r="M30" s="2" t="n"/>
    </row>
    <row r="31">
      <c r="A31" s="2" t="inlineStr">
        <is>
          <t>Data Citation Corpus</t>
        </is>
      </c>
      <c r="B31" s="2" t="n"/>
      <c r="C31" s="2" t="n"/>
      <c r="D31" s="2" t="n"/>
      <c r="E31" s="2" t="n"/>
      <c r="F31" s="2" t="n"/>
      <c r="G31" s="2" t="n"/>
      <c r="H31" s="2" t="inlineStr">
        <is>
          <t>N/A</t>
        </is>
      </c>
      <c r="I31" s="2" t="inlineStr">
        <is>
          <t>Review Other</t>
        </is>
      </c>
      <c r="J31" s="2" t="inlineStr">
        <is>
          <t>Scored from available URL</t>
        </is>
      </c>
      <c r="K31" s="2" t="inlineStr">
        <is>
          <t>Scored from available field</t>
        </is>
      </c>
      <c r="L31" s="2" t="inlineStr">
        <is>
          <t>No URL</t>
        </is>
      </c>
      <c r="M31" s="2" t="n"/>
    </row>
    <row r="32">
      <c r="A32" s="2" t="inlineStr">
        <is>
          <t>DataCite</t>
        </is>
      </c>
      <c r="B32" s="2" t="n"/>
      <c r="C32" s="2" t="n"/>
      <c r="D32" s="2" t="n"/>
      <c r="E32" s="2" t="n"/>
      <c r="F32" s="2" t="n"/>
      <c r="G32" s="2" t="n"/>
      <c r="H32" s="2" t="inlineStr">
        <is>
          <t>Review coding</t>
        </is>
      </c>
      <c r="I32" s="2" t="inlineStr">
        <is>
          <t>N/A</t>
        </is>
      </c>
      <c r="J32" s="2" t="inlineStr">
        <is>
          <t>Scored from available URL</t>
        </is>
      </c>
      <c r="K32" s="2" t="inlineStr">
        <is>
          <t>Scored from available field</t>
        </is>
      </c>
      <c r="L32" s="2" t="inlineStr">
        <is>
          <t>Evidence only</t>
        </is>
      </c>
      <c r="M32" s="2" t="n"/>
    </row>
    <row r="33">
      <c r="A33" s="2" t="inlineStr">
        <is>
          <t>Data Stewardship Wizard</t>
        </is>
      </c>
      <c r="B33" s="2" t="n"/>
      <c r="C33" s="2" t="n"/>
      <c r="D33" s="2" t="n"/>
      <c r="E33" s="2" t="n"/>
      <c r="F33" s="2" t="n"/>
      <c r="G33" s="2" t="n"/>
      <c r="H33" s="2" t="inlineStr">
        <is>
          <t>N/A</t>
        </is>
      </c>
      <c r="I33" s="2" t="inlineStr">
        <is>
          <t>N/A</t>
        </is>
      </c>
      <c r="J33" s="2" t="inlineStr">
        <is>
          <t>Scored from available URL</t>
        </is>
      </c>
      <c r="K33" s="2" t="inlineStr">
        <is>
          <t>Scored from available field</t>
        </is>
      </c>
      <c r="L33" s="2" t="inlineStr">
        <is>
          <t>Evidence only</t>
        </is>
      </c>
      <c r="M33" s="2" t="n"/>
    </row>
    <row r="34">
      <c r="A34" s="2" t="inlineStr">
        <is>
          <t>Dataverse</t>
        </is>
      </c>
      <c r="B34" s="2" t="n"/>
      <c r="C34" s="2" t="n"/>
      <c r="D34" s="2" t="n"/>
      <c r="E34" s="2" t="n"/>
      <c r="F34" s="2" t="n"/>
      <c r="G34" s="2" t="n"/>
      <c r="H34" s="2" t="inlineStr">
        <is>
          <t>Review coding</t>
        </is>
      </c>
      <c r="I34" s="2" t="inlineStr">
        <is>
          <t>N/A</t>
        </is>
      </c>
      <c r="J34" s="2" t="inlineStr">
        <is>
          <t>Scored from available URL</t>
        </is>
      </c>
      <c r="K34" s="2" t="inlineStr">
        <is>
          <t>Scored from available field</t>
        </is>
      </c>
      <c r="L34" s="2" t="inlineStr">
        <is>
          <t>Evidence only</t>
        </is>
      </c>
      <c r="M34" s="2" t="n"/>
    </row>
    <row r="35">
      <c r="A35" s="2" t="inlineStr">
        <is>
          <t>DLCM Backend</t>
        </is>
      </c>
      <c r="B35" s="2" t="n"/>
      <c r="C35" s="2" t="n"/>
      <c r="D35" s="2" t="n"/>
      <c r="E35" s="2" t="n"/>
      <c r="F35" s="2" t="n"/>
      <c r="G35" s="2" t="n"/>
      <c r="H35" s="2" t="inlineStr">
        <is>
          <t>N/A</t>
        </is>
      </c>
      <c r="I35" s="2" t="inlineStr">
        <is>
          <t>N/A</t>
        </is>
      </c>
      <c r="J35" s="2" t="inlineStr">
        <is>
          <t>Scored from available URL</t>
        </is>
      </c>
      <c r="K35" s="2" t="inlineStr">
        <is>
          <t>Scored from available field</t>
        </is>
      </c>
      <c r="L35" s="2" t="inlineStr">
        <is>
          <t>Evidence only</t>
        </is>
      </c>
      <c r="M35" s="2" t="n"/>
    </row>
    <row r="36">
      <c r="A36" s="2" t="inlineStr">
        <is>
          <t>DLCM Portal</t>
        </is>
      </c>
      <c r="B36" s="2" t="n"/>
      <c r="C36" s="2" t="n"/>
      <c r="D36" s="2" t="n"/>
      <c r="E36" s="2" t="n"/>
      <c r="F36" s="2" t="n"/>
      <c r="G36" s="2" t="n"/>
      <c r="H36" s="2" t="inlineStr">
        <is>
          <t>N/A</t>
        </is>
      </c>
      <c r="I36" s="2" t="inlineStr">
        <is>
          <t>N/A</t>
        </is>
      </c>
      <c r="J36" s="2" t="inlineStr">
        <is>
          <t>Scored from available URL</t>
        </is>
      </c>
      <c r="K36" s="2" t="inlineStr">
        <is>
          <t>Scored from available field</t>
        </is>
      </c>
      <c r="L36" s="2" t="inlineStr">
        <is>
          <t>Evidence only</t>
        </is>
      </c>
      <c r="M36" s="2" t="n"/>
    </row>
    <row r="37">
      <c r="A37" s="2" t="inlineStr">
        <is>
          <t>DMP Tool</t>
        </is>
      </c>
      <c r="B37" s="2" t="n"/>
      <c r="C37" s="2" t="n"/>
      <c r="D37" s="2" t="n"/>
      <c r="E37" s="2" t="n"/>
      <c r="F37" s="2" t="n"/>
      <c r="G37" s="2" t="n"/>
      <c r="H37" s="2" t="inlineStr">
        <is>
          <t>N/A</t>
        </is>
      </c>
      <c r="I37" s="2" t="inlineStr">
        <is>
          <t>N/A</t>
        </is>
      </c>
      <c r="J37" s="2" t="inlineStr">
        <is>
          <t>No score</t>
        </is>
      </c>
      <c r="K37" s="2" t="inlineStr">
        <is>
          <t>Scored from available field</t>
        </is>
      </c>
      <c r="L37" s="2" t="inlineStr">
        <is>
          <t>No URL</t>
        </is>
      </c>
      <c r="M37" s="2" t="n"/>
    </row>
    <row r="38">
      <c r="A38" s="2" t="inlineStr">
        <is>
          <t>DOAJ (Directory of Open Access Journals)</t>
        </is>
      </c>
      <c r="B38" s="2" t="n"/>
      <c r="C38" s="2" t="n"/>
      <c r="D38" s="2" t="n"/>
      <c r="E38" s="2" t="n"/>
      <c r="F38" s="2" t="n"/>
      <c r="G38" s="2" t="n"/>
      <c r="H38" s="2" t="inlineStr">
        <is>
          <t>Review coding</t>
        </is>
      </c>
      <c r="I38" s="2" t="inlineStr">
        <is>
          <t>Review Other</t>
        </is>
      </c>
      <c r="J38" s="2" t="inlineStr">
        <is>
          <t>No score</t>
        </is>
      </c>
      <c r="K38" s="2" t="inlineStr">
        <is>
          <t>Scored from available field</t>
        </is>
      </c>
      <c r="L38" s="2" t="inlineStr">
        <is>
          <t>Evidence only</t>
        </is>
      </c>
      <c r="M38" s="2" t="n"/>
    </row>
    <row r="39">
      <c r="A39" s="2" t="inlineStr">
        <is>
          <t>dokieli</t>
        </is>
      </c>
      <c r="B39" s="2" t="n"/>
      <c r="C39" s="2" t="n"/>
      <c r="D39" s="2" t="n"/>
      <c r="E39" s="2" t="n"/>
      <c r="F39" s="2" t="n"/>
      <c r="G39" s="2" t="n"/>
      <c r="H39" s="2" t="inlineStr">
        <is>
          <t>Review coding</t>
        </is>
      </c>
      <c r="I39" s="2" t="inlineStr">
        <is>
          <t>N/A</t>
        </is>
      </c>
      <c r="J39" s="2" t="inlineStr">
        <is>
          <t>Scored from available URL</t>
        </is>
      </c>
      <c r="K39" s="2" t="inlineStr">
        <is>
          <t>Scored from available field</t>
        </is>
      </c>
      <c r="L39" s="2" t="inlineStr">
        <is>
          <t>Evidence only</t>
        </is>
      </c>
      <c r="M39" s="2" t="n"/>
    </row>
    <row r="40">
      <c r="A40" s="2" t="inlineStr">
        <is>
          <t>Dryad</t>
        </is>
      </c>
      <c r="B40" s="2" t="n"/>
      <c r="C40" s="2" t="n"/>
      <c r="D40" s="2" t="n"/>
      <c r="E40" s="2" t="n"/>
      <c r="F40" s="2" t="n"/>
      <c r="G40" s="2" t="n"/>
      <c r="H40" s="2" t="inlineStr">
        <is>
          <t>Review coding</t>
        </is>
      </c>
      <c r="I40" s="2" t="inlineStr">
        <is>
          <t>N/A</t>
        </is>
      </c>
      <c r="J40" s="2" t="inlineStr">
        <is>
          <t>No score</t>
        </is>
      </c>
      <c r="K40" s="2" t="inlineStr">
        <is>
          <t>Scored from available field</t>
        </is>
      </c>
      <c r="L40" s="2" t="inlineStr">
        <is>
          <t>Evidence only</t>
        </is>
      </c>
      <c r="M40" s="2" t="n"/>
    </row>
    <row r="41">
      <c r="A41" s="2" t="inlineStr">
        <is>
          <t>DSpace</t>
        </is>
      </c>
      <c r="B41" s="2" t="n"/>
      <c r="C41" s="2" t="n"/>
      <c r="D41" s="2" t="n"/>
      <c r="E41" s="2" t="n"/>
      <c r="F41" s="2" t="n"/>
      <c r="G41" s="2" t="n"/>
      <c r="H41" s="2" t="inlineStr">
        <is>
          <t>Review coding</t>
        </is>
      </c>
      <c r="I41" s="2" t="inlineStr">
        <is>
          <t>N/A</t>
        </is>
      </c>
      <c r="J41" s="2" t="inlineStr">
        <is>
          <t>Scored from available URL</t>
        </is>
      </c>
      <c r="K41" s="2" t="inlineStr">
        <is>
          <t>Scored from available field</t>
        </is>
      </c>
      <c r="L41" s="2" t="inlineStr">
        <is>
          <t>Evidence only</t>
        </is>
      </c>
      <c r="M41" s="2" t="n"/>
    </row>
    <row r="42">
      <c r="A42" s="2" t="inlineStr">
        <is>
          <t>DuraCloud</t>
        </is>
      </c>
      <c r="B42" s="2" t="n"/>
      <c r="C42" s="2" t="n"/>
      <c r="D42" s="2" t="n"/>
      <c r="E42" s="2" t="n"/>
      <c r="F42" s="2" t="n"/>
      <c r="G42" s="2" t="n"/>
      <c r="H42" s="2" t="inlineStr">
        <is>
          <t>N/A</t>
        </is>
      </c>
      <c r="I42" s="2" t="inlineStr">
        <is>
          <t>N/A</t>
        </is>
      </c>
      <c r="J42" s="2" t="inlineStr">
        <is>
          <t>Scored from available URL</t>
        </is>
      </c>
      <c r="K42" s="2" t="inlineStr">
        <is>
          <t>Scored from available field</t>
        </is>
      </c>
      <c r="L42" s="2" t="inlineStr">
        <is>
          <t>Evidence only</t>
        </is>
      </c>
      <c r="M42" s="2" t="n"/>
    </row>
    <row r="43">
      <c r="A43" s="2" t="inlineStr">
        <is>
          <t>Episciences</t>
        </is>
      </c>
      <c r="B43" s="2" t="n"/>
      <c r="C43" s="2" t="n"/>
      <c r="D43" s="2" t="n"/>
      <c r="E43" s="2" t="n"/>
      <c r="F43" s="2" t="n"/>
      <c r="G43" s="2" t="n"/>
      <c r="H43" s="2" t="inlineStr">
        <is>
          <t>N/A</t>
        </is>
      </c>
      <c r="I43" s="2" t="inlineStr">
        <is>
          <t>N/A</t>
        </is>
      </c>
      <c r="J43" s="2" t="inlineStr">
        <is>
          <t>No score</t>
        </is>
      </c>
      <c r="K43" s="2" t="inlineStr">
        <is>
          <t>Scored from available field</t>
        </is>
      </c>
      <c r="L43" s="2" t="inlineStr">
        <is>
          <t>No URL</t>
        </is>
      </c>
      <c r="M43" s="2" t="n"/>
    </row>
    <row r="44">
      <c r="A44" s="2" t="inlineStr">
        <is>
          <t>EPrints</t>
        </is>
      </c>
      <c r="B44" s="2" t="n"/>
      <c r="C44" s="2" t="n"/>
      <c r="D44" s="2" t="n"/>
      <c r="E44" s="2" t="n"/>
      <c r="F44" s="2" t="n"/>
      <c r="G44" s="2" t="n"/>
      <c r="H44" s="2" t="inlineStr">
        <is>
          <t>N/A</t>
        </is>
      </c>
      <c r="I44" s="2" t="inlineStr">
        <is>
          <t>N/A</t>
        </is>
      </c>
      <c r="J44" s="2" t="inlineStr">
        <is>
          <t>No score</t>
        </is>
      </c>
      <c r="K44" s="2" t="inlineStr">
        <is>
          <t>Scored from available field</t>
        </is>
      </c>
      <c r="L44" s="2" t="inlineStr">
        <is>
          <t>No URL</t>
        </is>
      </c>
      <c r="M44" s="2" t="n"/>
    </row>
    <row r="45">
      <c r="A45" s="2" t="inlineStr">
        <is>
          <t>Érudit</t>
        </is>
      </c>
      <c r="B45" s="2" t="n"/>
      <c r="C45" s="2" t="n"/>
      <c r="D45" s="2" t="n"/>
      <c r="E45" s="2" t="n"/>
      <c r="F45" s="2" t="n"/>
      <c r="G45" s="2" t="n"/>
      <c r="H45" s="2" t="inlineStr">
        <is>
          <t>Review coding</t>
        </is>
      </c>
      <c r="I45" s="2" t="inlineStr">
        <is>
          <t>N/A</t>
        </is>
      </c>
      <c r="J45" s="2" t="inlineStr">
        <is>
          <t>Scored from available URL</t>
        </is>
      </c>
      <c r="K45" s="2" t="inlineStr">
        <is>
          <t>Scored from available field</t>
        </is>
      </c>
      <c r="L45" s="2" t="inlineStr">
        <is>
          <t>Evidence only</t>
        </is>
      </c>
      <c r="M45" s="2" t="n"/>
    </row>
    <row r="46">
      <c r="A46" s="2" t="inlineStr">
        <is>
          <t>Europe PMC</t>
        </is>
      </c>
      <c r="B46" s="2" t="n"/>
      <c r="C46" s="2" t="n"/>
      <c r="D46" s="2" t="n"/>
      <c r="E46" s="2" t="n"/>
      <c r="F46" s="2" t="n"/>
      <c r="G46" s="2" t="n"/>
      <c r="H46" s="2" t="inlineStr">
        <is>
          <t>Review coding</t>
        </is>
      </c>
      <c r="I46" s="2" t="inlineStr">
        <is>
          <t>N/A</t>
        </is>
      </c>
      <c r="J46" s="2" t="inlineStr">
        <is>
          <t>Scored from available URL</t>
        </is>
      </c>
      <c r="K46" s="2" t="inlineStr">
        <is>
          <t>Scored from available field</t>
        </is>
      </c>
      <c r="L46" s="2" t="inlineStr">
        <is>
          <t>Evidence only</t>
        </is>
      </c>
      <c r="M46" s="2" t="n"/>
    </row>
    <row r="47">
      <c r="A47" s="2" t="inlineStr">
        <is>
          <t>FAIR Wizard</t>
        </is>
      </c>
      <c r="B47" s="2" t="n"/>
      <c r="C47" s="2" t="n"/>
      <c r="D47" s="2" t="n"/>
      <c r="E47" s="2" t="n"/>
      <c r="F47" s="2" t="n"/>
      <c r="G47" s="2" t="n"/>
      <c r="H47" s="2" t="inlineStr">
        <is>
          <t>N/A</t>
        </is>
      </c>
      <c r="I47" s="2" t="inlineStr">
        <is>
          <t>Review Other</t>
        </is>
      </c>
      <c r="J47" s="2" t="inlineStr">
        <is>
          <t>No score</t>
        </is>
      </c>
      <c r="K47" s="2" t="inlineStr">
        <is>
          <t>No score</t>
        </is>
      </c>
      <c r="L47" s="2" t="inlineStr">
        <is>
          <t>No URL</t>
        </is>
      </c>
      <c r="M47" s="2" t="n"/>
    </row>
    <row r="48">
      <c r="A48" s="2" t="inlineStr">
        <is>
          <t>Fedora</t>
        </is>
      </c>
      <c r="B48" s="2" t="n"/>
      <c r="C48" s="2" t="n"/>
      <c r="D48" s="2" t="n"/>
      <c r="E48" s="2" t="n"/>
      <c r="F48" s="2" t="n"/>
      <c r="G48" s="2" t="n"/>
      <c r="H48" s="2" t="inlineStr">
        <is>
          <t>Review coding</t>
        </is>
      </c>
      <c r="I48" s="2" t="inlineStr">
        <is>
          <t>N/A</t>
        </is>
      </c>
      <c r="J48" s="2" t="inlineStr">
        <is>
          <t>Scored from available URL</t>
        </is>
      </c>
      <c r="K48" s="2" t="inlineStr">
        <is>
          <t>Scored from available field</t>
        </is>
      </c>
      <c r="L48" s="2" t="inlineStr">
        <is>
          <t>Evidence only</t>
        </is>
      </c>
      <c r="M48" s="2" t="n"/>
    </row>
    <row r="49">
      <c r="A49" s="2" t="inlineStr">
        <is>
          <t>fido</t>
        </is>
      </c>
      <c r="B49" s="2" t="n"/>
      <c r="C49" s="2" t="n"/>
      <c r="D49" s="2" t="n"/>
      <c r="E49" s="2" t="n"/>
      <c r="F49" s="2" t="n"/>
      <c r="G49" s="2" t="n"/>
      <c r="H49" s="2" t="inlineStr">
        <is>
          <t>N/A</t>
        </is>
      </c>
      <c r="I49" s="2" t="inlineStr">
        <is>
          <t>N/A</t>
        </is>
      </c>
      <c r="J49" s="2" t="inlineStr">
        <is>
          <t>Scored from available URL</t>
        </is>
      </c>
      <c r="K49" s="2" t="inlineStr">
        <is>
          <t>Scored from available field</t>
        </is>
      </c>
      <c r="L49" s="2" t="inlineStr">
        <is>
          <t>No URL</t>
        </is>
      </c>
      <c r="M49" s="2" t="n"/>
    </row>
    <row r="50">
      <c r="A50" s="2" t="inlineStr">
        <is>
          <t>Fulcrum</t>
        </is>
      </c>
      <c r="B50" s="2" t="n"/>
      <c r="C50" s="2" t="n"/>
      <c r="D50" s="2" t="n"/>
      <c r="E50" s="2" t="n"/>
      <c r="F50" s="2" t="n"/>
      <c r="G50" s="2" t="n"/>
      <c r="H50" s="2" t="inlineStr">
        <is>
          <t>Review coding</t>
        </is>
      </c>
      <c r="I50" s="2" t="inlineStr">
        <is>
          <t>N/A</t>
        </is>
      </c>
      <c r="J50" s="2" t="inlineStr">
        <is>
          <t>No score</t>
        </is>
      </c>
      <c r="K50" s="2" t="inlineStr">
        <is>
          <t>Scored from available field</t>
        </is>
      </c>
      <c r="L50" s="2" t="inlineStr">
        <is>
          <t>Evidence only</t>
        </is>
      </c>
      <c r="M50" s="2" t="n"/>
    </row>
    <row r="51">
      <c r="A51" s="2" t="inlineStr">
        <is>
          <t>Galaxy</t>
        </is>
      </c>
      <c r="B51" s="2" t="n"/>
      <c r="C51" s="2" t="n"/>
      <c r="D51" s="2" t="n"/>
      <c r="E51" s="2" t="n"/>
      <c r="F51" s="2" t="n"/>
      <c r="G51" s="2" t="n"/>
      <c r="H51" s="2" t="inlineStr">
        <is>
          <t>N/A</t>
        </is>
      </c>
      <c r="I51" s="2" t="inlineStr">
        <is>
          <t>N/A</t>
        </is>
      </c>
      <c r="J51" s="2" t="inlineStr">
        <is>
          <t>Scored from available URL</t>
        </is>
      </c>
      <c r="K51" s="2" t="inlineStr">
        <is>
          <t>Scored from available field</t>
        </is>
      </c>
      <c r="L51" s="2" t="inlineStr">
        <is>
          <t>Evidence only</t>
        </is>
      </c>
      <c r="M51" s="2" t="n"/>
    </row>
    <row r="52">
      <c r="A52" s="2" t="inlineStr">
        <is>
          <t>GeoServer</t>
        </is>
      </c>
      <c r="B52" s="2" t="n"/>
      <c r="C52" s="2" t="n"/>
      <c r="D52" s="2" t="n"/>
      <c r="E52" s="2" t="n"/>
      <c r="F52" s="2" t="n"/>
      <c r="G52" s="2" t="n"/>
      <c r="H52" s="2" t="inlineStr">
        <is>
          <t>N/A</t>
        </is>
      </c>
      <c r="I52" s="2" t="inlineStr">
        <is>
          <t>N/A</t>
        </is>
      </c>
      <c r="J52" s="2" t="inlineStr">
        <is>
          <t>Scored from available URL</t>
        </is>
      </c>
      <c r="K52" s="2" t="inlineStr">
        <is>
          <t>Scored from available field</t>
        </is>
      </c>
      <c r="L52" s="2" t="inlineStr">
        <is>
          <t>Evidence only</t>
        </is>
      </c>
      <c r="M52" s="2" t="n"/>
    </row>
    <row r="53">
      <c r="A53" s="2" t="inlineStr">
        <is>
          <t>Hyku</t>
        </is>
      </c>
      <c r="B53" s="2" t="n"/>
      <c r="C53" s="2" t="n"/>
      <c r="D53" s="2" t="n"/>
      <c r="E53" s="2" t="n"/>
      <c r="F53" s="2" t="n"/>
      <c r="G53" s="2" t="n"/>
      <c r="H53" s="2" t="inlineStr">
        <is>
          <t>Review coding</t>
        </is>
      </c>
      <c r="I53" s="2" t="inlineStr">
        <is>
          <t>N/A</t>
        </is>
      </c>
      <c r="J53" s="2" t="inlineStr">
        <is>
          <t>Scored from available URL</t>
        </is>
      </c>
      <c r="K53" s="2" t="inlineStr">
        <is>
          <t>Scored from available field</t>
        </is>
      </c>
      <c r="L53" s="2" t="inlineStr">
        <is>
          <t>Evidence only</t>
        </is>
      </c>
      <c r="M53" s="2" t="n"/>
    </row>
    <row r="54">
      <c r="A54" s="2" t="inlineStr">
        <is>
          <t>Hyrax</t>
        </is>
      </c>
      <c r="B54" s="2" t="n"/>
      <c r="C54" s="2" t="n"/>
      <c r="D54" s="2" t="n"/>
      <c r="E54" s="2" t="n"/>
      <c r="F54" s="2" t="n"/>
      <c r="G54" s="2" t="n"/>
      <c r="H54" s="2" t="inlineStr">
        <is>
          <t>N/A</t>
        </is>
      </c>
      <c r="I54" s="2" t="inlineStr">
        <is>
          <t>N/A</t>
        </is>
      </c>
      <c r="J54" s="2" t="inlineStr">
        <is>
          <t>Scored from available URL</t>
        </is>
      </c>
      <c r="K54" s="2" t="inlineStr">
        <is>
          <t>Scored from available field</t>
        </is>
      </c>
      <c r="L54" s="2" t="inlineStr">
        <is>
          <t>Evidence only</t>
        </is>
      </c>
      <c r="M54" s="2" t="n"/>
    </row>
    <row r="55">
      <c r="A55" s="2" t="inlineStr">
        <is>
          <t>IIIF</t>
        </is>
      </c>
      <c r="B55" s="2" t="n"/>
      <c r="C55" s="2" t="n"/>
      <c r="D55" s="2" t="n"/>
      <c r="E55" s="2" t="n"/>
      <c r="F55" s="2" t="n"/>
      <c r="G55" s="2" t="n"/>
      <c r="H55" s="2" t="inlineStr">
        <is>
          <t>Review coding</t>
        </is>
      </c>
      <c r="I55" s="2" t="inlineStr">
        <is>
          <t>N/A</t>
        </is>
      </c>
      <c r="J55" s="2" t="inlineStr">
        <is>
          <t>Scored from available URL</t>
        </is>
      </c>
      <c r="K55" s="2" t="inlineStr">
        <is>
          <t>Scored from available field</t>
        </is>
      </c>
      <c r="L55" s="2" t="inlineStr">
        <is>
          <t>Evidence only</t>
        </is>
      </c>
      <c r="M55" s="2" t="n"/>
    </row>
    <row r="56">
      <c r="A56" s="2" t="inlineStr">
        <is>
          <t>ImpactU</t>
        </is>
      </c>
      <c r="B56" s="2" t="n"/>
      <c r="C56" s="2" t="n"/>
      <c r="D56" s="2" t="n"/>
      <c r="E56" s="2" t="n"/>
      <c r="F56" s="2" t="n"/>
      <c r="G56" s="2" t="n"/>
      <c r="H56" s="2" t="inlineStr">
        <is>
          <t>N/A</t>
        </is>
      </c>
      <c r="I56" s="2" t="inlineStr">
        <is>
          <t>N/A</t>
        </is>
      </c>
      <c r="J56" s="2" t="inlineStr">
        <is>
          <t>No score</t>
        </is>
      </c>
      <c r="K56" s="2" t="inlineStr">
        <is>
          <t>Scored from available field</t>
        </is>
      </c>
      <c r="L56" s="2" t="inlineStr">
        <is>
          <t>No URL</t>
        </is>
      </c>
      <c r="M56" s="2" t="n"/>
    </row>
    <row r="57">
      <c r="A57" s="2" t="inlineStr">
        <is>
          <t>International Generic Sample Number (IGSN)</t>
        </is>
      </c>
      <c r="B57" s="2" t="n"/>
      <c r="C57" s="2" t="n"/>
      <c r="D57" s="2" t="n"/>
      <c r="E57" s="2" t="n"/>
      <c r="F57" s="2" t="n"/>
      <c r="G57" s="2" t="n"/>
      <c r="H57" s="2" t="inlineStr">
        <is>
          <t>N/A</t>
        </is>
      </c>
      <c r="I57" s="2" t="inlineStr">
        <is>
          <t>N/A</t>
        </is>
      </c>
      <c r="J57" s="2" t="inlineStr">
        <is>
          <t>No score</t>
        </is>
      </c>
      <c r="K57" s="2" t="inlineStr">
        <is>
          <t>Scored from available field</t>
        </is>
      </c>
      <c r="L57" s="2" t="inlineStr">
        <is>
          <t>No URL</t>
        </is>
      </c>
      <c r="M57" s="2" t="n"/>
    </row>
    <row r="58">
      <c r="A58" s="2" t="inlineStr">
        <is>
          <t>InvenioRDM</t>
        </is>
      </c>
      <c r="B58" s="2" t="n"/>
      <c r="C58" s="2" t="n"/>
      <c r="D58" s="2" t="n"/>
      <c r="E58" s="2" t="n"/>
      <c r="F58" s="2" t="n"/>
      <c r="G58" s="2" t="n"/>
      <c r="H58" s="2" t="inlineStr">
        <is>
          <t>Review coding</t>
        </is>
      </c>
      <c r="I58" s="2" t="inlineStr">
        <is>
          <t>N/A</t>
        </is>
      </c>
      <c r="J58" s="2" t="inlineStr">
        <is>
          <t>Scored from available URL</t>
        </is>
      </c>
      <c r="K58" s="2" t="inlineStr">
        <is>
          <t>Scored from available field</t>
        </is>
      </c>
      <c r="L58" s="2" t="inlineStr">
        <is>
          <t>Evidence only</t>
        </is>
      </c>
      <c r="M58" s="2" t="n"/>
    </row>
    <row r="59">
      <c r="A59" s="2" t="inlineStr">
        <is>
          <t>iRODS</t>
        </is>
      </c>
      <c r="B59" s="2" t="n"/>
      <c r="C59" s="2" t="n"/>
      <c r="D59" s="2" t="n"/>
      <c r="E59" s="2" t="n"/>
      <c r="F59" s="2" t="n"/>
      <c r="G59" s="2" t="n"/>
      <c r="H59" s="2" t="inlineStr">
        <is>
          <t>N/A</t>
        </is>
      </c>
      <c r="I59" s="2" t="inlineStr">
        <is>
          <t>N/A</t>
        </is>
      </c>
      <c r="J59" s="2" t="inlineStr">
        <is>
          <t>Scored from available URL</t>
        </is>
      </c>
      <c r="K59" s="2" t="inlineStr">
        <is>
          <t>Scored from available field</t>
        </is>
      </c>
      <c r="L59" s="2" t="inlineStr">
        <is>
          <t>Evidence only</t>
        </is>
      </c>
      <c r="M59" s="2" t="n"/>
    </row>
    <row r="60">
      <c r="A60" s="2" t="inlineStr">
        <is>
          <t>Islandora</t>
        </is>
      </c>
      <c r="B60" s="2" t="n"/>
      <c r="C60" s="2" t="n"/>
      <c r="D60" s="2" t="n"/>
      <c r="E60" s="2" t="n"/>
      <c r="F60" s="2" t="n"/>
      <c r="G60" s="2" t="n"/>
      <c r="H60" s="2" t="inlineStr">
        <is>
          <t>Review coding</t>
        </is>
      </c>
      <c r="I60" s="2" t="inlineStr">
        <is>
          <t>N/A</t>
        </is>
      </c>
      <c r="J60" s="2" t="inlineStr">
        <is>
          <t>Scored from available URL</t>
        </is>
      </c>
      <c r="K60" s="2" t="inlineStr">
        <is>
          <t>Scored from available field</t>
        </is>
      </c>
      <c r="L60" s="2" t="inlineStr">
        <is>
          <t>Evidence only</t>
        </is>
      </c>
      <c r="M60" s="2" t="n"/>
    </row>
    <row r="61">
      <c r="A61" s="2" t="inlineStr">
        <is>
          <t>Janeway</t>
        </is>
      </c>
      <c r="B61" s="2" t="n"/>
      <c r="C61" s="2" t="n"/>
      <c r="D61" s="2" t="n"/>
      <c r="E61" s="2" t="n"/>
      <c r="F61" s="2" t="n"/>
      <c r="G61" s="2" t="n"/>
      <c r="H61" s="2" t="inlineStr">
        <is>
          <t>Review coding</t>
        </is>
      </c>
      <c r="I61" s="2" t="inlineStr">
        <is>
          <t>N/A</t>
        </is>
      </c>
      <c r="J61" s="2" t="inlineStr">
        <is>
          <t>No score</t>
        </is>
      </c>
      <c r="K61" s="2" t="inlineStr">
        <is>
          <t>Scored from available field</t>
        </is>
      </c>
      <c r="L61" s="2" t="inlineStr">
        <is>
          <t>Evidence only</t>
        </is>
      </c>
      <c r="M61" s="2" t="n"/>
    </row>
    <row r="62">
      <c r="A62" s="2" t="inlineStr">
        <is>
          <t>JHOVE</t>
        </is>
      </c>
      <c r="B62" s="2" t="n"/>
      <c r="C62" s="2" t="n"/>
      <c r="D62" s="2" t="n"/>
      <c r="E62" s="2" t="n"/>
      <c r="F62" s="2" t="n"/>
      <c r="G62" s="2" t="n"/>
      <c r="H62" s="2" t="inlineStr">
        <is>
          <t>N/A</t>
        </is>
      </c>
      <c r="I62" s="2" t="inlineStr">
        <is>
          <t>N/A</t>
        </is>
      </c>
      <c r="J62" s="2" t="inlineStr">
        <is>
          <t>Scored from available URL</t>
        </is>
      </c>
      <c r="K62" s="2" t="inlineStr">
        <is>
          <t>Scored from available field</t>
        </is>
      </c>
      <c r="L62" s="2" t="inlineStr">
        <is>
          <t>No URL</t>
        </is>
      </c>
      <c r="M62" s="2" t="n"/>
    </row>
    <row r="63">
      <c r="A63" s="2" t="inlineStr">
        <is>
          <t>LA Referencia</t>
        </is>
      </c>
      <c r="B63" s="2" t="n"/>
      <c r="C63" s="2" t="n"/>
      <c r="D63" s="2" t="n"/>
      <c r="E63" s="2" t="n"/>
      <c r="F63" s="2" t="n"/>
      <c r="G63" s="2" t="n"/>
      <c r="H63" s="2" t="inlineStr">
        <is>
          <t>N/A</t>
        </is>
      </c>
      <c r="I63" s="2" t="inlineStr">
        <is>
          <t>N/A</t>
        </is>
      </c>
      <c r="J63" s="2" t="inlineStr">
        <is>
          <t>No score</t>
        </is>
      </c>
      <c r="K63" s="2" t="inlineStr">
        <is>
          <t>Scored from available field</t>
        </is>
      </c>
      <c r="L63" s="2" t="inlineStr">
        <is>
          <t>No URL</t>
        </is>
      </c>
      <c r="M63" s="2" t="n"/>
    </row>
    <row r="64">
      <c r="A64" s="2" t="inlineStr">
        <is>
          <t>Manifold</t>
        </is>
      </c>
      <c r="B64" s="2" t="n"/>
      <c r="C64" s="2" t="n"/>
      <c r="D64" s="2" t="n"/>
      <c r="E64" s="2" t="n"/>
      <c r="F64" s="2" t="n"/>
      <c r="G64" s="2" t="n"/>
      <c r="H64" s="2" t="inlineStr">
        <is>
          <t>Review coding</t>
        </is>
      </c>
      <c r="I64" s="2" t="inlineStr">
        <is>
          <t>N/A</t>
        </is>
      </c>
      <c r="J64" s="2" t="inlineStr">
        <is>
          <t>Scored from available URL</t>
        </is>
      </c>
      <c r="K64" s="2" t="inlineStr">
        <is>
          <t>Scored from available field</t>
        </is>
      </c>
      <c r="L64" s="2" t="inlineStr">
        <is>
          <t>No URL</t>
        </is>
      </c>
      <c r="M64" s="2" t="n"/>
    </row>
    <row r="65">
      <c r="A65" s="2" t="inlineStr">
        <is>
          <t>medRxiv</t>
        </is>
      </c>
      <c r="B65" s="2" t="n"/>
      <c r="C65" s="2" t="n"/>
      <c r="D65" s="2" t="n"/>
      <c r="E65" s="2" t="n"/>
      <c r="F65" s="2" t="n"/>
      <c r="G65" s="2" t="n"/>
      <c r="H65" s="2" t="inlineStr">
        <is>
          <t>Review coding</t>
        </is>
      </c>
      <c r="I65" s="2" t="inlineStr">
        <is>
          <t>N/A</t>
        </is>
      </c>
      <c r="J65" s="2" t="inlineStr">
        <is>
          <t>No score</t>
        </is>
      </c>
      <c r="K65" s="2" t="inlineStr">
        <is>
          <t>No score</t>
        </is>
      </c>
      <c r="L65" s="2" t="inlineStr">
        <is>
          <t>No URL</t>
        </is>
      </c>
      <c r="M65" s="2" t="n"/>
    </row>
    <row r="66">
      <c r="A66" s="2" t="inlineStr">
        <is>
          <t>Metadata Encoding and Transmission Standard (METS)</t>
        </is>
      </c>
      <c r="B66" s="2" t="n"/>
      <c r="C66" s="2" t="n"/>
      <c r="D66" s="2" t="n"/>
      <c r="E66" s="2" t="n"/>
      <c r="F66" s="2" t="n"/>
      <c r="G66" s="2" t="n"/>
      <c r="H66" s="2" t="inlineStr">
        <is>
          <t>N/A</t>
        </is>
      </c>
      <c r="I66" s="2" t="inlineStr">
        <is>
          <t>N/A</t>
        </is>
      </c>
      <c r="J66" s="2" t="inlineStr">
        <is>
          <t>Scored from available URL</t>
        </is>
      </c>
      <c r="K66" s="2" t="inlineStr">
        <is>
          <t>Scored from available field</t>
        </is>
      </c>
      <c r="L66" s="2" t="inlineStr">
        <is>
          <t>No URL</t>
        </is>
      </c>
      <c r="M66" s="2" t="n"/>
    </row>
    <row r="67">
      <c r="A67" s="2" t="inlineStr">
        <is>
          <t>Mirador</t>
        </is>
      </c>
      <c r="B67" s="2" t="n"/>
      <c r="C67" s="2" t="n"/>
      <c r="D67" s="2" t="n"/>
      <c r="E67" s="2" t="n"/>
      <c r="F67" s="2" t="n"/>
      <c r="G67" s="2" t="n"/>
      <c r="H67" s="2" t="inlineStr">
        <is>
          <t>Review coding</t>
        </is>
      </c>
      <c r="I67" s="2" t="inlineStr">
        <is>
          <t>N/A</t>
        </is>
      </c>
      <c r="J67" s="2" t="inlineStr">
        <is>
          <t>Scored from available URL</t>
        </is>
      </c>
      <c r="K67" s="2" t="inlineStr">
        <is>
          <t>Scored from available field</t>
        </is>
      </c>
      <c r="L67" s="2" t="inlineStr">
        <is>
          <t>Evidence only</t>
        </is>
      </c>
      <c r="M67" s="2" t="n"/>
    </row>
    <row r="68">
      <c r="A68" s="2" t="inlineStr">
        <is>
          <t>Mukurtu CMS</t>
        </is>
      </c>
      <c r="B68" s="2" t="n"/>
      <c r="C68" s="2" t="n"/>
      <c r="D68" s="2" t="n"/>
      <c r="E68" s="2" t="n"/>
      <c r="F68" s="2" t="n"/>
      <c r="G68" s="2" t="n"/>
      <c r="H68" s="2" t="inlineStr">
        <is>
          <t>Review coding</t>
        </is>
      </c>
      <c r="I68" s="2" t="inlineStr">
        <is>
          <t>N/A</t>
        </is>
      </c>
      <c r="J68" s="2" t="inlineStr">
        <is>
          <t>Scored from available URL</t>
        </is>
      </c>
      <c r="K68" s="2" t="inlineStr">
        <is>
          <t>Scored from available field</t>
        </is>
      </c>
      <c r="L68" s="2" t="inlineStr">
        <is>
          <t>No URL</t>
        </is>
      </c>
      <c r="M68" s="2" t="n"/>
    </row>
    <row r="69">
      <c r="A69" s="2" t="inlineStr">
        <is>
          <t>MyCoRe</t>
        </is>
      </c>
      <c r="B69" s="2" t="n"/>
      <c r="C69" s="2" t="n"/>
      <c r="D69" s="2" t="n"/>
      <c r="E69" s="2" t="n"/>
      <c r="F69" s="2" t="n"/>
      <c r="G69" s="2" t="n"/>
      <c r="H69" s="2" t="inlineStr">
        <is>
          <t>N/A</t>
        </is>
      </c>
      <c r="I69" s="2" t="inlineStr">
        <is>
          <t>N/A</t>
        </is>
      </c>
      <c r="J69" s="2" t="inlineStr">
        <is>
          <t>Scored from available URL</t>
        </is>
      </c>
      <c r="K69" s="2" t="inlineStr">
        <is>
          <t>Scored from available field</t>
        </is>
      </c>
      <c r="L69" s="2" t="inlineStr">
        <is>
          <t>Evidence only</t>
        </is>
      </c>
      <c r="M69" s="2" t="n"/>
    </row>
    <row r="70">
      <c r="A70" s="2" t="inlineStr">
        <is>
          <t>NumPy</t>
        </is>
      </c>
      <c r="B70" s="2" t="n"/>
      <c r="C70" s="2" t="n"/>
      <c r="D70" s="2" t="n"/>
      <c r="E70" s="2" t="n"/>
      <c r="F70" s="2" t="n"/>
      <c r="G70" s="2" t="n"/>
      <c r="H70" s="2" t="inlineStr">
        <is>
          <t>N/A</t>
        </is>
      </c>
      <c r="I70" s="2" t="inlineStr">
        <is>
          <t>N/A</t>
        </is>
      </c>
      <c r="J70" s="2" t="inlineStr">
        <is>
          <t>Scored from available URL</t>
        </is>
      </c>
      <c r="K70" s="2" t="inlineStr">
        <is>
          <t>Scored from available field</t>
        </is>
      </c>
      <c r="L70" s="2" t="inlineStr">
        <is>
          <t>Evidence only</t>
        </is>
      </c>
      <c r="M70" s="2" t="n"/>
    </row>
    <row r="71">
      <c r="A71" s="2" t="inlineStr">
        <is>
          <t>OA.Report</t>
        </is>
      </c>
      <c r="B71" s="2" t="n"/>
      <c r="C71" s="2" t="n"/>
      <c r="D71" s="2" t="n"/>
      <c r="E71" s="2" t="n"/>
      <c r="F71" s="2" t="n"/>
      <c r="G71" s="2" t="n"/>
      <c r="H71" s="2" t="inlineStr">
        <is>
          <t>N/A</t>
        </is>
      </c>
      <c r="I71" s="2" t="inlineStr">
        <is>
          <t>N/A</t>
        </is>
      </c>
      <c r="J71" s="2" t="inlineStr">
        <is>
          <t>No score</t>
        </is>
      </c>
      <c r="K71" s="2" t="inlineStr">
        <is>
          <t>Scored from available field</t>
        </is>
      </c>
      <c r="L71" s="2" t="inlineStr">
        <is>
          <t>No URL</t>
        </is>
      </c>
      <c r="M71" s="2" t="n"/>
    </row>
    <row r="72">
      <c r="A72" s="2" t="inlineStr">
        <is>
          <t>OA Switchboard</t>
        </is>
      </c>
      <c r="B72" s="2" t="n"/>
      <c r="C72" s="2" t="n"/>
      <c r="D72" s="2" t="n"/>
      <c r="E72" s="2" t="n"/>
      <c r="F72" s="2" t="n"/>
      <c r="G72" s="2" t="n"/>
      <c r="H72" s="2" t="inlineStr">
        <is>
          <t>Review coding</t>
        </is>
      </c>
      <c r="I72" s="2" t="inlineStr">
        <is>
          <t>N/A</t>
        </is>
      </c>
      <c r="J72" s="2" t="inlineStr">
        <is>
          <t>Scored from available URL</t>
        </is>
      </c>
      <c r="K72" s="2" t="inlineStr">
        <is>
          <t>Scored from available field</t>
        </is>
      </c>
      <c r="L72" s="2" t="inlineStr">
        <is>
          <t>Evidence only</t>
        </is>
      </c>
      <c r="M72" s="2" t="n"/>
    </row>
    <row r="73">
      <c r="A73" s="2" t="inlineStr">
        <is>
          <t>Omeka</t>
        </is>
      </c>
      <c r="B73" s="2" t="n"/>
      <c r="C73" s="2" t="n"/>
      <c r="D73" s="2" t="n"/>
      <c r="E73" s="2" t="n"/>
      <c r="F73" s="2" t="n"/>
      <c r="G73" s="2" t="n"/>
      <c r="H73" s="2" t="inlineStr">
        <is>
          <t>Review coding</t>
        </is>
      </c>
      <c r="I73" s="2" t="inlineStr">
        <is>
          <t>N/A</t>
        </is>
      </c>
      <c r="J73" s="2" t="inlineStr">
        <is>
          <t>Scored from available URL</t>
        </is>
      </c>
      <c r="K73" s="2" t="inlineStr">
        <is>
          <t>Scored from available field</t>
        </is>
      </c>
      <c r="L73" s="2" t="inlineStr">
        <is>
          <t>Evidence only</t>
        </is>
      </c>
      <c r="M73" s="2" t="n"/>
    </row>
    <row r="74">
      <c r="A74" s="2" t="inlineStr">
        <is>
          <t>OpenAIRE Graph</t>
        </is>
      </c>
      <c r="B74" s="2" t="n"/>
      <c r="C74" s="2" t="n"/>
      <c r="D74" s="2" t="n"/>
      <c r="E74" s="2" t="n"/>
      <c r="F74" s="2" t="n"/>
      <c r="G74" s="2" t="n"/>
      <c r="H74" s="2" t="inlineStr">
        <is>
          <t>N/A</t>
        </is>
      </c>
      <c r="I74" s="2" t="inlineStr">
        <is>
          <t>N/A</t>
        </is>
      </c>
      <c r="J74" s="2" t="inlineStr">
        <is>
          <t>No score</t>
        </is>
      </c>
      <c r="K74" s="2" t="inlineStr">
        <is>
          <t>Scored from available field</t>
        </is>
      </c>
      <c r="L74" s="2" t="inlineStr">
        <is>
          <t>Evidence only</t>
        </is>
      </c>
      <c r="M74" s="2" t="n"/>
    </row>
    <row r="75">
      <c r="A75" s="2" t="inlineStr">
        <is>
          <t>OpenAlex</t>
        </is>
      </c>
      <c r="B75" s="2" t="n"/>
      <c r="C75" s="2" t="n"/>
      <c r="D75" s="2" t="n"/>
      <c r="E75" s="2" t="n"/>
      <c r="F75" s="2" t="n"/>
      <c r="G75" s="2" t="n"/>
      <c r="H75" s="2" t="inlineStr">
        <is>
          <t>Review coding</t>
        </is>
      </c>
      <c r="I75" s="2" t="inlineStr">
        <is>
          <t>N/A</t>
        </is>
      </c>
      <c r="J75" s="2" t="inlineStr">
        <is>
          <t>Scored from available URL</t>
        </is>
      </c>
      <c r="K75" s="2" t="inlineStr">
        <is>
          <t>Scored from available field</t>
        </is>
      </c>
      <c r="L75" s="2" t="inlineStr">
        <is>
          <t>No URL</t>
        </is>
      </c>
      <c r="M75" s="2" t="n"/>
    </row>
    <row r="76">
      <c r="A76" s="2" t="inlineStr">
        <is>
          <t>OpenAPC</t>
        </is>
      </c>
      <c r="B76" s="2" t="n"/>
      <c r="C76" s="2" t="n"/>
      <c r="D76" s="2" t="n"/>
      <c r="E76" s="2" t="n"/>
      <c r="F76" s="2" t="n"/>
      <c r="G76" s="2" t="n"/>
      <c r="H76" s="2" t="inlineStr">
        <is>
          <t>N/A</t>
        </is>
      </c>
      <c r="I76" s="2" t="inlineStr">
        <is>
          <t>N/A</t>
        </is>
      </c>
      <c r="J76" s="2" t="inlineStr">
        <is>
          <t>Scored from available URL</t>
        </is>
      </c>
      <c r="K76" s="2" t="inlineStr">
        <is>
          <t>Scored from available field</t>
        </is>
      </c>
      <c r="L76" s="2" t="inlineStr">
        <is>
          <t>Evidence only</t>
        </is>
      </c>
      <c r="M76" s="2" t="n"/>
    </row>
    <row r="77">
      <c r="A77" s="2" t="inlineStr">
        <is>
          <t>OpenCitations</t>
        </is>
      </c>
      <c r="B77" s="2" t="n"/>
      <c r="C77" s="2" t="n"/>
      <c r="D77" s="2" t="n"/>
      <c r="E77" s="2" t="n"/>
      <c r="F77" s="2" t="n"/>
      <c r="G77" s="2" t="n"/>
      <c r="H77" s="2" t="inlineStr">
        <is>
          <t>N/A</t>
        </is>
      </c>
      <c r="I77" s="2" t="inlineStr">
        <is>
          <t>N/A</t>
        </is>
      </c>
      <c r="J77" s="2" t="inlineStr">
        <is>
          <t>Scored from available URL</t>
        </is>
      </c>
      <c r="K77" s="2" t="inlineStr">
        <is>
          <t>Scored from available field</t>
        </is>
      </c>
      <c r="L77" s="2" t="inlineStr">
        <is>
          <t>Evidence only</t>
        </is>
      </c>
      <c r="M77" s="2" t="n"/>
    </row>
    <row r="78">
      <c r="A78" s="2" t="inlineStr">
        <is>
          <t>openCost</t>
        </is>
      </c>
      <c r="B78" s="2" t="n"/>
      <c r="C78" s="2" t="n"/>
      <c r="D78" s="2" t="n"/>
      <c r="E78" s="2" t="n"/>
      <c r="F78" s="2" t="n"/>
      <c r="G78" s="2" t="n"/>
      <c r="H78" s="2" t="inlineStr">
        <is>
          <t>N/A</t>
        </is>
      </c>
      <c r="I78" s="2" t="inlineStr">
        <is>
          <t>N/A</t>
        </is>
      </c>
      <c r="J78" s="2" t="inlineStr">
        <is>
          <t>Scored from available URL</t>
        </is>
      </c>
      <c r="K78" s="2" t="inlineStr">
        <is>
          <t>Scored from available field</t>
        </is>
      </c>
      <c r="L78" s="2" t="inlineStr">
        <is>
          <t>No URL</t>
        </is>
      </c>
      <c r="M78" s="2" t="n"/>
    </row>
    <row r="79">
      <c r="A79" s="2" t="inlineStr">
        <is>
          <t>Open Data Editor</t>
        </is>
      </c>
      <c r="B79" s="2" t="n"/>
      <c r="C79" s="2" t="n"/>
      <c r="D79" s="2" t="n"/>
      <c r="E79" s="2" t="n"/>
      <c r="F79" s="2" t="n"/>
      <c r="G79" s="2" t="n"/>
      <c r="H79" s="2" t="inlineStr">
        <is>
          <t>N/A</t>
        </is>
      </c>
      <c r="I79" s="2" t="inlineStr">
        <is>
          <t>N/A</t>
        </is>
      </c>
      <c r="J79" s="2" t="inlineStr">
        <is>
          <t>Scored from available URL</t>
        </is>
      </c>
      <c r="K79" s="2" t="inlineStr">
        <is>
          <t>Scored from available field</t>
        </is>
      </c>
      <c r="L79" s="2" t="inlineStr">
        <is>
          <t>Evidence only</t>
        </is>
      </c>
      <c r="M79" s="2" t="n"/>
    </row>
    <row r="80">
      <c r="A80" s="2" t="inlineStr">
        <is>
          <t>OpenEdition</t>
        </is>
      </c>
      <c r="B80" s="2" t="n"/>
      <c r="C80" s="2" t="n"/>
      <c r="D80" s="2" t="n"/>
      <c r="E80" s="2" t="n"/>
      <c r="F80" s="2" t="n"/>
      <c r="G80" s="2" t="n"/>
      <c r="H80" s="2" t="inlineStr">
        <is>
          <t>Review coding</t>
        </is>
      </c>
      <c r="I80" s="2" t="inlineStr">
        <is>
          <t>N/A</t>
        </is>
      </c>
      <c r="J80" s="2" t="inlineStr">
        <is>
          <t>No score</t>
        </is>
      </c>
      <c r="K80" s="2" t="inlineStr">
        <is>
          <t>Scored from available field</t>
        </is>
      </c>
      <c r="L80" s="2" t="inlineStr">
        <is>
          <t>No URL</t>
        </is>
      </c>
      <c r="M80" s="2" t="n"/>
    </row>
    <row r="81">
      <c r="A81" s="2" t="inlineStr">
        <is>
          <t>Open Journal Systems (OJS)</t>
        </is>
      </c>
      <c r="B81" s="2" t="n"/>
      <c r="C81" s="2" t="n"/>
      <c r="D81" s="2" t="n"/>
      <c r="E81" s="2" t="n"/>
      <c r="F81" s="2" t="n"/>
      <c r="G81" s="2" t="n"/>
      <c r="H81" s="2" t="inlineStr">
        <is>
          <t>Review coding</t>
        </is>
      </c>
      <c r="I81" s="2" t="inlineStr">
        <is>
          <t>N/A</t>
        </is>
      </c>
      <c r="J81" s="2" t="inlineStr">
        <is>
          <t>Scored from available URL</t>
        </is>
      </c>
      <c r="K81" s="2" t="inlineStr">
        <is>
          <t>Scored from available field</t>
        </is>
      </c>
      <c r="L81" s="2" t="inlineStr">
        <is>
          <t>Evidence only</t>
        </is>
      </c>
      <c r="M81" s="2" t="n"/>
    </row>
    <row r="82">
      <c r="A82" s="2" t="inlineStr">
        <is>
          <t>Open Monograph Press (OMP)</t>
        </is>
      </c>
      <c r="B82" s="2" t="n"/>
      <c r="C82" s="2" t="n"/>
      <c r="D82" s="2" t="n"/>
      <c r="E82" s="2" t="n"/>
      <c r="F82" s="2" t="n"/>
      <c r="G82" s="2" t="n"/>
      <c r="H82" s="2" t="inlineStr">
        <is>
          <t>Review coding</t>
        </is>
      </c>
      <c r="I82" s="2" t="inlineStr">
        <is>
          <t>N/A</t>
        </is>
      </c>
      <c r="J82" s="2" t="inlineStr">
        <is>
          <t>Scored from available URL</t>
        </is>
      </c>
      <c r="K82" s="2" t="inlineStr">
        <is>
          <t>Scored from available field</t>
        </is>
      </c>
      <c r="L82" s="2" t="inlineStr">
        <is>
          <t>Evidence only</t>
        </is>
      </c>
      <c r="M82" s="2" t="n"/>
    </row>
    <row r="83">
      <c r="A83" s="2" t="inlineStr">
        <is>
          <t>Open Preprint Systems (OPS)</t>
        </is>
      </c>
      <c r="B83" s="2" t="n"/>
      <c r="C83" s="2" t="n"/>
      <c r="D83" s="2" t="n"/>
      <c r="E83" s="2" t="n"/>
      <c r="F83" s="2" t="n"/>
      <c r="G83" s="2" t="n"/>
      <c r="H83" s="2" t="inlineStr">
        <is>
          <t>Review coding</t>
        </is>
      </c>
      <c r="I83" s="2" t="inlineStr">
        <is>
          <t>N/A</t>
        </is>
      </c>
      <c r="J83" s="2" t="inlineStr">
        <is>
          <t>Scored from available URL</t>
        </is>
      </c>
      <c r="K83" s="2" t="inlineStr">
        <is>
          <t>Scored from available field</t>
        </is>
      </c>
      <c r="L83" s="2" t="inlineStr">
        <is>
          <t>Evidence only</t>
        </is>
      </c>
      <c r="M83" s="2" t="n"/>
    </row>
    <row r="84">
      <c r="A84" s="2" t="inlineStr">
        <is>
          <t>Openverse</t>
        </is>
      </c>
      <c r="B84" s="2" t="n"/>
      <c r="C84" s="2" t="n"/>
      <c r="D84" s="2" t="n"/>
      <c r="E84" s="2" t="n"/>
      <c r="F84" s="2" t="n"/>
      <c r="G84" s="2" t="n"/>
      <c r="H84" s="2" t="inlineStr">
        <is>
          <t>N/A</t>
        </is>
      </c>
      <c r="I84" s="2" t="inlineStr">
        <is>
          <t>N/A</t>
        </is>
      </c>
      <c r="J84" s="2" t="inlineStr">
        <is>
          <t>Scored from available URL</t>
        </is>
      </c>
      <c r="K84" s="2" t="inlineStr">
        <is>
          <t>Scored from available field</t>
        </is>
      </c>
      <c r="L84" s="2" t="inlineStr">
        <is>
          <t>Evidence only</t>
        </is>
      </c>
      <c r="M84" s="2" t="n"/>
    </row>
    <row r="85">
      <c r="A85" s="2" t="inlineStr">
        <is>
          <t>O Portal Brasileiro de Publicações e Dados Científicos em Acesso Aberto (The Brazilian Open Access Publications and Scientific Data Portal) (Oasisbr)</t>
        </is>
      </c>
      <c r="B85" s="2" t="n"/>
      <c r="C85" s="2" t="n"/>
      <c r="D85" s="2" t="n"/>
      <c r="E85" s="2" t="n"/>
      <c r="F85" s="2" t="n"/>
      <c r="G85" s="2" t="n"/>
      <c r="H85" s="2" t="inlineStr">
        <is>
          <t>N/A</t>
        </is>
      </c>
      <c r="I85" s="2" t="inlineStr">
        <is>
          <t>N/A</t>
        </is>
      </c>
      <c r="J85" s="2" t="inlineStr">
        <is>
          <t>No score</t>
        </is>
      </c>
      <c r="K85" s="2" t="inlineStr">
        <is>
          <t>Scored from available field</t>
        </is>
      </c>
      <c r="L85" s="2" t="inlineStr">
        <is>
          <t>No URL</t>
        </is>
      </c>
      <c r="M85" s="2" t="n"/>
    </row>
    <row r="86">
      <c r="A86" s="2" t="inlineStr">
        <is>
          <t>OSF (Open Science Framework)</t>
        </is>
      </c>
      <c r="B86" s="2" t="n"/>
      <c r="C86" s="2" t="n"/>
      <c r="D86" s="2" t="n"/>
      <c r="E86" s="2" t="n"/>
      <c r="F86" s="2" t="n"/>
      <c r="G86" s="2" t="n"/>
      <c r="H86" s="2" t="inlineStr">
        <is>
          <t>Review coding</t>
        </is>
      </c>
      <c r="I86" s="2" t="inlineStr">
        <is>
          <t>N/A</t>
        </is>
      </c>
      <c r="J86" s="2" t="inlineStr">
        <is>
          <t>No score</t>
        </is>
      </c>
      <c r="K86" s="2" t="inlineStr">
        <is>
          <t>Scored from available field</t>
        </is>
      </c>
      <c r="L86" s="2" t="inlineStr">
        <is>
          <t>Evidence only</t>
        </is>
      </c>
      <c r="M86" s="2" t="n"/>
    </row>
    <row r="87">
      <c r="A87" s="2" t="inlineStr">
        <is>
          <t>Oxford Common File Layout</t>
        </is>
      </c>
      <c r="B87" s="2" t="n"/>
      <c r="C87" s="2" t="n"/>
      <c r="D87" s="2" t="n"/>
      <c r="E87" s="2" t="n"/>
      <c r="F87" s="2" t="n"/>
      <c r="G87" s="2" t="n"/>
      <c r="H87" s="2" t="inlineStr">
        <is>
          <t>N/A</t>
        </is>
      </c>
      <c r="I87" s="2" t="inlineStr">
        <is>
          <t>N/A</t>
        </is>
      </c>
      <c r="J87" s="2" t="inlineStr">
        <is>
          <t>Scored from available URL</t>
        </is>
      </c>
      <c r="K87" s="2" t="inlineStr">
        <is>
          <t>Scored from available field</t>
        </is>
      </c>
      <c r="L87" s="2" t="inlineStr">
        <is>
          <t>No URL</t>
        </is>
      </c>
      <c r="M87" s="2" t="n"/>
    </row>
    <row r="88">
      <c r="A88" s="2" t="inlineStr">
        <is>
          <t>Peer Community In</t>
        </is>
      </c>
      <c r="B88" s="2" t="n"/>
      <c r="C88" s="2" t="n"/>
      <c r="D88" s="2" t="n"/>
      <c r="E88" s="2" t="n"/>
      <c r="F88" s="2" t="n"/>
      <c r="G88" s="2" t="n"/>
      <c r="H88" s="2" t="inlineStr">
        <is>
          <t>Review coding</t>
        </is>
      </c>
      <c r="I88" s="2" t="inlineStr">
        <is>
          <t>N/A</t>
        </is>
      </c>
      <c r="J88" s="2" t="inlineStr">
        <is>
          <t>No score</t>
        </is>
      </c>
      <c r="K88" s="2" t="inlineStr">
        <is>
          <t>Scored from available field</t>
        </is>
      </c>
      <c r="L88" s="2" t="inlineStr">
        <is>
          <t>Evidence only</t>
        </is>
      </c>
      <c r="M88" s="2" t="n"/>
    </row>
    <row r="89">
      <c r="A89" s="2" t="inlineStr">
        <is>
          <t>PKP Preservation Network</t>
        </is>
      </c>
      <c r="B89" s="2" t="n"/>
      <c r="C89" s="2" t="n"/>
      <c r="D89" s="2" t="n"/>
      <c r="E89" s="2" t="n"/>
      <c r="F89" s="2" t="n"/>
      <c r="G89" s="2" t="n"/>
      <c r="H89" s="2" t="inlineStr">
        <is>
          <t>N/A</t>
        </is>
      </c>
      <c r="I89" s="2" t="inlineStr">
        <is>
          <t>N/A</t>
        </is>
      </c>
      <c r="J89" s="2" t="inlineStr">
        <is>
          <t>Scored from available URL</t>
        </is>
      </c>
      <c r="K89" s="2" t="inlineStr">
        <is>
          <t>Scored from available field</t>
        </is>
      </c>
      <c r="L89" s="2" t="inlineStr">
        <is>
          <t>Evidence only</t>
        </is>
      </c>
      <c r="M89" s="2" t="n"/>
    </row>
    <row r="90">
      <c r="A90" s="2" t="inlineStr">
        <is>
          <t>PREreview</t>
        </is>
      </c>
      <c r="B90" s="2" t="n"/>
      <c r="C90" s="2" t="n"/>
      <c r="D90" s="2" t="n"/>
      <c r="E90" s="2" t="n"/>
      <c r="F90" s="2" t="n"/>
      <c r="G90" s="2" t="n"/>
      <c r="H90" s="2" t="inlineStr">
        <is>
          <t>Review coding</t>
        </is>
      </c>
      <c r="I90" s="2" t="inlineStr">
        <is>
          <t>Review Other</t>
        </is>
      </c>
      <c r="J90" s="2" t="inlineStr">
        <is>
          <t>Scored from available URL</t>
        </is>
      </c>
      <c r="K90" s="2" t="inlineStr">
        <is>
          <t>Scored from available field</t>
        </is>
      </c>
      <c r="L90" s="2" t="inlineStr">
        <is>
          <t>Evidence only</t>
        </is>
      </c>
      <c r="M90" s="2" t="n"/>
    </row>
    <row r="91">
      <c r="A91" s="2" t="inlineStr">
        <is>
          <t>Pressbooks</t>
        </is>
      </c>
      <c r="B91" s="2" t="n"/>
      <c r="C91" s="2" t="n"/>
      <c r="D91" s="2" t="n"/>
      <c r="E91" s="2" t="n"/>
      <c r="F91" s="2" t="n"/>
      <c r="G91" s="2" t="n"/>
      <c r="H91" s="2" t="inlineStr">
        <is>
          <t>Review coding</t>
        </is>
      </c>
      <c r="I91" s="2" t="inlineStr">
        <is>
          <t>N/A</t>
        </is>
      </c>
      <c r="J91" s="2" t="inlineStr">
        <is>
          <t>No score</t>
        </is>
      </c>
      <c r="K91" s="2" t="inlineStr">
        <is>
          <t>Scored from available field</t>
        </is>
      </c>
      <c r="L91" s="2" t="inlineStr">
        <is>
          <t>No URL</t>
        </is>
      </c>
      <c r="M91" s="2" t="n"/>
    </row>
    <row r="92">
      <c r="A92" s="2" t="inlineStr">
        <is>
          <t>Public Access Submission System</t>
        </is>
      </c>
      <c r="B92" s="2" t="n"/>
      <c r="C92" s="2" t="n"/>
      <c r="D92" s="2" t="n"/>
      <c r="E92" s="2" t="n"/>
      <c r="F92" s="2" t="n"/>
      <c r="G92" s="2" t="n"/>
      <c r="H92" s="2" t="inlineStr">
        <is>
          <t>N/A</t>
        </is>
      </c>
      <c r="I92" s="2" t="inlineStr">
        <is>
          <t>N/A</t>
        </is>
      </c>
      <c r="J92" s="2" t="inlineStr">
        <is>
          <t>Scored from available URL</t>
        </is>
      </c>
      <c r="K92" s="2" t="inlineStr">
        <is>
          <t>Scored from available field</t>
        </is>
      </c>
      <c r="L92" s="2" t="inlineStr">
        <is>
          <t>Evidence only</t>
        </is>
      </c>
      <c r="M92" s="2" t="n"/>
    </row>
    <row r="93">
      <c r="A93" s="2" t="inlineStr">
        <is>
          <t>Public Utility Data Liberation (PUDL)</t>
        </is>
      </c>
      <c r="B93" s="2" t="n"/>
      <c r="C93" s="2" t="n"/>
      <c r="D93" s="2" t="n"/>
      <c r="E93" s="2" t="n"/>
      <c r="F93" s="2" t="n"/>
      <c r="G93" s="2" t="n"/>
      <c r="H93" s="2" t="inlineStr">
        <is>
          <t>N/A</t>
        </is>
      </c>
      <c r="I93" s="2" t="inlineStr">
        <is>
          <t>N/A</t>
        </is>
      </c>
      <c r="J93" s="2" t="inlineStr">
        <is>
          <t>Scored from available URL</t>
        </is>
      </c>
      <c r="K93" s="2" t="inlineStr">
        <is>
          <t>Scored from available field</t>
        </is>
      </c>
      <c r="L93" s="2" t="inlineStr">
        <is>
          <t>Evidence only</t>
        </is>
      </c>
      <c r="M93" s="2" t="n"/>
    </row>
    <row r="94">
      <c r="A94" s="2" t="inlineStr">
        <is>
          <t>PubPub</t>
        </is>
      </c>
      <c r="B94" s="2" t="n"/>
      <c r="C94" s="2" t="n"/>
      <c r="D94" s="2" t="n"/>
      <c r="E94" s="2" t="n"/>
      <c r="F94" s="2" t="n"/>
      <c r="G94" s="2" t="n"/>
      <c r="H94" s="2" t="inlineStr">
        <is>
          <t>Review coding</t>
        </is>
      </c>
      <c r="I94" s="2" t="inlineStr">
        <is>
          <t>N/A</t>
        </is>
      </c>
      <c r="J94" s="2" t="inlineStr">
        <is>
          <t>Scored from available URL</t>
        </is>
      </c>
      <c r="K94" s="2" t="inlineStr">
        <is>
          <t>Scored from available field</t>
        </is>
      </c>
      <c r="L94" s="2" t="inlineStr">
        <is>
          <t>Evidence only</t>
        </is>
      </c>
      <c r="M94" s="2" t="n"/>
    </row>
    <row r="95">
      <c r="A95" s="2" t="inlineStr">
        <is>
          <t>Pundit</t>
        </is>
      </c>
      <c r="B95" s="2" t="n"/>
      <c r="C95" s="2" t="n"/>
      <c r="D95" s="2" t="n"/>
      <c r="E95" s="2" t="n"/>
      <c r="F95" s="2" t="n"/>
      <c r="G95" s="2" t="n"/>
      <c r="H95" s="2" t="inlineStr">
        <is>
          <t>N/A</t>
        </is>
      </c>
      <c r="I95" s="2" t="inlineStr">
        <is>
          <t>N/A</t>
        </is>
      </c>
      <c r="J95" s="2" t="inlineStr">
        <is>
          <t>No score</t>
        </is>
      </c>
      <c r="K95" s="2" t="inlineStr">
        <is>
          <t>Scored from available field</t>
        </is>
      </c>
      <c r="L95" s="2" t="inlineStr">
        <is>
          <t>No URL</t>
        </is>
      </c>
      <c r="M95" s="2" t="n"/>
    </row>
    <row r="96">
      <c r="A96" s="2" t="inlineStr">
        <is>
          <t>pyOpenSci</t>
        </is>
      </c>
      <c r="B96" s="2" t="n"/>
      <c r="C96" s="2" t="n"/>
      <c r="D96" s="2" t="n"/>
      <c r="E96" s="2" t="n"/>
      <c r="F96" s="2" t="n"/>
      <c r="G96" s="2" t="n"/>
      <c r="H96" s="2" t="inlineStr">
        <is>
          <t>N/A</t>
        </is>
      </c>
      <c r="I96" s="2" t="inlineStr">
        <is>
          <t>N/A</t>
        </is>
      </c>
      <c r="J96" s="2" t="inlineStr">
        <is>
          <t>Scored from available URL</t>
        </is>
      </c>
      <c r="K96" s="2" t="inlineStr">
        <is>
          <t>Scored from available field</t>
        </is>
      </c>
      <c r="L96" s="2" t="inlineStr">
        <is>
          <t>Evidence only</t>
        </is>
      </c>
      <c r="M96" s="2" t="n"/>
    </row>
    <row r="97">
      <c r="A97" s="2" t="inlineStr">
        <is>
          <t>Renku</t>
        </is>
      </c>
      <c r="B97" s="2" t="n"/>
      <c r="C97" s="2" t="n"/>
      <c r="D97" s="2" t="n"/>
      <c r="E97" s="2" t="n"/>
      <c r="F97" s="2" t="n"/>
      <c r="G97" s="2" t="n"/>
      <c r="H97" s="2" t="inlineStr">
        <is>
          <t>N/A</t>
        </is>
      </c>
      <c r="I97" s="2" t="inlineStr">
        <is>
          <t>N/A</t>
        </is>
      </c>
      <c r="J97" s="2" t="inlineStr">
        <is>
          <t>Scored from available URL</t>
        </is>
      </c>
      <c r="K97" s="2" t="inlineStr">
        <is>
          <t>Scored from available field</t>
        </is>
      </c>
      <c r="L97" s="2" t="inlineStr">
        <is>
          <t>No URL</t>
        </is>
      </c>
      <c r="M97" s="2" t="n"/>
    </row>
    <row r="98">
      <c r="A98" s="2" t="inlineStr">
        <is>
          <t>RePEc</t>
        </is>
      </c>
      <c r="B98" s="2" t="n"/>
      <c r="C98" s="2" t="n"/>
      <c r="D98" s="2" t="n"/>
      <c r="E98" s="2" t="n"/>
      <c r="F98" s="2" t="n"/>
      <c r="G98" s="2" t="n"/>
      <c r="H98" s="2" t="inlineStr">
        <is>
          <t>N/A</t>
        </is>
      </c>
      <c r="I98" s="2" t="inlineStr">
        <is>
          <t>Review Other</t>
        </is>
      </c>
      <c r="J98" s="2" t="inlineStr">
        <is>
          <t>No score</t>
        </is>
      </c>
      <c r="K98" s="2" t="inlineStr">
        <is>
          <t>Scored from available field</t>
        </is>
      </c>
      <c r="L98" s="2" t="inlineStr">
        <is>
          <t>No URL</t>
        </is>
      </c>
      <c r="M98" s="2" t="n"/>
    </row>
    <row r="99">
      <c r="A99" s="2" t="inlineStr">
        <is>
          <t>Research Organization Registry (ROR)</t>
        </is>
      </c>
      <c r="B99" s="2" t="n"/>
      <c r="C99" s="2" t="n"/>
      <c r="D99" s="2" t="n"/>
      <c r="E99" s="2" t="n"/>
      <c r="F99" s="2" t="n"/>
      <c r="G99" s="2" t="n"/>
      <c r="H99" s="2" t="inlineStr">
        <is>
          <t>Review coding</t>
        </is>
      </c>
      <c r="I99" s="2" t="inlineStr">
        <is>
          <t>N/A</t>
        </is>
      </c>
      <c r="J99" s="2" t="inlineStr">
        <is>
          <t>Scored from available URL</t>
        </is>
      </c>
      <c r="K99" s="2" t="inlineStr">
        <is>
          <t>Scored from available field</t>
        </is>
      </c>
      <c r="L99" s="2" t="inlineStr">
        <is>
          <t>Evidence only</t>
        </is>
      </c>
      <c r="M99" s="2" t="n"/>
    </row>
    <row r="100">
      <c r="A100" s="2" t="inlineStr">
        <is>
          <t>Rogue Scholar</t>
        </is>
      </c>
      <c r="B100" s="2" t="n"/>
      <c r="C100" s="2" t="n"/>
      <c r="D100" s="2" t="n"/>
      <c r="E100" s="2" t="n"/>
      <c r="F100" s="2" t="n"/>
      <c r="G100" s="2" t="n"/>
      <c r="H100" s="2" t="inlineStr">
        <is>
          <t>N/A</t>
        </is>
      </c>
      <c r="I100" s="2" t="inlineStr">
        <is>
          <t>N/A</t>
        </is>
      </c>
      <c r="J100" s="2" t="inlineStr">
        <is>
          <t>No score</t>
        </is>
      </c>
      <c r="K100" s="2" t="inlineStr">
        <is>
          <t>Scored from available field</t>
        </is>
      </c>
      <c r="L100" s="2" t="inlineStr">
        <is>
          <t>No URL</t>
        </is>
      </c>
      <c r="M100" s="2" t="n"/>
    </row>
    <row r="101">
      <c r="A101" s="2" t="inlineStr">
        <is>
          <t>RSpace</t>
        </is>
      </c>
      <c r="B101" s="2" t="n"/>
      <c r="C101" s="2" t="n"/>
      <c r="D101" s="2" t="n"/>
      <c r="E101" s="2" t="n"/>
      <c r="F101" s="2" t="n"/>
      <c r="G101" s="2" t="n"/>
      <c r="H101" s="2" t="inlineStr">
        <is>
          <t>N/A</t>
        </is>
      </c>
      <c r="I101" s="2" t="inlineStr">
        <is>
          <t>N/A</t>
        </is>
      </c>
      <c r="J101" s="2" t="inlineStr">
        <is>
          <t>Scored from available URL</t>
        </is>
      </c>
      <c r="K101" s="2" t="inlineStr">
        <is>
          <t>Scored from available field</t>
        </is>
      </c>
      <c r="L101" s="2" t="inlineStr">
        <is>
          <t>Evidence only</t>
        </is>
      </c>
      <c r="M101" s="2" t="n"/>
    </row>
    <row r="102">
      <c r="A102" s="2" t="inlineStr">
        <is>
          <t>Sciety</t>
        </is>
      </c>
      <c r="B102" s="2" t="n"/>
      <c r="C102" s="2" t="n"/>
      <c r="D102" s="2" t="n"/>
      <c r="E102" s="2" t="n"/>
      <c r="F102" s="2" t="n"/>
      <c r="G102" s="2" t="n"/>
      <c r="H102" s="2" t="inlineStr">
        <is>
          <t>N/A</t>
        </is>
      </c>
      <c r="I102" s="2" t="inlineStr">
        <is>
          <t>N/A</t>
        </is>
      </c>
      <c r="J102" s="2" t="inlineStr">
        <is>
          <t>No score</t>
        </is>
      </c>
      <c r="K102" s="2" t="inlineStr">
        <is>
          <t>Scored from available field</t>
        </is>
      </c>
      <c r="L102" s="2" t="inlineStr">
        <is>
          <t>No URL</t>
        </is>
      </c>
      <c r="M102" s="2" t="n"/>
    </row>
    <row r="103">
      <c r="A103" s="2" t="inlineStr">
        <is>
          <t>Synapse</t>
        </is>
      </c>
      <c r="B103" s="2" t="n"/>
      <c r="C103" s="2" t="n"/>
      <c r="D103" s="2" t="n"/>
      <c r="E103" s="2" t="n"/>
      <c r="F103" s="2" t="n"/>
      <c r="G103" s="2" t="n"/>
      <c r="H103" s="2" t="inlineStr">
        <is>
          <t>N/A</t>
        </is>
      </c>
      <c r="I103" s="2" t="inlineStr">
        <is>
          <t>N/A</t>
        </is>
      </c>
      <c r="J103" s="2" t="inlineStr">
        <is>
          <t>No score</t>
        </is>
      </c>
      <c r="K103" s="2" t="inlineStr">
        <is>
          <t>Scored from available field</t>
        </is>
      </c>
      <c r="L103" s="2" t="inlineStr">
        <is>
          <t>Evidence only</t>
        </is>
      </c>
      <c r="M103" s="2" t="n"/>
    </row>
    <row r="104">
      <c r="A104" s="2" t="inlineStr">
        <is>
          <t>TagTeam</t>
        </is>
      </c>
      <c r="B104" s="2" t="n"/>
      <c r="C104" s="2" t="n"/>
      <c r="D104" s="2" t="n"/>
      <c r="E104" s="2" t="n"/>
      <c r="F104" s="2" t="n"/>
      <c r="G104" s="2" t="n"/>
      <c r="H104" s="2" t="inlineStr">
        <is>
          <t>N/A</t>
        </is>
      </c>
      <c r="I104" s="2" t="inlineStr">
        <is>
          <t>N/A</t>
        </is>
      </c>
      <c r="J104" s="2" t="inlineStr">
        <is>
          <t>Scored from available URL</t>
        </is>
      </c>
      <c r="K104" s="2" t="inlineStr">
        <is>
          <t>Scored from available field</t>
        </is>
      </c>
      <c r="L104" s="2" t="inlineStr">
        <is>
          <t>Evidence only</t>
        </is>
      </c>
      <c r="M104" s="2" t="n"/>
    </row>
    <row r="105">
      <c r="A105" s="2" t="inlineStr">
        <is>
          <t>Thoth Open Metadata</t>
        </is>
      </c>
      <c r="B105" s="2" t="n"/>
      <c r="C105" s="2" t="n"/>
      <c r="D105" s="2" t="n"/>
      <c r="E105" s="2" t="n"/>
      <c r="F105" s="2" t="n"/>
      <c r="G105" s="2" t="n"/>
      <c r="H105" s="2" t="inlineStr">
        <is>
          <t>N/A</t>
        </is>
      </c>
      <c r="I105" s="2" t="inlineStr">
        <is>
          <t>N/A</t>
        </is>
      </c>
      <c r="J105" s="2" t="inlineStr">
        <is>
          <t>No score</t>
        </is>
      </c>
      <c r="K105" s="2" t="inlineStr">
        <is>
          <t>Scored from available field</t>
        </is>
      </c>
      <c r="L105" s="2" t="inlineStr">
        <is>
          <t>Evidence only</t>
        </is>
      </c>
      <c r="M105" s="2" t="n"/>
    </row>
    <row r="106">
      <c r="A106" s="2" t="inlineStr">
        <is>
          <t>Tropy</t>
        </is>
      </c>
      <c r="B106" s="2" t="n"/>
      <c r="C106" s="2" t="n"/>
      <c r="D106" s="2" t="n"/>
      <c r="E106" s="2" t="n"/>
      <c r="F106" s="2" t="n"/>
      <c r="G106" s="2" t="n"/>
      <c r="H106" s="2" t="inlineStr">
        <is>
          <t>N/A</t>
        </is>
      </c>
      <c r="I106" s="2" t="inlineStr">
        <is>
          <t>N/A</t>
        </is>
      </c>
      <c r="J106" s="2" t="inlineStr">
        <is>
          <t>Scored from available URL</t>
        </is>
      </c>
      <c r="K106" s="2" t="inlineStr">
        <is>
          <t>Scored from available field</t>
        </is>
      </c>
      <c r="L106" s="2" t="inlineStr">
        <is>
          <t>No URL</t>
        </is>
      </c>
      <c r="M106" s="2" t="n"/>
    </row>
    <row r="107">
      <c r="A107" s="2" t="inlineStr">
        <is>
          <t>veraPDF</t>
        </is>
      </c>
      <c r="B107" s="2" t="n"/>
      <c r="C107" s="2" t="n"/>
      <c r="D107" s="2" t="n"/>
      <c r="E107" s="2" t="n"/>
      <c r="F107" s="2" t="n"/>
      <c r="G107" s="2" t="n"/>
      <c r="H107" s="2" t="inlineStr">
        <is>
          <t>N/A</t>
        </is>
      </c>
      <c r="I107" s="2" t="inlineStr">
        <is>
          <t>N/A</t>
        </is>
      </c>
      <c r="J107" s="2" t="inlineStr">
        <is>
          <t>No score</t>
        </is>
      </c>
      <c r="K107" s="2" t="inlineStr">
        <is>
          <t>Scored from available field</t>
        </is>
      </c>
      <c r="L107" s="2" t="inlineStr">
        <is>
          <t>No URL</t>
        </is>
      </c>
      <c r="M107" s="2" t="n"/>
    </row>
    <row r="108">
      <c r="A108" s="2" t="inlineStr">
        <is>
          <t>ViPER</t>
        </is>
      </c>
      <c r="B108" s="2" t="n"/>
      <c r="C108" s="2" t="n"/>
      <c r="D108" s="2" t="n"/>
      <c r="E108" s="2" t="n"/>
      <c r="F108" s="2" t="n"/>
      <c r="G108" s="2" t="n"/>
      <c r="H108" s="2" t="inlineStr">
        <is>
          <t>N/A</t>
        </is>
      </c>
      <c r="I108" s="2" t="inlineStr">
        <is>
          <t>N/A</t>
        </is>
      </c>
      <c r="J108" s="2" t="inlineStr">
        <is>
          <t>Scored from available URL</t>
        </is>
      </c>
      <c r="K108" s="2" t="inlineStr">
        <is>
          <t>Scored from available field</t>
        </is>
      </c>
      <c r="L108" s="2" t="inlineStr">
        <is>
          <t>No URL</t>
        </is>
      </c>
      <c r="M108" s="2" t="n"/>
    </row>
    <row r="109">
      <c r="A109" s="2" t="inlineStr">
        <is>
          <t>Vireo ETD</t>
        </is>
      </c>
      <c r="B109" s="2" t="n"/>
      <c r="C109" s="2" t="n"/>
      <c r="D109" s="2" t="n"/>
      <c r="E109" s="2" t="n"/>
      <c r="F109" s="2" t="n"/>
      <c r="G109" s="2" t="n"/>
      <c r="H109" s="2" t="inlineStr">
        <is>
          <t>N/A</t>
        </is>
      </c>
      <c r="I109" s="2" t="inlineStr">
        <is>
          <t>N/A</t>
        </is>
      </c>
      <c r="J109" s="2" t="inlineStr">
        <is>
          <t>No score</t>
        </is>
      </c>
      <c r="K109" s="2" t="inlineStr">
        <is>
          <t>Scored from available field</t>
        </is>
      </c>
      <c r="L109" s="2" t="inlineStr">
        <is>
          <t>No URL</t>
        </is>
      </c>
      <c r="M109" s="2" t="n"/>
    </row>
    <row r="110">
      <c r="A110" s="2" t="inlineStr">
        <is>
          <t>VIVO</t>
        </is>
      </c>
      <c r="B110" s="2" t="n"/>
      <c r="C110" s="2" t="n"/>
      <c r="D110" s="2" t="n"/>
      <c r="E110" s="2" t="n"/>
      <c r="F110" s="2" t="n"/>
      <c r="G110" s="2" t="n"/>
      <c r="H110" s="2" t="inlineStr">
        <is>
          <t>N/A</t>
        </is>
      </c>
      <c r="I110" s="2" t="inlineStr">
        <is>
          <t>N/A</t>
        </is>
      </c>
      <c r="J110" s="2" t="inlineStr">
        <is>
          <t>Scored from available URL</t>
        </is>
      </c>
      <c r="K110" s="2" t="inlineStr">
        <is>
          <t>Scored from available field</t>
        </is>
      </c>
      <c r="L110" s="2" t="inlineStr">
        <is>
          <t>No URL</t>
        </is>
      </c>
      <c r="M110" s="2" t="n"/>
    </row>
    <row r="111">
      <c r="A111" s="2" t="inlineStr">
        <is>
          <t>VuFind®</t>
        </is>
      </c>
      <c r="B111" s="2" t="n"/>
      <c r="C111" s="2" t="n"/>
      <c r="D111" s="2" t="n"/>
      <c r="E111" s="2" t="n"/>
      <c r="F111" s="2" t="n"/>
      <c r="G111" s="2" t="n"/>
      <c r="H111" s="2" t="inlineStr">
        <is>
          <t>Review coding</t>
        </is>
      </c>
      <c r="I111" s="2" t="inlineStr">
        <is>
          <t>N/A</t>
        </is>
      </c>
      <c r="J111" s="2" t="inlineStr">
        <is>
          <t>Scored from available URL</t>
        </is>
      </c>
      <c r="K111" s="2" t="inlineStr">
        <is>
          <t>Scored from available field</t>
        </is>
      </c>
      <c r="L111" s="2" t="inlineStr">
        <is>
          <t>Evidence only</t>
        </is>
      </c>
      <c r="M111" s="2" t="n"/>
    </row>
    <row r="112">
      <c r="A112" s="2" t="inlineStr">
        <is>
          <t>Zenodo</t>
        </is>
      </c>
      <c r="B112" s="2" t="n"/>
      <c r="C112" s="2" t="n"/>
      <c r="D112" s="2" t="n"/>
      <c r="E112" s="2" t="n"/>
      <c r="F112" s="2" t="n"/>
      <c r="G112" s="2" t="n"/>
      <c r="H112" s="2" t="inlineStr">
        <is>
          <t>N/A</t>
        </is>
      </c>
      <c r="I112" s="2" t="inlineStr">
        <is>
          <t>N/A</t>
        </is>
      </c>
      <c r="J112" s="2" t="inlineStr">
        <is>
          <t>Scored from available URL</t>
        </is>
      </c>
      <c r="K112" s="2" t="inlineStr">
        <is>
          <t>Scored from available field</t>
        </is>
      </c>
      <c r="L112" s="2" t="inlineStr">
        <is>
          <t>Evidence only</t>
        </is>
      </c>
      <c r="M112" s="2" t="n"/>
    </row>
    <row r="113">
      <c r="A113" s="2" t="inlineStr">
        <is>
          <t>Zotero</t>
        </is>
      </c>
      <c r="B113" s="2" t="n"/>
      <c r="C113" s="2" t="n"/>
      <c r="D113" s="2" t="n"/>
      <c r="E113" s="2" t="n"/>
      <c r="F113" s="2" t="n"/>
      <c r="G113" s="2" t="n"/>
      <c r="H113" s="2" t="inlineStr">
        <is>
          <t>N/A</t>
        </is>
      </c>
      <c r="I113" s="2" t="inlineStr">
        <is>
          <t>N/A</t>
        </is>
      </c>
      <c r="J113" s="2" t="inlineStr">
        <is>
          <t>Scored from available URL</t>
        </is>
      </c>
      <c r="K113" s="2" t="inlineStr">
        <is>
          <t>Scored from available field</t>
        </is>
      </c>
      <c r="L113" s="2" t="inlineStr">
        <is>
          <t>Evidence only</t>
        </is>
      </c>
      <c r="M113" s="2" t="n"/>
    </row>
  </sheetData>
  <autoFilter ref="A1:M113"/>
  <dataValidations count="1">
    <dataValidation sqref="B2:G2 B3:G3 B4:G4 B5:G5 B6:G6 B7:G7 B8:G8 B9:G9 B10:G10 B11:G11 B12:G12 B13:G13 B14:G14 B15:G15 B16:G16 B17:G17 B18:G18 B19:G19 B20:G20 B21:G21 B22:G22 B23:G23 B24:G24 B25:G25 B26:G26 B27:G27 B28:G28 B29:G29 B30:G30 B31:G31 B32:G32 B33:G33 B34:G34 B35:G35 B36:G36 B37:G37 B38:G38 B39:G39 B40:G40 B41:G41 B42:G42 B43:G43 B44:G44 B45:G45 B46:G46 B47:G47 B48:G48 B49:G49 B50:G50 B51:G51 B52:G52 B53:G53 B54:G54 B55:G55 B56:G56 B57:G57 B58:G58 B59:G59 B60:G60 B61:G61 B62:G62 B63:G63 B64:G64 B65:G65 B66:G66 B67:G67 B68:G68 B69:G69 B70:G70 B71:G71 B72:G72 B73:G73 B74:G74 B75:G75 B76:G76 B77:G77 B78:G78 B79:G79 B80:G80 B81:G81 B82:G82 B83:G83 B84:G84 B85:G85 B86:G86 B87:G87 B88:G88 B89:G89 B90:G90 B91:G91 B92:G92 B93:G93 B94:G94 B95:G95 B96:G96 B97:G97 B98:G98 B99:G99 B100:G100 B101:G101 B102:G102 B103:G103 B104:G104 B105:G105 B106:G106 B107:G107 B108:G108 B109:G109 B110:G110 B111:G111 B112:G112 B113:G113" showDropDown="0" showInputMessage="0" showErrorMessage="0" allowBlank="1" type="decimal" operator="between">
      <formula1>0</formula1>
      <formula2>100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13"/>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12" customWidth="1" min="3" max="3"/>
    <col width="22" customWidth="1" min="4" max="4"/>
    <col width="31" customWidth="1" min="5" max="5"/>
    <col width="26" customWidth="1" min="6" max="6"/>
    <col width="48" customWidth="1" min="7" max="7"/>
    <col width="48" customWidth="1" min="8" max="8"/>
    <col width="19" customWidth="1" min="9" max="9"/>
    <col width="48" customWidth="1" min="10" max="10"/>
    <col width="20" customWidth="1" min="11" max="11"/>
    <col width="38" customWidth="1" min="12" max="12"/>
    <col width="28" customWidth="1" min="13" max="13"/>
    <col width="28" customWidth="1" min="14" max="14"/>
    <col width="18" customWidth="1" min="15" max="15"/>
    <col width="28" customWidth="1" min="16" max="16"/>
    <col width="37" customWidth="1" min="17" max="17"/>
    <col width="32" customWidth="1" min="18" max="18"/>
    <col width="48" customWidth="1" min="19" max="19"/>
    <col width="48" customWidth="1" min="20" max="20"/>
    <col width="25" customWidth="1" min="21" max="21"/>
    <col width="48" customWidth="1" min="22" max="22"/>
    <col width="26" customWidth="1" min="23" max="23"/>
    <col width="44" customWidth="1" min="24" max="24"/>
    <col width="34" customWidth="1" min="25" max="25"/>
    <col width="12" customWidth="1" min="26" max="26"/>
    <col width="17" customWidth="1" min="27" max="27"/>
    <col width="17" customWidth="1" min="28" max="28"/>
    <col width="18" customWidth="1" min="29" max="29"/>
    <col width="48" customWidth="1" min="30" max="30"/>
  </cols>
  <sheetData>
    <row r="1">
      <c r="A1" s="1" t="inlineStr">
        <is>
          <t>Service</t>
        </is>
      </c>
      <c r="B1" s="1" t="inlineStr">
        <is>
          <t>038: Annual meetings</t>
        </is>
      </c>
      <c r="C1" s="1" t="inlineStr">
        <is>
          <t>038: Blogs</t>
        </is>
      </c>
      <c r="D1" s="1" t="inlineStr">
        <is>
          <t>038: Community calls</t>
        </is>
      </c>
      <c r="E1" s="1" t="inlineStr">
        <is>
          <t>038: Conference participation</t>
        </is>
      </c>
      <c r="F1" s="1" t="inlineStr">
        <is>
          <t>038: Development sprints</t>
        </is>
      </c>
      <c r="G1" s="1" t="inlineStr">
        <is>
          <t>038: Interest, working, user, or advisory groups</t>
        </is>
      </c>
      <c r="H1" s="1" t="inlineStr">
        <is>
          <t>038: Mailing lists and discussion forums (including Slack)</t>
        </is>
      </c>
      <c r="I1" s="1" t="inlineStr">
        <is>
          <t>038: Social media</t>
        </is>
      </c>
      <c r="J1" s="1" t="inlineStr">
        <is>
          <t>038: Staff roles with responsibility for community engagement</t>
        </is>
      </c>
      <c r="K1" s="1" t="inlineStr">
        <is>
          <t>038: User research</t>
        </is>
      </c>
      <c r="L1" s="1" t="inlineStr">
        <is>
          <t>038: Volunteer or ambassador network</t>
        </is>
      </c>
      <c r="M1" s="1" t="inlineStr">
        <is>
          <t>038: Webinars and training</t>
        </is>
      </c>
      <c r="N1" s="1" t="inlineStr">
        <is>
          <t>938 coded: Annual meetings</t>
        </is>
      </c>
      <c r="O1" s="1" t="inlineStr">
        <is>
          <t>938 coded: Blogs</t>
        </is>
      </c>
      <c r="P1" s="1" t="inlineStr">
        <is>
          <t>938 coded: Community calls</t>
        </is>
      </c>
      <c r="Q1" s="1" t="inlineStr">
        <is>
          <t>938 coded: Conference participation</t>
        </is>
      </c>
      <c r="R1" s="1" t="inlineStr">
        <is>
          <t>938 coded: Development sprints</t>
        </is>
      </c>
      <c r="S1" s="1" t="inlineStr">
        <is>
          <t>938 coded: Interest, working, user, or advisory groups</t>
        </is>
      </c>
      <c r="T1" s="1" t="inlineStr">
        <is>
          <t>938 coded: Mailing lists and discussion forums (including Slack)</t>
        </is>
      </c>
      <c r="U1" s="1" t="inlineStr">
        <is>
          <t>938 coded: Social media</t>
        </is>
      </c>
      <c r="V1" s="1" t="inlineStr">
        <is>
          <t>938 coded: Staff roles with responsibility for community engagement</t>
        </is>
      </c>
      <c r="W1" s="1" t="inlineStr">
        <is>
          <t>938 coded: User research</t>
        </is>
      </c>
      <c r="X1" s="1" t="inlineStr">
        <is>
          <t>938 coded: Volunteer or ambassador network</t>
        </is>
      </c>
      <c r="Y1" s="1" t="inlineStr">
        <is>
          <t>938 coded: Webinars and training</t>
        </is>
      </c>
      <c r="Z1" s="1" t="inlineStr">
        <is>
          <t>038 count</t>
        </is>
      </c>
      <c r="AA1" s="1" t="inlineStr">
        <is>
          <t>938 coded count</t>
        </is>
      </c>
      <c r="AB1" s="1" t="inlineStr">
        <is>
          <t>Other supported</t>
        </is>
      </c>
      <c r="AC1" s="1" t="inlineStr">
        <is>
          <t>Union count / 13</t>
        </is>
      </c>
      <c r="AD1" s="1" t="inlineStr">
        <is>
          <t>Coded union</t>
        </is>
      </c>
    </row>
    <row r="2">
      <c r="A2" s="2" t="inlineStr">
        <is>
          <t>2i2c</t>
        </is>
      </c>
      <c r="B2" s="2" t="n">
        <v>0</v>
      </c>
      <c r="C2" s="2" t="n">
        <v>0</v>
      </c>
      <c r="D2" s="2" t="n">
        <v>0</v>
      </c>
      <c r="E2" s="2" t="n">
        <v>0</v>
      </c>
      <c r="F2" s="2" t="n">
        <v>0</v>
      </c>
      <c r="G2" s="2" t="n">
        <v>0</v>
      </c>
      <c r="H2" s="2" t="n">
        <v>0</v>
      </c>
      <c r="I2" s="2" t="n">
        <v>0</v>
      </c>
      <c r="J2" s="2" t="n">
        <v>0</v>
      </c>
      <c r="K2" s="2" t="n">
        <v>0</v>
      </c>
      <c r="L2" s="2" t="n">
        <v>0</v>
      </c>
      <c r="M2" s="2" t="n">
        <v>0</v>
      </c>
      <c r="N2" s="2" t="n">
        <v>0</v>
      </c>
      <c r="O2" s="2" t="n">
        <v>0</v>
      </c>
      <c r="P2" s="2" t="n">
        <v>1</v>
      </c>
      <c r="Q2" s="2" t="n">
        <v>0</v>
      </c>
      <c r="R2" s="2" t="n">
        <v>0</v>
      </c>
      <c r="S2" s="2" t="n">
        <v>1</v>
      </c>
      <c r="T2" s="2" t="n">
        <v>0</v>
      </c>
      <c r="U2" s="2" t="n">
        <v>0</v>
      </c>
      <c r="V2" s="2" t="n">
        <v>0</v>
      </c>
      <c r="W2" s="2" t="n">
        <v>0</v>
      </c>
      <c r="X2" s="2" t="n">
        <v>0</v>
      </c>
      <c r="Y2" s="2" t="n">
        <v>0</v>
      </c>
      <c r="Z2" s="2" t="n">
        <v>0</v>
      </c>
      <c r="AA2" s="2" t="n">
        <v>2</v>
      </c>
      <c r="AB2" s="2" t="n">
        <v>0</v>
      </c>
      <c r="AC2" s="2" t="n">
        <v>2</v>
      </c>
      <c r="AD2" s="2" t="inlineStr">
        <is>
          <t>Community calls; Interest, working, user, or advisory groups</t>
        </is>
      </c>
    </row>
    <row r="3">
      <c r="A3" s="2" t="inlineStr">
        <is>
          <t>Academic Preservation Trust (APTrust)</t>
        </is>
      </c>
      <c r="B3" s="2" t="n">
        <v>1</v>
      </c>
      <c r="C3" s="2" t="n">
        <v>1</v>
      </c>
      <c r="D3" s="2" t="n">
        <v>1</v>
      </c>
      <c r="E3" s="2" t="n">
        <v>1</v>
      </c>
      <c r="F3" s="2" t="n">
        <v>1</v>
      </c>
      <c r="G3" s="2" t="n">
        <v>1</v>
      </c>
      <c r="H3" s="2" t="n">
        <v>1</v>
      </c>
      <c r="I3" s="2" t="n">
        <v>0</v>
      </c>
      <c r="J3" s="2" t="n">
        <v>1</v>
      </c>
      <c r="K3" s="2" t="n">
        <v>1</v>
      </c>
      <c r="L3" s="2" t="n">
        <v>0</v>
      </c>
      <c r="M3" s="2" t="n">
        <v>1</v>
      </c>
      <c r="N3" s="2" t="n">
        <v>0</v>
      </c>
      <c r="O3" s="2" t="n">
        <v>0</v>
      </c>
      <c r="P3" s="2" t="n">
        <v>0</v>
      </c>
      <c r="Q3" s="2" t="n">
        <v>0</v>
      </c>
      <c r="R3" s="2" t="n">
        <v>0</v>
      </c>
      <c r="S3" s="2" t="n">
        <v>0</v>
      </c>
      <c r="T3" s="2" t="n">
        <v>0</v>
      </c>
      <c r="U3" s="2" t="n">
        <v>0</v>
      </c>
      <c r="V3" s="2" t="n">
        <v>0</v>
      </c>
      <c r="W3" s="2" t="n">
        <v>0</v>
      </c>
      <c r="X3" s="2" t="n">
        <v>0</v>
      </c>
      <c r="Y3" s="2" t="n">
        <v>0</v>
      </c>
      <c r="Z3" s="2" t="n">
        <v>10</v>
      </c>
      <c r="AA3" s="2" t="n">
        <v>0</v>
      </c>
      <c r="AB3" s="2" t="n">
        <v>0</v>
      </c>
      <c r="AC3" s="2" t="n">
        <v>10</v>
      </c>
      <c r="AD3" s="2" t="inlineStr">
        <is>
          <t>Annual meetings; Blogs; Community calls; Conference participation; Development sprints; Interest, working, user, or advisory groups; Mailing lists and discussion forums (including Slack); Staff roles with responsibility for community engagement; User research; Webinars and training</t>
        </is>
      </c>
    </row>
    <row r="4">
      <c r="A4" s="2" t="inlineStr">
        <is>
          <t>AfricArXiv</t>
        </is>
      </c>
      <c r="B4" s="2" t="n">
        <v>0</v>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inlineStr"/>
    </row>
    <row r="5">
      <c r="A5" s="2" t="inlineStr">
        <is>
          <t>Arches Heritage Data Management Platform</t>
        </is>
      </c>
      <c r="B5" s="2" t="n">
        <v>0</v>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inlineStr"/>
    </row>
    <row r="6">
      <c r="A6" s="2" t="inlineStr">
        <is>
          <t>Archipelago Commons</t>
        </is>
      </c>
      <c r="B6" s="2" t="n">
        <v>0</v>
      </c>
      <c r="C6" s="2" t="n">
        <v>0</v>
      </c>
      <c r="D6" s="2" t="n">
        <v>1</v>
      </c>
      <c r="E6" s="2" t="n">
        <v>1</v>
      </c>
      <c r="F6" s="2" t="n">
        <v>0</v>
      </c>
      <c r="G6" s="2" t="n">
        <v>1</v>
      </c>
      <c r="H6" s="2" t="n">
        <v>1</v>
      </c>
      <c r="I6" s="2" t="n">
        <v>0</v>
      </c>
      <c r="J6" s="2" t="n">
        <v>1</v>
      </c>
      <c r="K6" s="2" t="n">
        <v>0</v>
      </c>
      <c r="L6" s="2" t="n">
        <v>1</v>
      </c>
      <c r="M6" s="2" t="n">
        <v>1</v>
      </c>
      <c r="N6" s="2" t="n">
        <v>0</v>
      </c>
      <c r="O6" s="2" t="n">
        <v>0</v>
      </c>
      <c r="P6" s="2" t="n">
        <v>0</v>
      </c>
      <c r="Q6" s="2" t="n">
        <v>0</v>
      </c>
      <c r="R6" s="2" t="n">
        <v>0</v>
      </c>
      <c r="S6" s="2" t="n">
        <v>1</v>
      </c>
      <c r="T6" s="2" t="n">
        <v>1</v>
      </c>
      <c r="U6" s="2" t="n">
        <v>0</v>
      </c>
      <c r="V6" s="2" t="n">
        <v>0</v>
      </c>
      <c r="W6" s="2" t="n">
        <v>0</v>
      </c>
      <c r="X6" s="2" t="n">
        <v>0</v>
      </c>
      <c r="Y6" s="2" t="n">
        <v>0</v>
      </c>
      <c r="Z6" s="2" t="n">
        <v>7</v>
      </c>
      <c r="AA6" s="2" t="n">
        <v>2</v>
      </c>
      <c r="AB6" s="2" t="n">
        <v>0</v>
      </c>
      <c r="AC6" s="2" t="n">
        <v>7</v>
      </c>
      <c r="AD6" s="2" t="inlineStr">
        <is>
          <t>Community calls; Conference participation; Interest, working, user, or advisory groups; Mailing lists and discussion forums (including Slack); Staff roles with responsibility for community engagement; Volunteer or ambassador network; Webinars and training</t>
        </is>
      </c>
    </row>
    <row r="7">
      <c r="A7" s="2" t="inlineStr">
        <is>
          <t>Archival Resource Key</t>
        </is>
      </c>
      <c r="B7" s="2" t="n">
        <v>0</v>
      </c>
      <c r="C7" s="2" t="n">
        <v>0</v>
      </c>
      <c r="D7" s="2" t="n">
        <v>0</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inlineStr"/>
    </row>
    <row r="8">
      <c r="A8" s="2" t="inlineStr">
        <is>
          <t>Archivematica</t>
        </is>
      </c>
      <c r="B8" s="2" t="n">
        <v>0</v>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inlineStr"/>
    </row>
    <row r="9">
      <c r="A9" s="2" t="inlineStr">
        <is>
          <t>ArchivesSpace</t>
        </is>
      </c>
      <c r="B9" s="2" t="n">
        <v>1</v>
      </c>
      <c r="C9" s="2" t="n">
        <v>1</v>
      </c>
      <c r="D9" s="2" t="n">
        <v>1</v>
      </c>
      <c r="E9" s="2" t="n">
        <v>1</v>
      </c>
      <c r="F9" s="2" t="n">
        <v>0</v>
      </c>
      <c r="G9" s="2" t="n">
        <v>1</v>
      </c>
      <c r="H9" s="2" t="n">
        <v>1</v>
      </c>
      <c r="I9" s="2" t="n">
        <v>1</v>
      </c>
      <c r="J9" s="2" t="n">
        <v>1</v>
      </c>
      <c r="K9" s="2" t="n">
        <v>0</v>
      </c>
      <c r="L9" s="2" t="n">
        <v>0</v>
      </c>
      <c r="M9" s="2" t="n">
        <v>1</v>
      </c>
      <c r="N9" s="2" t="n">
        <v>0</v>
      </c>
      <c r="O9" s="2" t="n">
        <v>0</v>
      </c>
      <c r="P9" s="2" t="n">
        <v>0</v>
      </c>
      <c r="Q9" s="2" t="n">
        <v>0</v>
      </c>
      <c r="R9" s="2" t="n">
        <v>0</v>
      </c>
      <c r="S9" s="2" t="n">
        <v>0</v>
      </c>
      <c r="T9" s="2" t="n">
        <v>0</v>
      </c>
      <c r="U9" s="2" t="n">
        <v>0</v>
      </c>
      <c r="V9" s="2" t="n">
        <v>0</v>
      </c>
      <c r="W9" s="2" t="n">
        <v>0</v>
      </c>
      <c r="X9" s="2" t="n">
        <v>0</v>
      </c>
      <c r="Y9" s="2" t="n">
        <v>0</v>
      </c>
      <c r="Z9" s="2" t="n">
        <v>9</v>
      </c>
      <c r="AA9" s="2" t="n">
        <v>0</v>
      </c>
      <c r="AB9" s="2" t="n">
        <v>0</v>
      </c>
      <c r="AC9" s="2" t="n">
        <v>9</v>
      </c>
      <c r="AD9" s="2" t="inlineStr">
        <is>
          <t>Annual meetings; Blogs; Community calls; Conference participation; Interest, working, user, or advisory groups; Mailing lists and discussion forums (including Slack); Social media; Staff roles with responsibility for community engagement; Webinars and training</t>
        </is>
      </c>
    </row>
    <row r="10">
      <c r="A10" s="2" t="inlineStr">
        <is>
          <t>ARGOS</t>
        </is>
      </c>
      <c r="B10" s="2" t="n">
        <v>0</v>
      </c>
      <c r="C10" s="2" t="n">
        <v>1</v>
      </c>
      <c r="D10" s="2" t="n">
        <v>1</v>
      </c>
      <c r="E10" s="2" t="n">
        <v>1</v>
      </c>
      <c r="F10" s="2" t="n">
        <v>1</v>
      </c>
      <c r="G10" s="2" t="n">
        <v>1</v>
      </c>
      <c r="H10" s="2" t="n">
        <v>0</v>
      </c>
      <c r="I10" s="2" t="n">
        <v>1</v>
      </c>
      <c r="J10" s="2" t="n">
        <v>1</v>
      </c>
      <c r="K10" s="2" t="n">
        <v>0</v>
      </c>
      <c r="L10" s="2" t="n">
        <v>0</v>
      </c>
      <c r="M10" s="2" t="n">
        <v>1</v>
      </c>
      <c r="N10" s="2" t="n">
        <v>0</v>
      </c>
      <c r="O10" s="2" t="n">
        <v>0</v>
      </c>
      <c r="P10" s="2" t="n">
        <v>0</v>
      </c>
      <c r="Q10" s="2" t="n">
        <v>0</v>
      </c>
      <c r="R10" s="2" t="n">
        <v>0</v>
      </c>
      <c r="S10" s="2" t="n">
        <v>0</v>
      </c>
      <c r="T10" s="2" t="n">
        <v>0</v>
      </c>
      <c r="U10" s="2" t="n">
        <v>0</v>
      </c>
      <c r="V10" s="2" t="n">
        <v>0</v>
      </c>
      <c r="W10" s="2" t="n">
        <v>0</v>
      </c>
      <c r="X10" s="2" t="n">
        <v>0</v>
      </c>
      <c r="Y10" s="2" t="n">
        <v>0</v>
      </c>
      <c r="Z10" s="2" t="n">
        <v>8</v>
      </c>
      <c r="AA10" s="2" t="n">
        <v>0</v>
      </c>
      <c r="AB10" s="2" t="n">
        <v>0</v>
      </c>
      <c r="AC10" s="2" t="n">
        <v>8</v>
      </c>
      <c r="AD10" s="2" t="inlineStr">
        <is>
          <t>Blogs; Community calls; Conference participation; Development sprints; Interest, working, user, or advisory groups; Social media; Staff roles with responsibility for community engagement; Webinars and training</t>
        </is>
      </c>
    </row>
    <row r="11">
      <c r="A11" s="2" t="inlineStr">
        <is>
          <t>arXiv</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1</v>
      </c>
      <c r="T11" s="2" t="n">
        <v>1</v>
      </c>
      <c r="U11" s="2" t="n">
        <v>0</v>
      </c>
      <c r="V11" s="2" t="n">
        <v>0</v>
      </c>
      <c r="W11" s="2" t="n">
        <v>1</v>
      </c>
      <c r="X11" s="2" t="n">
        <v>1</v>
      </c>
      <c r="Y11" s="2" t="n">
        <v>0</v>
      </c>
      <c r="Z11" s="2" t="n">
        <v>0</v>
      </c>
      <c r="AA11" s="2" t="n">
        <v>4</v>
      </c>
      <c r="AB11" s="2" t="n">
        <v>0</v>
      </c>
      <c r="AC11" s="2" t="n">
        <v>4</v>
      </c>
      <c r="AD11" s="2" t="inlineStr">
        <is>
          <t>Interest, working, user, or advisory groups; Mailing lists and discussion forums (including Slack); User research; Volunteer or ambassador network</t>
        </is>
      </c>
    </row>
    <row r="12">
      <c r="A12" s="2" t="inlineStr">
        <is>
          <t>AtoM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inlineStr"/>
    </row>
    <row r="13">
      <c r="A13" s="2" t="inlineStr">
        <is>
          <t>Avalon Media System</t>
        </is>
      </c>
      <c r="B13" s="2" t="n">
        <v>1</v>
      </c>
      <c r="C13" s="2" t="n">
        <v>0</v>
      </c>
      <c r="D13" s="2" t="n">
        <v>1</v>
      </c>
      <c r="E13" s="2" t="n">
        <v>1</v>
      </c>
      <c r="F13" s="2" t="n">
        <v>0</v>
      </c>
      <c r="G13" s="2" t="n">
        <v>1</v>
      </c>
      <c r="H13" s="2" t="n">
        <v>1</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5</v>
      </c>
      <c r="AA13" s="2" t="n">
        <v>0</v>
      </c>
      <c r="AB13" s="2" t="n">
        <v>0</v>
      </c>
      <c r="AC13" s="2" t="n">
        <v>5</v>
      </c>
      <c r="AD13" s="2" t="inlineStr">
        <is>
          <t>Annual meetings; Community calls; Conference participation; Interest, working, user, or advisory groups; Mailing lists and discussion forums (including Slack)</t>
        </is>
      </c>
    </row>
    <row r="14">
      <c r="A14" s="2" t="inlineStr">
        <is>
          <t>Biodiversity Heritage Library</t>
        </is>
      </c>
      <c r="B14" s="2" t="n">
        <v>1</v>
      </c>
      <c r="C14" s="2" t="n">
        <v>1</v>
      </c>
      <c r="D14" s="2" t="n">
        <v>0</v>
      </c>
      <c r="E14" s="2" t="n">
        <v>1</v>
      </c>
      <c r="F14" s="2" t="n">
        <v>0</v>
      </c>
      <c r="G14" s="2" t="n">
        <v>0</v>
      </c>
      <c r="H14" s="2" t="n">
        <v>1</v>
      </c>
      <c r="I14" s="2" t="n">
        <v>1</v>
      </c>
      <c r="J14" s="2" t="n">
        <v>0</v>
      </c>
      <c r="K14" s="2" t="n">
        <v>0</v>
      </c>
      <c r="L14" s="2" t="n">
        <v>1</v>
      </c>
      <c r="M14" s="2" t="n">
        <v>1</v>
      </c>
      <c r="N14" s="2" t="n">
        <v>0</v>
      </c>
      <c r="O14" s="2" t="n">
        <v>0</v>
      </c>
      <c r="P14" s="2" t="n">
        <v>0</v>
      </c>
      <c r="Q14" s="2" t="n">
        <v>0</v>
      </c>
      <c r="R14" s="2" t="n">
        <v>0</v>
      </c>
      <c r="S14" s="2" t="n">
        <v>0</v>
      </c>
      <c r="T14" s="2" t="n">
        <v>0</v>
      </c>
      <c r="U14" s="2" t="n">
        <v>0</v>
      </c>
      <c r="V14" s="2" t="n">
        <v>0</v>
      </c>
      <c r="W14" s="2" t="n">
        <v>0</v>
      </c>
      <c r="X14" s="2" t="n">
        <v>0</v>
      </c>
      <c r="Y14" s="2" t="n">
        <v>0</v>
      </c>
      <c r="Z14" s="2" t="n">
        <v>7</v>
      </c>
      <c r="AA14" s="2" t="n">
        <v>0</v>
      </c>
      <c r="AB14" s="2" t="n">
        <v>0</v>
      </c>
      <c r="AC14" s="2" t="n">
        <v>7</v>
      </c>
      <c r="AD14" s="2" t="inlineStr">
        <is>
          <t>Annual meetings; Blogs; Conference participation; Mailing lists and discussion forums (including Slack); Social media; Volunteer or ambassador network; Webinars and training</t>
        </is>
      </c>
    </row>
    <row r="15">
      <c r="A15" s="2" t="inlineStr">
        <is>
          <t>bioRxiv</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1</v>
      </c>
      <c r="X15" s="2" t="n">
        <v>1</v>
      </c>
      <c r="Y15" s="2" t="n">
        <v>0</v>
      </c>
      <c r="Z15" s="2" t="n">
        <v>0</v>
      </c>
      <c r="AA15" s="2" t="n">
        <v>2</v>
      </c>
      <c r="AB15" s="2" t="n">
        <v>0</v>
      </c>
      <c r="AC15" s="2" t="n">
        <v>2</v>
      </c>
      <c r="AD15" s="2" t="inlineStr">
        <is>
          <t>User research; Volunteer or ambassador network</t>
        </is>
      </c>
    </row>
    <row r="16">
      <c r="A16" s="2" t="inlineStr">
        <is>
          <t>BitCurator Environment</t>
        </is>
      </c>
      <c r="B16" s="2" t="n">
        <v>1</v>
      </c>
      <c r="C16" s="2" t="n">
        <v>1</v>
      </c>
      <c r="D16" s="2" t="n">
        <v>1</v>
      </c>
      <c r="E16" s="2" t="n">
        <v>0</v>
      </c>
      <c r="F16" s="2" t="n">
        <v>0</v>
      </c>
      <c r="G16" s="2" t="n">
        <v>1</v>
      </c>
      <c r="H16" s="2" t="n">
        <v>1</v>
      </c>
      <c r="I16" s="2" t="n">
        <v>0</v>
      </c>
      <c r="J16" s="2" t="n">
        <v>1</v>
      </c>
      <c r="K16" s="2" t="n">
        <v>0</v>
      </c>
      <c r="L16" s="2" t="n">
        <v>0</v>
      </c>
      <c r="M16" s="2" t="n">
        <v>1</v>
      </c>
      <c r="N16" s="2" t="n">
        <v>0</v>
      </c>
      <c r="O16" s="2" t="n">
        <v>0</v>
      </c>
      <c r="P16" s="2" t="n">
        <v>0</v>
      </c>
      <c r="Q16" s="2" t="n">
        <v>0</v>
      </c>
      <c r="R16" s="2" t="n">
        <v>0</v>
      </c>
      <c r="S16" s="2" t="n">
        <v>0</v>
      </c>
      <c r="T16" s="2" t="n">
        <v>0</v>
      </c>
      <c r="U16" s="2" t="n">
        <v>0</v>
      </c>
      <c r="V16" s="2" t="n">
        <v>0</v>
      </c>
      <c r="W16" s="2" t="n">
        <v>0</v>
      </c>
      <c r="X16" s="2" t="n">
        <v>0</v>
      </c>
      <c r="Y16" s="2" t="n">
        <v>0</v>
      </c>
      <c r="Z16" s="2" t="n">
        <v>7</v>
      </c>
      <c r="AA16" s="2" t="n">
        <v>0</v>
      </c>
      <c r="AB16" s="2" t="n">
        <v>0</v>
      </c>
      <c r="AC16" s="2" t="n">
        <v>7</v>
      </c>
      <c r="AD16" s="2" t="inlineStr">
        <is>
          <t>Annual meetings; Blogs; Community calls; Interest, working, user, or advisory groups; Mailing lists and discussion forums (including Slack); Staff roles with responsibility for community engagement; Webinars and training</t>
        </is>
      </c>
    </row>
    <row r="17">
      <c r="A17" s="2" t="inlineStr">
        <is>
          <t>Blacklight</t>
        </is>
      </c>
      <c r="B17" s="2" t="n">
        <v>0</v>
      </c>
      <c r="C17" s="2" t="n">
        <v>1</v>
      </c>
      <c r="D17" s="2" t="n">
        <v>1</v>
      </c>
      <c r="E17" s="2" t="n">
        <v>1</v>
      </c>
      <c r="F17" s="2" t="n">
        <v>1</v>
      </c>
      <c r="G17" s="2" t="n">
        <v>0</v>
      </c>
      <c r="H17" s="2" t="n">
        <v>1</v>
      </c>
      <c r="I17" s="2" t="n">
        <v>1</v>
      </c>
      <c r="J17" s="2" t="n">
        <v>0</v>
      </c>
      <c r="K17" s="2" t="n">
        <v>1</v>
      </c>
      <c r="L17" s="2" t="n">
        <v>1</v>
      </c>
      <c r="M17" s="2" t="n">
        <v>1</v>
      </c>
      <c r="N17" s="2" t="n">
        <v>0</v>
      </c>
      <c r="O17" s="2" t="n">
        <v>0</v>
      </c>
      <c r="P17" s="2" t="n">
        <v>0</v>
      </c>
      <c r="Q17" s="2" t="n">
        <v>0</v>
      </c>
      <c r="R17" s="2" t="n">
        <v>0</v>
      </c>
      <c r="S17" s="2" t="n">
        <v>0</v>
      </c>
      <c r="T17" s="2" t="n">
        <v>0</v>
      </c>
      <c r="U17" s="2" t="n">
        <v>0</v>
      </c>
      <c r="V17" s="2" t="n">
        <v>0</v>
      </c>
      <c r="W17" s="2" t="n">
        <v>0</v>
      </c>
      <c r="X17" s="2" t="n">
        <v>0</v>
      </c>
      <c r="Y17" s="2" t="n">
        <v>0</v>
      </c>
      <c r="Z17" s="2" t="n">
        <v>9</v>
      </c>
      <c r="AA17" s="2" t="n">
        <v>0</v>
      </c>
      <c r="AB17" s="2" t="n">
        <v>0</v>
      </c>
      <c r="AC17" s="2" t="n">
        <v>9</v>
      </c>
      <c r="AD17" s="2" t="inlineStr">
        <is>
          <t>Blogs; Community calls; Conference participation; Development sprints; Mailing lists and discussion forums (including Slack); Social media; User research; Volunteer or ambassador network; Webinars and training</t>
        </is>
      </c>
    </row>
    <row r="18">
      <c r="A18" s="2" t="inlineStr">
        <is>
          <t>BrCRIS</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inlineStr"/>
    </row>
    <row r="19">
      <c r="A19" s="2" t="inlineStr">
        <is>
          <t>Browsertrix</t>
        </is>
      </c>
      <c r="B19" s="2" t="n">
        <v>0</v>
      </c>
      <c r="C19" s="2" t="n">
        <v>0</v>
      </c>
      <c r="D19" s="2" t="n">
        <v>0</v>
      </c>
      <c r="E19" s="2" t="n">
        <v>0</v>
      </c>
      <c r="F19" s="2" t="n">
        <v>0</v>
      </c>
      <c r="G19" s="2" t="n">
        <v>0</v>
      </c>
      <c r="H19" s="2" t="n">
        <v>0</v>
      </c>
      <c r="I19" s="2" t="n">
        <v>1</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1</v>
      </c>
      <c r="AA19" s="2" t="n">
        <v>0</v>
      </c>
      <c r="AB19" s="2" t="n">
        <v>0</v>
      </c>
      <c r="AC19" s="2" t="n">
        <v>1</v>
      </c>
      <c r="AD19" s="2" t="inlineStr">
        <is>
          <t>Social media</t>
        </is>
      </c>
    </row>
    <row r="20">
      <c r="A20" s="2" t="inlineStr">
        <is>
          <t>CLOCKSS</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inlineStr"/>
    </row>
    <row r="21">
      <c r="A21" s="2" t="inlineStr">
        <is>
          <t>COAR International Repository Directory (IRD)</t>
        </is>
      </c>
      <c r="B21" s="2" t="n">
        <v>0</v>
      </c>
      <c r="C21" s="2" t="n">
        <v>1</v>
      </c>
      <c r="D21" s="2" t="n">
        <v>1</v>
      </c>
      <c r="E21" s="2" t="n">
        <v>0</v>
      </c>
      <c r="F21" s="2" t="n">
        <v>1</v>
      </c>
      <c r="G21" s="2" t="n">
        <v>0</v>
      </c>
      <c r="H21" s="2" t="n">
        <v>0</v>
      </c>
      <c r="I21" s="2" t="n">
        <v>0</v>
      </c>
      <c r="J21" s="2" t="n">
        <v>0</v>
      </c>
      <c r="K21" s="2" t="n">
        <v>0</v>
      </c>
      <c r="L21" s="2" t="n">
        <v>1</v>
      </c>
      <c r="M21" s="2" t="n">
        <v>0</v>
      </c>
      <c r="N21" s="2" t="n">
        <v>0</v>
      </c>
      <c r="O21" s="2" t="n">
        <v>0</v>
      </c>
      <c r="P21" s="2" t="n">
        <v>0</v>
      </c>
      <c r="Q21" s="2" t="n">
        <v>0</v>
      </c>
      <c r="R21" s="2" t="n">
        <v>0</v>
      </c>
      <c r="S21" s="2" t="n">
        <v>0</v>
      </c>
      <c r="T21" s="2" t="n">
        <v>0</v>
      </c>
      <c r="U21" s="2" t="n">
        <v>0</v>
      </c>
      <c r="V21" s="2" t="n">
        <v>0</v>
      </c>
      <c r="W21" s="2" t="n">
        <v>0</v>
      </c>
      <c r="X21" s="2" t="n">
        <v>0</v>
      </c>
      <c r="Y21" s="2" t="n">
        <v>0</v>
      </c>
      <c r="Z21" s="2" t="n">
        <v>4</v>
      </c>
      <c r="AA21" s="2" t="n">
        <v>0</v>
      </c>
      <c r="AB21" s="2" t="n">
        <v>0</v>
      </c>
      <c r="AC21" s="2" t="n">
        <v>4</v>
      </c>
      <c r="AD21" s="2" t="inlineStr">
        <is>
          <t>Blogs; Community calls; Development sprints; Volunteer or ambassador network</t>
        </is>
      </c>
    </row>
    <row r="22">
      <c r="A22" s="2" t="inlineStr">
        <is>
          <t>COAR Notify</t>
        </is>
      </c>
      <c r="B22" s="2" t="n">
        <v>0</v>
      </c>
      <c r="C22" s="2" t="n">
        <v>1</v>
      </c>
      <c r="D22" s="2" t="n">
        <v>0</v>
      </c>
      <c r="E22" s="2" t="n">
        <v>1</v>
      </c>
      <c r="F22" s="2" t="n">
        <v>0</v>
      </c>
      <c r="G22" s="2" t="n">
        <v>1</v>
      </c>
      <c r="H22" s="2" t="n">
        <v>1</v>
      </c>
      <c r="I22" s="2" t="n">
        <v>0</v>
      </c>
      <c r="J22" s="2" t="n">
        <v>0</v>
      </c>
      <c r="K22" s="2" t="n">
        <v>0</v>
      </c>
      <c r="L22" s="2" t="n">
        <v>0</v>
      </c>
      <c r="M22" s="2" t="n">
        <v>1</v>
      </c>
      <c r="N22" s="2" t="n">
        <v>0</v>
      </c>
      <c r="O22" s="2" t="n">
        <v>0</v>
      </c>
      <c r="P22" s="2" t="n">
        <v>0</v>
      </c>
      <c r="Q22" s="2" t="n">
        <v>0</v>
      </c>
      <c r="R22" s="2" t="n">
        <v>0</v>
      </c>
      <c r="S22" s="2" t="n">
        <v>0</v>
      </c>
      <c r="T22" s="2" t="n">
        <v>0</v>
      </c>
      <c r="U22" s="2" t="n">
        <v>0</v>
      </c>
      <c r="V22" s="2" t="n">
        <v>0</v>
      </c>
      <c r="W22" s="2" t="n">
        <v>0</v>
      </c>
      <c r="X22" s="2" t="n">
        <v>0</v>
      </c>
      <c r="Y22" s="2" t="n">
        <v>0</v>
      </c>
      <c r="Z22" s="2" t="n">
        <v>5</v>
      </c>
      <c r="AA22" s="2" t="n">
        <v>0</v>
      </c>
      <c r="AB22" s="2" t="n">
        <v>0</v>
      </c>
      <c r="AC22" s="2" t="n">
        <v>5</v>
      </c>
      <c r="AD22" s="2" t="inlineStr">
        <is>
          <t>Blogs; Conference participation; Interest, working, user, or advisory groups; Mailing lists and discussion forums (including Slack); Webinars and training</t>
        </is>
      </c>
    </row>
    <row r="23">
      <c r="A23" s="2" t="inlineStr">
        <is>
          <t>CollectiveAccess</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inlineStr"/>
    </row>
    <row r="24">
      <c r="A24" s="2" t="inlineStr">
        <is>
          <t>CORE</t>
        </is>
      </c>
      <c r="B24" s="2" t="n">
        <v>0</v>
      </c>
      <c r="C24" s="2" t="n">
        <v>0</v>
      </c>
      <c r="D24" s="2" t="n">
        <v>0</v>
      </c>
      <c r="E24" s="2" t="n">
        <v>0</v>
      </c>
      <c r="F24" s="2" t="n">
        <v>0</v>
      </c>
      <c r="G24" s="2" t="n">
        <v>0</v>
      </c>
      <c r="H24" s="2" t="n">
        <v>0</v>
      </c>
      <c r="I24" s="2" t="n">
        <v>0</v>
      </c>
      <c r="J24" s="2" t="n">
        <v>0</v>
      </c>
      <c r="K24" s="2" t="n">
        <v>0</v>
      </c>
      <c r="L24" s="2" t="n">
        <v>0</v>
      </c>
      <c r="M24" s="2" t="n">
        <v>0</v>
      </c>
      <c r="N24" s="2" t="n">
        <v>0</v>
      </c>
      <c r="O24" s="2" t="n">
        <v>1</v>
      </c>
      <c r="P24" s="2" t="n">
        <v>0</v>
      </c>
      <c r="Q24" s="2" t="n">
        <v>0</v>
      </c>
      <c r="R24" s="2" t="n">
        <v>0</v>
      </c>
      <c r="S24" s="2" t="n">
        <v>0</v>
      </c>
      <c r="T24" s="2" t="n">
        <v>0</v>
      </c>
      <c r="U24" s="2" t="n">
        <v>0</v>
      </c>
      <c r="V24" s="2" t="n">
        <v>0</v>
      </c>
      <c r="W24" s="2" t="n">
        <v>0</v>
      </c>
      <c r="X24" s="2" t="n">
        <v>0</v>
      </c>
      <c r="Y24" s="2" t="n">
        <v>0</v>
      </c>
      <c r="Z24" s="2" t="n">
        <v>0</v>
      </c>
      <c r="AA24" s="2" t="n">
        <v>1</v>
      </c>
      <c r="AB24" s="2" t="n">
        <v>0</v>
      </c>
      <c r="AC24" s="2" t="n">
        <v>1</v>
      </c>
      <c r="AD24" s="2" t="inlineStr">
        <is>
          <t>Blogs</t>
        </is>
      </c>
    </row>
    <row r="25">
      <c r="A25" s="2" t="inlineStr">
        <is>
          <t>COUNTER Code of Practice</t>
        </is>
      </c>
      <c r="B25" s="2" t="n">
        <v>1</v>
      </c>
      <c r="C25" s="2" t="n">
        <v>1</v>
      </c>
      <c r="D25" s="2" t="n">
        <v>1</v>
      </c>
      <c r="E25" s="2" t="n">
        <v>1</v>
      </c>
      <c r="F25" s="2" t="n">
        <v>0</v>
      </c>
      <c r="G25" s="2" t="n">
        <v>1</v>
      </c>
      <c r="H25" s="2" t="n">
        <v>1</v>
      </c>
      <c r="I25" s="2" t="n">
        <v>1</v>
      </c>
      <c r="J25" s="2" t="n">
        <v>0</v>
      </c>
      <c r="K25" s="2" t="n">
        <v>0</v>
      </c>
      <c r="L25" s="2" t="n">
        <v>0</v>
      </c>
      <c r="M25" s="2" t="n">
        <v>1</v>
      </c>
      <c r="N25" s="2" t="n">
        <v>1</v>
      </c>
      <c r="O25" s="2" t="n">
        <v>1</v>
      </c>
      <c r="P25" s="2" t="n">
        <v>1</v>
      </c>
      <c r="Q25" s="2" t="n">
        <v>1</v>
      </c>
      <c r="R25" s="2" t="n">
        <v>0</v>
      </c>
      <c r="S25" s="2" t="n">
        <v>1</v>
      </c>
      <c r="T25" s="2" t="n">
        <v>0</v>
      </c>
      <c r="U25" s="2" t="n">
        <v>0</v>
      </c>
      <c r="V25" s="2" t="n">
        <v>0</v>
      </c>
      <c r="W25" s="2" t="n">
        <v>1</v>
      </c>
      <c r="X25" s="2" t="n">
        <v>0</v>
      </c>
      <c r="Y25" s="2" t="n">
        <v>1</v>
      </c>
      <c r="Z25" s="2" t="n">
        <v>8</v>
      </c>
      <c r="AA25" s="2" t="n">
        <v>7</v>
      </c>
      <c r="AB25" s="2" t="n">
        <v>0</v>
      </c>
      <c r="AC25" s="2" t="n">
        <v>9</v>
      </c>
      <c r="AD25" s="2" t="inlineStr">
        <is>
          <t>Annual meetings; Blogs; Community calls; Conference participation; Interest, working, user, or advisory groups; Mailing lists and discussion forums (including Slack); Social media; User research; Webinars and training</t>
        </is>
      </c>
    </row>
    <row r="26">
      <c r="A26" s="2" t="inlineStr">
        <is>
          <t>Creative Commons Licenses</t>
        </is>
      </c>
      <c r="B26" s="2" t="n">
        <v>0</v>
      </c>
      <c r="C26" s="2" t="n">
        <v>0</v>
      </c>
      <c r="D26" s="2" t="n">
        <v>0</v>
      </c>
      <c r="E26" s="2" t="n">
        <v>0</v>
      </c>
      <c r="F26" s="2" t="n">
        <v>0</v>
      </c>
      <c r="G26" s="2" t="n">
        <v>0</v>
      </c>
      <c r="H26" s="2" t="n">
        <v>0</v>
      </c>
      <c r="I26" s="2" t="n">
        <v>0</v>
      </c>
      <c r="J26" s="2" t="n">
        <v>0</v>
      </c>
      <c r="K26" s="2" t="n">
        <v>0</v>
      </c>
      <c r="L26" s="2" t="n">
        <v>0</v>
      </c>
      <c r="M26" s="2" t="n">
        <v>0</v>
      </c>
      <c r="N26" s="2" t="n">
        <v>1</v>
      </c>
      <c r="O26" s="2" t="n">
        <v>1</v>
      </c>
      <c r="P26" s="2" t="n">
        <v>1</v>
      </c>
      <c r="Q26" s="2" t="n">
        <v>0</v>
      </c>
      <c r="R26" s="2" t="n">
        <v>0</v>
      </c>
      <c r="S26" s="2" t="n">
        <v>0</v>
      </c>
      <c r="T26" s="2" t="n">
        <v>0</v>
      </c>
      <c r="U26" s="2" t="n">
        <v>0</v>
      </c>
      <c r="V26" s="2" t="n">
        <v>1</v>
      </c>
      <c r="W26" s="2" t="n">
        <v>0</v>
      </c>
      <c r="X26" s="2" t="n">
        <v>0</v>
      </c>
      <c r="Y26" s="2" t="n">
        <v>0</v>
      </c>
      <c r="Z26" s="2" t="n">
        <v>0</v>
      </c>
      <c r="AA26" s="2" t="n">
        <v>4</v>
      </c>
      <c r="AB26" s="2" t="n">
        <v>0</v>
      </c>
      <c r="AC26" s="2" t="n">
        <v>4</v>
      </c>
      <c r="AD26" s="2" t="inlineStr">
        <is>
          <t>Annual meetings; Blogs; Community calls; Staff roles with responsibility for community engagement</t>
        </is>
      </c>
    </row>
    <row r="27">
      <c r="A27" s="2" t="inlineStr">
        <is>
          <t>Crossref Metadata Retrieval</t>
        </is>
      </c>
      <c r="B27" s="2" t="n">
        <v>0</v>
      </c>
      <c r="C27" s="2" t="n">
        <v>0</v>
      </c>
      <c r="D27" s="2" t="n">
        <v>0</v>
      </c>
      <c r="E27" s="2" t="n">
        <v>0</v>
      </c>
      <c r="F27" s="2" t="n">
        <v>0</v>
      </c>
      <c r="G27" s="2" t="n">
        <v>0</v>
      </c>
      <c r="H27" s="2" t="n">
        <v>0</v>
      </c>
      <c r="I27" s="2" t="n">
        <v>0</v>
      </c>
      <c r="J27" s="2" t="n">
        <v>0</v>
      </c>
      <c r="K27" s="2" t="n">
        <v>0</v>
      </c>
      <c r="L27" s="2" t="n">
        <v>0</v>
      </c>
      <c r="M27" s="2" t="n">
        <v>0</v>
      </c>
      <c r="N27" s="2" t="n">
        <v>0</v>
      </c>
      <c r="O27" s="2" t="n">
        <v>1</v>
      </c>
      <c r="P27" s="2" t="n">
        <v>1</v>
      </c>
      <c r="Q27" s="2" t="n">
        <v>1</v>
      </c>
      <c r="R27" s="2" t="n">
        <v>0</v>
      </c>
      <c r="S27" s="2" t="n">
        <v>1</v>
      </c>
      <c r="T27" s="2" t="n">
        <v>1</v>
      </c>
      <c r="U27" s="2" t="n">
        <v>0</v>
      </c>
      <c r="V27" s="2" t="n">
        <v>1</v>
      </c>
      <c r="W27" s="2" t="n">
        <v>0</v>
      </c>
      <c r="X27" s="2" t="n">
        <v>1</v>
      </c>
      <c r="Y27" s="2" t="n">
        <v>1</v>
      </c>
      <c r="Z27" s="2" t="n">
        <v>0</v>
      </c>
      <c r="AA27" s="2" t="n">
        <v>8</v>
      </c>
      <c r="AB27" s="2" t="n">
        <v>0</v>
      </c>
      <c r="AC27" s="2" t="n">
        <v>8</v>
      </c>
      <c r="AD27" s="2" t="inlineStr">
        <is>
          <t>Blogs; Community calls; Conference participation; Interest, working, user, or advisory groups; Mailing lists and discussion forums (including Slack); Staff roles with responsibility for community engagement; Volunteer or ambassador network; Webinars and training</t>
        </is>
      </c>
    </row>
    <row r="28">
      <c r="A28" s="2" t="inlineStr">
        <is>
          <t>D4Science Infrastructure</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inlineStr"/>
    </row>
    <row r="29">
      <c r="A29" s="2" t="inlineStr">
        <is>
          <t>DART (Digital Archivist's Resource Tool)</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inlineStr"/>
    </row>
    <row r="30">
      <c r="A30" s="2" t="inlineStr">
        <is>
          <t>Database Information System</t>
        </is>
      </c>
      <c r="B30" s="2" t="n">
        <v>1</v>
      </c>
      <c r="C30" s="2" t="n">
        <v>1</v>
      </c>
      <c r="D30" s="2" t="n">
        <v>0</v>
      </c>
      <c r="E30" s="2" t="n">
        <v>1</v>
      </c>
      <c r="F30" s="2" t="n">
        <v>0</v>
      </c>
      <c r="G30" s="2" t="n">
        <v>0</v>
      </c>
      <c r="H30" s="2" t="n">
        <v>1</v>
      </c>
      <c r="I30" s="2" t="n">
        <v>0</v>
      </c>
      <c r="J30" s="2" t="n">
        <v>1</v>
      </c>
      <c r="K30" s="2" t="n">
        <v>1</v>
      </c>
      <c r="L30" s="2" t="n">
        <v>0</v>
      </c>
      <c r="M30" s="2" t="n">
        <v>1</v>
      </c>
      <c r="N30" s="2" t="n">
        <v>0</v>
      </c>
      <c r="O30" s="2" t="n">
        <v>0</v>
      </c>
      <c r="P30" s="2" t="n">
        <v>0</v>
      </c>
      <c r="Q30" s="2" t="n">
        <v>0</v>
      </c>
      <c r="R30" s="2" t="n">
        <v>0</v>
      </c>
      <c r="S30" s="2" t="n">
        <v>0</v>
      </c>
      <c r="T30" s="2" t="n">
        <v>0</v>
      </c>
      <c r="U30" s="2" t="n">
        <v>0</v>
      </c>
      <c r="V30" s="2" t="n">
        <v>0</v>
      </c>
      <c r="W30" s="2" t="n">
        <v>0</v>
      </c>
      <c r="X30" s="2" t="n">
        <v>0</v>
      </c>
      <c r="Y30" s="2" t="n">
        <v>0</v>
      </c>
      <c r="Z30" s="2" t="n">
        <v>7</v>
      </c>
      <c r="AA30" s="2" t="n">
        <v>0</v>
      </c>
      <c r="AB30" s="2" t="n">
        <v>0</v>
      </c>
      <c r="AC30" s="2" t="n">
        <v>7</v>
      </c>
      <c r="AD30" s="2" t="inlineStr">
        <is>
          <t>Annual meetings; Blogs; Conference participation; Mailing lists and discussion forums (including Slack); Staff roles with responsibility for community engagement; User research; Webinars and training</t>
        </is>
      </c>
    </row>
    <row r="31">
      <c r="A31" s="2" t="inlineStr">
        <is>
          <t>Data Citation Corpus</t>
        </is>
      </c>
      <c r="B31" s="2" t="n">
        <v>0</v>
      </c>
      <c r="C31" s="2" t="n">
        <v>1</v>
      </c>
      <c r="D31" s="2" t="n">
        <v>0</v>
      </c>
      <c r="E31" s="2" t="n">
        <v>1</v>
      </c>
      <c r="F31" s="2" t="n">
        <v>0</v>
      </c>
      <c r="G31" s="2" t="n">
        <v>1</v>
      </c>
      <c r="H31" s="2" t="n">
        <v>1</v>
      </c>
      <c r="I31" s="2" t="n">
        <v>1</v>
      </c>
      <c r="J31" s="2" t="n">
        <v>0</v>
      </c>
      <c r="K31" s="2" t="n">
        <v>0</v>
      </c>
      <c r="L31" s="2" t="n">
        <v>0</v>
      </c>
      <c r="M31" s="2" t="n">
        <v>1</v>
      </c>
      <c r="N31" s="2" t="n">
        <v>0</v>
      </c>
      <c r="O31" s="2" t="n">
        <v>0</v>
      </c>
      <c r="P31" s="2" t="n">
        <v>0</v>
      </c>
      <c r="Q31" s="2" t="n">
        <v>0</v>
      </c>
      <c r="R31" s="2" t="n">
        <v>0</v>
      </c>
      <c r="S31" s="2" t="n">
        <v>0</v>
      </c>
      <c r="T31" s="2" t="n">
        <v>0</v>
      </c>
      <c r="U31" s="2" t="n">
        <v>0</v>
      </c>
      <c r="V31" s="2" t="n">
        <v>0</v>
      </c>
      <c r="W31" s="2" t="n">
        <v>0</v>
      </c>
      <c r="X31" s="2" t="n">
        <v>0</v>
      </c>
      <c r="Y31" s="2" t="n">
        <v>0</v>
      </c>
      <c r="Z31" s="2" t="n">
        <v>6</v>
      </c>
      <c r="AA31" s="2" t="n">
        <v>0</v>
      </c>
      <c r="AB31" s="2" t="n">
        <v>0</v>
      </c>
      <c r="AC31" s="2" t="n">
        <v>6</v>
      </c>
      <c r="AD31" s="2" t="inlineStr">
        <is>
          <t>Blogs; Conference participation; Interest, working, user, or advisory groups; Mailing lists and discussion forums (including Slack); Social media; Webinars and training</t>
        </is>
      </c>
    </row>
    <row r="32">
      <c r="A32" s="2" t="inlineStr">
        <is>
          <t>DataCite</t>
        </is>
      </c>
      <c r="B32" s="2" t="n">
        <v>0</v>
      </c>
      <c r="C32" s="2" t="n">
        <v>0</v>
      </c>
      <c r="D32" s="2" t="n">
        <v>0</v>
      </c>
      <c r="E32" s="2" t="n">
        <v>0</v>
      </c>
      <c r="F32" s="2" t="n">
        <v>0</v>
      </c>
      <c r="G32" s="2" t="n">
        <v>0</v>
      </c>
      <c r="H32" s="2" t="n">
        <v>0</v>
      </c>
      <c r="I32" s="2" t="n">
        <v>0</v>
      </c>
      <c r="J32" s="2" t="n">
        <v>0</v>
      </c>
      <c r="K32" s="2" t="n">
        <v>0</v>
      </c>
      <c r="L32" s="2" t="n">
        <v>0</v>
      </c>
      <c r="M32" s="2" t="n">
        <v>0</v>
      </c>
      <c r="N32" s="2" t="n">
        <v>0</v>
      </c>
      <c r="O32" s="2" t="n">
        <v>1</v>
      </c>
      <c r="P32" s="2" t="n">
        <v>0</v>
      </c>
      <c r="Q32" s="2" t="n">
        <v>0</v>
      </c>
      <c r="R32" s="2" t="n">
        <v>0</v>
      </c>
      <c r="S32" s="2" t="n">
        <v>0</v>
      </c>
      <c r="T32" s="2" t="n">
        <v>0</v>
      </c>
      <c r="U32" s="2" t="n">
        <v>0</v>
      </c>
      <c r="V32" s="2" t="n">
        <v>0</v>
      </c>
      <c r="W32" s="2" t="n">
        <v>0</v>
      </c>
      <c r="X32" s="2" t="n">
        <v>0</v>
      </c>
      <c r="Y32" s="2" t="n">
        <v>0</v>
      </c>
      <c r="Z32" s="2" t="n">
        <v>0</v>
      </c>
      <c r="AA32" s="2" t="n">
        <v>1</v>
      </c>
      <c r="AB32" s="2" t="n">
        <v>0</v>
      </c>
      <c r="AC32" s="2" t="n">
        <v>1</v>
      </c>
      <c r="AD32" s="2" t="inlineStr">
        <is>
          <t>Blogs</t>
        </is>
      </c>
    </row>
    <row r="33">
      <c r="A33" s="2" t="inlineStr">
        <is>
          <t>Data Stewardship Wizard</t>
        </is>
      </c>
      <c r="B33" s="2" t="n">
        <v>1</v>
      </c>
      <c r="C33" s="2" t="n">
        <v>1</v>
      </c>
      <c r="D33" s="2" t="n">
        <v>1</v>
      </c>
      <c r="E33" s="2" t="n">
        <v>1</v>
      </c>
      <c r="F33" s="2" t="n">
        <v>0</v>
      </c>
      <c r="G33" s="2" t="n">
        <v>1</v>
      </c>
      <c r="H33" s="2" t="n">
        <v>1</v>
      </c>
      <c r="I33" s="2" t="n">
        <v>1</v>
      </c>
      <c r="J33" s="2" t="n">
        <v>0</v>
      </c>
      <c r="K33" s="2" t="n">
        <v>1</v>
      </c>
      <c r="L33" s="2" t="n">
        <v>1</v>
      </c>
      <c r="M33" s="2" t="n">
        <v>1</v>
      </c>
      <c r="N33" s="2" t="n">
        <v>0</v>
      </c>
      <c r="O33" s="2" t="n">
        <v>0</v>
      </c>
      <c r="P33" s="2" t="n">
        <v>0</v>
      </c>
      <c r="Q33" s="2" t="n">
        <v>0</v>
      </c>
      <c r="R33" s="2" t="n">
        <v>0</v>
      </c>
      <c r="S33" s="2" t="n">
        <v>0</v>
      </c>
      <c r="T33" s="2" t="n">
        <v>0</v>
      </c>
      <c r="U33" s="2" t="n">
        <v>0</v>
      </c>
      <c r="V33" s="2" t="n">
        <v>0</v>
      </c>
      <c r="W33" s="2" t="n">
        <v>0</v>
      </c>
      <c r="X33" s="2" t="n">
        <v>0</v>
      </c>
      <c r="Y33" s="2" t="n">
        <v>0</v>
      </c>
      <c r="Z33" s="2" t="n">
        <v>10</v>
      </c>
      <c r="AA33" s="2" t="n">
        <v>0</v>
      </c>
      <c r="AB33" s="2" t="n">
        <v>0</v>
      </c>
      <c r="AC33" s="2" t="n">
        <v>10</v>
      </c>
      <c r="AD33" s="2" t="inlineStr">
        <is>
          <t>Annual meetings; Blogs; Community calls; Conference participation; Interest, working, user, or advisory groups; Mailing lists and discussion forums (including Slack); Social media; User research; Volunteer or ambassador network; Webinars and training</t>
        </is>
      </c>
    </row>
    <row r="34">
      <c r="A34" s="2" t="inlineStr">
        <is>
          <t>Dataverse</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1</v>
      </c>
      <c r="Q34" s="2" t="n">
        <v>1</v>
      </c>
      <c r="R34" s="2" t="n">
        <v>0</v>
      </c>
      <c r="S34" s="2" t="n">
        <v>0</v>
      </c>
      <c r="T34" s="2" t="n">
        <v>1</v>
      </c>
      <c r="U34" s="2" t="n">
        <v>0</v>
      </c>
      <c r="V34" s="2" t="n">
        <v>0</v>
      </c>
      <c r="W34" s="2" t="n">
        <v>0</v>
      </c>
      <c r="X34" s="2" t="n">
        <v>0</v>
      </c>
      <c r="Y34" s="2" t="n">
        <v>0</v>
      </c>
      <c r="Z34" s="2" t="n">
        <v>0</v>
      </c>
      <c r="AA34" s="2" t="n">
        <v>3</v>
      </c>
      <c r="AB34" s="2" t="n">
        <v>0</v>
      </c>
      <c r="AC34" s="2" t="n">
        <v>3</v>
      </c>
      <c r="AD34" s="2" t="inlineStr">
        <is>
          <t>Community calls; Conference participation; Mailing lists and discussion forums (including Slack)</t>
        </is>
      </c>
    </row>
    <row r="35">
      <c r="A35" s="2" t="inlineStr">
        <is>
          <t>DLCM Backend</t>
        </is>
      </c>
      <c r="B35" s="2" t="n">
        <v>0</v>
      </c>
      <c r="C35" s="2" t="n">
        <v>0</v>
      </c>
      <c r="D35" s="2" t="n">
        <v>1</v>
      </c>
      <c r="E35" s="2" t="n">
        <v>1</v>
      </c>
      <c r="F35" s="2" t="n">
        <v>0</v>
      </c>
      <c r="G35" s="2" t="n">
        <v>1</v>
      </c>
      <c r="H35" s="2" t="n">
        <v>0</v>
      </c>
      <c r="I35" s="2" t="n">
        <v>0</v>
      </c>
      <c r="J35" s="2" t="n">
        <v>0</v>
      </c>
      <c r="K35" s="2" t="n">
        <v>0</v>
      </c>
      <c r="L35" s="2" t="n">
        <v>0</v>
      </c>
      <c r="M35" s="2" t="n">
        <v>1</v>
      </c>
      <c r="N35" s="2" t="n">
        <v>0</v>
      </c>
      <c r="O35" s="2" t="n">
        <v>0</v>
      </c>
      <c r="P35" s="2" t="n">
        <v>0</v>
      </c>
      <c r="Q35" s="2" t="n">
        <v>0</v>
      </c>
      <c r="R35" s="2" t="n">
        <v>0</v>
      </c>
      <c r="S35" s="2" t="n">
        <v>0</v>
      </c>
      <c r="T35" s="2" t="n">
        <v>0</v>
      </c>
      <c r="U35" s="2" t="n">
        <v>0</v>
      </c>
      <c r="V35" s="2" t="n">
        <v>0</v>
      </c>
      <c r="W35" s="2" t="n">
        <v>0</v>
      </c>
      <c r="X35" s="2" t="n">
        <v>0</v>
      </c>
      <c r="Y35" s="2" t="n">
        <v>0</v>
      </c>
      <c r="Z35" s="2" t="n">
        <v>4</v>
      </c>
      <c r="AA35" s="2" t="n">
        <v>0</v>
      </c>
      <c r="AB35" s="2" t="n">
        <v>0</v>
      </c>
      <c r="AC35" s="2" t="n">
        <v>4</v>
      </c>
      <c r="AD35" s="2" t="inlineStr">
        <is>
          <t>Community calls; Conference participation; Interest, working, user, or advisory groups; Webinars and training</t>
        </is>
      </c>
    </row>
    <row r="36">
      <c r="A36" s="2" t="inlineStr">
        <is>
          <t>DLCM Portal</t>
        </is>
      </c>
      <c r="B36" s="2" t="n">
        <v>0</v>
      </c>
      <c r="C36" s="2" t="n">
        <v>0</v>
      </c>
      <c r="D36" s="2" t="n">
        <v>1</v>
      </c>
      <c r="E36" s="2" t="n">
        <v>1</v>
      </c>
      <c r="F36" s="2" t="n">
        <v>0</v>
      </c>
      <c r="G36" s="2" t="n">
        <v>1</v>
      </c>
      <c r="H36" s="2" t="n">
        <v>0</v>
      </c>
      <c r="I36" s="2" t="n">
        <v>0</v>
      </c>
      <c r="J36" s="2" t="n">
        <v>0</v>
      </c>
      <c r="K36" s="2" t="n">
        <v>0</v>
      </c>
      <c r="L36" s="2" t="n">
        <v>0</v>
      </c>
      <c r="M36" s="2" t="n">
        <v>1</v>
      </c>
      <c r="N36" s="2" t="n">
        <v>0</v>
      </c>
      <c r="O36" s="2" t="n">
        <v>0</v>
      </c>
      <c r="P36" s="2" t="n">
        <v>0</v>
      </c>
      <c r="Q36" s="2" t="n">
        <v>0</v>
      </c>
      <c r="R36" s="2" t="n">
        <v>0</v>
      </c>
      <c r="S36" s="2" t="n">
        <v>0</v>
      </c>
      <c r="T36" s="2" t="n">
        <v>0</v>
      </c>
      <c r="U36" s="2" t="n">
        <v>0</v>
      </c>
      <c r="V36" s="2" t="n">
        <v>0</v>
      </c>
      <c r="W36" s="2" t="n">
        <v>0</v>
      </c>
      <c r="X36" s="2" t="n">
        <v>0</v>
      </c>
      <c r="Y36" s="2" t="n">
        <v>0</v>
      </c>
      <c r="Z36" s="2" t="n">
        <v>4</v>
      </c>
      <c r="AA36" s="2" t="n">
        <v>0</v>
      </c>
      <c r="AB36" s="2" t="n">
        <v>0</v>
      </c>
      <c r="AC36" s="2" t="n">
        <v>4</v>
      </c>
      <c r="AD36" s="2" t="inlineStr">
        <is>
          <t>Community calls; Conference participation; Interest, working, user, or advisory groups; Webinars and training</t>
        </is>
      </c>
    </row>
    <row r="37">
      <c r="A37" s="2" t="inlineStr">
        <is>
          <t>DMP Tool</t>
        </is>
      </c>
      <c r="B37" s="2" t="n">
        <v>0</v>
      </c>
      <c r="C37" s="2" t="n">
        <v>1</v>
      </c>
      <c r="D37" s="2" t="n">
        <v>1</v>
      </c>
      <c r="E37" s="2" t="n">
        <v>1</v>
      </c>
      <c r="F37" s="2" t="n">
        <v>0</v>
      </c>
      <c r="G37" s="2" t="n">
        <v>0</v>
      </c>
      <c r="H37" s="2" t="n">
        <v>1</v>
      </c>
      <c r="I37" s="2" t="n">
        <v>1</v>
      </c>
      <c r="J37" s="2" t="n">
        <v>1</v>
      </c>
      <c r="K37" s="2" t="n">
        <v>1</v>
      </c>
      <c r="L37" s="2" t="n">
        <v>0</v>
      </c>
      <c r="M37" s="2" t="n">
        <v>1</v>
      </c>
      <c r="N37" s="2" t="n">
        <v>0</v>
      </c>
      <c r="O37" s="2" t="n">
        <v>0</v>
      </c>
      <c r="P37" s="2" t="n">
        <v>0</v>
      </c>
      <c r="Q37" s="2" t="n">
        <v>0</v>
      </c>
      <c r="R37" s="2" t="n">
        <v>0</v>
      </c>
      <c r="S37" s="2" t="n">
        <v>0</v>
      </c>
      <c r="T37" s="2" t="n">
        <v>0</v>
      </c>
      <c r="U37" s="2" t="n">
        <v>0</v>
      </c>
      <c r="V37" s="2" t="n">
        <v>0</v>
      </c>
      <c r="W37" s="2" t="n">
        <v>0</v>
      </c>
      <c r="X37" s="2" t="n">
        <v>0</v>
      </c>
      <c r="Y37" s="2" t="n">
        <v>0</v>
      </c>
      <c r="Z37" s="2" t="n">
        <v>8</v>
      </c>
      <c r="AA37" s="2" t="n">
        <v>0</v>
      </c>
      <c r="AB37" s="2" t="n">
        <v>0</v>
      </c>
      <c r="AC37" s="2" t="n">
        <v>8</v>
      </c>
      <c r="AD37" s="2" t="inlineStr">
        <is>
          <t>Blogs; Community calls; Conference participation; Mailing lists and discussion forums (including Slack); Social media; Staff roles with responsibility for community engagement; User research; Webinars and training</t>
        </is>
      </c>
    </row>
    <row r="38">
      <c r="A38" s="2" t="inlineStr">
        <is>
          <t>DOAJ (Directory of Open Access Journals)</t>
        </is>
      </c>
      <c r="B38" s="2" t="n">
        <v>0</v>
      </c>
      <c r="C38" s="2" t="n">
        <v>1</v>
      </c>
      <c r="D38" s="2" t="n">
        <v>1</v>
      </c>
      <c r="E38" s="2" t="n">
        <v>1</v>
      </c>
      <c r="F38" s="2" t="n">
        <v>0</v>
      </c>
      <c r="G38" s="2" t="n">
        <v>1</v>
      </c>
      <c r="H38" s="2" t="n">
        <v>0</v>
      </c>
      <c r="I38" s="2" t="n">
        <v>1</v>
      </c>
      <c r="J38" s="2" t="n">
        <v>0</v>
      </c>
      <c r="K38" s="2" t="n">
        <v>1</v>
      </c>
      <c r="L38" s="2" t="n">
        <v>1</v>
      </c>
      <c r="M38" s="2" t="n">
        <v>1</v>
      </c>
      <c r="N38" s="2" t="n">
        <v>0</v>
      </c>
      <c r="O38" s="2" t="n">
        <v>1</v>
      </c>
      <c r="P38" s="2" t="n">
        <v>0</v>
      </c>
      <c r="Q38" s="2" t="n">
        <v>0</v>
      </c>
      <c r="R38" s="2" t="n">
        <v>0</v>
      </c>
      <c r="S38" s="2" t="n">
        <v>1</v>
      </c>
      <c r="T38" s="2" t="n">
        <v>0</v>
      </c>
      <c r="U38" s="2" t="n">
        <v>0</v>
      </c>
      <c r="V38" s="2" t="n">
        <v>0</v>
      </c>
      <c r="W38" s="2" t="n">
        <v>0</v>
      </c>
      <c r="X38" s="2" t="n">
        <v>0</v>
      </c>
      <c r="Y38" s="2" t="n">
        <v>0</v>
      </c>
      <c r="Z38" s="2" t="n">
        <v>8</v>
      </c>
      <c r="AA38" s="2" t="n">
        <v>2</v>
      </c>
      <c r="AB38" s="2" t="n">
        <v>0</v>
      </c>
      <c r="AC38" s="2" t="n">
        <v>9</v>
      </c>
      <c r="AD38" s="2" t="inlineStr">
        <is>
          <t>Blogs; Community calls; Conference participation; Interest, working, user, or advisory groups; Other; Social media; User research; Volunteer or ambassador network; Webinars and training</t>
        </is>
      </c>
    </row>
    <row r="39">
      <c r="A39" s="2" t="inlineStr">
        <is>
          <t>dokieli</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1</v>
      </c>
      <c r="R39" s="2" t="n">
        <v>0</v>
      </c>
      <c r="S39" s="2" t="n">
        <v>0</v>
      </c>
      <c r="T39" s="2" t="n">
        <v>1</v>
      </c>
      <c r="U39" s="2" t="n">
        <v>0</v>
      </c>
      <c r="V39" s="2" t="n">
        <v>0</v>
      </c>
      <c r="W39" s="2" t="n">
        <v>0</v>
      </c>
      <c r="X39" s="2" t="n">
        <v>0</v>
      </c>
      <c r="Y39" s="2" t="n">
        <v>0</v>
      </c>
      <c r="Z39" s="2" t="n">
        <v>0</v>
      </c>
      <c r="AA39" s="2" t="n">
        <v>2</v>
      </c>
      <c r="AB39" s="2" t="n">
        <v>0</v>
      </c>
      <c r="AC39" s="2" t="n">
        <v>2</v>
      </c>
      <c r="AD39" s="2" t="inlineStr">
        <is>
          <t>Conference participation; Mailing lists and discussion forums (including Slack)</t>
        </is>
      </c>
    </row>
    <row r="40">
      <c r="A40" s="2" t="inlineStr">
        <is>
          <t>Dryad</t>
        </is>
      </c>
      <c r="B40" s="2" t="n">
        <v>0</v>
      </c>
      <c r="C40" s="2" t="n">
        <v>0</v>
      </c>
      <c r="D40" s="2" t="n">
        <v>0</v>
      </c>
      <c r="E40" s="2" t="n">
        <v>0</v>
      </c>
      <c r="F40" s="2" t="n">
        <v>0</v>
      </c>
      <c r="G40" s="2" t="n">
        <v>0</v>
      </c>
      <c r="H40" s="2" t="n">
        <v>0</v>
      </c>
      <c r="I40" s="2" t="n">
        <v>0</v>
      </c>
      <c r="J40" s="2" t="n">
        <v>0</v>
      </c>
      <c r="K40" s="2" t="n">
        <v>0</v>
      </c>
      <c r="L40" s="2" t="n">
        <v>0</v>
      </c>
      <c r="M40" s="2" t="n">
        <v>0</v>
      </c>
      <c r="N40" s="2" t="n">
        <v>0</v>
      </c>
      <c r="O40" s="2" t="n">
        <v>1</v>
      </c>
      <c r="P40" s="2" t="n">
        <v>0</v>
      </c>
      <c r="Q40" s="2" t="n">
        <v>1</v>
      </c>
      <c r="R40" s="2" t="n">
        <v>0</v>
      </c>
      <c r="S40" s="2" t="n">
        <v>1</v>
      </c>
      <c r="T40" s="2" t="n">
        <v>1</v>
      </c>
      <c r="U40" s="2" t="n">
        <v>0</v>
      </c>
      <c r="V40" s="2" t="n">
        <v>0</v>
      </c>
      <c r="W40" s="2" t="n">
        <v>0</v>
      </c>
      <c r="X40" s="2" t="n">
        <v>0</v>
      </c>
      <c r="Y40" s="2" t="n">
        <v>0</v>
      </c>
      <c r="Z40" s="2" t="n">
        <v>0</v>
      </c>
      <c r="AA40" s="2" t="n">
        <v>4</v>
      </c>
      <c r="AB40" s="2" t="n">
        <v>0</v>
      </c>
      <c r="AC40" s="2" t="n">
        <v>4</v>
      </c>
      <c r="AD40" s="2" t="inlineStr">
        <is>
          <t>Blogs; Conference participation; Interest, working, user, or advisory groups; Mailing lists and discussion forums (including Slack)</t>
        </is>
      </c>
    </row>
    <row r="41">
      <c r="A41" s="2" t="inlineStr">
        <is>
          <t>DSpace</t>
        </is>
      </c>
      <c r="B41" s="2" t="n">
        <v>1</v>
      </c>
      <c r="C41" s="2" t="n">
        <v>0</v>
      </c>
      <c r="D41" s="2" t="n">
        <v>0</v>
      </c>
      <c r="E41" s="2" t="n">
        <v>1</v>
      </c>
      <c r="F41" s="2" t="n">
        <v>1</v>
      </c>
      <c r="G41" s="2" t="n">
        <v>1</v>
      </c>
      <c r="H41" s="2" t="n">
        <v>1</v>
      </c>
      <c r="I41" s="2" t="n">
        <v>0</v>
      </c>
      <c r="J41" s="2" t="n">
        <v>1</v>
      </c>
      <c r="K41" s="2" t="n">
        <v>0</v>
      </c>
      <c r="L41" s="2" t="n">
        <v>0</v>
      </c>
      <c r="M41" s="2" t="n">
        <v>1</v>
      </c>
      <c r="N41" s="2" t="n">
        <v>0</v>
      </c>
      <c r="O41" s="2" t="n">
        <v>0</v>
      </c>
      <c r="P41" s="2" t="n">
        <v>0</v>
      </c>
      <c r="Q41" s="2" t="n">
        <v>0</v>
      </c>
      <c r="R41" s="2" t="n">
        <v>0</v>
      </c>
      <c r="S41" s="2" t="n">
        <v>0</v>
      </c>
      <c r="T41" s="2" t="n">
        <v>0</v>
      </c>
      <c r="U41" s="2" t="n">
        <v>0</v>
      </c>
      <c r="V41" s="2" t="n">
        <v>0</v>
      </c>
      <c r="W41" s="2" t="n">
        <v>0</v>
      </c>
      <c r="X41" s="2" t="n">
        <v>0</v>
      </c>
      <c r="Y41" s="2" t="n">
        <v>0</v>
      </c>
      <c r="Z41" s="2" t="n">
        <v>7</v>
      </c>
      <c r="AA41" s="2" t="n">
        <v>0</v>
      </c>
      <c r="AB41" s="2" t="n">
        <v>0</v>
      </c>
      <c r="AC41" s="2" t="n">
        <v>7</v>
      </c>
      <c r="AD41" s="2" t="inlineStr">
        <is>
          <t>Annual meetings; Conference participation; Development sprints; Interest, working, user, or advisory groups; Mailing lists and discussion forums (including Slack); Staff roles with responsibility for community engagement; Webinars and training</t>
        </is>
      </c>
    </row>
    <row r="42">
      <c r="A42" s="2" t="inlineStr">
        <is>
          <t>DuraCloud</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inlineStr"/>
    </row>
    <row r="43">
      <c r="A43" s="2" t="inlineStr">
        <is>
          <t>Episciences</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inlineStr"/>
    </row>
    <row r="44">
      <c r="A44" s="2" t="inlineStr">
        <is>
          <t>EPrints</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inlineStr"/>
    </row>
    <row r="45">
      <c r="A45" s="2" t="inlineStr">
        <is>
          <t>Érudit</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inlineStr"/>
    </row>
    <row r="46">
      <c r="A46" s="2" t="inlineStr">
        <is>
          <t>Europe PMC</t>
        </is>
      </c>
      <c r="B46" s="2" t="n">
        <v>0</v>
      </c>
      <c r="C46" s="2" t="n">
        <v>0</v>
      </c>
      <c r="D46" s="2" t="n">
        <v>0</v>
      </c>
      <c r="E46" s="2" t="n">
        <v>0</v>
      </c>
      <c r="F46" s="2" t="n">
        <v>0</v>
      </c>
      <c r="G46" s="2" t="n">
        <v>0</v>
      </c>
      <c r="H46" s="2" t="n">
        <v>0</v>
      </c>
      <c r="I46" s="2" t="n">
        <v>0</v>
      </c>
      <c r="J46" s="2" t="n">
        <v>0</v>
      </c>
      <c r="K46" s="2" t="n">
        <v>0</v>
      </c>
      <c r="L46" s="2" t="n">
        <v>0</v>
      </c>
      <c r="M46" s="2" t="n">
        <v>0</v>
      </c>
      <c r="N46" s="2" t="n">
        <v>0</v>
      </c>
      <c r="O46" s="2" t="n">
        <v>1</v>
      </c>
      <c r="P46" s="2" t="n">
        <v>0</v>
      </c>
      <c r="Q46" s="2" t="n">
        <v>1</v>
      </c>
      <c r="R46" s="2" t="n">
        <v>0</v>
      </c>
      <c r="S46" s="2" t="n">
        <v>1</v>
      </c>
      <c r="T46" s="2" t="n">
        <v>1</v>
      </c>
      <c r="U46" s="2" t="n">
        <v>0</v>
      </c>
      <c r="V46" s="2" t="n">
        <v>1</v>
      </c>
      <c r="W46" s="2" t="n">
        <v>1</v>
      </c>
      <c r="X46" s="2" t="n">
        <v>0</v>
      </c>
      <c r="Y46" s="2" t="n">
        <v>1</v>
      </c>
      <c r="Z46" s="2" t="n">
        <v>0</v>
      </c>
      <c r="AA46" s="2" t="n">
        <v>7</v>
      </c>
      <c r="AB46" s="2" t="n">
        <v>0</v>
      </c>
      <c r="AC46" s="2" t="n">
        <v>7</v>
      </c>
      <c r="AD46" s="2" t="inlineStr">
        <is>
          <t>Blogs; Conference participation; Interest, working, user, or advisory groups; Mailing lists and discussion forums (including Slack); Staff roles with responsibility for community engagement; User research; Webinars and training</t>
        </is>
      </c>
    </row>
    <row r="47">
      <c r="A47" s="2" t="inlineStr">
        <is>
          <t>FAIR Wizard</t>
        </is>
      </c>
      <c r="B47" s="2" t="n">
        <v>1</v>
      </c>
      <c r="C47" s="2" t="n">
        <v>1</v>
      </c>
      <c r="D47" s="2" t="n">
        <v>0</v>
      </c>
      <c r="E47" s="2" t="n">
        <v>1</v>
      </c>
      <c r="F47" s="2" t="n">
        <v>0</v>
      </c>
      <c r="G47" s="2" t="n">
        <v>0</v>
      </c>
      <c r="H47" s="2" t="n">
        <v>0</v>
      </c>
      <c r="I47" s="2" t="n">
        <v>1</v>
      </c>
      <c r="J47" s="2" t="n">
        <v>0</v>
      </c>
      <c r="K47" s="2" t="n">
        <v>1</v>
      </c>
      <c r="L47" s="2" t="n">
        <v>0</v>
      </c>
      <c r="M47" s="2" t="n">
        <v>1</v>
      </c>
      <c r="N47" s="2" t="n">
        <v>0</v>
      </c>
      <c r="O47" s="2" t="n">
        <v>0</v>
      </c>
      <c r="P47" s="2" t="n">
        <v>0</v>
      </c>
      <c r="Q47" s="2" t="n">
        <v>0</v>
      </c>
      <c r="R47" s="2" t="n">
        <v>0</v>
      </c>
      <c r="S47" s="2" t="n">
        <v>0</v>
      </c>
      <c r="T47" s="2" t="n">
        <v>0</v>
      </c>
      <c r="U47" s="2" t="n">
        <v>0</v>
      </c>
      <c r="V47" s="2" t="n">
        <v>0</v>
      </c>
      <c r="W47" s="2" t="n">
        <v>0</v>
      </c>
      <c r="X47" s="2" t="n">
        <v>0</v>
      </c>
      <c r="Y47" s="2" t="n">
        <v>0</v>
      </c>
      <c r="Z47" s="2" t="n">
        <v>6</v>
      </c>
      <c r="AA47" s="2" t="n">
        <v>0</v>
      </c>
      <c r="AB47" s="2" t="n">
        <v>0</v>
      </c>
      <c r="AC47" s="2" t="n">
        <v>6</v>
      </c>
      <c r="AD47" s="2" t="inlineStr">
        <is>
          <t>Annual meetings; Blogs; Conference participation; Social media; User research; Webinars and training</t>
        </is>
      </c>
    </row>
    <row r="48">
      <c r="A48" s="2" t="inlineStr">
        <is>
          <t>Fedora</t>
        </is>
      </c>
      <c r="B48" s="2" t="n">
        <v>1</v>
      </c>
      <c r="C48" s="2" t="n">
        <v>1</v>
      </c>
      <c r="D48" s="2" t="n">
        <v>1</v>
      </c>
      <c r="E48" s="2" t="n">
        <v>1</v>
      </c>
      <c r="F48" s="2" t="n">
        <v>1</v>
      </c>
      <c r="G48" s="2" t="n">
        <v>1</v>
      </c>
      <c r="H48" s="2" t="n">
        <v>1</v>
      </c>
      <c r="I48" s="2" t="n">
        <v>1</v>
      </c>
      <c r="J48" s="2" t="n">
        <v>1</v>
      </c>
      <c r="K48" s="2" t="n">
        <v>0</v>
      </c>
      <c r="L48" s="2" t="n">
        <v>0</v>
      </c>
      <c r="M48" s="2" t="n">
        <v>1</v>
      </c>
      <c r="N48" s="2" t="n">
        <v>0</v>
      </c>
      <c r="O48" s="2" t="n">
        <v>0</v>
      </c>
      <c r="P48" s="2" t="n">
        <v>1</v>
      </c>
      <c r="Q48" s="2" t="n">
        <v>1</v>
      </c>
      <c r="R48" s="2" t="n">
        <v>0</v>
      </c>
      <c r="S48" s="2" t="n">
        <v>0</v>
      </c>
      <c r="T48" s="2" t="n">
        <v>1</v>
      </c>
      <c r="U48" s="2" t="n">
        <v>0</v>
      </c>
      <c r="V48" s="2" t="n">
        <v>0</v>
      </c>
      <c r="W48" s="2" t="n">
        <v>0</v>
      </c>
      <c r="X48" s="2" t="n">
        <v>0</v>
      </c>
      <c r="Y48" s="2" t="n">
        <v>0</v>
      </c>
      <c r="Z48" s="2" t="n">
        <v>10</v>
      </c>
      <c r="AA48" s="2" t="n">
        <v>3</v>
      </c>
      <c r="AB48" s="2" t="n">
        <v>0</v>
      </c>
      <c r="AC48" s="2" t="n">
        <v>10</v>
      </c>
      <c r="AD48" s="2" t="inlineStr">
        <is>
          <t>Annual meetings; Blogs; Community calls; Conference participation; Development sprints; Interest, working, user, or advisory groups; Mailing lists and discussion forums (including Slack); Social media; Staff roles with responsibility for community engagement; Webinars and training</t>
        </is>
      </c>
    </row>
    <row r="49">
      <c r="A49" s="2" t="inlineStr">
        <is>
          <t>fido</t>
        </is>
      </c>
      <c r="B49" s="2" t="n">
        <v>1</v>
      </c>
      <c r="C49" s="2" t="n">
        <v>0</v>
      </c>
      <c r="D49" s="2" t="n">
        <v>0</v>
      </c>
      <c r="E49" s="2" t="n">
        <v>1</v>
      </c>
      <c r="F49" s="2" t="n">
        <v>0</v>
      </c>
      <c r="G49" s="2" t="n">
        <v>1</v>
      </c>
      <c r="H49" s="2" t="n">
        <v>1</v>
      </c>
      <c r="I49" s="2" t="n">
        <v>1</v>
      </c>
      <c r="J49" s="2" t="n">
        <v>1</v>
      </c>
      <c r="K49" s="2" t="n">
        <v>1</v>
      </c>
      <c r="L49" s="2" t="n">
        <v>0</v>
      </c>
      <c r="M49" s="2" t="n">
        <v>1</v>
      </c>
      <c r="N49" s="2" t="n">
        <v>0</v>
      </c>
      <c r="O49" s="2" t="n">
        <v>0</v>
      </c>
      <c r="P49" s="2" t="n">
        <v>0</v>
      </c>
      <c r="Q49" s="2" t="n">
        <v>0</v>
      </c>
      <c r="R49" s="2" t="n">
        <v>0</v>
      </c>
      <c r="S49" s="2" t="n">
        <v>0</v>
      </c>
      <c r="T49" s="2" t="n">
        <v>0</v>
      </c>
      <c r="U49" s="2" t="n">
        <v>0</v>
      </c>
      <c r="V49" s="2" t="n">
        <v>0</v>
      </c>
      <c r="W49" s="2" t="n">
        <v>0</v>
      </c>
      <c r="X49" s="2" t="n">
        <v>0</v>
      </c>
      <c r="Y49" s="2" t="n">
        <v>0</v>
      </c>
      <c r="Z49" s="2" t="n">
        <v>8</v>
      </c>
      <c r="AA49" s="2" t="n">
        <v>0</v>
      </c>
      <c r="AB49" s="2" t="n">
        <v>0</v>
      </c>
      <c r="AC49" s="2" t="n">
        <v>8</v>
      </c>
      <c r="AD49" s="2" t="inlineStr">
        <is>
          <t>Annual meetings; Conference participation; Interest, working, user, or advisory groups; Mailing lists and discussion forums (including Slack); Social media; Staff roles with responsibility for community engagement; User research; Webinars and training</t>
        </is>
      </c>
    </row>
    <row r="50">
      <c r="A50" s="2" t="inlineStr">
        <is>
          <t>Fulcrum</t>
        </is>
      </c>
      <c r="B50" s="2" t="n">
        <v>0</v>
      </c>
      <c r="C50" s="2" t="n">
        <v>0</v>
      </c>
      <c r="D50" s="2" t="n">
        <v>0</v>
      </c>
      <c r="E50" s="2" t="n">
        <v>0</v>
      </c>
      <c r="F50" s="2" t="n">
        <v>0</v>
      </c>
      <c r="G50" s="2" t="n">
        <v>0</v>
      </c>
      <c r="H50" s="2" t="n">
        <v>0</v>
      </c>
      <c r="I50" s="2" t="n">
        <v>0</v>
      </c>
      <c r="J50" s="2" t="n">
        <v>0</v>
      </c>
      <c r="K50" s="2" t="n">
        <v>0</v>
      </c>
      <c r="L50" s="2" t="n">
        <v>0</v>
      </c>
      <c r="M50" s="2" t="n">
        <v>0</v>
      </c>
      <c r="N50" s="2" t="n">
        <v>0</v>
      </c>
      <c r="O50" s="2" t="n">
        <v>1</v>
      </c>
      <c r="P50" s="2" t="n">
        <v>0</v>
      </c>
      <c r="Q50" s="2" t="n">
        <v>1</v>
      </c>
      <c r="R50" s="2" t="n">
        <v>0</v>
      </c>
      <c r="S50" s="2" t="n">
        <v>1</v>
      </c>
      <c r="T50" s="2" t="n">
        <v>0</v>
      </c>
      <c r="U50" s="2" t="n">
        <v>0</v>
      </c>
      <c r="V50" s="2" t="n">
        <v>1</v>
      </c>
      <c r="W50" s="2" t="n">
        <v>0</v>
      </c>
      <c r="X50" s="2" t="n">
        <v>0</v>
      </c>
      <c r="Y50" s="2" t="n">
        <v>0</v>
      </c>
      <c r="Z50" s="2" t="n">
        <v>0</v>
      </c>
      <c r="AA50" s="2" t="n">
        <v>4</v>
      </c>
      <c r="AB50" s="2" t="n">
        <v>0</v>
      </c>
      <c r="AC50" s="2" t="n">
        <v>4</v>
      </c>
      <c r="AD50" s="2" t="inlineStr">
        <is>
          <t>Blogs; Conference participation; Interest, working, user, or advisory groups; Staff roles with responsibility for community engagement</t>
        </is>
      </c>
    </row>
    <row r="51">
      <c r="A51" s="2" t="inlineStr">
        <is>
          <t>Galaxy</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inlineStr"/>
    </row>
    <row r="52">
      <c r="A52" s="2" t="inlineStr">
        <is>
          <t>GeoServer</t>
        </is>
      </c>
      <c r="B52" s="2" t="n">
        <v>0</v>
      </c>
      <c r="C52" s="2" t="n">
        <v>1</v>
      </c>
      <c r="D52" s="2" t="n">
        <v>1</v>
      </c>
      <c r="E52" s="2" t="n">
        <v>1</v>
      </c>
      <c r="F52" s="2" t="n">
        <v>1</v>
      </c>
      <c r="G52" s="2" t="n">
        <v>0</v>
      </c>
      <c r="H52" s="2" t="n">
        <v>1</v>
      </c>
      <c r="I52" s="2" t="n">
        <v>1</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6</v>
      </c>
      <c r="AA52" s="2" t="n">
        <v>0</v>
      </c>
      <c r="AB52" s="2" t="n">
        <v>0</v>
      </c>
      <c r="AC52" s="2" t="n">
        <v>6</v>
      </c>
      <c r="AD52" s="2" t="inlineStr">
        <is>
          <t>Blogs; Community calls; Conference participation; Development sprints; Mailing lists and discussion forums (including Slack); Social media</t>
        </is>
      </c>
    </row>
    <row r="53">
      <c r="A53" s="2" t="inlineStr">
        <is>
          <t>Hyku</t>
        </is>
      </c>
      <c r="B53" s="2" t="n">
        <v>1</v>
      </c>
      <c r="C53" s="2" t="n">
        <v>1</v>
      </c>
      <c r="D53" s="2" t="n">
        <v>1</v>
      </c>
      <c r="E53" s="2" t="n">
        <v>1</v>
      </c>
      <c r="F53" s="2" t="n">
        <v>1</v>
      </c>
      <c r="G53" s="2" t="n">
        <v>1</v>
      </c>
      <c r="H53" s="2" t="n">
        <v>1</v>
      </c>
      <c r="I53" s="2" t="n">
        <v>0</v>
      </c>
      <c r="J53" s="2" t="n">
        <v>1</v>
      </c>
      <c r="K53" s="2" t="n">
        <v>0</v>
      </c>
      <c r="L53" s="2" t="n">
        <v>0</v>
      </c>
      <c r="M53" s="2" t="n">
        <v>1</v>
      </c>
      <c r="N53" s="2" t="n">
        <v>0</v>
      </c>
      <c r="O53" s="2" t="n">
        <v>0</v>
      </c>
      <c r="P53" s="2" t="n">
        <v>1</v>
      </c>
      <c r="Q53" s="2" t="n">
        <v>0</v>
      </c>
      <c r="R53" s="2" t="n">
        <v>0</v>
      </c>
      <c r="S53" s="2" t="n">
        <v>1</v>
      </c>
      <c r="T53" s="2" t="n">
        <v>0</v>
      </c>
      <c r="U53" s="2" t="n">
        <v>0</v>
      </c>
      <c r="V53" s="2" t="n">
        <v>0</v>
      </c>
      <c r="W53" s="2" t="n">
        <v>0</v>
      </c>
      <c r="X53" s="2" t="n">
        <v>0</v>
      </c>
      <c r="Y53" s="2" t="n">
        <v>0</v>
      </c>
      <c r="Z53" s="2" t="n">
        <v>9</v>
      </c>
      <c r="AA53" s="2" t="n">
        <v>2</v>
      </c>
      <c r="AB53" s="2" t="n">
        <v>0</v>
      </c>
      <c r="AC53" s="2" t="n">
        <v>9</v>
      </c>
      <c r="AD53"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4">
      <c r="A54" s="2" t="inlineStr">
        <is>
          <t>Hyrax</t>
        </is>
      </c>
      <c r="B54" s="2" t="n">
        <v>1</v>
      </c>
      <c r="C54" s="2" t="n">
        <v>1</v>
      </c>
      <c r="D54" s="2" t="n">
        <v>1</v>
      </c>
      <c r="E54" s="2" t="n">
        <v>1</v>
      </c>
      <c r="F54" s="2" t="n">
        <v>1</v>
      </c>
      <c r="G54" s="2" t="n">
        <v>1</v>
      </c>
      <c r="H54" s="2" t="n">
        <v>1</v>
      </c>
      <c r="I54" s="2" t="n">
        <v>0</v>
      </c>
      <c r="J54" s="2" t="n">
        <v>1</v>
      </c>
      <c r="K54" s="2" t="n">
        <v>0</v>
      </c>
      <c r="L54" s="2" t="n">
        <v>0</v>
      </c>
      <c r="M54" s="2" t="n">
        <v>1</v>
      </c>
      <c r="N54" s="2" t="n">
        <v>0</v>
      </c>
      <c r="O54" s="2" t="n">
        <v>0</v>
      </c>
      <c r="P54" s="2" t="n">
        <v>0</v>
      </c>
      <c r="Q54" s="2" t="n">
        <v>0</v>
      </c>
      <c r="R54" s="2" t="n">
        <v>0</v>
      </c>
      <c r="S54" s="2" t="n">
        <v>0</v>
      </c>
      <c r="T54" s="2" t="n">
        <v>0</v>
      </c>
      <c r="U54" s="2" t="n">
        <v>0</v>
      </c>
      <c r="V54" s="2" t="n">
        <v>0</v>
      </c>
      <c r="W54" s="2" t="n">
        <v>0</v>
      </c>
      <c r="X54" s="2" t="n">
        <v>0</v>
      </c>
      <c r="Y54" s="2" t="n">
        <v>0</v>
      </c>
      <c r="Z54" s="2" t="n">
        <v>9</v>
      </c>
      <c r="AA54" s="2" t="n">
        <v>0</v>
      </c>
      <c r="AB54" s="2" t="n">
        <v>0</v>
      </c>
      <c r="AC54" s="2" t="n">
        <v>9</v>
      </c>
      <c r="AD54"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5">
      <c r="A55" s="2" t="inlineStr">
        <is>
          <t>IIIF</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1</v>
      </c>
      <c r="Q55" s="2" t="n">
        <v>1</v>
      </c>
      <c r="R55" s="2" t="n">
        <v>0</v>
      </c>
      <c r="S55" s="2" t="n">
        <v>0</v>
      </c>
      <c r="T55" s="2" t="n">
        <v>1</v>
      </c>
      <c r="U55" s="2" t="n">
        <v>0</v>
      </c>
      <c r="V55" s="2" t="n">
        <v>1</v>
      </c>
      <c r="W55" s="2" t="n">
        <v>0</v>
      </c>
      <c r="X55" s="2" t="n">
        <v>0</v>
      </c>
      <c r="Y55" s="2" t="n">
        <v>1</v>
      </c>
      <c r="Z55" s="2" t="n">
        <v>0</v>
      </c>
      <c r="AA55" s="2" t="n">
        <v>5</v>
      </c>
      <c r="AB55" s="2" t="n">
        <v>0</v>
      </c>
      <c r="AC55" s="2" t="n">
        <v>5</v>
      </c>
      <c r="AD55" s="2" t="inlineStr">
        <is>
          <t>Community calls; Conference participation; Mailing lists and discussion forums (including Slack); Staff roles with responsibility for community engagement; Webinars and training</t>
        </is>
      </c>
    </row>
    <row r="56">
      <c r="A56" s="2" t="inlineStr">
        <is>
          <t>ImpactU</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inlineStr"/>
    </row>
    <row r="57">
      <c r="A57" s="2" t="inlineStr">
        <is>
          <t>International Generic Sample Number (IGSN)</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inlineStr"/>
    </row>
    <row r="58">
      <c r="A58" s="2" t="inlineStr">
        <is>
          <t>InvenioRDM</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1</v>
      </c>
      <c r="W58" s="2" t="n">
        <v>0</v>
      </c>
      <c r="X58" s="2" t="n">
        <v>0</v>
      </c>
      <c r="Y58" s="2" t="n">
        <v>0</v>
      </c>
      <c r="Z58" s="2" t="n">
        <v>0</v>
      </c>
      <c r="AA58" s="2" t="n">
        <v>1</v>
      </c>
      <c r="AB58" s="2" t="n">
        <v>0</v>
      </c>
      <c r="AC58" s="2" t="n">
        <v>1</v>
      </c>
      <c r="AD58" s="2" t="inlineStr">
        <is>
          <t>Staff roles with responsibility for community engagement</t>
        </is>
      </c>
    </row>
    <row r="59">
      <c r="A59" s="2" t="inlineStr">
        <is>
          <t>iRODS</t>
        </is>
      </c>
      <c r="B59" s="2" t="n">
        <v>1</v>
      </c>
      <c r="C59" s="2" t="n">
        <v>0</v>
      </c>
      <c r="D59" s="2" t="n">
        <v>1</v>
      </c>
      <c r="E59" s="2" t="n">
        <v>1</v>
      </c>
      <c r="F59" s="2" t="n">
        <v>0</v>
      </c>
      <c r="G59" s="2" t="n">
        <v>1</v>
      </c>
      <c r="H59" s="2" t="n">
        <v>1</v>
      </c>
      <c r="I59" s="2" t="n">
        <v>1</v>
      </c>
      <c r="J59" s="2" t="n">
        <v>1</v>
      </c>
      <c r="K59" s="2" t="n">
        <v>1</v>
      </c>
      <c r="L59" s="2" t="n">
        <v>1</v>
      </c>
      <c r="M59" s="2" t="n">
        <v>1</v>
      </c>
      <c r="N59" s="2" t="n">
        <v>0</v>
      </c>
      <c r="O59" s="2" t="n">
        <v>0</v>
      </c>
      <c r="P59" s="2" t="n">
        <v>0</v>
      </c>
      <c r="Q59" s="2" t="n">
        <v>0</v>
      </c>
      <c r="R59" s="2" t="n">
        <v>0</v>
      </c>
      <c r="S59" s="2" t="n">
        <v>0</v>
      </c>
      <c r="T59" s="2" t="n">
        <v>0</v>
      </c>
      <c r="U59" s="2" t="n">
        <v>0</v>
      </c>
      <c r="V59" s="2" t="n">
        <v>0</v>
      </c>
      <c r="W59" s="2" t="n">
        <v>0</v>
      </c>
      <c r="X59" s="2" t="n">
        <v>0</v>
      </c>
      <c r="Y59" s="2" t="n">
        <v>0</v>
      </c>
      <c r="Z59" s="2" t="n">
        <v>10</v>
      </c>
      <c r="AA59" s="2" t="n">
        <v>0</v>
      </c>
      <c r="AB59" s="2" t="n">
        <v>0</v>
      </c>
      <c r="AC59" s="2" t="n">
        <v>10</v>
      </c>
      <c r="AD59" s="2" t="inlineStr">
        <is>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is>
      </c>
    </row>
    <row r="60">
      <c r="A60" s="2" t="inlineStr">
        <is>
          <t>Islandora</t>
        </is>
      </c>
      <c r="B60" s="2" t="n">
        <v>1</v>
      </c>
      <c r="C60" s="2" t="n">
        <v>0</v>
      </c>
      <c r="D60" s="2" t="n">
        <v>1</v>
      </c>
      <c r="E60" s="2" t="n">
        <v>1</v>
      </c>
      <c r="F60" s="2" t="n">
        <v>1</v>
      </c>
      <c r="G60" s="2" t="n">
        <v>1</v>
      </c>
      <c r="H60" s="2" t="n">
        <v>1</v>
      </c>
      <c r="I60" s="2" t="n">
        <v>1</v>
      </c>
      <c r="J60" s="2" t="n">
        <v>1</v>
      </c>
      <c r="K60" s="2" t="n">
        <v>1</v>
      </c>
      <c r="L60" s="2" t="n">
        <v>1</v>
      </c>
      <c r="M60" s="2" t="n">
        <v>1</v>
      </c>
      <c r="N60" s="2" t="n">
        <v>0</v>
      </c>
      <c r="O60" s="2" t="n">
        <v>0</v>
      </c>
      <c r="P60" s="2" t="n">
        <v>1</v>
      </c>
      <c r="Q60" s="2" t="n">
        <v>1</v>
      </c>
      <c r="R60" s="2" t="n">
        <v>0</v>
      </c>
      <c r="S60" s="2" t="n">
        <v>1</v>
      </c>
      <c r="T60" s="2" t="n">
        <v>0</v>
      </c>
      <c r="U60" s="2" t="n">
        <v>0</v>
      </c>
      <c r="V60" s="2" t="n">
        <v>0</v>
      </c>
      <c r="W60" s="2" t="n">
        <v>1</v>
      </c>
      <c r="X60" s="2" t="n">
        <v>1</v>
      </c>
      <c r="Y60" s="2" t="n">
        <v>0</v>
      </c>
      <c r="Z60" s="2" t="n">
        <v>11</v>
      </c>
      <c r="AA60" s="2" t="n">
        <v>5</v>
      </c>
      <c r="AB60" s="2" t="n">
        <v>0</v>
      </c>
      <c r="AC60" s="2" t="n">
        <v>11</v>
      </c>
      <c r="AD60" s="2" t="inlineStr">
        <is>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61">
      <c r="A61" s="2" t="inlineStr">
        <is>
          <t>Janeway</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inlineStr"/>
    </row>
    <row r="62">
      <c r="A62" s="2" t="inlineStr">
        <is>
          <t>JHOVE</t>
        </is>
      </c>
      <c r="B62" s="2" t="n">
        <v>1</v>
      </c>
      <c r="C62" s="2" t="n">
        <v>1</v>
      </c>
      <c r="D62" s="2" t="n">
        <v>1</v>
      </c>
      <c r="E62" s="2" t="n">
        <v>0</v>
      </c>
      <c r="F62" s="2" t="n">
        <v>1</v>
      </c>
      <c r="G62" s="2" t="n">
        <v>1</v>
      </c>
      <c r="H62" s="2" t="n">
        <v>1</v>
      </c>
      <c r="I62" s="2" t="n">
        <v>1</v>
      </c>
      <c r="J62" s="2" t="n">
        <v>1</v>
      </c>
      <c r="K62" s="2" t="n">
        <v>0</v>
      </c>
      <c r="L62" s="2" t="n">
        <v>0</v>
      </c>
      <c r="M62" s="2" t="n">
        <v>1</v>
      </c>
      <c r="N62" s="2" t="n">
        <v>0</v>
      </c>
      <c r="O62" s="2" t="n">
        <v>0</v>
      </c>
      <c r="P62" s="2" t="n">
        <v>0</v>
      </c>
      <c r="Q62" s="2" t="n">
        <v>0</v>
      </c>
      <c r="R62" s="2" t="n">
        <v>0</v>
      </c>
      <c r="S62" s="2" t="n">
        <v>0</v>
      </c>
      <c r="T62" s="2" t="n">
        <v>0</v>
      </c>
      <c r="U62" s="2" t="n">
        <v>0</v>
      </c>
      <c r="V62" s="2" t="n">
        <v>0</v>
      </c>
      <c r="W62" s="2" t="n">
        <v>0</v>
      </c>
      <c r="X62" s="2" t="n">
        <v>0</v>
      </c>
      <c r="Y62" s="2" t="n">
        <v>0</v>
      </c>
      <c r="Z62" s="2" t="n">
        <v>9</v>
      </c>
      <c r="AA62" s="2" t="n">
        <v>0</v>
      </c>
      <c r="AB62" s="2" t="n">
        <v>0</v>
      </c>
      <c r="AC62" s="2" t="n">
        <v>9</v>
      </c>
      <c r="AD62" s="2" t="inlineStr">
        <is>
          <t>Annual meetings; Blogs; Community calls; Development sprints; Interest, working, user, or advisory groups; Mailing lists and discussion forums (including Slack); Social media; Staff roles with responsibility for community engagement; Webinars and training</t>
        </is>
      </c>
    </row>
    <row r="63">
      <c r="A63" s="2" t="inlineStr">
        <is>
          <t>LA Referencia</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inlineStr"/>
    </row>
    <row r="64">
      <c r="A64" s="2" t="inlineStr">
        <is>
          <t>Manifold</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inlineStr"/>
    </row>
    <row r="65">
      <c r="A65" s="2" t="inlineStr">
        <is>
          <t>medRxiv</t>
        </is>
      </c>
      <c r="B65" s="2" t="n">
        <v>0</v>
      </c>
      <c r="C65" s="2" t="n">
        <v>1</v>
      </c>
      <c r="D65" s="2" t="n">
        <v>0</v>
      </c>
      <c r="E65" s="2" t="n">
        <v>1</v>
      </c>
      <c r="F65" s="2" t="n">
        <v>0</v>
      </c>
      <c r="G65" s="2" t="n">
        <v>0</v>
      </c>
      <c r="H65" s="2" t="n">
        <v>1</v>
      </c>
      <c r="I65" s="2" t="n">
        <v>1</v>
      </c>
      <c r="J65" s="2" t="n">
        <v>1</v>
      </c>
      <c r="K65" s="2" t="n">
        <v>1</v>
      </c>
      <c r="L65" s="2" t="n">
        <v>1</v>
      </c>
      <c r="M65" s="2" t="n">
        <v>1</v>
      </c>
      <c r="N65" s="2" t="n">
        <v>0</v>
      </c>
      <c r="O65" s="2" t="n">
        <v>0</v>
      </c>
      <c r="P65" s="2" t="n">
        <v>0</v>
      </c>
      <c r="Q65" s="2" t="n">
        <v>0</v>
      </c>
      <c r="R65" s="2" t="n">
        <v>0</v>
      </c>
      <c r="S65" s="2" t="n">
        <v>0</v>
      </c>
      <c r="T65" s="2" t="n">
        <v>0</v>
      </c>
      <c r="U65" s="2" t="n">
        <v>0</v>
      </c>
      <c r="V65" s="2" t="n">
        <v>0</v>
      </c>
      <c r="W65" s="2" t="n">
        <v>1</v>
      </c>
      <c r="X65" s="2" t="n">
        <v>1</v>
      </c>
      <c r="Y65" s="2" t="n">
        <v>0</v>
      </c>
      <c r="Z65" s="2" t="n">
        <v>8</v>
      </c>
      <c r="AA65" s="2" t="n">
        <v>2</v>
      </c>
      <c r="AB65" s="2" t="n">
        <v>0</v>
      </c>
      <c r="AC65" s="2" t="n">
        <v>9</v>
      </c>
      <c r="AD65" s="2" t="inlineStr">
        <is>
          <t>Blogs; Conference participation; Mailing lists and discussion forums (including Slack); Other; Social media; Staff roles with responsibility for community engagement; User research; Volunteer or ambassador network; Webinars and training</t>
        </is>
      </c>
    </row>
    <row r="66">
      <c r="A66" s="2" t="inlineStr">
        <is>
          <t>Metadata Encoding and Transmission Standard (METS)</t>
        </is>
      </c>
      <c r="B66" s="2" t="n">
        <v>0</v>
      </c>
      <c r="C66" s="2" t="n">
        <v>0</v>
      </c>
      <c r="D66" s="2" t="n">
        <v>0</v>
      </c>
      <c r="E66" s="2" t="n">
        <v>1</v>
      </c>
      <c r="F66" s="2" t="n">
        <v>0</v>
      </c>
      <c r="G66" s="2" t="n">
        <v>0</v>
      </c>
      <c r="H66" s="2" t="n">
        <v>1</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2</v>
      </c>
      <c r="AA66" s="2" t="n">
        <v>0</v>
      </c>
      <c r="AB66" s="2" t="n">
        <v>0</v>
      </c>
      <c r="AC66" s="2" t="n">
        <v>2</v>
      </c>
      <c r="AD66" s="2" t="inlineStr">
        <is>
          <t>Conference participation; Mailing lists and discussion forums (including Slack)</t>
        </is>
      </c>
    </row>
    <row r="67">
      <c r="A67" s="2" t="inlineStr">
        <is>
          <t>Mirador</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1</v>
      </c>
      <c r="Q67" s="2" t="n">
        <v>0</v>
      </c>
      <c r="R67" s="2" t="n">
        <v>0</v>
      </c>
      <c r="S67" s="2" t="n">
        <v>0</v>
      </c>
      <c r="T67" s="2" t="n">
        <v>1</v>
      </c>
      <c r="U67" s="2" t="n">
        <v>0</v>
      </c>
      <c r="V67" s="2" t="n">
        <v>0</v>
      </c>
      <c r="W67" s="2" t="n">
        <v>1</v>
      </c>
      <c r="X67" s="2" t="n">
        <v>0</v>
      </c>
      <c r="Y67" s="2" t="n">
        <v>0</v>
      </c>
      <c r="Z67" s="2" t="n">
        <v>0</v>
      </c>
      <c r="AA67" s="2" t="n">
        <v>3</v>
      </c>
      <c r="AB67" s="2" t="n">
        <v>0</v>
      </c>
      <c r="AC67" s="2" t="n">
        <v>3</v>
      </c>
      <c r="AD67" s="2" t="inlineStr">
        <is>
          <t>Community calls; Mailing lists and discussion forums (including Slack); User research</t>
        </is>
      </c>
    </row>
    <row r="68">
      <c r="A68" s="2" t="inlineStr">
        <is>
          <t>Mukurtu CMS</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1</v>
      </c>
      <c r="W68" s="2" t="n">
        <v>0</v>
      </c>
      <c r="X68" s="2" t="n">
        <v>0</v>
      </c>
      <c r="Y68" s="2" t="n">
        <v>0</v>
      </c>
      <c r="Z68" s="2" t="n">
        <v>0</v>
      </c>
      <c r="AA68" s="2" t="n">
        <v>1</v>
      </c>
      <c r="AB68" s="2" t="n">
        <v>0</v>
      </c>
      <c r="AC68" s="2" t="n">
        <v>1</v>
      </c>
      <c r="AD68" s="2" t="inlineStr">
        <is>
          <t>Staff roles with responsibility for community engagement</t>
        </is>
      </c>
    </row>
    <row r="69">
      <c r="A69" s="2" t="inlineStr">
        <is>
          <t>MyCoRe</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inlineStr"/>
    </row>
    <row r="70">
      <c r="A70" s="2" t="inlineStr">
        <is>
          <t>NumPy</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inlineStr"/>
    </row>
    <row r="71">
      <c r="A71" s="2" t="inlineStr">
        <is>
          <t>OA.Report</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inlineStr"/>
    </row>
    <row r="72">
      <c r="A72" s="2" t="inlineStr">
        <is>
          <t>OA Switchboard</t>
        </is>
      </c>
      <c r="B72" s="2" t="n">
        <v>0</v>
      </c>
      <c r="C72" s="2" t="n">
        <v>0</v>
      </c>
      <c r="D72" s="2" t="n">
        <v>0</v>
      </c>
      <c r="E72" s="2" t="n">
        <v>0</v>
      </c>
      <c r="F72" s="2" t="n">
        <v>0</v>
      </c>
      <c r="G72" s="2" t="n">
        <v>0</v>
      </c>
      <c r="H72" s="2" t="n">
        <v>0</v>
      </c>
      <c r="I72" s="2" t="n">
        <v>0</v>
      </c>
      <c r="J72" s="2" t="n">
        <v>0</v>
      </c>
      <c r="K72" s="2" t="n">
        <v>0</v>
      </c>
      <c r="L72" s="2" t="n">
        <v>0</v>
      </c>
      <c r="M72" s="2" t="n">
        <v>0</v>
      </c>
      <c r="N72" s="2" t="n">
        <v>0</v>
      </c>
      <c r="O72" s="2" t="n">
        <v>1</v>
      </c>
      <c r="P72" s="2" t="n">
        <v>1</v>
      </c>
      <c r="Q72" s="2" t="n">
        <v>1</v>
      </c>
      <c r="R72" s="2" t="n">
        <v>0</v>
      </c>
      <c r="S72" s="2" t="n">
        <v>1</v>
      </c>
      <c r="T72" s="2" t="n">
        <v>0</v>
      </c>
      <c r="U72" s="2" t="n">
        <v>0</v>
      </c>
      <c r="V72" s="2" t="n">
        <v>0</v>
      </c>
      <c r="W72" s="2" t="n">
        <v>0</v>
      </c>
      <c r="X72" s="2" t="n">
        <v>0</v>
      </c>
      <c r="Y72" s="2" t="n">
        <v>0</v>
      </c>
      <c r="Z72" s="2" t="n">
        <v>0</v>
      </c>
      <c r="AA72" s="2" t="n">
        <v>4</v>
      </c>
      <c r="AB72" s="2" t="n">
        <v>0</v>
      </c>
      <c r="AC72" s="2" t="n">
        <v>4</v>
      </c>
      <c r="AD72" s="2" t="inlineStr">
        <is>
          <t>Blogs; Community calls; Conference participation; Interest, working, user, or advisory groups</t>
        </is>
      </c>
    </row>
    <row r="73">
      <c r="A73" s="2" t="inlineStr">
        <is>
          <t>Omeka</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inlineStr"/>
    </row>
    <row r="74">
      <c r="A74" s="2" t="inlineStr">
        <is>
          <t>OpenAIRE Graph</t>
        </is>
      </c>
      <c r="B74" s="2" t="n">
        <v>0</v>
      </c>
      <c r="C74" s="2" t="n">
        <v>1</v>
      </c>
      <c r="D74" s="2" t="n">
        <v>1</v>
      </c>
      <c r="E74" s="2" t="n">
        <v>1</v>
      </c>
      <c r="F74" s="2" t="n">
        <v>0</v>
      </c>
      <c r="G74" s="2" t="n">
        <v>1</v>
      </c>
      <c r="H74" s="2" t="n">
        <v>1</v>
      </c>
      <c r="I74" s="2" t="n">
        <v>1</v>
      </c>
      <c r="J74" s="2" t="n">
        <v>1</v>
      </c>
      <c r="K74" s="2" t="n">
        <v>1</v>
      </c>
      <c r="L74" s="2" t="n">
        <v>0</v>
      </c>
      <c r="M74" s="2" t="n">
        <v>1</v>
      </c>
      <c r="N74" s="2" t="n">
        <v>0</v>
      </c>
      <c r="O74" s="2" t="n">
        <v>0</v>
      </c>
      <c r="P74" s="2" t="n">
        <v>0</v>
      </c>
      <c r="Q74" s="2" t="n">
        <v>0</v>
      </c>
      <c r="R74" s="2" t="n">
        <v>0</v>
      </c>
      <c r="S74" s="2" t="n">
        <v>0</v>
      </c>
      <c r="T74" s="2" t="n">
        <v>0</v>
      </c>
      <c r="U74" s="2" t="n">
        <v>0</v>
      </c>
      <c r="V74" s="2" t="n">
        <v>0</v>
      </c>
      <c r="W74" s="2" t="n">
        <v>0</v>
      </c>
      <c r="X74" s="2" t="n">
        <v>0</v>
      </c>
      <c r="Y74" s="2" t="n">
        <v>0</v>
      </c>
      <c r="Z74" s="2" t="n">
        <v>9</v>
      </c>
      <c r="AA74" s="2" t="n">
        <v>0</v>
      </c>
      <c r="AB74" s="2" t="n">
        <v>0</v>
      </c>
      <c r="AC74" s="2" t="n">
        <v>9</v>
      </c>
      <c r="AD74" s="2" t="inlineStr">
        <is>
          <t>Blogs; Community calls; Conference participation; Interest, working, user, or advisory groups; Mailing lists and discussion forums (including Slack); Social media; Staff roles with responsibility for community engagement; User research; Webinars and training</t>
        </is>
      </c>
    </row>
    <row r="75">
      <c r="A75" s="2" t="inlineStr">
        <is>
          <t>OpenAlex</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1</v>
      </c>
      <c r="T75" s="2" t="n">
        <v>0</v>
      </c>
      <c r="U75" s="2" t="n">
        <v>1</v>
      </c>
      <c r="V75" s="2" t="n">
        <v>0</v>
      </c>
      <c r="W75" s="2" t="n">
        <v>0</v>
      </c>
      <c r="X75" s="2" t="n">
        <v>0</v>
      </c>
      <c r="Y75" s="2" t="n">
        <v>1</v>
      </c>
      <c r="Z75" s="2" t="n">
        <v>0</v>
      </c>
      <c r="AA75" s="2" t="n">
        <v>3</v>
      </c>
      <c r="AB75" s="2" t="n">
        <v>0</v>
      </c>
      <c r="AC75" s="2" t="n">
        <v>3</v>
      </c>
      <c r="AD75" s="2" t="inlineStr">
        <is>
          <t>Interest, working, user, or advisory groups; Social media; Webinars and training</t>
        </is>
      </c>
    </row>
    <row r="76">
      <c r="A76" s="2" t="inlineStr">
        <is>
          <t>OpenAPC</t>
        </is>
      </c>
      <c r="B76" s="2" t="n">
        <v>0</v>
      </c>
      <c r="C76" s="2" t="n">
        <v>1</v>
      </c>
      <c r="D76" s="2" t="n">
        <v>0</v>
      </c>
      <c r="E76" s="2" t="n">
        <v>1</v>
      </c>
      <c r="F76" s="2" t="n">
        <v>0</v>
      </c>
      <c r="G76" s="2" t="n">
        <v>0</v>
      </c>
      <c r="H76" s="2" t="n">
        <v>0</v>
      </c>
      <c r="I76" s="2" t="n">
        <v>1</v>
      </c>
      <c r="J76" s="2" t="n">
        <v>0</v>
      </c>
      <c r="K76" s="2" t="n">
        <v>0</v>
      </c>
      <c r="L76" s="2" t="n">
        <v>0</v>
      </c>
      <c r="M76" s="2" t="n">
        <v>1</v>
      </c>
      <c r="N76" s="2" t="n">
        <v>0</v>
      </c>
      <c r="O76" s="2" t="n">
        <v>0</v>
      </c>
      <c r="P76" s="2" t="n">
        <v>0</v>
      </c>
      <c r="Q76" s="2" t="n">
        <v>0</v>
      </c>
      <c r="R76" s="2" t="n">
        <v>0</v>
      </c>
      <c r="S76" s="2" t="n">
        <v>0</v>
      </c>
      <c r="T76" s="2" t="n">
        <v>0</v>
      </c>
      <c r="U76" s="2" t="n">
        <v>0</v>
      </c>
      <c r="V76" s="2" t="n">
        <v>0</v>
      </c>
      <c r="W76" s="2" t="n">
        <v>0</v>
      </c>
      <c r="X76" s="2" t="n">
        <v>0</v>
      </c>
      <c r="Y76" s="2" t="n">
        <v>0</v>
      </c>
      <c r="Z76" s="2" t="n">
        <v>4</v>
      </c>
      <c r="AA76" s="2" t="n">
        <v>0</v>
      </c>
      <c r="AB76" s="2" t="n">
        <v>0</v>
      </c>
      <c r="AC76" s="2" t="n">
        <v>4</v>
      </c>
      <c r="AD76" s="2" t="inlineStr">
        <is>
          <t>Blogs; Conference participation; Social media; Webinars and training</t>
        </is>
      </c>
    </row>
    <row r="77">
      <c r="A77" s="2" t="inlineStr">
        <is>
          <t>OpenCitations</t>
        </is>
      </c>
      <c r="B77" s="2" t="n">
        <v>1</v>
      </c>
      <c r="C77" s="2" t="n">
        <v>1</v>
      </c>
      <c r="D77" s="2" t="n">
        <v>0</v>
      </c>
      <c r="E77" s="2" t="n">
        <v>1</v>
      </c>
      <c r="F77" s="2" t="n">
        <v>0</v>
      </c>
      <c r="G77" s="2" t="n">
        <v>1</v>
      </c>
      <c r="H77" s="2" t="n">
        <v>0</v>
      </c>
      <c r="I77" s="2" t="n">
        <v>1</v>
      </c>
      <c r="J77" s="2" t="n">
        <v>1</v>
      </c>
      <c r="K77" s="2" t="n">
        <v>0</v>
      </c>
      <c r="L77" s="2" t="n">
        <v>0</v>
      </c>
      <c r="M77" s="2" t="n">
        <v>1</v>
      </c>
      <c r="N77" s="2" t="n">
        <v>0</v>
      </c>
      <c r="O77" s="2" t="n">
        <v>0</v>
      </c>
      <c r="P77" s="2" t="n">
        <v>0</v>
      </c>
      <c r="Q77" s="2" t="n">
        <v>0</v>
      </c>
      <c r="R77" s="2" t="n">
        <v>0</v>
      </c>
      <c r="S77" s="2" t="n">
        <v>0</v>
      </c>
      <c r="T77" s="2" t="n">
        <v>0</v>
      </c>
      <c r="U77" s="2" t="n">
        <v>0</v>
      </c>
      <c r="V77" s="2" t="n">
        <v>0</v>
      </c>
      <c r="W77" s="2" t="n">
        <v>0</v>
      </c>
      <c r="X77" s="2" t="n">
        <v>0</v>
      </c>
      <c r="Y77" s="2" t="n">
        <v>0</v>
      </c>
      <c r="Z77" s="2" t="n">
        <v>7</v>
      </c>
      <c r="AA77" s="2" t="n">
        <v>0</v>
      </c>
      <c r="AB77" s="2" t="n">
        <v>0</v>
      </c>
      <c r="AC77" s="2" t="n">
        <v>7</v>
      </c>
      <c r="AD77" s="2" t="inlineStr">
        <is>
          <t>Annual meetings; Blogs; Conference participation; Interest, working, user, or advisory groups; Social media; Staff roles with responsibility for community engagement; Webinars and training</t>
        </is>
      </c>
    </row>
    <row r="78">
      <c r="A78" s="2" t="inlineStr">
        <is>
          <t>openCost</t>
        </is>
      </c>
      <c r="B78" s="2" t="n">
        <v>0</v>
      </c>
      <c r="C78" s="2" t="n">
        <v>1</v>
      </c>
      <c r="D78" s="2" t="n">
        <v>1</v>
      </c>
      <c r="E78" s="2" t="n">
        <v>1</v>
      </c>
      <c r="F78" s="2" t="n">
        <v>0</v>
      </c>
      <c r="G78" s="2" t="n">
        <v>0</v>
      </c>
      <c r="H78" s="2" t="n">
        <v>1</v>
      </c>
      <c r="I78" s="2" t="n">
        <v>0</v>
      </c>
      <c r="J78" s="2" t="n">
        <v>0</v>
      </c>
      <c r="K78" s="2" t="n">
        <v>0</v>
      </c>
      <c r="L78" s="2" t="n">
        <v>0</v>
      </c>
      <c r="M78" s="2" t="n">
        <v>1</v>
      </c>
      <c r="N78" s="2" t="n">
        <v>0</v>
      </c>
      <c r="O78" s="2" t="n">
        <v>0</v>
      </c>
      <c r="P78" s="2" t="n">
        <v>0</v>
      </c>
      <c r="Q78" s="2" t="n">
        <v>0</v>
      </c>
      <c r="R78" s="2" t="n">
        <v>0</v>
      </c>
      <c r="S78" s="2" t="n">
        <v>0</v>
      </c>
      <c r="T78" s="2" t="n">
        <v>0</v>
      </c>
      <c r="U78" s="2" t="n">
        <v>0</v>
      </c>
      <c r="V78" s="2" t="n">
        <v>0</v>
      </c>
      <c r="W78" s="2" t="n">
        <v>0</v>
      </c>
      <c r="X78" s="2" t="n">
        <v>0</v>
      </c>
      <c r="Y78" s="2" t="n">
        <v>0</v>
      </c>
      <c r="Z78" s="2" t="n">
        <v>5</v>
      </c>
      <c r="AA78" s="2" t="n">
        <v>0</v>
      </c>
      <c r="AB78" s="2" t="n">
        <v>0</v>
      </c>
      <c r="AC78" s="2" t="n">
        <v>5</v>
      </c>
      <c r="AD78" s="2" t="inlineStr">
        <is>
          <t>Blogs; Community calls; Conference participation; Mailing lists and discussion forums (including Slack); Webinars and training</t>
        </is>
      </c>
    </row>
    <row r="79">
      <c r="A79" s="2" t="inlineStr">
        <is>
          <t>Open Data Editor</t>
        </is>
      </c>
      <c r="B79" s="2" t="n">
        <v>0</v>
      </c>
      <c r="C79" s="2" t="n">
        <v>1</v>
      </c>
      <c r="D79" s="2" t="n">
        <v>1</v>
      </c>
      <c r="E79" s="2" t="n">
        <v>0</v>
      </c>
      <c r="F79" s="2" t="n">
        <v>0</v>
      </c>
      <c r="G79" s="2" t="n">
        <v>0</v>
      </c>
      <c r="H79" s="2" t="n">
        <v>0</v>
      </c>
      <c r="I79" s="2" t="n">
        <v>1</v>
      </c>
      <c r="J79" s="2" t="n">
        <v>0</v>
      </c>
      <c r="K79" s="2" t="n">
        <v>0</v>
      </c>
      <c r="L79" s="2" t="n">
        <v>0</v>
      </c>
      <c r="M79" s="2" t="n">
        <v>1</v>
      </c>
      <c r="N79" s="2" t="n">
        <v>0</v>
      </c>
      <c r="O79" s="2" t="n">
        <v>0</v>
      </c>
      <c r="P79" s="2" t="n">
        <v>0</v>
      </c>
      <c r="Q79" s="2" t="n">
        <v>0</v>
      </c>
      <c r="R79" s="2" t="n">
        <v>0</v>
      </c>
      <c r="S79" s="2" t="n">
        <v>0</v>
      </c>
      <c r="T79" s="2" t="n">
        <v>0</v>
      </c>
      <c r="U79" s="2" t="n">
        <v>0</v>
      </c>
      <c r="V79" s="2" t="n">
        <v>0</v>
      </c>
      <c r="W79" s="2" t="n">
        <v>0</v>
      </c>
      <c r="X79" s="2" t="n">
        <v>0</v>
      </c>
      <c r="Y79" s="2" t="n">
        <v>0</v>
      </c>
      <c r="Z79" s="2" t="n">
        <v>4</v>
      </c>
      <c r="AA79" s="2" t="n">
        <v>0</v>
      </c>
      <c r="AB79" s="2" t="n">
        <v>0</v>
      </c>
      <c r="AC79" s="2" t="n">
        <v>4</v>
      </c>
      <c r="AD79" s="2" t="inlineStr">
        <is>
          <t>Blogs; Community calls; Social media; Webinars and training</t>
        </is>
      </c>
    </row>
    <row r="80">
      <c r="A80" s="2" t="inlineStr">
        <is>
          <t>OpenEdition</t>
        </is>
      </c>
      <c r="B80" s="2" t="n">
        <v>0</v>
      </c>
      <c r="C80" s="2" t="n">
        <v>0</v>
      </c>
      <c r="D80" s="2" t="n">
        <v>0</v>
      </c>
      <c r="E80" s="2" t="n">
        <v>0</v>
      </c>
      <c r="F80" s="2" t="n">
        <v>0</v>
      </c>
      <c r="G80" s="2" t="n">
        <v>0</v>
      </c>
      <c r="H80" s="2" t="n">
        <v>0</v>
      </c>
      <c r="I80" s="2" t="n">
        <v>0</v>
      </c>
      <c r="J80" s="2" t="n">
        <v>0</v>
      </c>
      <c r="K80" s="2" t="n">
        <v>0</v>
      </c>
      <c r="L80" s="2" t="n">
        <v>0</v>
      </c>
      <c r="M80" s="2" t="n">
        <v>0</v>
      </c>
      <c r="N80" s="2" t="n">
        <v>1</v>
      </c>
      <c r="O80" s="2" t="n">
        <v>0</v>
      </c>
      <c r="P80" s="2" t="n">
        <v>1</v>
      </c>
      <c r="Q80" s="2" t="n">
        <v>0</v>
      </c>
      <c r="R80" s="2" t="n">
        <v>0</v>
      </c>
      <c r="S80" s="2" t="n">
        <v>0</v>
      </c>
      <c r="T80" s="2" t="n">
        <v>0</v>
      </c>
      <c r="U80" s="2" t="n">
        <v>0</v>
      </c>
      <c r="V80" s="2" t="n">
        <v>0</v>
      </c>
      <c r="W80" s="2" t="n">
        <v>0</v>
      </c>
      <c r="X80" s="2" t="n">
        <v>0</v>
      </c>
      <c r="Y80" s="2" t="n">
        <v>1</v>
      </c>
      <c r="Z80" s="2" t="n">
        <v>0</v>
      </c>
      <c r="AA80" s="2" t="n">
        <v>3</v>
      </c>
      <c r="AB80" s="2" t="n">
        <v>0</v>
      </c>
      <c r="AC80" s="2" t="n">
        <v>3</v>
      </c>
      <c r="AD80" s="2" t="inlineStr">
        <is>
          <t>Annual meetings; Community calls; Webinars and training</t>
        </is>
      </c>
    </row>
    <row r="81">
      <c r="A81" s="2" t="inlineStr">
        <is>
          <t>Open Journal Systems (OJS)</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1</v>
      </c>
      <c r="S81" s="2" t="n">
        <v>1</v>
      </c>
      <c r="T81" s="2" t="n">
        <v>1</v>
      </c>
      <c r="U81" s="2" t="n">
        <v>0</v>
      </c>
      <c r="V81" s="2" t="n">
        <v>0</v>
      </c>
      <c r="W81" s="2" t="n">
        <v>0</v>
      </c>
      <c r="X81" s="2" t="n">
        <v>0</v>
      </c>
      <c r="Y81" s="2" t="n">
        <v>1</v>
      </c>
      <c r="Z81" s="2" t="n">
        <v>0</v>
      </c>
      <c r="AA81" s="2" t="n">
        <v>4</v>
      </c>
      <c r="AB81" s="2" t="n">
        <v>0</v>
      </c>
      <c r="AC81" s="2" t="n">
        <v>4</v>
      </c>
      <c r="AD81" s="2" t="inlineStr">
        <is>
          <t>Development sprints; Interest, working, user, or advisory groups; Mailing lists and discussion forums (including Slack); Webinars and training</t>
        </is>
      </c>
    </row>
    <row r="82">
      <c r="A82" s="2" t="inlineStr">
        <is>
          <t>Open Monograph Press (OMP)</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1</v>
      </c>
      <c r="S82" s="2" t="n">
        <v>1</v>
      </c>
      <c r="T82" s="2" t="n">
        <v>1</v>
      </c>
      <c r="U82" s="2" t="n">
        <v>0</v>
      </c>
      <c r="V82" s="2" t="n">
        <v>0</v>
      </c>
      <c r="W82" s="2" t="n">
        <v>0</v>
      </c>
      <c r="X82" s="2" t="n">
        <v>0</v>
      </c>
      <c r="Y82" s="2" t="n">
        <v>1</v>
      </c>
      <c r="Z82" s="2" t="n">
        <v>0</v>
      </c>
      <c r="AA82" s="2" t="n">
        <v>4</v>
      </c>
      <c r="AB82" s="2" t="n">
        <v>0</v>
      </c>
      <c r="AC82" s="2" t="n">
        <v>4</v>
      </c>
      <c r="AD82" s="2" t="inlineStr">
        <is>
          <t>Development sprints; Interest, working, user, or advisory groups; Mailing lists and discussion forums (including Slack); Webinars and training</t>
        </is>
      </c>
    </row>
    <row r="83">
      <c r="A83" s="2" t="inlineStr">
        <is>
          <t>Open Preprint Systems (OPS)</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1</v>
      </c>
      <c r="S83" s="2" t="n">
        <v>1</v>
      </c>
      <c r="T83" s="2" t="n">
        <v>1</v>
      </c>
      <c r="U83" s="2" t="n">
        <v>0</v>
      </c>
      <c r="V83" s="2" t="n">
        <v>0</v>
      </c>
      <c r="W83" s="2" t="n">
        <v>0</v>
      </c>
      <c r="X83" s="2" t="n">
        <v>0</v>
      </c>
      <c r="Y83" s="2" t="n">
        <v>1</v>
      </c>
      <c r="Z83" s="2" t="n">
        <v>0</v>
      </c>
      <c r="AA83" s="2" t="n">
        <v>4</v>
      </c>
      <c r="AB83" s="2" t="n">
        <v>0</v>
      </c>
      <c r="AC83" s="2" t="n">
        <v>4</v>
      </c>
      <c r="AD83" s="2" t="inlineStr">
        <is>
          <t>Development sprints; Interest, working, user, or advisory groups; Mailing lists and discussion forums (including Slack); Webinars and training</t>
        </is>
      </c>
    </row>
    <row r="84">
      <c r="A84" s="2" t="inlineStr">
        <is>
          <t>Openverse</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inlineStr"/>
    </row>
    <row r="86">
      <c r="A86" s="2" t="inlineStr">
        <is>
          <t>OSF (Open Science Framework)</t>
        </is>
      </c>
      <c r="B86" s="2" t="n">
        <v>0</v>
      </c>
      <c r="C86" s="2" t="n">
        <v>0</v>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1</v>
      </c>
      <c r="X86" s="2" t="n">
        <v>0</v>
      </c>
      <c r="Y86" s="2" t="n">
        <v>1</v>
      </c>
      <c r="Z86" s="2" t="n">
        <v>0</v>
      </c>
      <c r="AA86" s="2" t="n">
        <v>2</v>
      </c>
      <c r="AB86" s="2" t="n">
        <v>0</v>
      </c>
      <c r="AC86" s="2" t="n">
        <v>2</v>
      </c>
      <c r="AD86" s="2" t="inlineStr">
        <is>
          <t>User research; Webinars and training</t>
        </is>
      </c>
    </row>
    <row r="87">
      <c r="A87" s="2" t="inlineStr">
        <is>
          <t>Oxford Common File Layout</t>
        </is>
      </c>
      <c r="B87" s="2" t="n">
        <v>0</v>
      </c>
      <c r="C87" s="2" t="n">
        <v>0</v>
      </c>
      <c r="D87" s="2" t="n">
        <v>0</v>
      </c>
      <c r="E87" s="2" t="n">
        <v>0</v>
      </c>
      <c r="F87" s="2" t="n">
        <v>0</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n">
        <v>0</v>
      </c>
      <c r="AD87" s="2" t="inlineStr"/>
    </row>
    <row r="88">
      <c r="A88" s="2" t="inlineStr">
        <is>
          <t>Peer Community In</t>
        </is>
      </c>
      <c r="B88" s="2" t="n">
        <v>0</v>
      </c>
      <c r="C88" s="2" t="n">
        <v>0</v>
      </c>
      <c r="D88" s="2" t="n">
        <v>0</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n">
        <v>0</v>
      </c>
      <c r="AD88" s="2" t="inlineStr"/>
    </row>
    <row r="89">
      <c r="A89" s="2" t="inlineStr">
        <is>
          <t>PKP Preservation Network</t>
        </is>
      </c>
      <c r="B89" s="2" t="n">
        <v>0</v>
      </c>
      <c r="C89" s="2" t="n">
        <v>0</v>
      </c>
      <c r="D89" s="2" t="n">
        <v>0</v>
      </c>
      <c r="E89" s="2" t="n">
        <v>0</v>
      </c>
      <c r="F89" s="2" t="n">
        <v>0</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n">
        <v>0</v>
      </c>
      <c r="AD89" s="2" t="inlineStr"/>
    </row>
    <row r="90">
      <c r="A90" s="2" t="inlineStr">
        <is>
          <t>PREreview</t>
        </is>
      </c>
      <c r="B90" s="2" t="n">
        <v>0</v>
      </c>
      <c r="C90" s="2" t="n">
        <v>1</v>
      </c>
      <c r="D90" s="2" t="n">
        <v>1</v>
      </c>
      <c r="E90" s="2" t="n">
        <v>1</v>
      </c>
      <c r="F90" s="2" t="n">
        <v>1</v>
      </c>
      <c r="G90" s="2" t="n">
        <v>1</v>
      </c>
      <c r="H90" s="2" t="n">
        <v>1</v>
      </c>
      <c r="I90" s="2" t="n">
        <v>1</v>
      </c>
      <c r="J90" s="2" t="n">
        <v>1</v>
      </c>
      <c r="K90" s="2" t="n">
        <v>1</v>
      </c>
      <c r="L90" s="2" t="n">
        <v>1</v>
      </c>
      <c r="M90" s="2" t="n">
        <v>1</v>
      </c>
      <c r="N90" s="2" t="n">
        <v>0</v>
      </c>
      <c r="O90" s="2" t="n">
        <v>0</v>
      </c>
      <c r="P90" s="2" t="n">
        <v>0</v>
      </c>
      <c r="Q90" s="2" t="n">
        <v>0</v>
      </c>
      <c r="R90" s="2" t="n">
        <v>0</v>
      </c>
      <c r="S90" s="2" t="n">
        <v>0</v>
      </c>
      <c r="T90" s="2" t="n">
        <v>1</v>
      </c>
      <c r="U90" s="2" t="n">
        <v>0</v>
      </c>
      <c r="V90" s="2" t="n">
        <v>0</v>
      </c>
      <c r="W90" s="2" t="n">
        <v>1</v>
      </c>
      <c r="X90" s="2" t="n">
        <v>1</v>
      </c>
      <c r="Y90" s="2" t="n">
        <v>1</v>
      </c>
      <c r="Z90" s="2" t="n">
        <v>11</v>
      </c>
      <c r="AA90" s="2" t="n">
        <v>4</v>
      </c>
      <c r="AB90" s="2" t="n">
        <v>0</v>
      </c>
      <c r="AC90" s="2" t="n">
        <v>11</v>
      </c>
      <c r="AD90" s="2" t="inlineStr">
        <is>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91">
      <c r="A91" s="2" t="inlineStr">
        <is>
          <t>Pressbooks</t>
        </is>
      </c>
      <c r="B91" s="2" t="n">
        <v>0</v>
      </c>
      <c r="C91" s="2" t="n">
        <v>0</v>
      </c>
      <c r="D91" s="2" t="n">
        <v>0</v>
      </c>
      <c r="E91" s="2" t="n">
        <v>0</v>
      </c>
      <c r="F91" s="2" t="n">
        <v>0</v>
      </c>
      <c r="G91" s="2" t="n">
        <v>0</v>
      </c>
      <c r="H91" s="2" t="n">
        <v>0</v>
      </c>
      <c r="I91" s="2" t="n">
        <v>0</v>
      </c>
      <c r="J91" s="2" t="n">
        <v>0</v>
      </c>
      <c r="K91" s="2" t="n">
        <v>0</v>
      </c>
      <c r="L91" s="2" t="n">
        <v>0</v>
      </c>
      <c r="M91" s="2" t="n">
        <v>0</v>
      </c>
      <c r="N91" s="2" t="n">
        <v>0</v>
      </c>
      <c r="O91" s="2" t="n">
        <v>0</v>
      </c>
      <c r="P91" s="2" t="n">
        <v>1</v>
      </c>
      <c r="Q91" s="2" t="n">
        <v>1</v>
      </c>
      <c r="R91" s="2" t="n">
        <v>0</v>
      </c>
      <c r="S91" s="2" t="n">
        <v>0</v>
      </c>
      <c r="T91" s="2" t="n">
        <v>0</v>
      </c>
      <c r="U91" s="2" t="n">
        <v>0</v>
      </c>
      <c r="V91" s="2" t="n">
        <v>0</v>
      </c>
      <c r="W91" s="2" t="n">
        <v>0</v>
      </c>
      <c r="X91" s="2" t="n">
        <v>0</v>
      </c>
      <c r="Y91" s="2" t="n">
        <v>0</v>
      </c>
      <c r="Z91" s="2" t="n">
        <v>0</v>
      </c>
      <c r="AA91" s="2" t="n">
        <v>2</v>
      </c>
      <c r="AB91" s="2" t="n">
        <v>0</v>
      </c>
      <c r="AC91" s="2" t="n">
        <v>2</v>
      </c>
      <c r="AD91" s="2" t="inlineStr">
        <is>
          <t>Community calls; Conference participation</t>
        </is>
      </c>
    </row>
    <row r="92">
      <c r="A92" s="2" t="inlineStr">
        <is>
          <t>Public Access Submission System</t>
        </is>
      </c>
      <c r="B92" s="2" t="n">
        <v>0</v>
      </c>
      <c r="C92" s="2" t="n">
        <v>0</v>
      </c>
      <c r="D92" s="2" t="n">
        <v>0</v>
      </c>
      <c r="E92" s="2" t="n">
        <v>0</v>
      </c>
      <c r="F92" s="2" t="n">
        <v>0</v>
      </c>
      <c r="G92" s="2" t="n">
        <v>0</v>
      </c>
      <c r="H92" s="2" t="n">
        <v>0</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inlineStr"/>
    </row>
    <row r="93">
      <c r="A93" s="2" t="inlineStr">
        <is>
          <t>Public Utility Data Liberation (PUDL)</t>
        </is>
      </c>
      <c r="B93" s="2" t="n">
        <v>0</v>
      </c>
      <c r="C93" s="2" t="n">
        <v>1</v>
      </c>
      <c r="D93" s="2" t="n">
        <v>0</v>
      </c>
      <c r="E93" s="2" t="n">
        <v>1</v>
      </c>
      <c r="F93" s="2" t="n">
        <v>1</v>
      </c>
      <c r="G93" s="2" t="n">
        <v>0</v>
      </c>
      <c r="H93" s="2" t="n">
        <v>1</v>
      </c>
      <c r="I93" s="2" t="n">
        <v>1</v>
      </c>
      <c r="J93" s="2" t="n">
        <v>1</v>
      </c>
      <c r="K93" s="2" t="n">
        <v>1</v>
      </c>
      <c r="L93" s="2" t="n">
        <v>0</v>
      </c>
      <c r="M93" s="2" t="n">
        <v>1</v>
      </c>
      <c r="N93" s="2" t="n">
        <v>0</v>
      </c>
      <c r="O93" s="2" t="n">
        <v>0</v>
      </c>
      <c r="P93" s="2" t="n">
        <v>0</v>
      </c>
      <c r="Q93" s="2" t="n">
        <v>0</v>
      </c>
      <c r="R93" s="2" t="n">
        <v>0</v>
      </c>
      <c r="S93" s="2" t="n">
        <v>0</v>
      </c>
      <c r="T93" s="2" t="n">
        <v>0</v>
      </c>
      <c r="U93" s="2" t="n">
        <v>0</v>
      </c>
      <c r="V93" s="2" t="n">
        <v>0</v>
      </c>
      <c r="W93" s="2" t="n">
        <v>0</v>
      </c>
      <c r="X93" s="2" t="n">
        <v>0</v>
      </c>
      <c r="Y93" s="2" t="n">
        <v>0</v>
      </c>
      <c r="Z93" s="2" t="n">
        <v>8</v>
      </c>
      <c r="AA93" s="2" t="n">
        <v>0</v>
      </c>
      <c r="AB93" s="2" t="n">
        <v>0</v>
      </c>
      <c r="AC93" s="2" t="n">
        <v>8</v>
      </c>
      <c r="AD93" s="2" t="inlineStr">
        <is>
          <t>Blogs; Conference participation; Development sprints; Mailing lists and discussion forums (including Slack); Social media; Staff roles with responsibility for community engagement; User research; Webinars and training</t>
        </is>
      </c>
    </row>
    <row r="94">
      <c r="A94" s="2" t="inlineStr">
        <is>
          <t>PubPub</t>
        </is>
      </c>
      <c r="B94" s="2" t="n">
        <v>0</v>
      </c>
      <c r="C94" s="2" t="n">
        <v>0</v>
      </c>
      <c r="D94" s="2" t="n">
        <v>0</v>
      </c>
      <c r="E94" s="2" t="n">
        <v>0</v>
      </c>
      <c r="F94" s="2" t="n">
        <v>0</v>
      </c>
      <c r="G94" s="2" t="n">
        <v>0</v>
      </c>
      <c r="H94" s="2" t="n">
        <v>0</v>
      </c>
      <c r="I94" s="2" t="n">
        <v>0</v>
      </c>
      <c r="J94" s="2" t="n">
        <v>0</v>
      </c>
      <c r="K94" s="2" t="n">
        <v>0</v>
      </c>
      <c r="L94" s="2" t="n">
        <v>0</v>
      </c>
      <c r="M94" s="2" t="n">
        <v>0</v>
      </c>
      <c r="N94" s="2" t="n">
        <v>0</v>
      </c>
      <c r="O94" s="2" t="n">
        <v>0</v>
      </c>
      <c r="P94" s="2" t="n">
        <v>1</v>
      </c>
      <c r="Q94" s="2" t="n">
        <v>1</v>
      </c>
      <c r="R94" s="2" t="n">
        <v>0</v>
      </c>
      <c r="S94" s="2" t="n">
        <v>1</v>
      </c>
      <c r="T94" s="2" t="n">
        <v>0</v>
      </c>
      <c r="U94" s="2" t="n">
        <v>0</v>
      </c>
      <c r="V94" s="2" t="n">
        <v>0</v>
      </c>
      <c r="W94" s="2" t="n">
        <v>1</v>
      </c>
      <c r="X94" s="2" t="n">
        <v>0</v>
      </c>
      <c r="Y94" s="2" t="n">
        <v>0</v>
      </c>
      <c r="Z94" s="2" t="n">
        <v>0</v>
      </c>
      <c r="AA94" s="2" t="n">
        <v>4</v>
      </c>
      <c r="AB94" s="2" t="n">
        <v>0</v>
      </c>
      <c r="AC94" s="2" t="n">
        <v>4</v>
      </c>
      <c r="AD94" s="2" t="inlineStr">
        <is>
          <t>Community calls; Conference participation; Interest, working, user, or advisory groups; User research</t>
        </is>
      </c>
    </row>
    <row r="95">
      <c r="A95" s="2" t="inlineStr">
        <is>
          <t>Pundit</t>
        </is>
      </c>
      <c r="B95" s="2" t="n">
        <v>0</v>
      </c>
      <c r="C95" s="2" t="n">
        <v>1</v>
      </c>
      <c r="D95" s="2" t="n">
        <v>0</v>
      </c>
      <c r="E95" s="2" t="n">
        <v>1</v>
      </c>
      <c r="F95" s="2" t="n">
        <v>0</v>
      </c>
      <c r="G95" s="2" t="n">
        <v>0</v>
      </c>
      <c r="H95" s="2" t="n">
        <v>0</v>
      </c>
      <c r="I95" s="2" t="n">
        <v>1</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3</v>
      </c>
      <c r="AA95" s="2" t="n">
        <v>0</v>
      </c>
      <c r="AB95" s="2" t="n">
        <v>0</v>
      </c>
      <c r="AC95" s="2" t="n">
        <v>3</v>
      </c>
      <c r="AD95" s="2" t="inlineStr">
        <is>
          <t>Blogs; Conference participation; Social media</t>
        </is>
      </c>
    </row>
    <row r="96">
      <c r="A96" s="2" t="inlineStr">
        <is>
          <t>pyOpenSci</t>
        </is>
      </c>
      <c r="B96" s="2" t="n">
        <v>0</v>
      </c>
      <c r="C96" s="2" t="n">
        <v>0</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n">
        <v>0</v>
      </c>
      <c r="AD96" s="2" t="inlineStr"/>
    </row>
    <row r="97">
      <c r="A97" s="2" t="inlineStr">
        <is>
          <t>Renku</t>
        </is>
      </c>
      <c r="B97" s="2" t="n">
        <v>1</v>
      </c>
      <c r="C97" s="2" t="n">
        <v>1</v>
      </c>
      <c r="D97" s="2" t="n">
        <v>1</v>
      </c>
      <c r="E97" s="2" t="n">
        <v>1</v>
      </c>
      <c r="F97" s="2" t="n">
        <v>0</v>
      </c>
      <c r="G97" s="2" t="n">
        <v>0</v>
      </c>
      <c r="H97" s="2" t="n">
        <v>1</v>
      </c>
      <c r="I97" s="2" t="n">
        <v>0</v>
      </c>
      <c r="J97" s="2" t="n">
        <v>0</v>
      </c>
      <c r="K97" s="2" t="n">
        <v>1</v>
      </c>
      <c r="L97" s="2" t="n">
        <v>0</v>
      </c>
      <c r="M97" s="2" t="n">
        <v>1</v>
      </c>
      <c r="N97" s="2" t="n">
        <v>0</v>
      </c>
      <c r="O97" s="2" t="n">
        <v>0</v>
      </c>
      <c r="P97" s="2" t="n">
        <v>0</v>
      </c>
      <c r="Q97" s="2" t="n">
        <v>0</v>
      </c>
      <c r="R97" s="2" t="n">
        <v>0</v>
      </c>
      <c r="S97" s="2" t="n">
        <v>0</v>
      </c>
      <c r="T97" s="2" t="n">
        <v>0</v>
      </c>
      <c r="U97" s="2" t="n">
        <v>0</v>
      </c>
      <c r="V97" s="2" t="n">
        <v>0</v>
      </c>
      <c r="W97" s="2" t="n">
        <v>0</v>
      </c>
      <c r="X97" s="2" t="n">
        <v>0</v>
      </c>
      <c r="Y97" s="2" t="n">
        <v>0</v>
      </c>
      <c r="Z97" s="2" t="n">
        <v>7</v>
      </c>
      <c r="AA97" s="2" t="n">
        <v>0</v>
      </c>
      <c r="AB97" s="2" t="n">
        <v>0</v>
      </c>
      <c r="AC97" s="2" t="n">
        <v>7</v>
      </c>
      <c r="AD97" s="2" t="inlineStr">
        <is>
          <t>Annual meetings; Blogs; Community calls; Conference participation; Mailing lists and discussion forums (including Slack); User research; Webinars and training</t>
        </is>
      </c>
    </row>
    <row r="98">
      <c r="A98" s="2" t="inlineStr">
        <is>
          <t>RePEc</t>
        </is>
      </c>
      <c r="B98" s="2" t="n">
        <v>0</v>
      </c>
      <c r="C98" s="2" t="n">
        <v>1</v>
      </c>
      <c r="D98" s="2" t="n">
        <v>0</v>
      </c>
      <c r="E98" s="2" t="n">
        <v>0</v>
      </c>
      <c r="F98" s="2" t="n">
        <v>0</v>
      </c>
      <c r="G98" s="2" t="n">
        <v>0</v>
      </c>
      <c r="H98" s="2" t="n">
        <v>1</v>
      </c>
      <c r="I98" s="2" t="n">
        <v>0</v>
      </c>
      <c r="J98" s="2" t="n">
        <v>1</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4</v>
      </c>
      <c r="AA98" s="2" t="n">
        <v>0</v>
      </c>
      <c r="AB98" s="2" t="n">
        <v>0</v>
      </c>
      <c r="AC98" s="2" t="n">
        <v>4</v>
      </c>
      <c r="AD98" s="2" t="inlineStr">
        <is>
          <t>Blogs; Mailing lists and discussion forums (including Slack); Staff roles with responsibility for community engagement; Volunteer or ambassador network</t>
        </is>
      </c>
    </row>
    <row r="99">
      <c r="A99" s="2" t="inlineStr">
        <is>
          <t>Research Organization Registry (ROR)</t>
        </is>
      </c>
      <c r="B99" s="2" t="n">
        <v>1</v>
      </c>
      <c r="C99" s="2" t="n">
        <v>1</v>
      </c>
      <c r="D99" s="2" t="n">
        <v>1</v>
      </c>
      <c r="E99" s="2" t="n">
        <v>1</v>
      </c>
      <c r="F99" s="2" t="n">
        <v>0</v>
      </c>
      <c r="G99" s="2" t="n">
        <v>1</v>
      </c>
      <c r="H99" s="2" t="n">
        <v>1</v>
      </c>
      <c r="I99" s="2" t="n">
        <v>1</v>
      </c>
      <c r="J99" s="2" t="n">
        <v>1</v>
      </c>
      <c r="K99" s="2" t="n">
        <v>0</v>
      </c>
      <c r="L99" s="2" t="n">
        <v>0</v>
      </c>
      <c r="M99" s="2" t="n">
        <v>1</v>
      </c>
      <c r="N99" s="2" t="n">
        <v>0</v>
      </c>
      <c r="O99" s="2" t="n">
        <v>0</v>
      </c>
      <c r="P99" s="2" t="n">
        <v>1</v>
      </c>
      <c r="Q99" s="2" t="n">
        <v>0</v>
      </c>
      <c r="R99" s="2" t="n">
        <v>0</v>
      </c>
      <c r="S99" s="2" t="n">
        <v>1</v>
      </c>
      <c r="T99" s="2" t="n">
        <v>1</v>
      </c>
      <c r="U99" s="2" t="n">
        <v>0</v>
      </c>
      <c r="V99" s="2" t="n">
        <v>0</v>
      </c>
      <c r="W99" s="2" t="n">
        <v>0</v>
      </c>
      <c r="X99" s="2" t="n">
        <v>0</v>
      </c>
      <c r="Y99" s="2" t="n">
        <v>0</v>
      </c>
      <c r="Z99" s="2" t="n">
        <v>9</v>
      </c>
      <c r="AA99" s="2" t="n">
        <v>3</v>
      </c>
      <c r="AB99" s="2" t="n">
        <v>0</v>
      </c>
      <c r="AC99" s="2" t="n">
        <v>10</v>
      </c>
      <c r="AD99" s="2" t="inlineStr">
        <is>
          <t>Annual meetings; Blogs; Community calls; Conference participation; Interest, working, user, or advisory groups; Mailing lists and discussion forums (including Slack); Other; Social media; Staff roles with responsibility for community engagement; Webinars and training</t>
        </is>
      </c>
    </row>
    <row r="100">
      <c r="A100" s="2" t="inlineStr">
        <is>
          <t>Rogue Scholar</t>
        </is>
      </c>
      <c r="B100" s="2" t="n">
        <v>0</v>
      </c>
      <c r="C100" s="2" t="n">
        <v>0</v>
      </c>
      <c r="D100" s="2" t="n">
        <v>0</v>
      </c>
      <c r="E100" s="2" t="n">
        <v>0</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v>0</v>
      </c>
      <c r="AC100" s="2" t="n">
        <v>0</v>
      </c>
      <c r="AD100" s="2" t="inlineStr"/>
    </row>
    <row r="101">
      <c r="A101" s="2" t="inlineStr">
        <is>
          <t>RSpace</t>
        </is>
      </c>
      <c r="B101" s="2" t="n">
        <v>1</v>
      </c>
      <c r="C101" s="2" t="n">
        <v>1</v>
      </c>
      <c r="D101" s="2" t="n">
        <v>0</v>
      </c>
      <c r="E101" s="2" t="n">
        <v>1</v>
      </c>
      <c r="F101" s="2" t="n">
        <v>0</v>
      </c>
      <c r="G101" s="2" t="n">
        <v>0</v>
      </c>
      <c r="H101" s="2" t="n">
        <v>1</v>
      </c>
      <c r="I101" s="2" t="n">
        <v>1</v>
      </c>
      <c r="J101" s="2" t="n">
        <v>0</v>
      </c>
      <c r="K101" s="2" t="n">
        <v>1</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6</v>
      </c>
      <c r="AA101" s="2" t="n">
        <v>0</v>
      </c>
      <c r="AB101" s="2" t="n">
        <v>0</v>
      </c>
      <c r="AC101" s="2" t="n">
        <v>6</v>
      </c>
      <c r="AD101" s="2" t="inlineStr">
        <is>
          <t>Annual meetings; Blogs; Conference participation; Mailing lists and discussion forums (including Slack); Social media; User research</t>
        </is>
      </c>
    </row>
    <row r="102">
      <c r="A102" s="2" t="inlineStr">
        <is>
          <t>Sciety</t>
        </is>
      </c>
      <c r="B102" s="2" t="n">
        <v>0</v>
      </c>
      <c r="C102" s="2" t="n">
        <v>0</v>
      </c>
      <c r="D102" s="2" t="n">
        <v>0</v>
      </c>
      <c r="E102" s="2" t="n">
        <v>0</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v>0</v>
      </c>
      <c r="AC102" s="2" t="n">
        <v>0</v>
      </c>
      <c r="AD102" s="2" t="inlineStr"/>
    </row>
    <row r="103">
      <c r="A103" s="2" t="inlineStr">
        <is>
          <t>Synapse</t>
        </is>
      </c>
      <c r="B103" s="2" t="n">
        <v>0</v>
      </c>
      <c r="C103" s="2" t="n">
        <v>1</v>
      </c>
      <c r="D103" s="2" t="n">
        <v>0</v>
      </c>
      <c r="E103" s="2" t="n">
        <v>0</v>
      </c>
      <c r="F103" s="2" t="n">
        <v>0</v>
      </c>
      <c r="G103" s="2" t="n">
        <v>0</v>
      </c>
      <c r="H103" s="2" t="n">
        <v>0</v>
      </c>
      <c r="I103" s="2" t="n">
        <v>1</v>
      </c>
      <c r="J103" s="2" t="n">
        <v>1</v>
      </c>
      <c r="K103" s="2" t="n">
        <v>1</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4</v>
      </c>
      <c r="AA103" s="2" t="n">
        <v>0</v>
      </c>
      <c r="AB103" s="2" t="n">
        <v>0</v>
      </c>
      <c r="AC103" s="2" t="n">
        <v>4</v>
      </c>
      <c r="AD103" s="2" t="inlineStr">
        <is>
          <t>Blogs; Social media; Staff roles with responsibility for community engagement; User research</t>
        </is>
      </c>
    </row>
    <row r="104">
      <c r="A104" s="2" t="inlineStr">
        <is>
          <t>TagTeam</t>
        </is>
      </c>
      <c r="B104" s="2" t="n">
        <v>0</v>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0</v>
      </c>
      <c r="AC104" s="2" t="n">
        <v>0</v>
      </c>
      <c r="AD104" s="2" t="inlineStr"/>
    </row>
    <row r="105">
      <c r="A105" s="2" t="inlineStr">
        <is>
          <t>Thoth Open Metadata</t>
        </is>
      </c>
      <c r="B105" s="2" t="n">
        <v>1</v>
      </c>
      <c r="C105" s="2" t="n">
        <v>1</v>
      </c>
      <c r="D105" s="2" t="n">
        <v>1</v>
      </c>
      <c r="E105" s="2" t="n">
        <v>1</v>
      </c>
      <c r="F105" s="2" t="n">
        <v>0</v>
      </c>
      <c r="G105" s="2" t="n">
        <v>1</v>
      </c>
      <c r="H105" s="2" t="n">
        <v>0</v>
      </c>
      <c r="I105" s="2" t="n">
        <v>1</v>
      </c>
      <c r="J105" s="2" t="n">
        <v>0</v>
      </c>
      <c r="K105" s="2" t="n">
        <v>1</v>
      </c>
      <c r="L105" s="2" t="n">
        <v>0</v>
      </c>
      <c r="M105" s="2" t="n">
        <v>1</v>
      </c>
      <c r="N105" s="2" t="n">
        <v>0</v>
      </c>
      <c r="O105" s="2" t="n">
        <v>0</v>
      </c>
      <c r="P105" s="2" t="n">
        <v>0</v>
      </c>
      <c r="Q105" s="2" t="n">
        <v>0</v>
      </c>
      <c r="R105" s="2" t="n">
        <v>0</v>
      </c>
      <c r="S105" s="2" t="n">
        <v>0</v>
      </c>
      <c r="T105" s="2" t="n">
        <v>0</v>
      </c>
      <c r="U105" s="2" t="n">
        <v>0</v>
      </c>
      <c r="V105" s="2" t="n">
        <v>0</v>
      </c>
      <c r="W105" s="2" t="n">
        <v>0</v>
      </c>
      <c r="X105" s="2" t="n">
        <v>0</v>
      </c>
      <c r="Y105" s="2" t="n">
        <v>0</v>
      </c>
      <c r="Z105" s="2" t="n">
        <v>8</v>
      </c>
      <c r="AA105" s="2" t="n">
        <v>0</v>
      </c>
      <c r="AB105" s="2" t="n">
        <v>0</v>
      </c>
      <c r="AC105" s="2" t="n">
        <v>8</v>
      </c>
      <c r="AD105" s="2" t="inlineStr">
        <is>
          <t>Annual meetings; Blogs; Community calls; Conference participation; Interest, working, user, or advisory groups; Social media; User research; Webinars and training</t>
        </is>
      </c>
    </row>
    <row r="106">
      <c r="A106" s="2" t="inlineStr">
        <is>
          <t>Tropy</t>
        </is>
      </c>
      <c r="B106" s="2" t="n">
        <v>0</v>
      </c>
      <c r="C106" s="2" t="n">
        <v>1</v>
      </c>
      <c r="D106" s="2" t="n">
        <v>0</v>
      </c>
      <c r="E106" s="2" t="n">
        <v>0</v>
      </c>
      <c r="F106" s="2" t="n">
        <v>0</v>
      </c>
      <c r="G106" s="2" t="n">
        <v>0</v>
      </c>
      <c r="H106" s="2" t="n">
        <v>1</v>
      </c>
      <c r="I106" s="2" t="n">
        <v>1</v>
      </c>
      <c r="J106" s="2" t="n">
        <v>0</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3</v>
      </c>
      <c r="AA106" s="2" t="n">
        <v>0</v>
      </c>
      <c r="AB106" s="2" t="n">
        <v>0</v>
      </c>
      <c r="AC106" s="2" t="n">
        <v>3</v>
      </c>
      <c r="AD106" s="2" t="inlineStr">
        <is>
          <t>Blogs; Mailing lists and discussion forums (including Slack); Social media</t>
        </is>
      </c>
    </row>
    <row r="107">
      <c r="A107" s="2" t="inlineStr">
        <is>
          <t>veraPDF</t>
        </is>
      </c>
      <c r="B107" s="2" t="n">
        <v>0</v>
      </c>
      <c r="C107" s="2" t="n">
        <v>0</v>
      </c>
      <c r="D107" s="2" t="n">
        <v>0</v>
      </c>
      <c r="E107" s="2" t="n">
        <v>0</v>
      </c>
      <c r="F107" s="2" t="n">
        <v>1</v>
      </c>
      <c r="G107" s="2" t="n">
        <v>1</v>
      </c>
      <c r="H107" s="2" t="n">
        <v>1</v>
      </c>
      <c r="I107" s="2" t="n">
        <v>0</v>
      </c>
      <c r="J107" s="2" t="n">
        <v>1</v>
      </c>
      <c r="K107" s="2" t="n">
        <v>1</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5</v>
      </c>
      <c r="AA107" s="2" t="n">
        <v>0</v>
      </c>
      <c r="AB107" s="2" t="n">
        <v>0</v>
      </c>
      <c r="AC107" s="2" t="n">
        <v>5</v>
      </c>
      <c r="AD107" s="2" t="inlineStr">
        <is>
          <t>Development sprints; Interest, working, user, or advisory groups; Mailing lists and discussion forums (including Slack); Staff roles with responsibility for community engagement; User research</t>
        </is>
      </c>
    </row>
    <row r="108">
      <c r="A108" s="2" t="inlineStr">
        <is>
          <t>ViPER</t>
        </is>
      </c>
      <c r="B108" s="2" t="n">
        <v>1</v>
      </c>
      <c r="C108" s="2" t="n">
        <v>0</v>
      </c>
      <c r="D108" s="2" t="n">
        <v>0</v>
      </c>
      <c r="E108" s="2" t="n">
        <v>1</v>
      </c>
      <c r="F108" s="2" t="n">
        <v>0</v>
      </c>
      <c r="G108" s="2" t="n">
        <v>1</v>
      </c>
      <c r="H108" s="2" t="n">
        <v>1</v>
      </c>
      <c r="I108" s="2" t="n">
        <v>1</v>
      </c>
      <c r="J108" s="2" t="n">
        <v>1</v>
      </c>
      <c r="K108" s="2" t="n">
        <v>1</v>
      </c>
      <c r="L108" s="2" t="n">
        <v>0</v>
      </c>
      <c r="M108" s="2" t="n">
        <v>1</v>
      </c>
      <c r="N108" s="2" t="n">
        <v>0</v>
      </c>
      <c r="O108" s="2" t="n">
        <v>0</v>
      </c>
      <c r="P108" s="2" t="n">
        <v>0</v>
      </c>
      <c r="Q108" s="2" t="n">
        <v>0</v>
      </c>
      <c r="R108" s="2" t="n">
        <v>0</v>
      </c>
      <c r="S108" s="2" t="n">
        <v>0</v>
      </c>
      <c r="T108" s="2" t="n">
        <v>0</v>
      </c>
      <c r="U108" s="2" t="n">
        <v>0</v>
      </c>
      <c r="V108" s="2" t="n">
        <v>0</v>
      </c>
      <c r="W108" s="2" t="n">
        <v>0</v>
      </c>
      <c r="X108" s="2" t="n">
        <v>0</v>
      </c>
      <c r="Y108" s="2" t="n">
        <v>0</v>
      </c>
      <c r="Z108" s="2" t="n">
        <v>8</v>
      </c>
      <c r="AA108" s="2" t="n">
        <v>0</v>
      </c>
      <c r="AB108" s="2" t="n">
        <v>0</v>
      </c>
      <c r="AC108" s="2" t="n">
        <v>8</v>
      </c>
      <c r="AD108" s="2" t="inlineStr">
        <is>
          <t>Annual meetings; Conference participation; Interest, working, user, or advisory groups; Mailing lists and discussion forums (including Slack); Social media; Staff roles with responsibility for community engagement; User research; Webinars and training</t>
        </is>
      </c>
    </row>
    <row r="109">
      <c r="A109" s="2" t="inlineStr">
        <is>
          <t>Vireo ETD</t>
        </is>
      </c>
      <c r="B109" s="2" t="n">
        <v>1</v>
      </c>
      <c r="C109" s="2" t="n">
        <v>0</v>
      </c>
      <c r="D109" s="2" t="n">
        <v>1</v>
      </c>
      <c r="E109" s="2" t="n">
        <v>1</v>
      </c>
      <c r="F109" s="2" t="n">
        <v>1</v>
      </c>
      <c r="G109" s="2" t="n">
        <v>1</v>
      </c>
      <c r="H109" s="2" t="n">
        <v>1</v>
      </c>
      <c r="I109" s="2" t="n">
        <v>1</v>
      </c>
      <c r="J109" s="2" t="n">
        <v>1</v>
      </c>
      <c r="K109" s="2" t="n">
        <v>0</v>
      </c>
      <c r="L109" s="2" t="n">
        <v>1</v>
      </c>
      <c r="M109" s="2" t="n">
        <v>1</v>
      </c>
      <c r="N109" s="2" t="n">
        <v>0</v>
      </c>
      <c r="O109" s="2" t="n">
        <v>0</v>
      </c>
      <c r="P109" s="2" t="n">
        <v>0</v>
      </c>
      <c r="Q109" s="2" t="n">
        <v>0</v>
      </c>
      <c r="R109" s="2" t="n">
        <v>0</v>
      </c>
      <c r="S109" s="2" t="n">
        <v>0</v>
      </c>
      <c r="T109" s="2" t="n">
        <v>0</v>
      </c>
      <c r="U109" s="2" t="n">
        <v>0</v>
      </c>
      <c r="V109" s="2" t="n">
        <v>0</v>
      </c>
      <c r="W109" s="2" t="n">
        <v>0</v>
      </c>
      <c r="X109" s="2" t="n">
        <v>0</v>
      </c>
      <c r="Y109" s="2" t="n">
        <v>0</v>
      </c>
      <c r="Z109" s="2" t="n">
        <v>10</v>
      </c>
      <c r="AA109" s="2" t="n">
        <v>0</v>
      </c>
      <c r="AB109" s="2" t="n">
        <v>0</v>
      </c>
      <c r="AC109" s="2" t="n">
        <v>10</v>
      </c>
      <c r="AD109" s="2" t="inlineStr">
        <is>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is>
      </c>
    </row>
    <row r="110">
      <c r="A110" s="2" t="inlineStr">
        <is>
          <t>VIVO</t>
        </is>
      </c>
      <c r="B110" s="2" t="n">
        <v>1</v>
      </c>
      <c r="C110" s="2" t="n">
        <v>1</v>
      </c>
      <c r="D110" s="2" t="n">
        <v>1</v>
      </c>
      <c r="E110" s="2" t="n">
        <v>1</v>
      </c>
      <c r="F110" s="2" t="n">
        <v>1</v>
      </c>
      <c r="G110" s="2" t="n">
        <v>0</v>
      </c>
      <c r="H110" s="2" t="n">
        <v>1</v>
      </c>
      <c r="I110" s="2" t="n">
        <v>1</v>
      </c>
      <c r="J110" s="2" t="n">
        <v>1</v>
      </c>
      <c r="K110" s="2" t="n">
        <v>0</v>
      </c>
      <c r="L110" s="2" t="n">
        <v>1</v>
      </c>
      <c r="M110" s="2" t="n">
        <v>1</v>
      </c>
      <c r="N110" s="2" t="n">
        <v>0</v>
      </c>
      <c r="O110" s="2" t="n">
        <v>0</v>
      </c>
      <c r="P110" s="2" t="n">
        <v>0</v>
      </c>
      <c r="Q110" s="2" t="n">
        <v>0</v>
      </c>
      <c r="R110" s="2" t="n">
        <v>0</v>
      </c>
      <c r="S110" s="2" t="n">
        <v>0</v>
      </c>
      <c r="T110" s="2" t="n">
        <v>0</v>
      </c>
      <c r="U110" s="2" t="n">
        <v>0</v>
      </c>
      <c r="V110" s="2" t="n">
        <v>0</v>
      </c>
      <c r="W110" s="2" t="n">
        <v>0</v>
      </c>
      <c r="X110" s="2" t="n">
        <v>0</v>
      </c>
      <c r="Y110" s="2" t="n">
        <v>0</v>
      </c>
      <c r="Z110" s="2" t="n">
        <v>10</v>
      </c>
      <c r="AA110" s="2" t="n">
        <v>0</v>
      </c>
      <c r="AB110" s="2" t="n">
        <v>0</v>
      </c>
      <c r="AC110" s="2" t="n">
        <v>10</v>
      </c>
      <c r="AD110" s="2" t="inlineStr">
        <is>
          <t>Annual meetings; Blogs; Community calls; Conference participation; Development sprints; Mailing lists and discussion forums (including Slack); Social media; Staff roles with responsibility for community engagement; Volunteer or ambassador network; Webinars and training</t>
        </is>
      </c>
    </row>
    <row r="111">
      <c r="A111" s="2" t="inlineStr">
        <is>
          <t>VuFind®</t>
        </is>
      </c>
      <c r="B111" s="2" t="n">
        <v>1</v>
      </c>
      <c r="C111" s="2" t="n">
        <v>0</v>
      </c>
      <c r="D111" s="2" t="n">
        <v>1</v>
      </c>
      <c r="E111" s="2" t="n">
        <v>1</v>
      </c>
      <c r="F111" s="2" t="n">
        <v>0</v>
      </c>
      <c r="G111" s="2" t="n">
        <v>0</v>
      </c>
      <c r="H111" s="2" t="n">
        <v>1</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c r="W111" s="2" t="n">
        <v>0</v>
      </c>
      <c r="X111" s="2" t="n">
        <v>0</v>
      </c>
      <c r="Y111" s="2" t="n">
        <v>0</v>
      </c>
      <c r="Z111" s="2" t="n">
        <v>6</v>
      </c>
      <c r="AA111" s="2" t="n">
        <v>0</v>
      </c>
      <c r="AB111" s="2" t="n">
        <v>0</v>
      </c>
      <c r="AC111" s="2" t="n">
        <v>6</v>
      </c>
      <c r="AD111" s="2" t="inlineStr">
        <is>
          <t>Annual meetings; Community calls; Conference participation; Mailing lists and discussion forums (including Slack); Social media; Webinars and training</t>
        </is>
      </c>
    </row>
    <row r="112">
      <c r="A112" s="2" t="inlineStr">
        <is>
          <t>Zenodo</t>
        </is>
      </c>
      <c r="B112" s="2" t="n">
        <v>0</v>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n">
        <v>0</v>
      </c>
      <c r="AD112" s="2" t="inlineStr"/>
    </row>
    <row r="113">
      <c r="A113" s="2" t="inlineStr">
        <is>
          <t>Zotero</t>
        </is>
      </c>
      <c r="B113" s="2" t="n">
        <v>0</v>
      </c>
      <c r="C113" s="2" t="n">
        <v>1</v>
      </c>
      <c r="D113" s="2" t="n">
        <v>0</v>
      </c>
      <c r="E113" s="2" t="n">
        <v>0</v>
      </c>
      <c r="F113" s="2" t="n">
        <v>0</v>
      </c>
      <c r="G113" s="2" t="n">
        <v>0</v>
      </c>
      <c r="H113" s="2" t="n">
        <v>1</v>
      </c>
      <c r="I113" s="2" t="n">
        <v>1</v>
      </c>
      <c r="J113" s="2" t="n">
        <v>1</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4</v>
      </c>
      <c r="AA113" s="2" t="n">
        <v>0</v>
      </c>
      <c r="AB113" s="2" t="n">
        <v>0</v>
      </c>
      <c r="AC113" s="2" t="n">
        <v>4</v>
      </c>
      <c r="AD113" s="2" t="inlineStr">
        <is>
          <t>Blogs; Mailing lists and discussion forums (including Slack); Social media; Staff roles with responsibility for community engagement</t>
        </is>
      </c>
    </row>
  </sheetData>
  <autoFilter ref="A1:A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25" customWidth="1" min="3" max="3"/>
    <col width="34" customWidth="1" min="4" max="4"/>
    <col width="42" customWidth="1" min="5" max="5"/>
    <col width="31" customWidth="1" min="6" max="6"/>
    <col width="33" customWidth="1" min="7" max="7"/>
    <col width="48" customWidth="1" min="8" max="8"/>
    <col width="48" customWidth="1" min="9" max="9"/>
    <col width="48" customWidth="1" min="10" max="10"/>
    <col width="30" customWidth="1" min="11" max="11"/>
    <col width="17" customWidth="1" min="12" max="12"/>
    <col width="48" customWidth="1" min="13" max="13"/>
  </cols>
  <sheetData>
    <row r="1">
      <c r="A1" s="1" t="inlineStr">
        <is>
          <t>Service</t>
        </is>
      </c>
      <c r="B1" s="1" t="inlineStr">
        <is>
          <t>040: Contribute funds</t>
        </is>
      </c>
      <c r="C1" s="1" t="inlineStr">
        <is>
          <t>040: Contribute to code</t>
        </is>
      </c>
      <c r="D1" s="1" t="inlineStr">
        <is>
          <t>040: Contribute to documentation</t>
        </is>
      </c>
      <c r="E1" s="1" t="inlineStr">
        <is>
          <t>040: Contribute to education or training</t>
        </is>
      </c>
      <c r="F1" s="1" t="inlineStr">
        <is>
          <t>040: Contribute to governance</t>
        </is>
      </c>
      <c r="G1" s="1" t="inlineStr">
        <is>
          <t>040: Contribute to peer reviews</t>
        </is>
      </c>
      <c r="H1" s="1" t="inlineStr">
        <is>
          <t>040: Contribute to user research or user testing</t>
        </is>
      </c>
      <c r="I1" s="1" t="inlineStr">
        <is>
          <t>040: Contribute to working groups or interest groups</t>
        </is>
      </c>
      <c r="J1" s="1" t="inlineStr">
        <is>
          <t>940 text</t>
        </is>
      </c>
      <c r="K1" s="1" t="inlineStr">
        <is>
          <t>Other selected and described</t>
        </is>
      </c>
      <c r="L1" s="1" t="inlineStr">
        <is>
          <t>Route count / 9</t>
        </is>
      </c>
      <c r="M1" s="1" t="inlineStr">
        <is>
          <t>Coded routes</t>
        </is>
      </c>
    </row>
    <row r="2">
      <c r="A2" s="2" t="inlineStr">
        <is>
          <t>2i2c</t>
        </is>
      </c>
      <c r="B2" s="2" t="n">
        <v>0</v>
      </c>
      <c r="C2" s="2" t="n">
        <v>0</v>
      </c>
      <c r="D2" s="2" t="n">
        <v>0</v>
      </c>
      <c r="E2" s="2" t="n">
        <v>0</v>
      </c>
      <c r="F2" s="2" t="n">
        <v>0</v>
      </c>
      <c r="G2" s="2" t="n">
        <v>0</v>
      </c>
      <c r="H2" s="2" t="n">
        <v>0</v>
      </c>
      <c r="I2" s="2" t="n">
        <v>0</v>
      </c>
      <c r="J2" s="2" t="n"/>
      <c r="K2" s="2" t="n">
        <v>0</v>
      </c>
      <c r="L2" s="2" t="n">
        <v>0</v>
      </c>
      <c r="M2" s="2" t="inlineStr"/>
    </row>
    <row r="3">
      <c r="A3" s="2" t="inlineStr">
        <is>
          <t>Academic Preservation Trust (APTrust)</t>
        </is>
      </c>
      <c r="B3" s="2" t="n">
        <v>1</v>
      </c>
      <c r="C3" s="2" t="n">
        <v>1</v>
      </c>
      <c r="D3" s="2" t="n">
        <v>1</v>
      </c>
      <c r="E3" s="2" t="n">
        <v>1</v>
      </c>
      <c r="F3" s="2" t="n">
        <v>1</v>
      </c>
      <c r="G3" s="2" t="n">
        <v>0</v>
      </c>
      <c r="H3" s="2" t="n">
        <v>1</v>
      </c>
      <c r="I3" s="2" t="n">
        <v>1</v>
      </c>
      <c r="J3" s="2" t="n"/>
      <c r="K3" s="2" t="n">
        <v>0</v>
      </c>
      <c r="L3" s="2" t="n">
        <v>7</v>
      </c>
      <c r="M3" s="2" t="inlineStr">
        <is>
          <t>Contribute funds; Contribute to code; Contribute to documentation; Contribute to education or training; Contribute to governance; Contribute to user research or user testing; Contribute to working groups or interest groups</t>
        </is>
      </c>
    </row>
    <row r="4">
      <c r="A4" s="2" t="inlineStr">
        <is>
          <t>AfricArXiv</t>
        </is>
      </c>
      <c r="B4" s="2" t="n">
        <v>0</v>
      </c>
      <c r="C4" s="2" t="n">
        <v>0</v>
      </c>
      <c r="D4" s="2" t="n">
        <v>0</v>
      </c>
      <c r="E4" s="2" t="n">
        <v>0</v>
      </c>
      <c r="F4" s="2" t="n">
        <v>0</v>
      </c>
      <c r="G4" s="2" t="n">
        <v>0</v>
      </c>
      <c r="H4" s="2" t="n">
        <v>0</v>
      </c>
      <c r="I4" s="2" t="n">
        <v>0</v>
      </c>
      <c r="J4" s="2" t="n"/>
      <c r="K4" s="2" t="n">
        <v>0</v>
      </c>
      <c r="L4" s="2" t="n">
        <v>0</v>
      </c>
      <c r="M4" s="2" t="inlineStr"/>
    </row>
    <row r="5">
      <c r="A5" s="2" t="inlineStr">
        <is>
          <t>Arches Heritage Data Management Platform</t>
        </is>
      </c>
      <c r="B5" s="2" t="n">
        <v>0</v>
      </c>
      <c r="C5" s="2" t="n">
        <v>0</v>
      </c>
      <c r="D5" s="2" t="n">
        <v>0</v>
      </c>
      <c r="E5" s="2" t="n">
        <v>0</v>
      </c>
      <c r="F5" s="2" t="n">
        <v>0</v>
      </c>
      <c r="G5" s="2" t="n">
        <v>0</v>
      </c>
      <c r="H5" s="2" t="n">
        <v>0</v>
      </c>
      <c r="I5" s="2" t="n">
        <v>0</v>
      </c>
      <c r="J5" s="2" t="n"/>
      <c r="K5" s="2" t="n">
        <v>0</v>
      </c>
      <c r="L5" s="2" t="n">
        <v>0</v>
      </c>
      <c r="M5" s="2" t="inlineStr"/>
    </row>
    <row r="6">
      <c r="A6" s="2" t="inlineStr">
        <is>
          <t>Archipelago Commons</t>
        </is>
      </c>
      <c r="B6" s="2" t="n">
        <v>0</v>
      </c>
      <c r="C6" s="2" t="n">
        <v>1</v>
      </c>
      <c r="D6" s="2" t="n">
        <v>1</v>
      </c>
      <c r="E6" s="2" t="n">
        <v>0</v>
      </c>
      <c r="F6" s="2" t="n">
        <v>0</v>
      </c>
      <c r="G6" s="2" t="n">
        <v>0</v>
      </c>
      <c r="H6" s="2" t="n">
        <v>0</v>
      </c>
      <c r="I6" s="2" t="n">
        <v>1</v>
      </c>
      <c r="J6" s="2" t="n"/>
      <c r="K6" s="2" t="n">
        <v>0</v>
      </c>
      <c r="L6" s="2" t="n">
        <v>3</v>
      </c>
      <c r="M6" s="2" t="inlineStr">
        <is>
          <t>Contribute to code; Contribute to documentation; Contribute to working groups or interest groups</t>
        </is>
      </c>
    </row>
    <row r="7">
      <c r="A7" s="2" t="inlineStr">
        <is>
          <t>Archival Resource Key</t>
        </is>
      </c>
      <c r="B7" s="2" t="n">
        <v>1</v>
      </c>
      <c r="C7" s="2" t="n">
        <v>1</v>
      </c>
      <c r="D7" s="2" t="n">
        <v>1</v>
      </c>
      <c r="E7" s="2" t="n">
        <v>1</v>
      </c>
      <c r="F7" s="2" t="n">
        <v>0</v>
      </c>
      <c r="G7" s="2" t="n">
        <v>0</v>
      </c>
      <c r="H7" s="2" t="n">
        <v>0</v>
      </c>
      <c r="I7" s="2" t="n">
        <v>1</v>
      </c>
      <c r="J7" s="2" t="n"/>
      <c r="K7" s="2" t="n">
        <v>0</v>
      </c>
      <c r="L7" s="2" t="n">
        <v>5</v>
      </c>
      <c r="M7" s="2" t="inlineStr">
        <is>
          <t>Contribute funds; Contribute to code; Contribute to documentation; Contribute to education or training; Contribute to working groups or interest groups</t>
        </is>
      </c>
    </row>
    <row r="8">
      <c r="A8" s="2" t="inlineStr">
        <is>
          <t>Archivematica</t>
        </is>
      </c>
      <c r="B8" s="2" t="n">
        <v>0</v>
      </c>
      <c r="C8" s="2" t="n">
        <v>0</v>
      </c>
      <c r="D8" s="2" t="n">
        <v>0</v>
      </c>
      <c r="E8" s="2" t="n">
        <v>0</v>
      </c>
      <c r="F8" s="2" t="n">
        <v>0</v>
      </c>
      <c r="G8" s="2" t="n">
        <v>0</v>
      </c>
      <c r="H8" s="2" t="n">
        <v>0</v>
      </c>
      <c r="I8" s="2" t="n">
        <v>0</v>
      </c>
      <c r="J8" s="2" t="n"/>
      <c r="K8" s="2" t="n">
        <v>0</v>
      </c>
      <c r="L8" s="2" t="n">
        <v>0</v>
      </c>
      <c r="M8" s="2" t="inlineStr"/>
    </row>
    <row r="9">
      <c r="A9" s="2" t="inlineStr">
        <is>
          <t>ArchivesSpace</t>
        </is>
      </c>
      <c r="B9" s="2" t="n">
        <v>0</v>
      </c>
      <c r="C9" s="2" t="n">
        <v>0</v>
      </c>
      <c r="D9" s="2" t="n">
        <v>0</v>
      </c>
      <c r="E9" s="2" t="n">
        <v>0</v>
      </c>
      <c r="F9" s="2" t="n">
        <v>0</v>
      </c>
      <c r="G9" s="2" t="n">
        <v>0</v>
      </c>
      <c r="H9" s="2" t="n">
        <v>0</v>
      </c>
      <c r="I9" s="2" t="n">
        <v>0</v>
      </c>
      <c r="J9" s="2" t="n"/>
      <c r="K9" s="2" t="n">
        <v>0</v>
      </c>
      <c r="L9" s="2" t="n">
        <v>0</v>
      </c>
      <c r="M9" s="2" t="inlineStr"/>
    </row>
    <row r="10">
      <c r="A10" s="2" t="inlineStr">
        <is>
          <t>ARGOS</t>
        </is>
      </c>
      <c r="B10" s="2" t="n">
        <v>0</v>
      </c>
      <c r="C10" s="2" t="n">
        <v>0</v>
      </c>
      <c r="D10" s="2" t="n">
        <v>0</v>
      </c>
      <c r="E10" s="2" t="n">
        <v>0</v>
      </c>
      <c r="F10" s="2" t="n">
        <v>0</v>
      </c>
      <c r="G10" s="2" t="n">
        <v>0</v>
      </c>
      <c r="H10" s="2" t="n">
        <v>0</v>
      </c>
      <c r="I10" s="2" t="n">
        <v>0</v>
      </c>
      <c r="J10" s="2" t="n"/>
      <c r="K10" s="2" t="n">
        <v>0</v>
      </c>
      <c r="L10" s="2" t="n">
        <v>0</v>
      </c>
      <c r="M10" s="2" t="inlineStr"/>
    </row>
    <row r="11">
      <c r="A11" s="2" t="inlineStr">
        <is>
          <t>arXiv</t>
        </is>
      </c>
      <c r="B11" s="2" t="n">
        <v>1</v>
      </c>
      <c r="C11" s="2" t="n">
        <v>1</v>
      </c>
      <c r="D11" s="2" t="n">
        <v>0</v>
      </c>
      <c r="E11" s="2" t="n">
        <v>0</v>
      </c>
      <c r="F11" s="2" t="n">
        <v>0</v>
      </c>
      <c r="G11" s="2" t="n">
        <v>0</v>
      </c>
      <c r="H11" s="2" t="n">
        <v>0</v>
      </c>
      <c r="I11" s="2" t="n">
        <v>1</v>
      </c>
      <c r="J11" s="2" t="n"/>
      <c r="K11" s="2" t="n">
        <v>0</v>
      </c>
      <c r="L11" s="2" t="n">
        <v>3</v>
      </c>
      <c r="M11" s="2" t="inlineStr">
        <is>
          <t>Contribute funds; Contribute to code; Contribute to working groups or interest groups</t>
        </is>
      </c>
    </row>
    <row r="12">
      <c r="A12" s="2" t="inlineStr">
        <is>
          <t>AtoM</t>
        </is>
      </c>
      <c r="B12" s="2" t="n">
        <v>0</v>
      </c>
      <c r="C12" s="2" t="n">
        <v>0</v>
      </c>
      <c r="D12" s="2" t="n">
        <v>0</v>
      </c>
      <c r="E12" s="2" t="n">
        <v>0</v>
      </c>
      <c r="F12" s="2" t="n">
        <v>0</v>
      </c>
      <c r="G12" s="2" t="n">
        <v>0</v>
      </c>
      <c r="H12" s="2" t="n">
        <v>0</v>
      </c>
      <c r="I12" s="2" t="n">
        <v>0</v>
      </c>
      <c r="J12" s="2" t="n"/>
      <c r="K12" s="2" t="n">
        <v>0</v>
      </c>
      <c r="L12" s="2" t="n">
        <v>0</v>
      </c>
      <c r="M12" s="2" t="inlineStr"/>
    </row>
    <row r="13">
      <c r="A13" s="2" t="inlineStr">
        <is>
          <t>Avalon Media System</t>
        </is>
      </c>
      <c r="B13" s="2" t="n">
        <v>1</v>
      </c>
      <c r="C13" s="2" t="n">
        <v>1</v>
      </c>
      <c r="D13" s="2" t="n">
        <v>1</v>
      </c>
      <c r="E13" s="2" t="n">
        <v>1</v>
      </c>
      <c r="F13" s="2" t="n">
        <v>1</v>
      </c>
      <c r="G13" s="2" t="n">
        <v>0</v>
      </c>
      <c r="H13" s="2" t="n">
        <v>1</v>
      </c>
      <c r="I13" s="2" t="n">
        <v>0</v>
      </c>
      <c r="J13" s="2" t="n"/>
      <c r="K13" s="2" t="n">
        <v>0</v>
      </c>
      <c r="L13" s="2" t="n">
        <v>6</v>
      </c>
      <c r="M13" s="2" t="inlineStr">
        <is>
          <t>Contribute funds; Contribute to code; Contribute to documentation; Contribute to education or training; Contribute to governance; Contribute to user research or user testing</t>
        </is>
      </c>
    </row>
    <row r="14">
      <c r="A14" s="2" t="inlineStr">
        <is>
          <t>Biodiversity Heritage Library</t>
        </is>
      </c>
      <c r="B14" s="2" t="n">
        <v>1</v>
      </c>
      <c r="C14" s="2" t="n">
        <v>0</v>
      </c>
      <c r="D14" s="2" t="n">
        <v>0</v>
      </c>
      <c r="E14" s="2" t="n">
        <v>0</v>
      </c>
      <c r="F14" s="2" t="n">
        <v>0</v>
      </c>
      <c r="G14" s="2" t="n">
        <v>0</v>
      </c>
      <c r="H14" s="2" t="n">
        <v>0</v>
      </c>
      <c r="I14" s="2" t="n">
        <v>0</v>
      </c>
      <c r="J14" s="2" t="n"/>
      <c r="K14" s="2" t="n">
        <v>0</v>
      </c>
      <c r="L14" s="2" t="n">
        <v>1</v>
      </c>
      <c r="M14" s="2" t="inlineStr">
        <is>
          <t>Contribute funds</t>
        </is>
      </c>
    </row>
    <row r="15">
      <c r="A15" s="2" t="inlineStr">
        <is>
          <t>bioRxiv</t>
        </is>
      </c>
      <c r="B15" s="2" t="n">
        <v>0</v>
      </c>
      <c r="C15" s="2" t="n">
        <v>0</v>
      </c>
      <c r="D15" s="2" t="n">
        <v>0</v>
      </c>
      <c r="E15" s="2" t="n">
        <v>0</v>
      </c>
      <c r="F15" s="2" t="n">
        <v>0</v>
      </c>
      <c r="G15" s="2" t="n">
        <v>0</v>
      </c>
      <c r="H15" s="2" t="n">
        <v>0</v>
      </c>
      <c r="I15" s="2" t="n">
        <v>0</v>
      </c>
      <c r="J15" s="2" t="n"/>
      <c r="K15" s="2" t="n">
        <v>0</v>
      </c>
      <c r="L15" s="2" t="n">
        <v>0</v>
      </c>
      <c r="M15" s="2" t="inlineStr"/>
    </row>
    <row r="16">
      <c r="A16" s="2" t="inlineStr">
        <is>
          <t>BitCurator Environment</t>
        </is>
      </c>
      <c r="B16" s="2" t="n">
        <v>0</v>
      </c>
      <c r="C16" s="2" t="n">
        <v>1</v>
      </c>
      <c r="D16" s="2" t="n">
        <v>1</v>
      </c>
      <c r="E16" s="2" t="n">
        <v>1</v>
      </c>
      <c r="F16" s="2" t="n">
        <v>1</v>
      </c>
      <c r="G16" s="2" t="n">
        <v>0</v>
      </c>
      <c r="H16" s="2" t="n">
        <v>0</v>
      </c>
      <c r="I16" s="2" t="n">
        <v>1</v>
      </c>
      <c r="J16" s="2" t="n"/>
      <c r="K16" s="2" t="n">
        <v>0</v>
      </c>
      <c r="L16" s="2" t="n">
        <v>5</v>
      </c>
      <c r="M16" s="2" t="inlineStr">
        <is>
          <t>Contribute to code; Contribute to documentation; Contribute to education or training; Contribute to governance; Contribute to working groups or interest groups</t>
        </is>
      </c>
    </row>
    <row r="17">
      <c r="A17" s="2" t="inlineStr">
        <is>
          <t>Blacklight</t>
        </is>
      </c>
      <c r="B17" s="2" t="n">
        <v>1</v>
      </c>
      <c r="C17" s="2" t="n">
        <v>1</v>
      </c>
      <c r="D17" s="2" t="n">
        <v>1</v>
      </c>
      <c r="E17" s="2" t="n">
        <v>1</v>
      </c>
      <c r="F17" s="2" t="n">
        <v>1</v>
      </c>
      <c r="G17" s="2" t="n">
        <v>0</v>
      </c>
      <c r="H17" s="2" t="n">
        <v>1</v>
      </c>
      <c r="I17" s="2" t="n">
        <v>1</v>
      </c>
      <c r="J17" s="2" t="n"/>
      <c r="K17" s="2" t="n">
        <v>0</v>
      </c>
      <c r="L17" s="2" t="n">
        <v>7</v>
      </c>
      <c r="M17" s="2" t="inlineStr">
        <is>
          <t>Contribute funds; Contribute to code; Contribute to documentation; Contribute to education or training; Contribute to governance; Contribute to user research or user testing; Contribute to working groups or interest groups</t>
        </is>
      </c>
    </row>
    <row r="18">
      <c r="A18" s="2" t="inlineStr">
        <is>
          <t>BrCRIS</t>
        </is>
      </c>
      <c r="B18" s="2" t="n">
        <v>0</v>
      </c>
      <c r="C18" s="2" t="n">
        <v>0</v>
      </c>
      <c r="D18" s="2" t="n">
        <v>0</v>
      </c>
      <c r="E18" s="2" t="n">
        <v>0</v>
      </c>
      <c r="F18" s="2" t="n">
        <v>0</v>
      </c>
      <c r="G18" s="2" t="n">
        <v>0</v>
      </c>
      <c r="H18" s="2" t="n">
        <v>0</v>
      </c>
      <c r="I18" s="2" t="n">
        <v>0</v>
      </c>
      <c r="J18" s="2" t="n"/>
      <c r="K18" s="2" t="n">
        <v>0</v>
      </c>
      <c r="L18" s="2" t="n">
        <v>0</v>
      </c>
      <c r="M18" s="2" t="inlineStr"/>
    </row>
    <row r="19">
      <c r="A19" s="2" t="inlineStr">
        <is>
          <t>Browsertrix</t>
        </is>
      </c>
      <c r="B19" s="2" t="n">
        <v>0</v>
      </c>
      <c r="C19" s="2" t="n">
        <v>1</v>
      </c>
      <c r="D19" s="2" t="n">
        <v>1</v>
      </c>
      <c r="E19" s="2" t="n">
        <v>0</v>
      </c>
      <c r="F19" s="2" t="n">
        <v>0</v>
      </c>
      <c r="G19" s="2" t="n">
        <v>0</v>
      </c>
      <c r="H19" s="2" t="n">
        <v>0</v>
      </c>
      <c r="I19" s="2" t="n">
        <v>0</v>
      </c>
      <c r="J19" s="2" t="n"/>
      <c r="K19" s="2" t="n">
        <v>0</v>
      </c>
      <c r="L19" s="2" t="n">
        <v>2</v>
      </c>
      <c r="M19" s="2" t="inlineStr">
        <is>
          <t>Contribute to code; Contribute to documentation</t>
        </is>
      </c>
    </row>
    <row r="20">
      <c r="A20" s="2" t="inlineStr">
        <is>
          <t>CLOCKSS</t>
        </is>
      </c>
      <c r="B20" s="2" t="n">
        <v>0</v>
      </c>
      <c r="C20" s="2" t="n">
        <v>0</v>
      </c>
      <c r="D20" s="2" t="n">
        <v>0</v>
      </c>
      <c r="E20" s="2" t="n">
        <v>0</v>
      </c>
      <c r="F20" s="2" t="n">
        <v>0</v>
      </c>
      <c r="G20" s="2" t="n">
        <v>0</v>
      </c>
      <c r="H20" s="2" t="n">
        <v>0</v>
      </c>
      <c r="I20" s="2" t="n">
        <v>0</v>
      </c>
      <c r="J20" s="2" t="n"/>
      <c r="K20" s="2" t="n">
        <v>0</v>
      </c>
      <c r="L20" s="2" t="n">
        <v>0</v>
      </c>
      <c r="M20" s="2" t="inlineStr"/>
    </row>
    <row r="21">
      <c r="A21" s="2" t="inlineStr">
        <is>
          <t>COAR International Repository Directory (IRD)</t>
        </is>
      </c>
      <c r="B21" s="2" t="n">
        <v>0</v>
      </c>
      <c r="C21" s="2" t="n">
        <v>0</v>
      </c>
      <c r="D21" s="2" t="n">
        <v>1</v>
      </c>
      <c r="E21" s="2" t="n">
        <v>0</v>
      </c>
      <c r="F21" s="2" t="n">
        <v>0</v>
      </c>
      <c r="G21" s="2" t="n">
        <v>0</v>
      </c>
      <c r="H21" s="2" t="n">
        <v>1</v>
      </c>
      <c r="I21" s="2" t="n">
        <v>0</v>
      </c>
      <c r="J21" s="2" t="n"/>
      <c r="K21" s="2" t="n">
        <v>0</v>
      </c>
      <c r="L21" s="2" t="n">
        <v>2</v>
      </c>
      <c r="M21" s="2" t="inlineStr">
        <is>
          <t>Contribute to documentation; Contribute to user research or user testing</t>
        </is>
      </c>
    </row>
    <row r="22">
      <c r="A22" s="2" t="inlineStr">
        <is>
          <t>COAR Notify</t>
        </is>
      </c>
      <c r="B22" s="2" t="n">
        <v>0</v>
      </c>
      <c r="C22" s="2" t="n">
        <v>1</v>
      </c>
      <c r="D22" s="2" t="n">
        <v>1</v>
      </c>
      <c r="E22" s="2" t="n">
        <v>1</v>
      </c>
      <c r="F22" s="2" t="n">
        <v>0</v>
      </c>
      <c r="G22" s="2" t="n">
        <v>0</v>
      </c>
      <c r="H22" s="2" t="n">
        <v>1</v>
      </c>
      <c r="I22" s="2" t="n">
        <v>1</v>
      </c>
      <c r="J22" s="2" t="n"/>
      <c r="K22" s="2" t="n">
        <v>0</v>
      </c>
      <c r="L22" s="2" t="n">
        <v>5</v>
      </c>
      <c r="M22" s="2" t="inlineStr">
        <is>
          <t>Contribute to code; Contribute to documentation; Contribute to education or training; Contribute to user research or user testing; Contribute to working groups or interest groups</t>
        </is>
      </c>
    </row>
    <row r="23">
      <c r="A23" s="2" t="inlineStr">
        <is>
          <t>CollectiveAccess</t>
        </is>
      </c>
      <c r="B23" s="2" t="n">
        <v>0</v>
      </c>
      <c r="C23" s="2" t="n">
        <v>0</v>
      </c>
      <c r="D23" s="2" t="n">
        <v>0</v>
      </c>
      <c r="E23" s="2" t="n">
        <v>0</v>
      </c>
      <c r="F23" s="2" t="n">
        <v>0</v>
      </c>
      <c r="G23" s="2" t="n">
        <v>0</v>
      </c>
      <c r="H23" s="2" t="n">
        <v>0</v>
      </c>
      <c r="I23" s="2" t="n">
        <v>0</v>
      </c>
      <c r="J23" s="2" t="n"/>
      <c r="K23" s="2" t="n">
        <v>0</v>
      </c>
      <c r="L23" s="2" t="n">
        <v>0</v>
      </c>
      <c r="M23" s="2" t="inlineStr"/>
    </row>
    <row r="24">
      <c r="A24" s="2" t="inlineStr">
        <is>
          <t>CORE</t>
        </is>
      </c>
      <c r="B24" s="2" t="n">
        <v>1</v>
      </c>
      <c r="C24" s="2" t="n">
        <v>1</v>
      </c>
      <c r="D24" s="2" t="n">
        <v>1</v>
      </c>
      <c r="E24" s="2" t="n">
        <v>0</v>
      </c>
      <c r="F24" s="2" t="n">
        <v>0</v>
      </c>
      <c r="G24" s="2" t="n">
        <v>0</v>
      </c>
      <c r="H24" s="2" t="n">
        <v>0</v>
      </c>
      <c r="I24" s="2" t="n">
        <v>0</v>
      </c>
      <c r="J24" s="2" t="n"/>
      <c r="K24" s="2" t="n">
        <v>0</v>
      </c>
      <c r="L24" s="2" t="n">
        <v>3</v>
      </c>
      <c r="M24" s="2" t="inlineStr">
        <is>
          <t>Contribute funds; Contribute to code; Contribute to documentation</t>
        </is>
      </c>
    </row>
    <row r="25">
      <c r="A25" s="2" t="inlineStr">
        <is>
          <t>COUNTER Code of Practice</t>
        </is>
      </c>
      <c r="B25" s="2" t="n">
        <v>1</v>
      </c>
      <c r="C25" s="2" t="n">
        <v>0</v>
      </c>
      <c r="D25" s="2" t="n">
        <v>1</v>
      </c>
      <c r="E25" s="2" t="n">
        <v>1</v>
      </c>
      <c r="F25" s="2" t="n">
        <v>1</v>
      </c>
      <c r="G25" s="2" t="n">
        <v>0</v>
      </c>
      <c r="H25" s="2" t="n">
        <v>0</v>
      </c>
      <c r="I25" s="2" t="n">
        <v>1</v>
      </c>
      <c r="J25" s="2" t="n"/>
      <c r="K25" s="2" t="n">
        <v>0</v>
      </c>
      <c r="L25" s="2" t="n">
        <v>5</v>
      </c>
      <c r="M25" s="2" t="inlineStr">
        <is>
          <t>Contribute funds; Contribute to documentation; Contribute to education or training; Contribute to governance; Contribute to working groups or interest groups</t>
        </is>
      </c>
    </row>
    <row r="26">
      <c r="A26" s="2" t="inlineStr">
        <is>
          <t>Creative Commons Licenses</t>
        </is>
      </c>
      <c r="B26" s="2" t="n">
        <v>1</v>
      </c>
      <c r="C26" s="2" t="n">
        <v>1</v>
      </c>
      <c r="D26" s="2" t="n">
        <v>0</v>
      </c>
      <c r="E26" s="2" t="n">
        <v>0</v>
      </c>
      <c r="F26" s="2" t="n">
        <v>0</v>
      </c>
      <c r="G26" s="2" t="n">
        <v>0</v>
      </c>
      <c r="H26" s="2" t="n">
        <v>0</v>
      </c>
      <c r="I26" s="2" t="n">
        <v>1</v>
      </c>
      <c r="J26" s="2" t="n"/>
      <c r="K26" s="2" t="n">
        <v>0</v>
      </c>
      <c r="L26" s="2" t="n">
        <v>3</v>
      </c>
      <c r="M26" s="2" t="inlineStr">
        <is>
          <t>Contribute funds; Contribute to code; Contribute to working groups or interest groups</t>
        </is>
      </c>
    </row>
    <row r="27">
      <c r="A27" s="2" t="inlineStr">
        <is>
          <t>Crossref Metadata Retrieval</t>
        </is>
      </c>
      <c r="B27" s="2" t="n">
        <v>1</v>
      </c>
      <c r="C27" s="2" t="n">
        <v>1</v>
      </c>
      <c r="D27" s="2" t="n">
        <v>1</v>
      </c>
      <c r="E27" s="2" t="n">
        <v>1</v>
      </c>
      <c r="F27" s="2" t="n">
        <v>0</v>
      </c>
      <c r="G27" s="2" t="n">
        <v>0</v>
      </c>
      <c r="H27" s="2" t="n">
        <v>0</v>
      </c>
      <c r="I27" s="2" t="n">
        <v>1</v>
      </c>
      <c r="J27" s="2" t="n"/>
      <c r="K27" s="2" t="n">
        <v>0</v>
      </c>
      <c r="L27" s="2" t="n">
        <v>5</v>
      </c>
      <c r="M27" s="2" t="inlineStr">
        <is>
          <t>Contribute funds; Contribute to code; Contribute to documentation; Contribute to education or training; Contribute to working groups or interest groups</t>
        </is>
      </c>
    </row>
    <row r="28">
      <c r="A28" s="2" t="inlineStr">
        <is>
          <t>D4Science Infrastructure</t>
        </is>
      </c>
      <c r="B28" s="2" t="n">
        <v>0</v>
      </c>
      <c r="C28" s="2" t="n">
        <v>0</v>
      </c>
      <c r="D28" s="2" t="n">
        <v>0</v>
      </c>
      <c r="E28" s="2" t="n">
        <v>0</v>
      </c>
      <c r="F28" s="2" t="n">
        <v>0</v>
      </c>
      <c r="G28" s="2" t="n">
        <v>0</v>
      </c>
      <c r="H28" s="2" t="n">
        <v>0</v>
      </c>
      <c r="I28" s="2" t="n">
        <v>0</v>
      </c>
      <c r="J28" s="2" t="n"/>
      <c r="K28" s="2" t="n">
        <v>0</v>
      </c>
      <c r="L28" s="2" t="n">
        <v>0</v>
      </c>
      <c r="M28" s="2" t="inlineStr"/>
    </row>
    <row r="29">
      <c r="A29" s="2" t="inlineStr">
        <is>
          <t>DART (Digital Archivist's Resource Tool)</t>
        </is>
      </c>
      <c r="B29" s="2" t="n">
        <v>1</v>
      </c>
      <c r="C29" s="2" t="n">
        <v>1</v>
      </c>
      <c r="D29" s="2" t="n">
        <v>1</v>
      </c>
      <c r="E29" s="2" t="n">
        <v>1</v>
      </c>
      <c r="F29" s="2" t="n">
        <v>1</v>
      </c>
      <c r="G29" s="2" t="n">
        <v>0</v>
      </c>
      <c r="H29" s="2" t="n">
        <v>1</v>
      </c>
      <c r="I29" s="2" t="n">
        <v>1</v>
      </c>
      <c r="J29" s="2" t="n"/>
      <c r="K29" s="2" t="n">
        <v>0</v>
      </c>
      <c r="L29" s="2" t="n">
        <v>7</v>
      </c>
      <c r="M29" s="2" t="inlineStr">
        <is>
          <t>Contribute funds; Contribute to code; Contribute to documentation; Contribute to education or training; Contribute to governance; Contribute to user research or user testing; Contribute to working groups or interest groups</t>
        </is>
      </c>
    </row>
    <row r="30">
      <c r="A30" s="2" t="inlineStr">
        <is>
          <t>Database Information System</t>
        </is>
      </c>
      <c r="B30" s="2" t="n">
        <v>0</v>
      </c>
      <c r="C30" s="2" t="n">
        <v>0</v>
      </c>
      <c r="D30" s="2" t="n">
        <v>0</v>
      </c>
      <c r="E30" s="2" t="n">
        <v>0</v>
      </c>
      <c r="F30" s="2" t="n">
        <v>0</v>
      </c>
      <c r="G30" s="2" t="n">
        <v>0</v>
      </c>
      <c r="H30" s="2" t="n">
        <v>0</v>
      </c>
      <c r="I30" s="2" t="n">
        <v>1</v>
      </c>
      <c r="J30" s="2" t="n"/>
      <c r="K30" s="2" t="n">
        <v>0</v>
      </c>
      <c r="L30" s="2" t="n">
        <v>1</v>
      </c>
      <c r="M30" s="2" t="inlineStr">
        <is>
          <t>Contribute to working groups or interest groups</t>
        </is>
      </c>
    </row>
    <row r="31">
      <c r="A31" s="2" t="inlineStr">
        <is>
          <t>Data Citation Corpus</t>
        </is>
      </c>
      <c r="B31" s="2" t="n">
        <v>0</v>
      </c>
      <c r="C31" s="2" t="n">
        <v>0</v>
      </c>
      <c r="D31" s="2" t="n">
        <v>0</v>
      </c>
      <c r="E31" s="2" t="n">
        <v>0</v>
      </c>
      <c r="F31" s="2" t="n">
        <v>0</v>
      </c>
      <c r="G31" s="2" t="n">
        <v>0</v>
      </c>
      <c r="H31" s="2" t="n">
        <v>0</v>
      </c>
      <c r="I31" s="2" t="n">
        <v>0</v>
      </c>
      <c r="J31" s="2" t="inlineStr">
        <is>
          <t>Groups can contribute citations to the Corpus</t>
        </is>
      </c>
      <c r="K31" s="2" t="n">
        <v>1</v>
      </c>
      <c r="L31" s="2" t="n">
        <v>1</v>
      </c>
      <c r="M31" s="2" t="inlineStr">
        <is>
          <t>Other</t>
        </is>
      </c>
    </row>
    <row r="32">
      <c r="A32" s="2" t="inlineStr">
        <is>
          <t>DataCite</t>
        </is>
      </c>
      <c r="B32" s="2" t="n">
        <v>1</v>
      </c>
      <c r="C32" s="2" t="n">
        <v>0</v>
      </c>
      <c r="D32" s="2" t="n">
        <v>1</v>
      </c>
      <c r="E32" s="2" t="n">
        <v>0</v>
      </c>
      <c r="F32" s="2" t="n">
        <v>0</v>
      </c>
      <c r="G32" s="2" t="n">
        <v>0</v>
      </c>
      <c r="H32" s="2" t="n">
        <v>0</v>
      </c>
      <c r="I32" s="2" t="n">
        <v>1</v>
      </c>
      <c r="J32" s="2" t="n"/>
      <c r="K32" s="2" t="n">
        <v>0</v>
      </c>
      <c r="L32" s="2" t="n">
        <v>3</v>
      </c>
      <c r="M32" s="2" t="inlineStr">
        <is>
          <t>Contribute funds; Contribute to documentation; Contribute to working groups or interest groups</t>
        </is>
      </c>
    </row>
    <row r="33">
      <c r="A33" s="2" t="inlineStr">
        <is>
          <t>Data Stewardship Wizard</t>
        </is>
      </c>
      <c r="B33" s="2" t="n">
        <v>0</v>
      </c>
      <c r="C33" s="2" t="n">
        <v>1</v>
      </c>
      <c r="D33" s="2" t="n">
        <v>1</v>
      </c>
      <c r="E33" s="2" t="n">
        <v>1</v>
      </c>
      <c r="F33" s="2" t="n">
        <v>1</v>
      </c>
      <c r="G33" s="2" t="n">
        <v>0</v>
      </c>
      <c r="H33" s="2" t="n">
        <v>1</v>
      </c>
      <c r="I33" s="2" t="n">
        <v>0</v>
      </c>
      <c r="J33" s="2" t="n"/>
      <c r="K33" s="2" t="n">
        <v>0</v>
      </c>
      <c r="L33" s="2" t="n">
        <v>5</v>
      </c>
      <c r="M33" s="2" t="inlineStr">
        <is>
          <t>Contribute to code; Contribute to documentation; Contribute to education or training; Contribute to governance; Contribute to user research or user testing</t>
        </is>
      </c>
    </row>
    <row r="34">
      <c r="A34" s="2" t="inlineStr">
        <is>
          <t>Dataverse</t>
        </is>
      </c>
      <c r="B34" s="2" t="n">
        <v>0</v>
      </c>
      <c r="C34" s="2" t="n">
        <v>1</v>
      </c>
      <c r="D34" s="2" t="n">
        <v>1</v>
      </c>
      <c r="E34" s="2" t="n">
        <v>1</v>
      </c>
      <c r="F34" s="2" t="n">
        <v>0</v>
      </c>
      <c r="G34" s="2" t="n">
        <v>0</v>
      </c>
      <c r="H34" s="2" t="n">
        <v>0</v>
      </c>
      <c r="I34" s="2" t="n">
        <v>1</v>
      </c>
      <c r="J34" s="2" t="n"/>
      <c r="K34" s="2" t="n">
        <v>0</v>
      </c>
      <c r="L34" s="2" t="n">
        <v>4</v>
      </c>
      <c r="M34" s="2" t="inlineStr">
        <is>
          <t>Contribute to code; Contribute to documentation; Contribute to education or training; Contribute to working groups or interest groups</t>
        </is>
      </c>
    </row>
    <row r="35">
      <c r="A35" s="2" t="inlineStr">
        <is>
          <t>DLCM Backend</t>
        </is>
      </c>
      <c r="B35" s="2" t="n">
        <v>0</v>
      </c>
      <c r="C35" s="2" t="n">
        <v>0</v>
      </c>
      <c r="D35" s="2" t="n">
        <v>0</v>
      </c>
      <c r="E35" s="2" t="n">
        <v>0</v>
      </c>
      <c r="F35" s="2" t="n">
        <v>0</v>
      </c>
      <c r="G35" s="2" t="n">
        <v>0</v>
      </c>
      <c r="H35" s="2" t="n">
        <v>0</v>
      </c>
      <c r="I35" s="2" t="n">
        <v>0</v>
      </c>
      <c r="J35" s="2" t="n"/>
      <c r="K35" s="2" t="n">
        <v>0</v>
      </c>
      <c r="L35" s="2" t="n">
        <v>0</v>
      </c>
      <c r="M35" s="2" t="inlineStr"/>
    </row>
    <row r="36">
      <c r="A36" s="2" t="inlineStr">
        <is>
          <t>DLCM Portal</t>
        </is>
      </c>
      <c r="B36" s="2" t="n">
        <v>0</v>
      </c>
      <c r="C36" s="2" t="n">
        <v>0</v>
      </c>
      <c r="D36" s="2" t="n">
        <v>0</v>
      </c>
      <c r="E36" s="2" t="n">
        <v>0</v>
      </c>
      <c r="F36" s="2" t="n">
        <v>0</v>
      </c>
      <c r="G36" s="2" t="n">
        <v>0</v>
      </c>
      <c r="H36" s="2" t="n">
        <v>0</v>
      </c>
      <c r="I36" s="2" t="n">
        <v>0</v>
      </c>
      <c r="J36" s="2" t="n"/>
      <c r="K36" s="2" t="n">
        <v>0</v>
      </c>
      <c r="L36" s="2" t="n">
        <v>0</v>
      </c>
      <c r="M36" s="2" t="inlineStr"/>
    </row>
    <row r="37">
      <c r="A37" s="2" t="inlineStr">
        <is>
          <t>DMP Tool</t>
        </is>
      </c>
      <c r="B37" s="2" t="n">
        <v>0</v>
      </c>
      <c r="C37" s="2" t="n">
        <v>0</v>
      </c>
      <c r="D37" s="2" t="n">
        <v>0</v>
      </c>
      <c r="E37" s="2" t="n">
        <v>0</v>
      </c>
      <c r="F37" s="2" t="n">
        <v>0</v>
      </c>
      <c r="G37" s="2" t="n">
        <v>0</v>
      </c>
      <c r="H37" s="2" t="n">
        <v>0</v>
      </c>
      <c r="I37" s="2" t="n">
        <v>0</v>
      </c>
      <c r="J37" s="2" t="n"/>
      <c r="K37" s="2" t="n">
        <v>0</v>
      </c>
      <c r="L37" s="2" t="n">
        <v>0</v>
      </c>
      <c r="M37" s="2" t="inlineStr"/>
    </row>
    <row r="38">
      <c r="A38" s="2" t="inlineStr">
        <is>
          <t>DOAJ (Directory of Open Access Journals)</t>
        </is>
      </c>
      <c r="B38" s="2" t="n">
        <v>0</v>
      </c>
      <c r="C38" s="2" t="n">
        <v>1</v>
      </c>
      <c r="D38" s="2" t="n">
        <v>1</v>
      </c>
      <c r="E38" s="2" t="n">
        <v>1</v>
      </c>
      <c r="F38" s="2" t="n">
        <v>0</v>
      </c>
      <c r="G38" s="2" t="n">
        <v>0</v>
      </c>
      <c r="H38" s="2" t="n">
        <v>1</v>
      </c>
      <c r="I38" s="2" t="n">
        <v>1</v>
      </c>
      <c r="J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K38" s="2" t="n">
        <v>0</v>
      </c>
      <c r="L38" s="2" t="n">
        <v>5</v>
      </c>
      <c r="M38" s="2" t="inlineStr">
        <is>
          <t>Contribute to code; Contribute to documentation; Contribute to education or training; Contribute to user research or user testing; Contribute to working groups or interest groups</t>
        </is>
      </c>
    </row>
    <row r="39">
      <c r="A39" s="2" t="inlineStr">
        <is>
          <t>dokieli</t>
        </is>
      </c>
      <c r="B39" s="2" t="n">
        <v>1</v>
      </c>
      <c r="C39" s="2" t="n">
        <v>1</v>
      </c>
      <c r="D39" s="2" t="n">
        <v>1</v>
      </c>
      <c r="E39" s="2" t="n">
        <v>1</v>
      </c>
      <c r="F39" s="2" t="n">
        <v>0</v>
      </c>
      <c r="G39" s="2" t="n">
        <v>0</v>
      </c>
      <c r="H39" s="2" t="n">
        <v>0</v>
      </c>
      <c r="I39" s="2" t="n">
        <v>0</v>
      </c>
      <c r="J39" s="2" t="n"/>
      <c r="K39" s="2" t="n">
        <v>0</v>
      </c>
      <c r="L39" s="2" t="n">
        <v>4</v>
      </c>
      <c r="M39" s="2" t="inlineStr">
        <is>
          <t>Contribute funds; Contribute to code; Contribute to documentation; Contribute to education or training</t>
        </is>
      </c>
    </row>
    <row r="40">
      <c r="A40" s="2" t="inlineStr">
        <is>
          <t>Dryad</t>
        </is>
      </c>
      <c r="B40" s="2" t="n">
        <v>1</v>
      </c>
      <c r="C40" s="2" t="n">
        <v>0</v>
      </c>
      <c r="D40" s="2" t="n">
        <v>0</v>
      </c>
      <c r="E40" s="2" t="n">
        <v>1</v>
      </c>
      <c r="F40" s="2" t="n">
        <v>1</v>
      </c>
      <c r="G40" s="2" t="n">
        <v>0</v>
      </c>
      <c r="H40" s="2" t="n">
        <v>0</v>
      </c>
      <c r="I40" s="2" t="n">
        <v>1</v>
      </c>
      <c r="J40" s="2" t="n"/>
      <c r="K40" s="2" t="n">
        <v>0</v>
      </c>
      <c r="L40" s="2" t="n">
        <v>4</v>
      </c>
      <c r="M40" s="2" t="inlineStr">
        <is>
          <t>Contribute funds; Contribute to education or training; Contribute to governance; Contribute to working groups or interest groups</t>
        </is>
      </c>
    </row>
    <row r="41">
      <c r="A41" s="2" t="inlineStr">
        <is>
          <t>DSpace</t>
        </is>
      </c>
      <c r="B41" s="2" t="n">
        <v>1</v>
      </c>
      <c r="C41" s="2" t="n">
        <v>1</v>
      </c>
      <c r="D41" s="2" t="n">
        <v>1</v>
      </c>
      <c r="E41" s="2" t="n">
        <v>1</v>
      </c>
      <c r="F41" s="2" t="n">
        <v>1</v>
      </c>
      <c r="G41" s="2" t="n">
        <v>1</v>
      </c>
      <c r="H41" s="2" t="n">
        <v>0</v>
      </c>
      <c r="I41" s="2" t="n">
        <v>1</v>
      </c>
      <c r="J41" s="2" t="n"/>
      <c r="K41" s="2" t="n">
        <v>0</v>
      </c>
      <c r="L41" s="2" t="n">
        <v>7</v>
      </c>
      <c r="M41" s="2" t="inlineStr">
        <is>
          <t>Contribute funds; Contribute to code; Contribute to documentation; Contribute to education or training; Contribute to governance; Contribute to peer reviews; Contribute to working groups or interest groups</t>
        </is>
      </c>
    </row>
    <row r="42">
      <c r="A42" s="2" t="inlineStr">
        <is>
          <t>DuraCloud</t>
        </is>
      </c>
      <c r="B42" s="2" t="n">
        <v>0</v>
      </c>
      <c r="C42" s="2" t="n">
        <v>0</v>
      </c>
      <c r="D42" s="2" t="n">
        <v>0</v>
      </c>
      <c r="E42" s="2" t="n">
        <v>0</v>
      </c>
      <c r="F42" s="2" t="n">
        <v>0</v>
      </c>
      <c r="G42" s="2" t="n">
        <v>0</v>
      </c>
      <c r="H42" s="2" t="n">
        <v>0</v>
      </c>
      <c r="I42" s="2" t="n">
        <v>0</v>
      </c>
      <c r="J42" s="2" t="n"/>
      <c r="K42" s="2" t="n">
        <v>0</v>
      </c>
      <c r="L42" s="2" t="n">
        <v>0</v>
      </c>
      <c r="M42" s="2" t="inlineStr"/>
    </row>
    <row r="43">
      <c r="A43" s="2" t="inlineStr">
        <is>
          <t>Episciences</t>
        </is>
      </c>
      <c r="B43" s="2" t="n">
        <v>0</v>
      </c>
      <c r="C43" s="2" t="n">
        <v>0</v>
      </c>
      <c r="D43" s="2" t="n">
        <v>0</v>
      </c>
      <c r="E43" s="2" t="n">
        <v>0</v>
      </c>
      <c r="F43" s="2" t="n">
        <v>0</v>
      </c>
      <c r="G43" s="2" t="n">
        <v>0</v>
      </c>
      <c r="H43" s="2" t="n">
        <v>0</v>
      </c>
      <c r="I43" s="2" t="n">
        <v>0</v>
      </c>
      <c r="J43" s="2" t="n"/>
      <c r="K43" s="2" t="n">
        <v>0</v>
      </c>
      <c r="L43" s="2" t="n">
        <v>0</v>
      </c>
      <c r="M43" s="2" t="inlineStr"/>
    </row>
    <row r="44">
      <c r="A44" s="2" t="inlineStr">
        <is>
          <t>EPrints</t>
        </is>
      </c>
      <c r="B44" s="2" t="n">
        <v>0</v>
      </c>
      <c r="C44" s="2" t="n">
        <v>0</v>
      </c>
      <c r="D44" s="2" t="n">
        <v>0</v>
      </c>
      <c r="E44" s="2" t="n">
        <v>0</v>
      </c>
      <c r="F44" s="2" t="n">
        <v>0</v>
      </c>
      <c r="G44" s="2" t="n">
        <v>0</v>
      </c>
      <c r="H44" s="2" t="n">
        <v>0</v>
      </c>
      <c r="I44" s="2" t="n">
        <v>0</v>
      </c>
      <c r="J44" s="2" t="n"/>
      <c r="K44" s="2" t="n">
        <v>0</v>
      </c>
      <c r="L44" s="2" t="n">
        <v>0</v>
      </c>
      <c r="M44" s="2" t="inlineStr"/>
    </row>
    <row r="45">
      <c r="A45" s="2" t="inlineStr">
        <is>
          <t>Érudit</t>
        </is>
      </c>
      <c r="B45" s="2" t="n">
        <v>0</v>
      </c>
      <c r="C45" s="2" t="n">
        <v>0</v>
      </c>
      <c r="D45" s="2" t="n">
        <v>0</v>
      </c>
      <c r="E45" s="2" t="n">
        <v>1</v>
      </c>
      <c r="F45" s="2" t="n">
        <v>0</v>
      </c>
      <c r="G45" s="2" t="n">
        <v>1</v>
      </c>
      <c r="H45" s="2" t="n">
        <v>0</v>
      </c>
      <c r="I45" s="2" t="n">
        <v>0</v>
      </c>
      <c r="J45" s="2" t="n"/>
      <c r="K45" s="2" t="n">
        <v>0</v>
      </c>
      <c r="L45" s="2" t="n">
        <v>2</v>
      </c>
      <c r="M45" s="2" t="inlineStr">
        <is>
          <t>Contribute to education or training; Contribute to peer reviews</t>
        </is>
      </c>
    </row>
    <row r="46">
      <c r="A46" s="2" t="inlineStr">
        <is>
          <t>Europe PMC</t>
        </is>
      </c>
      <c r="B46" s="2" t="n">
        <v>0</v>
      </c>
      <c r="C46" s="2" t="n">
        <v>1</v>
      </c>
      <c r="D46" s="2" t="n">
        <v>0</v>
      </c>
      <c r="E46" s="2" t="n">
        <v>1</v>
      </c>
      <c r="F46" s="2" t="n">
        <v>0</v>
      </c>
      <c r="G46" s="2" t="n">
        <v>0</v>
      </c>
      <c r="H46" s="2" t="n">
        <v>1</v>
      </c>
      <c r="I46" s="2" t="n">
        <v>0</v>
      </c>
      <c r="J46" s="2" t="n"/>
      <c r="K46" s="2" t="n">
        <v>0</v>
      </c>
      <c r="L46" s="2" t="n">
        <v>3</v>
      </c>
      <c r="M46" s="2" t="inlineStr">
        <is>
          <t>Contribute to code; Contribute to education or training; Contribute to user research or user testing</t>
        </is>
      </c>
    </row>
    <row r="47">
      <c r="A47" s="2" t="inlineStr">
        <is>
          <t>FAIR Wizard</t>
        </is>
      </c>
      <c r="B47" s="2" t="n">
        <v>0</v>
      </c>
      <c r="C47" s="2" t="n">
        <v>0</v>
      </c>
      <c r="D47" s="2" t="n">
        <v>1</v>
      </c>
      <c r="E47" s="2" t="n">
        <v>1</v>
      </c>
      <c r="F47" s="2" t="n">
        <v>0</v>
      </c>
      <c r="G47" s="2" t="n">
        <v>0</v>
      </c>
      <c r="H47" s="2" t="n">
        <v>0</v>
      </c>
      <c r="I47" s="2" t="n">
        <v>1</v>
      </c>
      <c r="J47" s="2" t="inlineStr">
        <is>
          <t>Content creation</t>
        </is>
      </c>
      <c r="K47" s="2" t="n">
        <v>1</v>
      </c>
      <c r="L47" s="2" t="n">
        <v>4</v>
      </c>
      <c r="M47" s="2" t="inlineStr">
        <is>
          <t>Contribute to documentation; Contribute to education or training; Contribute to working groups or interest groups; Other</t>
        </is>
      </c>
    </row>
    <row r="48">
      <c r="A48" s="2" t="inlineStr">
        <is>
          <t>Fedora</t>
        </is>
      </c>
      <c r="B48" s="2" t="n">
        <v>1</v>
      </c>
      <c r="C48" s="2" t="n">
        <v>1</v>
      </c>
      <c r="D48" s="2" t="n">
        <v>1</v>
      </c>
      <c r="E48" s="2" t="n">
        <v>1</v>
      </c>
      <c r="F48" s="2" t="n">
        <v>1</v>
      </c>
      <c r="G48" s="2" t="n">
        <v>1</v>
      </c>
      <c r="H48" s="2" t="n">
        <v>1</v>
      </c>
      <c r="I48" s="2" t="n">
        <v>1</v>
      </c>
      <c r="J48" s="2" t="n"/>
      <c r="K48" s="2" t="n">
        <v>0</v>
      </c>
      <c r="L48" s="2" t="n">
        <v>8</v>
      </c>
      <c r="M48" s="2" t="inlineStr">
        <is>
          <t>Contribute funds; Contribute to code; Contribute to documentation; Contribute to education or training; Contribute to governance; Contribute to peer reviews; Contribute to user research or user testing; Contribute to working groups or interest groups</t>
        </is>
      </c>
    </row>
    <row r="49">
      <c r="A49" s="2" t="inlineStr">
        <is>
          <t>fido</t>
        </is>
      </c>
      <c r="B49" s="2" t="n">
        <v>0</v>
      </c>
      <c r="C49" s="2" t="n">
        <v>1</v>
      </c>
      <c r="D49" s="2" t="n">
        <v>1</v>
      </c>
      <c r="E49" s="2" t="n">
        <v>0</v>
      </c>
      <c r="F49" s="2" t="n">
        <v>0</v>
      </c>
      <c r="G49" s="2" t="n">
        <v>0</v>
      </c>
      <c r="H49" s="2" t="n">
        <v>0</v>
      </c>
      <c r="I49" s="2" t="n">
        <v>1</v>
      </c>
      <c r="J49" s="2" t="n"/>
      <c r="K49" s="2" t="n">
        <v>0</v>
      </c>
      <c r="L49" s="2" t="n">
        <v>3</v>
      </c>
      <c r="M49" s="2" t="inlineStr">
        <is>
          <t>Contribute to code; Contribute to documentation; Contribute to working groups or interest groups</t>
        </is>
      </c>
    </row>
    <row r="50">
      <c r="A50" s="2" t="inlineStr">
        <is>
          <t>Fulcrum</t>
        </is>
      </c>
      <c r="B50" s="2" t="n">
        <v>0</v>
      </c>
      <c r="C50" s="2" t="n">
        <v>1</v>
      </c>
      <c r="D50" s="2" t="n">
        <v>0</v>
      </c>
      <c r="E50" s="2" t="n">
        <v>0</v>
      </c>
      <c r="F50" s="2" t="n">
        <v>0</v>
      </c>
      <c r="G50" s="2" t="n">
        <v>0</v>
      </c>
      <c r="H50" s="2" t="n">
        <v>0</v>
      </c>
      <c r="I50" s="2" t="n">
        <v>1</v>
      </c>
      <c r="J50" s="2" t="n"/>
      <c r="K50" s="2" t="n">
        <v>0</v>
      </c>
      <c r="L50" s="2" t="n">
        <v>2</v>
      </c>
      <c r="M50" s="2" t="inlineStr">
        <is>
          <t>Contribute to code; Contribute to working groups or interest groups</t>
        </is>
      </c>
    </row>
    <row r="51">
      <c r="A51" s="2" t="inlineStr">
        <is>
          <t>Galaxy</t>
        </is>
      </c>
      <c r="B51" s="2" t="n">
        <v>0</v>
      </c>
      <c r="C51" s="2" t="n">
        <v>0</v>
      </c>
      <c r="D51" s="2" t="n">
        <v>0</v>
      </c>
      <c r="E51" s="2" t="n">
        <v>0</v>
      </c>
      <c r="F51" s="2" t="n">
        <v>0</v>
      </c>
      <c r="G51" s="2" t="n">
        <v>0</v>
      </c>
      <c r="H51" s="2" t="n">
        <v>0</v>
      </c>
      <c r="I51" s="2" t="n">
        <v>0</v>
      </c>
      <c r="J51" s="2" t="n"/>
      <c r="K51" s="2" t="n">
        <v>0</v>
      </c>
      <c r="L51" s="2" t="n">
        <v>0</v>
      </c>
      <c r="M51" s="2" t="inlineStr"/>
    </row>
    <row r="52">
      <c r="A52" s="2" t="inlineStr">
        <is>
          <t>GeoServer</t>
        </is>
      </c>
      <c r="B52" s="2" t="n">
        <v>0</v>
      </c>
      <c r="C52" s="2" t="n">
        <v>1</v>
      </c>
      <c r="D52" s="2" t="n">
        <v>0</v>
      </c>
      <c r="E52" s="2" t="n">
        <v>0</v>
      </c>
      <c r="F52" s="2" t="n">
        <v>0</v>
      </c>
      <c r="G52" s="2" t="n">
        <v>0</v>
      </c>
      <c r="H52" s="2" t="n">
        <v>0</v>
      </c>
      <c r="I52" s="2" t="n">
        <v>0</v>
      </c>
      <c r="J52" s="2" t="n"/>
      <c r="K52" s="2" t="n">
        <v>0</v>
      </c>
      <c r="L52" s="2" t="n">
        <v>1</v>
      </c>
      <c r="M52" s="2" t="inlineStr">
        <is>
          <t>Contribute to code</t>
        </is>
      </c>
    </row>
    <row r="53">
      <c r="A53" s="2" t="inlineStr">
        <is>
          <t>Hyku</t>
        </is>
      </c>
      <c r="B53" s="2" t="n">
        <v>1</v>
      </c>
      <c r="C53" s="2" t="n">
        <v>1</v>
      </c>
      <c r="D53" s="2" t="n">
        <v>1</v>
      </c>
      <c r="E53" s="2" t="n">
        <v>1</v>
      </c>
      <c r="F53" s="2" t="n">
        <v>1</v>
      </c>
      <c r="G53" s="2" t="n">
        <v>0</v>
      </c>
      <c r="H53" s="2" t="n">
        <v>0</v>
      </c>
      <c r="I53" s="2" t="n">
        <v>1</v>
      </c>
      <c r="J53" s="2" t="n"/>
      <c r="K53" s="2" t="n">
        <v>0</v>
      </c>
      <c r="L53" s="2" t="n">
        <v>6</v>
      </c>
      <c r="M53" s="2" t="inlineStr">
        <is>
          <t>Contribute funds; Contribute to code; Contribute to documentation; Contribute to education or training; Contribute to governance; Contribute to working groups or interest groups</t>
        </is>
      </c>
    </row>
    <row r="54">
      <c r="A54" s="2" t="inlineStr">
        <is>
          <t>Hyrax</t>
        </is>
      </c>
      <c r="B54" s="2" t="n">
        <v>1</v>
      </c>
      <c r="C54" s="2" t="n">
        <v>1</v>
      </c>
      <c r="D54" s="2" t="n">
        <v>1</v>
      </c>
      <c r="E54" s="2" t="n">
        <v>1</v>
      </c>
      <c r="F54" s="2" t="n">
        <v>1</v>
      </c>
      <c r="G54" s="2" t="n">
        <v>0</v>
      </c>
      <c r="H54" s="2" t="n">
        <v>1</v>
      </c>
      <c r="I54" s="2" t="n">
        <v>1</v>
      </c>
      <c r="J54" s="2" t="n"/>
      <c r="K54" s="2" t="n">
        <v>0</v>
      </c>
      <c r="L54" s="2" t="n">
        <v>7</v>
      </c>
      <c r="M54" s="2" t="inlineStr">
        <is>
          <t>Contribute funds; Contribute to code; Contribute to documentation; Contribute to education or training; Contribute to governance; Contribute to user research or user testing; Contribute to working groups or interest groups</t>
        </is>
      </c>
    </row>
    <row r="55">
      <c r="A55" s="2" t="inlineStr">
        <is>
          <t>IIIF</t>
        </is>
      </c>
      <c r="B55" s="2" t="n">
        <v>1</v>
      </c>
      <c r="C55" s="2" t="n">
        <v>1</v>
      </c>
      <c r="D55" s="2" t="n">
        <v>1</v>
      </c>
      <c r="E55" s="2" t="n">
        <v>1</v>
      </c>
      <c r="F55" s="2" t="n">
        <v>0</v>
      </c>
      <c r="G55" s="2" t="n">
        <v>0</v>
      </c>
      <c r="H55" s="2" t="n">
        <v>0</v>
      </c>
      <c r="I55" s="2" t="n">
        <v>1</v>
      </c>
      <c r="J55" s="2" t="n"/>
      <c r="K55" s="2" t="n">
        <v>0</v>
      </c>
      <c r="L55" s="2" t="n">
        <v>5</v>
      </c>
      <c r="M55" s="2" t="inlineStr">
        <is>
          <t>Contribute funds; Contribute to code; Contribute to documentation; Contribute to education or training; Contribute to working groups or interest groups</t>
        </is>
      </c>
    </row>
    <row r="56">
      <c r="A56" s="2" t="inlineStr">
        <is>
          <t>ImpactU</t>
        </is>
      </c>
      <c r="B56" s="2" t="n">
        <v>0</v>
      </c>
      <c r="C56" s="2" t="n">
        <v>0</v>
      </c>
      <c r="D56" s="2" t="n">
        <v>0</v>
      </c>
      <c r="E56" s="2" t="n">
        <v>0</v>
      </c>
      <c r="F56" s="2" t="n">
        <v>0</v>
      </c>
      <c r="G56" s="2" t="n">
        <v>0</v>
      </c>
      <c r="H56" s="2" t="n">
        <v>0</v>
      </c>
      <c r="I56" s="2" t="n">
        <v>0</v>
      </c>
      <c r="J56" s="2" t="n"/>
      <c r="K56" s="2" t="n">
        <v>0</v>
      </c>
      <c r="L56" s="2" t="n">
        <v>0</v>
      </c>
      <c r="M56" s="2" t="inlineStr"/>
    </row>
    <row r="57">
      <c r="A57" s="2" t="inlineStr">
        <is>
          <t>International Generic Sample Number (IGSN)</t>
        </is>
      </c>
      <c r="B57" s="2" t="n">
        <v>0</v>
      </c>
      <c r="C57" s="2" t="n">
        <v>0</v>
      </c>
      <c r="D57" s="2" t="n">
        <v>0</v>
      </c>
      <c r="E57" s="2" t="n">
        <v>0</v>
      </c>
      <c r="F57" s="2" t="n">
        <v>0</v>
      </c>
      <c r="G57" s="2" t="n">
        <v>0</v>
      </c>
      <c r="H57" s="2" t="n">
        <v>0</v>
      </c>
      <c r="I57" s="2" t="n">
        <v>0</v>
      </c>
      <c r="J57" s="2" t="n"/>
      <c r="K57" s="2" t="n">
        <v>0</v>
      </c>
      <c r="L57" s="2" t="n">
        <v>0</v>
      </c>
      <c r="M57" s="2" t="inlineStr"/>
    </row>
    <row r="58">
      <c r="A58" s="2" t="inlineStr">
        <is>
          <t>InvenioRDM</t>
        </is>
      </c>
      <c r="B58" s="2" t="n">
        <v>1</v>
      </c>
      <c r="C58" s="2" t="n">
        <v>1</v>
      </c>
      <c r="D58" s="2" t="n">
        <v>1</v>
      </c>
      <c r="E58" s="2" t="n">
        <v>1</v>
      </c>
      <c r="F58" s="2" t="n">
        <v>0</v>
      </c>
      <c r="G58" s="2" t="n">
        <v>0</v>
      </c>
      <c r="H58" s="2" t="n">
        <v>0</v>
      </c>
      <c r="I58" s="2" t="n">
        <v>1</v>
      </c>
      <c r="J58" s="2" t="n"/>
      <c r="K58" s="2" t="n">
        <v>0</v>
      </c>
      <c r="L58" s="2" t="n">
        <v>5</v>
      </c>
      <c r="M58" s="2" t="inlineStr">
        <is>
          <t>Contribute funds; Contribute to code; Contribute to documentation; Contribute to education or training; Contribute to working groups or interest groups</t>
        </is>
      </c>
    </row>
    <row r="59">
      <c r="A59" s="2" t="inlineStr">
        <is>
          <t>iRODS</t>
        </is>
      </c>
      <c r="B59" s="2" t="n">
        <v>1</v>
      </c>
      <c r="C59" s="2" t="n">
        <v>1</v>
      </c>
      <c r="D59" s="2" t="n">
        <v>1</v>
      </c>
      <c r="E59" s="2" t="n">
        <v>1</v>
      </c>
      <c r="F59" s="2" t="n">
        <v>1</v>
      </c>
      <c r="G59" s="2" t="n">
        <v>0</v>
      </c>
      <c r="H59" s="2" t="n">
        <v>1</v>
      </c>
      <c r="I59" s="2" t="n">
        <v>1</v>
      </c>
      <c r="J59" s="2" t="n"/>
      <c r="K59" s="2" t="n">
        <v>0</v>
      </c>
      <c r="L59" s="2" t="n">
        <v>7</v>
      </c>
      <c r="M59" s="2" t="inlineStr">
        <is>
          <t>Contribute funds; Contribute to code; Contribute to documentation; Contribute to education or training; Contribute to governance; Contribute to user research or user testing; Contribute to working groups or interest groups</t>
        </is>
      </c>
    </row>
    <row r="60">
      <c r="A60" s="2" t="inlineStr">
        <is>
          <t>Islandora</t>
        </is>
      </c>
      <c r="B60" s="2" t="n">
        <v>1</v>
      </c>
      <c r="C60" s="2" t="n">
        <v>1</v>
      </c>
      <c r="D60" s="2" t="n">
        <v>1</v>
      </c>
      <c r="E60" s="2" t="n">
        <v>1</v>
      </c>
      <c r="F60" s="2" t="n">
        <v>1</v>
      </c>
      <c r="G60" s="2" t="n">
        <v>0</v>
      </c>
      <c r="H60" s="2" t="n">
        <v>1</v>
      </c>
      <c r="I60" s="2" t="n">
        <v>1</v>
      </c>
      <c r="J60" s="2" t="n"/>
      <c r="K60" s="2" t="n">
        <v>0</v>
      </c>
      <c r="L60" s="2" t="n">
        <v>7</v>
      </c>
      <c r="M60" s="2" t="inlineStr">
        <is>
          <t>Contribute funds; Contribute to code; Contribute to documentation; Contribute to education or training; Contribute to governance; Contribute to user research or user testing; Contribute to working groups or interest groups</t>
        </is>
      </c>
    </row>
    <row r="61">
      <c r="A61" s="2" t="inlineStr">
        <is>
          <t>Janeway</t>
        </is>
      </c>
      <c r="B61" s="2" t="n">
        <v>0</v>
      </c>
      <c r="C61" s="2" t="n">
        <v>1</v>
      </c>
      <c r="D61" s="2" t="n">
        <v>1</v>
      </c>
      <c r="E61" s="2" t="n">
        <v>0</v>
      </c>
      <c r="F61" s="2" t="n">
        <v>0</v>
      </c>
      <c r="G61" s="2" t="n">
        <v>0</v>
      </c>
      <c r="H61" s="2" t="n">
        <v>0</v>
      </c>
      <c r="I61" s="2" t="n">
        <v>0</v>
      </c>
      <c r="J61" s="2" t="n"/>
      <c r="K61" s="2" t="n">
        <v>0</v>
      </c>
      <c r="L61" s="2" t="n">
        <v>2</v>
      </c>
      <c r="M61" s="2" t="inlineStr">
        <is>
          <t>Contribute to code; Contribute to documentation</t>
        </is>
      </c>
    </row>
    <row r="62">
      <c r="A62" s="2" t="inlineStr">
        <is>
          <t>JHOVE</t>
        </is>
      </c>
      <c r="B62" s="2" t="n">
        <v>0</v>
      </c>
      <c r="C62" s="2" t="n">
        <v>0</v>
      </c>
      <c r="D62" s="2" t="n">
        <v>0</v>
      </c>
      <c r="E62" s="2" t="n">
        <v>0</v>
      </c>
      <c r="F62" s="2" t="n">
        <v>0</v>
      </c>
      <c r="G62" s="2" t="n">
        <v>0</v>
      </c>
      <c r="H62" s="2" t="n">
        <v>0</v>
      </c>
      <c r="I62" s="2" t="n">
        <v>0</v>
      </c>
      <c r="J62" s="2" t="n"/>
      <c r="K62" s="2" t="n">
        <v>0</v>
      </c>
      <c r="L62" s="2" t="n">
        <v>0</v>
      </c>
      <c r="M62" s="2" t="inlineStr"/>
    </row>
    <row r="63">
      <c r="A63" s="2" t="inlineStr">
        <is>
          <t>LA Referencia</t>
        </is>
      </c>
      <c r="B63" s="2" t="n">
        <v>0</v>
      </c>
      <c r="C63" s="2" t="n">
        <v>0</v>
      </c>
      <c r="D63" s="2" t="n">
        <v>0</v>
      </c>
      <c r="E63" s="2" t="n">
        <v>0</v>
      </c>
      <c r="F63" s="2" t="n">
        <v>0</v>
      </c>
      <c r="G63" s="2" t="n">
        <v>0</v>
      </c>
      <c r="H63" s="2" t="n">
        <v>0</v>
      </c>
      <c r="I63" s="2" t="n">
        <v>0</v>
      </c>
      <c r="J63" s="2" t="n"/>
      <c r="K63" s="2" t="n">
        <v>0</v>
      </c>
      <c r="L63" s="2" t="n">
        <v>0</v>
      </c>
      <c r="M63" s="2" t="inlineStr"/>
    </row>
    <row r="64">
      <c r="A64" s="2" t="inlineStr">
        <is>
          <t>Manifold</t>
        </is>
      </c>
      <c r="B64" s="2" t="n">
        <v>0</v>
      </c>
      <c r="C64" s="2" t="n">
        <v>1</v>
      </c>
      <c r="D64" s="2" t="n">
        <v>0</v>
      </c>
      <c r="E64" s="2" t="n">
        <v>0</v>
      </c>
      <c r="F64" s="2" t="n">
        <v>0</v>
      </c>
      <c r="G64" s="2" t="n">
        <v>0</v>
      </c>
      <c r="H64" s="2" t="n">
        <v>0</v>
      </c>
      <c r="I64" s="2" t="n">
        <v>0</v>
      </c>
      <c r="J64" s="2" t="n"/>
      <c r="K64" s="2" t="n">
        <v>0</v>
      </c>
      <c r="L64" s="2" t="n">
        <v>1</v>
      </c>
      <c r="M64" s="2" t="inlineStr">
        <is>
          <t>Contribute to code</t>
        </is>
      </c>
    </row>
    <row r="65">
      <c r="A65" s="2" t="inlineStr">
        <is>
          <t>medRxiv</t>
        </is>
      </c>
      <c r="B65" s="2" t="n">
        <v>0</v>
      </c>
      <c r="C65" s="2" t="n">
        <v>0</v>
      </c>
      <c r="D65" s="2" t="n">
        <v>1</v>
      </c>
      <c r="E65" s="2" t="n">
        <v>0</v>
      </c>
      <c r="F65" s="2" t="n">
        <v>0</v>
      </c>
      <c r="G65" s="2" t="n">
        <v>0</v>
      </c>
      <c r="H65" s="2" t="n">
        <v>0</v>
      </c>
      <c r="I65" s="2" t="n">
        <v>0</v>
      </c>
      <c r="J65" s="2" t="n"/>
      <c r="K65" s="2" t="n">
        <v>0</v>
      </c>
      <c r="L65" s="2" t="n">
        <v>1</v>
      </c>
      <c r="M65" s="2" t="inlineStr">
        <is>
          <t>Contribute to documentation</t>
        </is>
      </c>
    </row>
    <row r="66">
      <c r="A66" s="2" t="inlineStr">
        <is>
          <t>Metadata Encoding and Transmission Standard (METS)</t>
        </is>
      </c>
      <c r="B66" s="2" t="n">
        <v>0</v>
      </c>
      <c r="C66" s="2" t="n">
        <v>1</v>
      </c>
      <c r="D66" s="2" t="n">
        <v>1</v>
      </c>
      <c r="E66" s="2" t="n">
        <v>1</v>
      </c>
      <c r="F66" s="2" t="n">
        <v>0</v>
      </c>
      <c r="G66" s="2" t="n">
        <v>0</v>
      </c>
      <c r="H66" s="2" t="n">
        <v>1</v>
      </c>
      <c r="I66" s="2" t="n">
        <v>0</v>
      </c>
      <c r="J66" s="2" t="n"/>
      <c r="K66" s="2" t="n">
        <v>0</v>
      </c>
      <c r="L66" s="2" t="n">
        <v>4</v>
      </c>
      <c r="M66" s="2" t="inlineStr">
        <is>
          <t>Contribute to code; Contribute to documentation; Contribute to education or training; Contribute to user research or user testing</t>
        </is>
      </c>
    </row>
    <row r="67">
      <c r="A67" s="2" t="inlineStr">
        <is>
          <t>Mirador</t>
        </is>
      </c>
      <c r="B67" s="2" t="n">
        <v>0</v>
      </c>
      <c r="C67" s="2" t="n">
        <v>1</v>
      </c>
      <c r="D67" s="2" t="n">
        <v>1</v>
      </c>
      <c r="E67" s="2" t="n">
        <v>1</v>
      </c>
      <c r="F67" s="2" t="n">
        <v>0</v>
      </c>
      <c r="G67" s="2" t="n">
        <v>0</v>
      </c>
      <c r="H67" s="2" t="n">
        <v>0</v>
      </c>
      <c r="I67" s="2" t="n">
        <v>1</v>
      </c>
      <c r="J67" s="2" t="n"/>
      <c r="K67" s="2" t="n">
        <v>0</v>
      </c>
      <c r="L67" s="2" t="n">
        <v>4</v>
      </c>
      <c r="M67" s="2" t="inlineStr">
        <is>
          <t>Contribute to code; Contribute to documentation; Contribute to education or training; Contribute to working groups or interest groups</t>
        </is>
      </c>
    </row>
    <row r="68">
      <c r="A68" s="2" t="inlineStr">
        <is>
          <t>Mukurtu CMS</t>
        </is>
      </c>
      <c r="B68" s="2" t="n">
        <v>0</v>
      </c>
      <c r="C68" s="2" t="n">
        <v>1</v>
      </c>
      <c r="D68" s="2" t="n">
        <v>1</v>
      </c>
      <c r="E68" s="2" t="n">
        <v>0</v>
      </c>
      <c r="F68" s="2" t="n">
        <v>0</v>
      </c>
      <c r="G68" s="2" t="n">
        <v>0</v>
      </c>
      <c r="H68" s="2" t="n">
        <v>0</v>
      </c>
      <c r="I68" s="2" t="n">
        <v>0</v>
      </c>
      <c r="J68" s="2" t="n"/>
      <c r="K68" s="2" t="n">
        <v>0</v>
      </c>
      <c r="L68" s="2" t="n">
        <v>2</v>
      </c>
      <c r="M68" s="2" t="inlineStr">
        <is>
          <t>Contribute to code; Contribute to documentation</t>
        </is>
      </c>
    </row>
    <row r="69">
      <c r="A69" s="2" t="inlineStr">
        <is>
          <t>MyCoRe</t>
        </is>
      </c>
      <c r="B69" s="2" t="n">
        <v>0</v>
      </c>
      <c r="C69" s="2" t="n">
        <v>0</v>
      </c>
      <c r="D69" s="2" t="n">
        <v>0</v>
      </c>
      <c r="E69" s="2" t="n">
        <v>0</v>
      </c>
      <c r="F69" s="2" t="n">
        <v>0</v>
      </c>
      <c r="G69" s="2" t="n">
        <v>0</v>
      </c>
      <c r="H69" s="2" t="n">
        <v>0</v>
      </c>
      <c r="I69" s="2" t="n">
        <v>0</v>
      </c>
      <c r="J69" s="2" t="n"/>
      <c r="K69" s="2" t="n">
        <v>0</v>
      </c>
      <c r="L69" s="2" t="n">
        <v>0</v>
      </c>
      <c r="M69" s="2" t="inlineStr"/>
    </row>
    <row r="70">
      <c r="A70" s="2" t="inlineStr">
        <is>
          <t>NumPy</t>
        </is>
      </c>
      <c r="B70" s="2" t="n">
        <v>0</v>
      </c>
      <c r="C70" s="2" t="n">
        <v>0</v>
      </c>
      <c r="D70" s="2" t="n">
        <v>0</v>
      </c>
      <c r="E70" s="2" t="n">
        <v>0</v>
      </c>
      <c r="F70" s="2" t="n">
        <v>0</v>
      </c>
      <c r="G70" s="2" t="n">
        <v>0</v>
      </c>
      <c r="H70" s="2" t="n">
        <v>0</v>
      </c>
      <c r="I70" s="2" t="n">
        <v>0</v>
      </c>
      <c r="J70" s="2" t="n"/>
      <c r="K70" s="2" t="n">
        <v>0</v>
      </c>
      <c r="L70" s="2" t="n">
        <v>0</v>
      </c>
      <c r="M70" s="2" t="inlineStr"/>
    </row>
    <row r="71">
      <c r="A71" s="2" t="inlineStr">
        <is>
          <t>OA.Report</t>
        </is>
      </c>
      <c r="B71" s="2" t="n">
        <v>0</v>
      </c>
      <c r="C71" s="2" t="n">
        <v>0</v>
      </c>
      <c r="D71" s="2" t="n">
        <v>0</v>
      </c>
      <c r="E71" s="2" t="n">
        <v>0</v>
      </c>
      <c r="F71" s="2" t="n">
        <v>0</v>
      </c>
      <c r="G71" s="2" t="n">
        <v>0</v>
      </c>
      <c r="H71" s="2" t="n">
        <v>0</v>
      </c>
      <c r="I71" s="2" t="n">
        <v>0</v>
      </c>
      <c r="J71" s="2" t="n"/>
      <c r="K71" s="2" t="n">
        <v>0</v>
      </c>
      <c r="L71" s="2" t="n">
        <v>0</v>
      </c>
      <c r="M71" s="2" t="inlineStr"/>
    </row>
    <row r="72">
      <c r="A72" s="2" t="inlineStr">
        <is>
          <t>OA Switchboard</t>
        </is>
      </c>
      <c r="B72" s="2" t="n">
        <v>1</v>
      </c>
      <c r="C72" s="2" t="n">
        <v>1</v>
      </c>
      <c r="D72" s="2" t="n">
        <v>1</v>
      </c>
      <c r="E72" s="2" t="n">
        <v>1</v>
      </c>
      <c r="F72" s="2" t="n">
        <v>0</v>
      </c>
      <c r="G72" s="2" t="n">
        <v>0</v>
      </c>
      <c r="H72" s="2" t="n">
        <v>0</v>
      </c>
      <c r="I72" s="2" t="n">
        <v>1</v>
      </c>
      <c r="J72" s="2" t="n"/>
      <c r="K72" s="2" t="n">
        <v>0</v>
      </c>
      <c r="L72" s="2" t="n">
        <v>5</v>
      </c>
      <c r="M72" s="2" t="inlineStr">
        <is>
          <t>Contribute funds; Contribute to code; Contribute to documentation; Contribute to education or training; Contribute to working groups or interest groups</t>
        </is>
      </c>
    </row>
    <row r="73">
      <c r="A73" s="2" t="inlineStr">
        <is>
          <t>Omeka</t>
        </is>
      </c>
      <c r="B73" s="2" t="n">
        <v>0</v>
      </c>
      <c r="C73" s="2" t="n">
        <v>1</v>
      </c>
      <c r="D73" s="2" t="n">
        <v>1</v>
      </c>
      <c r="E73" s="2" t="n">
        <v>0</v>
      </c>
      <c r="F73" s="2" t="n">
        <v>0</v>
      </c>
      <c r="G73" s="2" t="n">
        <v>0</v>
      </c>
      <c r="H73" s="2" t="n">
        <v>0</v>
      </c>
      <c r="I73" s="2" t="n">
        <v>0</v>
      </c>
      <c r="J73" s="2" t="n"/>
      <c r="K73" s="2" t="n">
        <v>0</v>
      </c>
      <c r="L73" s="2" t="n">
        <v>2</v>
      </c>
      <c r="M73" s="2" t="inlineStr">
        <is>
          <t>Contribute to code; Contribute to documentation</t>
        </is>
      </c>
    </row>
    <row r="74">
      <c r="A74" s="2" t="inlineStr">
        <is>
          <t>OpenAIRE Graph</t>
        </is>
      </c>
      <c r="B74" s="2" t="n">
        <v>0</v>
      </c>
      <c r="C74" s="2" t="n">
        <v>0</v>
      </c>
      <c r="D74" s="2" t="n">
        <v>0</v>
      </c>
      <c r="E74" s="2" t="n">
        <v>0</v>
      </c>
      <c r="F74" s="2" t="n">
        <v>0</v>
      </c>
      <c r="G74" s="2" t="n">
        <v>0</v>
      </c>
      <c r="H74" s="2" t="n">
        <v>0</v>
      </c>
      <c r="I74" s="2" t="n">
        <v>0</v>
      </c>
      <c r="J74" s="2" t="n"/>
      <c r="K74" s="2" t="n">
        <v>0</v>
      </c>
      <c r="L74" s="2" t="n">
        <v>0</v>
      </c>
      <c r="M74" s="2" t="inlineStr"/>
    </row>
    <row r="75">
      <c r="A75" s="2" t="inlineStr">
        <is>
          <t>OpenAlex</t>
        </is>
      </c>
      <c r="B75" s="2" t="n">
        <v>0</v>
      </c>
      <c r="C75" s="2" t="n">
        <v>1</v>
      </c>
      <c r="D75" s="2" t="n">
        <v>0</v>
      </c>
      <c r="E75" s="2" t="n">
        <v>0</v>
      </c>
      <c r="F75" s="2" t="n">
        <v>0</v>
      </c>
      <c r="G75" s="2" t="n">
        <v>0</v>
      </c>
      <c r="H75" s="2" t="n">
        <v>0</v>
      </c>
      <c r="I75" s="2" t="n">
        <v>0</v>
      </c>
      <c r="J75" s="2" t="n"/>
      <c r="K75" s="2" t="n">
        <v>0</v>
      </c>
      <c r="L75" s="2" t="n">
        <v>1</v>
      </c>
      <c r="M75" s="2" t="inlineStr">
        <is>
          <t>Contribute to code</t>
        </is>
      </c>
    </row>
    <row r="76">
      <c r="A76" s="2" t="inlineStr">
        <is>
          <t>OpenAPC</t>
        </is>
      </c>
      <c r="B76" s="2" t="n">
        <v>0</v>
      </c>
      <c r="C76" s="2" t="n">
        <v>0</v>
      </c>
      <c r="D76" s="2" t="n">
        <v>0</v>
      </c>
      <c r="E76" s="2" t="n">
        <v>0</v>
      </c>
      <c r="F76" s="2" t="n">
        <v>0</v>
      </c>
      <c r="G76" s="2" t="n">
        <v>0</v>
      </c>
      <c r="H76" s="2" t="n">
        <v>0</v>
      </c>
      <c r="I76" s="2" t="n">
        <v>0</v>
      </c>
      <c r="J76" s="2" t="n"/>
      <c r="K76" s="2" t="n">
        <v>0</v>
      </c>
      <c r="L76" s="2" t="n">
        <v>0</v>
      </c>
      <c r="M76" s="2" t="inlineStr"/>
    </row>
    <row r="77">
      <c r="A77" s="2" t="inlineStr">
        <is>
          <t>OpenCitations</t>
        </is>
      </c>
      <c r="B77" s="2" t="n">
        <v>1</v>
      </c>
      <c r="C77" s="2" t="n">
        <v>1</v>
      </c>
      <c r="D77" s="2" t="n">
        <v>1</v>
      </c>
      <c r="E77" s="2" t="n">
        <v>1</v>
      </c>
      <c r="F77" s="2" t="n">
        <v>0</v>
      </c>
      <c r="G77" s="2" t="n">
        <v>0</v>
      </c>
      <c r="H77" s="2" t="n">
        <v>0</v>
      </c>
      <c r="I77" s="2" t="n">
        <v>1</v>
      </c>
      <c r="J77" s="2" t="n"/>
      <c r="K77" s="2" t="n">
        <v>0</v>
      </c>
      <c r="L77" s="2" t="n">
        <v>5</v>
      </c>
      <c r="M77" s="2" t="inlineStr">
        <is>
          <t>Contribute funds; Contribute to code; Contribute to documentation; Contribute to education or training; Contribute to working groups or interest groups</t>
        </is>
      </c>
    </row>
    <row r="78">
      <c r="A78" s="2" t="inlineStr">
        <is>
          <t>openCost</t>
        </is>
      </c>
      <c r="B78" s="2" t="n">
        <v>0</v>
      </c>
      <c r="C78" s="2" t="n">
        <v>0</v>
      </c>
      <c r="D78" s="2" t="n">
        <v>0</v>
      </c>
      <c r="E78" s="2" t="n">
        <v>0</v>
      </c>
      <c r="F78" s="2" t="n">
        <v>0</v>
      </c>
      <c r="G78" s="2" t="n">
        <v>0</v>
      </c>
      <c r="H78" s="2" t="n">
        <v>0</v>
      </c>
      <c r="I78" s="2" t="n">
        <v>0</v>
      </c>
      <c r="J78" s="2" t="n"/>
      <c r="K78" s="2" t="n">
        <v>0</v>
      </c>
      <c r="L78" s="2" t="n">
        <v>0</v>
      </c>
      <c r="M78" s="2" t="inlineStr"/>
    </row>
    <row r="79">
      <c r="A79" s="2" t="inlineStr">
        <is>
          <t>Open Data Editor</t>
        </is>
      </c>
      <c r="B79" s="2" t="n">
        <v>0</v>
      </c>
      <c r="C79" s="2" t="n">
        <v>0</v>
      </c>
      <c r="D79" s="2" t="n">
        <v>0</v>
      </c>
      <c r="E79" s="2" t="n">
        <v>0</v>
      </c>
      <c r="F79" s="2" t="n">
        <v>0</v>
      </c>
      <c r="G79" s="2" t="n">
        <v>0</v>
      </c>
      <c r="H79" s="2" t="n">
        <v>1</v>
      </c>
      <c r="I79" s="2" t="n">
        <v>0</v>
      </c>
      <c r="J79" s="2" t="n"/>
      <c r="K79" s="2" t="n">
        <v>0</v>
      </c>
      <c r="L79" s="2" t="n">
        <v>1</v>
      </c>
      <c r="M79" s="2" t="inlineStr">
        <is>
          <t>Contribute to user research or user testing</t>
        </is>
      </c>
    </row>
    <row r="80">
      <c r="A80" s="2" t="inlineStr">
        <is>
          <t>OpenEdition</t>
        </is>
      </c>
      <c r="B80" s="2" t="n">
        <v>0</v>
      </c>
      <c r="C80" s="2" t="n">
        <v>0</v>
      </c>
      <c r="D80" s="2" t="n">
        <v>0</v>
      </c>
      <c r="E80" s="2" t="n">
        <v>0</v>
      </c>
      <c r="F80" s="2" t="n">
        <v>0</v>
      </c>
      <c r="G80" s="2" t="n">
        <v>0</v>
      </c>
      <c r="H80" s="2" t="n">
        <v>0</v>
      </c>
      <c r="I80" s="2" t="n">
        <v>1</v>
      </c>
      <c r="J80" s="2" t="n"/>
      <c r="K80" s="2" t="n">
        <v>0</v>
      </c>
      <c r="L80" s="2" t="n">
        <v>1</v>
      </c>
      <c r="M80" s="2" t="inlineStr">
        <is>
          <t>Contribute to working groups or interest groups</t>
        </is>
      </c>
    </row>
    <row r="81">
      <c r="A81" s="2" t="inlineStr">
        <is>
          <t>Open Journal Systems (OJS)</t>
        </is>
      </c>
      <c r="B81" s="2" t="n">
        <v>1</v>
      </c>
      <c r="C81" s="2" t="n">
        <v>1</v>
      </c>
      <c r="D81" s="2" t="n">
        <v>1</v>
      </c>
      <c r="E81" s="2" t="n">
        <v>1</v>
      </c>
      <c r="F81" s="2" t="n">
        <v>0</v>
      </c>
      <c r="G81" s="2" t="n">
        <v>0</v>
      </c>
      <c r="H81" s="2" t="n">
        <v>0</v>
      </c>
      <c r="I81" s="2" t="n">
        <v>1</v>
      </c>
      <c r="J81" s="2" t="n"/>
      <c r="K81" s="2" t="n">
        <v>0</v>
      </c>
      <c r="L81" s="2" t="n">
        <v>5</v>
      </c>
      <c r="M81" s="2" t="inlineStr">
        <is>
          <t>Contribute funds; Contribute to code; Contribute to documentation; Contribute to education or training; Contribute to working groups or interest groups</t>
        </is>
      </c>
    </row>
    <row r="82">
      <c r="A82" s="2" t="inlineStr">
        <is>
          <t>Open Monograph Press (OMP)</t>
        </is>
      </c>
      <c r="B82" s="2" t="n">
        <v>1</v>
      </c>
      <c r="C82" s="2" t="n">
        <v>1</v>
      </c>
      <c r="D82" s="2" t="n">
        <v>1</v>
      </c>
      <c r="E82" s="2" t="n">
        <v>1</v>
      </c>
      <c r="F82" s="2" t="n">
        <v>0</v>
      </c>
      <c r="G82" s="2" t="n">
        <v>0</v>
      </c>
      <c r="H82" s="2" t="n">
        <v>0</v>
      </c>
      <c r="I82" s="2" t="n">
        <v>1</v>
      </c>
      <c r="J82" s="2" t="n"/>
      <c r="K82" s="2" t="n">
        <v>0</v>
      </c>
      <c r="L82" s="2" t="n">
        <v>5</v>
      </c>
      <c r="M82" s="2" t="inlineStr">
        <is>
          <t>Contribute funds; Contribute to code; Contribute to documentation; Contribute to education or training; Contribute to working groups or interest groups</t>
        </is>
      </c>
    </row>
    <row r="83">
      <c r="A83" s="2" t="inlineStr">
        <is>
          <t>Open Preprint Systems (OPS)</t>
        </is>
      </c>
      <c r="B83" s="2" t="n">
        <v>1</v>
      </c>
      <c r="C83" s="2" t="n">
        <v>1</v>
      </c>
      <c r="D83" s="2" t="n">
        <v>1</v>
      </c>
      <c r="E83" s="2" t="n">
        <v>1</v>
      </c>
      <c r="F83" s="2" t="n">
        <v>0</v>
      </c>
      <c r="G83" s="2" t="n">
        <v>0</v>
      </c>
      <c r="H83" s="2" t="n">
        <v>0</v>
      </c>
      <c r="I83" s="2" t="n">
        <v>1</v>
      </c>
      <c r="J83" s="2" t="n"/>
      <c r="K83" s="2" t="n">
        <v>0</v>
      </c>
      <c r="L83" s="2" t="n">
        <v>5</v>
      </c>
      <c r="M83" s="2" t="inlineStr">
        <is>
          <t>Contribute funds; Contribute to code; Contribute to documentation; Contribute to education or training; Contribute to working groups or interest groups</t>
        </is>
      </c>
    </row>
    <row r="84">
      <c r="A84" s="2" t="inlineStr">
        <is>
          <t>Openverse</t>
        </is>
      </c>
      <c r="B84" s="2" t="n">
        <v>0</v>
      </c>
      <c r="C84" s="2" t="n">
        <v>0</v>
      </c>
      <c r="D84" s="2" t="n">
        <v>0</v>
      </c>
      <c r="E84" s="2" t="n">
        <v>0</v>
      </c>
      <c r="F84" s="2" t="n">
        <v>0</v>
      </c>
      <c r="G84" s="2" t="n">
        <v>0</v>
      </c>
      <c r="H84" s="2" t="n">
        <v>0</v>
      </c>
      <c r="I84" s="2" t="n">
        <v>0</v>
      </c>
      <c r="J84" s="2" t="n"/>
      <c r="K84" s="2" t="n">
        <v>0</v>
      </c>
      <c r="L84" s="2" t="n">
        <v>0</v>
      </c>
      <c r="M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c r="K85" s="2" t="n">
        <v>0</v>
      </c>
      <c r="L85" s="2" t="n">
        <v>0</v>
      </c>
      <c r="M85" s="2" t="inlineStr"/>
    </row>
    <row r="86">
      <c r="A86" s="2" t="inlineStr">
        <is>
          <t>OSF (Open Science Framework)</t>
        </is>
      </c>
      <c r="B86" s="2" t="n">
        <v>1</v>
      </c>
      <c r="C86" s="2" t="n">
        <v>1</v>
      </c>
      <c r="D86" s="2" t="n">
        <v>1</v>
      </c>
      <c r="E86" s="2" t="n">
        <v>1</v>
      </c>
      <c r="F86" s="2" t="n">
        <v>0</v>
      </c>
      <c r="G86" s="2" t="n">
        <v>0</v>
      </c>
      <c r="H86" s="2" t="n">
        <v>0</v>
      </c>
      <c r="I86" s="2" t="n">
        <v>1</v>
      </c>
      <c r="J86" s="2" t="n"/>
      <c r="K86" s="2" t="n">
        <v>0</v>
      </c>
      <c r="L86" s="2" t="n">
        <v>5</v>
      </c>
      <c r="M86" s="2" t="inlineStr">
        <is>
          <t>Contribute funds; Contribute to code; Contribute to documentation; Contribute to education or training; Contribute to working groups or interest groups</t>
        </is>
      </c>
    </row>
    <row r="87">
      <c r="A87" s="2" t="inlineStr">
        <is>
          <t>Oxford Common File Layout</t>
        </is>
      </c>
      <c r="B87" s="2" t="n">
        <v>0</v>
      </c>
      <c r="C87" s="2" t="n">
        <v>1</v>
      </c>
      <c r="D87" s="2" t="n">
        <v>1</v>
      </c>
      <c r="E87" s="2" t="n">
        <v>1</v>
      </c>
      <c r="F87" s="2" t="n">
        <v>0</v>
      </c>
      <c r="G87" s="2" t="n">
        <v>0</v>
      </c>
      <c r="H87" s="2" t="n">
        <v>0</v>
      </c>
      <c r="I87" s="2" t="n">
        <v>0</v>
      </c>
      <c r="J87" s="2" t="n"/>
      <c r="K87" s="2" t="n">
        <v>0</v>
      </c>
      <c r="L87" s="2" t="n">
        <v>3</v>
      </c>
      <c r="M87" s="2" t="inlineStr">
        <is>
          <t>Contribute to code; Contribute to documentation; Contribute to education or training</t>
        </is>
      </c>
    </row>
    <row r="88">
      <c r="A88" s="2" t="inlineStr">
        <is>
          <t>Peer Community In</t>
        </is>
      </c>
      <c r="B88" s="2" t="n">
        <v>0</v>
      </c>
      <c r="C88" s="2" t="n">
        <v>0</v>
      </c>
      <c r="D88" s="2" t="n">
        <v>0</v>
      </c>
      <c r="E88" s="2" t="n">
        <v>0</v>
      </c>
      <c r="F88" s="2" t="n">
        <v>0</v>
      </c>
      <c r="G88" s="2" t="n">
        <v>0</v>
      </c>
      <c r="H88" s="2" t="n">
        <v>0</v>
      </c>
      <c r="I88" s="2" t="n">
        <v>0</v>
      </c>
      <c r="J88" s="2" t="n"/>
      <c r="K88" s="2" t="n">
        <v>0</v>
      </c>
      <c r="L88" s="2" t="n">
        <v>0</v>
      </c>
      <c r="M88" s="2" t="inlineStr"/>
    </row>
    <row r="89">
      <c r="A89" s="2" t="inlineStr">
        <is>
          <t>PKP Preservation Network</t>
        </is>
      </c>
      <c r="B89" s="2" t="n">
        <v>0</v>
      </c>
      <c r="C89" s="2" t="n">
        <v>0</v>
      </c>
      <c r="D89" s="2" t="n">
        <v>0</v>
      </c>
      <c r="E89" s="2" t="n">
        <v>0</v>
      </c>
      <c r="F89" s="2" t="n">
        <v>0</v>
      </c>
      <c r="G89" s="2" t="n">
        <v>0</v>
      </c>
      <c r="H89" s="2" t="n">
        <v>0</v>
      </c>
      <c r="I89" s="2" t="n">
        <v>0</v>
      </c>
      <c r="J89" s="2" t="n"/>
      <c r="K89" s="2" t="n">
        <v>0</v>
      </c>
      <c r="L89" s="2" t="n">
        <v>0</v>
      </c>
      <c r="M89" s="2" t="inlineStr"/>
    </row>
    <row r="90">
      <c r="A90" s="2" t="inlineStr">
        <is>
          <t>PREreview</t>
        </is>
      </c>
      <c r="B90" s="2" t="n">
        <v>1</v>
      </c>
      <c r="C90" s="2" t="n">
        <v>0</v>
      </c>
      <c r="D90" s="2" t="n">
        <v>1</v>
      </c>
      <c r="E90" s="2" t="n">
        <v>1</v>
      </c>
      <c r="F90" s="2" t="n">
        <v>0</v>
      </c>
      <c r="G90" s="2" t="n">
        <v>1</v>
      </c>
      <c r="H90" s="2" t="n">
        <v>1</v>
      </c>
      <c r="I90" s="2" t="n">
        <v>1</v>
      </c>
      <c r="J90" s="2" t="inlineStr">
        <is>
          <t>PREreview runs an annual Champions Program, more information here: https://prereview.org/trainings#prereview-champions-program</t>
        </is>
      </c>
      <c r="K90" s="2" t="n">
        <v>1</v>
      </c>
      <c r="L90" s="2" t="n">
        <v>7</v>
      </c>
      <c r="M90" s="2" t="inlineStr">
        <is>
          <t>Contribute funds; Contribute to documentation; Contribute to education or training; Contribute to peer reviews; Contribute to user research or user testing; Contribute to working groups or interest groups; Other</t>
        </is>
      </c>
    </row>
    <row r="91">
      <c r="A91" s="2" t="inlineStr">
        <is>
          <t>Pressbooks</t>
        </is>
      </c>
      <c r="B91" s="2" t="n">
        <v>0</v>
      </c>
      <c r="C91" s="2" t="n">
        <v>1</v>
      </c>
      <c r="D91" s="2" t="n">
        <v>1</v>
      </c>
      <c r="E91" s="2" t="n">
        <v>1</v>
      </c>
      <c r="F91" s="2" t="n">
        <v>0</v>
      </c>
      <c r="G91" s="2" t="n">
        <v>0</v>
      </c>
      <c r="H91" s="2" t="n">
        <v>0</v>
      </c>
      <c r="I91" s="2" t="n">
        <v>0</v>
      </c>
      <c r="J91" s="2" t="n"/>
      <c r="K91" s="2" t="n">
        <v>0</v>
      </c>
      <c r="L91" s="2" t="n">
        <v>3</v>
      </c>
      <c r="M91" s="2" t="inlineStr">
        <is>
          <t>Contribute to code; Contribute to documentation; Contribute to education or training</t>
        </is>
      </c>
    </row>
    <row r="92">
      <c r="A92" s="2" t="inlineStr">
        <is>
          <t>Public Access Submission System</t>
        </is>
      </c>
      <c r="B92" s="2" t="n">
        <v>1</v>
      </c>
      <c r="C92" s="2" t="n">
        <v>1</v>
      </c>
      <c r="D92" s="2" t="n">
        <v>1</v>
      </c>
      <c r="E92" s="2" t="n">
        <v>0</v>
      </c>
      <c r="F92" s="2" t="n">
        <v>0</v>
      </c>
      <c r="G92" s="2" t="n">
        <v>0</v>
      </c>
      <c r="H92" s="2" t="n">
        <v>0</v>
      </c>
      <c r="I92" s="2" t="n">
        <v>1</v>
      </c>
      <c r="J92" s="2" t="n"/>
      <c r="K92" s="2" t="n">
        <v>0</v>
      </c>
      <c r="L92" s="2" t="n">
        <v>4</v>
      </c>
      <c r="M92" s="2" t="inlineStr">
        <is>
          <t>Contribute funds; Contribute to code; Contribute to documentation; Contribute to working groups or interest groups</t>
        </is>
      </c>
    </row>
    <row r="93">
      <c r="A93" s="2" t="inlineStr">
        <is>
          <t>Public Utility Data Liberation (PUDL)</t>
        </is>
      </c>
      <c r="B93" s="2" t="n">
        <v>0</v>
      </c>
      <c r="C93" s="2" t="n">
        <v>0</v>
      </c>
      <c r="D93" s="2" t="n">
        <v>0</v>
      </c>
      <c r="E93" s="2" t="n">
        <v>0</v>
      </c>
      <c r="F93" s="2" t="n">
        <v>0</v>
      </c>
      <c r="G93" s="2" t="n">
        <v>0</v>
      </c>
      <c r="H93" s="2" t="n">
        <v>0</v>
      </c>
      <c r="I93" s="2" t="n">
        <v>0</v>
      </c>
      <c r="J93" s="2" t="n"/>
      <c r="K93" s="2" t="n">
        <v>0</v>
      </c>
      <c r="L93" s="2" t="n">
        <v>0</v>
      </c>
      <c r="M93" s="2" t="inlineStr"/>
    </row>
    <row r="94">
      <c r="A94" s="2" t="inlineStr">
        <is>
          <t>PubPub</t>
        </is>
      </c>
      <c r="B94" s="2" t="n">
        <v>1</v>
      </c>
      <c r="C94" s="2" t="n">
        <v>1</v>
      </c>
      <c r="D94" s="2" t="n">
        <v>1</v>
      </c>
      <c r="E94" s="2" t="n">
        <v>0</v>
      </c>
      <c r="F94" s="2" t="n">
        <v>0</v>
      </c>
      <c r="G94" s="2" t="n">
        <v>0</v>
      </c>
      <c r="H94" s="2" t="n">
        <v>0</v>
      </c>
      <c r="I94" s="2" t="n">
        <v>1</v>
      </c>
      <c r="J94" s="2" t="n"/>
      <c r="K94" s="2" t="n">
        <v>0</v>
      </c>
      <c r="L94" s="2" t="n">
        <v>4</v>
      </c>
      <c r="M94" s="2" t="inlineStr">
        <is>
          <t>Contribute funds; Contribute to code; Contribute to documentation; Contribute to working groups or interest groups</t>
        </is>
      </c>
    </row>
    <row r="95">
      <c r="A95" s="2" t="inlineStr">
        <is>
          <t>Pundit</t>
        </is>
      </c>
      <c r="B95" s="2" t="n">
        <v>1</v>
      </c>
      <c r="C95" s="2" t="n">
        <v>1</v>
      </c>
      <c r="D95" s="2" t="n">
        <v>1</v>
      </c>
      <c r="E95" s="2" t="n">
        <v>1</v>
      </c>
      <c r="F95" s="2" t="n">
        <v>1</v>
      </c>
      <c r="G95" s="2" t="n">
        <v>0</v>
      </c>
      <c r="H95" s="2" t="n">
        <v>1</v>
      </c>
      <c r="I95" s="2" t="n">
        <v>1</v>
      </c>
      <c r="J95" s="2" t="n"/>
      <c r="K95" s="2" t="n">
        <v>0</v>
      </c>
      <c r="L95" s="2" t="n">
        <v>7</v>
      </c>
      <c r="M95" s="2" t="inlineStr">
        <is>
          <t>Contribute funds; Contribute to code; Contribute to documentation; Contribute to education or training; Contribute to governance; Contribute to user research or user testing; Contribute to working groups or interest groups</t>
        </is>
      </c>
    </row>
    <row r="96">
      <c r="A96" s="2" t="inlineStr">
        <is>
          <t>pyOpenSci</t>
        </is>
      </c>
      <c r="B96" s="2" t="n">
        <v>0</v>
      </c>
      <c r="C96" s="2" t="n">
        <v>0</v>
      </c>
      <c r="D96" s="2" t="n">
        <v>0</v>
      </c>
      <c r="E96" s="2" t="n">
        <v>0</v>
      </c>
      <c r="F96" s="2" t="n">
        <v>0</v>
      </c>
      <c r="G96" s="2" t="n">
        <v>0</v>
      </c>
      <c r="H96" s="2" t="n">
        <v>0</v>
      </c>
      <c r="I96" s="2" t="n">
        <v>0</v>
      </c>
      <c r="J96" s="2" t="n"/>
      <c r="K96" s="2" t="n">
        <v>0</v>
      </c>
      <c r="L96" s="2" t="n">
        <v>0</v>
      </c>
      <c r="M96" s="2" t="inlineStr"/>
    </row>
    <row r="97">
      <c r="A97" s="2" t="inlineStr">
        <is>
          <t>Renku</t>
        </is>
      </c>
      <c r="B97" s="2" t="n">
        <v>0</v>
      </c>
      <c r="C97" s="2" t="n">
        <v>1</v>
      </c>
      <c r="D97" s="2" t="n">
        <v>1</v>
      </c>
      <c r="E97" s="2" t="n">
        <v>1</v>
      </c>
      <c r="F97" s="2" t="n">
        <v>0</v>
      </c>
      <c r="G97" s="2" t="n">
        <v>0</v>
      </c>
      <c r="H97" s="2" t="n">
        <v>1</v>
      </c>
      <c r="I97" s="2" t="n">
        <v>0</v>
      </c>
      <c r="J97" s="2" t="n"/>
      <c r="K97" s="2" t="n">
        <v>0</v>
      </c>
      <c r="L97" s="2" t="n">
        <v>4</v>
      </c>
      <c r="M97" s="2" t="inlineStr">
        <is>
          <t>Contribute to code; Contribute to documentation; Contribute to education or training; Contribute to user research or user testing</t>
        </is>
      </c>
    </row>
    <row r="98">
      <c r="A98" s="2" t="inlineStr">
        <is>
          <t>RePEc</t>
        </is>
      </c>
      <c r="B98" s="2" t="n">
        <v>1</v>
      </c>
      <c r="C98" s="2" t="n">
        <v>1</v>
      </c>
      <c r="D98" s="2" t="n">
        <v>0</v>
      </c>
      <c r="E98" s="2" t="n">
        <v>0</v>
      </c>
      <c r="F98" s="2" t="n">
        <v>0</v>
      </c>
      <c r="G98" s="2" t="n">
        <v>0</v>
      </c>
      <c r="H98" s="2" t="n">
        <v>1</v>
      </c>
      <c r="I98" s="2" t="n">
        <v>0</v>
      </c>
      <c r="J98" s="2" t="inlineStr">
        <is>
          <t>Sponsor hardware, editor for alert service, contribute metadata</t>
        </is>
      </c>
      <c r="K98" s="2" t="n">
        <v>1</v>
      </c>
      <c r="L98" s="2" t="n">
        <v>4</v>
      </c>
      <c r="M98" s="2" t="inlineStr">
        <is>
          <t>Contribute funds; Contribute to code; Contribute to user research or user testing; Other</t>
        </is>
      </c>
    </row>
    <row r="99">
      <c r="A99" s="2" t="inlineStr">
        <is>
          <t>Research Organization Registry (ROR)</t>
        </is>
      </c>
      <c r="B99" s="2" t="n">
        <v>1</v>
      </c>
      <c r="C99" s="2" t="n">
        <v>1</v>
      </c>
      <c r="D99" s="2" t="n">
        <v>1</v>
      </c>
      <c r="E99" s="2" t="n">
        <v>1</v>
      </c>
      <c r="F99" s="2" t="n">
        <v>0</v>
      </c>
      <c r="G99" s="2" t="n">
        <v>0</v>
      </c>
      <c r="H99" s="2" t="n">
        <v>0</v>
      </c>
      <c r="I99" s="2" t="n">
        <v>1</v>
      </c>
      <c r="J99" s="2" t="n"/>
      <c r="K99" s="2" t="n">
        <v>0</v>
      </c>
      <c r="L99" s="2" t="n">
        <v>5</v>
      </c>
      <c r="M99" s="2" t="inlineStr">
        <is>
          <t>Contribute funds; Contribute to code; Contribute to documentation; Contribute to education or training; Contribute to working groups or interest groups</t>
        </is>
      </c>
    </row>
    <row r="100">
      <c r="A100" s="2" t="inlineStr">
        <is>
          <t>Rogue Scholar</t>
        </is>
      </c>
      <c r="B100" s="2" t="n">
        <v>1</v>
      </c>
      <c r="C100" s="2" t="n">
        <v>1</v>
      </c>
      <c r="D100" s="2" t="n">
        <v>0</v>
      </c>
      <c r="E100" s="2" t="n">
        <v>1</v>
      </c>
      <c r="F100" s="2" t="n">
        <v>0</v>
      </c>
      <c r="G100" s="2" t="n">
        <v>0</v>
      </c>
      <c r="H100" s="2" t="n">
        <v>0</v>
      </c>
      <c r="I100" s="2" t="n">
        <v>0</v>
      </c>
      <c r="J100" s="2" t="n"/>
      <c r="K100" s="2" t="n">
        <v>0</v>
      </c>
      <c r="L100" s="2" t="n">
        <v>3</v>
      </c>
      <c r="M100" s="2" t="inlineStr">
        <is>
          <t>Contribute funds; Contribute to code; Contribute to education or training</t>
        </is>
      </c>
    </row>
    <row r="101">
      <c r="A101" s="2" t="inlineStr">
        <is>
          <t>RSpace</t>
        </is>
      </c>
      <c r="B101" s="2" t="n">
        <v>0</v>
      </c>
      <c r="C101" s="2" t="n">
        <v>1</v>
      </c>
      <c r="D101" s="2" t="n">
        <v>0</v>
      </c>
      <c r="E101" s="2" t="n">
        <v>0</v>
      </c>
      <c r="F101" s="2" t="n">
        <v>0</v>
      </c>
      <c r="G101" s="2" t="n">
        <v>0</v>
      </c>
      <c r="H101" s="2" t="n">
        <v>1</v>
      </c>
      <c r="I101" s="2" t="n">
        <v>0</v>
      </c>
      <c r="J101" s="2" t="n"/>
      <c r="K101" s="2" t="n">
        <v>0</v>
      </c>
      <c r="L101" s="2" t="n">
        <v>2</v>
      </c>
      <c r="M101" s="2" t="inlineStr">
        <is>
          <t>Contribute to code; Contribute to user research or user testing</t>
        </is>
      </c>
    </row>
    <row r="102">
      <c r="A102" s="2" t="inlineStr">
        <is>
          <t>Sciety</t>
        </is>
      </c>
      <c r="B102" s="2" t="n">
        <v>0</v>
      </c>
      <c r="C102" s="2" t="n">
        <v>0</v>
      </c>
      <c r="D102" s="2" t="n">
        <v>0</v>
      </c>
      <c r="E102" s="2" t="n">
        <v>0</v>
      </c>
      <c r="F102" s="2" t="n">
        <v>0</v>
      </c>
      <c r="G102" s="2" t="n">
        <v>0</v>
      </c>
      <c r="H102" s="2" t="n">
        <v>0</v>
      </c>
      <c r="I102" s="2" t="n">
        <v>0</v>
      </c>
      <c r="J102" s="2" t="n"/>
      <c r="K102" s="2" t="n">
        <v>0</v>
      </c>
      <c r="L102" s="2" t="n">
        <v>0</v>
      </c>
      <c r="M102" s="2" t="inlineStr"/>
    </row>
    <row r="103">
      <c r="A103" s="2" t="inlineStr">
        <is>
          <t>Synapse</t>
        </is>
      </c>
      <c r="B103" s="2" t="n">
        <v>0</v>
      </c>
      <c r="C103" s="2" t="n">
        <v>0</v>
      </c>
      <c r="D103" s="2" t="n">
        <v>0</v>
      </c>
      <c r="E103" s="2" t="n">
        <v>0</v>
      </c>
      <c r="F103" s="2" t="n">
        <v>0</v>
      </c>
      <c r="G103" s="2" t="n">
        <v>0</v>
      </c>
      <c r="H103" s="2" t="n">
        <v>0</v>
      </c>
      <c r="I103" s="2" t="n">
        <v>0</v>
      </c>
      <c r="J103" s="2" t="n"/>
      <c r="K103" s="2" t="n">
        <v>0</v>
      </c>
      <c r="L103" s="2" t="n">
        <v>0</v>
      </c>
      <c r="M103" s="2" t="inlineStr"/>
    </row>
    <row r="104">
      <c r="A104" s="2" t="inlineStr">
        <is>
          <t>TagTeam</t>
        </is>
      </c>
      <c r="B104" s="2" t="n">
        <v>0</v>
      </c>
      <c r="C104" s="2" t="n">
        <v>0</v>
      </c>
      <c r="D104" s="2" t="n">
        <v>0</v>
      </c>
      <c r="E104" s="2" t="n">
        <v>0</v>
      </c>
      <c r="F104" s="2" t="n">
        <v>0</v>
      </c>
      <c r="G104" s="2" t="n">
        <v>0</v>
      </c>
      <c r="H104" s="2" t="n">
        <v>0</v>
      </c>
      <c r="I104" s="2" t="n">
        <v>0</v>
      </c>
      <c r="J104" s="2" t="n"/>
      <c r="K104" s="2" t="n">
        <v>0</v>
      </c>
      <c r="L104" s="2" t="n">
        <v>0</v>
      </c>
      <c r="M104" s="2" t="inlineStr"/>
    </row>
    <row r="105">
      <c r="A105" s="2" t="inlineStr">
        <is>
          <t>Thoth Open Metadata</t>
        </is>
      </c>
      <c r="B105" s="2" t="n">
        <v>1</v>
      </c>
      <c r="C105" s="2" t="n">
        <v>1</v>
      </c>
      <c r="D105" s="2" t="n">
        <v>1</v>
      </c>
      <c r="E105" s="2" t="n">
        <v>0</v>
      </c>
      <c r="F105" s="2" t="n">
        <v>1</v>
      </c>
      <c r="G105" s="2" t="n">
        <v>0</v>
      </c>
      <c r="H105" s="2" t="n">
        <v>1</v>
      </c>
      <c r="I105" s="2" t="n">
        <v>1</v>
      </c>
      <c r="J105" s="2" t="n"/>
      <c r="K105" s="2" t="n">
        <v>0</v>
      </c>
      <c r="L105" s="2" t="n">
        <v>6</v>
      </c>
      <c r="M105" s="2" t="inlineStr">
        <is>
          <t>Contribute funds; Contribute to code; Contribute to documentation; Contribute to governance; Contribute to user research or user testing; Contribute to working groups or interest groups</t>
        </is>
      </c>
    </row>
    <row r="106">
      <c r="A106" s="2" t="inlineStr">
        <is>
          <t>Tropy</t>
        </is>
      </c>
      <c r="B106" s="2" t="n">
        <v>0</v>
      </c>
      <c r="C106" s="2" t="n">
        <v>1</v>
      </c>
      <c r="D106" s="2" t="n">
        <v>0</v>
      </c>
      <c r="E106" s="2" t="n">
        <v>0</v>
      </c>
      <c r="F106" s="2" t="n">
        <v>0</v>
      </c>
      <c r="G106" s="2" t="n">
        <v>0</v>
      </c>
      <c r="H106" s="2" t="n">
        <v>0</v>
      </c>
      <c r="I106" s="2" t="n">
        <v>0</v>
      </c>
      <c r="J106" s="2" t="n"/>
      <c r="K106" s="2" t="n">
        <v>0</v>
      </c>
      <c r="L106" s="2" t="n">
        <v>1</v>
      </c>
      <c r="M106" s="2" t="inlineStr">
        <is>
          <t>Contribute to code</t>
        </is>
      </c>
    </row>
    <row r="107">
      <c r="A107" s="2" t="inlineStr">
        <is>
          <t>veraPDF</t>
        </is>
      </c>
      <c r="B107" s="2" t="n">
        <v>0</v>
      </c>
      <c r="C107" s="2" t="n">
        <v>0</v>
      </c>
      <c r="D107" s="2" t="n">
        <v>0</v>
      </c>
      <c r="E107" s="2" t="n">
        <v>0</v>
      </c>
      <c r="F107" s="2" t="n">
        <v>0</v>
      </c>
      <c r="G107" s="2" t="n">
        <v>0</v>
      </c>
      <c r="H107" s="2" t="n">
        <v>0</v>
      </c>
      <c r="I107" s="2" t="n">
        <v>0</v>
      </c>
      <c r="J107" s="2" t="n"/>
      <c r="K107" s="2" t="n">
        <v>0</v>
      </c>
      <c r="L107" s="2" t="n">
        <v>0</v>
      </c>
      <c r="M107" s="2" t="inlineStr"/>
    </row>
    <row r="108">
      <c r="A108" s="2" t="inlineStr">
        <is>
          <t>ViPER</t>
        </is>
      </c>
      <c r="B108" s="2" t="n">
        <v>0</v>
      </c>
      <c r="C108" s="2" t="n">
        <v>1</v>
      </c>
      <c r="D108" s="2" t="n">
        <v>1</v>
      </c>
      <c r="E108" s="2" t="n">
        <v>0</v>
      </c>
      <c r="F108" s="2" t="n">
        <v>0</v>
      </c>
      <c r="G108" s="2" t="n">
        <v>0</v>
      </c>
      <c r="H108" s="2" t="n">
        <v>1</v>
      </c>
      <c r="I108" s="2" t="n">
        <v>1</v>
      </c>
      <c r="J108" s="2" t="n"/>
      <c r="K108" s="2" t="n">
        <v>0</v>
      </c>
      <c r="L108" s="2" t="n">
        <v>4</v>
      </c>
      <c r="M108" s="2" t="inlineStr">
        <is>
          <t>Contribute to code; Contribute to documentation; Contribute to user research or user testing; Contribute to working groups or interest groups</t>
        </is>
      </c>
    </row>
    <row r="109">
      <c r="A109" s="2" t="inlineStr">
        <is>
          <t>Vireo ETD</t>
        </is>
      </c>
      <c r="B109" s="2" t="n">
        <v>1</v>
      </c>
      <c r="C109" s="2" t="n">
        <v>1</v>
      </c>
      <c r="D109" s="2" t="n">
        <v>1</v>
      </c>
      <c r="E109" s="2" t="n">
        <v>1</v>
      </c>
      <c r="F109" s="2" t="n">
        <v>1</v>
      </c>
      <c r="G109" s="2" t="n">
        <v>0</v>
      </c>
      <c r="H109" s="2" t="n">
        <v>1</v>
      </c>
      <c r="I109" s="2" t="n">
        <v>1</v>
      </c>
      <c r="J109" s="2" t="n"/>
      <c r="K109" s="2" t="n">
        <v>0</v>
      </c>
      <c r="L109" s="2" t="n">
        <v>7</v>
      </c>
      <c r="M109" s="2" t="inlineStr">
        <is>
          <t>Contribute funds; Contribute to code; Contribute to documentation; Contribute to education or training; Contribute to governance; Contribute to user research or user testing; Contribute to working groups or interest groups</t>
        </is>
      </c>
    </row>
    <row r="110">
      <c r="A110" s="2" t="inlineStr">
        <is>
          <t>VIVO</t>
        </is>
      </c>
      <c r="B110" s="2" t="n">
        <v>1</v>
      </c>
      <c r="C110" s="2" t="n">
        <v>1</v>
      </c>
      <c r="D110" s="2" t="n">
        <v>1</v>
      </c>
      <c r="E110" s="2" t="n">
        <v>1</v>
      </c>
      <c r="F110" s="2" t="n">
        <v>1</v>
      </c>
      <c r="G110" s="2" t="n">
        <v>0</v>
      </c>
      <c r="H110" s="2" t="n">
        <v>1</v>
      </c>
      <c r="I110" s="2" t="n">
        <v>1</v>
      </c>
      <c r="J110" s="2" t="n"/>
      <c r="K110" s="2" t="n">
        <v>0</v>
      </c>
      <c r="L110" s="2" t="n">
        <v>7</v>
      </c>
      <c r="M110" s="2" t="inlineStr">
        <is>
          <t>Contribute funds; Contribute to code; Contribute to documentation; Contribute to education or training; Contribute to governance; Contribute to user research or user testing; Contribute to working groups or interest groups</t>
        </is>
      </c>
    </row>
    <row r="111">
      <c r="A111" s="2" t="inlineStr">
        <is>
          <t>VuFind®</t>
        </is>
      </c>
      <c r="B111" s="2" t="n">
        <v>1</v>
      </c>
      <c r="C111" s="2" t="n">
        <v>1</v>
      </c>
      <c r="D111" s="2" t="n">
        <v>1</v>
      </c>
      <c r="E111" s="2" t="n">
        <v>1</v>
      </c>
      <c r="F111" s="2" t="n">
        <v>1</v>
      </c>
      <c r="G111" s="2" t="n">
        <v>0</v>
      </c>
      <c r="H111" s="2" t="n">
        <v>0</v>
      </c>
      <c r="I111" s="2" t="n">
        <v>1</v>
      </c>
      <c r="J111" s="2" t="n"/>
      <c r="K111" s="2" t="n">
        <v>0</v>
      </c>
      <c r="L111" s="2" t="n">
        <v>6</v>
      </c>
      <c r="M111" s="2" t="inlineStr">
        <is>
          <t>Contribute funds; Contribute to code; Contribute to documentation; Contribute to education or training; Contribute to governance; Contribute to working groups or interest groups</t>
        </is>
      </c>
    </row>
    <row r="112">
      <c r="A112" s="2" t="inlineStr">
        <is>
          <t>Zenodo</t>
        </is>
      </c>
      <c r="B112" s="2" t="n">
        <v>1</v>
      </c>
      <c r="C112" s="2" t="n">
        <v>1</v>
      </c>
      <c r="D112" s="2" t="n">
        <v>1</v>
      </c>
      <c r="E112" s="2" t="n">
        <v>1</v>
      </c>
      <c r="F112" s="2" t="n">
        <v>0</v>
      </c>
      <c r="G112" s="2" t="n">
        <v>0</v>
      </c>
      <c r="H112" s="2" t="n">
        <v>0</v>
      </c>
      <c r="I112" s="2" t="n">
        <v>0</v>
      </c>
      <c r="J112" s="2" t="n"/>
      <c r="K112" s="2" t="n">
        <v>0</v>
      </c>
      <c r="L112" s="2" t="n">
        <v>4</v>
      </c>
      <c r="M112" s="2" t="inlineStr">
        <is>
          <t>Contribute funds; Contribute to code; Contribute to documentation; Contribute to education or training</t>
        </is>
      </c>
    </row>
    <row r="113">
      <c r="A113" s="2" t="inlineStr">
        <is>
          <t>Zotero</t>
        </is>
      </c>
      <c r="B113" s="2" t="n">
        <v>1</v>
      </c>
      <c r="C113" s="2" t="n">
        <v>1</v>
      </c>
      <c r="D113" s="2" t="n">
        <v>1</v>
      </c>
      <c r="E113" s="2" t="n">
        <v>0</v>
      </c>
      <c r="F113" s="2" t="n">
        <v>0</v>
      </c>
      <c r="G113" s="2" t="n">
        <v>0</v>
      </c>
      <c r="H113" s="2" t="n">
        <v>0</v>
      </c>
      <c r="I113" s="2" t="n">
        <v>0</v>
      </c>
      <c r="J113" s="2" t="n"/>
      <c r="K113" s="2" t="n">
        <v>0</v>
      </c>
      <c r="L113" s="2" t="n">
        <v>3</v>
      </c>
      <c r="M113" s="2" t="inlineStr">
        <is>
          <t>Contribute funds; Contribute to code; Contribute to documentation</t>
        </is>
      </c>
    </row>
  </sheetData>
  <autoFilter ref="A1:M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6" customWidth="1" min="3" max="3"/>
    <col width="16" customWidth="1" min="4" max="4"/>
    <col width="14" customWidth="1" min="5" max="5"/>
    <col width="27" customWidth="1" min="6" max="6"/>
    <col width="12" customWidth="1" min="7" max="7"/>
    <col width="12" customWidth="1" min="8" max="8"/>
    <col width="12" customWidth="1" min="9" max="9"/>
    <col width="48" customWidth="1" min="10" max="10"/>
    <col width="48" customWidth="1" min="11" max="11"/>
    <col width="48" customWidth="1" min="12" max="12"/>
  </cols>
  <sheetData>
    <row r="1">
      <c r="A1" s="1" t="inlineStr">
        <is>
          <t>Service</t>
        </is>
      </c>
      <c r="B1" s="1" t="inlineStr">
        <is>
          <t>E1 default</t>
        </is>
      </c>
      <c r="C1" s="1" t="inlineStr">
        <is>
          <t>E2 preliminary</t>
        </is>
      </c>
      <c r="D1" s="1" t="inlineStr">
        <is>
          <t>C1 preliminary</t>
        </is>
      </c>
      <c r="E1" s="1" t="inlineStr">
        <is>
          <t>C2 URL score</t>
        </is>
      </c>
      <c r="F1" s="1" t="inlineStr">
        <is>
          <t>C3 repository-field score</t>
        </is>
      </c>
      <c r="G1" s="1" t="inlineStr">
        <is>
          <t>N1 default</t>
        </is>
      </c>
      <c r="H1" s="1" t="inlineStr">
        <is>
          <t>E2 count</t>
        </is>
      </c>
      <c r="I1" s="1" t="inlineStr">
        <is>
          <t>C1 count</t>
        </is>
      </c>
      <c r="J1" s="1" t="inlineStr">
        <is>
          <t>C2 scoring note</t>
        </is>
      </c>
      <c r="K1" s="1" t="inlineStr">
        <is>
          <t>C3 scoring note</t>
        </is>
      </c>
      <c r="L1" s="1" t="inlineStr">
        <is>
          <t>Data flags</t>
        </is>
      </c>
    </row>
    <row r="2">
      <c r="A2" s="2" t="inlineStr">
        <is>
          <t>2i2c</t>
        </is>
      </c>
      <c r="B2" s="2" t="n">
        <v>100</v>
      </c>
      <c r="C2" s="2" t="n">
        <v>15.3846</v>
      </c>
      <c r="D2" s="2" t="n"/>
      <c r="E2" s="2" t="n"/>
      <c r="F2" s="2" t="n">
        <v>100</v>
      </c>
      <c r="G2" s="2" t="n">
        <v>100</v>
      </c>
      <c r="H2" s="2" t="n">
        <v>2</v>
      </c>
      <c r="I2" s="2" t="n">
        <v>0</v>
      </c>
      <c r="J2" s="2" t="inlineStr">
        <is>
          <t>None: Blank or suspect URL; review required</t>
        </is>
      </c>
      <c r="K2" s="2" t="inlineStr">
        <is>
          <t>100.0: Available public-forge repository URL</t>
        </is>
      </c>
      <c r="L2" s="2" t="inlineStr">
        <is>
          <t>938 coding requires reviewer confirmation; 019 scored from populated repository field; 043 evidence URL should be checked; not scored separately; 116 retained as source evidence only; not scored; 2 unavailable metric(s) scored as 0</t>
        </is>
      </c>
    </row>
    <row r="3">
      <c r="A3" s="2" t="inlineStr">
        <is>
          <t>Academic Preservation Trust (APTrust)</t>
        </is>
      </c>
      <c r="B3" s="2" t="n">
        <v>100</v>
      </c>
      <c r="C3" s="2" t="n">
        <v>76.92310000000001</v>
      </c>
      <c r="D3" s="2" t="n">
        <v>77.7778</v>
      </c>
      <c r="E3" s="2" t="n">
        <v>50</v>
      </c>
      <c r="F3" s="2" t="n">
        <v>100</v>
      </c>
      <c r="G3" s="2" t="n">
        <v>100</v>
      </c>
      <c r="H3" s="2" t="n">
        <v>10</v>
      </c>
      <c r="I3" s="2" t="n">
        <v>7</v>
      </c>
      <c r="J3" s="2" t="inlineStr">
        <is>
          <t>50.0: Candidate general participation page; verify URL</t>
        </is>
      </c>
      <c r="K3" s="2" t="inlineStr">
        <is>
          <t>100.0: Available public-forge repository URL</t>
        </is>
      </c>
      <c r="L3" s="2" t="inlineStr">
        <is>
          <t>041 scored from available URL tier; 019 scored from populated repository field; 043 evidence URL should be checked; not scored separately; 116 retained as source evidence only; not scored</t>
        </is>
      </c>
    </row>
    <row r="4">
      <c r="A4" s="2" t="inlineStr">
        <is>
          <t>AfricArXiv</t>
        </is>
      </c>
      <c r="B4" s="2" t="n">
        <v>33</v>
      </c>
      <c r="C4" s="2" t="n"/>
      <c r="D4" s="2" t="n"/>
      <c r="E4" s="2" t="n"/>
      <c r="F4" s="2" t="n"/>
      <c r="G4" s="2" t="n">
        <v>100</v>
      </c>
      <c r="H4" s="2" t="n">
        <v>0</v>
      </c>
      <c r="I4" s="2" t="n">
        <v>0</v>
      </c>
      <c r="J4" s="2" t="inlineStr">
        <is>
          <t>None: Blank or suspect URL; review required</t>
        </is>
      </c>
      <c r="K4" s="2" t="inlineStr">
        <is>
          <t>None: No repository URL supplied</t>
        </is>
      </c>
      <c r="L4" s="2" t="inlineStr">
        <is>
          <t>043 evidence URL should be checked; not scored separately; 4 unavailable metric(s) scored as 0</t>
        </is>
      </c>
    </row>
    <row r="5">
      <c r="A5" s="2" t="inlineStr">
        <is>
          <t>Arches Heritage Data Management Platform</t>
        </is>
      </c>
      <c r="B5" s="2" t="n">
        <v>100</v>
      </c>
      <c r="C5" s="2" t="n"/>
      <c r="D5" s="2" t="n"/>
      <c r="E5" s="2" t="n">
        <v>100</v>
      </c>
      <c r="F5" s="2" t="n">
        <v>100</v>
      </c>
      <c r="G5" s="2" t="n">
        <v>100</v>
      </c>
      <c r="H5" s="2" t="n">
        <v>0</v>
      </c>
      <c r="I5" s="2" t="n">
        <v>0</v>
      </c>
      <c r="J5" s="2" t="inlineStr">
        <is>
          <t>100.0: Candidate dedicated contribution guide; verify URL</t>
        </is>
      </c>
      <c r="K5" s="2" t="inlineStr">
        <is>
          <t>100.0: Available public-forge repository URL</t>
        </is>
      </c>
      <c r="L5" s="2" t="inlineStr">
        <is>
          <t>041 scored from available URL tier; 019 scored from populated repository field; 043 evidence URL should be checked; not scored separately; 116 retained as source evidence only; not scored; 2 unavailable metric(s) scored as 0</t>
        </is>
      </c>
    </row>
    <row r="6">
      <c r="A6" s="2" t="inlineStr">
        <is>
          <t>Archipelago Commons</t>
        </is>
      </c>
      <c r="B6" s="2" t="n">
        <v>100</v>
      </c>
      <c r="C6" s="2" t="n">
        <v>53.8462</v>
      </c>
      <c r="D6" s="2" t="n">
        <v>33.3333</v>
      </c>
      <c r="E6" s="2" t="n">
        <v>100</v>
      </c>
      <c r="F6" s="2" t="n">
        <v>100</v>
      </c>
      <c r="G6" s="2" t="n">
        <v>100</v>
      </c>
      <c r="H6" s="2" t="n">
        <v>7</v>
      </c>
      <c r="I6" s="2" t="n">
        <v>3</v>
      </c>
      <c r="J6" s="2" t="inlineStr">
        <is>
          <t>100.0: Candidate dedicated contribution guide; verify URL</t>
        </is>
      </c>
      <c r="K6" s="2" t="inlineStr">
        <is>
          <t>100.0: Available public-forge repository URL</t>
        </is>
      </c>
      <c r="L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n">
        <v>100</v>
      </c>
      <c r="C7" s="2" t="n"/>
      <c r="D7" s="2" t="n">
        <v>55.5556</v>
      </c>
      <c r="E7" s="2" t="n">
        <v>50</v>
      </c>
      <c r="F7" s="2" t="n">
        <v>100</v>
      </c>
      <c r="G7" s="2" t="n">
        <v>100</v>
      </c>
      <c r="H7" s="2" t="n">
        <v>0</v>
      </c>
      <c r="I7" s="2" t="n">
        <v>5</v>
      </c>
      <c r="J7" s="2" t="inlineStr">
        <is>
          <t>50.0: Candidate general participation page; verify URL</t>
        </is>
      </c>
      <c r="K7" s="2" t="inlineStr">
        <is>
          <t>100.0: Available public-forge repository URL</t>
        </is>
      </c>
      <c r="L7" s="2" t="inlineStr">
        <is>
          <t>041 scored from available URL tier; 019 scored from populated repository field; 043 evidence URL should be checked; not scored separately; 116 retained as source evidence only; not scored; 1 unavailable metric(s) scored as 0</t>
        </is>
      </c>
    </row>
    <row r="8">
      <c r="A8" s="2" t="inlineStr">
        <is>
          <t>Archivematica</t>
        </is>
      </c>
      <c r="B8" s="2" t="n">
        <v>100</v>
      </c>
      <c r="C8" s="2" t="n"/>
      <c r="D8" s="2" t="n"/>
      <c r="E8" s="2" t="n">
        <v>100</v>
      </c>
      <c r="F8" s="2" t="n">
        <v>100</v>
      </c>
      <c r="G8" s="2" t="n"/>
      <c r="H8" s="2" t="n">
        <v>0</v>
      </c>
      <c r="I8" s="2" t="n">
        <v>0</v>
      </c>
      <c r="J8" s="2" t="inlineStr">
        <is>
          <t>100.0: Candidate dedicated contribution guide; verify URL</t>
        </is>
      </c>
      <c r="K8" s="2" t="inlineStr">
        <is>
          <t>100.0: Available public-forge repository URL</t>
        </is>
      </c>
      <c r="L8" s="2" t="inlineStr">
        <is>
          <t>041 scored from available URL tier; 019 scored from populated repository field; 043 evidence URL should be checked; not scored separately; 116 retained as source evidence only; not scored; 3 unavailable metric(s) scored as 0</t>
        </is>
      </c>
    </row>
    <row r="9">
      <c r="A9" s="2" t="inlineStr">
        <is>
          <t>ArchivesSpace</t>
        </is>
      </c>
      <c r="B9" s="2" t="n">
        <v>100</v>
      </c>
      <c r="C9" s="2" t="n">
        <v>69.2308</v>
      </c>
      <c r="D9" s="2" t="n"/>
      <c r="E9" s="2" t="n">
        <v>100</v>
      </c>
      <c r="F9" s="2" t="n">
        <v>100</v>
      </c>
      <c r="G9" s="2" t="n">
        <v>100</v>
      </c>
      <c r="H9" s="2" t="n">
        <v>9</v>
      </c>
      <c r="I9" s="2" t="n">
        <v>0</v>
      </c>
      <c r="J9" s="2" t="inlineStr">
        <is>
          <t>100.0: Candidate dedicated contribution guide; verify URL</t>
        </is>
      </c>
      <c r="K9" s="2" t="inlineStr">
        <is>
          <t>100.0: Available public-forge repository URL</t>
        </is>
      </c>
      <c r="L9" s="2" t="inlineStr">
        <is>
          <t>041 scored from available URL tier; 019 scored from populated repository field; 043 evidence URL should be checked; not scored separately; 116 retained as source evidence only; not scored; 1 unavailable metric(s) scored as 0</t>
        </is>
      </c>
    </row>
    <row r="10">
      <c r="A10" s="2" t="inlineStr">
        <is>
          <t>ARGOS</t>
        </is>
      </c>
      <c r="B10" s="2" t="n">
        <v>100</v>
      </c>
      <c r="C10" s="2" t="n">
        <v>61.5385</v>
      </c>
      <c r="D10" s="2" t="n"/>
      <c r="E10" s="2" t="n"/>
      <c r="F10" s="2" t="n">
        <v>100</v>
      </c>
      <c r="G10" s="2" t="n">
        <v>100</v>
      </c>
      <c r="H10" s="2" t="n">
        <v>8</v>
      </c>
      <c r="I10" s="2" t="n">
        <v>0</v>
      </c>
      <c r="J10" s="2" t="inlineStr">
        <is>
          <t>None: Blank or suspect URL; review required</t>
        </is>
      </c>
      <c r="K10" s="2" t="inlineStr">
        <is>
          <t>100.0: Available public-forge repository URL</t>
        </is>
      </c>
      <c r="L10" s="2" t="inlineStr">
        <is>
          <t>019 scored from populated repository field; 043 evidence URL should be checked; not scored separately; 116 retained as source evidence only; not scored; 2 unavailable metric(s) scored as 0</t>
        </is>
      </c>
    </row>
    <row r="11">
      <c r="A11" s="2" t="inlineStr">
        <is>
          <t>arXiv</t>
        </is>
      </c>
      <c r="B11" s="2" t="n">
        <v>100</v>
      </c>
      <c r="C11" s="2" t="n">
        <v>30.7692</v>
      </c>
      <c r="D11" s="2" t="n">
        <v>33.3333</v>
      </c>
      <c r="E11" s="2" t="n">
        <v>50</v>
      </c>
      <c r="F11" s="2" t="n">
        <v>100</v>
      </c>
      <c r="G11" s="2" t="n">
        <v>100</v>
      </c>
      <c r="H11" s="2" t="n">
        <v>4</v>
      </c>
      <c r="I11" s="2" t="n">
        <v>3</v>
      </c>
      <c r="J11" s="2" t="inlineStr">
        <is>
          <t>50.0: Candidate general participation page; verify URL</t>
        </is>
      </c>
      <c r="K11" s="2" t="inlineStr">
        <is>
          <t>100.0: Available public-forge repository URL</t>
        </is>
      </c>
      <c r="L11" s="2" t="inlineStr">
        <is>
          <t>938 coding requires reviewer confirmation; 041 scored from available URL tier; 019 scored from populated repository field; 043 evidence URL should be checked; not scored separately</t>
        </is>
      </c>
    </row>
    <row r="12">
      <c r="A12" s="2" t="inlineStr">
        <is>
          <t>AtoM</t>
        </is>
      </c>
      <c r="B12" s="2" t="n">
        <v>67</v>
      </c>
      <c r="C12" s="2" t="n"/>
      <c r="D12" s="2" t="n"/>
      <c r="E12" s="2" t="n"/>
      <c r="F12" s="2" t="n">
        <v>100</v>
      </c>
      <c r="G12" s="2" t="n"/>
      <c r="H12" s="2" t="n">
        <v>0</v>
      </c>
      <c r="I12" s="2" t="n">
        <v>0</v>
      </c>
      <c r="J12" s="2" t="inlineStr">
        <is>
          <t>None: Blank or suspect URL; review required</t>
        </is>
      </c>
      <c r="K12" s="2" t="inlineStr">
        <is>
          <t>100.0: Available public-forge repository URL</t>
        </is>
      </c>
      <c r="L12" s="2" t="inlineStr">
        <is>
          <t>041 scored from available URL tier; 019 scored from populated repository field; 043 evidence URL should be checked; not scored separately; 4 unavailable metric(s) scored as 0</t>
        </is>
      </c>
    </row>
    <row r="13">
      <c r="A13" s="2" t="inlineStr">
        <is>
          <t>Avalon Media System</t>
        </is>
      </c>
      <c r="B13" s="2" t="n">
        <v>100</v>
      </c>
      <c r="C13" s="2" t="n">
        <v>38.4615</v>
      </c>
      <c r="D13" s="2" t="n">
        <v>66.66670000000001</v>
      </c>
      <c r="E13" s="2" t="n">
        <v>50</v>
      </c>
      <c r="F13" s="2" t="n">
        <v>100</v>
      </c>
      <c r="G13" s="2" t="n">
        <v>100</v>
      </c>
      <c r="H13" s="2" t="n">
        <v>5</v>
      </c>
      <c r="I13" s="2" t="n">
        <v>6</v>
      </c>
      <c r="J13" s="2" t="inlineStr">
        <is>
          <t>50.0: Candidate general participation page; verify URL</t>
        </is>
      </c>
      <c r="K13" s="2" t="inlineStr">
        <is>
          <t>100.0: Available public-forge repository URL</t>
        </is>
      </c>
      <c r="L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n">
        <v>100</v>
      </c>
      <c r="C14" s="2" t="n">
        <v>53.8462</v>
      </c>
      <c r="D14" s="2" t="n">
        <v>11.1111</v>
      </c>
      <c r="E14" s="2" t="n">
        <v>100</v>
      </c>
      <c r="F14" s="2" t="n">
        <v>100</v>
      </c>
      <c r="G14" s="2" t="n">
        <v>100</v>
      </c>
      <c r="H14" s="2" t="n">
        <v>7</v>
      </c>
      <c r="I14" s="2" t="n">
        <v>1</v>
      </c>
      <c r="J14" s="2" t="inlineStr">
        <is>
          <t>100.0: Candidate dedicated contribution guide; verify URL</t>
        </is>
      </c>
      <c r="K14" s="2" t="inlineStr">
        <is>
          <t>100.0: Available public-forge repository URL</t>
        </is>
      </c>
      <c r="L14" s="2" t="inlineStr">
        <is>
          <t>041 scored from available URL tier; 019 scored from populated repository field; 043 evidence URL should be checked; not scored separately; 116 retained as source evidence only; not scored</t>
        </is>
      </c>
    </row>
    <row r="15">
      <c r="A15" s="2" t="inlineStr">
        <is>
          <t>bioRxiv</t>
        </is>
      </c>
      <c r="B15" s="2" t="n">
        <v>100</v>
      </c>
      <c r="C15" s="2" t="n">
        <v>15.3846</v>
      </c>
      <c r="D15" s="2" t="n"/>
      <c r="E15" s="2" t="n"/>
      <c r="F15" s="2" t="n"/>
      <c r="G15" s="2" t="n">
        <v>33</v>
      </c>
      <c r="H15" s="2" t="n">
        <v>2</v>
      </c>
      <c r="I15" s="2" t="n">
        <v>0</v>
      </c>
      <c r="J15" s="2" t="inlineStr">
        <is>
          <t>None: Blank or suspect URL; review required</t>
        </is>
      </c>
      <c r="K15" s="2" t="inlineStr">
        <is>
          <t>None: No repository URL supplied</t>
        </is>
      </c>
      <c r="L15" s="2" t="inlineStr">
        <is>
          <t>938 coding requires reviewer confirmation; 3 unavailable metric(s) scored as 0</t>
        </is>
      </c>
    </row>
    <row r="16">
      <c r="A16" s="2" t="inlineStr">
        <is>
          <t>BitCurator Environment</t>
        </is>
      </c>
      <c r="B16" s="2" t="n">
        <v>100</v>
      </c>
      <c r="C16" s="2" t="n">
        <v>53.8462</v>
      </c>
      <c r="D16" s="2" t="n">
        <v>55.5556</v>
      </c>
      <c r="E16" s="2" t="n">
        <v>50</v>
      </c>
      <c r="F16" s="2" t="n">
        <v>100</v>
      </c>
      <c r="G16" s="2" t="n">
        <v>100</v>
      </c>
      <c r="H16" s="2" t="n">
        <v>7</v>
      </c>
      <c r="I16" s="2" t="n">
        <v>5</v>
      </c>
      <c r="J16" s="2" t="inlineStr">
        <is>
          <t>50.0: Candidate general participation page; verify URL</t>
        </is>
      </c>
      <c r="K16" s="2" t="inlineStr">
        <is>
          <t>100.0: Available public-forge repository URL</t>
        </is>
      </c>
      <c r="L16" s="2" t="inlineStr">
        <is>
          <t>041 scored from available URL tier; 019 scored from populated repository field; 043 evidence URL should be checked; not scored separately; 116 retained as source evidence only; not scored</t>
        </is>
      </c>
    </row>
    <row r="17">
      <c r="A17" s="2" t="inlineStr">
        <is>
          <t>Blacklight</t>
        </is>
      </c>
      <c r="B17" s="2" t="n">
        <v>100</v>
      </c>
      <c r="C17" s="2" t="n">
        <v>69.2308</v>
      </c>
      <c r="D17" s="2" t="n">
        <v>77.7778</v>
      </c>
      <c r="E17" s="2" t="n">
        <v>100</v>
      </c>
      <c r="F17" s="2" t="n">
        <v>100</v>
      </c>
      <c r="G17" s="2" t="n">
        <v>67</v>
      </c>
      <c r="H17" s="2" t="n">
        <v>9</v>
      </c>
      <c r="I17" s="2" t="n">
        <v>7</v>
      </c>
      <c r="J17" s="2" t="inlineStr">
        <is>
          <t>100.0: Candidate dedicated contribution guide; verify URL</t>
        </is>
      </c>
      <c r="K17" s="2" t="inlineStr">
        <is>
          <t>100.0: Available public-forge repository URL</t>
        </is>
      </c>
      <c r="L17" s="2" t="inlineStr">
        <is>
          <t>041 scored from available URL tier; 019 scored from populated repository field; 116 retained as source evidence only; not scored</t>
        </is>
      </c>
    </row>
    <row r="18">
      <c r="A18" s="2" t="inlineStr">
        <is>
          <t>BrCRIS</t>
        </is>
      </c>
      <c r="B18" s="2" t="n">
        <v>67</v>
      </c>
      <c r="C18" s="2" t="n"/>
      <c r="D18" s="2" t="n"/>
      <c r="E18" s="2" t="n"/>
      <c r="F18" s="2" t="n">
        <v>100</v>
      </c>
      <c r="G18" s="2" t="n">
        <v>100</v>
      </c>
      <c r="H18" s="2" t="n">
        <v>0</v>
      </c>
      <c r="I18" s="2" t="n">
        <v>0</v>
      </c>
      <c r="J18" s="2" t="inlineStr">
        <is>
          <t>None: Blank or suspect URL; review required</t>
        </is>
      </c>
      <c r="K18" s="2" t="inlineStr">
        <is>
          <t>100.0: Available public-forge repository URL</t>
        </is>
      </c>
      <c r="L18" s="2" t="inlineStr">
        <is>
          <t>019 scored from populated repository field; 043 evidence URL should be checked; not scored separately; 3 unavailable metric(s) scored as 0</t>
        </is>
      </c>
    </row>
    <row r="19">
      <c r="A19" s="2" t="inlineStr">
        <is>
          <t>Browsertrix</t>
        </is>
      </c>
      <c r="B19" s="2" t="n">
        <v>100</v>
      </c>
      <c r="C19" s="2" t="n">
        <v>7.6923</v>
      </c>
      <c r="D19" s="2" t="n">
        <v>22.2222</v>
      </c>
      <c r="E19" s="2" t="n"/>
      <c r="F19" s="2" t="n">
        <v>100</v>
      </c>
      <c r="G19" s="2" t="n">
        <v>100</v>
      </c>
      <c r="H19" s="2" t="n">
        <v>1</v>
      </c>
      <c r="I19" s="2" t="n">
        <v>2</v>
      </c>
      <c r="J19" s="2" t="inlineStr">
        <is>
          <t>None: Blank or suspect URL; review required</t>
        </is>
      </c>
      <c r="K19" s="2" t="inlineStr">
        <is>
          <t>100.0: Available public-forge repository URL</t>
        </is>
      </c>
      <c r="L19" s="2" t="inlineStr">
        <is>
          <t>019 scored from populated repository field; 043 evidence URL should be checked; not scored separately; 116 retained as source evidence only; not scored; 1 unavailable metric(s) scored as 0</t>
        </is>
      </c>
    </row>
    <row r="20">
      <c r="A20" s="2" t="inlineStr">
        <is>
          <t>CLOCKSS</t>
        </is>
      </c>
      <c r="B20" s="2" t="n">
        <v>100</v>
      </c>
      <c r="C20" s="2" t="n"/>
      <c r="D20" s="2" t="n"/>
      <c r="E20" s="2" t="n"/>
      <c r="F20" s="2" t="n">
        <v>100</v>
      </c>
      <c r="G20" s="2" t="n">
        <v>33</v>
      </c>
      <c r="H20" s="2" t="n">
        <v>0</v>
      </c>
      <c r="I20" s="2" t="n">
        <v>0</v>
      </c>
      <c r="J20" s="2" t="inlineStr">
        <is>
          <t>None: Blank or suspect URL; review required</t>
        </is>
      </c>
      <c r="K20" s="2" t="inlineStr">
        <is>
          <t>100.0: Available public-forge repository URL</t>
        </is>
      </c>
      <c r="L20" s="2" t="inlineStr">
        <is>
          <t>019 scored from populated repository field; 116 retained as source evidence only; not scored; 3 unavailable metric(s) scored as 0</t>
        </is>
      </c>
    </row>
    <row r="21">
      <c r="A21" s="2" t="inlineStr">
        <is>
          <t>COAR International Repository Directory (IRD)</t>
        </is>
      </c>
      <c r="B21" s="2" t="n">
        <v>100</v>
      </c>
      <c r="C21" s="2" t="n">
        <v>30.7692</v>
      </c>
      <c r="D21" s="2" t="n">
        <v>22.2222</v>
      </c>
      <c r="E21" s="2" t="n">
        <v>50</v>
      </c>
      <c r="F21" s="2" t="n">
        <v>100</v>
      </c>
      <c r="G21" s="2" t="n">
        <v>67</v>
      </c>
      <c r="H21" s="2" t="n">
        <v>4</v>
      </c>
      <c r="I21" s="2" t="n">
        <v>2</v>
      </c>
      <c r="J21" s="2" t="inlineStr">
        <is>
          <t>50.0: Candidate general participation page; verify URL</t>
        </is>
      </c>
      <c r="K21" s="2" t="inlineStr">
        <is>
          <t>100.0: Available public-forge repository URL</t>
        </is>
      </c>
      <c r="L21" s="2" t="inlineStr">
        <is>
          <t>041 scored from available URL tier; 019 scored from populated repository field; 116 retained as source evidence only; not scored</t>
        </is>
      </c>
    </row>
    <row r="22">
      <c r="A22" s="2" t="inlineStr">
        <is>
          <t>COAR Notify</t>
        </is>
      </c>
      <c r="B22" s="2" t="n">
        <v>100</v>
      </c>
      <c r="C22" s="2" t="n">
        <v>38.4615</v>
      </c>
      <c r="D22" s="2" t="n">
        <v>55.5556</v>
      </c>
      <c r="E22" s="2" t="n">
        <v>50</v>
      </c>
      <c r="F22" s="2" t="n">
        <v>100</v>
      </c>
      <c r="G22" s="2" t="n">
        <v>33</v>
      </c>
      <c r="H22" s="2" t="n">
        <v>5</v>
      </c>
      <c r="I22" s="2" t="n">
        <v>5</v>
      </c>
      <c r="J22" s="2" t="inlineStr">
        <is>
          <t>50.0: Candidate general participation page; verify URL</t>
        </is>
      </c>
      <c r="K22" s="2" t="inlineStr">
        <is>
          <t>100.0: Available public-forge repository URL</t>
        </is>
      </c>
      <c r="L22" s="2" t="inlineStr">
        <is>
          <t>041 scored from available URL tier; 019 scored from populated repository field; 116 retained as source evidence only; not scored</t>
        </is>
      </c>
    </row>
    <row r="23">
      <c r="A23" s="2" t="inlineStr">
        <is>
          <t>CollectiveAccess</t>
        </is>
      </c>
      <c r="B23" s="2" t="n">
        <v>100</v>
      </c>
      <c r="C23" s="2" t="n"/>
      <c r="D23" s="2" t="n"/>
      <c r="E23" s="2" t="n">
        <v>50</v>
      </c>
      <c r="F23" s="2" t="n">
        <v>100</v>
      </c>
      <c r="G23" s="2" t="n"/>
      <c r="H23" s="2" t="n">
        <v>0</v>
      </c>
      <c r="I23" s="2" t="n">
        <v>0</v>
      </c>
      <c r="J23" s="2" t="inlineStr">
        <is>
          <t>50.0: Candidate general participation page; verify URL</t>
        </is>
      </c>
      <c r="K23" s="2" t="inlineStr">
        <is>
          <t>100.0: Available public-forge repository URL</t>
        </is>
      </c>
      <c r="L23" s="2" t="inlineStr">
        <is>
          <t>041 scored from available URL tier; 019 scored from populated repository field; 043 evidence URL should be checked; not scored separately; 116 retained as source evidence only; not scored; 3 unavailable metric(s) scored as 0</t>
        </is>
      </c>
    </row>
    <row r="24">
      <c r="A24" s="2" t="inlineStr">
        <is>
          <t>CORE</t>
        </is>
      </c>
      <c r="B24" s="2" t="n">
        <v>100</v>
      </c>
      <c r="C24" s="2" t="n">
        <v>7.6923</v>
      </c>
      <c r="D24" s="2" t="n">
        <v>33.3333</v>
      </c>
      <c r="E24" s="2" t="n">
        <v>50</v>
      </c>
      <c r="F24" s="2" t="n">
        <v>100</v>
      </c>
      <c r="G24" s="2" t="n">
        <v>100</v>
      </c>
      <c r="H24" s="2" t="n">
        <v>1</v>
      </c>
      <c r="I24" s="2" t="n">
        <v>3</v>
      </c>
      <c r="J24" s="2" t="inlineStr">
        <is>
          <t>50.0: Candidate general participation page; verify URL</t>
        </is>
      </c>
      <c r="K24" s="2" t="inlineStr">
        <is>
          <t>100.0: Available public-forge repository URL</t>
        </is>
      </c>
      <c r="L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n">
        <v>100</v>
      </c>
      <c r="C25" s="2" t="n">
        <v>69.2308</v>
      </c>
      <c r="D25" s="2" t="n">
        <v>55.5556</v>
      </c>
      <c r="E25" s="2" t="n">
        <v>50</v>
      </c>
      <c r="F25" s="2" t="n">
        <v>50</v>
      </c>
      <c r="G25" s="2" t="n">
        <v>100</v>
      </c>
      <c r="H25" s="2" t="n">
        <v>9</v>
      </c>
      <c r="I25" s="2" t="n">
        <v>5</v>
      </c>
      <c r="J25" s="2" t="inlineStr">
        <is>
          <t>50.0: Candidate general participation page; verify URL</t>
        </is>
      </c>
      <c r="K25" s="2" t="inlineStr">
        <is>
          <t>50.0: Repository field populated on another/unspecified host</t>
        </is>
      </c>
      <c r="L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n">
        <v>100</v>
      </c>
      <c r="C26" s="2" t="n">
        <v>30.7692</v>
      </c>
      <c r="D26" s="2" t="n">
        <v>33.3333</v>
      </c>
      <c r="E26" s="2" t="n">
        <v>100</v>
      </c>
      <c r="F26" s="2" t="n">
        <v>100</v>
      </c>
      <c r="G26" s="2" t="n">
        <v>100</v>
      </c>
      <c r="H26" s="2" t="n">
        <v>4</v>
      </c>
      <c r="I26" s="2" t="n">
        <v>3</v>
      </c>
      <c r="J26" s="2" t="inlineStr">
        <is>
          <t>100.0: Candidate dedicated contribution guide; verify URL</t>
        </is>
      </c>
      <c r="K26" s="2" t="inlineStr">
        <is>
          <t>100.0: Available public-forge repository URL</t>
        </is>
      </c>
      <c r="L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n">
        <v>100</v>
      </c>
      <c r="C27" s="2" t="n">
        <v>61.5385</v>
      </c>
      <c r="D27" s="2" t="n">
        <v>55.5556</v>
      </c>
      <c r="E27" s="2" t="n">
        <v>50</v>
      </c>
      <c r="F27" s="2" t="n">
        <v>100</v>
      </c>
      <c r="G27" s="2" t="n">
        <v>100</v>
      </c>
      <c r="H27" s="2" t="n">
        <v>8</v>
      </c>
      <c r="I27" s="2" t="n">
        <v>5</v>
      </c>
      <c r="J27" s="2" t="inlineStr">
        <is>
          <t>50.0: Candidate general participation page; verify URL</t>
        </is>
      </c>
      <c r="K27" s="2" t="inlineStr">
        <is>
          <t>100.0: Available public-forge repository URL</t>
        </is>
      </c>
      <c r="L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n">
        <v>33</v>
      </c>
      <c r="C28" s="2" t="n"/>
      <c r="D28" s="2" t="n"/>
      <c r="E28" s="2" t="n"/>
      <c r="F28" s="2" t="n">
        <v>50</v>
      </c>
      <c r="G28" s="2" t="n">
        <v>33</v>
      </c>
      <c r="H28" s="2" t="n">
        <v>0</v>
      </c>
      <c r="I28" s="2" t="n">
        <v>0</v>
      </c>
      <c r="J28" s="2" t="inlineStr">
        <is>
          <t>None: Blank or suspect URL; review required</t>
        </is>
      </c>
      <c r="K28" s="2" t="inlineStr">
        <is>
          <t>50.0: Repository field populated on another/unspecified host</t>
        </is>
      </c>
      <c r="L28" s="2" t="inlineStr">
        <is>
          <t>019 scored from populated repository field; 3 unavailable metric(s) scored as 0</t>
        </is>
      </c>
    </row>
    <row r="29">
      <c r="A29" s="2" t="inlineStr">
        <is>
          <t>DART (Digital Archivist's Resource Tool)</t>
        </is>
      </c>
      <c r="B29" s="2" t="n">
        <v>100</v>
      </c>
      <c r="C29" s="2" t="n"/>
      <c r="D29" s="2" t="n">
        <v>77.7778</v>
      </c>
      <c r="E29" s="2" t="n">
        <v>50</v>
      </c>
      <c r="F29" s="2" t="n">
        <v>100</v>
      </c>
      <c r="G29" s="2" t="n">
        <v>33</v>
      </c>
      <c r="H29" s="2" t="n">
        <v>0</v>
      </c>
      <c r="I29" s="2" t="n">
        <v>7</v>
      </c>
      <c r="J29" s="2" t="inlineStr">
        <is>
          <t>50.0: Candidate general participation page; verify URL</t>
        </is>
      </c>
      <c r="K29" s="2" t="inlineStr">
        <is>
          <t>100.0: Available public-forge repository URL</t>
        </is>
      </c>
      <c r="L29" s="2" t="inlineStr">
        <is>
          <t>041 scored from available URL tier; 019 scored from populated repository field; 116 retained as source evidence only; not scored; 1 unavailable metric(s) scored as 0</t>
        </is>
      </c>
    </row>
    <row r="30">
      <c r="A30" s="2" t="inlineStr">
        <is>
          <t>Database Information System</t>
        </is>
      </c>
      <c r="B30" s="2" t="n">
        <v>100</v>
      </c>
      <c r="C30" s="2" t="n">
        <v>53.8462</v>
      </c>
      <c r="D30" s="2" t="n">
        <v>11.1111</v>
      </c>
      <c r="E30" s="2" t="n"/>
      <c r="F30" s="2" t="n">
        <v>100</v>
      </c>
      <c r="G30" s="2" t="n">
        <v>33</v>
      </c>
      <c r="H30" s="2" t="n">
        <v>7</v>
      </c>
      <c r="I30" s="2" t="n">
        <v>1</v>
      </c>
      <c r="J30" s="2" t="inlineStr">
        <is>
          <t>None: Blank or suspect URL; review required</t>
        </is>
      </c>
      <c r="K30" s="2" t="inlineStr">
        <is>
          <t>100.0: Available public-forge repository URL</t>
        </is>
      </c>
      <c r="L30" s="2" t="inlineStr">
        <is>
          <t>019 scored from populated repository field; 1 unavailable metric(s) scored as 0</t>
        </is>
      </c>
    </row>
    <row r="31">
      <c r="A31" s="2" t="inlineStr">
        <is>
          <t>Data Citation Corpus</t>
        </is>
      </c>
      <c r="B31" s="2" t="n">
        <v>100</v>
      </c>
      <c r="C31" s="2" t="n">
        <v>46.1538</v>
      </c>
      <c r="D31" s="2" t="n">
        <v>11.1111</v>
      </c>
      <c r="E31" s="2" t="n">
        <v>100</v>
      </c>
      <c r="F31" s="2" t="n">
        <v>100</v>
      </c>
      <c r="G31" s="2" t="n">
        <v>0</v>
      </c>
      <c r="H31" s="2" t="n">
        <v>6</v>
      </c>
      <c r="I31" s="2" t="n">
        <v>1</v>
      </c>
      <c r="J31" s="2" t="inlineStr">
        <is>
          <t>100.0: Candidate dedicated contribution guide; verify URL</t>
        </is>
      </c>
      <c r="K31" s="2" t="inlineStr">
        <is>
          <t>100.0: Available public-forge repository URL</t>
        </is>
      </c>
      <c r="L31" s="2" t="inlineStr">
        <is>
          <t>940 Other route requires reviewer confirmation; 041 scored from available URL tier; 019 scored from populated repository field; 116 retained as source evidence only; not scored</t>
        </is>
      </c>
    </row>
    <row r="32">
      <c r="A32" s="2" t="inlineStr">
        <is>
          <t>DataCite</t>
        </is>
      </c>
      <c r="B32" s="2" t="n">
        <v>100</v>
      </c>
      <c r="C32" s="2" t="n">
        <v>7.6923</v>
      </c>
      <c r="D32" s="2" t="n">
        <v>33.3333</v>
      </c>
      <c r="E32" s="2" t="n">
        <v>50</v>
      </c>
      <c r="F32" s="2" t="n">
        <v>100</v>
      </c>
      <c r="G32" s="2" t="n">
        <v>100</v>
      </c>
      <c r="H32" s="2" t="n">
        <v>1</v>
      </c>
      <c r="I32" s="2" t="n">
        <v>3</v>
      </c>
      <c r="J32" s="2" t="inlineStr">
        <is>
          <t>50.0: Candidate general participation page; verify URL</t>
        </is>
      </c>
      <c r="K32" s="2" t="inlineStr">
        <is>
          <t>100.0: Available public-forge repository URL</t>
        </is>
      </c>
      <c r="L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n">
        <v>100</v>
      </c>
      <c r="C33" s="2" t="n">
        <v>76.92310000000001</v>
      </c>
      <c r="D33" s="2" t="n">
        <v>55.5556</v>
      </c>
      <c r="E33" s="2" t="n">
        <v>100</v>
      </c>
      <c r="F33" s="2" t="n">
        <v>100</v>
      </c>
      <c r="G33" s="2" t="n">
        <v>100</v>
      </c>
      <c r="H33" s="2" t="n">
        <v>10</v>
      </c>
      <c r="I33" s="2" t="n">
        <v>5</v>
      </c>
      <c r="J33" s="2" t="inlineStr">
        <is>
          <t>100.0: Candidate dedicated contribution guide; verify URL</t>
        </is>
      </c>
      <c r="K33" s="2" t="inlineStr">
        <is>
          <t>100.0: Available public-forge repository URL</t>
        </is>
      </c>
      <c r="L33" s="2" t="inlineStr">
        <is>
          <t>041 scored from available URL tier; 019 scored from populated repository field; 043 evidence URL should be checked; not scored separately; 116 retained as source evidence only; not scored</t>
        </is>
      </c>
    </row>
    <row r="34">
      <c r="A34" s="2" t="inlineStr">
        <is>
          <t>Dataverse</t>
        </is>
      </c>
      <c r="B34" s="2" t="n">
        <v>100</v>
      </c>
      <c r="C34" s="2" t="n">
        <v>23.0769</v>
      </c>
      <c r="D34" s="2" t="n">
        <v>44.4444</v>
      </c>
      <c r="E34" s="2" t="n">
        <v>50</v>
      </c>
      <c r="F34" s="2" t="n">
        <v>100</v>
      </c>
      <c r="G34" s="2" t="n">
        <v>100</v>
      </c>
      <c r="H34" s="2" t="n">
        <v>3</v>
      </c>
      <c r="I34" s="2" t="n">
        <v>4</v>
      </c>
      <c r="J34" s="2" t="inlineStr">
        <is>
          <t>50.0: Candidate general participation page; verify URL</t>
        </is>
      </c>
      <c r="K34" s="2" t="inlineStr">
        <is>
          <t>100.0: Available public-forge repository URL</t>
        </is>
      </c>
      <c r="L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n">
        <v>100</v>
      </c>
      <c r="C35" s="2" t="n">
        <v>30.7692</v>
      </c>
      <c r="D35" s="2" t="n"/>
      <c r="E35" s="2" t="n">
        <v>100</v>
      </c>
      <c r="F35" s="2" t="n">
        <v>50</v>
      </c>
      <c r="G35" s="2" t="n">
        <v>100</v>
      </c>
      <c r="H35" s="2" t="n">
        <v>4</v>
      </c>
      <c r="I35" s="2" t="n">
        <v>0</v>
      </c>
      <c r="J35" s="2" t="inlineStr">
        <is>
          <t>100.0: Candidate dedicated contribution guide; verify URL</t>
        </is>
      </c>
      <c r="K35" s="2" t="inlineStr">
        <is>
          <t>50.0: Repository field populated on another/unspecified host</t>
        </is>
      </c>
      <c r="L35" s="2" t="inlineStr">
        <is>
          <t>041 scored from available URL tier; 019 scored from populated repository field; 043 evidence URL should be checked; not scored separately; 116 retained as source evidence only; not scored; 1 unavailable metric(s) scored as 0</t>
        </is>
      </c>
    </row>
    <row r="36">
      <c r="A36" s="2" t="inlineStr">
        <is>
          <t>DLCM Portal</t>
        </is>
      </c>
      <c r="B36" s="2" t="n">
        <v>100</v>
      </c>
      <c r="C36" s="2" t="n">
        <v>30.7692</v>
      </c>
      <c r="D36" s="2" t="n"/>
      <c r="E36" s="2" t="n">
        <v>100</v>
      </c>
      <c r="F36" s="2" t="n">
        <v>50</v>
      </c>
      <c r="G36" s="2" t="n">
        <v>100</v>
      </c>
      <c r="H36" s="2" t="n">
        <v>4</v>
      </c>
      <c r="I36" s="2" t="n">
        <v>0</v>
      </c>
      <c r="J36" s="2" t="inlineStr">
        <is>
          <t>100.0: Candidate dedicated contribution guide; verify URL</t>
        </is>
      </c>
      <c r="K36" s="2" t="inlineStr">
        <is>
          <t>50.0: Repository field populated on another/unspecified host</t>
        </is>
      </c>
      <c r="L36" s="2" t="inlineStr">
        <is>
          <t>041 scored from available URL tier; 019 scored from populated repository field; 043 evidence URL should be checked; not scored separately; 116 retained as source evidence only; not scored; 1 unavailable metric(s) scored as 0</t>
        </is>
      </c>
    </row>
    <row r="37">
      <c r="A37" s="2" t="inlineStr">
        <is>
          <t>DMP Tool</t>
        </is>
      </c>
      <c r="B37" s="2" t="n">
        <v>100</v>
      </c>
      <c r="C37" s="2" t="n">
        <v>61.5385</v>
      </c>
      <c r="D37" s="2" t="n"/>
      <c r="E37" s="2" t="n"/>
      <c r="F37" s="2" t="n">
        <v>100</v>
      </c>
      <c r="G37" s="2" t="n">
        <v>0</v>
      </c>
      <c r="H37" s="2" t="n">
        <v>8</v>
      </c>
      <c r="I37" s="2" t="n">
        <v>0</v>
      </c>
      <c r="J37" s="2" t="inlineStr">
        <is>
          <t>None: Blank or suspect URL; review required</t>
        </is>
      </c>
      <c r="K37" s="2" t="inlineStr">
        <is>
          <t>100.0: Available public-forge repository URL</t>
        </is>
      </c>
      <c r="L37" s="2" t="inlineStr">
        <is>
          <t>019 scored from populated repository field; 2 unavailable metric(s) scored as 0</t>
        </is>
      </c>
    </row>
    <row r="38">
      <c r="A38" s="2" t="inlineStr">
        <is>
          <t>DOAJ (Directory of Open Access Journals)</t>
        </is>
      </c>
      <c r="B38" s="2" t="n">
        <v>100</v>
      </c>
      <c r="C38" s="2" t="n">
        <v>69.2308</v>
      </c>
      <c r="D38" s="2" t="n">
        <v>55.5556</v>
      </c>
      <c r="E38" s="2" t="n"/>
      <c r="F38" s="2" t="n">
        <v>100</v>
      </c>
      <c r="G38" s="2" t="n">
        <v>100</v>
      </c>
      <c r="H38" s="2" t="n">
        <v>9</v>
      </c>
      <c r="I38" s="2" t="n">
        <v>5</v>
      </c>
      <c r="J38" s="2" t="inlineStr">
        <is>
          <t>None: Blank or suspect URL; review required</t>
        </is>
      </c>
      <c r="K38" s="2" t="inlineStr">
        <is>
          <t>100.0: Available public-forge repository URL</t>
        </is>
      </c>
      <c r="L38" s="2" t="inlineStr">
        <is>
          <t>938 coding requires reviewer confirmation; 940 Other route requires reviewer confirmation; 019 scored from populated repository field; 043 evidence URL should be checked; not scored separately; 1 unavailable metric(s) scored as 0</t>
        </is>
      </c>
    </row>
    <row r="39">
      <c r="A39" s="2" t="inlineStr">
        <is>
          <t>dokieli</t>
        </is>
      </c>
      <c r="B39" s="2" t="n">
        <v>100</v>
      </c>
      <c r="C39" s="2" t="n">
        <v>15.3846</v>
      </c>
      <c r="D39" s="2" t="n">
        <v>44.4444</v>
      </c>
      <c r="E39" s="2" t="n">
        <v>50</v>
      </c>
      <c r="F39" s="2" t="n">
        <v>100</v>
      </c>
      <c r="G39" s="2" t="n">
        <v>100</v>
      </c>
      <c r="H39" s="2" t="n">
        <v>2</v>
      </c>
      <c r="I39" s="2" t="n">
        <v>4</v>
      </c>
      <c r="J39" s="2" t="inlineStr">
        <is>
          <t>50.0: Candidate general participation page; verify URL</t>
        </is>
      </c>
      <c r="K39" s="2" t="inlineStr">
        <is>
          <t>100.0: Available public-forge repository URL</t>
        </is>
      </c>
      <c r="L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n">
        <v>100</v>
      </c>
      <c r="C40" s="2" t="n">
        <v>30.7692</v>
      </c>
      <c r="D40" s="2" t="n">
        <v>44.4444</v>
      </c>
      <c r="E40" s="2" t="n"/>
      <c r="F40" s="2" t="n">
        <v>100</v>
      </c>
      <c r="G40" s="2" t="n">
        <v>100</v>
      </c>
      <c r="H40" s="2" t="n">
        <v>4</v>
      </c>
      <c r="I40" s="2" t="n">
        <v>4</v>
      </c>
      <c r="J40" s="2" t="inlineStr">
        <is>
          <t>None: Blank or suspect URL; review required</t>
        </is>
      </c>
      <c r="K40" s="2" t="inlineStr">
        <is>
          <t>100.0: Available public-forge repository URL</t>
        </is>
      </c>
      <c r="L40" s="2" t="inlineStr">
        <is>
          <t>938 coding requires reviewer confirmation; 019 scored from populated repository field; 043 evidence URL should be checked; not scored separately; 116 retained as source evidence only; not scored; 1 unavailable metric(s) scored as 0</t>
        </is>
      </c>
    </row>
    <row r="41">
      <c r="A41" s="2" t="inlineStr">
        <is>
          <t>DSpace</t>
        </is>
      </c>
      <c r="B41" s="2" t="n">
        <v>100</v>
      </c>
      <c r="C41" s="2" t="n">
        <v>53.8462</v>
      </c>
      <c r="D41" s="2" t="n">
        <v>77.7778</v>
      </c>
      <c r="E41" s="2" t="n">
        <v>100</v>
      </c>
      <c r="F41" s="2" t="n">
        <v>100</v>
      </c>
      <c r="G41" s="2" t="n">
        <v>100</v>
      </c>
      <c r="H41" s="2" t="n">
        <v>7</v>
      </c>
      <c r="I41" s="2" t="n">
        <v>7</v>
      </c>
      <c r="J41" s="2" t="inlineStr">
        <is>
          <t>100.0: Candidate dedicated contribution guide; verify URL</t>
        </is>
      </c>
      <c r="K41" s="2" t="inlineStr">
        <is>
          <t>100.0: Available public-forge repository URL</t>
        </is>
      </c>
      <c r="L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n">
        <v>100</v>
      </c>
      <c r="C42" s="2" t="n"/>
      <c r="D42" s="2" t="n"/>
      <c r="E42" s="2" t="n">
        <v>100</v>
      </c>
      <c r="F42" s="2" t="n">
        <v>100</v>
      </c>
      <c r="G42" s="2" t="n">
        <v>100</v>
      </c>
      <c r="H42" s="2" t="n">
        <v>0</v>
      </c>
      <c r="I42" s="2" t="n">
        <v>0</v>
      </c>
      <c r="J42" s="2" t="inlineStr">
        <is>
          <t>100.0: Candidate dedicated contribution guide; verify URL</t>
        </is>
      </c>
      <c r="K42" s="2" t="inlineStr">
        <is>
          <t>100.0: Available public-forge repository URL</t>
        </is>
      </c>
      <c r="L42" s="2" t="inlineStr">
        <is>
          <t>041 scored from available URL tier; 019 scored from populated repository field; 043 evidence URL should be checked; not scored separately; 2 unavailable metric(s) scored as 0</t>
        </is>
      </c>
    </row>
    <row r="43">
      <c r="A43" s="2" t="inlineStr">
        <is>
          <t>Episciences</t>
        </is>
      </c>
      <c r="B43" s="2" t="n">
        <v>67</v>
      </c>
      <c r="C43" s="2" t="n"/>
      <c r="D43" s="2" t="n"/>
      <c r="E43" s="2" t="n"/>
      <c r="F43" s="2" t="n">
        <v>100</v>
      </c>
      <c r="G43" s="2" t="n">
        <v>33</v>
      </c>
      <c r="H43" s="2" t="n">
        <v>0</v>
      </c>
      <c r="I43" s="2" t="n">
        <v>0</v>
      </c>
      <c r="J43" s="2" t="inlineStr">
        <is>
          <t>None: Blank or suspect URL; review required</t>
        </is>
      </c>
      <c r="K43" s="2" t="inlineStr">
        <is>
          <t>100.0: Available public-forge repository URL</t>
        </is>
      </c>
      <c r="L43" s="2" t="inlineStr">
        <is>
          <t>019 scored from populated repository field; 3 unavailable metric(s) scored as 0</t>
        </is>
      </c>
    </row>
    <row r="44">
      <c r="A44" s="2" t="inlineStr">
        <is>
          <t>EPrints</t>
        </is>
      </c>
      <c r="B44" s="2" t="n">
        <v>100</v>
      </c>
      <c r="C44" s="2" t="n"/>
      <c r="D44" s="2" t="n"/>
      <c r="E44" s="2" t="n"/>
      <c r="F44" s="2" t="n">
        <v>100</v>
      </c>
      <c r="G44" s="2" t="n">
        <v>67</v>
      </c>
      <c r="H44" s="2" t="n">
        <v>0</v>
      </c>
      <c r="I44" s="2" t="n">
        <v>0</v>
      </c>
      <c r="J44" s="2" t="inlineStr">
        <is>
          <t>None: Blank or suspect URL; review required</t>
        </is>
      </c>
      <c r="K44" s="2" t="inlineStr">
        <is>
          <t>100.0: Available public-forge repository URL</t>
        </is>
      </c>
      <c r="L44" s="2" t="inlineStr">
        <is>
          <t>041 scored from available URL tier; 019 scored from populated repository field; 116 retained as source evidence only; not scored; 3 unavailable metric(s) scored as 0</t>
        </is>
      </c>
    </row>
    <row r="45">
      <c r="A45" s="2" t="inlineStr">
        <is>
          <t>Érudit</t>
        </is>
      </c>
      <c r="B45" s="2" t="n">
        <v>100</v>
      </c>
      <c r="C45" s="2" t="n"/>
      <c r="D45" s="2" t="n">
        <v>22.2222</v>
      </c>
      <c r="E45" s="2" t="n">
        <v>50</v>
      </c>
      <c r="F45" s="2" t="n">
        <v>100</v>
      </c>
      <c r="G45" s="2" t="n">
        <v>100</v>
      </c>
      <c r="H45" s="2" t="n">
        <v>0</v>
      </c>
      <c r="I45" s="2" t="n">
        <v>2</v>
      </c>
      <c r="J45" s="2" t="inlineStr">
        <is>
          <t>50.0: Candidate general participation page; verify URL</t>
        </is>
      </c>
      <c r="K45" s="2" t="inlineStr">
        <is>
          <t>100.0: Available public-forge repository URL</t>
        </is>
      </c>
      <c r="L45" s="2" t="inlineStr">
        <is>
          <t>938 coding requires reviewer confirmation; 041 scored from available URL tier; 019 scored from populated repository field; 043 evidence URL should be checked; not scored separately; 116 retained as source evidence only; not scored; 1 unavailable metric(s) scored as 0</t>
        </is>
      </c>
    </row>
    <row r="46">
      <c r="A46" s="2" t="inlineStr">
        <is>
          <t>Europe PMC</t>
        </is>
      </c>
      <c r="B46" s="2" t="n">
        <v>100</v>
      </c>
      <c r="C46" s="2" t="n">
        <v>53.8462</v>
      </c>
      <c r="D46" s="2" t="n">
        <v>33.3333</v>
      </c>
      <c r="E46" s="2" t="n">
        <v>50</v>
      </c>
      <c r="F46" s="2" t="n">
        <v>100</v>
      </c>
      <c r="G46" s="2" t="n">
        <v>100</v>
      </c>
      <c r="H46" s="2" t="n">
        <v>7</v>
      </c>
      <c r="I46" s="2" t="n">
        <v>3</v>
      </c>
      <c r="J46" s="2" t="inlineStr">
        <is>
          <t>50.0: Candidate general participation page; verify URL</t>
        </is>
      </c>
      <c r="K46" s="2" t="inlineStr">
        <is>
          <t>100.0: Available public-forge repository URL</t>
        </is>
      </c>
      <c r="L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n">
        <v>100</v>
      </c>
      <c r="C47" s="2" t="n">
        <v>46.1538</v>
      </c>
      <c r="D47" s="2" t="n">
        <v>44.4444</v>
      </c>
      <c r="E47" s="2" t="n"/>
      <c r="F47" s="2" t="n"/>
      <c r="G47" s="2" t="n">
        <v>33</v>
      </c>
      <c r="H47" s="2" t="n">
        <v>6</v>
      </c>
      <c r="I47" s="2" t="n">
        <v>4</v>
      </c>
      <c r="J47" s="2" t="inlineStr">
        <is>
          <t>None: Blank or suspect URL; review required</t>
        </is>
      </c>
      <c r="K47" s="2" t="inlineStr">
        <is>
          <t>None: No repository URL supplied</t>
        </is>
      </c>
      <c r="L47" s="2" t="inlineStr">
        <is>
          <t>940 Other route requires reviewer confirmation; 116 retained as source evidence only; not scored; 2 unavailable metric(s) scored as 0</t>
        </is>
      </c>
    </row>
    <row r="48">
      <c r="A48" s="2" t="inlineStr">
        <is>
          <t>Fedora</t>
        </is>
      </c>
      <c r="B48" s="2" t="n">
        <v>100</v>
      </c>
      <c r="C48" s="2" t="n">
        <v>76.92310000000001</v>
      </c>
      <c r="D48" s="2" t="n">
        <v>88.88890000000001</v>
      </c>
      <c r="E48" s="2" t="n">
        <v>50</v>
      </c>
      <c r="F48" s="2" t="n">
        <v>100</v>
      </c>
      <c r="G48" s="2" t="n">
        <v>100</v>
      </c>
      <c r="H48" s="2" t="n">
        <v>10</v>
      </c>
      <c r="I48" s="2" t="n">
        <v>8</v>
      </c>
      <c r="J48" s="2" t="inlineStr">
        <is>
          <t>50.0: Candidate general participation page; verify URL</t>
        </is>
      </c>
      <c r="K48" s="2" t="inlineStr">
        <is>
          <t>100.0: Available public-forge repository URL</t>
        </is>
      </c>
      <c r="L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n">
        <v>100</v>
      </c>
      <c r="C49" s="2" t="n">
        <v>61.5385</v>
      </c>
      <c r="D49" s="2" t="n">
        <v>33.3333</v>
      </c>
      <c r="E49" s="2" t="n">
        <v>50</v>
      </c>
      <c r="F49" s="2" t="n">
        <v>100</v>
      </c>
      <c r="G49" s="2" t="n">
        <v>33</v>
      </c>
      <c r="H49" s="2" t="n">
        <v>8</v>
      </c>
      <c r="I49" s="2" t="n">
        <v>3</v>
      </c>
      <c r="J49" s="2" t="inlineStr">
        <is>
          <t>50.0: Candidate general participation page; verify URL</t>
        </is>
      </c>
      <c r="K49" s="2" t="inlineStr">
        <is>
          <t>100.0: Available public-forge repository URL</t>
        </is>
      </c>
      <c r="L49" s="2" t="inlineStr">
        <is>
          <t>041 scored from available URL tier; 019 scored from populated repository field; 116 retained as source evidence only; not scored</t>
        </is>
      </c>
    </row>
    <row r="50">
      <c r="A50" s="2" t="inlineStr">
        <is>
          <t>Fulcrum</t>
        </is>
      </c>
      <c r="B50" s="2" t="n">
        <v>100</v>
      </c>
      <c r="C50" s="2" t="n">
        <v>30.7692</v>
      </c>
      <c r="D50" s="2" t="n">
        <v>22.2222</v>
      </c>
      <c r="E50" s="2" t="n"/>
      <c r="F50" s="2" t="n">
        <v>100</v>
      </c>
      <c r="G50" s="2" t="n">
        <v>100</v>
      </c>
      <c r="H50" s="2" t="n">
        <v>4</v>
      </c>
      <c r="I50" s="2" t="n">
        <v>2</v>
      </c>
      <c r="J50" s="2" t="inlineStr">
        <is>
          <t>None: Blank or suspect URL; review required</t>
        </is>
      </c>
      <c r="K50" s="2" t="inlineStr">
        <is>
          <t>100.0: Available public-forge repository URL</t>
        </is>
      </c>
      <c r="L50" s="2" t="inlineStr">
        <is>
          <t>938 coding requires reviewer confirmation; 019 scored from populated repository field; 043 evidence URL should be checked; not scored separately; 1 unavailable metric(s) scored as 0</t>
        </is>
      </c>
    </row>
    <row r="51">
      <c r="A51" s="2" t="inlineStr">
        <is>
          <t>Galaxy</t>
        </is>
      </c>
      <c r="B51" s="2" t="n">
        <v>100</v>
      </c>
      <c r="C51" s="2" t="n"/>
      <c r="D51" s="2" t="n"/>
      <c r="E51" s="2" t="n">
        <v>100</v>
      </c>
      <c r="F51" s="2" t="n">
        <v>100</v>
      </c>
      <c r="G51" s="2" t="n">
        <v>100</v>
      </c>
      <c r="H51" s="2" t="n">
        <v>0</v>
      </c>
      <c r="I51" s="2" t="n">
        <v>0</v>
      </c>
      <c r="J51" s="2" t="inlineStr">
        <is>
          <t>100.0: Candidate dedicated contribution guide; verify URL</t>
        </is>
      </c>
      <c r="K51" s="2" t="inlineStr">
        <is>
          <t>100.0: Available public-forge repository URL</t>
        </is>
      </c>
      <c r="L51" s="2" t="inlineStr">
        <is>
          <t>041 scored from available URL tier; 019 scored from populated repository field; 043 evidence URL should be checked; not scored separately; 116 retained as source evidence only; not scored; 2 unavailable metric(s) scored as 0</t>
        </is>
      </c>
    </row>
    <row r="52">
      <c r="A52" s="2" t="inlineStr">
        <is>
          <t>GeoServer</t>
        </is>
      </c>
      <c r="B52" s="2" t="n">
        <v>100</v>
      </c>
      <c r="C52" s="2" t="n">
        <v>46.1538</v>
      </c>
      <c r="D52" s="2" t="n">
        <v>11.1111</v>
      </c>
      <c r="E52" s="2" t="n">
        <v>100</v>
      </c>
      <c r="F52" s="2" t="n">
        <v>100</v>
      </c>
      <c r="G52" s="2" t="n">
        <v>100</v>
      </c>
      <c r="H52" s="2" t="n">
        <v>6</v>
      </c>
      <c r="I52" s="2" t="n">
        <v>1</v>
      </c>
      <c r="J52" s="2" t="inlineStr">
        <is>
          <t>100.0: Candidate dedicated contribution guide; verify URL</t>
        </is>
      </c>
      <c r="K52" s="2" t="inlineStr">
        <is>
          <t>100.0: Available public-forge repository URL</t>
        </is>
      </c>
      <c r="L52" s="2" t="inlineStr">
        <is>
          <t>041 scored from available URL tier; 019 scored from populated repository field; 043 evidence URL should be checked; not scored separately; 116 retained as source evidence only; not scored</t>
        </is>
      </c>
    </row>
    <row r="53">
      <c r="A53" s="2" t="inlineStr">
        <is>
          <t>Hyku</t>
        </is>
      </c>
      <c r="B53" s="2" t="n">
        <v>100</v>
      </c>
      <c r="C53" s="2" t="n">
        <v>69.2308</v>
      </c>
      <c r="D53" s="2" t="n">
        <v>66.66670000000001</v>
      </c>
      <c r="E53" s="2" t="n">
        <v>50</v>
      </c>
      <c r="F53" s="2" t="n">
        <v>100</v>
      </c>
      <c r="G53" s="2" t="n">
        <v>100</v>
      </c>
      <c r="H53" s="2" t="n">
        <v>9</v>
      </c>
      <c r="I53" s="2" t="n">
        <v>6</v>
      </c>
      <c r="J53" s="2" t="inlineStr">
        <is>
          <t>50.0: Candidate general participation page; verify URL</t>
        </is>
      </c>
      <c r="K53" s="2" t="inlineStr">
        <is>
          <t>100.0: Available public-forge repository URL</t>
        </is>
      </c>
      <c r="L53" s="2" t="inlineStr">
        <is>
          <t>938 coding requires reviewer confirmation; 041 scored from available URL tier; 019 scored from populated repository field; 043 evidence URL should be checked; not scored separately</t>
        </is>
      </c>
    </row>
    <row r="54">
      <c r="A54" s="2" t="inlineStr">
        <is>
          <t>Hyrax</t>
        </is>
      </c>
      <c r="B54" s="2" t="n">
        <v>100</v>
      </c>
      <c r="C54" s="2" t="n">
        <v>69.2308</v>
      </c>
      <c r="D54" s="2" t="n">
        <v>77.7778</v>
      </c>
      <c r="E54" s="2" t="n">
        <v>50</v>
      </c>
      <c r="F54" s="2" t="n">
        <v>100</v>
      </c>
      <c r="G54" s="2" t="n">
        <v>100</v>
      </c>
      <c r="H54" s="2" t="n">
        <v>9</v>
      </c>
      <c r="I54" s="2" t="n">
        <v>7</v>
      </c>
      <c r="J54" s="2" t="inlineStr">
        <is>
          <t>50.0: Candidate general participation page; verify URL</t>
        </is>
      </c>
      <c r="K54" s="2" t="inlineStr">
        <is>
          <t>100.0: Available public-forge repository URL</t>
        </is>
      </c>
      <c r="L54" s="2" t="inlineStr">
        <is>
          <t>041 scored from available URL tier; 019 scored from populated repository field; 043 evidence URL should be checked; not scored separately; 116 retained as source evidence only; not scored</t>
        </is>
      </c>
    </row>
    <row r="55">
      <c r="A55" s="2" t="inlineStr">
        <is>
          <t>IIIF</t>
        </is>
      </c>
      <c r="B55" s="2" t="n">
        <v>100</v>
      </c>
      <c r="C55" s="2" t="n">
        <v>38.4615</v>
      </c>
      <c r="D55" s="2" t="n">
        <v>55.5556</v>
      </c>
      <c r="E55" s="2" t="n">
        <v>100</v>
      </c>
      <c r="F55" s="2" t="n">
        <v>100</v>
      </c>
      <c r="G55" s="2" t="n">
        <v>100</v>
      </c>
      <c r="H55" s="2" t="n">
        <v>5</v>
      </c>
      <c r="I55" s="2" t="n">
        <v>5</v>
      </c>
      <c r="J55" s="2" t="inlineStr">
        <is>
          <t>100.0: Candidate dedicated contribution guide; verify URL</t>
        </is>
      </c>
      <c r="K55" s="2" t="inlineStr">
        <is>
          <t>100.0: Available public-forge repository URL</t>
        </is>
      </c>
      <c r="L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n"/>
      <c r="C56" s="2" t="n"/>
      <c r="D56" s="2" t="n"/>
      <c r="E56" s="2" t="n"/>
      <c r="F56" s="2" t="n">
        <v>100</v>
      </c>
      <c r="G56" s="2" t="n"/>
      <c r="H56" s="2" t="n">
        <v>0</v>
      </c>
      <c r="I56" s="2" t="n">
        <v>0</v>
      </c>
      <c r="J56" s="2" t="inlineStr">
        <is>
          <t>None: Blank or suspect URL; review required</t>
        </is>
      </c>
      <c r="K56" s="2" t="inlineStr">
        <is>
          <t>100.0: Available public-forge repository URL</t>
        </is>
      </c>
      <c r="L56" s="2" t="inlineStr">
        <is>
          <t>019 scored from populated repository field; 5 unavailable metric(s) scored as 0</t>
        </is>
      </c>
    </row>
    <row r="57">
      <c r="A57" s="2" t="inlineStr">
        <is>
          <t>International Generic Sample Number (IGSN)</t>
        </is>
      </c>
      <c r="B57" s="2" t="n">
        <v>100</v>
      </c>
      <c r="C57" s="2" t="n"/>
      <c r="D57" s="2" t="n"/>
      <c r="E57" s="2" t="n"/>
      <c r="F57" s="2" t="n">
        <v>100</v>
      </c>
      <c r="G57" s="2" t="n">
        <v>33</v>
      </c>
      <c r="H57" s="2" t="n">
        <v>0</v>
      </c>
      <c r="I57" s="2" t="n">
        <v>0</v>
      </c>
      <c r="J57" s="2" t="inlineStr">
        <is>
          <t>None: Blank or suspect URL; review required</t>
        </is>
      </c>
      <c r="K57" s="2" t="inlineStr">
        <is>
          <t>100.0: Available public-forge repository URL</t>
        </is>
      </c>
      <c r="L57" s="2" t="inlineStr">
        <is>
          <t>019 scored from populated repository field; 116 retained as source evidence only; not scored; 3 unavailable metric(s) scored as 0</t>
        </is>
      </c>
    </row>
    <row r="58">
      <c r="A58" s="2" t="inlineStr">
        <is>
          <t>InvenioRDM</t>
        </is>
      </c>
      <c r="B58" s="2" t="n">
        <v>100</v>
      </c>
      <c r="C58" s="2" t="n">
        <v>7.6923</v>
      </c>
      <c r="D58" s="2" t="n">
        <v>55.5556</v>
      </c>
      <c r="E58" s="2" t="n">
        <v>100</v>
      </c>
      <c r="F58" s="2" t="n">
        <v>100</v>
      </c>
      <c r="G58" s="2" t="n">
        <v>100</v>
      </c>
      <c r="H58" s="2" t="n">
        <v>1</v>
      </c>
      <c r="I58" s="2" t="n">
        <v>5</v>
      </c>
      <c r="J58" s="2" t="inlineStr">
        <is>
          <t>100.0: Candidate dedicated contribution guide; verify URL</t>
        </is>
      </c>
      <c r="K58" s="2" t="inlineStr">
        <is>
          <t>100.0: Available public-forge repository URL</t>
        </is>
      </c>
      <c r="L58" s="2" t="inlineStr">
        <is>
          <t>938 coding requires reviewer confirmation; 041 scored from available URL tier; 019 scored from populated repository field; 043 evidence URL should be checked; not scored separately</t>
        </is>
      </c>
    </row>
    <row r="59">
      <c r="A59" s="2" t="inlineStr">
        <is>
          <t>iRODS</t>
        </is>
      </c>
      <c r="B59" s="2" t="n">
        <v>100</v>
      </c>
      <c r="C59" s="2" t="n">
        <v>76.92310000000001</v>
      </c>
      <c r="D59" s="2" t="n">
        <v>77.7778</v>
      </c>
      <c r="E59" s="2" t="n">
        <v>100</v>
      </c>
      <c r="F59" s="2" t="n">
        <v>100</v>
      </c>
      <c r="G59" s="2" t="n">
        <v>100</v>
      </c>
      <c r="H59" s="2" t="n">
        <v>10</v>
      </c>
      <c r="I59" s="2" t="n">
        <v>7</v>
      </c>
      <c r="J59" s="2" t="inlineStr">
        <is>
          <t>100.0: Candidate dedicated contribution guide; verify URL</t>
        </is>
      </c>
      <c r="K59" s="2" t="inlineStr">
        <is>
          <t>100.0: Available public-forge repository URL</t>
        </is>
      </c>
      <c r="L59" s="2" t="inlineStr">
        <is>
          <t>041 scored from available URL tier; 019 scored from populated repository field; 043 evidence URL should be checked; not scored separately; 116 retained as source evidence only; not scored</t>
        </is>
      </c>
    </row>
    <row r="60">
      <c r="A60" s="2" t="inlineStr">
        <is>
          <t>Islandora</t>
        </is>
      </c>
      <c r="B60" s="2" t="n">
        <v>100</v>
      </c>
      <c r="C60" s="2" t="n">
        <v>84.61539999999999</v>
      </c>
      <c r="D60" s="2" t="n">
        <v>77.7778</v>
      </c>
      <c r="E60" s="2" t="n">
        <v>50</v>
      </c>
      <c r="F60" s="2" t="n">
        <v>100</v>
      </c>
      <c r="G60" s="2" t="n">
        <v>100</v>
      </c>
      <c r="H60" s="2" t="n">
        <v>11</v>
      </c>
      <c r="I60" s="2" t="n">
        <v>7</v>
      </c>
      <c r="J60" s="2" t="inlineStr">
        <is>
          <t>50.0: Candidate general participation page; verify URL</t>
        </is>
      </c>
      <c r="K60" s="2" t="inlineStr">
        <is>
          <t>100.0: Available public-forge repository URL</t>
        </is>
      </c>
      <c r="L60" s="2" t="inlineStr">
        <is>
          <t>938 coding requires reviewer confirmation; 041 scored from available URL tier; 019 scored from populated repository field; 043 evidence URL should be checked; not scored separately</t>
        </is>
      </c>
    </row>
    <row r="61">
      <c r="A61" s="2" t="inlineStr">
        <is>
          <t>Janeway</t>
        </is>
      </c>
      <c r="B61" s="2" t="n">
        <v>67</v>
      </c>
      <c r="C61" s="2" t="n"/>
      <c r="D61" s="2" t="n">
        <v>22.2222</v>
      </c>
      <c r="E61" s="2" t="n"/>
      <c r="F61" s="2" t="n">
        <v>100</v>
      </c>
      <c r="G61" s="2" t="n">
        <v>100</v>
      </c>
      <c r="H61" s="2" t="n">
        <v>0</v>
      </c>
      <c r="I61" s="2" t="n">
        <v>2</v>
      </c>
      <c r="J61" s="2" t="inlineStr">
        <is>
          <t>None: Blank or suspect URL; review required</t>
        </is>
      </c>
      <c r="K61" s="2" t="inlineStr">
        <is>
          <t>100.0: Available public-forge repository URL</t>
        </is>
      </c>
      <c r="L61" s="2" t="inlineStr">
        <is>
          <t>938 coding requires reviewer confirmation; 041 scored from available URL tier; 019 scored from populated repository field; 043 evidence URL should be checked; not scored separately; 116 retained as source evidence only; not scored; 2 unavailable metric(s) scored as 0</t>
        </is>
      </c>
    </row>
    <row r="62">
      <c r="A62" s="2" t="inlineStr">
        <is>
          <t>JHOVE</t>
        </is>
      </c>
      <c r="B62" s="2" t="n">
        <v>100</v>
      </c>
      <c r="C62" s="2" t="n">
        <v>69.2308</v>
      </c>
      <c r="D62" s="2" t="n"/>
      <c r="E62" s="2" t="n">
        <v>50</v>
      </c>
      <c r="F62" s="2" t="n">
        <v>100</v>
      </c>
      <c r="G62" s="2" t="n">
        <v>67</v>
      </c>
      <c r="H62" s="2" t="n">
        <v>9</v>
      </c>
      <c r="I62" s="2" t="n">
        <v>0</v>
      </c>
      <c r="J62" s="2" t="inlineStr">
        <is>
          <t>50.0: Candidate general participation page; verify URL</t>
        </is>
      </c>
      <c r="K62" s="2" t="inlineStr">
        <is>
          <t>100.0: Available public-forge repository URL</t>
        </is>
      </c>
      <c r="L62" s="2" t="inlineStr">
        <is>
          <t>041 scored from available URL tier; 019 scored from populated repository field; 116 retained as source evidence only; not scored; 1 unavailable metric(s) scored as 0</t>
        </is>
      </c>
    </row>
    <row r="63">
      <c r="A63" s="2" t="inlineStr">
        <is>
          <t>LA Referencia</t>
        </is>
      </c>
      <c r="B63" s="2" t="n">
        <v>33</v>
      </c>
      <c r="C63" s="2" t="n"/>
      <c r="D63" s="2" t="n"/>
      <c r="E63" s="2" t="n"/>
      <c r="F63" s="2" t="n">
        <v>100</v>
      </c>
      <c r="G63" s="2" t="n">
        <v>67</v>
      </c>
      <c r="H63" s="2" t="n">
        <v>0</v>
      </c>
      <c r="I63" s="2" t="n">
        <v>0</v>
      </c>
      <c r="J63" s="2" t="inlineStr">
        <is>
          <t>None: Blank or suspect URL; review required</t>
        </is>
      </c>
      <c r="K63" s="2" t="inlineStr">
        <is>
          <t>100.0: Available public-forge repository URL</t>
        </is>
      </c>
      <c r="L63" s="2" t="inlineStr">
        <is>
          <t>019 scored from populated repository field; 3 unavailable metric(s) scored as 0</t>
        </is>
      </c>
    </row>
    <row r="64">
      <c r="A64" s="2" t="inlineStr">
        <is>
          <t>Manifold</t>
        </is>
      </c>
      <c r="B64" s="2" t="n">
        <v>100</v>
      </c>
      <c r="C64" s="2" t="n"/>
      <c r="D64" s="2" t="n">
        <v>11.1111</v>
      </c>
      <c r="E64" s="2" t="n">
        <v>50</v>
      </c>
      <c r="F64" s="2" t="n">
        <v>100</v>
      </c>
      <c r="G64" s="2" t="n"/>
      <c r="H64" s="2" t="n">
        <v>0</v>
      </c>
      <c r="I64" s="2" t="n">
        <v>1</v>
      </c>
      <c r="J64" s="2" t="inlineStr">
        <is>
          <t>50.0: Candidate general participation page; verify URL</t>
        </is>
      </c>
      <c r="K64" s="2" t="inlineStr">
        <is>
          <t>100.0: Available public-forge repository URL</t>
        </is>
      </c>
      <c r="L64" s="2" t="inlineStr">
        <is>
          <t>938 coding requires reviewer confirmation; 041 scored from available URL tier; 019 scored from populated repository field; 2 unavailable metric(s) scored as 0</t>
        </is>
      </c>
    </row>
    <row r="65">
      <c r="A65" s="2" t="inlineStr">
        <is>
          <t>medRxiv</t>
        </is>
      </c>
      <c r="B65" s="2" t="n">
        <v>100</v>
      </c>
      <c r="C65" s="2" t="n">
        <v>69.2308</v>
      </c>
      <c r="D65" s="2" t="n">
        <v>11.1111</v>
      </c>
      <c r="E65" s="2" t="n"/>
      <c r="F65" s="2" t="n"/>
      <c r="G65" s="2" t="n">
        <v>33</v>
      </c>
      <c r="H65" s="2" t="n">
        <v>9</v>
      </c>
      <c r="I65" s="2" t="n">
        <v>1</v>
      </c>
      <c r="J65" s="2" t="inlineStr">
        <is>
          <t>None: Blank or suspect URL; review required</t>
        </is>
      </c>
      <c r="K65" s="2" t="inlineStr">
        <is>
          <t>None: No repository URL supplied</t>
        </is>
      </c>
      <c r="L65" s="2" t="inlineStr">
        <is>
          <t>938 coding requires reviewer confirmation; 2 unavailable metric(s) scored as 0</t>
        </is>
      </c>
    </row>
    <row r="66">
      <c r="A66" s="2" t="inlineStr">
        <is>
          <t>Metadata Encoding and Transmission Standard (METS)</t>
        </is>
      </c>
      <c r="B66" s="2" t="n">
        <v>100</v>
      </c>
      <c r="C66" s="2" t="n">
        <v>15.3846</v>
      </c>
      <c r="D66" s="2" t="n">
        <v>44.4444</v>
      </c>
      <c r="E66" s="2" t="n">
        <v>50</v>
      </c>
      <c r="F66" s="2" t="n">
        <v>100</v>
      </c>
      <c r="G66" s="2" t="n">
        <v>0</v>
      </c>
      <c r="H66" s="2" t="n">
        <v>2</v>
      </c>
      <c r="I66" s="2" t="n">
        <v>4</v>
      </c>
      <c r="J66" s="2" t="inlineStr">
        <is>
          <t>50.0: Candidate general participation page; verify URL</t>
        </is>
      </c>
      <c r="K66" s="2" t="inlineStr">
        <is>
          <t>100.0: Available public-forge repository URL</t>
        </is>
      </c>
      <c r="L66" s="2" t="inlineStr">
        <is>
          <t>041 scored from available URL tier; 019 scored from populated repository field; 116 retained as source evidence only; not scored</t>
        </is>
      </c>
    </row>
    <row r="67">
      <c r="A67" s="2" t="inlineStr">
        <is>
          <t>Mirador</t>
        </is>
      </c>
      <c r="B67" s="2" t="n">
        <v>100</v>
      </c>
      <c r="C67" s="2" t="n">
        <v>23.0769</v>
      </c>
      <c r="D67" s="2" t="n">
        <v>44.4444</v>
      </c>
      <c r="E67" s="2" t="n">
        <v>50</v>
      </c>
      <c r="F67" s="2" t="n">
        <v>100</v>
      </c>
      <c r="G67" s="2" t="n">
        <v>100</v>
      </c>
      <c r="H67" s="2" t="n">
        <v>3</v>
      </c>
      <c r="I67" s="2" t="n">
        <v>4</v>
      </c>
      <c r="J67" s="2" t="inlineStr">
        <is>
          <t>50.0: Candidate general participation page; verify URL</t>
        </is>
      </c>
      <c r="K67" s="2" t="inlineStr">
        <is>
          <t>100.0: Available public-forge repository URL</t>
        </is>
      </c>
      <c r="L67" s="2" t="inlineStr">
        <is>
          <t>938 coding requires reviewer confirmation; 041 scored from available URL tier; 019 scored from populated repository field; 043 evidence URL should be checked; not scored separately</t>
        </is>
      </c>
    </row>
    <row r="68">
      <c r="A68" s="2" t="inlineStr">
        <is>
          <t>Mukurtu CMS</t>
        </is>
      </c>
      <c r="B68" s="2" t="n">
        <v>100</v>
      </c>
      <c r="C68" s="2" t="n">
        <v>7.6923</v>
      </c>
      <c r="D68" s="2" t="n">
        <v>22.2222</v>
      </c>
      <c r="E68" s="2" t="n">
        <v>50</v>
      </c>
      <c r="F68" s="2" t="n">
        <v>100</v>
      </c>
      <c r="G68" s="2" t="n">
        <v>67</v>
      </c>
      <c r="H68" s="2" t="n">
        <v>1</v>
      </c>
      <c r="I68" s="2" t="n">
        <v>2</v>
      </c>
      <c r="J68" s="2" t="inlineStr">
        <is>
          <t>50.0: Candidate general participation page; verify URL</t>
        </is>
      </c>
      <c r="K68" s="2" t="inlineStr">
        <is>
          <t>100.0: Available public-forge repository URL</t>
        </is>
      </c>
      <c r="L68" s="2" t="inlineStr">
        <is>
          <t>938 coding requires reviewer confirmation; 041 scored from available URL tier; 019 scored from populated repository field</t>
        </is>
      </c>
    </row>
    <row r="69">
      <c r="A69" s="2" t="inlineStr">
        <is>
          <t>MyCoRe</t>
        </is>
      </c>
      <c r="B69" s="2" t="n">
        <v>0</v>
      </c>
      <c r="C69" s="2" t="n"/>
      <c r="D69" s="2" t="n"/>
      <c r="E69" s="2" t="n">
        <v>100</v>
      </c>
      <c r="F69" s="2" t="n">
        <v>100</v>
      </c>
      <c r="G69" s="2" t="n"/>
      <c r="H69" s="2" t="n">
        <v>0</v>
      </c>
      <c r="I69" s="2" t="n">
        <v>0</v>
      </c>
      <c r="J69" s="2" t="inlineStr">
        <is>
          <t>100.0: Candidate dedicated contribution guide; verify URL</t>
        </is>
      </c>
      <c r="K69" s="2" t="inlineStr">
        <is>
          <t>100.0: Available public-forge repository URL</t>
        </is>
      </c>
      <c r="L69" s="2" t="inlineStr">
        <is>
          <t>041 scored from available URL tier; 019 scored from populated repository field; 043 evidence URL should be checked; not scored separately; 3 unavailable metric(s) scored as 0</t>
        </is>
      </c>
    </row>
    <row r="70">
      <c r="A70" s="2" t="inlineStr">
        <is>
          <t>NumPy</t>
        </is>
      </c>
      <c r="B70" s="2" t="n">
        <v>100</v>
      </c>
      <c r="C70" s="2" t="n"/>
      <c r="D70" s="2" t="n"/>
      <c r="E70" s="2" t="n">
        <v>100</v>
      </c>
      <c r="F70" s="2" t="n">
        <v>100</v>
      </c>
      <c r="G70" s="2" t="n">
        <v>100</v>
      </c>
      <c r="H70" s="2" t="n">
        <v>0</v>
      </c>
      <c r="I70" s="2" t="n">
        <v>0</v>
      </c>
      <c r="J70" s="2" t="inlineStr">
        <is>
          <t>100.0: Candidate dedicated contribution guide; verify URL</t>
        </is>
      </c>
      <c r="K70" s="2" t="inlineStr">
        <is>
          <t>100.0: Available public-forge repository URL</t>
        </is>
      </c>
      <c r="L70" s="2" t="inlineStr">
        <is>
          <t>041 scored from available URL tier; 019 scored from populated repository field; 043 evidence URL should be checked; not scored separately; 116 retained as source evidence only; not scored; 2 unavailable metric(s) scored as 0</t>
        </is>
      </c>
    </row>
    <row r="71">
      <c r="A71" s="2" t="inlineStr">
        <is>
          <t>OA.Report</t>
        </is>
      </c>
      <c r="B71" s="2" t="n">
        <v>100</v>
      </c>
      <c r="C71" s="2" t="n"/>
      <c r="D71" s="2" t="n"/>
      <c r="E71" s="2" t="n"/>
      <c r="F71" s="2" t="n">
        <v>100</v>
      </c>
      <c r="G71" s="2" t="n">
        <v>33</v>
      </c>
      <c r="H71" s="2" t="n">
        <v>0</v>
      </c>
      <c r="I71" s="2" t="n">
        <v>0</v>
      </c>
      <c r="J71" s="2" t="inlineStr">
        <is>
          <t>None: Blank or suspect URL; review required</t>
        </is>
      </c>
      <c r="K71" s="2" t="inlineStr">
        <is>
          <t>100.0: Available public-forge repository URL</t>
        </is>
      </c>
      <c r="L71" s="2" t="inlineStr">
        <is>
          <t>019 scored from populated repository field; 116 retained as source evidence only; not scored; 3 unavailable metric(s) scored as 0</t>
        </is>
      </c>
    </row>
    <row r="72">
      <c r="A72" s="2" t="inlineStr">
        <is>
          <t>OA Switchboard</t>
        </is>
      </c>
      <c r="B72" s="2" t="n">
        <v>100</v>
      </c>
      <c r="C72" s="2" t="n">
        <v>30.7692</v>
      </c>
      <c r="D72" s="2" t="n">
        <v>55.5556</v>
      </c>
      <c r="E72" s="2" t="n">
        <v>100</v>
      </c>
      <c r="F72" s="2" t="n">
        <v>100</v>
      </c>
      <c r="G72" s="2" t="n">
        <v>100</v>
      </c>
      <c r="H72" s="2" t="n">
        <v>4</v>
      </c>
      <c r="I72" s="2" t="n">
        <v>5</v>
      </c>
      <c r="J72" s="2" t="inlineStr">
        <is>
          <t>100.0: Candidate dedicated contribution guide; verify URL</t>
        </is>
      </c>
      <c r="K72" s="2" t="inlineStr">
        <is>
          <t>100.0: Available public-forge repository URL</t>
        </is>
      </c>
      <c r="L72" s="2" t="inlineStr">
        <is>
          <t>938 coding requires reviewer confirmation; 041 scored from available URL tier; 019 scored from populated repository field; 043 evidence URL should be checked; not scored separately</t>
        </is>
      </c>
    </row>
    <row r="73">
      <c r="A73" s="2" t="inlineStr">
        <is>
          <t>Omeka</t>
        </is>
      </c>
      <c r="B73" s="2" t="n">
        <v>67</v>
      </c>
      <c r="C73" s="2" t="n"/>
      <c r="D73" s="2" t="n">
        <v>22.2222</v>
      </c>
      <c r="E73" s="2" t="n">
        <v>50</v>
      </c>
      <c r="F73" s="2" t="n">
        <v>100</v>
      </c>
      <c r="G73" s="2" t="n">
        <v>100</v>
      </c>
      <c r="H73" s="2" t="n">
        <v>0</v>
      </c>
      <c r="I73" s="2" t="n">
        <v>2</v>
      </c>
      <c r="J73" s="2" t="inlineStr">
        <is>
          <t>50.0: Candidate general participation page; verify URL</t>
        </is>
      </c>
      <c r="K73" s="2" t="inlineStr">
        <is>
          <t>100.0: Available public-forge repository URL</t>
        </is>
      </c>
      <c r="L73" s="2" t="inlineStr">
        <is>
          <t>938 coding requires reviewer confirmation; 041 scored from available URL tier; 019 scored from populated repository field; 043 evidence URL should be checked; not scored separately; 1 unavailable metric(s) scored as 0</t>
        </is>
      </c>
    </row>
    <row r="74">
      <c r="A74" s="2" t="inlineStr">
        <is>
          <t>OpenAIRE Graph</t>
        </is>
      </c>
      <c r="B74" s="2" t="n">
        <v>100</v>
      </c>
      <c r="C74" s="2" t="n">
        <v>69.2308</v>
      </c>
      <c r="D74" s="2" t="n"/>
      <c r="E74" s="2" t="n"/>
      <c r="F74" s="2" t="n">
        <v>50</v>
      </c>
      <c r="G74" s="2" t="n">
        <v>100</v>
      </c>
      <c r="H74" s="2" t="n">
        <v>9</v>
      </c>
      <c r="I74" s="2" t="n">
        <v>0</v>
      </c>
      <c r="J74" s="2" t="inlineStr">
        <is>
          <t>None: Blank or suspect URL; review required</t>
        </is>
      </c>
      <c r="K74" s="2" t="inlineStr">
        <is>
          <t>50.0: Repository field populated on another/unspecified host</t>
        </is>
      </c>
      <c r="L74" s="2" t="inlineStr">
        <is>
          <t>019 scored from populated repository field; 043 evidence URL should be checked; not scored separately; 116 retained as source evidence only; not scored; 2 unavailable metric(s) scored as 0</t>
        </is>
      </c>
    </row>
    <row r="75">
      <c r="A75" s="2" t="inlineStr">
        <is>
          <t>OpenAlex</t>
        </is>
      </c>
      <c r="B75" s="2" t="n">
        <v>100</v>
      </c>
      <c r="C75" s="2" t="n">
        <v>23.0769</v>
      </c>
      <c r="D75" s="2" t="n">
        <v>11.1111</v>
      </c>
      <c r="E75" s="2" t="n">
        <v>50</v>
      </c>
      <c r="F75" s="2" t="n">
        <v>100</v>
      </c>
      <c r="G75" s="2" t="n">
        <v>0</v>
      </c>
      <c r="H75" s="2" t="n">
        <v>3</v>
      </c>
      <c r="I75" s="2" t="n">
        <v>1</v>
      </c>
      <c r="J75" s="2" t="inlineStr">
        <is>
          <t>50.0: Candidate general participation page; verify URL</t>
        </is>
      </c>
      <c r="K75" s="2" t="inlineStr">
        <is>
          <t>100.0: Available public-forge repository URL</t>
        </is>
      </c>
      <c r="L75" s="2" t="inlineStr">
        <is>
          <t>938 coding requires reviewer confirmation; 041 scored from available URL tier; 019 scored from populated repository field</t>
        </is>
      </c>
    </row>
    <row r="76">
      <c r="A76" s="2" t="inlineStr">
        <is>
          <t>OpenAPC</t>
        </is>
      </c>
      <c r="B76" s="2" t="n">
        <v>100</v>
      </c>
      <c r="C76" s="2" t="n">
        <v>30.7692</v>
      </c>
      <c r="D76" s="2" t="n"/>
      <c r="E76" s="2" t="n">
        <v>50</v>
      </c>
      <c r="F76" s="2" t="n">
        <v>100</v>
      </c>
      <c r="G76" s="2" t="n">
        <v>100</v>
      </c>
      <c r="H76" s="2" t="n">
        <v>4</v>
      </c>
      <c r="I76" s="2" t="n">
        <v>0</v>
      </c>
      <c r="J76" s="2" t="inlineStr">
        <is>
          <t>50.0: Candidate general participation page; verify URL</t>
        </is>
      </c>
      <c r="K76" s="2" t="inlineStr">
        <is>
          <t>100.0: Available public-forge repository URL</t>
        </is>
      </c>
      <c r="L76" s="2" t="inlineStr">
        <is>
          <t>041 scored from available URL tier; 019 scored from populated repository field; 043 evidence URL should be checked; not scored separately; 116 retained as source evidence only; not scored; 1 unavailable metric(s) scored as 0</t>
        </is>
      </c>
    </row>
    <row r="77">
      <c r="A77" s="2" t="inlineStr">
        <is>
          <t>OpenCitations</t>
        </is>
      </c>
      <c r="B77" s="2" t="n">
        <v>33</v>
      </c>
      <c r="C77" s="2" t="n">
        <v>53.8462</v>
      </c>
      <c r="D77" s="2" t="n">
        <v>55.5556</v>
      </c>
      <c r="E77" s="2" t="n">
        <v>50</v>
      </c>
      <c r="F77" s="2" t="n">
        <v>100</v>
      </c>
      <c r="G77" s="2" t="n">
        <v>100</v>
      </c>
      <c r="H77" s="2" t="n">
        <v>7</v>
      </c>
      <c r="I77" s="2" t="n">
        <v>5</v>
      </c>
      <c r="J77" s="2" t="inlineStr">
        <is>
          <t>50.0: Candidate general participation page; verify URL</t>
        </is>
      </c>
      <c r="K77" s="2" t="inlineStr">
        <is>
          <t>100.0: Available public-forge repository URL</t>
        </is>
      </c>
      <c r="L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n">
        <v>100</v>
      </c>
      <c r="C78" s="2" t="n">
        <v>38.4615</v>
      </c>
      <c r="D78" s="2" t="n"/>
      <c r="E78" s="2" t="n">
        <v>50</v>
      </c>
      <c r="F78" s="2" t="n">
        <v>100</v>
      </c>
      <c r="G78" s="2" t="n">
        <v>0</v>
      </c>
      <c r="H78" s="2" t="n">
        <v>5</v>
      </c>
      <c r="I78" s="2" t="n">
        <v>0</v>
      </c>
      <c r="J78" s="2" t="inlineStr">
        <is>
          <t>50.0: Candidate general participation page; verify URL</t>
        </is>
      </c>
      <c r="K78" s="2" t="inlineStr">
        <is>
          <t>100.0: Available public-forge repository URL</t>
        </is>
      </c>
      <c r="L78" s="2" t="inlineStr">
        <is>
          <t>041 scored from available URL tier; 019 scored from populated repository field; 116 retained as source evidence only; not scored; 1 unavailable metric(s) scored as 0</t>
        </is>
      </c>
    </row>
    <row r="79">
      <c r="A79" s="2" t="inlineStr">
        <is>
          <t>Open Data Editor</t>
        </is>
      </c>
      <c r="B79" s="2" t="n">
        <v>100</v>
      </c>
      <c r="C79" s="2" t="n">
        <v>30.7692</v>
      </c>
      <c r="D79" s="2" t="n">
        <v>11.1111</v>
      </c>
      <c r="E79" s="2" t="n">
        <v>100</v>
      </c>
      <c r="F79" s="2" t="n">
        <v>100</v>
      </c>
      <c r="G79" s="2" t="n">
        <v>100</v>
      </c>
      <c r="H79" s="2" t="n">
        <v>4</v>
      </c>
      <c r="I79" s="2" t="n">
        <v>1</v>
      </c>
      <c r="J79" s="2" t="inlineStr">
        <is>
          <t>100.0: Candidate dedicated contribution guide; verify URL</t>
        </is>
      </c>
      <c r="K79" s="2" t="inlineStr">
        <is>
          <t>100.0: Available public-forge repository URL</t>
        </is>
      </c>
      <c r="L79" s="2" t="inlineStr">
        <is>
          <t>041 scored from available URL tier; 019 scored from populated repository field; 043 evidence URL should be checked; not scored separately; 116 retained as source evidence only; not scored</t>
        </is>
      </c>
    </row>
    <row r="80">
      <c r="A80" s="2" t="inlineStr">
        <is>
          <t>OpenEdition</t>
        </is>
      </c>
      <c r="B80" s="2" t="n">
        <v>100</v>
      </c>
      <c r="C80" s="2" t="n">
        <v>23.0769</v>
      </c>
      <c r="D80" s="2" t="n">
        <v>11.1111</v>
      </c>
      <c r="E80" s="2" t="n"/>
      <c r="F80" s="2" t="n">
        <v>100</v>
      </c>
      <c r="G80" s="2" t="n">
        <v>33</v>
      </c>
      <c r="H80" s="2" t="n">
        <v>3</v>
      </c>
      <c r="I80" s="2" t="n">
        <v>1</v>
      </c>
      <c r="J80" s="2" t="inlineStr">
        <is>
          <t>None: Blank or suspect URL; review required</t>
        </is>
      </c>
      <c r="K80" s="2" t="inlineStr">
        <is>
          <t>100.0: Available public-forge repository URL</t>
        </is>
      </c>
      <c r="L80" s="2" t="inlineStr">
        <is>
          <t>938 coding requires reviewer confirmation; 019 scored from populated repository field; 1 unavailable metric(s) scored as 0</t>
        </is>
      </c>
    </row>
    <row r="81">
      <c r="A81" s="2" t="inlineStr">
        <is>
          <t>Open Journal Systems (OJS)</t>
        </is>
      </c>
      <c r="B81" s="2" t="n">
        <v>100</v>
      </c>
      <c r="C81" s="2" t="n">
        <v>30.7692</v>
      </c>
      <c r="D81" s="2" t="n">
        <v>55.5556</v>
      </c>
      <c r="E81" s="2" t="n">
        <v>100</v>
      </c>
      <c r="F81" s="2" t="n">
        <v>100</v>
      </c>
      <c r="G81" s="2" t="n">
        <v>100</v>
      </c>
      <c r="H81" s="2" t="n">
        <v>4</v>
      </c>
      <c r="I81" s="2" t="n">
        <v>5</v>
      </c>
      <c r="J81" s="2" t="inlineStr">
        <is>
          <t>100.0: Candidate dedicated contribution guide; verify URL</t>
        </is>
      </c>
      <c r="K81" s="2" t="inlineStr">
        <is>
          <t>100.0: Available public-forge repository URL</t>
        </is>
      </c>
      <c r="L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n">
        <v>100</v>
      </c>
      <c r="C82" s="2" t="n">
        <v>30.7692</v>
      </c>
      <c r="D82" s="2" t="n">
        <v>55.5556</v>
      </c>
      <c r="E82" s="2" t="n">
        <v>100</v>
      </c>
      <c r="F82" s="2" t="n">
        <v>100</v>
      </c>
      <c r="G82" s="2" t="n">
        <v>100</v>
      </c>
      <c r="H82" s="2" t="n">
        <v>4</v>
      </c>
      <c r="I82" s="2" t="n">
        <v>5</v>
      </c>
      <c r="J82" s="2" t="inlineStr">
        <is>
          <t>100.0: Candidate dedicated contribution guide; verify URL</t>
        </is>
      </c>
      <c r="K82" s="2" t="inlineStr">
        <is>
          <t>100.0: Available public-forge repository URL</t>
        </is>
      </c>
      <c r="L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n">
        <v>100</v>
      </c>
      <c r="C83" s="2" t="n">
        <v>30.7692</v>
      </c>
      <c r="D83" s="2" t="n">
        <v>55.5556</v>
      </c>
      <c r="E83" s="2" t="n">
        <v>100</v>
      </c>
      <c r="F83" s="2" t="n">
        <v>100</v>
      </c>
      <c r="G83" s="2" t="n">
        <v>100</v>
      </c>
      <c r="H83" s="2" t="n">
        <v>4</v>
      </c>
      <c r="I83" s="2" t="n">
        <v>5</v>
      </c>
      <c r="J83" s="2" t="inlineStr">
        <is>
          <t>100.0: Candidate dedicated contribution guide; verify URL</t>
        </is>
      </c>
      <c r="K83" s="2" t="inlineStr">
        <is>
          <t>100.0: Available public-forge repository URL</t>
        </is>
      </c>
      <c r="L83" s="2" t="inlineStr">
        <is>
          <t>938 coding requires reviewer confirmation; 041 scored from available URL tier; 019 scored from populated repository field; 043 evidence URL should be checked; not scored separately</t>
        </is>
      </c>
    </row>
    <row r="84">
      <c r="A84" s="2" t="inlineStr">
        <is>
          <t>Openverse</t>
        </is>
      </c>
      <c r="B84" s="2" t="n">
        <v>100</v>
      </c>
      <c r="C84" s="2" t="n"/>
      <c r="D84" s="2" t="n"/>
      <c r="E84" s="2" t="n">
        <v>100</v>
      </c>
      <c r="F84" s="2" t="n">
        <v>100</v>
      </c>
      <c r="G84" s="2" t="n">
        <v>100</v>
      </c>
      <c r="H84" s="2" t="n">
        <v>0</v>
      </c>
      <c r="I84" s="2" t="n">
        <v>0</v>
      </c>
      <c r="J84" s="2" t="inlineStr">
        <is>
          <t>100.0: Candidate dedicated contribution guide; verify URL</t>
        </is>
      </c>
      <c r="K84" s="2" t="inlineStr">
        <is>
          <t>100.0: Available public-forge repository URL</t>
        </is>
      </c>
      <c r="L84" s="2" t="inlineStr">
        <is>
          <t>041 scored from available URL tier; 019 scored from populated repository field; 043 evidence URL should be checked; not scored separately; 116 retained as source evidence only; not scored; 2 unavailable metric(s) scored as 0</t>
        </is>
      </c>
    </row>
    <row r="85">
      <c r="A85" s="2" t="inlineStr">
        <is>
          <t>O Portal Brasileiro de Publicações e Dados Científicos em Acesso Aberto (The Brazilian Open Access Publications and Scientific Data Portal) (Oasisbr)</t>
        </is>
      </c>
      <c r="B85" s="2" t="n">
        <v>33</v>
      </c>
      <c r="C85" s="2" t="n"/>
      <c r="D85" s="2" t="n"/>
      <c r="E85" s="2" t="n"/>
      <c r="F85" s="2" t="n">
        <v>100</v>
      </c>
      <c r="G85" s="2" t="n">
        <v>33</v>
      </c>
      <c r="H85" s="2" t="n">
        <v>0</v>
      </c>
      <c r="I85" s="2" t="n">
        <v>0</v>
      </c>
      <c r="J85" s="2" t="inlineStr">
        <is>
          <t>None: Blank or suspect URL; review required</t>
        </is>
      </c>
      <c r="K85" s="2" t="inlineStr">
        <is>
          <t>100.0: Available public-forge repository URL</t>
        </is>
      </c>
      <c r="L85" s="2" t="inlineStr">
        <is>
          <t>019 scored from populated repository field; 3 unavailable metric(s) scored as 0</t>
        </is>
      </c>
    </row>
    <row r="86">
      <c r="A86" s="2" t="inlineStr">
        <is>
          <t>OSF (Open Science Framework)</t>
        </is>
      </c>
      <c r="B86" s="2" t="n">
        <v>100</v>
      </c>
      <c r="C86" s="2" t="n">
        <v>15.3846</v>
      </c>
      <c r="D86" s="2" t="n">
        <v>55.5556</v>
      </c>
      <c r="E86" s="2" t="n"/>
      <c r="F86" s="2" t="n">
        <v>100</v>
      </c>
      <c r="G86" s="2" t="n">
        <v>100</v>
      </c>
      <c r="H86" s="2" t="n">
        <v>2</v>
      </c>
      <c r="I86" s="2" t="n">
        <v>5</v>
      </c>
      <c r="J86" s="2" t="inlineStr">
        <is>
          <t>None: Blank or suspect URL; review required</t>
        </is>
      </c>
      <c r="K86" s="2" t="inlineStr">
        <is>
          <t>100.0: Available public-forge repository URL</t>
        </is>
      </c>
      <c r="L86" s="2" t="inlineStr">
        <is>
          <t>938 coding requires reviewer confirmation; 041 scored from available URL tier; 019 scored from populated repository field; 043 evidence URL should be checked; not scored separately; 1 unavailable metric(s) scored as 0</t>
        </is>
      </c>
    </row>
    <row r="87">
      <c r="A87" s="2" t="inlineStr">
        <is>
          <t>Oxford Common File Layout</t>
        </is>
      </c>
      <c r="B87" s="2" t="n">
        <v>0</v>
      </c>
      <c r="C87" s="2" t="n"/>
      <c r="D87" s="2" t="n">
        <v>33.3333</v>
      </c>
      <c r="E87" s="2" t="n">
        <v>50</v>
      </c>
      <c r="F87" s="2" t="n">
        <v>100</v>
      </c>
      <c r="G87" s="2" t="n">
        <v>0</v>
      </c>
      <c r="H87" s="2" t="n">
        <v>0</v>
      </c>
      <c r="I87" s="2" t="n">
        <v>3</v>
      </c>
      <c r="J87" s="2" t="inlineStr">
        <is>
          <t>50.0: Candidate general participation page; verify URL</t>
        </is>
      </c>
      <c r="K87" s="2" t="inlineStr">
        <is>
          <t>100.0: Available public-forge repository URL</t>
        </is>
      </c>
      <c r="L87" s="2" t="inlineStr">
        <is>
          <t>041 scored from available URL tier; 019 scored from populated repository field; 1 unavailable metric(s) scored as 0</t>
        </is>
      </c>
    </row>
    <row r="88">
      <c r="A88" s="2" t="inlineStr">
        <is>
          <t>Peer Community In</t>
        </is>
      </c>
      <c r="B88" s="2" t="n">
        <v>100</v>
      </c>
      <c r="C88" s="2" t="n"/>
      <c r="D88" s="2" t="n"/>
      <c r="E88" s="2" t="n"/>
      <c r="F88" s="2" t="n">
        <v>100</v>
      </c>
      <c r="G88" s="2" t="n">
        <v>100</v>
      </c>
      <c r="H88" s="2" t="n">
        <v>0</v>
      </c>
      <c r="I88" s="2" t="n">
        <v>0</v>
      </c>
      <c r="J88" s="2" t="inlineStr">
        <is>
          <t>None: Blank or suspect URL; review required</t>
        </is>
      </c>
      <c r="K88" s="2" t="inlineStr">
        <is>
          <t>100.0: Available public-forge repository URL</t>
        </is>
      </c>
      <c r="L88" s="2" t="inlineStr">
        <is>
          <t>938 coding requires reviewer confirmation; 019 scored from populated repository field; 043 evidence URL should be checked; not scored separately; 3 unavailable metric(s) scored as 0</t>
        </is>
      </c>
    </row>
    <row r="89">
      <c r="A89" s="2" t="inlineStr">
        <is>
          <t>PKP Preservation Network</t>
        </is>
      </c>
      <c r="B89" s="2" t="n">
        <v>100</v>
      </c>
      <c r="C89" s="2" t="n"/>
      <c r="D89" s="2" t="n"/>
      <c r="E89" s="2" t="n">
        <v>100</v>
      </c>
      <c r="F89" s="2" t="n">
        <v>100</v>
      </c>
      <c r="G89" s="2" t="n">
        <v>100</v>
      </c>
      <c r="H89" s="2" t="n">
        <v>0</v>
      </c>
      <c r="I89" s="2" t="n">
        <v>0</v>
      </c>
      <c r="J89" s="2" t="inlineStr">
        <is>
          <t>100.0: Candidate dedicated contribution guide; verify URL</t>
        </is>
      </c>
      <c r="K89" s="2" t="inlineStr">
        <is>
          <t>100.0: Available public-forge repository URL</t>
        </is>
      </c>
      <c r="L89" s="2" t="inlineStr">
        <is>
          <t>041 scored from available URL tier; 019 scored from populated repository field; 043 evidence URL should be checked; not scored separately; 116 retained as source evidence only; not scored; 2 unavailable metric(s) scored as 0</t>
        </is>
      </c>
    </row>
    <row r="90">
      <c r="A90" s="2" t="inlineStr">
        <is>
          <t>PREreview</t>
        </is>
      </c>
      <c r="B90" s="2" t="n">
        <v>100</v>
      </c>
      <c r="C90" s="2" t="n">
        <v>84.61539999999999</v>
      </c>
      <c r="D90" s="2" t="n">
        <v>77.7778</v>
      </c>
      <c r="E90" s="2" t="n">
        <v>50</v>
      </c>
      <c r="F90" s="2" t="n">
        <v>100</v>
      </c>
      <c r="G90" s="2" t="n">
        <v>100</v>
      </c>
      <c r="H90" s="2" t="n">
        <v>11</v>
      </c>
      <c r="I90" s="2" t="n">
        <v>7</v>
      </c>
      <c r="J90" s="2" t="inlineStr">
        <is>
          <t>50.0: Candidate general participation page; verify URL</t>
        </is>
      </c>
      <c r="K90" s="2" t="inlineStr">
        <is>
          <t>100.0: Available public-forge repository URL</t>
        </is>
      </c>
      <c r="L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n">
        <v>100</v>
      </c>
      <c r="C91" s="2" t="n">
        <v>15.3846</v>
      </c>
      <c r="D91" s="2" t="n">
        <v>33.3333</v>
      </c>
      <c r="E91" s="2" t="n"/>
      <c r="F91" s="2" t="n">
        <v>100</v>
      </c>
      <c r="G91" s="2" t="n">
        <v>33</v>
      </c>
      <c r="H91" s="2" t="n">
        <v>2</v>
      </c>
      <c r="I91" s="2" t="n">
        <v>3</v>
      </c>
      <c r="J91" s="2" t="inlineStr">
        <is>
          <t>None: Blank or suspect URL; review required</t>
        </is>
      </c>
      <c r="K91" s="2" t="inlineStr">
        <is>
          <t>100.0: Available public-forge repository URL</t>
        </is>
      </c>
      <c r="L91" s="2" t="inlineStr">
        <is>
          <t>938 coding requires reviewer confirmation; 019 scored from populated repository field; 1 unavailable metric(s) scored as 0</t>
        </is>
      </c>
    </row>
    <row r="92">
      <c r="A92" s="2" t="inlineStr">
        <is>
          <t>Public Access Submission System</t>
        </is>
      </c>
      <c r="B92" s="2" t="n">
        <v>67</v>
      </c>
      <c r="C92" s="2" t="n"/>
      <c r="D92" s="2" t="n">
        <v>44.4444</v>
      </c>
      <c r="E92" s="2" t="n">
        <v>100</v>
      </c>
      <c r="F92" s="2" t="n">
        <v>100</v>
      </c>
      <c r="G92" s="2" t="n">
        <v>100</v>
      </c>
      <c r="H92" s="2" t="n">
        <v>0</v>
      </c>
      <c r="I92" s="2" t="n">
        <v>4</v>
      </c>
      <c r="J92" s="2" t="inlineStr">
        <is>
          <t>100.0: Candidate dedicated contribution guide; verify URL</t>
        </is>
      </c>
      <c r="K92" s="2" t="inlineStr">
        <is>
          <t>100.0: Available public-forge repository URL</t>
        </is>
      </c>
      <c r="L92" s="2" t="inlineStr">
        <is>
          <t>041 scored from available URL tier; 019 scored from populated repository field; 043 evidence URL should be checked; not scored separately; 1 unavailable metric(s) scored as 0</t>
        </is>
      </c>
    </row>
    <row r="93">
      <c r="A93" s="2" t="inlineStr">
        <is>
          <t>Public Utility Data Liberation (PUDL)</t>
        </is>
      </c>
      <c r="B93" s="2" t="n">
        <v>100</v>
      </c>
      <c r="C93" s="2" t="n">
        <v>61.5385</v>
      </c>
      <c r="D93" s="2" t="n"/>
      <c r="E93" s="2" t="n">
        <v>100</v>
      </c>
      <c r="F93" s="2" t="n">
        <v>100</v>
      </c>
      <c r="G93" s="2" t="n">
        <v>100</v>
      </c>
      <c r="H93" s="2" t="n">
        <v>8</v>
      </c>
      <c r="I93" s="2" t="n">
        <v>0</v>
      </c>
      <c r="J93" s="2" t="inlineStr">
        <is>
          <t>100.0: Candidate dedicated contribution guide; verify URL</t>
        </is>
      </c>
      <c r="K93" s="2" t="inlineStr">
        <is>
          <t>100.0: Available public-forge repository URL</t>
        </is>
      </c>
      <c r="L93" s="2" t="inlineStr">
        <is>
          <t>041 scored from available URL tier; 019 scored from populated repository field; 043 evidence URL should be checked; not scored separately; 116 retained as source evidence only; not scored; 1 unavailable metric(s) scored as 0</t>
        </is>
      </c>
    </row>
    <row r="94">
      <c r="A94" s="2" t="inlineStr">
        <is>
          <t>PubPub</t>
        </is>
      </c>
      <c r="B94" s="2" t="n">
        <v>100</v>
      </c>
      <c r="C94" s="2" t="n">
        <v>30.7692</v>
      </c>
      <c r="D94" s="2" t="n">
        <v>44.4444</v>
      </c>
      <c r="E94" s="2" t="n">
        <v>50</v>
      </c>
      <c r="F94" s="2" t="n">
        <v>100</v>
      </c>
      <c r="G94" s="2" t="n">
        <v>100</v>
      </c>
      <c r="H94" s="2" t="n">
        <v>4</v>
      </c>
      <c r="I94" s="2" t="n">
        <v>4</v>
      </c>
      <c r="J94" s="2" t="inlineStr">
        <is>
          <t>50.0: Candidate general participation page; verify URL</t>
        </is>
      </c>
      <c r="K94" s="2" t="inlineStr">
        <is>
          <t>100.0: Available public-forge repository URL</t>
        </is>
      </c>
      <c r="L94" s="2" t="inlineStr">
        <is>
          <t>938 coding requires reviewer confirmation; 041 scored from available URL tier; 019 scored from populated repository field; 043 evidence URL should be checked; not scored separately</t>
        </is>
      </c>
    </row>
    <row r="95">
      <c r="A95" s="2" t="inlineStr">
        <is>
          <t>Pundit</t>
        </is>
      </c>
      <c r="B95" s="2" t="n">
        <v>33</v>
      </c>
      <c r="C95" s="2" t="n">
        <v>23.0769</v>
      </c>
      <c r="D95" s="2" t="n">
        <v>77.7778</v>
      </c>
      <c r="E95" s="2" t="n"/>
      <c r="F95" s="2" t="n">
        <v>100</v>
      </c>
      <c r="G95" s="2" t="n">
        <v>0</v>
      </c>
      <c r="H95" s="2" t="n">
        <v>3</v>
      </c>
      <c r="I95" s="2" t="n">
        <v>7</v>
      </c>
      <c r="J95" s="2" t="inlineStr">
        <is>
          <t>None: Blank or suspect URL; review required</t>
        </is>
      </c>
      <c r="K95" s="2" t="inlineStr">
        <is>
          <t>100.0: Available public-forge repository URL</t>
        </is>
      </c>
      <c r="L95" s="2" t="inlineStr">
        <is>
          <t>019 scored from populated repository field; 037 status conflicts with listed 038/938 activity; both scored independently; 1 unavailable metric(s) scored as 0</t>
        </is>
      </c>
    </row>
    <row r="96">
      <c r="A96" s="2" t="inlineStr">
        <is>
          <t>pyOpenSci</t>
        </is>
      </c>
      <c r="B96" s="2" t="n">
        <v>67</v>
      </c>
      <c r="C96" s="2" t="n"/>
      <c r="D96" s="2" t="n"/>
      <c r="E96" s="2" t="n">
        <v>100</v>
      </c>
      <c r="F96" s="2" t="n">
        <v>100</v>
      </c>
      <c r="G96" s="2" t="n">
        <v>100</v>
      </c>
      <c r="H96" s="2" t="n">
        <v>0</v>
      </c>
      <c r="I96" s="2" t="n">
        <v>0</v>
      </c>
      <c r="J96" s="2" t="inlineStr">
        <is>
          <t>100.0: Candidate dedicated contribution guide; verify URL</t>
        </is>
      </c>
      <c r="K96" s="2" t="inlineStr">
        <is>
          <t>100.0: Available public-forge repository URL</t>
        </is>
      </c>
      <c r="L96" s="2" t="inlineStr">
        <is>
          <t>041 scored from available URL tier; 019 scored from populated repository field; 043 evidence URL should be checked; not scored separately; 2 unavailable metric(s) scored as 0</t>
        </is>
      </c>
    </row>
    <row r="97">
      <c r="A97" s="2" t="inlineStr">
        <is>
          <t>Renku</t>
        </is>
      </c>
      <c r="B97" s="2" t="n">
        <v>100</v>
      </c>
      <c r="C97" s="2" t="n">
        <v>53.8462</v>
      </c>
      <c r="D97" s="2" t="n">
        <v>44.4444</v>
      </c>
      <c r="E97" s="2" t="n">
        <v>100</v>
      </c>
      <c r="F97" s="2" t="n">
        <v>100</v>
      </c>
      <c r="G97" s="2" t="n">
        <v>33</v>
      </c>
      <c r="H97" s="2" t="n">
        <v>7</v>
      </c>
      <c r="I97" s="2" t="n">
        <v>4</v>
      </c>
      <c r="J97" s="2" t="inlineStr">
        <is>
          <t>100.0: Candidate dedicated contribution guide; verify URL</t>
        </is>
      </c>
      <c r="K97" s="2" t="inlineStr">
        <is>
          <t>100.0: Available public-forge repository URL</t>
        </is>
      </c>
      <c r="L97" s="2" t="inlineStr">
        <is>
          <t>041 scored from available URL tier; 019 scored from populated repository field; 116 retained as source evidence only; not scored</t>
        </is>
      </c>
    </row>
    <row r="98">
      <c r="A98" s="2" t="inlineStr">
        <is>
          <t>RePEc</t>
        </is>
      </c>
      <c r="B98" s="2" t="n">
        <v>100</v>
      </c>
      <c r="C98" s="2" t="n">
        <v>30.7692</v>
      </c>
      <c r="D98" s="2" t="n">
        <v>44.4444</v>
      </c>
      <c r="E98" s="2" t="n"/>
      <c r="F98" s="2" t="n">
        <v>100</v>
      </c>
      <c r="G98" s="2" t="n">
        <v>0</v>
      </c>
      <c r="H98" s="2" t="n">
        <v>4</v>
      </c>
      <c r="I98" s="2" t="n">
        <v>4</v>
      </c>
      <c r="J98" s="2" t="inlineStr">
        <is>
          <t>None: Blank or suspect URL; review required</t>
        </is>
      </c>
      <c r="K98" s="2" t="inlineStr">
        <is>
          <t>100.0: Available public-forge repository URL</t>
        </is>
      </c>
      <c r="L98" s="2" t="inlineStr">
        <is>
          <t>940 Other route requires reviewer confirmation; 019 scored from populated repository field; 116 retained as source evidence only; not scored; 1 unavailable metric(s) scored as 0</t>
        </is>
      </c>
    </row>
    <row r="99">
      <c r="A99" s="2" t="inlineStr">
        <is>
          <t>Research Organization Registry (ROR)</t>
        </is>
      </c>
      <c r="B99" s="2" t="n">
        <v>100</v>
      </c>
      <c r="C99" s="2" t="n">
        <v>76.92310000000001</v>
      </c>
      <c r="D99" s="2" t="n">
        <v>55.5556</v>
      </c>
      <c r="E99" s="2" t="n">
        <v>100</v>
      </c>
      <c r="F99" s="2" t="n">
        <v>100</v>
      </c>
      <c r="G99" s="2" t="n">
        <v>100</v>
      </c>
      <c r="H99" s="2" t="n">
        <v>10</v>
      </c>
      <c r="I99" s="2" t="n">
        <v>5</v>
      </c>
      <c r="J99" s="2" t="inlineStr">
        <is>
          <t>100.0: Candidate dedicated contribution guide; verify URL</t>
        </is>
      </c>
      <c r="K99" s="2" t="inlineStr">
        <is>
          <t>100.0: Available public-forge repository URL</t>
        </is>
      </c>
      <c r="L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n">
        <v>67</v>
      </c>
      <c r="C100" s="2" t="n"/>
      <c r="D100" s="2" t="n">
        <v>33.3333</v>
      </c>
      <c r="E100" s="2" t="n"/>
      <c r="F100" s="2" t="n">
        <v>100</v>
      </c>
      <c r="G100" s="2" t="n">
        <v>33</v>
      </c>
      <c r="H100" s="2" t="n">
        <v>0</v>
      </c>
      <c r="I100" s="2" t="n">
        <v>3</v>
      </c>
      <c r="J100" s="2" t="inlineStr">
        <is>
          <t>None: Blank or suspect URL; review required</t>
        </is>
      </c>
      <c r="K100" s="2" t="inlineStr">
        <is>
          <t>100.0: Available public-forge repository URL</t>
        </is>
      </c>
      <c r="L100" s="2" t="inlineStr">
        <is>
          <t>041 scored from available URL tier; 019 scored from populated repository field; 2 unavailable metric(s) scored as 0</t>
        </is>
      </c>
    </row>
    <row r="101">
      <c r="A101" s="2" t="inlineStr">
        <is>
          <t>RSpace</t>
        </is>
      </c>
      <c r="B101" s="2" t="n">
        <v>100</v>
      </c>
      <c r="C101" s="2" t="n">
        <v>46.1538</v>
      </c>
      <c r="D101" s="2" t="n">
        <v>22.2222</v>
      </c>
      <c r="E101" s="2" t="n">
        <v>50</v>
      </c>
      <c r="F101" s="2" t="n">
        <v>100</v>
      </c>
      <c r="G101" s="2" t="n">
        <v>100</v>
      </c>
      <c r="H101" s="2" t="n">
        <v>6</v>
      </c>
      <c r="I101" s="2" t="n">
        <v>2</v>
      </c>
      <c r="J101" s="2" t="inlineStr">
        <is>
          <t>50.0: Candidate general participation page; verify URL</t>
        </is>
      </c>
      <c r="K101" s="2" t="inlineStr">
        <is>
          <t>100.0: Available public-forge repository URL</t>
        </is>
      </c>
      <c r="L101" s="2" t="inlineStr">
        <is>
          <t>041 scored from available URL tier; 019 scored from populated repository field; 043 evidence URL should be checked; not scored separately; 116 retained as source evidence only; not scored</t>
        </is>
      </c>
    </row>
    <row r="102">
      <c r="A102" s="2" t="inlineStr">
        <is>
          <t>Sciety</t>
        </is>
      </c>
      <c r="B102" s="2" t="n">
        <v>100</v>
      </c>
      <c r="C102" s="2" t="n"/>
      <c r="D102" s="2" t="n"/>
      <c r="E102" s="2" t="n"/>
      <c r="F102" s="2" t="n">
        <v>100</v>
      </c>
      <c r="G102" s="2" t="n">
        <v>33</v>
      </c>
      <c r="H102" s="2" t="n">
        <v>0</v>
      </c>
      <c r="I102" s="2" t="n">
        <v>0</v>
      </c>
      <c r="J102" s="2" t="inlineStr">
        <is>
          <t>None: Blank or suspect URL; review required</t>
        </is>
      </c>
      <c r="K102" s="2" t="inlineStr">
        <is>
          <t>100.0: Available public-forge repository URL</t>
        </is>
      </c>
      <c r="L102" s="2" t="inlineStr">
        <is>
          <t>019 scored from populated repository field; 116 retained as source evidence only; not scored; 3 unavailable metric(s) scored as 0</t>
        </is>
      </c>
    </row>
    <row r="103">
      <c r="A103" s="2" t="inlineStr">
        <is>
          <t>Synapse</t>
        </is>
      </c>
      <c r="B103" s="2" t="n">
        <v>100</v>
      </c>
      <c r="C103" s="2" t="n">
        <v>30.7692</v>
      </c>
      <c r="D103" s="2" t="n"/>
      <c r="E103" s="2" t="n"/>
      <c r="F103" s="2" t="n">
        <v>100</v>
      </c>
      <c r="G103" s="2" t="n">
        <v>100</v>
      </c>
      <c r="H103" s="2" t="n">
        <v>4</v>
      </c>
      <c r="I103" s="2" t="n">
        <v>0</v>
      </c>
      <c r="J103" s="2" t="inlineStr">
        <is>
          <t>None: Blank or suspect URL; review required</t>
        </is>
      </c>
      <c r="K103" s="2" t="inlineStr">
        <is>
          <t>100.0: Available public-forge repository URL</t>
        </is>
      </c>
      <c r="L103" s="2" t="inlineStr">
        <is>
          <t>041 scored from available URL tier; 019 scored from populated repository field; 043 evidence URL should be checked; not scored separately; 116 retained as source evidence only; not scored; 2 unavailable metric(s) scored as 0</t>
        </is>
      </c>
    </row>
    <row r="104">
      <c r="A104" s="2" t="inlineStr">
        <is>
          <t>TagTeam</t>
        </is>
      </c>
      <c r="B104" s="2" t="n">
        <v>100</v>
      </c>
      <c r="C104" s="2" t="n"/>
      <c r="D104" s="2" t="n"/>
      <c r="E104" s="2" t="n">
        <v>50</v>
      </c>
      <c r="F104" s="2" t="n">
        <v>100</v>
      </c>
      <c r="G104" s="2" t="n"/>
      <c r="H104" s="2" t="n">
        <v>0</v>
      </c>
      <c r="I104" s="2" t="n">
        <v>0</v>
      </c>
      <c r="J104" s="2" t="inlineStr">
        <is>
          <t>50.0: Candidate general participation page; verify URL</t>
        </is>
      </c>
      <c r="K104" s="2" t="inlineStr">
        <is>
          <t>100.0: Available public-forge repository URL</t>
        </is>
      </c>
      <c r="L104" s="2" t="inlineStr">
        <is>
          <t>041 scored from available URL tier; 019 scored from populated repository field; 043 evidence URL should be checked; not scored separately; 3 unavailable metric(s) scored as 0</t>
        </is>
      </c>
    </row>
    <row r="105">
      <c r="A105" s="2" t="inlineStr">
        <is>
          <t>Thoth Open Metadata</t>
        </is>
      </c>
      <c r="B105" s="2" t="n">
        <v>100</v>
      </c>
      <c r="C105" s="2" t="n">
        <v>61.5385</v>
      </c>
      <c r="D105" s="2" t="n">
        <v>66.66670000000001</v>
      </c>
      <c r="E105" s="2" t="n"/>
      <c r="F105" s="2" t="n">
        <v>100</v>
      </c>
      <c r="G105" s="2" t="n">
        <v>100</v>
      </c>
      <c r="H105" s="2" t="n">
        <v>8</v>
      </c>
      <c r="I105" s="2" t="n">
        <v>6</v>
      </c>
      <c r="J105" s="2" t="inlineStr">
        <is>
          <t>None: Blank or suspect URL; review required</t>
        </is>
      </c>
      <c r="K105" s="2" t="inlineStr">
        <is>
          <t>100.0: Available public-forge repository URL</t>
        </is>
      </c>
      <c r="L105" s="2" t="inlineStr">
        <is>
          <t>019 scored from populated repository field; 043 evidence URL should be checked; not scored separately; 116 retained as source evidence only; not scored; 1 unavailable metric(s) scored as 0</t>
        </is>
      </c>
    </row>
    <row r="106">
      <c r="A106" s="2" t="inlineStr">
        <is>
          <t>Tropy</t>
        </is>
      </c>
      <c r="B106" s="2" t="n">
        <v>100</v>
      </c>
      <c r="C106" s="2" t="n">
        <v>23.0769</v>
      </c>
      <c r="D106" s="2" t="n">
        <v>11.1111</v>
      </c>
      <c r="E106" s="2" t="n">
        <v>50</v>
      </c>
      <c r="F106" s="2" t="n">
        <v>100</v>
      </c>
      <c r="G106" s="2" t="n">
        <v>33</v>
      </c>
      <c r="H106" s="2" t="n">
        <v>3</v>
      </c>
      <c r="I106" s="2" t="n">
        <v>1</v>
      </c>
      <c r="J106" s="2" t="inlineStr">
        <is>
          <t>50.0: Candidate general participation page; verify URL</t>
        </is>
      </c>
      <c r="K106" s="2" t="inlineStr">
        <is>
          <t>100.0: Available public-forge repository URL</t>
        </is>
      </c>
      <c r="L106" s="2" t="inlineStr">
        <is>
          <t>041 scored from available URL tier; 019 scored from populated repository field; 116 retained as source evidence only; not scored</t>
        </is>
      </c>
    </row>
    <row r="107">
      <c r="A107" s="2" t="inlineStr">
        <is>
          <t>veraPDF</t>
        </is>
      </c>
      <c r="B107" s="2" t="n">
        <v>100</v>
      </c>
      <c r="C107" s="2" t="n">
        <v>38.4615</v>
      </c>
      <c r="D107" s="2" t="n"/>
      <c r="E107" s="2" t="n"/>
      <c r="F107" s="2" t="n">
        <v>100</v>
      </c>
      <c r="G107" s="2" t="n">
        <v>67</v>
      </c>
      <c r="H107" s="2" t="n">
        <v>5</v>
      </c>
      <c r="I107" s="2" t="n">
        <v>0</v>
      </c>
      <c r="J107" s="2" t="inlineStr">
        <is>
          <t>None: Blank or suspect URL; review required</t>
        </is>
      </c>
      <c r="K107" s="2" t="inlineStr">
        <is>
          <t>100.0: Available public-forge repository URL</t>
        </is>
      </c>
      <c r="L107" s="2" t="inlineStr">
        <is>
          <t>019 scored from populated repository field; 116 retained as source evidence only; not scored; 2 unavailable metric(s) scored as 0</t>
        </is>
      </c>
    </row>
    <row r="108">
      <c r="A108" s="2" t="inlineStr">
        <is>
          <t>ViPER</t>
        </is>
      </c>
      <c r="B108" s="2" t="n">
        <v>100</v>
      </c>
      <c r="C108" s="2" t="n">
        <v>61.5385</v>
      </c>
      <c r="D108" s="2" t="n">
        <v>44.4444</v>
      </c>
      <c r="E108" s="2" t="n">
        <v>50</v>
      </c>
      <c r="F108" s="2" t="n">
        <v>100</v>
      </c>
      <c r="G108" s="2" t="n">
        <v>67</v>
      </c>
      <c r="H108" s="2" t="n">
        <v>8</v>
      </c>
      <c r="I108" s="2" t="n">
        <v>4</v>
      </c>
      <c r="J108" s="2" t="inlineStr">
        <is>
          <t>50.0: Candidate general participation page; verify URL</t>
        </is>
      </c>
      <c r="K108" s="2" t="inlineStr">
        <is>
          <t>100.0: Available public-forge repository URL</t>
        </is>
      </c>
      <c r="L108" s="2" t="inlineStr">
        <is>
          <t>041 scored from available URL tier; 019 scored from populated repository field; 116 retained as source evidence only; not scored</t>
        </is>
      </c>
    </row>
    <row r="109">
      <c r="A109" s="2" t="inlineStr">
        <is>
          <t>Vireo ETD</t>
        </is>
      </c>
      <c r="B109" s="2" t="n">
        <v>100</v>
      </c>
      <c r="C109" s="2" t="n">
        <v>76.92310000000001</v>
      </c>
      <c r="D109" s="2" t="n">
        <v>77.7778</v>
      </c>
      <c r="E109" s="2" t="n"/>
      <c r="F109" s="2" t="n">
        <v>100</v>
      </c>
      <c r="G109" s="2" t="n">
        <v>0</v>
      </c>
      <c r="H109" s="2" t="n">
        <v>10</v>
      </c>
      <c r="I109" s="2" t="n">
        <v>7</v>
      </c>
      <c r="J109" s="2" t="inlineStr">
        <is>
          <t>None: Blank or suspect URL; review required</t>
        </is>
      </c>
      <c r="K109" s="2" t="inlineStr">
        <is>
          <t>100.0: Available public-forge repository URL</t>
        </is>
      </c>
      <c r="L109" s="2" t="inlineStr">
        <is>
          <t>019 scored from populated repository field; 116 retained as source evidence only; not scored; 1 unavailable metric(s) scored as 0</t>
        </is>
      </c>
    </row>
    <row r="110">
      <c r="A110" s="2" t="inlineStr">
        <is>
          <t>VIVO</t>
        </is>
      </c>
      <c r="B110" s="2" t="n">
        <v>100</v>
      </c>
      <c r="C110" s="2" t="n">
        <v>76.92310000000001</v>
      </c>
      <c r="D110" s="2" t="n">
        <v>77.7778</v>
      </c>
      <c r="E110" s="2" t="n">
        <v>50</v>
      </c>
      <c r="F110" s="2" t="n">
        <v>100</v>
      </c>
      <c r="G110" s="2" t="n">
        <v>33</v>
      </c>
      <c r="H110" s="2" t="n">
        <v>10</v>
      </c>
      <c r="I110" s="2" t="n">
        <v>7</v>
      </c>
      <c r="J110" s="2" t="inlineStr">
        <is>
          <t>50.0: Candidate general participation page; verify URL</t>
        </is>
      </c>
      <c r="K110" s="2" t="inlineStr">
        <is>
          <t>100.0: Available public-forge repository URL</t>
        </is>
      </c>
      <c r="L110" s="2" t="inlineStr">
        <is>
          <t>041 scored from available URL tier; 019 scored from populated repository field; 116 retained as source evidence only; not scored</t>
        </is>
      </c>
    </row>
    <row r="111">
      <c r="A111" s="2" t="inlineStr">
        <is>
          <t>VuFind®</t>
        </is>
      </c>
      <c r="B111" s="2" t="n">
        <v>100</v>
      </c>
      <c r="C111" s="2" t="n">
        <v>46.1538</v>
      </c>
      <c r="D111" s="2" t="n">
        <v>66.66670000000001</v>
      </c>
      <c r="E111" s="2" t="n">
        <v>100</v>
      </c>
      <c r="F111" s="2" t="n">
        <v>100</v>
      </c>
      <c r="G111" s="2" t="n">
        <v>100</v>
      </c>
      <c r="H111" s="2" t="n">
        <v>6</v>
      </c>
      <c r="I111" s="2" t="n">
        <v>6</v>
      </c>
      <c r="J111" s="2" t="inlineStr">
        <is>
          <t>100.0: Candidate dedicated contribution guide; verify URL</t>
        </is>
      </c>
      <c r="K111" s="2" t="inlineStr">
        <is>
          <t>100.0: Available public-forge repository URL</t>
        </is>
      </c>
      <c r="L111" s="2" t="inlineStr">
        <is>
          <t>938 coding requires reviewer confirmation; 041 scored from available URL tier; 019 scored from populated repository field; 043 evidence URL should be checked; not scored separately</t>
        </is>
      </c>
    </row>
    <row r="112">
      <c r="A112" s="2" t="inlineStr">
        <is>
          <t>Zenodo</t>
        </is>
      </c>
      <c r="B112" s="2" t="n">
        <v>0</v>
      </c>
      <c r="C112" s="2" t="n"/>
      <c r="D112" s="2" t="n">
        <v>44.4444</v>
      </c>
      <c r="E112" s="2" t="n">
        <v>100</v>
      </c>
      <c r="F112" s="2" t="n">
        <v>100</v>
      </c>
      <c r="G112" s="2" t="n">
        <v>100</v>
      </c>
      <c r="H112" s="2" t="n">
        <v>0</v>
      </c>
      <c r="I112" s="2" t="n">
        <v>4</v>
      </c>
      <c r="J112" s="2" t="inlineStr">
        <is>
          <t>100.0: Candidate dedicated contribution guide; verify URL</t>
        </is>
      </c>
      <c r="K112" s="2" t="inlineStr">
        <is>
          <t>100.0: Available public-forge repository URL</t>
        </is>
      </c>
      <c r="L112" s="2" t="inlineStr">
        <is>
          <t>041 scored from available URL tier; 019 scored from populated repository field; 043 evidence URL should be checked; not scored separately; 1 unavailable metric(s) scored as 0</t>
        </is>
      </c>
    </row>
    <row r="113">
      <c r="A113" s="2" t="inlineStr">
        <is>
          <t>Zotero</t>
        </is>
      </c>
      <c r="B113" s="2" t="n">
        <v>100</v>
      </c>
      <c r="C113" s="2" t="n">
        <v>30.7692</v>
      </c>
      <c r="D113" s="2" t="n">
        <v>33.3333</v>
      </c>
      <c r="E113" s="2" t="n">
        <v>50</v>
      </c>
      <c r="F113" s="2" t="n">
        <v>100</v>
      </c>
      <c r="G113" s="2" t="n">
        <v>100</v>
      </c>
      <c r="H113" s="2" t="n">
        <v>4</v>
      </c>
      <c r="I113" s="2" t="n">
        <v>3</v>
      </c>
      <c r="J113" s="2" t="inlineStr">
        <is>
          <t>50.0: Candidate general participation page; verify URL</t>
        </is>
      </c>
      <c r="K113" s="2" t="inlineStr">
        <is>
          <t>100.0: Available public-forge repository URL</t>
        </is>
      </c>
      <c r="L113" s="2" t="inlineStr">
        <is>
          <t>041 scored from available URL tier; 019 scored from populated repository field; 043 evidence URL should be checked; not scored separately; 116 retained as source evidence only; not scored</t>
        </is>
      </c>
    </row>
  </sheetData>
  <autoFilter ref="A1:L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70" customWidth="1" min="3" max="3"/>
    <col width="60" customWidth="1" min="4" max="4"/>
    <col width="75" customWidth="1" min="5" max="5"/>
  </cols>
  <sheetData>
    <row r="1">
      <c r="A1" s="1" t="inlineStr">
        <is>
          <t>Service</t>
        </is>
      </c>
      <c r="B1" s="1" t="inlineStr">
        <is>
          <t>Review item</t>
        </is>
      </c>
      <c r="C1" s="1" t="inlineStr">
        <is>
          <t>Source value / coded proposal</t>
        </is>
      </c>
      <c r="D1" s="1" t="inlineStr">
        <is>
          <t>Reviewer decision</t>
        </is>
      </c>
      <c r="E1" s="1" t="inlineStr">
        <is>
          <t>Reviewer notes</t>
        </is>
      </c>
    </row>
    <row r="2">
      <c r="A2" s="2" t="inlineStr">
        <is>
          <t>2i2c</t>
        </is>
      </c>
      <c r="B2" s="2" t="inlineStr">
        <is>
          <t>938 free-text activity coding</t>
        </is>
      </c>
      <c r="C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2" s="2" t="inlineStr">
        <is>
          <t>Community calls; Interest, working, user, or advisory groups</t>
        </is>
      </c>
      <c r="E2" s="2" t="inlineStr">
        <is>
          <t>Confirm or correct categories; add valid Other only if distinct from the 12 named types.</t>
        </is>
      </c>
    </row>
    <row r="3">
      <c r="A3" s="2" t="inlineStr">
        <is>
          <t>2i2c</t>
        </is>
      </c>
      <c r="B3" s="2" t="inlineStr">
        <is>
          <t>019 public repository</t>
        </is>
      </c>
      <c r="C3" s="2" t="inlineStr">
        <is>
          <t>https://github.com/2i2c-org/infrastructure</t>
        </is>
      </c>
      <c r="D3" s="2" t="inlineStr">
        <is>
          <t>100.0: Available public-forge repository URL</t>
        </is>
      </c>
      <c r="E3" s="2" t="inlineStr">
        <is>
          <t>Scored from the populated repository field; inspect only if the URL or host classification is clearly malformed.</t>
        </is>
      </c>
    </row>
    <row r="4">
      <c r="A4" s="2" t="inlineStr">
        <is>
          <t>2i2c</t>
        </is>
      </c>
      <c r="B4" s="2" t="inlineStr">
        <is>
          <t>043 Code of Conduct evidence</t>
        </is>
      </c>
      <c r="C4" s="2" t="inlineStr">
        <is>
          <t>https://compass.2i2c.org/code-of-conduct/</t>
        </is>
      </c>
      <c r="D4" s="2" t="inlineStr">
        <is>
          <t>Evidence only</t>
        </is>
      </c>
      <c r="E4" s="2" t="inlineStr">
        <is>
          <t>Check whether the linked policy applies to this community; do not score URL separately.</t>
        </is>
      </c>
    </row>
    <row r="5">
      <c r="A5" s="2" t="inlineStr">
        <is>
          <t>Academic Preservation Trust (APTrust)</t>
        </is>
      </c>
      <c r="B5" s="2" t="inlineStr">
        <is>
          <t>041 contribution guidance URL</t>
        </is>
      </c>
      <c r="C5" s="2" t="inlineStr">
        <is>
          <t>https://aptrust.org/resources/working-groups/</t>
        </is>
      </c>
      <c r="D5" s="2" t="inlineStr">
        <is>
          <t>50.0: Candidate general participation page; verify URL</t>
        </is>
      </c>
      <c r="E5" s="2" t="inlineStr">
        <is>
          <t>Scored from the available URL; inspect only if the URL appears suspect or the automatic tier is inaccurate.</t>
        </is>
      </c>
    </row>
    <row r="6">
      <c r="A6" s="2" t="inlineStr">
        <is>
          <t>Academic Preservation Trust (APTrust)</t>
        </is>
      </c>
      <c r="B6" s="2" t="inlineStr">
        <is>
          <t>019 public repository</t>
        </is>
      </c>
      <c r="C6" s="2" t="inlineStr">
        <is>
          <t>https://github.com/APTrust/registry</t>
        </is>
      </c>
      <c r="D6" s="2" t="inlineStr">
        <is>
          <t>100.0: Available public-forge repository URL</t>
        </is>
      </c>
      <c r="E6" s="2" t="inlineStr">
        <is>
          <t>Scored from the populated repository field; inspect only if the URL or host classification is clearly malformed.</t>
        </is>
      </c>
    </row>
    <row r="7">
      <c r="A7" s="2" t="inlineStr">
        <is>
          <t>Academic Preservation Trust (APTrust)</t>
        </is>
      </c>
      <c r="B7" s="2" t="inlineStr">
        <is>
          <t>043 Code of Conduct evidence</t>
        </is>
      </c>
      <c r="C7" s="2" t="inlineStr">
        <is>
          <t>https://www.diglib.org/about/code-of-conduct/</t>
        </is>
      </c>
      <c r="D7" s="2" t="inlineStr">
        <is>
          <t>Evidence only</t>
        </is>
      </c>
      <c r="E7" s="2" t="inlineStr">
        <is>
          <t>Check whether the linked policy applies to this community; do not score URL separately.</t>
        </is>
      </c>
    </row>
    <row r="8">
      <c r="A8" s="2" t="inlineStr">
        <is>
          <t>AfricArXiv</t>
        </is>
      </c>
      <c r="B8" s="2" t="inlineStr">
        <is>
          <t>043 Code of Conduct evidence</t>
        </is>
      </c>
      <c r="C8" s="2" t="inlineStr">
        <is>
          <t>https://access2perspectives.org/code-of-conduct/</t>
        </is>
      </c>
      <c r="D8" s="2" t="inlineStr">
        <is>
          <t>Evidence only</t>
        </is>
      </c>
      <c r="E8" s="2" t="inlineStr">
        <is>
          <t>Check whether the linked policy applies to this community; do not score URL separately.</t>
        </is>
      </c>
    </row>
    <row r="9">
      <c r="A9" s="2" t="inlineStr">
        <is>
          <t>Arches Heritage Data Management Platform</t>
        </is>
      </c>
      <c r="B9" s="2" t="inlineStr">
        <is>
          <t>041 contribution guidance URL</t>
        </is>
      </c>
      <c r="C9" s="2" t="inlineStr">
        <is>
          <t>https://github.com/archesproject/arches/blob/master/CONTRIBUTING.md</t>
        </is>
      </c>
      <c r="D9" s="2" t="inlineStr">
        <is>
          <t>100.0: Candidate dedicated contribution guide; verify URL</t>
        </is>
      </c>
      <c r="E9" s="2" t="inlineStr">
        <is>
          <t>Scored from the available URL; inspect only if the URL appears suspect or the automatic tier is inaccurate.</t>
        </is>
      </c>
    </row>
    <row r="10">
      <c r="A10" s="2" t="inlineStr">
        <is>
          <t>Arches Heritage Data Management Platform</t>
        </is>
      </c>
      <c r="B10" s="2" t="inlineStr">
        <is>
          <t>019 public repository</t>
        </is>
      </c>
      <c r="C10" s="2" t="inlineStr">
        <is>
          <t>https://github.com/archesproject</t>
        </is>
      </c>
      <c r="D10" s="2" t="inlineStr">
        <is>
          <t>100.0: Available public-forge repository URL</t>
        </is>
      </c>
      <c r="E10" s="2" t="inlineStr">
        <is>
          <t>Scored from the populated repository field; inspect only if the URL or host classification is clearly malformed.</t>
        </is>
      </c>
    </row>
    <row r="11">
      <c r="A11" s="2" t="inlineStr">
        <is>
          <t>Arches Heritage Data Management Platform</t>
        </is>
      </c>
      <c r="B11" s="2" t="inlineStr">
        <is>
          <t>043 Code of Conduct evidence</t>
        </is>
      </c>
      <c r="C11" s="2" t="inlineStr">
        <is>
          <t>https://www.archesproject.org/code-of-conduct/</t>
        </is>
      </c>
      <c r="D11" s="2" t="inlineStr">
        <is>
          <t>Evidence only</t>
        </is>
      </c>
      <c r="E11" s="2" t="inlineStr">
        <is>
          <t>Check whether the linked policy applies to this community; do not score URL separately.</t>
        </is>
      </c>
    </row>
    <row r="12">
      <c r="A12" s="2" t="inlineStr">
        <is>
          <t>Archipelago Commons</t>
        </is>
      </c>
      <c r="B12" s="2" t="inlineStr">
        <is>
          <t>938 free-text activity coding</t>
        </is>
      </c>
      <c r="C12"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D12" s="2" t="inlineStr">
        <is>
          <t>Interest, working, user, or advisory groups; Mailing lists and discussion forums (including Slack)</t>
        </is>
      </c>
      <c r="E12" s="2" t="inlineStr">
        <is>
          <t>Confirm or correct categories; add valid Other only if distinct from the 12 named types.</t>
        </is>
      </c>
    </row>
    <row r="13">
      <c r="A13" s="2" t="inlineStr">
        <is>
          <t>Archipelago Commons</t>
        </is>
      </c>
      <c r="B13" s="2" t="inlineStr">
        <is>
          <t>041 contribution guidance URL</t>
        </is>
      </c>
      <c r="C13" s="2" t="inlineStr">
        <is>
          <t>https://docs.archipelago.nyc/1.5.0/giveortake/</t>
        </is>
      </c>
      <c r="D13" s="2" t="inlineStr">
        <is>
          <t>100.0: Candidate dedicated contribution guide; verify URL</t>
        </is>
      </c>
      <c r="E13" s="2" t="inlineStr">
        <is>
          <t>Scored from the available URL; inspect only if the URL appears suspect or the automatic tier is inaccurate.</t>
        </is>
      </c>
    </row>
    <row r="14">
      <c r="A14" s="2" t="inlineStr">
        <is>
          <t>Archipelago Commons</t>
        </is>
      </c>
      <c r="B14" s="2" t="inlineStr">
        <is>
          <t>019 public repository</t>
        </is>
      </c>
      <c r="C14" s="2" t="inlineStr">
        <is>
          <t>https://github.com/esmero/</t>
        </is>
      </c>
      <c r="D14" s="2" t="inlineStr">
        <is>
          <t>100.0: Available public-forge repository URL</t>
        </is>
      </c>
      <c r="E14" s="2" t="inlineStr">
        <is>
          <t>Scored from the populated repository field; inspect only if the URL or host classification is clearly malformed.</t>
        </is>
      </c>
    </row>
    <row r="15">
      <c r="A15" s="2" t="inlineStr">
        <is>
          <t>Archipelago Commons</t>
        </is>
      </c>
      <c r="B15" s="2" t="inlineStr">
        <is>
          <t>043 Code of Conduct evidence</t>
        </is>
      </c>
      <c r="C15" s="2" t="inlineStr">
        <is>
          <t>https://docs.archipelago.nyc/1.5.0/CODE_OF_CONDUCT/</t>
        </is>
      </c>
      <c r="D15" s="2" t="inlineStr">
        <is>
          <t>Evidence only</t>
        </is>
      </c>
      <c r="E15" s="2" t="inlineStr">
        <is>
          <t>Check whether the linked policy applies to this community; do not score URL separately.</t>
        </is>
      </c>
    </row>
    <row r="16">
      <c r="A16" s="2" t="inlineStr">
        <is>
          <t>Archival Resource Key</t>
        </is>
      </c>
      <c r="B16" s="2" t="inlineStr">
        <is>
          <t>041 contribution guidance URL</t>
        </is>
      </c>
      <c r="C16" s="2" t="inlineStr">
        <is>
          <t>https://arks.org/community/</t>
        </is>
      </c>
      <c r="D16" s="2" t="inlineStr">
        <is>
          <t>50.0: Candidate general participation page; verify URL</t>
        </is>
      </c>
      <c r="E16" s="2" t="inlineStr">
        <is>
          <t>Scored from the available URL; inspect only if the URL appears suspect or the automatic tier is inaccurate.</t>
        </is>
      </c>
    </row>
    <row r="17">
      <c r="A17" s="2" t="inlineStr">
        <is>
          <t>Archival Resource Key</t>
        </is>
      </c>
      <c r="B17" s="2" t="inlineStr">
        <is>
          <t>019 public repository</t>
        </is>
      </c>
      <c r="C17" s="2" t="inlineStr">
        <is>
          <t>https://github.com/arks-org</t>
        </is>
      </c>
      <c r="D17" s="2" t="inlineStr">
        <is>
          <t>100.0: Available public-forge repository URL</t>
        </is>
      </c>
      <c r="E17" s="2" t="inlineStr">
        <is>
          <t>Scored from the populated repository field; inspect only if the URL or host classification is clearly malformed.</t>
        </is>
      </c>
    </row>
    <row r="18">
      <c r="A18" s="2" t="inlineStr">
        <is>
          <t>Archival Resource Key</t>
        </is>
      </c>
      <c r="B18" s="2" t="inlineStr">
        <is>
          <t>043 Code of Conduct evidence</t>
        </is>
      </c>
      <c r="C18" s="2" t="inlineStr">
        <is>
          <t>https://arks.org/about/ark-community-code-of-conduct/</t>
        </is>
      </c>
      <c r="D18" s="2" t="inlineStr">
        <is>
          <t>Evidence only</t>
        </is>
      </c>
      <c r="E18" s="2" t="inlineStr">
        <is>
          <t>Check whether the linked policy applies to this community; do not score URL separately.</t>
        </is>
      </c>
    </row>
    <row r="19">
      <c r="A19" s="2" t="inlineStr">
        <is>
          <t>Archivematica</t>
        </is>
      </c>
      <c r="B19" s="2" t="inlineStr">
        <is>
          <t>041 contribution guidance URL</t>
        </is>
      </c>
      <c r="C19" s="2" t="inlineStr">
        <is>
          <t>https://contributors.artefactual.com/</t>
        </is>
      </c>
      <c r="D19" s="2" t="inlineStr">
        <is>
          <t>100.0: Candidate dedicated contribution guide; verify URL</t>
        </is>
      </c>
      <c r="E19" s="2" t="inlineStr">
        <is>
          <t>Scored from the available URL; inspect only if the URL appears suspect or the automatic tier is inaccurate.</t>
        </is>
      </c>
    </row>
    <row r="20">
      <c r="A20" s="2" t="inlineStr">
        <is>
          <t>Archivematica</t>
        </is>
      </c>
      <c r="B20" s="2" t="inlineStr">
        <is>
          <t>019 public repository</t>
        </is>
      </c>
      <c r="C20" s="2" t="inlineStr">
        <is>
          <t>https://github.com/artefactual/archivematica</t>
        </is>
      </c>
      <c r="D20" s="2" t="inlineStr">
        <is>
          <t>100.0: Available public-forge repository URL</t>
        </is>
      </c>
      <c r="E20" s="2" t="inlineStr">
        <is>
          <t>Scored from the populated repository field; inspect only if the URL or host classification is clearly malformed.</t>
        </is>
      </c>
    </row>
    <row r="21">
      <c r="A21" s="2" t="inlineStr">
        <is>
          <t>Archivematica</t>
        </is>
      </c>
      <c r="B21" s="2" t="inlineStr">
        <is>
          <t>043 Code of Conduct evidence</t>
        </is>
      </c>
      <c r="C21" s="2" t="inlineStr">
        <is>
          <t>https://github.com/artefactual/archivematica/blob/qa/1.x/CODE_OF_CONDUCT.md</t>
        </is>
      </c>
      <c r="D21" s="2" t="inlineStr">
        <is>
          <t>Evidence only</t>
        </is>
      </c>
      <c r="E21" s="2" t="inlineStr">
        <is>
          <t>Check whether the linked policy applies to this community; do not score URL separately.</t>
        </is>
      </c>
    </row>
    <row r="22">
      <c r="A22" s="2" t="inlineStr">
        <is>
          <t>ArchivesSpace</t>
        </is>
      </c>
      <c r="B22" s="2" t="inlineStr">
        <is>
          <t>041 contribution guidance URL</t>
        </is>
      </c>
      <c r="C22" s="2" t="inlineStr">
        <is>
          <t>https://archivesspace.atlassian.net/wiki/spaces/ADC/pages/16449553/Contribute+to+ArchivesSpace</t>
        </is>
      </c>
      <c r="D22" s="2" t="inlineStr">
        <is>
          <t>100.0: Candidate dedicated contribution guide; verify URL</t>
        </is>
      </c>
      <c r="E22" s="2" t="inlineStr">
        <is>
          <t>Scored from the available URL; inspect only if the URL appears suspect or the automatic tier is inaccurate.</t>
        </is>
      </c>
    </row>
    <row r="23">
      <c r="A23" s="2" t="inlineStr">
        <is>
          <t>ArchivesSpace</t>
        </is>
      </c>
      <c r="B23" s="2" t="inlineStr">
        <is>
          <t>019 public repository</t>
        </is>
      </c>
      <c r="C23" s="2" t="inlineStr">
        <is>
          <t>https://github.com/archivesspace/archivesspace</t>
        </is>
      </c>
      <c r="D23" s="2" t="inlineStr">
        <is>
          <t>100.0: Available public-forge repository URL</t>
        </is>
      </c>
      <c r="E23" s="2" t="inlineStr">
        <is>
          <t>Scored from the populated repository field; inspect only if the URL or host classification is clearly malformed.</t>
        </is>
      </c>
    </row>
    <row r="24">
      <c r="A24" s="2" t="inlineStr">
        <is>
          <t>ArchivesSpace</t>
        </is>
      </c>
      <c r="B24" s="2" t="inlineStr">
        <is>
          <t>043 Code of Conduct evidence</t>
        </is>
      </c>
      <c r="C24" s="2" t="inlineStr">
        <is>
          <t>https://archivesspace.org/archivesspace-code-of-conduct</t>
        </is>
      </c>
      <c r="D24" s="2" t="inlineStr">
        <is>
          <t>Evidence only</t>
        </is>
      </c>
      <c r="E24" s="2" t="inlineStr">
        <is>
          <t>Check whether the linked policy applies to this community; do not score URL separately.</t>
        </is>
      </c>
    </row>
    <row r="25">
      <c r="A25" s="2" t="inlineStr">
        <is>
          <t>ARGOS</t>
        </is>
      </c>
      <c r="B25" s="2" t="inlineStr">
        <is>
          <t>019 public repository</t>
        </is>
      </c>
      <c r="C25" s="2" t="inlineStr">
        <is>
          <t>https://github.com/OpenCDMP/OpenCDMP</t>
        </is>
      </c>
      <c r="D25" s="2" t="inlineStr">
        <is>
          <t>100.0: Available public-forge repository URL</t>
        </is>
      </c>
      <c r="E25" s="2" t="inlineStr">
        <is>
          <t>Scored from the populated repository field; inspect only if the URL or host classification is clearly malformed.</t>
        </is>
      </c>
    </row>
    <row r="26">
      <c r="A26" s="2" t="inlineStr">
        <is>
          <t>ARGOS</t>
        </is>
      </c>
      <c r="B26" s="2" t="inlineStr">
        <is>
          <t>043 Code of Conduct evidence</t>
        </is>
      </c>
      <c r="C26" s="2" t="inlineStr">
        <is>
          <t>https://openaire.flarum.cloud/p/2-guidelines</t>
        </is>
      </c>
      <c r="D26" s="2" t="inlineStr">
        <is>
          <t>Evidence only</t>
        </is>
      </c>
      <c r="E26" s="2" t="inlineStr">
        <is>
          <t>Check whether the linked policy applies to this community; do not score URL separately.</t>
        </is>
      </c>
    </row>
    <row r="27">
      <c r="A27" s="2" t="inlineStr">
        <is>
          <t>arXiv</t>
        </is>
      </c>
      <c r="B27" s="2" t="inlineStr">
        <is>
          <t>938 free-text activity coding</t>
        </is>
      </c>
      <c r="C27"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D27" s="2" t="inlineStr">
        <is>
          <t>Interest, working, user, or advisory groups; Mailing lists and discussion forums (including Slack); User research; Volunteer or ambassador network</t>
        </is>
      </c>
      <c r="E27" s="2" t="inlineStr">
        <is>
          <t>Confirm or correct categories; add valid Other only if distinct from the 12 named types.</t>
        </is>
      </c>
    </row>
    <row r="28">
      <c r="A28" s="2" t="inlineStr">
        <is>
          <t>arXiv</t>
        </is>
      </c>
      <c r="B28" s="2" t="inlineStr">
        <is>
          <t>041 contribution guidance URL</t>
        </is>
      </c>
      <c r="C28" s="2" t="inlineStr">
        <is>
          <t>https://info.arxiv.org/labs/index.html</t>
        </is>
      </c>
      <c r="D28" s="2" t="inlineStr">
        <is>
          <t>50.0: Candidate general participation page; verify URL</t>
        </is>
      </c>
      <c r="E28" s="2" t="inlineStr">
        <is>
          <t>Scored from the available URL; inspect only if the URL appears suspect or the automatic tier is inaccurate.</t>
        </is>
      </c>
    </row>
    <row r="29">
      <c r="A29" s="2" t="inlineStr">
        <is>
          <t>arXiv</t>
        </is>
      </c>
      <c r="B29" s="2" t="inlineStr">
        <is>
          <t>019 public repository</t>
        </is>
      </c>
      <c r="C29" s="2" t="inlineStr">
        <is>
          <t>https://github.com/arXiv</t>
        </is>
      </c>
      <c r="D29" s="2" t="inlineStr">
        <is>
          <t>100.0: Available public-forge repository URL</t>
        </is>
      </c>
      <c r="E29" s="2" t="inlineStr">
        <is>
          <t>Scored from the populated repository field; inspect only if the URL or host classification is clearly malformed.</t>
        </is>
      </c>
    </row>
    <row r="30">
      <c r="A30" s="2" t="inlineStr">
        <is>
          <t>arXiv</t>
        </is>
      </c>
      <c r="B30" s="2" t="inlineStr">
        <is>
          <t>043 Code of Conduct evidence</t>
        </is>
      </c>
      <c r="C30" s="2" t="inlineStr">
        <is>
          <t>https://info.arxiv.org/help/policies/code_of_conduct.html</t>
        </is>
      </c>
      <c r="D30" s="2" t="inlineStr">
        <is>
          <t>Evidence only</t>
        </is>
      </c>
      <c r="E30" s="2" t="inlineStr">
        <is>
          <t>Check whether the linked policy applies to this community; do not score URL separately.</t>
        </is>
      </c>
    </row>
    <row r="31">
      <c r="A31" s="2" t="inlineStr">
        <is>
          <t>AtoM</t>
        </is>
      </c>
      <c r="B31" s="2" t="inlineStr">
        <is>
          <t>041 contribution guidance URL</t>
        </is>
      </c>
      <c r="C31" s="2" t="inlineStr">
        <is>
          <t>https://contributors.artefactual.com/cheatsheet.htmlbute_code</t>
        </is>
      </c>
      <c r="D31" s="2" t="inlineStr">
        <is>
          <t>None: Blank or suspect URL; review required</t>
        </is>
      </c>
      <c r="E31" s="2" t="inlineStr">
        <is>
          <t>Scored from the available URL; inspect only if the URL appears suspect or the automatic tier is inaccurate.</t>
        </is>
      </c>
    </row>
    <row r="32">
      <c r="A32" s="2" t="inlineStr">
        <is>
          <t>AtoM</t>
        </is>
      </c>
      <c r="B32" s="2" t="inlineStr">
        <is>
          <t>019 public repository</t>
        </is>
      </c>
      <c r="C32" s="2" t="inlineStr">
        <is>
          <t>https://github.com/artefactual/atom</t>
        </is>
      </c>
      <c r="D32" s="2" t="inlineStr">
        <is>
          <t>100.0: Available public-forge repository URL</t>
        </is>
      </c>
      <c r="E32" s="2" t="inlineStr">
        <is>
          <t>Scored from the populated repository field; inspect only if the URL or host classification is clearly malformed.</t>
        </is>
      </c>
    </row>
    <row r="33">
      <c r="A33" s="2" t="inlineStr">
        <is>
          <t>AtoM</t>
        </is>
      </c>
      <c r="B33" s="2" t="inlineStr">
        <is>
          <t>043 Code of Conduct evidence</t>
        </is>
      </c>
      <c r="C33" s="2" t="inlineStr">
        <is>
          <t>https://wiki.accesstomemory.org/wiki/Resources/User_forum#Code_of_conduct</t>
        </is>
      </c>
      <c r="D33" s="2" t="inlineStr">
        <is>
          <t>Evidence only</t>
        </is>
      </c>
      <c r="E33" s="2" t="inlineStr">
        <is>
          <t>Check whether the linked policy applies to this community; do not score URL separately.</t>
        </is>
      </c>
    </row>
    <row r="34">
      <c r="A34" s="2" t="inlineStr">
        <is>
          <t>Avalon Media System</t>
        </is>
      </c>
      <c r="B34" s="2" t="inlineStr">
        <is>
          <t>041 contribution guidance URL</t>
        </is>
      </c>
      <c r="C34" s="2" t="inlineStr">
        <is>
          <t>https://samvera.atlassian.net/wiki/x/KACfh</t>
        </is>
      </c>
      <c r="D34" s="2" t="inlineStr">
        <is>
          <t>50.0: Candidate general participation page; verify URL</t>
        </is>
      </c>
      <c r="E34" s="2" t="inlineStr">
        <is>
          <t>Scored from the available URL; inspect only if the URL appears suspect or the automatic tier is inaccurate.</t>
        </is>
      </c>
    </row>
    <row r="35">
      <c r="A35" s="2" t="inlineStr">
        <is>
          <t>Avalon Media System</t>
        </is>
      </c>
      <c r="B35" s="2" t="inlineStr">
        <is>
          <t>019 public repository</t>
        </is>
      </c>
      <c r="C35" s="2" t="inlineStr">
        <is>
          <t>https://github.com/avalonmediasystem/avalon</t>
        </is>
      </c>
      <c r="D35" s="2" t="inlineStr">
        <is>
          <t>100.0: Available public-forge repository URL</t>
        </is>
      </c>
      <c r="E35" s="2" t="inlineStr">
        <is>
          <t>Scored from the populated repository field; inspect only if the URL or host classification is clearly malformed.</t>
        </is>
      </c>
    </row>
    <row r="36">
      <c r="A36" s="2" t="inlineStr">
        <is>
          <t>Avalon Media System</t>
        </is>
      </c>
      <c r="B36" s="2" t="inlineStr">
        <is>
          <t>043 Code of Conduct evidence</t>
        </is>
      </c>
      <c r="C36" s="2" t="inlineStr">
        <is>
          <t>https://samvera.atlassian.net/wiki/x/nAwnG</t>
        </is>
      </c>
      <c r="D36" s="2" t="inlineStr">
        <is>
          <t>Evidence only</t>
        </is>
      </c>
      <c r="E36" s="2" t="inlineStr">
        <is>
          <t>Check whether the linked policy applies to this community; do not score URL separately.</t>
        </is>
      </c>
    </row>
    <row r="37">
      <c r="A37" s="2" t="inlineStr">
        <is>
          <t>Biodiversity Heritage Library</t>
        </is>
      </c>
      <c r="B37" s="2" t="inlineStr">
        <is>
          <t>041 contribution guidance URL</t>
        </is>
      </c>
      <c r="C37" s="2" t="inlineStr">
        <is>
          <t>https://about.biodiversitylibrary.org/get-involved/</t>
        </is>
      </c>
      <c r="D37" s="2" t="inlineStr">
        <is>
          <t>100.0: Candidate dedicated contribution guide; verify URL</t>
        </is>
      </c>
      <c r="E37" s="2" t="inlineStr">
        <is>
          <t>Scored from the available URL; inspect only if the URL appears suspect or the automatic tier is inaccurate.</t>
        </is>
      </c>
    </row>
    <row r="38">
      <c r="A38" s="2" t="inlineStr">
        <is>
          <t>Biodiversity Heritage Library</t>
        </is>
      </c>
      <c r="B38" s="2" t="inlineStr">
        <is>
          <t>019 public repository</t>
        </is>
      </c>
      <c r="C38" s="2" t="inlineStr">
        <is>
          <t>https://github.com/gbhl/bhl-us</t>
        </is>
      </c>
      <c r="D38" s="2" t="inlineStr">
        <is>
          <t>100.0: Available public-forge repository URL</t>
        </is>
      </c>
      <c r="E38" s="2" t="inlineStr">
        <is>
          <t>Scored from the populated repository field; inspect only if the URL or host classification is clearly malformed.</t>
        </is>
      </c>
    </row>
    <row r="39">
      <c r="A39" s="2" t="inlineStr">
        <is>
          <t>Biodiversity Heritage Library</t>
        </is>
      </c>
      <c r="B39" s="2" t="inlineStr">
        <is>
          <t>043 Code of Conduct evidence</t>
        </is>
      </c>
      <c r="C39" s="2" t="inlineStr">
        <is>
          <t>https://about.biodiversitylibrary.org/about/bhl-code-of-conduct/</t>
        </is>
      </c>
      <c r="D39" s="2" t="inlineStr">
        <is>
          <t>Evidence only</t>
        </is>
      </c>
      <c r="E39" s="2" t="inlineStr">
        <is>
          <t>Check whether the linked policy applies to this community; do not score URL separately.</t>
        </is>
      </c>
    </row>
    <row r="40">
      <c r="A40" s="2" t="inlineStr">
        <is>
          <t>bioRxiv</t>
        </is>
      </c>
      <c r="B40" s="2" t="inlineStr">
        <is>
          <t>938 free-text activity coding</t>
        </is>
      </c>
      <c r="C40"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D40" s="2" t="inlineStr">
        <is>
          <t>User research; Volunteer or ambassador network</t>
        </is>
      </c>
      <c r="E40" s="2" t="inlineStr">
        <is>
          <t>Confirm or correct categories; add valid Other only if distinct from the 12 named types.</t>
        </is>
      </c>
    </row>
    <row r="41">
      <c r="A41" s="2" t="inlineStr">
        <is>
          <t>BitCurator Environment</t>
        </is>
      </c>
      <c r="B41" s="2" t="inlineStr">
        <is>
          <t>041 contribution guidance URL</t>
        </is>
      </c>
      <c r="C41" s="2" t="inlineStr">
        <is>
          <t>https://bitcuratorconsortium.org/for-developers/</t>
        </is>
      </c>
      <c r="D41" s="2" t="inlineStr">
        <is>
          <t>50.0: Candidate general participation page; verify URL</t>
        </is>
      </c>
      <c r="E41" s="2" t="inlineStr">
        <is>
          <t>Scored from the available URL; inspect only if the URL appears suspect or the automatic tier is inaccurate.</t>
        </is>
      </c>
    </row>
    <row r="42">
      <c r="A42" s="2" t="inlineStr">
        <is>
          <t>BitCurator Environment</t>
        </is>
      </c>
      <c r="B42" s="2" t="inlineStr">
        <is>
          <t>019 public repository</t>
        </is>
      </c>
      <c r="C42" s="2" t="inlineStr">
        <is>
          <t>https://github.com/bitcurator/bitcurator-salt</t>
        </is>
      </c>
      <c r="D42" s="2" t="inlineStr">
        <is>
          <t>100.0: Available public-forge repository URL</t>
        </is>
      </c>
      <c r="E42" s="2" t="inlineStr">
        <is>
          <t>Scored from the populated repository field; inspect only if the URL or host classification is clearly malformed.</t>
        </is>
      </c>
    </row>
    <row r="43">
      <c r="A43" s="2" t="inlineStr">
        <is>
          <t>BitCurator Environment</t>
        </is>
      </c>
      <c r="B43" s="2" t="inlineStr">
        <is>
          <t>043 Code of Conduct evidence</t>
        </is>
      </c>
      <c r="C43" s="2" t="inlineStr">
        <is>
          <t>https://bitcuratorconsortium.org/code-of-conduct/</t>
        </is>
      </c>
      <c r="D43" s="2" t="inlineStr">
        <is>
          <t>Evidence only</t>
        </is>
      </c>
      <c r="E43" s="2" t="inlineStr">
        <is>
          <t>Check whether the linked policy applies to this community; do not score URL separately.</t>
        </is>
      </c>
    </row>
    <row r="44">
      <c r="A44" s="2" t="inlineStr">
        <is>
          <t>Blacklight</t>
        </is>
      </c>
      <c r="B44" s="2" t="inlineStr">
        <is>
          <t>041 contribution guidance URL</t>
        </is>
      </c>
      <c r="C44" s="2" t="inlineStr">
        <is>
          <t>https://github.com/projectblacklight/blacklight/wiki#contributing-to-blacklight</t>
        </is>
      </c>
      <c r="D44" s="2" t="inlineStr">
        <is>
          <t>100.0: Candidate dedicated contribution guide; verify URL</t>
        </is>
      </c>
      <c r="E44" s="2" t="inlineStr">
        <is>
          <t>Scored from the available URL; inspect only if the URL appears suspect or the automatic tier is inaccurate.</t>
        </is>
      </c>
    </row>
    <row r="45">
      <c r="A45" s="2" t="inlineStr">
        <is>
          <t>Blacklight</t>
        </is>
      </c>
      <c r="B45" s="2" t="inlineStr">
        <is>
          <t>019 public repository</t>
        </is>
      </c>
      <c r="C45" s="2" t="inlineStr">
        <is>
          <t>https://github.com/projectblacklight</t>
        </is>
      </c>
      <c r="D45" s="2" t="inlineStr">
        <is>
          <t>100.0: Available public-forge repository URL</t>
        </is>
      </c>
      <c r="E45" s="2" t="inlineStr">
        <is>
          <t>Scored from the populated repository field; inspect only if the URL or host classification is clearly malformed.</t>
        </is>
      </c>
    </row>
    <row r="46">
      <c r="A46" s="2" t="inlineStr">
        <is>
          <t>BrCRIS</t>
        </is>
      </c>
      <c r="B46" s="2" t="inlineStr">
        <is>
          <t>019 public repository</t>
        </is>
      </c>
      <c r="C46" s="2" t="inlineStr">
        <is>
          <t>https://github.com/projetos-codic-ibict</t>
        </is>
      </c>
      <c r="D46" s="2" t="inlineStr">
        <is>
          <t>100.0: Available public-forge repository URL</t>
        </is>
      </c>
      <c r="E46" s="2" t="inlineStr">
        <is>
          <t>Scored from the populated repository field; inspect only if the URL or host classification is clearly malformed.</t>
        </is>
      </c>
    </row>
    <row r="47">
      <c r="A47" s="2" t="inlineStr">
        <is>
          <t>BrCRIS</t>
        </is>
      </c>
      <c r="B47" s="2" t="inlineStr">
        <is>
          <t>043 Code of Conduct evidence</t>
        </is>
      </c>
      <c r="C47" s="2" t="inlineStr">
        <is>
          <t>https://brcris.ibict.br/about</t>
        </is>
      </c>
      <c r="D47" s="2" t="inlineStr">
        <is>
          <t>Evidence only</t>
        </is>
      </c>
      <c r="E47" s="2" t="inlineStr">
        <is>
          <t>Check whether the linked policy applies to this community; do not score URL separately.</t>
        </is>
      </c>
    </row>
    <row r="48">
      <c r="A48" s="2" t="inlineStr">
        <is>
          <t>Browsertrix</t>
        </is>
      </c>
      <c r="B48" s="2" t="inlineStr">
        <is>
          <t>019 public repository</t>
        </is>
      </c>
      <c r="C48" s="2" t="inlineStr">
        <is>
          <t>https://github.com/webrecorder/browsertrix</t>
        </is>
      </c>
      <c r="D48" s="2" t="inlineStr">
        <is>
          <t>100.0: Available public-forge repository URL</t>
        </is>
      </c>
      <c r="E48" s="2" t="inlineStr">
        <is>
          <t>Scored from the populated repository field; inspect only if the URL or host classification is clearly malformed.</t>
        </is>
      </c>
    </row>
    <row r="49">
      <c r="A49" s="2" t="inlineStr">
        <is>
          <t>Browsertrix</t>
        </is>
      </c>
      <c r="B49" s="2" t="inlineStr">
        <is>
          <t>043 Code of Conduct evidence</t>
        </is>
      </c>
      <c r="C49" s="2" t="inlineStr">
        <is>
          <t>https://github.com/webrecorder/browsertrix?tab=coc-ov-file</t>
        </is>
      </c>
      <c r="D49" s="2" t="inlineStr">
        <is>
          <t>Evidence only</t>
        </is>
      </c>
      <c r="E49" s="2" t="inlineStr">
        <is>
          <t>Check whether the linked policy applies to this community; do not score URL separately.</t>
        </is>
      </c>
    </row>
    <row r="50">
      <c r="A50" s="2" t="inlineStr">
        <is>
          <t>CLOCKSS</t>
        </is>
      </c>
      <c r="B50" s="2" t="inlineStr">
        <is>
          <t>019 public repository</t>
        </is>
      </c>
      <c r="C50" s="2" t="inlineStr">
        <is>
          <t>https://github.com/lockss</t>
        </is>
      </c>
      <c r="D50" s="2" t="inlineStr">
        <is>
          <t>100.0: Available public-forge repository URL</t>
        </is>
      </c>
      <c r="E50" s="2" t="inlineStr">
        <is>
          <t>Scored from the populated repository field; inspect only if the URL or host classification is clearly malformed.</t>
        </is>
      </c>
    </row>
    <row r="51">
      <c r="A51" s="2" t="inlineStr">
        <is>
          <t>COAR International Repository Directory (IRD)</t>
        </is>
      </c>
      <c r="B51" s="2" t="inlineStr">
        <is>
          <t>041 contribution guidance URL</t>
        </is>
      </c>
      <c r="C51" s="2" t="inlineStr">
        <is>
          <t>https://coar-repositories.org/what-we-do/coar-international-repository-directory/</t>
        </is>
      </c>
      <c r="D51" s="2" t="inlineStr">
        <is>
          <t>50.0: Candidate general participation page; verify URL</t>
        </is>
      </c>
      <c r="E51" s="2" t="inlineStr">
        <is>
          <t>Scored from the available URL; inspect only if the URL appears suspect or the automatic tier is inaccurate.</t>
        </is>
      </c>
    </row>
    <row r="52">
      <c r="A52" s="2" t="inlineStr">
        <is>
          <t>COAR International Repository Directory (IRD)</t>
        </is>
      </c>
      <c r="B52" s="2" t="inlineStr">
        <is>
          <t>019 public repository</t>
        </is>
      </c>
      <c r="C52" s="2" t="inlineStr">
        <is>
          <t>https://github.com/antleaf/IRD</t>
        </is>
      </c>
      <c r="D52" s="2" t="inlineStr">
        <is>
          <t>100.0: Available public-forge repository URL</t>
        </is>
      </c>
      <c r="E52" s="2" t="inlineStr">
        <is>
          <t>Scored from the populated repository field; inspect only if the URL or host classification is clearly malformed.</t>
        </is>
      </c>
    </row>
    <row r="53">
      <c r="A53" s="2" t="inlineStr">
        <is>
          <t>COAR Notify</t>
        </is>
      </c>
      <c r="B53" s="2" t="inlineStr">
        <is>
          <t>041 contribution guidance URL</t>
        </is>
      </c>
      <c r="C53" s="2" t="inlineStr">
        <is>
          <t>https://coar-notify.net/guide/</t>
        </is>
      </c>
      <c r="D53" s="2" t="inlineStr">
        <is>
          <t>50.0: Candidate general participation page; verify URL</t>
        </is>
      </c>
      <c r="E53" s="2" t="inlineStr">
        <is>
          <t>Scored from the available URL; inspect only if the URL appears suspect or the automatic tier is inaccurate.</t>
        </is>
      </c>
    </row>
    <row r="54">
      <c r="A54" s="2" t="inlineStr">
        <is>
          <t>COAR Notify</t>
        </is>
      </c>
      <c r="B54" s="2" t="inlineStr">
        <is>
          <t>019 public repository</t>
        </is>
      </c>
      <c r="C54" s="2" t="inlineStr">
        <is>
          <t>https://github.com/coar-notify/coar-notify.net</t>
        </is>
      </c>
      <c r="D54" s="2" t="inlineStr">
        <is>
          <t>100.0: Available public-forge repository URL</t>
        </is>
      </c>
      <c r="E54" s="2" t="inlineStr">
        <is>
          <t>Scored from the populated repository field; inspect only if the URL or host classification is clearly malformed.</t>
        </is>
      </c>
    </row>
    <row r="55">
      <c r="A55" s="2" t="inlineStr">
        <is>
          <t>CollectiveAccess</t>
        </is>
      </c>
      <c r="B55" s="2" t="inlineStr">
        <is>
          <t>041 contribution guidance URL</t>
        </is>
      </c>
      <c r="C55" s="2" t="inlineStr">
        <is>
          <t>https://collectiveaccess.org</t>
        </is>
      </c>
      <c r="D55" s="2" t="inlineStr">
        <is>
          <t>50.0: Candidate general participation page; verify URL</t>
        </is>
      </c>
      <c r="E55" s="2" t="inlineStr">
        <is>
          <t>Scored from the available URL; inspect only if the URL appears suspect or the automatic tier is inaccurate.</t>
        </is>
      </c>
    </row>
    <row r="56">
      <c r="A56" s="2" t="inlineStr">
        <is>
          <t>CollectiveAccess</t>
        </is>
      </c>
      <c r="B56" s="2" t="inlineStr">
        <is>
          <t>019 public repository</t>
        </is>
      </c>
      <c r="C56" s="2" t="inlineStr">
        <is>
          <t>https://github.com/collectiveaccess</t>
        </is>
      </c>
      <c r="D56" s="2" t="inlineStr">
        <is>
          <t>100.0: Available public-forge repository URL</t>
        </is>
      </c>
      <c r="E56" s="2" t="inlineStr">
        <is>
          <t>Scored from the populated repository field; inspect only if the URL or host classification is clearly malformed.</t>
        </is>
      </c>
    </row>
    <row r="57">
      <c r="A57" s="2" t="inlineStr">
        <is>
          <t>CollectiveAccess</t>
        </is>
      </c>
      <c r="B57" s="2" t="inlineStr">
        <is>
          <t>043 Code of Conduct evidence</t>
        </is>
      </c>
      <c r="C57" s="2" t="inlineStr">
        <is>
          <t>https://collectiveaccess.org</t>
        </is>
      </c>
      <c r="D57" s="2" t="inlineStr">
        <is>
          <t>Evidence only</t>
        </is>
      </c>
      <c r="E57" s="2" t="inlineStr">
        <is>
          <t>Check whether the linked policy applies to this community; do not score URL separately.</t>
        </is>
      </c>
    </row>
    <row r="58">
      <c r="A58" s="2" t="inlineStr">
        <is>
          <t>CORE</t>
        </is>
      </c>
      <c r="B58" s="2" t="inlineStr">
        <is>
          <t>938 free-text activity coding</t>
        </is>
      </c>
      <c r="C58"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D58" s="2" t="inlineStr">
        <is>
          <t>Blogs</t>
        </is>
      </c>
      <c r="E58" s="2" t="inlineStr">
        <is>
          <t>Confirm or correct categories; add valid Other only if distinct from the 12 named types.</t>
        </is>
      </c>
    </row>
    <row r="59">
      <c r="A59" s="2" t="inlineStr">
        <is>
          <t>CORE</t>
        </is>
      </c>
      <c r="B59" s="2" t="inlineStr">
        <is>
          <t>041 contribution guidance URL</t>
        </is>
      </c>
      <c r="C59" s="2" t="inlineStr">
        <is>
          <t>https://core.ac.uk/governance/supporters</t>
        </is>
      </c>
      <c r="D59" s="2" t="inlineStr">
        <is>
          <t>50.0: Candidate general participation page; verify URL</t>
        </is>
      </c>
      <c r="E59" s="2" t="inlineStr">
        <is>
          <t>Scored from the available URL; inspect only if the URL appears suspect or the automatic tier is inaccurate.</t>
        </is>
      </c>
    </row>
    <row r="60">
      <c r="A60" s="2" t="inlineStr">
        <is>
          <t>CORE</t>
        </is>
      </c>
      <c r="B60" s="2" t="inlineStr">
        <is>
          <t>019 public repository</t>
        </is>
      </c>
      <c r="C60" s="2" t="inlineStr">
        <is>
          <t>https://github.com/oacore</t>
        </is>
      </c>
      <c r="D60" s="2" t="inlineStr">
        <is>
          <t>100.0: Available public-forge repository URL</t>
        </is>
      </c>
      <c r="E60" s="2" t="inlineStr">
        <is>
          <t>Scored from the populated repository field; inspect only if the URL or host classification is clearly malformed.</t>
        </is>
      </c>
    </row>
    <row r="61">
      <c r="A61" s="2" t="inlineStr">
        <is>
          <t>CORE</t>
        </is>
      </c>
      <c r="B61" s="2" t="inlineStr">
        <is>
          <t>043 Code of Conduct evidence</t>
        </is>
      </c>
      <c r="C61" s="2" t="inlineStr">
        <is>
          <t>https://github.com/oacore/search/blob/master/CODE_OF_CONDUCT.md</t>
        </is>
      </c>
      <c r="D61" s="2" t="inlineStr">
        <is>
          <t>Evidence only</t>
        </is>
      </c>
      <c r="E61" s="2" t="inlineStr">
        <is>
          <t>Check whether the linked policy applies to this community; do not score URL separately.</t>
        </is>
      </c>
    </row>
    <row r="62">
      <c r="A62" s="2" t="inlineStr">
        <is>
          <t>COUNTER Code of Practice</t>
        </is>
      </c>
      <c r="B62" s="2" t="inlineStr">
        <is>
          <t>938 free-text activity coding</t>
        </is>
      </c>
      <c r="C62"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D62" s="2" t="inlineStr">
        <is>
          <t>Annual meetings; Blogs; Community calls; Conference participation; Interest, working, user, or advisory groups; User research; Webinars and training</t>
        </is>
      </c>
      <c r="E62" s="2" t="inlineStr">
        <is>
          <t>Confirm or correct categories; add valid Other only if distinct from the 12 named types.</t>
        </is>
      </c>
    </row>
    <row r="63">
      <c r="A63" s="2" t="inlineStr">
        <is>
          <t>COUNTER Code of Practice</t>
        </is>
      </c>
      <c r="B63" s="2" t="inlineStr">
        <is>
          <t>041 contribution guidance URL</t>
        </is>
      </c>
      <c r="C63" s="2" t="inlineStr">
        <is>
          <t>https://www.countermetrics.org/about/how-we-work/</t>
        </is>
      </c>
      <c r="D63" s="2" t="inlineStr">
        <is>
          <t>50.0: Candidate general participation page; verify URL</t>
        </is>
      </c>
      <c r="E63" s="2" t="inlineStr">
        <is>
          <t>Scored from the available URL; inspect only if the URL appears suspect or the automatic tier is inaccurate.</t>
        </is>
      </c>
    </row>
    <row r="64">
      <c r="A64" s="2" t="inlineStr">
        <is>
          <t>COUNTER Code of Practice</t>
        </is>
      </c>
      <c r="B64" s="2" t="inlineStr">
        <is>
          <t>019 public repository</t>
        </is>
      </c>
      <c r="C64" s="2" t="inlineStr">
        <is>
          <t>https://cop5.countermetrics.org/en/5.1/index.html</t>
        </is>
      </c>
      <c r="D64" s="2" t="inlineStr">
        <is>
          <t>50.0: Repository field populated on another/unspecified host</t>
        </is>
      </c>
      <c r="E64" s="2" t="inlineStr">
        <is>
          <t>Scored from the populated repository field; inspect only if the URL or host classification is clearly malformed.</t>
        </is>
      </c>
    </row>
    <row r="65">
      <c r="A65" s="2" t="inlineStr">
        <is>
          <t>COUNTER Code of Practice</t>
        </is>
      </c>
      <c r="B65" s="2" t="inlineStr">
        <is>
          <t>043 Code of Conduct evidence</t>
        </is>
      </c>
      <c r="C65" s="2" t="inlineStr">
        <is>
          <t>https://www.countermetrics.org/about/how-we-work/</t>
        </is>
      </c>
      <c r="D65" s="2" t="inlineStr">
        <is>
          <t>Evidence only</t>
        </is>
      </c>
      <c r="E65" s="2" t="inlineStr">
        <is>
          <t>Check whether the linked policy applies to this community; do not score URL separately.</t>
        </is>
      </c>
    </row>
    <row r="66">
      <c r="A66" s="2" t="inlineStr">
        <is>
          <t>Creative Commons Licenses</t>
        </is>
      </c>
      <c r="B66" s="2" t="inlineStr">
        <is>
          <t>938 free-text activity coding</t>
        </is>
      </c>
      <c r="C66" s="2" t="inlineStr">
        <is>
          <t>Dedicated Community Engagement Manager role, annual Global Summit for community members, periodic Community Conversations on emerging topics such as AI and Creative Commons, Community Spotlights on blog</t>
        </is>
      </c>
      <c r="D66" s="2" t="inlineStr">
        <is>
          <t>Annual meetings; Blogs; Community calls; Staff roles with responsibility for community engagement</t>
        </is>
      </c>
      <c r="E66" s="2" t="inlineStr">
        <is>
          <t>Confirm or correct categories; add valid Other only if distinct from the 12 named types.</t>
        </is>
      </c>
    </row>
    <row r="67">
      <c r="A67" s="2" t="inlineStr">
        <is>
          <t>Creative Commons Licenses</t>
        </is>
      </c>
      <c r="B67" s="2" t="inlineStr">
        <is>
          <t>041 contribution guidance URL</t>
        </is>
      </c>
      <c r="C67" s="2" t="inlineStr">
        <is>
          <t>https://network.creativecommons.org/get-involved/</t>
        </is>
      </c>
      <c r="D67" s="2" t="inlineStr">
        <is>
          <t>100.0: Candidate dedicated contribution guide; verify URL</t>
        </is>
      </c>
      <c r="E67" s="2" t="inlineStr">
        <is>
          <t>Scored from the available URL; inspect only if the URL appears suspect or the automatic tier is inaccurate.</t>
        </is>
      </c>
    </row>
    <row r="68">
      <c r="A68" s="2" t="inlineStr">
        <is>
          <t>Creative Commons Licenses</t>
        </is>
      </c>
      <c r="B68" s="2" t="inlineStr">
        <is>
          <t>019 public repository</t>
        </is>
      </c>
      <c r="C68" s="2" t="inlineStr">
        <is>
          <t>https://github.com/creativecommons</t>
        </is>
      </c>
      <c r="D68" s="2" t="inlineStr">
        <is>
          <t>100.0: Available public-forge repository URL</t>
        </is>
      </c>
      <c r="E68" s="2" t="inlineStr">
        <is>
          <t>Scored from the populated repository field; inspect only if the URL or host classification is clearly malformed.</t>
        </is>
      </c>
    </row>
    <row r="69">
      <c r="A69" s="2" t="inlineStr">
        <is>
          <t>Creative Commons Licenses</t>
        </is>
      </c>
      <c r="B69" s="2" t="inlineStr">
        <is>
          <t>043 Code of Conduct evidence</t>
        </is>
      </c>
      <c r="C69" s="2" t="inlineStr">
        <is>
          <t>https://creativecommons.org/code-of-conduct/</t>
        </is>
      </c>
      <c r="D69" s="2" t="inlineStr">
        <is>
          <t>Evidence only</t>
        </is>
      </c>
      <c r="E69" s="2" t="inlineStr">
        <is>
          <t>Check whether the linked policy applies to this community; do not score URL separately.</t>
        </is>
      </c>
    </row>
    <row r="70">
      <c r="A70" s="2" t="inlineStr">
        <is>
          <t>Crossref Metadata Retrieval</t>
        </is>
      </c>
      <c r="B70" s="2" t="inlineStr">
        <is>
          <t>938 free-text activity coding</t>
        </is>
      </c>
      <c r="C70"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D70" s="2" t="inlineStr">
        <is>
          <t>Blogs; Community calls; Conference participation; Interest, working, user, or advisory groups; Mailing lists and discussion forums (including Slack); Staff roles with responsibility for community engagement; Volunteer or ambassador network; Webinars and training</t>
        </is>
      </c>
      <c r="E70" s="2" t="inlineStr">
        <is>
          <t>Confirm or correct categories; add valid Other only if distinct from the 12 named types.</t>
        </is>
      </c>
    </row>
    <row r="71">
      <c r="A71" s="2" t="inlineStr">
        <is>
          <t>Crossref Metadata Retrieval</t>
        </is>
      </c>
      <c r="B71" s="2" t="inlineStr">
        <is>
          <t>041 contribution guidance URL</t>
        </is>
      </c>
      <c r="C71" s="2" t="inlineStr">
        <is>
          <t>https://www.crossref.org/community</t>
        </is>
      </c>
      <c r="D71" s="2" t="inlineStr">
        <is>
          <t>50.0: Candidate general participation page; verify URL</t>
        </is>
      </c>
      <c r="E71" s="2" t="inlineStr">
        <is>
          <t>Scored from the available URL; inspect only if the URL appears suspect or the automatic tier is inaccurate.</t>
        </is>
      </c>
    </row>
    <row r="72">
      <c r="A72" s="2" t="inlineStr">
        <is>
          <t>Crossref Metadata Retrieval</t>
        </is>
      </c>
      <c r="B72" s="2" t="inlineStr">
        <is>
          <t>019 public repository</t>
        </is>
      </c>
      <c r="C72" s="2" t="inlineStr">
        <is>
          <t>https://gitlab.com/crossref</t>
        </is>
      </c>
      <c r="D72" s="2" t="inlineStr">
        <is>
          <t>100.0: Available public-forge repository URL</t>
        </is>
      </c>
      <c r="E72" s="2" t="inlineStr">
        <is>
          <t>Scored from the populated repository field; inspect only if the URL or host classification is clearly malformed.</t>
        </is>
      </c>
    </row>
    <row r="73">
      <c r="A73" s="2" t="inlineStr">
        <is>
          <t>Crossref Metadata Retrieval</t>
        </is>
      </c>
      <c r="B73" s="2" t="inlineStr">
        <is>
          <t>043 Code of Conduct evidence</t>
        </is>
      </c>
      <c r="C73" s="2" t="inlineStr">
        <is>
          <t>https://www.crossref.org/code-of-conduct/</t>
        </is>
      </c>
      <c r="D73" s="2" t="inlineStr">
        <is>
          <t>Evidence only</t>
        </is>
      </c>
      <c r="E73" s="2" t="inlineStr">
        <is>
          <t>Check whether the linked policy applies to this community; do not score URL separately.</t>
        </is>
      </c>
    </row>
    <row r="74">
      <c r="A74" s="2" t="inlineStr">
        <is>
          <t>D4Science Infrastructure</t>
        </is>
      </c>
      <c r="B74" s="2" t="inlineStr">
        <is>
          <t>019 public repository</t>
        </is>
      </c>
      <c r="C74" s="2" t="inlineStr">
        <is>
          <t>https://code-repo.d4science.org/</t>
        </is>
      </c>
      <c r="D74" s="2" t="inlineStr">
        <is>
          <t>50.0: Repository field populated on another/unspecified host</t>
        </is>
      </c>
      <c r="E74" s="2" t="inlineStr">
        <is>
          <t>Scored from the populated repository field; inspect only if the URL or host classification is clearly malformed.</t>
        </is>
      </c>
    </row>
    <row r="75">
      <c r="A75" s="2" t="inlineStr">
        <is>
          <t>DART (Digital Archivist's Resource Tool)</t>
        </is>
      </c>
      <c r="B75" s="2" t="inlineStr">
        <is>
          <t>041 contribution guidance URL</t>
        </is>
      </c>
      <c r="C75" s="2" t="inlineStr">
        <is>
          <t>https://aptrust.org/documentation-page/dart-digital-archivists-resource-tool/</t>
        </is>
      </c>
      <c r="D75" s="2" t="inlineStr">
        <is>
          <t>50.0: Candidate general participation page; verify URL</t>
        </is>
      </c>
      <c r="E75" s="2" t="inlineStr">
        <is>
          <t>Scored from the available URL; inspect only if the URL appears suspect or the automatic tier is inaccurate.</t>
        </is>
      </c>
    </row>
    <row r="76">
      <c r="A76" s="2" t="inlineStr">
        <is>
          <t>DART (Digital Archivist's Resource Tool)</t>
        </is>
      </c>
      <c r="B76" s="2" t="inlineStr">
        <is>
          <t>019 public repository</t>
        </is>
      </c>
      <c r="C76" s="2" t="inlineStr">
        <is>
          <t>https://github.com/aptrust/dart/</t>
        </is>
      </c>
      <c r="D76" s="2" t="inlineStr">
        <is>
          <t>100.0: Available public-forge repository URL</t>
        </is>
      </c>
      <c r="E76" s="2" t="inlineStr">
        <is>
          <t>Scored from the populated repository field; inspect only if the URL or host classification is clearly malformed.</t>
        </is>
      </c>
    </row>
    <row r="77">
      <c r="A77" s="2" t="inlineStr">
        <is>
          <t>Database Information System</t>
        </is>
      </c>
      <c r="B77" s="2" t="inlineStr">
        <is>
          <t>019 public repository</t>
        </is>
      </c>
      <c r="C77" s="2" t="inlineStr">
        <is>
          <t>https://github.com/ub-regensburg/dbis</t>
        </is>
      </c>
      <c r="D77" s="2" t="inlineStr">
        <is>
          <t>100.0: Available public-forge repository URL</t>
        </is>
      </c>
      <c r="E77" s="2" t="inlineStr">
        <is>
          <t>Scored from the populated repository field; inspect only if the URL or host classification is clearly malformed.</t>
        </is>
      </c>
    </row>
    <row r="78">
      <c r="A78" s="2" t="inlineStr">
        <is>
          <t>Data Citation Corpus</t>
        </is>
      </c>
      <c r="B78" s="2" t="inlineStr">
        <is>
          <t>940 Other contribution route</t>
        </is>
      </c>
      <c r="C78" s="2" t="inlineStr">
        <is>
          <t>Groups can contribute citations to the Corpus</t>
        </is>
      </c>
      <c r="D78" s="2" t="inlineStr">
        <is>
          <t>Other</t>
        </is>
      </c>
      <c r="E78" s="2" t="inlineStr">
        <is>
          <t>Confirm this is selected in 040 and describes a distinct route.</t>
        </is>
      </c>
    </row>
    <row r="79">
      <c r="A79" s="2" t="inlineStr">
        <is>
          <t>Data Citation Corpus</t>
        </is>
      </c>
      <c r="B79" s="2" t="inlineStr">
        <is>
          <t>041 contribution guidance URL</t>
        </is>
      </c>
      <c r="C79" s="2" t="inlineStr">
        <is>
          <t>https://makedatacount.org/get-involved/</t>
        </is>
      </c>
      <c r="D79" s="2" t="inlineStr">
        <is>
          <t>100.0: Candidate dedicated contribution guide; verify URL</t>
        </is>
      </c>
      <c r="E79" s="2" t="inlineStr">
        <is>
          <t>Scored from the available URL; inspect only if the URL appears suspect or the automatic tier is inaccurate.</t>
        </is>
      </c>
    </row>
    <row r="80">
      <c r="A80" s="2" t="inlineStr">
        <is>
          <t>Data Citation Corpus</t>
        </is>
      </c>
      <c r="B80" s="2" t="inlineStr">
        <is>
          <t>019 public repository</t>
        </is>
      </c>
      <c r="C80" s="2" t="inlineStr">
        <is>
          <t>https://github.com/Make-Data-Count-Community/corpus-data-file</t>
        </is>
      </c>
      <c r="D80" s="2" t="inlineStr">
        <is>
          <t>100.0: Available public-forge repository URL</t>
        </is>
      </c>
      <c r="E80" s="2" t="inlineStr">
        <is>
          <t>Scored from the populated repository field; inspect only if the URL or host classification is clearly malformed.</t>
        </is>
      </c>
    </row>
    <row r="81">
      <c r="A81" s="2" t="inlineStr">
        <is>
          <t>DataCite</t>
        </is>
      </c>
      <c r="B81" s="2" t="inlineStr">
        <is>
          <t>938 free-text activity coding</t>
        </is>
      </c>
      <c r="C81"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D81" s="2" t="inlineStr">
        <is>
          <t>Blogs</t>
        </is>
      </c>
      <c r="E81" s="2" t="inlineStr">
        <is>
          <t>Confirm or correct categories; add valid Other only if distinct from the 12 named types.</t>
        </is>
      </c>
    </row>
    <row r="82">
      <c r="A82" s="2" t="inlineStr">
        <is>
          <t>DataCite</t>
        </is>
      </c>
      <c r="B82" s="2" t="inlineStr">
        <is>
          <t>041 contribution guidance URL</t>
        </is>
      </c>
      <c r="C82" s="2" t="inlineStr">
        <is>
          <t>https://datacite.org/roadmap/</t>
        </is>
      </c>
      <c r="D82" s="2" t="inlineStr">
        <is>
          <t>50.0: Candidate general participation page; verify URL</t>
        </is>
      </c>
      <c r="E82" s="2" t="inlineStr">
        <is>
          <t>Scored from the available URL; inspect only if the URL appears suspect or the automatic tier is inaccurate.</t>
        </is>
      </c>
    </row>
    <row r="83">
      <c r="A83" s="2" t="inlineStr">
        <is>
          <t>DataCite</t>
        </is>
      </c>
      <c r="B83" s="2" t="inlineStr">
        <is>
          <t>019 public repository</t>
        </is>
      </c>
      <c r="C83" s="2" t="inlineStr">
        <is>
          <t>https://github.com/datacite</t>
        </is>
      </c>
      <c r="D83" s="2" t="inlineStr">
        <is>
          <t>100.0: Available public-forge repository URL</t>
        </is>
      </c>
      <c r="E83" s="2" t="inlineStr">
        <is>
          <t>Scored from the populated repository field; inspect only if the URL or host classification is clearly malformed.</t>
        </is>
      </c>
    </row>
    <row r="84">
      <c r="A84" s="2" t="inlineStr">
        <is>
          <t>DataCite</t>
        </is>
      </c>
      <c r="B84" s="2" t="inlineStr">
        <is>
          <t>043 Code of Conduct evidence</t>
        </is>
      </c>
      <c r="C84" s="2" t="inlineStr">
        <is>
          <t>https://datacite.org/datacite-code-of-conduct</t>
        </is>
      </c>
      <c r="D84" s="2" t="inlineStr">
        <is>
          <t>Evidence only</t>
        </is>
      </c>
      <c r="E84" s="2" t="inlineStr">
        <is>
          <t>Check whether the linked policy applies to this community; do not score URL separately.</t>
        </is>
      </c>
    </row>
    <row r="85">
      <c r="A85" s="2" t="inlineStr">
        <is>
          <t>Data Stewardship Wizard</t>
        </is>
      </c>
      <c r="B85" s="2" t="inlineStr">
        <is>
          <t>041 contribution guidance URL</t>
        </is>
      </c>
      <c r="C85" s="2" t="inlineStr">
        <is>
          <t>https://guide.ds-wizard.org/en/latest/more/development/contributing.html</t>
        </is>
      </c>
      <c r="D85" s="2" t="inlineStr">
        <is>
          <t>100.0: Candidate dedicated contribution guide; verify URL</t>
        </is>
      </c>
      <c r="E85" s="2" t="inlineStr">
        <is>
          <t>Scored from the available URL; inspect only if the URL appears suspect or the automatic tier is inaccurate.</t>
        </is>
      </c>
    </row>
    <row r="86">
      <c r="A86" s="2" t="inlineStr">
        <is>
          <t>Data Stewardship Wizard</t>
        </is>
      </c>
      <c r="B86" s="2" t="inlineStr">
        <is>
          <t>019 public repository</t>
        </is>
      </c>
      <c r="C86" s="2" t="inlineStr">
        <is>
          <t>https://github.com/ds-wizard</t>
        </is>
      </c>
      <c r="D86" s="2" t="inlineStr">
        <is>
          <t>100.0: Available public-forge repository URL</t>
        </is>
      </c>
      <c r="E86" s="2" t="inlineStr">
        <is>
          <t>Scored from the populated repository field; inspect only if the URL or host classification is clearly malformed.</t>
        </is>
      </c>
    </row>
    <row r="87">
      <c r="A87" s="2" t="inlineStr">
        <is>
          <t>Data Stewardship Wizard</t>
        </is>
      </c>
      <c r="B87" s="2" t="inlineStr">
        <is>
          <t>043 Code of Conduct evidence</t>
        </is>
      </c>
      <c r="C87" s="2" t="inlineStr">
        <is>
          <t>https://discord.com/channels/693010138302513174/1102900416783597620</t>
        </is>
      </c>
      <c r="D87" s="2" t="inlineStr">
        <is>
          <t>Evidence only</t>
        </is>
      </c>
      <c r="E87" s="2" t="inlineStr">
        <is>
          <t>Check whether the linked policy applies to this community; do not score URL separately.</t>
        </is>
      </c>
    </row>
    <row r="88">
      <c r="A88" s="2" t="inlineStr">
        <is>
          <t>Dataverse</t>
        </is>
      </c>
      <c r="B88" s="2" t="inlineStr">
        <is>
          <t>938 free-text activity coding</t>
        </is>
      </c>
      <c r="C88"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D88" s="2" t="inlineStr">
        <is>
          <t>Community calls; Conference participation; Mailing lists and discussion forums (including Slack)</t>
        </is>
      </c>
      <c r="E88" s="2" t="inlineStr">
        <is>
          <t>Confirm or correct categories; add valid Other only if distinct from the 12 named types.</t>
        </is>
      </c>
    </row>
    <row r="89">
      <c r="A89" s="2" t="inlineStr">
        <is>
          <t>Dataverse</t>
        </is>
      </c>
      <c r="B89" s="2" t="inlineStr">
        <is>
          <t>041 contribution guidance URL</t>
        </is>
      </c>
      <c r="C89" s="2" t="inlineStr">
        <is>
          <t>https://dataverse.org/community-calls</t>
        </is>
      </c>
      <c r="D89" s="2" t="inlineStr">
        <is>
          <t>50.0: Candidate general participation page; verify URL</t>
        </is>
      </c>
      <c r="E89" s="2" t="inlineStr">
        <is>
          <t>Scored from the available URL; inspect only if the URL appears suspect or the automatic tier is inaccurate.</t>
        </is>
      </c>
    </row>
    <row r="90">
      <c r="A90" s="2" t="inlineStr">
        <is>
          <t>Dataverse</t>
        </is>
      </c>
      <c r="B90" s="2" t="inlineStr">
        <is>
          <t>019 public repository</t>
        </is>
      </c>
      <c r="C90" s="2" t="inlineStr">
        <is>
          <t>https://github.com/IQSS/dataverse</t>
        </is>
      </c>
      <c r="D90" s="2" t="inlineStr">
        <is>
          <t>100.0: Available public-forge repository URL</t>
        </is>
      </c>
      <c r="E90" s="2" t="inlineStr">
        <is>
          <t>Scored from the populated repository field; inspect only if the URL or host classification is clearly malformed.</t>
        </is>
      </c>
    </row>
    <row r="91">
      <c r="A91" s="2" t="inlineStr">
        <is>
          <t>Dataverse</t>
        </is>
      </c>
      <c r="B91" s="2" t="inlineStr">
        <is>
          <t>043 Code of Conduct evidence</t>
        </is>
      </c>
      <c r="C91" s="2" t="inlineStr">
        <is>
          <t>https://github.com/IQSS/dataverse/blob/develop/CODE_OF_CONDUCT.md</t>
        </is>
      </c>
      <c r="D91" s="2" t="inlineStr">
        <is>
          <t>Evidence only</t>
        </is>
      </c>
      <c r="E91" s="2" t="inlineStr">
        <is>
          <t>Check whether the linked policy applies to this community; do not score URL separately.</t>
        </is>
      </c>
    </row>
    <row r="92">
      <c r="A92" s="2" t="inlineStr">
        <is>
          <t>DLCM Backend</t>
        </is>
      </c>
      <c r="B92" s="2" t="inlineStr">
        <is>
          <t>041 contribution guidance URL</t>
        </is>
      </c>
      <c r="C92" s="2" t="inlineStr">
        <is>
          <t>https://gitlab.unige.ch/dlcm/community/dlcm-backend/-/blob/master/CONTRIBUTING.adoc?ref_type=heads</t>
        </is>
      </c>
      <c r="D92" s="2" t="inlineStr">
        <is>
          <t>100.0: Candidate dedicated contribution guide; verify URL</t>
        </is>
      </c>
      <c r="E92" s="2" t="inlineStr">
        <is>
          <t>Scored from the available URL; inspect only if the URL appears suspect or the automatic tier is inaccurate.</t>
        </is>
      </c>
    </row>
    <row r="93">
      <c r="A93" s="2" t="inlineStr">
        <is>
          <t>DLCM Backend</t>
        </is>
      </c>
      <c r="B93" s="2" t="inlineStr">
        <is>
          <t>019 public repository</t>
        </is>
      </c>
      <c r="C93" s="2" t="inlineStr">
        <is>
          <t>https://gitlab.unige.ch/dlcm/community/dlcm-backend</t>
        </is>
      </c>
      <c r="D93" s="2" t="inlineStr">
        <is>
          <t>50.0: Repository field populated on another/unspecified host</t>
        </is>
      </c>
      <c r="E93" s="2" t="inlineStr">
        <is>
          <t>Scored from the populated repository field; inspect only if the URL or host classification is clearly malformed.</t>
        </is>
      </c>
    </row>
    <row r="94">
      <c r="A94" s="2" t="inlineStr">
        <is>
          <t>DLCM Backend</t>
        </is>
      </c>
      <c r="B94" s="2" t="inlineStr">
        <is>
          <t>043 Code of Conduct evidence</t>
        </is>
      </c>
      <c r="C94" s="2" t="inlineStr">
        <is>
          <t>https://gitlab.unige.ch/dlcm/community/dlcm-backend/-/blob/master/CODE_OF_CONDUCT.adoc?ref_type=heads</t>
        </is>
      </c>
      <c r="D94" s="2" t="inlineStr">
        <is>
          <t>Evidence only</t>
        </is>
      </c>
      <c r="E94" s="2" t="inlineStr">
        <is>
          <t>Check whether the linked policy applies to this community; do not score URL separately.</t>
        </is>
      </c>
    </row>
    <row r="95">
      <c r="A95" s="2" t="inlineStr">
        <is>
          <t>DLCM Portal</t>
        </is>
      </c>
      <c r="B95" s="2" t="inlineStr">
        <is>
          <t>041 contribution guidance URL</t>
        </is>
      </c>
      <c r="C95" s="2" t="inlineStr">
        <is>
          <t>https://gitlab.unige.ch/dlcm/ui/dlcm-portal/-/blob/master/CONTRIBUTING.adoc?ref_type=heads</t>
        </is>
      </c>
      <c r="D95" s="2" t="inlineStr">
        <is>
          <t>100.0: Candidate dedicated contribution guide; verify URL</t>
        </is>
      </c>
      <c r="E95" s="2" t="inlineStr">
        <is>
          <t>Scored from the available URL; inspect only if the URL appears suspect or the automatic tier is inaccurate.</t>
        </is>
      </c>
    </row>
    <row r="96">
      <c r="A96" s="2" t="inlineStr">
        <is>
          <t>DLCM Portal</t>
        </is>
      </c>
      <c r="B96" s="2" t="inlineStr">
        <is>
          <t>019 public repository</t>
        </is>
      </c>
      <c r="C96" s="2" t="inlineStr">
        <is>
          <t>https://gitlab.unige.ch/dlcm/ui/dlcm-portal</t>
        </is>
      </c>
      <c r="D96" s="2" t="inlineStr">
        <is>
          <t>50.0: Repository field populated on another/unspecified host</t>
        </is>
      </c>
      <c r="E96" s="2" t="inlineStr">
        <is>
          <t>Scored from the populated repository field; inspect only if the URL or host classification is clearly malformed.</t>
        </is>
      </c>
    </row>
    <row r="97">
      <c r="A97" s="2" t="inlineStr">
        <is>
          <t>DLCM Portal</t>
        </is>
      </c>
      <c r="B97" s="2" t="inlineStr">
        <is>
          <t>043 Code of Conduct evidence</t>
        </is>
      </c>
      <c r="C97" s="2" t="inlineStr">
        <is>
          <t>https://gitlab.unige.ch/dlcm/ui/dlcm-portal/-/blob/master/CODE_OF_CONDUCT.adoc?ref_type=heads</t>
        </is>
      </c>
      <c r="D97" s="2" t="inlineStr">
        <is>
          <t>Evidence only</t>
        </is>
      </c>
      <c r="E97" s="2" t="inlineStr">
        <is>
          <t>Check whether the linked policy applies to this community; do not score URL separately.</t>
        </is>
      </c>
    </row>
    <row r="98">
      <c r="A98" s="2" t="inlineStr">
        <is>
          <t>DMP Tool</t>
        </is>
      </c>
      <c r="B98" s="2" t="inlineStr">
        <is>
          <t>019 public repository</t>
        </is>
      </c>
      <c r="C98" s="2" t="inlineStr">
        <is>
          <t>https://github.com/cdluc3/dmptool/wiki</t>
        </is>
      </c>
      <c r="D98" s="2" t="inlineStr">
        <is>
          <t>100.0: Available public-forge repository URL</t>
        </is>
      </c>
      <c r="E98" s="2" t="inlineStr">
        <is>
          <t>Scored from the populated repository field; inspect only if the URL or host classification is clearly malformed.</t>
        </is>
      </c>
    </row>
    <row r="99">
      <c r="A99" s="2" t="inlineStr">
        <is>
          <t>DOAJ (Directory of Open Access Journals)</t>
        </is>
      </c>
      <c r="B99" s="2" t="inlineStr">
        <is>
          <t>938 free-text activity coding</t>
        </is>
      </c>
      <c r="C99"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D99" s="2" t="inlineStr">
        <is>
          <t>Blogs; Interest, working, user, or advisory groups</t>
        </is>
      </c>
      <c r="E99" s="2" t="inlineStr">
        <is>
          <t>Confirm or correct categories; add valid Other only if distinct from the 12 named types.</t>
        </is>
      </c>
    </row>
    <row r="100">
      <c r="A100" s="2" t="inlineStr">
        <is>
          <t>DOAJ (Directory of Open Access Journals)</t>
        </is>
      </c>
      <c r="B100" s="2" t="inlineStr">
        <is>
          <t>940 Other contribution route</t>
        </is>
      </c>
      <c r="C100"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D100" s="2" t="inlineStr">
        <is>
          <t>Not counted</t>
        </is>
      </c>
      <c r="E100" s="2" t="inlineStr">
        <is>
          <t>Confirm this is selected in 040 and describes a distinct route.</t>
        </is>
      </c>
    </row>
    <row r="101">
      <c r="A101" s="2" t="inlineStr">
        <is>
          <t>DOAJ (Directory of Open Access Journals)</t>
        </is>
      </c>
      <c r="B101" s="2" t="inlineStr">
        <is>
          <t>019 public repository</t>
        </is>
      </c>
      <c r="C101" s="2" t="inlineStr">
        <is>
          <t>https://github.com/DOAJ</t>
        </is>
      </c>
      <c r="D101" s="2" t="inlineStr">
        <is>
          <t>100.0: Available public-forge repository URL</t>
        </is>
      </c>
      <c r="E101" s="2" t="inlineStr">
        <is>
          <t>Scored from the populated repository field; inspect only if the URL or host classification is clearly malformed.</t>
        </is>
      </c>
    </row>
    <row r="102">
      <c r="A102" s="2" t="inlineStr">
        <is>
          <t>DOAJ (Directory of Open Access Journals)</t>
        </is>
      </c>
      <c r="B102" s="2" t="inlineStr">
        <is>
          <t>043 Code of Conduct evidence</t>
        </is>
      </c>
      <c r="C102" s="2" t="inlineStr">
        <is>
          <t>https://doaj.org/code-of-conduct/</t>
        </is>
      </c>
      <c r="D102" s="2" t="inlineStr">
        <is>
          <t>Evidence only</t>
        </is>
      </c>
      <c r="E102" s="2" t="inlineStr">
        <is>
          <t>Check whether the linked policy applies to this community; do not score URL separately.</t>
        </is>
      </c>
    </row>
    <row r="103">
      <c r="A103" s="2" t="inlineStr">
        <is>
          <t>dokieli</t>
        </is>
      </c>
      <c r="B103" s="2" t="inlineStr">
        <is>
          <t>938 free-text activity coding</t>
        </is>
      </c>
      <c r="C103" s="2" t="inlineStr">
        <is>
          <t>Workshops and presentations at conferences. There is a community chat answering users and developers questions since 2015.
W3C TAG Ethical Web Principles: &lt;a href="https://www.w3.org/TR/ethical-web-principles/" target="_blank"&gt;https://www.w3.org/TR/ethical-web-principles/&lt;/a&gt;</t>
        </is>
      </c>
      <c r="D103" s="2" t="inlineStr">
        <is>
          <t>Conference participation; Mailing lists and discussion forums (including Slack)</t>
        </is>
      </c>
      <c r="E103" s="2" t="inlineStr">
        <is>
          <t>Confirm or correct categories; add valid Other only if distinct from the 12 named types.</t>
        </is>
      </c>
    </row>
    <row r="104">
      <c r="A104" s="2" t="inlineStr">
        <is>
          <t>dokieli</t>
        </is>
      </c>
      <c r="B104" s="2" t="inlineStr">
        <is>
          <t>041 contribution guidance URL</t>
        </is>
      </c>
      <c r="C104" s="2" t="inlineStr">
        <is>
          <t>https://github.com/linkeddata/dokieli</t>
        </is>
      </c>
      <c r="D104" s="2" t="inlineStr">
        <is>
          <t>50.0: Candidate general participation page; verify URL</t>
        </is>
      </c>
      <c r="E104" s="2" t="inlineStr">
        <is>
          <t>Scored from the available URL; inspect only if the URL appears suspect or the automatic tier is inaccurate.</t>
        </is>
      </c>
    </row>
    <row r="105">
      <c r="A105" s="2" t="inlineStr">
        <is>
          <t>dokieli</t>
        </is>
      </c>
      <c r="B105" s="2" t="inlineStr">
        <is>
          <t>019 public repository</t>
        </is>
      </c>
      <c r="C105" s="2" t="inlineStr">
        <is>
          <t>https://github.com/linkeddata/dokieli</t>
        </is>
      </c>
      <c r="D105" s="2" t="inlineStr">
        <is>
          <t>100.0: Available public-forge repository URL</t>
        </is>
      </c>
      <c r="E105" s="2" t="inlineStr">
        <is>
          <t>Scored from the populated repository field; inspect only if the URL or host classification is clearly malformed.</t>
        </is>
      </c>
    </row>
    <row r="106">
      <c r="A106" s="2" t="inlineStr">
        <is>
          <t>dokieli</t>
        </is>
      </c>
      <c r="B106" s="2" t="inlineStr">
        <is>
          <t>043 Code of Conduct evidence</t>
        </is>
      </c>
      <c r="C106" s="2" t="inlineStr">
        <is>
          <t>https://github.com/linkeddata/dokieli/blob/main/CODE-OF-CONDUCT.md</t>
        </is>
      </c>
      <c r="D106" s="2" t="inlineStr">
        <is>
          <t>Evidence only</t>
        </is>
      </c>
      <c r="E106" s="2" t="inlineStr">
        <is>
          <t>Check whether the linked policy applies to this community; do not score URL separately.</t>
        </is>
      </c>
    </row>
    <row r="107">
      <c r="A107" s="2" t="inlineStr">
        <is>
          <t>Dryad</t>
        </is>
      </c>
      <c r="B107" s="2" t="inlineStr">
        <is>
          <t>938 free-text activity coding</t>
        </is>
      </c>
      <c r="C107"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D107" s="2" t="inlineStr">
        <is>
          <t>Blogs; Conference participation; Interest, working, user, or advisory groups; Mailing lists and discussion forums (including Slack)</t>
        </is>
      </c>
      <c r="E107" s="2" t="inlineStr">
        <is>
          <t>Confirm or correct categories; add valid Other only if distinct from the 12 named types.</t>
        </is>
      </c>
    </row>
    <row r="108">
      <c r="A108" s="2" t="inlineStr">
        <is>
          <t>Dryad</t>
        </is>
      </c>
      <c r="B108" s="2" t="inlineStr">
        <is>
          <t>019 public repository</t>
        </is>
      </c>
      <c r="C108" s="2" t="inlineStr">
        <is>
          <t>https://github.com/CDL-Dryad/dryad-app</t>
        </is>
      </c>
      <c r="D108" s="2" t="inlineStr">
        <is>
          <t>100.0: Available public-forge repository URL</t>
        </is>
      </c>
      <c r="E108" s="2" t="inlineStr">
        <is>
          <t>Scored from the populated repository field; inspect only if the URL or host classification is clearly malformed.</t>
        </is>
      </c>
    </row>
    <row r="109">
      <c r="A109" s="2" t="inlineStr">
        <is>
          <t>Dryad</t>
        </is>
      </c>
      <c r="B109" s="2" t="inlineStr">
        <is>
          <t>043 Code of Conduct evidence</t>
        </is>
      </c>
      <c r="C109" s="2" t="inlineStr">
        <is>
          <t>https://datadryad.org/stash/code_of_conduct</t>
        </is>
      </c>
      <c r="D109" s="2" t="inlineStr">
        <is>
          <t>Evidence only</t>
        </is>
      </c>
      <c r="E109" s="2" t="inlineStr">
        <is>
          <t>Check whether the linked policy applies to this community; do not score URL separately.</t>
        </is>
      </c>
    </row>
    <row r="110">
      <c r="A110" s="2" t="inlineStr">
        <is>
          <t>DSpace</t>
        </is>
      </c>
      <c r="B110" s="2" t="inlineStr">
        <is>
          <t>938 free-text activity coding</t>
        </is>
      </c>
      <c r="C110" s="2" t="inlineStr">
        <is>
          <t>COAR Next Generation Repositories Principles &lt;a href="https://ngr.coar-repositories.org/principles/" target="_blank"&gt;https://ngr.coar-repositories.org/principles/&lt;/a&gt;</t>
        </is>
      </c>
      <c r="D110" s="2" t="inlineStr"/>
      <c r="E110" s="2" t="inlineStr">
        <is>
          <t>Confirm or correct categories; add valid Other only if distinct from the 12 named types.</t>
        </is>
      </c>
    </row>
    <row r="111">
      <c r="A111" s="2" t="inlineStr">
        <is>
          <t>DSpace</t>
        </is>
      </c>
      <c r="B111" s="2" t="inlineStr">
        <is>
          <t>041 contribution guidance URL</t>
        </is>
      </c>
      <c r="C111" s="2" t="inlineStr">
        <is>
          <t>https://dspace.org/community-contributors/</t>
        </is>
      </c>
      <c r="D111" s="2" t="inlineStr">
        <is>
          <t>100.0: Candidate dedicated contribution guide; verify URL</t>
        </is>
      </c>
      <c r="E111" s="2" t="inlineStr">
        <is>
          <t>Scored from the available URL; inspect only if the URL appears suspect or the automatic tier is inaccurate.</t>
        </is>
      </c>
    </row>
    <row r="112">
      <c r="A112" s="2" t="inlineStr">
        <is>
          <t>DSpace</t>
        </is>
      </c>
      <c r="B112" s="2" t="inlineStr">
        <is>
          <t>019 public repository</t>
        </is>
      </c>
      <c r="C112" s="2" t="inlineStr">
        <is>
          <t>https://github.com/DSpace/DSpace</t>
        </is>
      </c>
      <c r="D112" s="2" t="inlineStr">
        <is>
          <t>100.0: Available public-forge repository URL</t>
        </is>
      </c>
      <c r="E112" s="2" t="inlineStr">
        <is>
          <t>Scored from the populated repository field; inspect only if the URL or host classification is clearly malformed.</t>
        </is>
      </c>
    </row>
    <row r="113">
      <c r="A113" s="2" t="inlineStr">
        <is>
          <t>DSpace</t>
        </is>
      </c>
      <c r="B113" s="2" t="inlineStr">
        <is>
          <t>043 Code of Conduct evidence</t>
        </is>
      </c>
      <c r="C113" s="2" t="inlineStr">
        <is>
          <t>https://www.lyrasis.org/about/Pages/Code-of-Conduct.aspx</t>
        </is>
      </c>
      <c r="D113" s="2" t="inlineStr">
        <is>
          <t>Evidence only</t>
        </is>
      </c>
      <c r="E113" s="2" t="inlineStr">
        <is>
          <t>Check whether the linked policy applies to this community; do not score URL separately.</t>
        </is>
      </c>
    </row>
    <row r="114">
      <c r="A114" s="2" t="inlineStr">
        <is>
          <t>DuraCloud</t>
        </is>
      </c>
      <c r="B114" s="2" t="inlineStr">
        <is>
          <t>041 contribution guidance URL</t>
        </is>
      </c>
      <c r="C114" s="2" t="inlineStr">
        <is>
          <t>https://github.com/duracloud/duracloud/blob/develop/CONTRIBUTING.md</t>
        </is>
      </c>
      <c r="D114" s="2" t="inlineStr">
        <is>
          <t>100.0: Candidate dedicated contribution guide; verify URL</t>
        </is>
      </c>
      <c r="E114" s="2" t="inlineStr">
        <is>
          <t>Scored from the available URL; inspect only if the URL appears suspect or the automatic tier is inaccurate.</t>
        </is>
      </c>
    </row>
    <row r="115">
      <c r="A115" s="2" t="inlineStr">
        <is>
          <t>DuraCloud</t>
        </is>
      </c>
      <c r="B115" s="2" t="inlineStr">
        <is>
          <t>019 public repository</t>
        </is>
      </c>
      <c r="C115" s="2" t="inlineStr">
        <is>
          <t>https://github.com/duracloud/duracloud</t>
        </is>
      </c>
      <c r="D115" s="2" t="inlineStr">
        <is>
          <t>100.0: Available public-forge repository URL</t>
        </is>
      </c>
      <c r="E115" s="2" t="inlineStr">
        <is>
          <t>Scored from the populated repository field; inspect only if the URL or host classification is clearly malformed.</t>
        </is>
      </c>
    </row>
    <row r="116">
      <c r="A116" s="2" t="inlineStr">
        <is>
          <t>DuraCloud</t>
        </is>
      </c>
      <c r="B116" s="2" t="inlineStr">
        <is>
          <t>043 Code of Conduct evidence</t>
        </is>
      </c>
      <c r="C116" s="2" t="inlineStr">
        <is>
          <t>https://lyrasis.org/code-of-conduct/</t>
        </is>
      </c>
      <c r="D116" s="2" t="inlineStr">
        <is>
          <t>Evidence only</t>
        </is>
      </c>
      <c r="E116" s="2" t="inlineStr">
        <is>
          <t>Check whether the linked policy applies to this community; do not score URL separately.</t>
        </is>
      </c>
    </row>
    <row r="117">
      <c r="A117" s="2" t="inlineStr">
        <is>
          <t>Episciences</t>
        </is>
      </c>
      <c r="B117" s="2" t="inlineStr">
        <is>
          <t>019 public repository</t>
        </is>
      </c>
      <c r="C117" s="2" t="inlineStr">
        <is>
          <t>https://github.com/CCSDForge/episciences</t>
        </is>
      </c>
      <c r="D117" s="2" t="inlineStr">
        <is>
          <t>100.0: Available public-forge repository URL</t>
        </is>
      </c>
      <c r="E117" s="2" t="inlineStr">
        <is>
          <t>Scored from the populated repository field; inspect only if the URL or host classification is clearly malformed.</t>
        </is>
      </c>
    </row>
    <row r="118">
      <c r="A118" s="2" t="inlineStr">
        <is>
          <t>EPrints</t>
        </is>
      </c>
      <c r="B118" s="2" t="inlineStr">
        <is>
          <t>041 contribution guidance URL</t>
        </is>
      </c>
      <c r="C118" s="2" t="inlineStr">
        <is>
          <t>https://wiki.eprints.org/w/Main_Page#Contributing_to_the_Wiki;</t>
        </is>
      </c>
      <c r="D118" s="2" t="inlineStr">
        <is>
          <t>None: Blank or suspect URL; review required</t>
        </is>
      </c>
      <c r="E118" s="2" t="inlineStr">
        <is>
          <t>Scored from the available URL; inspect only if the URL appears suspect or the automatic tier is inaccurate.</t>
        </is>
      </c>
    </row>
    <row r="119">
      <c r="A119" s="2" t="inlineStr">
        <is>
          <t>EPrints</t>
        </is>
      </c>
      <c r="B119" s="2" t="inlineStr">
        <is>
          <t>019 public repository</t>
        </is>
      </c>
      <c r="C119" s="2" t="inlineStr">
        <is>
          <t>https://github.com/eprints/eprints3.4</t>
        </is>
      </c>
      <c r="D119" s="2" t="inlineStr">
        <is>
          <t>100.0: Available public-forge repository URL</t>
        </is>
      </c>
      <c r="E119" s="2" t="inlineStr">
        <is>
          <t>Scored from the populated repository field; inspect only if the URL or host classification is clearly malformed.</t>
        </is>
      </c>
    </row>
    <row r="120">
      <c r="A120" s="2" t="inlineStr">
        <is>
          <t>Érudit</t>
        </is>
      </c>
      <c r="B120" s="2" t="inlineStr">
        <is>
          <t>938 free-text activity coding</t>
        </is>
      </c>
      <c r="C120" s="2" t="inlineStr">
        <is>
          <t>DORA, Dimensions charter, Helsinki initiative</t>
        </is>
      </c>
      <c r="D120" s="2" t="inlineStr"/>
      <c r="E120" s="2" t="inlineStr">
        <is>
          <t>Confirm or correct categories; add valid Other only if distinct from the 12 named types.</t>
        </is>
      </c>
    </row>
    <row r="121">
      <c r="A121" s="2" t="inlineStr">
        <is>
          <t>Érudit</t>
        </is>
      </c>
      <c r="B121" s="2" t="inlineStr">
        <is>
          <t>041 contribution guidance URL</t>
        </is>
      </c>
      <c r="C121" s="2" t="inlineStr">
        <is>
          <t>https://www.erudit.org/public/documents/TOR_CoalitionPublica_Journal%20User%20Group.pdf</t>
        </is>
      </c>
      <c r="D121" s="2" t="inlineStr">
        <is>
          <t>50.0: Candidate general participation page; verify URL</t>
        </is>
      </c>
      <c r="E121" s="2" t="inlineStr">
        <is>
          <t>Scored from the available URL; inspect only if the URL appears suspect or the automatic tier is inaccurate.</t>
        </is>
      </c>
    </row>
    <row r="122">
      <c r="A122" s="2" t="inlineStr">
        <is>
          <t>Érudit</t>
        </is>
      </c>
      <c r="B122" s="2" t="inlineStr">
        <is>
          <t>019 public repository</t>
        </is>
      </c>
      <c r="C122" s="2" t="inlineStr">
        <is>
          <t>https://github.com/erudit/eruditorg</t>
        </is>
      </c>
      <c r="D122" s="2" t="inlineStr">
        <is>
          <t>100.0: Available public-forge repository URL</t>
        </is>
      </c>
      <c r="E122" s="2" t="inlineStr">
        <is>
          <t>Scored from the populated repository field; inspect only if the URL or host classification is clearly malformed.</t>
        </is>
      </c>
    </row>
    <row r="123">
      <c r="A123" s="2" t="inlineStr">
        <is>
          <t>Érudit</t>
        </is>
      </c>
      <c r="B123" s="2" t="inlineStr">
        <is>
          <t>043 Code of Conduct evidence</t>
        </is>
      </c>
      <c r="C123" s="2" t="inlineStr">
        <is>
          <t>https://www.erudit.org/public/documents/CoalitionPublica_bilingue.pdf</t>
        </is>
      </c>
      <c r="D123" s="2" t="inlineStr">
        <is>
          <t>Evidence only</t>
        </is>
      </c>
      <c r="E123" s="2" t="inlineStr">
        <is>
          <t>Check whether the linked policy applies to this community; do not score URL separately.</t>
        </is>
      </c>
    </row>
    <row r="124">
      <c r="A124" s="2" t="inlineStr">
        <is>
          <t>Europe PMC</t>
        </is>
      </c>
      <c r="B124" s="2" t="inlineStr">
        <is>
          <t>938 free-text activity coding</t>
        </is>
      </c>
      <c r="C124"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D124" s="2" t="inlineStr">
        <is>
          <t>Blogs; Conference participation; Interest, working, user, or advisory groups; Mailing lists and discussion forums (including Slack); Staff roles with responsibility for community engagement; User research; Webinars and training</t>
        </is>
      </c>
      <c r="E124" s="2" t="inlineStr">
        <is>
          <t>Confirm or correct categories; add valid Other only if distinct from the 12 named types.</t>
        </is>
      </c>
    </row>
    <row r="125">
      <c r="A125" s="2" t="inlineStr">
        <is>
          <t>Europe PMC</t>
        </is>
      </c>
      <c r="B125" s="2" t="inlineStr">
        <is>
          <t>041 contribution guidance URL</t>
        </is>
      </c>
      <c r="C125" s="2" t="inlineStr">
        <is>
          <t>https://europepmc.org/Outreach</t>
        </is>
      </c>
      <c r="D125" s="2" t="inlineStr">
        <is>
          <t>50.0: Candidate general participation page; verify URL</t>
        </is>
      </c>
      <c r="E125" s="2" t="inlineStr">
        <is>
          <t>Scored from the available URL; inspect only if the URL appears suspect or the automatic tier is inaccurate.</t>
        </is>
      </c>
    </row>
    <row r="126">
      <c r="A126" s="2" t="inlineStr">
        <is>
          <t>Europe PMC</t>
        </is>
      </c>
      <c r="B126" s="2" t="inlineStr">
        <is>
          <t>019 public repository</t>
        </is>
      </c>
      <c r="C126" s="2" t="inlineStr">
        <is>
          <t>https://github.com/EuropePMC</t>
        </is>
      </c>
      <c r="D126" s="2" t="inlineStr">
        <is>
          <t>100.0: Available public-forge repository URL</t>
        </is>
      </c>
      <c r="E126" s="2" t="inlineStr">
        <is>
          <t>Scored from the populated repository field; inspect only if the URL or host classification is clearly malformed.</t>
        </is>
      </c>
    </row>
    <row r="127">
      <c r="A127" s="2" t="inlineStr">
        <is>
          <t>Europe PMC</t>
        </is>
      </c>
      <c r="B127" s="2" t="inlineStr">
        <is>
          <t>043 Code of Conduct evidence</t>
        </is>
      </c>
      <c r="C127" s="2" t="inlineStr">
        <is>
          <t>https://www.embl.org/about/info/course-and-conference-office/information-for-participants/code-of-conduct/</t>
        </is>
      </c>
      <c r="D127" s="2" t="inlineStr">
        <is>
          <t>Evidence only</t>
        </is>
      </c>
      <c r="E127" s="2" t="inlineStr">
        <is>
          <t>Check whether the linked policy applies to this community; do not score URL separately.</t>
        </is>
      </c>
    </row>
    <row r="128">
      <c r="A128" s="2" t="inlineStr">
        <is>
          <t>FAIR Wizard</t>
        </is>
      </c>
      <c r="B128" s="2" t="inlineStr">
        <is>
          <t>940 Other contribution route</t>
        </is>
      </c>
      <c r="C128" s="2" t="inlineStr">
        <is>
          <t>Content creation</t>
        </is>
      </c>
      <c r="D128" s="2" t="inlineStr">
        <is>
          <t>Other</t>
        </is>
      </c>
      <c r="E128" s="2" t="inlineStr">
        <is>
          <t>Confirm this is selected in 040 and describes a distinct route.</t>
        </is>
      </c>
    </row>
    <row r="129">
      <c r="A129" s="2" t="inlineStr">
        <is>
          <t>Fedora</t>
        </is>
      </c>
      <c r="B129" s="2" t="inlineStr">
        <is>
          <t>938 free-text activity coding</t>
        </is>
      </c>
      <c r="C129"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D129" s="2" t="inlineStr">
        <is>
          <t>Community calls; Conference participation; Mailing lists and discussion forums (including Slack)</t>
        </is>
      </c>
      <c r="E129" s="2" t="inlineStr">
        <is>
          <t>Confirm or correct categories; add valid Other only if distinct from the 12 named types.</t>
        </is>
      </c>
    </row>
    <row r="130">
      <c r="A130" s="2" t="inlineStr">
        <is>
          <t>Fedora</t>
        </is>
      </c>
      <c r="B130" s="2" t="inlineStr">
        <is>
          <t>041 contribution guidance URL</t>
        </is>
      </c>
      <c r="C130" s="2" t="inlineStr">
        <is>
          <t>https://wiki.lyrasis.org/display/FF/Developer+Resources</t>
        </is>
      </c>
      <c r="D130" s="2" t="inlineStr">
        <is>
          <t>50.0: Candidate general participation page; verify URL</t>
        </is>
      </c>
      <c r="E130" s="2" t="inlineStr">
        <is>
          <t>Scored from the available URL; inspect only if the URL appears suspect or the automatic tier is inaccurate.</t>
        </is>
      </c>
    </row>
    <row r="131">
      <c r="A131" s="2" t="inlineStr">
        <is>
          <t>Fedora</t>
        </is>
      </c>
      <c r="B131" s="2" t="inlineStr">
        <is>
          <t>019 public repository</t>
        </is>
      </c>
      <c r="C131" s="2" t="inlineStr">
        <is>
          <t>https://github.com/fcrepo/fcrepo</t>
        </is>
      </c>
      <c r="D131" s="2" t="inlineStr">
        <is>
          <t>100.0: Available public-forge repository URL</t>
        </is>
      </c>
      <c r="E131" s="2" t="inlineStr">
        <is>
          <t>Scored from the populated repository field; inspect only if the URL or host classification is clearly malformed.</t>
        </is>
      </c>
    </row>
    <row r="132">
      <c r="A132" s="2" t="inlineStr">
        <is>
          <t>Fedora</t>
        </is>
      </c>
      <c r="B132" s="2" t="inlineStr">
        <is>
          <t>043 Code of Conduct evidence</t>
        </is>
      </c>
      <c r="C132" s="2" t="inlineStr">
        <is>
          <t>https://www.lyrasis.org/about/Pages/Code-of-Conduct.aspx</t>
        </is>
      </c>
      <c r="D132" s="2" t="inlineStr">
        <is>
          <t>Evidence only</t>
        </is>
      </c>
      <c r="E132" s="2" t="inlineStr">
        <is>
          <t>Check whether the linked policy applies to this community; do not score URL separately.</t>
        </is>
      </c>
    </row>
    <row r="133">
      <c r="A133" s="2" t="inlineStr">
        <is>
          <t>fido</t>
        </is>
      </c>
      <c r="B133" s="2" t="inlineStr">
        <is>
          <t>041 contribution guidance URL</t>
        </is>
      </c>
      <c r="C133" s="2" t="inlineStr">
        <is>
          <t>https://openpreservation.org/resources/member-groups/</t>
        </is>
      </c>
      <c r="D133" s="2" t="inlineStr">
        <is>
          <t>50.0: Candidate general participation page; verify URL</t>
        </is>
      </c>
      <c r="E133" s="2" t="inlineStr">
        <is>
          <t>Scored from the available URL; inspect only if the URL appears suspect or the automatic tier is inaccurate.</t>
        </is>
      </c>
    </row>
    <row r="134">
      <c r="A134" s="2" t="inlineStr">
        <is>
          <t>fido</t>
        </is>
      </c>
      <c r="B134" s="2" t="inlineStr">
        <is>
          <t>019 public repository</t>
        </is>
      </c>
      <c r="C134" s="2" t="inlineStr">
        <is>
          <t>https://github.com/openpreserve/fido</t>
        </is>
      </c>
      <c r="D134" s="2" t="inlineStr">
        <is>
          <t>100.0: Available public-forge repository URL</t>
        </is>
      </c>
      <c r="E134" s="2" t="inlineStr">
        <is>
          <t>Scored from the populated repository field; inspect only if the URL or host classification is clearly malformed.</t>
        </is>
      </c>
    </row>
    <row r="135">
      <c r="A135" s="2" t="inlineStr">
        <is>
          <t>Fulcrum</t>
        </is>
      </c>
      <c r="B135" s="2" t="inlineStr">
        <is>
          <t>938 free-text activity coding</t>
        </is>
      </c>
      <c r="C135"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D135" s="2" t="inlineStr">
        <is>
          <t>Blogs; Conference participation; Interest, working, user, or advisory groups; Staff roles with responsibility for community engagement</t>
        </is>
      </c>
      <c r="E135" s="2" t="inlineStr">
        <is>
          <t>Confirm or correct categories; add valid Other only if distinct from the 12 named types.</t>
        </is>
      </c>
    </row>
    <row r="136">
      <c r="A136" s="2" t="inlineStr">
        <is>
          <t>Fulcrum</t>
        </is>
      </c>
      <c r="B136" s="2" t="inlineStr">
        <is>
          <t>019 public repository</t>
        </is>
      </c>
      <c r="C136" s="2" t="inlineStr">
        <is>
          <t>https://github.com/mlibrary/heliotrope</t>
        </is>
      </c>
      <c r="D136" s="2" t="inlineStr">
        <is>
          <t>100.0: Available public-forge repository URL</t>
        </is>
      </c>
      <c r="E136" s="2" t="inlineStr">
        <is>
          <t>Scored from the populated repository field; inspect only if the URL or host classification is clearly malformed.</t>
        </is>
      </c>
    </row>
    <row r="137">
      <c r="A137" s="2" t="inlineStr">
        <is>
          <t>Fulcrum</t>
        </is>
      </c>
      <c r="B137" s="2" t="inlineStr">
        <is>
          <t>043 Code of Conduct evidence</t>
        </is>
      </c>
      <c r="C137" s="2" t="inlineStr">
        <is>
          <t>https://www.fulcrum.org/terms/</t>
        </is>
      </c>
      <c r="D137" s="2" t="inlineStr">
        <is>
          <t>Evidence only</t>
        </is>
      </c>
      <c r="E137" s="2" t="inlineStr">
        <is>
          <t>Check whether the linked policy applies to this community; do not score URL separately.</t>
        </is>
      </c>
    </row>
    <row r="138">
      <c r="A138" s="2" t="inlineStr">
        <is>
          <t>Galaxy</t>
        </is>
      </c>
      <c r="B138" s="2" t="inlineStr">
        <is>
          <t>041 contribution guidance URL</t>
        </is>
      </c>
      <c r="C138" s="2" t="inlineStr">
        <is>
          <t>https://galaxyproject.org/community/contributing/</t>
        </is>
      </c>
      <c r="D138" s="2" t="inlineStr">
        <is>
          <t>100.0: Candidate dedicated contribution guide; verify URL</t>
        </is>
      </c>
      <c r="E138" s="2" t="inlineStr">
        <is>
          <t>Scored from the available URL; inspect only if the URL appears suspect or the automatic tier is inaccurate.</t>
        </is>
      </c>
    </row>
    <row r="139">
      <c r="A139" s="2" t="inlineStr">
        <is>
          <t>Galaxy</t>
        </is>
      </c>
      <c r="B139" s="2" t="inlineStr">
        <is>
          <t>019 public repository</t>
        </is>
      </c>
      <c r="C139" s="2" t="inlineStr">
        <is>
          <t>https://github.com/galaxyproject/</t>
        </is>
      </c>
      <c r="D139" s="2" t="inlineStr">
        <is>
          <t>100.0: Available public-forge repository URL</t>
        </is>
      </c>
      <c r="E139" s="2" t="inlineStr">
        <is>
          <t>Scored from the populated repository field; inspect only if the URL or host classification is clearly malformed.</t>
        </is>
      </c>
    </row>
    <row r="140">
      <c r="A140" s="2" t="inlineStr">
        <is>
          <t>Galaxy</t>
        </is>
      </c>
      <c r="B140" s="2" t="inlineStr">
        <is>
          <t>043 Code of Conduct evidence</t>
        </is>
      </c>
      <c r="C140" s="2" t="inlineStr">
        <is>
          <t>https://galaxyproject.org/community/coc/</t>
        </is>
      </c>
      <c r="D140" s="2" t="inlineStr">
        <is>
          <t>Evidence only</t>
        </is>
      </c>
      <c r="E140" s="2" t="inlineStr">
        <is>
          <t>Check whether the linked policy applies to this community; do not score URL separately.</t>
        </is>
      </c>
    </row>
    <row r="141">
      <c r="A141" s="2" t="inlineStr">
        <is>
          <t>GeoServer</t>
        </is>
      </c>
      <c r="B141" s="2" t="inlineStr">
        <is>
          <t>041 contribution guidance URL</t>
        </is>
      </c>
      <c r="C141" s="2" t="inlineStr">
        <is>
          <t>https://github.com/geoserver/geoserver/blob/main/CONTRIBUTING.md</t>
        </is>
      </c>
      <c r="D141" s="2" t="inlineStr">
        <is>
          <t>100.0: Candidate dedicated contribution guide; verify URL</t>
        </is>
      </c>
      <c r="E141" s="2" t="inlineStr">
        <is>
          <t>Scored from the available URL; inspect only if the URL appears suspect or the automatic tier is inaccurate.</t>
        </is>
      </c>
    </row>
    <row r="142">
      <c r="A142" s="2" t="inlineStr">
        <is>
          <t>GeoServer</t>
        </is>
      </c>
      <c r="B142" s="2" t="inlineStr">
        <is>
          <t>019 public repository</t>
        </is>
      </c>
      <c r="C142" s="2" t="inlineStr">
        <is>
          <t>https://github.com/geoserver/geoserver</t>
        </is>
      </c>
      <c r="D142" s="2" t="inlineStr">
        <is>
          <t>100.0: Available public-forge repository URL</t>
        </is>
      </c>
      <c r="E142" s="2" t="inlineStr">
        <is>
          <t>Scored from the populated repository field; inspect only if the URL or host classification is clearly malformed.</t>
        </is>
      </c>
    </row>
    <row r="143">
      <c r="A143" s="2" t="inlineStr">
        <is>
          <t>GeoServer</t>
        </is>
      </c>
      <c r="B143" s="2" t="inlineStr">
        <is>
          <t>043 Code of Conduct evidence</t>
        </is>
      </c>
      <c r="C143" s="2" t="inlineStr">
        <is>
          <t>https://geoserver.org/comm/userlist-guidelines.html</t>
        </is>
      </c>
      <c r="D143" s="2" t="inlineStr">
        <is>
          <t>Evidence only</t>
        </is>
      </c>
      <c r="E143" s="2" t="inlineStr">
        <is>
          <t>Check whether the linked policy applies to this community; do not score URL separately.</t>
        </is>
      </c>
    </row>
    <row r="144">
      <c r="A144" s="2" t="inlineStr">
        <is>
          <t>Hyku</t>
        </is>
      </c>
      <c r="B144" s="2" t="inlineStr">
        <is>
          <t>938 free-text activity coding</t>
        </is>
      </c>
      <c r="C144"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D144" s="2" t="inlineStr">
        <is>
          <t>Community calls; Interest, working, user, or advisory groups</t>
        </is>
      </c>
      <c r="E144" s="2" t="inlineStr">
        <is>
          <t>Confirm or correct categories; add valid Other only if distinct from the 12 named types.</t>
        </is>
      </c>
    </row>
    <row r="145">
      <c r="A145" s="2" t="inlineStr">
        <is>
          <t>Hyku</t>
        </is>
      </c>
      <c r="B145" s="2" t="inlineStr">
        <is>
          <t>041 contribution guidance URL</t>
        </is>
      </c>
      <c r="C145" s="2" t="inlineStr">
        <is>
          <t>https://samvera.atlassian.net/wiki/spaces/samvera/pages/405211682/Getting+Started+in+the+Samvera+Community</t>
        </is>
      </c>
      <c r="D145" s="2" t="inlineStr">
        <is>
          <t>50.0: Candidate general participation page; verify URL</t>
        </is>
      </c>
      <c r="E145" s="2" t="inlineStr">
        <is>
          <t>Scored from the available URL; inspect only if the URL appears suspect or the automatic tier is inaccurate.</t>
        </is>
      </c>
    </row>
    <row r="146">
      <c r="A146" s="2" t="inlineStr">
        <is>
          <t>Hyku</t>
        </is>
      </c>
      <c r="B146" s="2" t="inlineStr">
        <is>
          <t>019 public repository</t>
        </is>
      </c>
      <c r="C146" s="2" t="inlineStr">
        <is>
          <t>https://github.com/samvera/hyku</t>
        </is>
      </c>
      <c r="D146" s="2" t="inlineStr">
        <is>
          <t>100.0: Available public-forge repository URL</t>
        </is>
      </c>
      <c r="E146" s="2" t="inlineStr">
        <is>
          <t>Scored from the populated repository field; inspect only if the URL or host classification is clearly malformed.</t>
        </is>
      </c>
    </row>
    <row r="147">
      <c r="A147" s="2" t="inlineStr">
        <is>
          <t>Hyku</t>
        </is>
      </c>
      <c r="B147" s="2" t="inlineStr">
        <is>
          <t>043 Code of Conduct evidence</t>
        </is>
      </c>
      <c r="C147" s="2" t="inlineStr">
        <is>
          <t>https://samvera.atlassian.net/wiki/spaces/samvera/pages/405212316/Samvera+Code+of+Conduct+and+Anti-Harassment+Policy</t>
        </is>
      </c>
      <c r="D147" s="2" t="inlineStr">
        <is>
          <t>Evidence only</t>
        </is>
      </c>
      <c r="E147" s="2" t="inlineStr">
        <is>
          <t>Check whether the linked policy applies to this community; do not score URL separately.</t>
        </is>
      </c>
    </row>
    <row r="148">
      <c r="A148" s="2" t="inlineStr">
        <is>
          <t>Hyrax</t>
        </is>
      </c>
      <c r="B148" s="2" t="inlineStr">
        <is>
          <t>041 contribution guidance URL</t>
        </is>
      </c>
      <c r="C148" s="2" t="inlineStr">
        <is>
          <t>https://samvera.atlassian.net/wiki/spaces/samvera/pages/405211658/Licensed+software+acceptance+procedure</t>
        </is>
      </c>
      <c r="D148" s="2" t="inlineStr">
        <is>
          <t>50.0: Candidate general participation page; verify URL</t>
        </is>
      </c>
      <c r="E148" s="2" t="inlineStr">
        <is>
          <t>Scored from the available URL; inspect only if the URL appears suspect or the automatic tier is inaccurate.</t>
        </is>
      </c>
    </row>
    <row r="149">
      <c r="A149" s="2" t="inlineStr">
        <is>
          <t>Hyrax</t>
        </is>
      </c>
      <c r="B149" s="2" t="inlineStr">
        <is>
          <t>019 public repository</t>
        </is>
      </c>
      <c r="C149" s="2" t="inlineStr">
        <is>
          <t>https://github.com/samvera/hyrax</t>
        </is>
      </c>
      <c r="D149" s="2" t="inlineStr">
        <is>
          <t>100.0: Available public-forge repository URL</t>
        </is>
      </c>
      <c r="E149" s="2" t="inlineStr">
        <is>
          <t>Scored from the populated repository field; inspect only if the URL or host classification is clearly malformed.</t>
        </is>
      </c>
    </row>
    <row r="150">
      <c r="A150" s="2" t="inlineStr">
        <is>
          <t>Hyrax</t>
        </is>
      </c>
      <c r="B150" s="2" t="inlineStr">
        <is>
          <t>043 Code of Conduct evidence</t>
        </is>
      </c>
      <c r="C150" s="2" t="inlineStr">
        <is>
          <t>https://samvera.atlassian.net/wiki/spaces/samvera/pages/1947631640/Samvera+Community+Guidelines</t>
        </is>
      </c>
      <c r="D150" s="2" t="inlineStr">
        <is>
          <t>Evidence only</t>
        </is>
      </c>
      <c r="E150" s="2" t="inlineStr">
        <is>
          <t>Check whether the linked policy applies to this community; do not score URL separately.</t>
        </is>
      </c>
    </row>
    <row r="151">
      <c r="A151" s="2" t="inlineStr">
        <is>
          <t>IIIF</t>
        </is>
      </c>
      <c r="B151" s="2" t="inlineStr">
        <is>
          <t>938 free-text activity coding</t>
        </is>
      </c>
      <c r="C151"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D151" s="2" t="inlineStr">
        <is>
          <t>Community calls; Conference participation; Mailing lists and discussion forums (including Slack); Staff roles with responsibility for community engagement; Webinars and training</t>
        </is>
      </c>
      <c r="E151" s="2" t="inlineStr">
        <is>
          <t>Confirm or correct categories; add valid Other only if distinct from the 12 named types.</t>
        </is>
      </c>
    </row>
    <row r="152">
      <c r="A152" s="2" t="inlineStr">
        <is>
          <t>IIIF</t>
        </is>
      </c>
      <c r="B152" s="2" t="inlineStr">
        <is>
          <t>041 contribution guidance URL</t>
        </is>
      </c>
      <c r="C152" s="2" t="inlineStr">
        <is>
          <t>https://iiif.io/get-involved/</t>
        </is>
      </c>
      <c r="D152" s="2" t="inlineStr">
        <is>
          <t>100.0: Candidate dedicated contribution guide; verify URL</t>
        </is>
      </c>
      <c r="E152" s="2" t="inlineStr">
        <is>
          <t>Scored from the available URL; inspect only if the URL appears suspect or the automatic tier is inaccurate.</t>
        </is>
      </c>
    </row>
    <row r="153">
      <c r="A153" s="2" t="inlineStr">
        <is>
          <t>IIIF</t>
        </is>
      </c>
      <c r="B153" s="2" t="inlineStr">
        <is>
          <t>019 public repository</t>
        </is>
      </c>
      <c r="C153" s="2" t="inlineStr">
        <is>
          <t>https://github.com/IIIF</t>
        </is>
      </c>
      <c r="D153" s="2" t="inlineStr">
        <is>
          <t>100.0: Available public-forge repository URL</t>
        </is>
      </c>
      <c r="E153" s="2" t="inlineStr">
        <is>
          <t>Scored from the populated repository field; inspect only if the URL or host classification is clearly malformed.</t>
        </is>
      </c>
    </row>
    <row r="154">
      <c r="A154" s="2" t="inlineStr">
        <is>
          <t>IIIF</t>
        </is>
      </c>
      <c r="B154" s="2" t="inlineStr">
        <is>
          <t>043 Code of Conduct evidence</t>
        </is>
      </c>
      <c r="C154" s="2" t="inlineStr">
        <is>
          <t>https://iiif.io/event/conduct/</t>
        </is>
      </c>
      <c r="D154" s="2" t="inlineStr">
        <is>
          <t>Evidence only</t>
        </is>
      </c>
      <c r="E154" s="2" t="inlineStr">
        <is>
          <t>Check whether the linked policy applies to this community; do not score URL separately.</t>
        </is>
      </c>
    </row>
    <row r="155">
      <c r="A155" s="2" t="inlineStr">
        <is>
          <t>ImpactU</t>
        </is>
      </c>
      <c r="B155" s="2" t="inlineStr">
        <is>
          <t>019 public repository</t>
        </is>
      </c>
      <c r="C155" s="2" t="inlineStr">
        <is>
          <t>https://github.com/colav/impactu</t>
        </is>
      </c>
      <c r="D155" s="2" t="inlineStr">
        <is>
          <t>100.0: Available public-forge repository URL</t>
        </is>
      </c>
      <c r="E155" s="2" t="inlineStr">
        <is>
          <t>Scored from the populated repository field; inspect only if the URL or host classification is clearly malformed.</t>
        </is>
      </c>
    </row>
    <row r="156">
      <c r="A156" s="2" t="inlineStr">
        <is>
          <t>International Generic Sample Number (IGSN)</t>
        </is>
      </c>
      <c r="B156" s="2" t="inlineStr">
        <is>
          <t>019 public repository</t>
        </is>
      </c>
      <c r="C156" s="2" t="inlineStr">
        <is>
          <t>https://github.com/IGSN</t>
        </is>
      </c>
      <c r="D156" s="2" t="inlineStr">
        <is>
          <t>100.0: Available public-forge repository URL</t>
        </is>
      </c>
      <c r="E156" s="2" t="inlineStr">
        <is>
          <t>Scored from the populated repository field; inspect only if the URL or host classification is clearly malformed.</t>
        </is>
      </c>
    </row>
    <row r="157">
      <c r="A157" s="2" t="inlineStr">
        <is>
          <t>InvenioRDM</t>
        </is>
      </c>
      <c r="B157" s="2" t="inlineStr">
        <is>
          <t>938 free-text activity coding</t>
        </is>
      </c>
      <c r="C157"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D157" s="2" t="inlineStr">
        <is>
          <t>Staff roles with responsibility for community engagement</t>
        </is>
      </c>
      <c r="E157" s="2" t="inlineStr">
        <is>
          <t>Confirm or correct categories; add valid Other only if distinct from the 12 named types.</t>
        </is>
      </c>
    </row>
    <row r="158">
      <c r="A158" s="2" t="inlineStr">
        <is>
          <t>InvenioRDM</t>
        </is>
      </c>
      <c r="B158" s="2" t="inlineStr">
        <is>
          <t>041 contribution guidance URL</t>
        </is>
      </c>
      <c r="C158" s="2" t="inlineStr">
        <is>
          <t>https://inveniordm.docs.cern.ch/maintenance/newcomers/</t>
        </is>
      </c>
      <c r="D158" s="2" t="inlineStr">
        <is>
          <t>100.0: Candidate dedicated contribution guide; verify URL</t>
        </is>
      </c>
      <c r="E158" s="2" t="inlineStr">
        <is>
          <t>Scored from the available URL; inspect only if the URL appears suspect or the automatic tier is inaccurate.</t>
        </is>
      </c>
    </row>
    <row r="159">
      <c r="A159" s="2" t="inlineStr">
        <is>
          <t>InvenioRDM</t>
        </is>
      </c>
      <c r="B159" s="2" t="inlineStr">
        <is>
          <t>019 public repository</t>
        </is>
      </c>
      <c r="C159" s="2" t="inlineStr">
        <is>
          <t>https://github.com/inveniosoftware</t>
        </is>
      </c>
      <c r="D159" s="2" t="inlineStr">
        <is>
          <t>100.0: Available public-forge repository URL</t>
        </is>
      </c>
      <c r="E159" s="2" t="inlineStr">
        <is>
          <t>Scored from the populated repository field; inspect only if the URL or host classification is clearly malformed.</t>
        </is>
      </c>
    </row>
    <row r="160">
      <c r="A160" s="2" t="inlineStr">
        <is>
          <t>InvenioRDM</t>
        </is>
      </c>
      <c r="B160" s="2" t="inlineStr">
        <is>
          <t>043 Code of Conduct evidence</t>
        </is>
      </c>
      <c r="C160" s="2" t="inlineStr">
        <is>
          <t>https://inveniosoftware.org/governance/</t>
        </is>
      </c>
      <c r="D160" s="2" t="inlineStr">
        <is>
          <t>Evidence only</t>
        </is>
      </c>
      <c r="E160" s="2" t="inlineStr">
        <is>
          <t>Check whether the linked policy applies to this community; do not score URL separately.</t>
        </is>
      </c>
    </row>
    <row r="161">
      <c r="A161" s="2" t="inlineStr">
        <is>
          <t>iRODS</t>
        </is>
      </c>
      <c r="B161" s="2" t="inlineStr">
        <is>
          <t>041 contribution guidance URL</t>
        </is>
      </c>
      <c r="C161" s="2" t="inlineStr">
        <is>
          <t>https://docs.irods.org/5.0.1/developers/contributing/</t>
        </is>
      </c>
      <c r="D161" s="2" t="inlineStr">
        <is>
          <t>100.0: Candidate dedicated contribution guide; verify URL</t>
        </is>
      </c>
      <c r="E161" s="2" t="inlineStr">
        <is>
          <t>Scored from the available URL; inspect only if the URL appears suspect or the automatic tier is inaccurate.</t>
        </is>
      </c>
    </row>
    <row r="162">
      <c r="A162" s="2" t="inlineStr">
        <is>
          <t>iRODS</t>
        </is>
      </c>
      <c r="B162" s="2" t="inlineStr">
        <is>
          <t>019 public repository</t>
        </is>
      </c>
      <c r="C162" s="2" t="inlineStr">
        <is>
          <t>https://github.com/irods</t>
        </is>
      </c>
      <c r="D162" s="2" t="inlineStr">
        <is>
          <t>100.0: Available public-forge repository URL</t>
        </is>
      </c>
      <c r="E162" s="2" t="inlineStr">
        <is>
          <t>Scored from the populated repository field; inspect only if the URL or host classification is clearly malformed.</t>
        </is>
      </c>
    </row>
    <row r="163">
      <c r="A163" s="2" t="inlineStr">
        <is>
          <t>iRODS</t>
        </is>
      </c>
      <c r="B163" s="2" t="inlineStr">
        <is>
          <t>043 Code of Conduct evidence</t>
        </is>
      </c>
      <c r="C163" s="2" t="inlineStr">
        <is>
          <t>https://irods.org/code-of-conduct/</t>
        </is>
      </c>
      <c r="D163" s="2" t="inlineStr">
        <is>
          <t>Evidence only</t>
        </is>
      </c>
      <c r="E163" s="2" t="inlineStr">
        <is>
          <t>Check whether the linked policy applies to this community; do not score URL separately.</t>
        </is>
      </c>
    </row>
    <row r="164">
      <c r="A164" s="2" t="inlineStr">
        <is>
          <t>Islandora</t>
        </is>
      </c>
      <c r="B164" s="2" t="inlineStr">
        <is>
          <t>938 free-text activity coding</t>
        </is>
      </c>
      <c r="C164"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164" s="2" t="inlineStr">
        <is>
          <t>Community calls; Conference participation; Interest, working, user, or advisory groups; User research; Volunteer or ambassador network</t>
        </is>
      </c>
      <c r="E164" s="2" t="inlineStr">
        <is>
          <t>Confirm or correct categories; add valid Other only if distinct from the 12 named types.</t>
        </is>
      </c>
    </row>
    <row r="165">
      <c r="A165" s="2" t="inlineStr">
        <is>
          <t>Islandora</t>
        </is>
      </c>
      <c r="B165" s="2" t="inlineStr">
        <is>
          <t>041 contribution guidance URL</t>
        </is>
      </c>
      <c r="C165" s="2" t="inlineStr">
        <is>
          <t>https://www.islandora.ca/community</t>
        </is>
      </c>
      <c r="D165" s="2" t="inlineStr">
        <is>
          <t>50.0: Candidate general participation page; verify URL</t>
        </is>
      </c>
      <c r="E165" s="2" t="inlineStr">
        <is>
          <t>Scored from the available URL; inspect only if the URL appears suspect or the automatic tier is inaccurate.</t>
        </is>
      </c>
    </row>
    <row r="166">
      <c r="A166" s="2" t="inlineStr">
        <is>
          <t>Islandora</t>
        </is>
      </c>
      <c r="B166" s="2" t="inlineStr">
        <is>
          <t>019 public repository</t>
        </is>
      </c>
      <c r="C166" s="2" t="inlineStr">
        <is>
          <t>https://github.com/islandora</t>
        </is>
      </c>
      <c r="D166" s="2" t="inlineStr">
        <is>
          <t>100.0: Available public-forge repository URL</t>
        </is>
      </c>
      <c r="E166" s="2" t="inlineStr">
        <is>
          <t>Scored from the populated repository field; inspect only if the URL or host classification is clearly malformed.</t>
        </is>
      </c>
    </row>
    <row r="167">
      <c r="A167" s="2" t="inlineStr">
        <is>
          <t>Islandora</t>
        </is>
      </c>
      <c r="B167" s="2" t="inlineStr">
        <is>
          <t>043 Code of Conduct evidence</t>
        </is>
      </c>
      <c r="C167" s="2" t="inlineStr">
        <is>
          <t>https://www.islandora.ca/code-of-conduct</t>
        </is>
      </c>
      <c r="D167" s="2" t="inlineStr">
        <is>
          <t>Evidence only</t>
        </is>
      </c>
      <c r="E167" s="2" t="inlineStr">
        <is>
          <t>Check whether the linked policy applies to this community; do not score URL separately.</t>
        </is>
      </c>
    </row>
    <row r="168">
      <c r="A168" s="2" t="inlineStr">
        <is>
          <t>Janeway</t>
        </is>
      </c>
      <c r="B168" s="2" t="inlineStr">
        <is>
          <t>938 free-text activity coding</t>
        </is>
      </c>
      <c r="C168" s="2" t="inlineStr">
        <is>
          <t>We are planning to complete a POSI evaluation.</t>
        </is>
      </c>
      <c r="D168" s="2" t="inlineStr"/>
      <c r="E168" s="2" t="inlineStr">
        <is>
          <t>Confirm or correct categories; add valid Other only if distinct from the 12 named types.</t>
        </is>
      </c>
    </row>
    <row r="169">
      <c r="A169" s="2" t="inlineStr">
        <is>
          <t>Janeway</t>
        </is>
      </c>
      <c r="B169" s="2" t="inlineStr">
        <is>
          <t>041 contribution guidance URL</t>
        </is>
      </c>
      <c r="C169" s="2" t="inlineStr">
        <is>
          <t>https://discord.com/invite/MdPpd4cSTC</t>
        </is>
      </c>
      <c r="D169" s="2" t="inlineStr">
        <is>
          <t>None: Blank or suspect URL; review required</t>
        </is>
      </c>
      <c r="E169" s="2" t="inlineStr">
        <is>
          <t>Scored from the available URL; inspect only if the URL appears suspect or the automatic tier is inaccurate.</t>
        </is>
      </c>
    </row>
    <row r="170">
      <c r="A170" s="2" t="inlineStr">
        <is>
          <t>Janeway</t>
        </is>
      </c>
      <c r="B170" s="2" t="inlineStr">
        <is>
          <t>019 public repository</t>
        </is>
      </c>
      <c r="C170" s="2" t="inlineStr">
        <is>
          <t>https://github.com/birkbeckctp/</t>
        </is>
      </c>
      <c r="D170" s="2" t="inlineStr">
        <is>
          <t>100.0: Available public-forge repository URL</t>
        </is>
      </c>
      <c r="E170" s="2" t="inlineStr">
        <is>
          <t>Scored from the populated repository field; inspect only if the URL or host classification is clearly malformed.</t>
        </is>
      </c>
    </row>
    <row r="171">
      <c r="A171" s="2" t="inlineStr">
        <is>
          <t>Janeway</t>
        </is>
      </c>
      <c r="B171" s="2" t="inlineStr">
        <is>
          <t>043 Code of Conduct evidence</t>
        </is>
      </c>
      <c r="C171" s="2" t="inlineStr">
        <is>
          <t>https://github.com/BirkbeckCTP/janeway/blob/master/CODE_OF_CONDUCT.md</t>
        </is>
      </c>
      <c r="D171" s="2" t="inlineStr">
        <is>
          <t>Evidence only</t>
        </is>
      </c>
      <c r="E171" s="2" t="inlineStr">
        <is>
          <t>Check whether the linked policy applies to this community; do not score URL separately.</t>
        </is>
      </c>
    </row>
    <row r="172">
      <c r="A172" s="2" t="inlineStr">
        <is>
          <t>JHOVE</t>
        </is>
      </c>
      <c r="B172" s="2" t="inlineStr">
        <is>
          <t>041 contribution guidance URL</t>
        </is>
      </c>
      <c r="C172" s="2" t="inlineStr">
        <is>
          <t>https://jhove.openpreservation.org/about/</t>
        </is>
      </c>
      <c r="D172" s="2" t="inlineStr">
        <is>
          <t>50.0: Candidate general participation page; verify URL</t>
        </is>
      </c>
      <c r="E172" s="2" t="inlineStr">
        <is>
          <t>Scored from the available URL; inspect only if the URL appears suspect or the automatic tier is inaccurate.</t>
        </is>
      </c>
    </row>
    <row r="173">
      <c r="A173" s="2" t="inlineStr">
        <is>
          <t>JHOVE</t>
        </is>
      </c>
      <c r="B173" s="2" t="inlineStr">
        <is>
          <t>019 public repository</t>
        </is>
      </c>
      <c r="C173" s="2" t="inlineStr">
        <is>
          <t>https://github.com/openpreserve/jhove</t>
        </is>
      </c>
      <c r="D173" s="2" t="inlineStr">
        <is>
          <t>100.0: Available public-forge repository URL</t>
        </is>
      </c>
      <c r="E173" s="2" t="inlineStr">
        <is>
          <t>Scored from the populated repository field; inspect only if the URL or host classification is clearly malformed.</t>
        </is>
      </c>
    </row>
    <row r="174">
      <c r="A174" s="2" t="inlineStr">
        <is>
          <t>LA Referencia</t>
        </is>
      </c>
      <c r="B174" s="2" t="inlineStr">
        <is>
          <t>019 public repository</t>
        </is>
      </c>
      <c r="C174" s="2" t="inlineStr">
        <is>
          <t>https://github.com/lareferencia</t>
        </is>
      </c>
      <c r="D174" s="2" t="inlineStr">
        <is>
          <t>100.0: Available public-forge repository URL</t>
        </is>
      </c>
      <c r="E174" s="2" t="inlineStr">
        <is>
          <t>Scored from the populated repository field; inspect only if the URL or host classification is clearly malformed.</t>
        </is>
      </c>
    </row>
    <row r="175">
      <c r="A175" s="2" t="inlineStr">
        <is>
          <t>Manifold</t>
        </is>
      </c>
      <c r="B175" s="2" t="inlineStr">
        <is>
          <t>938 free-text activity coding</t>
        </is>
      </c>
      <c r="C175" s="2" t="inlineStr">
        <is>
          <t>Multiple &lt;a href="https://manifoldapp.org/community" target="_blank"&gt;communication channels&lt;/a&gt;</t>
        </is>
      </c>
      <c r="D175" s="2" t="inlineStr"/>
      <c r="E175" s="2" t="inlineStr">
        <is>
          <t>Confirm or correct categories; add valid Other only if distinct from the 12 named types.</t>
        </is>
      </c>
    </row>
    <row r="176">
      <c r="A176" s="2" t="inlineStr">
        <is>
          <t>Manifold</t>
        </is>
      </c>
      <c r="B176" s="2" t="inlineStr">
        <is>
          <t>041 contribution guidance URL</t>
        </is>
      </c>
      <c r="C176" s="2" t="inlineStr">
        <is>
          <t>https://manifoldscholar.github.io/manifold-docusaurus/docs/developers/local_development</t>
        </is>
      </c>
      <c r="D176" s="2" t="inlineStr">
        <is>
          <t>50.0: Candidate general participation page; verify URL</t>
        </is>
      </c>
      <c r="E176" s="2" t="inlineStr">
        <is>
          <t>Scored from the available URL; inspect only if the URL appears suspect or the automatic tier is inaccurate.</t>
        </is>
      </c>
    </row>
    <row r="177">
      <c r="A177" s="2" t="inlineStr">
        <is>
          <t>Manifold</t>
        </is>
      </c>
      <c r="B177" s="2" t="inlineStr">
        <is>
          <t>019 public repository</t>
        </is>
      </c>
      <c r="C177" s="2" t="inlineStr">
        <is>
          <t>https://github.com/ManifoldScholar/manifold</t>
        </is>
      </c>
      <c r="D177" s="2" t="inlineStr">
        <is>
          <t>100.0: Available public-forge repository URL</t>
        </is>
      </c>
      <c r="E177" s="2" t="inlineStr">
        <is>
          <t>Scored from the populated repository field; inspect only if the URL or host classification is clearly malformed.</t>
        </is>
      </c>
    </row>
    <row r="178">
      <c r="A178" s="2" t="inlineStr">
        <is>
          <t>medRxiv</t>
        </is>
      </c>
      <c r="B178" s="2" t="inlineStr">
        <is>
          <t>938 free-text activity coding</t>
        </is>
      </c>
      <c r="C178"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D178" s="2" t="inlineStr">
        <is>
          <t>User research; Volunteer or ambassador network</t>
        </is>
      </c>
      <c r="E178" s="2" t="inlineStr">
        <is>
          <t>Confirm or correct categories; add valid Other only if distinct from the 12 named types.</t>
        </is>
      </c>
    </row>
    <row r="179">
      <c r="A179" s="2" t="inlineStr">
        <is>
          <t>Metadata Encoding and Transmission Standard (METS)</t>
        </is>
      </c>
      <c r="B179" s="2" t="inlineStr">
        <is>
          <t>041 contribution guidance URL</t>
        </is>
      </c>
      <c r="C179" s="2" t="inlineStr">
        <is>
          <t>https://github.com/mets/wiki/wiki/Board-Membership-Criteria-&amp;-Procedures</t>
        </is>
      </c>
      <c r="D179" s="2" t="inlineStr">
        <is>
          <t>50.0: Candidate general participation page; verify URL</t>
        </is>
      </c>
      <c r="E179" s="2" t="inlineStr">
        <is>
          <t>Scored from the available URL; inspect only if the URL appears suspect or the automatic tier is inaccurate.</t>
        </is>
      </c>
    </row>
    <row r="180">
      <c r="A180" s="2" t="inlineStr">
        <is>
          <t>Metadata Encoding and Transmission Standard (METS)</t>
        </is>
      </c>
      <c r="B180" s="2" t="inlineStr">
        <is>
          <t>019 public repository</t>
        </is>
      </c>
      <c r="C180" s="2" t="inlineStr">
        <is>
          <t>https://github.com/mets</t>
        </is>
      </c>
      <c r="D180" s="2" t="inlineStr">
        <is>
          <t>100.0: Available public-forge repository URL</t>
        </is>
      </c>
      <c r="E180" s="2" t="inlineStr">
        <is>
          <t>Scored from the populated repository field; inspect only if the URL or host classification is clearly malformed.</t>
        </is>
      </c>
    </row>
    <row r="181">
      <c r="A181" s="2" t="inlineStr">
        <is>
          <t>Mirador</t>
        </is>
      </c>
      <c r="B181" s="2" t="inlineStr">
        <is>
          <t>938 free-text activity coding</t>
        </is>
      </c>
      <c r="C181"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D181" s="2" t="inlineStr">
        <is>
          <t>Community calls; Mailing lists and discussion forums (including Slack); User research</t>
        </is>
      </c>
      <c r="E181" s="2" t="inlineStr">
        <is>
          <t>Confirm or correct categories; add valid Other only if distinct from the 12 named types.</t>
        </is>
      </c>
    </row>
    <row r="182">
      <c r="A182" s="2" t="inlineStr">
        <is>
          <t>Mirador</t>
        </is>
      </c>
      <c r="B182" s="2" t="inlineStr">
        <is>
          <t>041 contribution guidance URL</t>
        </is>
      </c>
      <c r="C182" s="2" t="inlineStr">
        <is>
          <t>https://github.com/ProjectMirador/mirador/discussions</t>
        </is>
      </c>
      <c r="D182" s="2" t="inlineStr">
        <is>
          <t>50.0: Candidate general participation page; verify URL</t>
        </is>
      </c>
      <c r="E182" s="2" t="inlineStr">
        <is>
          <t>Scored from the available URL; inspect only if the URL appears suspect or the automatic tier is inaccurate.</t>
        </is>
      </c>
    </row>
    <row r="183">
      <c r="A183" s="2" t="inlineStr">
        <is>
          <t>Mirador</t>
        </is>
      </c>
      <c r="B183" s="2" t="inlineStr">
        <is>
          <t>019 public repository</t>
        </is>
      </c>
      <c r="C183" s="2" t="inlineStr">
        <is>
          <t>https://github.com/projectmirador/mirador</t>
        </is>
      </c>
      <c r="D183" s="2" t="inlineStr">
        <is>
          <t>100.0: Available public-forge repository URL</t>
        </is>
      </c>
      <c r="E183" s="2" t="inlineStr">
        <is>
          <t>Scored from the populated repository field; inspect only if the URL or host classification is clearly malformed.</t>
        </is>
      </c>
    </row>
    <row r="184">
      <c r="A184" s="2" t="inlineStr">
        <is>
          <t>Mirador</t>
        </is>
      </c>
      <c r="B184" s="2" t="inlineStr">
        <is>
          <t>043 Code of Conduct evidence</t>
        </is>
      </c>
      <c r="C184" s="2" t="inlineStr">
        <is>
          <t>https://github.com/ProjectMirador/mirador/blob/master/CODE_OF_CONDUCT.md</t>
        </is>
      </c>
      <c r="D184" s="2" t="inlineStr">
        <is>
          <t>Evidence only</t>
        </is>
      </c>
      <c r="E184" s="2" t="inlineStr">
        <is>
          <t>Check whether the linked policy applies to this community; do not score URL separately.</t>
        </is>
      </c>
    </row>
    <row r="185">
      <c r="A185" s="2" t="inlineStr">
        <is>
          <t>Mukurtu CMS</t>
        </is>
      </c>
      <c r="B185" s="2" t="inlineStr">
        <is>
          <t>938 free-text activity coding</t>
        </is>
      </c>
      <c r="C185"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D185" s="2" t="inlineStr">
        <is>
          <t>Staff roles with responsibility for community engagement</t>
        </is>
      </c>
      <c r="E185" s="2" t="inlineStr">
        <is>
          <t>Confirm or correct categories; add valid Other only if distinct from the 12 named types.</t>
        </is>
      </c>
    </row>
    <row r="186">
      <c r="A186" s="2" t="inlineStr">
        <is>
          <t>Mukurtu CMS</t>
        </is>
      </c>
      <c r="B186" s="2" t="inlineStr">
        <is>
          <t>041 contribution guidance URL</t>
        </is>
      </c>
      <c r="C186" s="2" t="inlineStr">
        <is>
          <t>https://github.com/MukurtuCMS/mukurtucms#developers</t>
        </is>
      </c>
      <c r="D186" s="2" t="inlineStr">
        <is>
          <t>50.0: Candidate general participation page; verify URL</t>
        </is>
      </c>
      <c r="E186" s="2" t="inlineStr">
        <is>
          <t>Scored from the available URL; inspect only if the URL appears suspect or the automatic tier is inaccurate.</t>
        </is>
      </c>
    </row>
    <row r="187">
      <c r="A187" s="2" t="inlineStr">
        <is>
          <t>Mukurtu CMS</t>
        </is>
      </c>
      <c r="B187" s="2" t="inlineStr">
        <is>
          <t>019 public repository</t>
        </is>
      </c>
      <c r="C187" s="2" t="inlineStr">
        <is>
          <t>https://github.com/MukurtuCMS/mukurtucms</t>
        </is>
      </c>
      <c r="D187" s="2" t="inlineStr">
        <is>
          <t>100.0: Available public-forge repository URL</t>
        </is>
      </c>
      <c r="E187" s="2" t="inlineStr">
        <is>
          <t>Scored from the populated repository field; inspect only if the URL or host classification is clearly malformed.</t>
        </is>
      </c>
    </row>
    <row r="188">
      <c r="A188" s="2" t="inlineStr">
        <is>
          <t>MyCoRe</t>
        </is>
      </c>
      <c r="B188" s="2" t="inlineStr">
        <is>
          <t>041 contribution guidance URL</t>
        </is>
      </c>
      <c r="C188" s="2" t="inlineStr">
        <is>
          <t>https://github.com/MyCoRe-Org/mycore/blob/main/CONTRIBUTING.md</t>
        </is>
      </c>
      <c r="D188" s="2" t="inlineStr">
        <is>
          <t>100.0: Candidate dedicated contribution guide; verify URL</t>
        </is>
      </c>
      <c r="E188" s="2" t="inlineStr">
        <is>
          <t>Scored from the available URL; inspect only if the URL appears suspect or the automatic tier is inaccurate.</t>
        </is>
      </c>
    </row>
    <row r="189">
      <c r="A189" s="2" t="inlineStr">
        <is>
          <t>MyCoRe</t>
        </is>
      </c>
      <c r="B189" s="2" t="inlineStr">
        <is>
          <t>019 public repository</t>
        </is>
      </c>
      <c r="C189" s="2" t="inlineStr">
        <is>
          <t>https://github.com/MyCoRe-Org/mycore</t>
        </is>
      </c>
      <c r="D189" s="2" t="inlineStr">
        <is>
          <t>100.0: Available public-forge repository URL</t>
        </is>
      </c>
      <c r="E189" s="2" t="inlineStr">
        <is>
          <t>Scored from the populated repository field; inspect only if the URL or host classification is clearly malformed.</t>
        </is>
      </c>
    </row>
    <row r="190">
      <c r="A190" s="2" t="inlineStr">
        <is>
          <t>MyCoRe</t>
        </is>
      </c>
      <c r="B190" s="2" t="inlineStr">
        <is>
          <t>043 Code of Conduct evidence</t>
        </is>
      </c>
      <c r="C190" s="2" t="inlineStr">
        <is>
          <t>https://www.mycore.de/site/community/</t>
        </is>
      </c>
      <c r="D190" s="2" t="inlineStr">
        <is>
          <t>Evidence only</t>
        </is>
      </c>
      <c r="E190" s="2" t="inlineStr">
        <is>
          <t>Check whether the linked policy applies to this community; do not score URL separately.</t>
        </is>
      </c>
    </row>
    <row r="191">
      <c r="A191" s="2" t="inlineStr">
        <is>
          <t>NumPy</t>
        </is>
      </c>
      <c r="B191" s="2" t="inlineStr">
        <is>
          <t>041 contribution guidance URL</t>
        </is>
      </c>
      <c r="C191" s="2" t="inlineStr">
        <is>
          <t>https://numpy.org/contribute/</t>
        </is>
      </c>
      <c r="D191" s="2" t="inlineStr">
        <is>
          <t>100.0: Candidate dedicated contribution guide; verify URL</t>
        </is>
      </c>
      <c r="E191" s="2" t="inlineStr">
        <is>
          <t>Scored from the available URL; inspect only if the URL appears suspect or the automatic tier is inaccurate.</t>
        </is>
      </c>
    </row>
    <row r="192">
      <c r="A192" s="2" t="inlineStr">
        <is>
          <t>NumPy</t>
        </is>
      </c>
      <c r="B192" s="2" t="inlineStr">
        <is>
          <t>019 public repository</t>
        </is>
      </c>
      <c r="C192" s="2" t="inlineStr">
        <is>
          <t>https://github.com/numpy/numpy</t>
        </is>
      </c>
      <c r="D192" s="2" t="inlineStr">
        <is>
          <t>100.0: Available public-forge repository URL</t>
        </is>
      </c>
      <c r="E192" s="2" t="inlineStr">
        <is>
          <t>Scored from the populated repository field; inspect only if the URL or host classification is clearly malformed.</t>
        </is>
      </c>
    </row>
    <row r="193">
      <c r="A193" s="2" t="inlineStr">
        <is>
          <t>NumPy</t>
        </is>
      </c>
      <c r="B193" s="2" t="inlineStr">
        <is>
          <t>043 Code of Conduct evidence</t>
        </is>
      </c>
      <c r="C193" s="2" t="inlineStr">
        <is>
          <t>https://numpy.org/code-of-conduct/</t>
        </is>
      </c>
      <c r="D193" s="2" t="inlineStr">
        <is>
          <t>Evidence only</t>
        </is>
      </c>
      <c r="E193" s="2" t="inlineStr">
        <is>
          <t>Check whether the linked policy applies to this community; do not score URL separately.</t>
        </is>
      </c>
    </row>
    <row r="194">
      <c r="A194" s="2" t="inlineStr">
        <is>
          <t>OA.Report</t>
        </is>
      </c>
      <c r="B194" s="2" t="inlineStr">
        <is>
          <t>019 public repository</t>
        </is>
      </c>
      <c r="C194" s="2" t="inlineStr">
        <is>
          <t>https://github.com/oaworks/oa-report</t>
        </is>
      </c>
      <c r="D194" s="2" t="inlineStr">
        <is>
          <t>100.0: Available public-forge repository URL</t>
        </is>
      </c>
      <c r="E194" s="2" t="inlineStr">
        <is>
          <t>Scored from the populated repository field; inspect only if the URL or host classification is clearly malformed.</t>
        </is>
      </c>
    </row>
    <row r="195">
      <c r="A195" s="2" t="inlineStr">
        <is>
          <t>OA Switchboard</t>
        </is>
      </c>
      <c r="B195" s="2" t="inlineStr">
        <is>
          <t>938 free-text activity coding</t>
        </is>
      </c>
      <c r="C195"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D195" s="2" t="inlineStr">
        <is>
          <t>Blogs; Community calls; Conference participation; Interest, working, user, or advisory groups</t>
        </is>
      </c>
      <c r="E195" s="2" t="inlineStr">
        <is>
          <t>Confirm or correct categories; add valid Other only if distinct from the 12 named types.</t>
        </is>
      </c>
    </row>
    <row r="196">
      <c r="A196" s="2" t="inlineStr">
        <is>
          <t>OA Switchboard</t>
        </is>
      </c>
      <c r="B196" s="2" t="inlineStr">
        <is>
          <t>041 contribution guidance URL</t>
        </is>
      </c>
      <c r="C196" s="2" t="inlineStr">
        <is>
          <t>https://www.oaswitchboard.org/get-involved</t>
        </is>
      </c>
      <c r="D196" s="2" t="inlineStr">
        <is>
          <t>100.0: Candidate dedicated contribution guide; verify URL</t>
        </is>
      </c>
      <c r="E196" s="2" t="inlineStr">
        <is>
          <t>Scored from the available URL; inspect only if the URL appears suspect or the automatic tier is inaccurate.</t>
        </is>
      </c>
    </row>
    <row r="197">
      <c r="A197" s="2" t="inlineStr">
        <is>
          <t>OA Switchboard</t>
        </is>
      </c>
      <c r="B197" s="2" t="inlineStr">
        <is>
          <t>019 public repository</t>
        </is>
      </c>
      <c r="C197" s="2" t="inlineStr">
        <is>
          <t>https://bitbucket.org/oaswitchboard/api/src/master/</t>
        </is>
      </c>
      <c r="D197" s="2" t="inlineStr">
        <is>
          <t>100.0: Available public-forge repository URL</t>
        </is>
      </c>
      <c r="E197" s="2" t="inlineStr">
        <is>
          <t>Scored from the populated repository field; inspect only if the URL or host classification is clearly malformed.</t>
        </is>
      </c>
    </row>
    <row r="198">
      <c r="A198" s="2" t="inlineStr">
        <is>
          <t>OA Switchboard</t>
        </is>
      </c>
      <c r="B198" s="2" t="inlineStr">
        <is>
          <t>043 Code of Conduct evidence</t>
        </is>
      </c>
      <c r="C198" s="2" t="inlineStr">
        <is>
          <t>https://www.oaswitchboard.org/governance</t>
        </is>
      </c>
      <c r="D198" s="2" t="inlineStr">
        <is>
          <t>Evidence only</t>
        </is>
      </c>
      <c r="E198" s="2" t="inlineStr">
        <is>
          <t>Check whether the linked policy applies to this community; do not score URL separately.</t>
        </is>
      </c>
    </row>
    <row r="199">
      <c r="A199" s="2" t="inlineStr">
        <is>
          <t>Omeka</t>
        </is>
      </c>
      <c r="B199" s="2" t="inlineStr">
        <is>
          <t>938 free-text activity coding</t>
        </is>
      </c>
      <c r="C199"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D199" s="2" t="inlineStr"/>
      <c r="E199" s="2" t="inlineStr">
        <is>
          <t>Confirm or correct categories; add valid Other only if distinct from the 12 named types.</t>
        </is>
      </c>
    </row>
    <row r="200">
      <c r="A200" s="2" t="inlineStr">
        <is>
          <t>Omeka</t>
        </is>
      </c>
      <c r="B200" s="2" t="inlineStr">
        <is>
          <t>041 contribution guidance URL</t>
        </is>
      </c>
      <c r="C200" s="2" t="inlineStr">
        <is>
          <t>https://forum.omeka.org/faq</t>
        </is>
      </c>
      <c r="D200" s="2" t="inlineStr">
        <is>
          <t>50.0: Candidate general participation page; verify URL</t>
        </is>
      </c>
      <c r="E200" s="2" t="inlineStr">
        <is>
          <t>Scored from the available URL; inspect only if the URL appears suspect or the automatic tier is inaccurate.</t>
        </is>
      </c>
    </row>
    <row r="201">
      <c r="A201" s="2" t="inlineStr">
        <is>
          <t>Omeka</t>
        </is>
      </c>
      <c r="B201" s="2" t="inlineStr">
        <is>
          <t>019 public repository</t>
        </is>
      </c>
      <c r="C201" s="2" t="inlineStr">
        <is>
          <t>https://github.com/omeka</t>
        </is>
      </c>
      <c r="D201" s="2" t="inlineStr">
        <is>
          <t>100.0: Available public-forge repository URL</t>
        </is>
      </c>
      <c r="E201" s="2" t="inlineStr">
        <is>
          <t>Scored from the populated repository field; inspect only if the URL or host classification is clearly malformed.</t>
        </is>
      </c>
    </row>
    <row r="202">
      <c r="A202" s="2" t="inlineStr">
        <is>
          <t>Omeka</t>
        </is>
      </c>
      <c r="B202" s="2" t="inlineStr">
        <is>
          <t>043 Code of Conduct evidence</t>
        </is>
      </c>
      <c r="C202" s="2" t="inlineStr">
        <is>
          <t>https://forum.omeka.org/faq</t>
        </is>
      </c>
      <c r="D202" s="2" t="inlineStr">
        <is>
          <t>Evidence only</t>
        </is>
      </c>
      <c r="E202" s="2" t="inlineStr">
        <is>
          <t>Check whether the linked policy applies to this community; do not score URL separately.</t>
        </is>
      </c>
    </row>
    <row r="203">
      <c r="A203" s="2" t="inlineStr">
        <is>
          <t>OpenAIRE Graph</t>
        </is>
      </c>
      <c r="B203" s="2" t="inlineStr">
        <is>
          <t>019 public repository</t>
        </is>
      </c>
      <c r="C203" s="2" t="inlineStr">
        <is>
          <t>https://code-repo.d4science.org/D-Net/dnet-hadoop</t>
        </is>
      </c>
      <c r="D203" s="2" t="inlineStr">
        <is>
          <t>50.0: Repository field populated on another/unspecified host</t>
        </is>
      </c>
      <c r="E203" s="2" t="inlineStr">
        <is>
          <t>Scored from the populated repository field; inspect only if the URL or host classification is clearly malformed.</t>
        </is>
      </c>
    </row>
    <row r="204">
      <c r="A204" s="2" t="inlineStr">
        <is>
          <t>OpenAIRE Graph</t>
        </is>
      </c>
      <c r="B204" s="2" t="inlineStr">
        <is>
          <t>043 Code of Conduct evidence</t>
        </is>
      </c>
      <c r="C204" s="2" t="inlineStr">
        <is>
          <t>https://openaire.flarum.cloud/p/2-guidelines</t>
        </is>
      </c>
      <c r="D204" s="2" t="inlineStr">
        <is>
          <t>Evidence only</t>
        </is>
      </c>
      <c r="E204" s="2" t="inlineStr">
        <is>
          <t>Check whether the linked policy applies to this community; do not score URL separately.</t>
        </is>
      </c>
    </row>
    <row r="205">
      <c r="A205" s="2" t="inlineStr">
        <is>
          <t>OpenAlex</t>
        </is>
      </c>
      <c r="B205" s="2" t="inlineStr">
        <is>
          <t>938 free-text activity coding</t>
        </is>
      </c>
      <c r="C20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D205" s="2" t="inlineStr">
        <is>
          <t>Interest, working, user, or advisory groups; Social media; Webinars and training</t>
        </is>
      </c>
      <c r="E205" s="2" t="inlineStr">
        <is>
          <t>Confirm or correct categories; add valid Other only if distinct from the 12 named types.</t>
        </is>
      </c>
    </row>
    <row r="206">
      <c r="A206" s="2" t="inlineStr">
        <is>
          <t>OpenAlex</t>
        </is>
      </c>
      <c r="B206" s="2" t="inlineStr">
        <is>
          <t>041 contribution guidance URL</t>
        </is>
      </c>
      <c r="C206" s="2" t="inlineStr">
        <is>
          <t>https://groups.google.com/g/openalex-users?pli=1</t>
        </is>
      </c>
      <c r="D206" s="2" t="inlineStr">
        <is>
          <t>50.0: Candidate general participation page; verify URL</t>
        </is>
      </c>
      <c r="E206" s="2" t="inlineStr">
        <is>
          <t>Scored from the available URL; inspect only if the URL appears suspect or the automatic tier is inaccurate.</t>
        </is>
      </c>
    </row>
    <row r="207">
      <c r="A207" s="2" t="inlineStr">
        <is>
          <t>OpenAlex</t>
        </is>
      </c>
      <c r="B207" s="2" t="inlineStr">
        <is>
          <t>019 public repository</t>
        </is>
      </c>
      <c r="C207" s="2" t="inlineStr">
        <is>
          <t>https://github.com/ourresearch</t>
        </is>
      </c>
      <c r="D207" s="2" t="inlineStr">
        <is>
          <t>100.0: Available public-forge repository URL</t>
        </is>
      </c>
      <c r="E207" s="2" t="inlineStr">
        <is>
          <t>Scored from the populated repository field; inspect only if the URL or host classification is clearly malformed.</t>
        </is>
      </c>
    </row>
    <row r="208">
      <c r="A208" s="2" t="inlineStr">
        <is>
          <t>OpenAPC</t>
        </is>
      </c>
      <c r="B208" s="2" t="inlineStr">
        <is>
          <t>041 contribution guidance URL</t>
        </is>
      </c>
      <c r="C208" s="2" t="inlineStr">
        <is>
          <t>https://github.com/OpenAPC/openapc-de/wiki/Data-Submission-Handout</t>
        </is>
      </c>
      <c r="D208" s="2" t="inlineStr">
        <is>
          <t>50.0: Candidate general participation page; verify URL</t>
        </is>
      </c>
      <c r="E208" s="2" t="inlineStr">
        <is>
          <t>Scored from the available URL; inspect only if the URL appears suspect or the automatic tier is inaccurate.</t>
        </is>
      </c>
    </row>
    <row r="209">
      <c r="A209" s="2" t="inlineStr">
        <is>
          <t>OpenAPC</t>
        </is>
      </c>
      <c r="B209" s="2" t="inlineStr">
        <is>
          <t>019 public repository</t>
        </is>
      </c>
      <c r="C209" s="2" t="inlineStr">
        <is>
          <t>https://github.com/OpenAPC/openapc-de</t>
        </is>
      </c>
      <c r="D209" s="2" t="inlineStr">
        <is>
          <t>100.0: Available public-forge repository URL</t>
        </is>
      </c>
      <c r="E209" s="2" t="inlineStr">
        <is>
          <t>Scored from the populated repository field; inspect only if the URL or host classification is clearly malformed.</t>
        </is>
      </c>
    </row>
    <row r="210">
      <c r="A210" s="2" t="inlineStr">
        <is>
          <t>OpenAPC</t>
        </is>
      </c>
      <c r="B210" s="2" t="inlineStr">
        <is>
          <t>043 Code of Conduct evidence</t>
        </is>
      </c>
      <c r="C210" s="2" t="inlineStr">
        <is>
          <t>https://github.com/OpenAPC/openapc-de/blob/master/CONDUCT.md</t>
        </is>
      </c>
      <c r="D210" s="2" t="inlineStr">
        <is>
          <t>Evidence only</t>
        </is>
      </c>
      <c r="E210" s="2" t="inlineStr">
        <is>
          <t>Check whether the linked policy applies to this community; do not score URL separately.</t>
        </is>
      </c>
    </row>
    <row r="211">
      <c r="A211" s="2" t="inlineStr">
        <is>
          <t>OpenCitations</t>
        </is>
      </c>
      <c r="B211" s="2" t="inlineStr">
        <is>
          <t>041 contribution guidance URL</t>
        </is>
      </c>
      <c r="C211" s="2" t="inlineStr">
        <is>
          <t>https://opencitations.net/wp-content/uploads/pdf/membership.pdf</t>
        </is>
      </c>
      <c r="D211" s="2" t="inlineStr">
        <is>
          <t>50.0: Candidate general participation page; verify URL</t>
        </is>
      </c>
      <c r="E211" s="2" t="inlineStr">
        <is>
          <t>Scored from the available URL; inspect only if the URL appears suspect or the automatic tier is inaccurate.</t>
        </is>
      </c>
    </row>
    <row r="212">
      <c r="A212" s="2" t="inlineStr">
        <is>
          <t>OpenCitations</t>
        </is>
      </c>
      <c r="B212" s="2" t="inlineStr">
        <is>
          <t>019 public repository</t>
        </is>
      </c>
      <c r="C212" s="2" t="inlineStr">
        <is>
          <t>https://github.com/opencitations</t>
        </is>
      </c>
      <c r="D212" s="2" t="inlineStr">
        <is>
          <t>100.0: Available public-forge repository URL</t>
        </is>
      </c>
      <c r="E212" s="2" t="inlineStr">
        <is>
          <t>Scored from the populated repository field; inspect only if the URL or host classification is clearly malformed.</t>
        </is>
      </c>
    </row>
    <row r="213">
      <c r="A213" s="2" t="inlineStr">
        <is>
          <t>OpenCitations</t>
        </is>
      </c>
      <c r="B213" s="2" t="inlineStr">
        <is>
          <t>043 Code of Conduct evidence</t>
        </is>
      </c>
      <c r="C213" s="2" t="inlineStr">
        <is>
          <t>https://opencitations.net/wp-content/uploads/pdf/oc_bodies.pdf</t>
        </is>
      </c>
      <c r="D213" s="2" t="inlineStr">
        <is>
          <t>Evidence only</t>
        </is>
      </c>
      <c r="E213" s="2" t="inlineStr">
        <is>
          <t>Check whether the linked policy applies to this community; do not score URL separately.</t>
        </is>
      </c>
    </row>
    <row r="214">
      <c r="A214" s="2" t="inlineStr">
        <is>
          <t>openCost</t>
        </is>
      </c>
      <c r="B214" s="2" t="inlineStr">
        <is>
          <t>041 contribution guidance URL</t>
        </is>
      </c>
      <c r="C214" s="2" t="inlineStr">
        <is>
          <t>https://github.com/opencost-de/opencost/tree/main</t>
        </is>
      </c>
      <c r="D214" s="2" t="inlineStr">
        <is>
          <t>50.0: Candidate general participation page; verify URL</t>
        </is>
      </c>
      <c r="E214" s="2" t="inlineStr">
        <is>
          <t>Scored from the available URL; inspect only if the URL appears suspect or the automatic tier is inaccurate.</t>
        </is>
      </c>
    </row>
    <row r="215">
      <c r="A215" s="2" t="inlineStr">
        <is>
          <t>openCost</t>
        </is>
      </c>
      <c r="B215" s="2" t="inlineStr">
        <is>
          <t>019 public repository</t>
        </is>
      </c>
      <c r="C215" s="2" t="inlineStr">
        <is>
          <t>https://github.com/opencost-de/opencost/tree/main/doc</t>
        </is>
      </c>
      <c r="D215" s="2" t="inlineStr">
        <is>
          <t>100.0: Available public-forge repository URL</t>
        </is>
      </c>
      <c r="E215" s="2" t="inlineStr">
        <is>
          <t>Scored from the populated repository field; inspect only if the URL or host classification is clearly malformed.</t>
        </is>
      </c>
    </row>
    <row r="216">
      <c r="A216" s="2" t="inlineStr">
        <is>
          <t>Open Data Editor</t>
        </is>
      </c>
      <c r="B216" s="2" t="inlineStr">
        <is>
          <t>041 contribution guidance URL</t>
        </is>
      </c>
      <c r="C216" s="2" t="inlineStr">
        <is>
          <t>https://opendataeditor.okfn.org/contributing/contribution-guidelines</t>
        </is>
      </c>
      <c r="D216" s="2" t="inlineStr">
        <is>
          <t>100.0: Candidate dedicated contribution guide; verify URL</t>
        </is>
      </c>
      <c r="E216" s="2" t="inlineStr">
        <is>
          <t>Scored from the available URL; inspect only if the URL appears suspect or the automatic tier is inaccurate.</t>
        </is>
      </c>
    </row>
    <row r="217">
      <c r="A217" s="2" t="inlineStr">
        <is>
          <t>Open Data Editor</t>
        </is>
      </c>
      <c r="B217" s="2" t="inlineStr">
        <is>
          <t>019 public repository</t>
        </is>
      </c>
      <c r="C217" s="2" t="inlineStr">
        <is>
          <t>https://github.com/okfn/opendataeditor</t>
        </is>
      </c>
      <c r="D217" s="2" t="inlineStr">
        <is>
          <t>100.0: Available public-forge repository URL</t>
        </is>
      </c>
      <c r="E217" s="2" t="inlineStr">
        <is>
          <t>Scored from the populated repository field; inspect only if the URL or host classification is clearly malformed.</t>
        </is>
      </c>
    </row>
    <row r="218">
      <c r="A218" s="2" t="inlineStr">
        <is>
          <t>Open Data Editor</t>
        </is>
      </c>
      <c r="B218" s="2" t="inlineStr">
        <is>
          <t>043 Code of Conduct evidence</t>
        </is>
      </c>
      <c r="C218" s="2" t="inlineStr">
        <is>
          <t>https://okfn.org/en/code-of-conduct/</t>
        </is>
      </c>
      <c r="D218" s="2" t="inlineStr">
        <is>
          <t>Evidence only</t>
        </is>
      </c>
      <c r="E218" s="2" t="inlineStr">
        <is>
          <t>Check whether the linked policy applies to this community; do not score URL separately.</t>
        </is>
      </c>
    </row>
    <row r="219">
      <c r="A219" s="2" t="inlineStr">
        <is>
          <t>OpenEdition</t>
        </is>
      </c>
      <c r="B219" s="2" t="inlineStr">
        <is>
          <t>938 free-text activity coding</t>
        </is>
      </c>
      <c r="C219"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D219" s="2" t="inlineStr">
        <is>
          <t>Annual meetings; Community calls; Webinars and training</t>
        </is>
      </c>
      <c r="E219" s="2" t="inlineStr">
        <is>
          <t>Confirm or correct categories; add valid Other only if distinct from the 12 named types.</t>
        </is>
      </c>
    </row>
    <row r="220">
      <c r="A220" s="2" t="inlineStr">
        <is>
          <t>OpenEdition</t>
        </is>
      </c>
      <c r="B220" s="2" t="inlineStr">
        <is>
          <t>019 public repository</t>
        </is>
      </c>
      <c r="C220" s="2" t="inlineStr">
        <is>
          <t>https://github.com/OpenEdition</t>
        </is>
      </c>
      <c r="D220" s="2" t="inlineStr">
        <is>
          <t>100.0: Available public-forge repository URL</t>
        </is>
      </c>
      <c r="E220" s="2" t="inlineStr">
        <is>
          <t>Scored from the populated repository field; inspect only if the URL or host classification is clearly malformed.</t>
        </is>
      </c>
    </row>
    <row r="221">
      <c r="A221" s="2" t="inlineStr">
        <is>
          <t>Open Journal Systems (OJS)</t>
        </is>
      </c>
      <c r="B221" s="2" t="inlineStr">
        <is>
          <t>938 free-text activity coding</t>
        </is>
      </c>
      <c r="C22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1" s="2" t="inlineStr">
        <is>
          <t>Development sprints; Interest, working, user, or advisory groups; Mailing lists and discussion forums (including Slack); Webinars and training</t>
        </is>
      </c>
      <c r="E221" s="2" t="inlineStr">
        <is>
          <t>Confirm or correct categories; add valid Other only if distinct from the 12 named types.</t>
        </is>
      </c>
    </row>
    <row r="222">
      <c r="A222" s="2" t="inlineStr">
        <is>
          <t>Open Journal Systems (OJS)</t>
        </is>
      </c>
      <c r="B222" s="2" t="inlineStr">
        <is>
          <t>041 contribution guidance URL</t>
        </is>
      </c>
      <c r="C222" s="2" t="inlineStr">
        <is>
          <t>https://pkp.sfu.ca/community/members/contribute/</t>
        </is>
      </c>
      <c r="D222" s="2" t="inlineStr">
        <is>
          <t>100.0: Candidate dedicated contribution guide; verify URL</t>
        </is>
      </c>
      <c r="E222" s="2" t="inlineStr">
        <is>
          <t>Scored from the available URL; inspect only if the URL appears suspect or the automatic tier is inaccurate.</t>
        </is>
      </c>
    </row>
    <row r="223">
      <c r="A223" s="2" t="inlineStr">
        <is>
          <t>Open Journal Systems (OJS)</t>
        </is>
      </c>
      <c r="B223" s="2" t="inlineStr">
        <is>
          <t>019 public repository</t>
        </is>
      </c>
      <c r="C223" s="2" t="inlineStr">
        <is>
          <t>https://github.com/pkp</t>
        </is>
      </c>
      <c r="D223" s="2" t="inlineStr">
        <is>
          <t>100.0: Available public-forge repository URL</t>
        </is>
      </c>
      <c r="E223" s="2" t="inlineStr">
        <is>
          <t>Scored from the populated repository field; inspect only if the URL or host classification is clearly malformed.</t>
        </is>
      </c>
    </row>
    <row r="224">
      <c r="A224" s="2" t="inlineStr">
        <is>
          <t>Open Journal Systems (OJS)</t>
        </is>
      </c>
      <c r="B224" s="2" t="inlineStr">
        <is>
          <t>043 Code of Conduct evidence</t>
        </is>
      </c>
      <c r="C224" s="2" t="inlineStr">
        <is>
          <t>https://pkp.sfu.ca/code/</t>
        </is>
      </c>
      <c r="D224" s="2" t="inlineStr">
        <is>
          <t>Evidence only</t>
        </is>
      </c>
      <c r="E224" s="2" t="inlineStr">
        <is>
          <t>Check whether the linked policy applies to this community; do not score URL separately.</t>
        </is>
      </c>
    </row>
    <row r="225">
      <c r="A225" s="2" t="inlineStr">
        <is>
          <t>Open Monograph Press (OMP)</t>
        </is>
      </c>
      <c r="B225" s="2" t="inlineStr">
        <is>
          <t>938 free-text activity coding</t>
        </is>
      </c>
      <c r="C225"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5" s="2" t="inlineStr">
        <is>
          <t>Development sprints; Interest, working, user, or advisory groups; Mailing lists and discussion forums (including Slack); Webinars and training</t>
        </is>
      </c>
      <c r="E225" s="2" t="inlineStr">
        <is>
          <t>Confirm or correct categories; add valid Other only if distinct from the 12 named types.</t>
        </is>
      </c>
    </row>
    <row r="226">
      <c r="A226" s="2" t="inlineStr">
        <is>
          <t>Open Monograph Press (OMP)</t>
        </is>
      </c>
      <c r="B226" s="2" t="inlineStr">
        <is>
          <t>041 contribution guidance URL</t>
        </is>
      </c>
      <c r="C226" s="2" t="inlineStr">
        <is>
          <t>https://pkp.sfu.ca/community/members/contribute/</t>
        </is>
      </c>
      <c r="D226" s="2" t="inlineStr">
        <is>
          <t>100.0: Candidate dedicated contribution guide; verify URL</t>
        </is>
      </c>
      <c r="E226" s="2" t="inlineStr">
        <is>
          <t>Scored from the available URL; inspect only if the URL appears suspect or the automatic tier is inaccurate.</t>
        </is>
      </c>
    </row>
    <row r="227">
      <c r="A227" s="2" t="inlineStr">
        <is>
          <t>Open Monograph Press (OMP)</t>
        </is>
      </c>
      <c r="B227" s="2" t="inlineStr">
        <is>
          <t>019 public repository</t>
        </is>
      </c>
      <c r="C227" s="2" t="inlineStr">
        <is>
          <t>https://github.com/pkp/</t>
        </is>
      </c>
      <c r="D227" s="2" t="inlineStr">
        <is>
          <t>100.0: Available public-forge repository URL</t>
        </is>
      </c>
      <c r="E227" s="2" t="inlineStr">
        <is>
          <t>Scored from the populated repository field; inspect only if the URL or host classification is clearly malformed.</t>
        </is>
      </c>
    </row>
    <row r="228">
      <c r="A228" s="2" t="inlineStr">
        <is>
          <t>Open Monograph Press (OMP)</t>
        </is>
      </c>
      <c r="B228" s="2" t="inlineStr">
        <is>
          <t>043 Code of Conduct evidence</t>
        </is>
      </c>
      <c r="C228" s="2" t="inlineStr">
        <is>
          <t>https://pkp.sfu.ca/code/</t>
        </is>
      </c>
      <c r="D228" s="2" t="inlineStr">
        <is>
          <t>Evidence only</t>
        </is>
      </c>
      <c r="E228" s="2" t="inlineStr">
        <is>
          <t>Check whether the linked policy applies to this community; do not score URL separately.</t>
        </is>
      </c>
    </row>
    <row r="229">
      <c r="A229" s="2" t="inlineStr">
        <is>
          <t>Open Preprint Systems (OPS)</t>
        </is>
      </c>
      <c r="B229" s="2" t="inlineStr">
        <is>
          <t>938 free-text activity coding</t>
        </is>
      </c>
      <c r="C229"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9" s="2" t="inlineStr">
        <is>
          <t>Development sprints; Interest, working, user, or advisory groups; Mailing lists and discussion forums (including Slack); Webinars and training</t>
        </is>
      </c>
      <c r="E229" s="2" t="inlineStr">
        <is>
          <t>Confirm or correct categories; add valid Other only if distinct from the 12 named types.</t>
        </is>
      </c>
    </row>
    <row r="230">
      <c r="A230" s="2" t="inlineStr">
        <is>
          <t>Open Preprint Systems (OPS)</t>
        </is>
      </c>
      <c r="B230" s="2" t="inlineStr">
        <is>
          <t>041 contribution guidance URL</t>
        </is>
      </c>
      <c r="C230" s="2" t="inlineStr">
        <is>
          <t>https://pkp.sfu.ca/community/members/contribute/</t>
        </is>
      </c>
      <c r="D230" s="2" t="inlineStr">
        <is>
          <t>100.0: Candidate dedicated contribution guide; verify URL</t>
        </is>
      </c>
      <c r="E230" s="2" t="inlineStr">
        <is>
          <t>Scored from the available URL; inspect only if the URL appears suspect or the automatic tier is inaccurate.</t>
        </is>
      </c>
    </row>
    <row r="231">
      <c r="A231" s="2" t="inlineStr">
        <is>
          <t>Open Preprint Systems (OPS)</t>
        </is>
      </c>
      <c r="B231" s="2" t="inlineStr">
        <is>
          <t>019 public repository</t>
        </is>
      </c>
      <c r="C231" s="2" t="inlineStr">
        <is>
          <t>https://github.com/pkp/https://github.com/pkp/ops</t>
        </is>
      </c>
      <c r="D231" s="2" t="inlineStr">
        <is>
          <t>100.0: Available public-forge repository URL</t>
        </is>
      </c>
      <c r="E231" s="2" t="inlineStr">
        <is>
          <t>Scored from the populated repository field; inspect only if the URL or host classification is clearly malformed.</t>
        </is>
      </c>
    </row>
    <row r="232">
      <c r="A232" s="2" t="inlineStr">
        <is>
          <t>Open Preprint Systems (OPS)</t>
        </is>
      </c>
      <c r="B232" s="2" t="inlineStr">
        <is>
          <t>043 Code of Conduct evidence</t>
        </is>
      </c>
      <c r="C232" s="2" t="inlineStr">
        <is>
          <t>https://pkp.sfu.ca/code/</t>
        </is>
      </c>
      <c r="D232" s="2" t="inlineStr">
        <is>
          <t>Evidence only</t>
        </is>
      </c>
      <c r="E232" s="2" t="inlineStr">
        <is>
          <t>Check whether the linked policy applies to this community; do not score URL separately.</t>
        </is>
      </c>
    </row>
    <row r="233">
      <c r="A233" s="2" t="inlineStr">
        <is>
          <t>Openverse</t>
        </is>
      </c>
      <c r="B233" s="2" t="inlineStr">
        <is>
          <t>041 contribution guidance URL</t>
        </is>
      </c>
      <c r="C233" s="2" t="inlineStr">
        <is>
          <t>https://docs.openverse.org/general/contributing.html</t>
        </is>
      </c>
      <c r="D233" s="2" t="inlineStr">
        <is>
          <t>100.0: Candidate dedicated contribution guide; verify URL</t>
        </is>
      </c>
      <c r="E233" s="2" t="inlineStr">
        <is>
          <t>Scored from the available URL; inspect only if the URL appears suspect or the automatic tier is inaccurate.</t>
        </is>
      </c>
    </row>
    <row r="234">
      <c r="A234" s="2" t="inlineStr">
        <is>
          <t>Openverse</t>
        </is>
      </c>
      <c r="B234" s="2" t="inlineStr">
        <is>
          <t>019 public repository</t>
        </is>
      </c>
      <c r="C234" s="2" t="inlineStr">
        <is>
          <t>https://github.com/WordPress/openverse</t>
        </is>
      </c>
      <c r="D234" s="2" t="inlineStr">
        <is>
          <t>100.0: Available public-forge repository URL</t>
        </is>
      </c>
      <c r="E234" s="2" t="inlineStr">
        <is>
          <t>Scored from the populated repository field; inspect only if the URL or host classification is clearly malformed.</t>
        </is>
      </c>
    </row>
    <row r="235">
      <c r="A235" s="2" t="inlineStr">
        <is>
          <t>Openverse</t>
        </is>
      </c>
      <c r="B235" s="2" t="inlineStr">
        <is>
          <t>043 Code of Conduct evidence</t>
        </is>
      </c>
      <c r="C235" s="2" t="inlineStr">
        <is>
          <t>https://github.com/WordPress/openverse?tab=coc-ov-file</t>
        </is>
      </c>
      <c r="D235" s="2" t="inlineStr">
        <is>
          <t>Evidence only</t>
        </is>
      </c>
      <c r="E235" s="2" t="inlineStr">
        <is>
          <t>Check whether the linked policy applies to this community; do not score URL separately.</t>
        </is>
      </c>
    </row>
    <row r="236">
      <c r="A236" s="2" t="inlineStr">
        <is>
          <t>O Portal Brasileiro de Publicações e Dados Científicos em Acesso Aberto (The Brazilian Open Access Publications and Scientific Data Portal) (Oasisbr)</t>
        </is>
      </c>
      <c r="B236" s="2" t="inlineStr">
        <is>
          <t>019 public repository</t>
        </is>
      </c>
      <c r="C236" s="2" t="inlineStr">
        <is>
          <t>https://github.com/projetos-codic-ibict/oasisbr-vufind</t>
        </is>
      </c>
      <c r="D236" s="2" t="inlineStr">
        <is>
          <t>100.0: Available public-forge repository URL</t>
        </is>
      </c>
      <c r="E236" s="2" t="inlineStr">
        <is>
          <t>Scored from the populated repository field; inspect only if the URL or host classification is clearly malformed.</t>
        </is>
      </c>
    </row>
    <row r="237">
      <c r="A237" s="2" t="inlineStr">
        <is>
          <t>OSF (Open Science Framework)</t>
        </is>
      </c>
      <c r="B237" s="2" t="inlineStr">
        <is>
          <t>938 free-text activity coding</t>
        </is>
      </c>
      <c r="C237"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D237" s="2" t="inlineStr">
        <is>
          <t>User research; Webinars and training</t>
        </is>
      </c>
      <c r="E237" s="2" t="inlineStr">
        <is>
          <t>Confirm or correct categories; add valid Other only if distinct from the 12 named types.</t>
        </is>
      </c>
    </row>
    <row r="238">
      <c r="A238" s="2" t="inlineStr">
        <is>
          <t>OSF (Open Science Framework)</t>
        </is>
      </c>
      <c r="B238" s="2" t="inlineStr">
        <is>
          <t>041 contribution guidance URL</t>
        </is>
      </c>
      <c r="C238" s="2" t="inlineStr">
        <is>
          <t>https://github.com/CenterForOpenScience/cos.io/blob/master/TERMS_OF_USE.md</t>
        </is>
      </c>
      <c r="D238" s="2" t="inlineStr">
        <is>
          <t>None: Blank or suspect URL; review required</t>
        </is>
      </c>
      <c r="E238" s="2" t="inlineStr">
        <is>
          <t>Scored from the available URL; inspect only if the URL appears suspect or the automatic tier is inaccurate.</t>
        </is>
      </c>
    </row>
    <row r="239">
      <c r="A239" s="2" t="inlineStr">
        <is>
          <t>OSF (Open Science Framework)</t>
        </is>
      </c>
      <c r="B239" s="2" t="inlineStr">
        <is>
          <t>019 public repository</t>
        </is>
      </c>
      <c r="C239" s="2" t="inlineStr">
        <is>
          <t>https://github.com/CenterForOpenScience/osf.io</t>
        </is>
      </c>
      <c r="D239" s="2" t="inlineStr">
        <is>
          <t>100.0: Available public-forge repository URL</t>
        </is>
      </c>
      <c r="E239" s="2" t="inlineStr">
        <is>
          <t>Scored from the populated repository field; inspect only if the URL or host classification is clearly malformed.</t>
        </is>
      </c>
    </row>
    <row r="240">
      <c r="A240" s="2" t="inlineStr">
        <is>
          <t>OSF (Open Science Framework)</t>
        </is>
      </c>
      <c r="B240" s="2" t="inlineStr">
        <is>
          <t>043 Code of Conduct evidence</t>
        </is>
      </c>
      <c r="C240" s="2" t="inlineStr">
        <is>
          <t>https://github.com/CenterForOpenScience/cos.io/blob/master/TERMS_OF_USE.md</t>
        </is>
      </c>
      <c r="D240" s="2" t="inlineStr">
        <is>
          <t>Evidence only</t>
        </is>
      </c>
      <c r="E240" s="2" t="inlineStr">
        <is>
          <t>Check whether the linked policy applies to this community; do not score URL separately.</t>
        </is>
      </c>
    </row>
    <row r="241">
      <c r="A241" s="2" t="inlineStr">
        <is>
          <t>Oxford Common File Layout</t>
        </is>
      </c>
      <c r="B241" s="2" t="inlineStr">
        <is>
          <t>041 contribution guidance URL</t>
        </is>
      </c>
      <c r="C241" s="2" t="inlineStr">
        <is>
          <t>https://github.com/OCFL/spec/wiki/Change-Suggestion-and-Resolution-Process</t>
        </is>
      </c>
      <c r="D241" s="2" t="inlineStr">
        <is>
          <t>50.0: Candidate general participation page; verify URL</t>
        </is>
      </c>
      <c r="E241" s="2" t="inlineStr">
        <is>
          <t>Scored from the available URL; inspect only if the URL appears suspect or the automatic tier is inaccurate.</t>
        </is>
      </c>
    </row>
    <row r="242">
      <c r="A242" s="2" t="inlineStr">
        <is>
          <t>Oxford Common File Layout</t>
        </is>
      </c>
      <c r="B242" s="2" t="inlineStr">
        <is>
          <t>019 public repository</t>
        </is>
      </c>
      <c r="C242" s="2" t="inlineStr">
        <is>
          <t>https://github.com/OCFL/spec</t>
        </is>
      </c>
      <c r="D242" s="2" t="inlineStr">
        <is>
          <t>100.0: Available public-forge repository URL</t>
        </is>
      </c>
      <c r="E242" s="2" t="inlineStr">
        <is>
          <t>Scored from the populated repository field; inspect only if the URL or host classification is clearly malformed.</t>
        </is>
      </c>
    </row>
    <row r="243">
      <c r="A243" s="2" t="inlineStr">
        <is>
          <t>Peer Community In</t>
        </is>
      </c>
      <c r="B243" s="2" t="inlineStr">
        <is>
          <t>938 free-text activity coding</t>
        </is>
      </c>
      <c r="C243"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D243" s="2" t="inlineStr"/>
      <c r="E243" s="2" t="inlineStr">
        <is>
          <t>Confirm or correct categories; add valid Other only if distinct from the 12 named types.</t>
        </is>
      </c>
    </row>
    <row r="244">
      <c r="A244" s="2" t="inlineStr">
        <is>
          <t>Peer Community In</t>
        </is>
      </c>
      <c r="B244" s="2" t="inlineStr">
        <is>
          <t>019 public repository</t>
        </is>
      </c>
      <c r="C244" s="2" t="inlineStr">
        <is>
          <t>https://github.com/pci-dev</t>
        </is>
      </c>
      <c r="D244" s="2" t="inlineStr">
        <is>
          <t>100.0: Available public-forge repository URL</t>
        </is>
      </c>
      <c r="E244" s="2" t="inlineStr">
        <is>
          <t>Scored from the populated repository field; inspect only if the URL or host classification is clearly malformed.</t>
        </is>
      </c>
    </row>
    <row r="245">
      <c r="A245" s="2" t="inlineStr">
        <is>
          <t>Peer Community In</t>
        </is>
      </c>
      <c r="B245" s="2" t="inlineStr">
        <is>
          <t>043 Code of Conduct evidence</t>
        </is>
      </c>
      <c r="C245" s="2" t="inlineStr">
        <is>
          <t>https://peercommunityin.org/2022/12/21/pci-code-of-conduct/</t>
        </is>
      </c>
      <c r="D245" s="2" t="inlineStr">
        <is>
          <t>Evidence only</t>
        </is>
      </c>
      <c r="E245" s="2" t="inlineStr">
        <is>
          <t>Check whether the linked policy applies to this community; do not score URL separately.</t>
        </is>
      </c>
    </row>
    <row r="246">
      <c r="A246" s="2" t="inlineStr">
        <is>
          <t>PKP Preservation Network</t>
        </is>
      </c>
      <c r="B246" s="2" t="inlineStr">
        <is>
          <t>041 contribution guidance URL</t>
        </is>
      </c>
      <c r="C246" s="2" t="inlineStr">
        <is>
          <t>https://pkp.sfu.ca/community/members/contribute/</t>
        </is>
      </c>
      <c r="D246" s="2" t="inlineStr">
        <is>
          <t>100.0: Candidate dedicated contribution guide; verify URL</t>
        </is>
      </c>
      <c r="E246" s="2" t="inlineStr">
        <is>
          <t>Scored from the available URL; inspect only if the URL appears suspect or the automatic tier is inaccurate.</t>
        </is>
      </c>
    </row>
    <row r="247">
      <c r="A247" s="2" t="inlineStr">
        <is>
          <t>PKP Preservation Network</t>
        </is>
      </c>
      <c r="B247" s="2" t="inlineStr">
        <is>
          <t>019 public repository</t>
        </is>
      </c>
      <c r="C247" s="2" t="inlineStr">
        <is>
          <t>https://github.com/pkp/pln</t>
        </is>
      </c>
      <c r="D247" s="2" t="inlineStr">
        <is>
          <t>100.0: Available public-forge repository URL</t>
        </is>
      </c>
      <c r="E247" s="2" t="inlineStr">
        <is>
          <t>Scored from the populated repository field; inspect only if the URL or host classification is clearly malformed.</t>
        </is>
      </c>
    </row>
    <row r="248">
      <c r="A248" s="2" t="inlineStr">
        <is>
          <t>PKP Preservation Network</t>
        </is>
      </c>
      <c r="B248" s="2" t="inlineStr">
        <is>
          <t>043 Code of Conduct evidence</t>
        </is>
      </c>
      <c r="C248" s="2" t="inlineStr">
        <is>
          <t>https://pkp.sfu.ca/code/</t>
        </is>
      </c>
      <c r="D248" s="2" t="inlineStr">
        <is>
          <t>Evidence only</t>
        </is>
      </c>
      <c r="E248" s="2" t="inlineStr">
        <is>
          <t>Check whether the linked policy applies to this community; do not score URL separately.</t>
        </is>
      </c>
    </row>
    <row r="249">
      <c r="A249" s="2" t="inlineStr">
        <is>
          <t>PREreview</t>
        </is>
      </c>
      <c r="B249" s="2" t="inlineStr">
        <is>
          <t>938 free-text activity coding</t>
        </is>
      </c>
      <c r="C249"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D249" s="2" t="inlineStr">
        <is>
          <t>Mailing lists and discussion forums (including Slack); User research; Volunteer or ambassador network; Webinars and training</t>
        </is>
      </c>
      <c r="E249" s="2" t="inlineStr">
        <is>
          <t>Confirm or correct categories; add valid Other only if distinct from the 12 named types.</t>
        </is>
      </c>
    </row>
    <row r="250">
      <c r="A250" s="2" t="inlineStr">
        <is>
          <t>PREreview</t>
        </is>
      </c>
      <c r="B250" s="2" t="inlineStr">
        <is>
          <t>940 Other contribution route</t>
        </is>
      </c>
      <c r="C250" s="2" t="inlineStr">
        <is>
          <t>PREreview runs an annual Champions Program, more information here: https://prereview.org/trainings#prereview-champions-program</t>
        </is>
      </c>
      <c r="D250" s="2" t="inlineStr">
        <is>
          <t>Other</t>
        </is>
      </c>
      <c r="E250" s="2" t="inlineStr">
        <is>
          <t>Confirm this is selected in 040 and describes a distinct route.</t>
        </is>
      </c>
    </row>
    <row r="251">
      <c r="A251" s="2" t="inlineStr">
        <is>
          <t>PREreview</t>
        </is>
      </c>
      <c r="B251" s="2" t="inlineStr">
        <is>
          <t>041 contribution guidance URL</t>
        </is>
      </c>
      <c r="C251" s="2" t="inlineStr">
        <is>
          <t>https://prereview.org/how-to-use</t>
        </is>
      </c>
      <c r="D251" s="2" t="inlineStr">
        <is>
          <t>50.0: Candidate general participation page; verify URL</t>
        </is>
      </c>
      <c r="E251" s="2" t="inlineStr">
        <is>
          <t>Scored from the available URL; inspect only if the URL appears suspect or the automatic tier is inaccurate.</t>
        </is>
      </c>
    </row>
    <row r="252">
      <c r="A252" s="2" t="inlineStr">
        <is>
          <t>PREreview</t>
        </is>
      </c>
      <c r="B252" s="2" t="inlineStr">
        <is>
          <t>019 public repository</t>
        </is>
      </c>
      <c r="C252" s="2" t="inlineStr">
        <is>
          <t>https://github.com/PREreview/prereview.org</t>
        </is>
      </c>
      <c r="D252" s="2" t="inlineStr">
        <is>
          <t>100.0: Available public-forge repository URL</t>
        </is>
      </c>
      <c r="E252" s="2" t="inlineStr">
        <is>
          <t>Scored from the populated repository field; inspect only if the URL or host classification is clearly malformed.</t>
        </is>
      </c>
    </row>
    <row r="253">
      <c r="A253" s="2" t="inlineStr">
        <is>
          <t>PREreview</t>
        </is>
      </c>
      <c r="B253" s="2" t="inlineStr">
        <is>
          <t>043 Code of Conduct evidence</t>
        </is>
      </c>
      <c r="C253" s="2" t="inlineStr">
        <is>
          <t>https://prereview.org/code-of-conduct</t>
        </is>
      </c>
      <c r="D253" s="2" t="inlineStr">
        <is>
          <t>Evidence only</t>
        </is>
      </c>
      <c r="E253" s="2" t="inlineStr">
        <is>
          <t>Check whether the linked policy applies to this community; do not score URL separately.</t>
        </is>
      </c>
    </row>
    <row r="254">
      <c r="A254" s="2" t="inlineStr">
        <is>
          <t>Pressbooks</t>
        </is>
      </c>
      <c r="B254" s="2" t="inlineStr">
        <is>
          <t>938 free-text activity coding</t>
        </is>
      </c>
      <c r="C254"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D254" s="2" t="inlineStr">
        <is>
          <t>Community calls; Conference participation</t>
        </is>
      </c>
      <c r="E254" s="2" t="inlineStr">
        <is>
          <t>Confirm or correct categories; add valid Other only if distinct from the 12 named types.</t>
        </is>
      </c>
    </row>
    <row r="255">
      <c r="A255" s="2" t="inlineStr">
        <is>
          <t>Pressbooks</t>
        </is>
      </c>
      <c r="B255" s="2" t="inlineStr">
        <is>
          <t>019 public repository</t>
        </is>
      </c>
      <c r="C255" s="2" t="inlineStr">
        <is>
          <t>https://github.com/pressbooks</t>
        </is>
      </c>
      <c r="D255" s="2" t="inlineStr">
        <is>
          <t>100.0: Available public-forge repository URL</t>
        </is>
      </c>
      <c r="E255" s="2" t="inlineStr">
        <is>
          <t>Scored from the populated repository field; inspect only if the URL or host classification is clearly malformed.</t>
        </is>
      </c>
    </row>
    <row r="256">
      <c r="A256" s="2" t="inlineStr">
        <is>
          <t>Public Access Submission System</t>
        </is>
      </c>
      <c r="B256" s="2" t="inlineStr">
        <is>
          <t>041 contribution guidance URL</t>
        </is>
      </c>
      <c r="C256" s="2" t="inlineStr">
        <is>
          <t>https://github.com/eclipse-pass/main/blob/main/CONTRIBUTING.md</t>
        </is>
      </c>
      <c r="D256" s="2" t="inlineStr">
        <is>
          <t>100.0: Candidate dedicated contribution guide; verify URL</t>
        </is>
      </c>
      <c r="E256" s="2" t="inlineStr">
        <is>
          <t>Scored from the available URL; inspect only if the URL appears suspect or the automatic tier is inaccurate.</t>
        </is>
      </c>
    </row>
    <row r="257">
      <c r="A257" s="2" t="inlineStr">
        <is>
          <t>Public Access Submission System</t>
        </is>
      </c>
      <c r="B257" s="2" t="inlineStr">
        <is>
          <t>019 public repository</t>
        </is>
      </c>
      <c r="C257" s="2" t="inlineStr">
        <is>
          <t>https://github.com/eclipse-pass</t>
        </is>
      </c>
      <c r="D257" s="2" t="inlineStr">
        <is>
          <t>100.0: Available public-forge repository URL</t>
        </is>
      </c>
      <c r="E257" s="2" t="inlineStr">
        <is>
          <t>Scored from the populated repository field; inspect only if the URL or host classification is clearly malformed.</t>
        </is>
      </c>
    </row>
    <row r="258">
      <c r="A258" s="2" t="inlineStr">
        <is>
          <t>Public Access Submission System</t>
        </is>
      </c>
      <c r="B258" s="2" t="inlineStr">
        <is>
          <t>043 Code of Conduct evidence</t>
        </is>
      </c>
      <c r="C258" s="2" t="inlineStr">
        <is>
          <t>https://www.eclipse.org/org/documents/Community_Code_of_Conduct.php</t>
        </is>
      </c>
      <c r="D258" s="2" t="inlineStr">
        <is>
          <t>Evidence only</t>
        </is>
      </c>
      <c r="E258" s="2" t="inlineStr">
        <is>
          <t>Check whether the linked policy applies to this community; do not score URL separately.</t>
        </is>
      </c>
    </row>
    <row r="259">
      <c r="A259" s="2" t="inlineStr">
        <is>
          <t>Public Utility Data Liberation (PUDL)</t>
        </is>
      </c>
      <c r="B259" s="2" t="inlineStr">
        <is>
          <t>041 contribution guidance URL</t>
        </is>
      </c>
      <c r="C259" s="2" t="inlineStr">
        <is>
          <t>https://catalystcoop-pudl.readthedocs.io/en/latest/CONTRIBUTING.html</t>
        </is>
      </c>
      <c r="D259" s="2" t="inlineStr">
        <is>
          <t>100.0: Candidate dedicated contribution guide; verify URL</t>
        </is>
      </c>
      <c r="E259" s="2" t="inlineStr">
        <is>
          <t>Scored from the available URL; inspect only if the URL appears suspect or the automatic tier is inaccurate.</t>
        </is>
      </c>
    </row>
    <row r="260">
      <c r="A260" s="2" t="inlineStr">
        <is>
          <t>Public Utility Data Liberation (PUDL)</t>
        </is>
      </c>
      <c r="B260" s="2" t="inlineStr">
        <is>
          <t>019 public repository</t>
        </is>
      </c>
      <c r="C260" s="2" t="inlineStr">
        <is>
          <t>https://github.com/catalyst-cooperative/pudl/</t>
        </is>
      </c>
      <c r="D260" s="2" t="inlineStr">
        <is>
          <t>100.0: Available public-forge repository URL</t>
        </is>
      </c>
      <c r="E260" s="2" t="inlineStr">
        <is>
          <t>Scored from the populated repository field; inspect only if the URL or host classification is clearly malformed.</t>
        </is>
      </c>
    </row>
    <row r="261">
      <c r="A261" s="2" t="inlineStr">
        <is>
          <t>Public Utility Data Liberation (PUDL)</t>
        </is>
      </c>
      <c r="B261" s="2" t="inlineStr">
        <is>
          <t>043 Code of Conduct evidence</t>
        </is>
      </c>
      <c r="C261" s="2" t="inlineStr">
        <is>
          <t>https://catalystcoop-pudl.readthedocs.io/en/latest/code_of_conduct.html</t>
        </is>
      </c>
      <c r="D261" s="2" t="inlineStr">
        <is>
          <t>Evidence only</t>
        </is>
      </c>
      <c r="E261" s="2" t="inlineStr">
        <is>
          <t>Check whether the linked policy applies to this community; do not score URL separately.</t>
        </is>
      </c>
    </row>
    <row r="262">
      <c r="A262" s="2" t="inlineStr">
        <is>
          <t>PubPub</t>
        </is>
      </c>
      <c r="B262" s="2" t="inlineStr">
        <is>
          <t>938 free-text activity coding</t>
        </is>
      </c>
      <c r="C262"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D262" s="2" t="inlineStr">
        <is>
          <t>Community calls; Conference participation; Interest, working, user, or advisory groups; User research</t>
        </is>
      </c>
      <c r="E262" s="2" t="inlineStr">
        <is>
          <t>Confirm or correct categories; add valid Other only if distinct from the 12 named types.</t>
        </is>
      </c>
    </row>
    <row r="263">
      <c r="A263" s="2" t="inlineStr">
        <is>
          <t>PubPub</t>
        </is>
      </c>
      <c r="B263" s="2" t="inlineStr">
        <is>
          <t>041 contribution guidance URL</t>
        </is>
      </c>
      <c r="C263" s="2" t="inlineStr">
        <is>
          <t>https://github.com/pubpub/pubpub/discussions</t>
        </is>
      </c>
      <c r="D263" s="2" t="inlineStr">
        <is>
          <t>50.0: Candidate general participation page; verify URL</t>
        </is>
      </c>
      <c r="E263" s="2" t="inlineStr">
        <is>
          <t>Scored from the available URL; inspect only if the URL appears suspect or the automatic tier is inaccurate.</t>
        </is>
      </c>
    </row>
    <row r="264">
      <c r="A264" s="2" t="inlineStr">
        <is>
          <t>PubPub</t>
        </is>
      </c>
      <c r="B264" s="2" t="inlineStr">
        <is>
          <t>019 public repository</t>
        </is>
      </c>
      <c r="C264" s="2" t="inlineStr">
        <is>
          <t>https://github.com/pubpub</t>
        </is>
      </c>
      <c r="D264" s="2" t="inlineStr">
        <is>
          <t>100.0: Available public-forge repository URL</t>
        </is>
      </c>
      <c r="E264" s="2" t="inlineStr">
        <is>
          <t>Scored from the populated repository field; inspect only if the URL or host classification is clearly malformed.</t>
        </is>
      </c>
    </row>
    <row r="265">
      <c r="A265" s="2" t="inlineStr">
        <is>
          <t>PubPub</t>
        </is>
      </c>
      <c r="B265" s="2" t="inlineStr">
        <is>
          <t>043 Code of Conduct evidence</t>
        </is>
      </c>
      <c r="C265" s="2" t="inlineStr">
        <is>
          <t>https://www.pubpub.org/legal/aup</t>
        </is>
      </c>
      <c r="D265" s="2" t="inlineStr">
        <is>
          <t>Evidence only</t>
        </is>
      </c>
      <c r="E265" s="2" t="inlineStr">
        <is>
          <t>Check whether the linked policy applies to this community; do not score URL separately.</t>
        </is>
      </c>
    </row>
    <row r="266">
      <c r="A266" s="2" t="inlineStr">
        <is>
          <t>Pundit</t>
        </is>
      </c>
      <c r="B266" s="2" t="inlineStr">
        <is>
          <t>019 public repository</t>
        </is>
      </c>
      <c r="C266" s="2" t="inlineStr">
        <is>
          <t>https://github.com/net7/pundit-client</t>
        </is>
      </c>
      <c r="D266" s="2" t="inlineStr">
        <is>
          <t>100.0: Available public-forge repository URL</t>
        </is>
      </c>
      <c r="E266" s="2" t="inlineStr">
        <is>
          <t>Scored from the populated repository field; inspect only if the URL or host classification is clearly malformed.</t>
        </is>
      </c>
    </row>
    <row r="267">
      <c r="A267" s="2" t="inlineStr">
        <is>
          <t>pyOpenSci</t>
        </is>
      </c>
      <c r="B267" s="2" t="inlineStr">
        <is>
          <t>041 contribution guidance URL</t>
        </is>
      </c>
      <c r="C267" s="2" t="inlineStr">
        <is>
          <t>https://www.pyopensci.org/handbook/CONTRIBUTING.html</t>
        </is>
      </c>
      <c r="D267" s="2" t="inlineStr">
        <is>
          <t>100.0: Candidate dedicated contribution guide; verify URL</t>
        </is>
      </c>
      <c r="E267" s="2" t="inlineStr">
        <is>
          <t>Scored from the available URL; inspect only if the URL appears suspect or the automatic tier is inaccurate.</t>
        </is>
      </c>
    </row>
    <row r="268">
      <c r="A268" s="2" t="inlineStr">
        <is>
          <t>pyOpenSci</t>
        </is>
      </c>
      <c r="B268" s="2" t="inlineStr">
        <is>
          <t>019 public repository</t>
        </is>
      </c>
      <c r="C268" s="2" t="inlineStr">
        <is>
          <t>https://github.com/pyOpenSci</t>
        </is>
      </c>
      <c r="D268" s="2" t="inlineStr">
        <is>
          <t>100.0: Available public-forge repository URL</t>
        </is>
      </c>
      <c r="E268" s="2" t="inlineStr">
        <is>
          <t>Scored from the populated repository field; inspect only if the URL or host classification is clearly malformed.</t>
        </is>
      </c>
    </row>
    <row r="269">
      <c r="A269" s="2" t="inlineStr">
        <is>
          <t>pyOpenSci</t>
        </is>
      </c>
      <c r="B269" s="2" t="inlineStr">
        <is>
          <t>043 Code of Conduct evidence</t>
        </is>
      </c>
      <c r="C269" s="2" t="inlineStr">
        <is>
          <t>https://www.pyopensci.org/handbook/CODE_OF_CONDUCT.html</t>
        </is>
      </c>
      <c r="D269" s="2" t="inlineStr">
        <is>
          <t>Evidence only</t>
        </is>
      </c>
      <c r="E269" s="2" t="inlineStr">
        <is>
          <t>Check whether the linked policy applies to this community; do not score URL separately.</t>
        </is>
      </c>
    </row>
    <row r="270">
      <c r="A270" s="2" t="inlineStr">
        <is>
          <t>Renku</t>
        </is>
      </c>
      <c r="B270" s="2" t="inlineStr">
        <is>
          <t>041 contribution guidance URL</t>
        </is>
      </c>
      <c r="C270" s="2" t="inlineStr">
        <is>
          <t>https://github.com/SwissDataScienceCenter/renku/blob/master/CONTRIBUTING.rst</t>
        </is>
      </c>
      <c r="D270" s="2" t="inlineStr">
        <is>
          <t>100.0: Candidate dedicated contribution guide; verify URL</t>
        </is>
      </c>
      <c r="E270" s="2" t="inlineStr">
        <is>
          <t>Scored from the available URL; inspect only if the URL appears suspect or the automatic tier is inaccurate.</t>
        </is>
      </c>
    </row>
    <row r="271">
      <c r="A271" s="2" t="inlineStr">
        <is>
          <t>Renku</t>
        </is>
      </c>
      <c r="B271" s="2" t="inlineStr">
        <is>
          <t>019 public repository</t>
        </is>
      </c>
      <c r="C271" s="2" t="inlineStr">
        <is>
          <t>https://github.com/SwissDataScienceCenter/renku</t>
        </is>
      </c>
      <c r="D271" s="2" t="inlineStr">
        <is>
          <t>100.0: Available public-forge repository URL</t>
        </is>
      </c>
      <c r="E271" s="2" t="inlineStr">
        <is>
          <t>Scored from the populated repository field; inspect only if the URL or host classification is clearly malformed.</t>
        </is>
      </c>
    </row>
    <row r="272">
      <c r="A272" s="2" t="inlineStr">
        <is>
          <t>RePEc</t>
        </is>
      </c>
      <c r="B272" s="2" t="inlineStr">
        <is>
          <t>940 Other contribution route</t>
        </is>
      </c>
      <c r="C272" s="2" t="inlineStr">
        <is>
          <t>Sponsor hardware, editor for alert service, contribute metadata</t>
        </is>
      </c>
      <c r="D272" s="2" t="inlineStr">
        <is>
          <t>Other</t>
        </is>
      </c>
      <c r="E272" s="2" t="inlineStr">
        <is>
          <t>Confirm this is selected in 040 and describes a distinct route.</t>
        </is>
      </c>
    </row>
    <row r="273">
      <c r="A273" s="2" t="inlineStr">
        <is>
          <t>RePEc</t>
        </is>
      </c>
      <c r="B273" s="2" t="inlineStr">
        <is>
          <t>019 public repository</t>
        </is>
      </c>
      <c r="C273" s="2" t="inlineStr">
        <is>
          <t>https://github.com/repec-org</t>
        </is>
      </c>
      <c r="D273" s="2" t="inlineStr">
        <is>
          <t>100.0: Available public-forge repository URL</t>
        </is>
      </c>
      <c r="E273" s="2" t="inlineStr">
        <is>
          <t>Scored from the populated repository field; inspect only if the URL or host classification is clearly malformed.</t>
        </is>
      </c>
    </row>
    <row r="274">
      <c r="A274" s="2" t="inlineStr">
        <is>
          <t>Research Organization Registry (ROR)</t>
        </is>
      </c>
      <c r="B274" s="2" t="inlineStr">
        <is>
          <t>938 free-text activity coding</t>
        </is>
      </c>
      <c r="C274"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D274" s="2" t="inlineStr">
        <is>
          <t>Community calls; Interest, working, user, or advisory groups; Mailing lists and discussion forums (including Slack)</t>
        </is>
      </c>
      <c r="E274" s="2" t="inlineStr">
        <is>
          <t>Confirm or correct categories; add valid Other only if distinct from the 12 named types.</t>
        </is>
      </c>
    </row>
    <row r="275">
      <c r="A275" s="2" t="inlineStr">
        <is>
          <t>Research Organization Registry (ROR)</t>
        </is>
      </c>
      <c r="B275" s="2" t="inlineStr">
        <is>
          <t>041 contribution guidance URL</t>
        </is>
      </c>
      <c r="C275" s="2" t="inlineStr">
        <is>
          <t>https://ror.readme.io/docs/get-involved</t>
        </is>
      </c>
      <c r="D275" s="2" t="inlineStr">
        <is>
          <t>100.0: Candidate dedicated contribution guide; verify URL</t>
        </is>
      </c>
      <c r="E275" s="2" t="inlineStr">
        <is>
          <t>Scored from the available URL; inspect only if the URL appears suspect or the automatic tier is inaccurate.</t>
        </is>
      </c>
    </row>
    <row r="276">
      <c r="A276" s="2" t="inlineStr">
        <is>
          <t>Research Organization Registry (ROR)</t>
        </is>
      </c>
      <c r="B276" s="2" t="inlineStr">
        <is>
          <t>019 public repository</t>
        </is>
      </c>
      <c r="C276" s="2" t="inlineStr">
        <is>
          <t>https://github.com/ror-community</t>
        </is>
      </c>
      <c r="D276" s="2" t="inlineStr">
        <is>
          <t>100.0: Available public-forge repository URL</t>
        </is>
      </c>
      <c r="E276" s="2" t="inlineStr">
        <is>
          <t>Scored from the populated repository field; inspect only if the URL or host classification is clearly malformed.</t>
        </is>
      </c>
    </row>
    <row r="277">
      <c r="A277" s="2" t="inlineStr">
        <is>
          <t>Research Organization Registry (ROR)</t>
        </is>
      </c>
      <c r="B277" s="2" t="inlineStr">
        <is>
          <t>043 Code of Conduct evidence</t>
        </is>
      </c>
      <c r="C277" s="2" t="inlineStr">
        <is>
          <t>https://ror.org/community/code-of-conduct/</t>
        </is>
      </c>
      <c r="D277" s="2" t="inlineStr">
        <is>
          <t>Evidence only</t>
        </is>
      </c>
      <c r="E277" s="2" t="inlineStr">
        <is>
          <t>Check whether the linked policy applies to this community; do not score URL separately.</t>
        </is>
      </c>
    </row>
    <row r="278">
      <c r="A278" s="2" t="inlineStr">
        <is>
          <t>Rogue Scholar</t>
        </is>
      </c>
      <c r="B278" s="2" t="inlineStr">
        <is>
          <t>041 contribution guidance URL</t>
        </is>
      </c>
      <c r="C278" s="2" t="inlineStr">
        <is>
          <t>https://discord.gg/HvbD4dNPFh</t>
        </is>
      </c>
      <c r="D278" s="2" t="inlineStr">
        <is>
          <t>None: Blank or suspect URL; review required</t>
        </is>
      </c>
      <c r="E278" s="2" t="inlineStr">
        <is>
          <t>Scored from the available URL; inspect only if the URL appears suspect or the automatic tier is inaccurate.</t>
        </is>
      </c>
    </row>
    <row r="279">
      <c r="A279" s="2" t="inlineStr">
        <is>
          <t>Rogue Scholar</t>
        </is>
      </c>
      <c r="B279" s="2" t="inlineStr">
        <is>
          <t>019 public repository</t>
        </is>
      </c>
      <c r="C279" s="2" t="inlineStr">
        <is>
          <t>https://github.com/front-matter/rogue-scholar</t>
        </is>
      </c>
      <c r="D279" s="2" t="inlineStr">
        <is>
          <t>100.0: Available public-forge repository URL</t>
        </is>
      </c>
      <c r="E279" s="2" t="inlineStr">
        <is>
          <t>Scored from the populated repository field; inspect only if the URL or host classification is clearly malformed.</t>
        </is>
      </c>
    </row>
    <row r="280">
      <c r="A280" s="2" t="inlineStr">
        <is>
          <t>RSpace</t>
        </is>
      </c>
      <c r="B280" s="2" t="inlineStr">
        <is>
          <t>041 contribution guidance URL</t>
        </is>
      </c>
      <c r="C280" s="2" t="inlineStr">
        <is>
          <t>https://www.researchspace.com/community</t>
        </is>
      </c>
      <c r="D280" s="2" t="inlineStr">
        <is>
          <t>50.0: Candidate general participation page; verify URL</t>
        </is>
      </c>
      <c r="E280" s="2" t="inlineStr">
        <is>
          <t>Scored from the available URL; inspect only if the URL appears suspect or the automatic tier is inaccurate.</t>
        </is>
      </c>
    </row>
    <row r="281">
      <c r="A281" s="2" t="inlineStr">
        <is>
          <t>RSpace</t>
        </is>
      </c>
      <c r="B281" s="2" t="inlineStr">
        <is>
          <t>019 public repository</t>
        </is>
      </c>
      <c r="C281" s="2" t="inlineStr">
        <is>
          <t>https://github.com/rspace-os</t>
        </is>
      </c>
      <c r="D281" s="2" t="inlineStr">
        <is>
          <t>100.0: Available public-forge repository URL</t>
        </is>
      </c>
      <c r="E281" s="2" t="inlineStr">
        <is>
          <t>Scored from the populated repository field; inspect only if the URL or host classification is clearly malformed.</t>
        </is>
      </c>
    </row>
    <row r="282">
      <c r="A282" s="2" t="inlineStr">
        <is>
          <t>RSpace</t>
        </is>
      </c>
      <c r="B282" s="2" t="inlineStr">
        <is>
          <t>043 Code of Conduct evidence</t>
        </is>
      </c>
      <c r="C282" s="2" t="inlineStr">
        <is>
          <t>https://github.com/rspace-os/rspace-web?tab=coc-ov-file</t>
        </is>
      </c>
      <c r="D282" s="2" t="inlineStr">
        <is>
          <t>Evidence only</t>
        </is>
      </c>
      <c r="E282" s="2" t="inlineStr">
        <is>
          <t>Check whether the linked policy applies to this community; do not score URL separately.</t>
        </is>
      </c>
    </row>
    <row r="283">
      <c r="A283" s="2" t="inlineStr">
        <is>
          <t>Sciety</t>
        </is>
      </c>
      <c r="B283" s="2" t="inlineStr">
        <is>
          <t>019 public repository</t>
        </is>
      </c>
      <c r="C283" s="2" t="inlineStr">
        <is>
          <t>https://github.com/sciety/sciety</t>
        </is>
      </c>
      <c r="D283" s="2" t="inlineStr">
        <is>
          <t>100.0: Available public-forge repository URL</t>
        </is>
      </c>
      <c r="E283" s="2" t="inlineStr">
        <is>
          <t>Scored from the populated repository field; inspect only if the URL or host classification is clearly malformed.</t>
        </is>
      </c>
    </row>
    <row r="284">
      <c r="A284" s="2" t="inlineStr">
        <is>
          <t>Synapse</t>
        </is>
      </c>
      <c r="B284" s="2" t="inlineStr">
        <is>
          <t>041 contribution guidance URL</t>
        </is>
      </c>
      <c r="C284" s="2" t="inlineStr">
        <is>
          <t>https://help.synapse.org/docs/Synapse-User-Account-Types.2007072795.html</t>
        </is>
      </c>
      <c r="D284" s="2" t="inlineStr">
        <is>
          <t>None: Blank or suspect URL; review required</t>
        </is>
      </c>
      <c r="E284" s="2" t="inlineStr">
        <is>
          <t>Scored from the available URL; inspect only if the URL appears suspect or the automatic tier is inaccurate.</t>
        </is>
      </c>
    </row>
    <row r="285">
      <c r="A285" s="2" t="inlineStr">
        <is>
          <t>Synapse</t>
        </is>
      </c>
      <c r="B285" s="2" t="inlineStr">
        <is>
          <t>019 public repository</t>
        </is>
      </c>
      <c r="C285" s="2" t="inlineStr">
        <is>
          <t>https://github.com/Sage-Bionetworks</t>
        </is>
      </c>
      <c r="D285" s="2" t="inlineStr">
        <is>
          <t>100.0: Available public-forge repository URL</t>
        </is>
      </c>
      <c r="E285" s="2" t="inlineStr">
        <is>
          <t>Scored from the populated repository field; inspect only if the URL or host classification is clearly malformed.</t>
        </is>
      </c>
    </row>
    <row r="286">
      <c r="A286" s="2" t="inlineStr">
        <is>
          <t>Synapse</t>
        </is>
      </c>
      <c r="B286" s="2" t="inlineStr">
        <is>
          <t>043 Code of Conduct evidence</t>
        </is>
      </c>
      <c r="C286" s="2" t="inlineStr">
        <is>
          <t>https://help.synapse.org/docs/Synapse-Governance.2004255211.html</t>
        </is>
      </c>
      <c r="D286" s="2" t="inlineStr">
        <is>
          <t>Evidence only</t>
        </is>
      </c>
      <c r="E286" s="2" t="inlineStr">
        <is>
          <t>Check whether the linked policy applies to this community; do not score URL separately.</t>
        </is>
      </c>
    </row>
    <row r="287">
      <c r="A287" s="2" t="inlineStr">
        <is>
          <t>TagTeam</t>
        </is>
      </c>
      <c r="B287" s="2" t="inlineStr">
        <is>
          <t>041 contribution guidance URL</t>
        </is>
      </c>
      <c r="C287" s="2" t="inlineStr">
        <is>
          <t>https://cyber.harvard.edu/hoap/Get_started_as_a_tagger</t>
        </is>
      </c>
      <c r="D287" s="2" t="inlineStr">
        <is>
          <t>50.0: Candidate general participation page; verify URL</t>
        </is>
      </c>
      <c r="E287" s="2" t="inlineStr">
        <is>
          <t>Scored from the available URL; inspect only if the URL appears suspect or the automatic tier is inaccurate.</t>
        </is>
      </c>
    </row>
    <row r="288">
      <c r="A288" s="2" t="inlineStr">
        <is>
          <t>TagTeam</t>
        </is>
      </c>
      <c r="B288" s="2" t="inlineStr">
        <is>
          <t>019 public repository</t>
        </is>
      </c>
      <c r="C288" s="2" t="inlineStr">
        <is>
          <t>https://github.com/berkmancenter/tagteam</t>
        </is>
      </c>
      <c r="D288" s="2" t="inlineStr">
        <is>
          <t>100.0: Available public-forge repository URL</t>
        </is>
      </c>
      <c r="E288" s="2" t="inlineStr">
        <is>
          <t>Scored from the populated repository field; inspect only if the URL or host classification is clearly malformed.</t>
        </is>
      </c>
    </row>
    <row r="289">
      <c r="A289" s="2" t="inlineStr">
        <is>
          <t>TagTeam</t>
        </is>
      </c>
      <c r="B289" s="2" t="inlineStr">
        <is>
          <t>043 Code of Conduct evidence</t>
        </is>
      </c>
      <c r="C289" s="2" t="inlineStr">
        <is>
          <t>https://cyber.harvard.edu/hoap/TagTeam_terms_of_service</t>
        </is>
      </c>
      <c r="D289" s="2" t="inlineStr">
        <is>
          <t>Evidence only</t>
        </is>
      </c>
      <c r="E289" s="2" t="inlineStr">
        <is>
          <t>Check whether the linked policy applies to this community; do not score URL separately.</t>
        </is>
      </c>
    </row>
    <row r="290">
      <c r="A290" s="2" t="inlineStr">
        <is>
          <t>Thoth Open Metadata</t>
        </is>
      </c>
      <c r="B290" s="2" t="inlineStr">
        <is>
          <t>019 public repository</t>
        </is>
      </c>
      <c r="C290" s="2" t="inlineStr">
        <is>
          <t>https://github.com/thoth-pub/thoth</t>
        </is>
      </c>
      <c r="D290" s="2" t="inlineStr">
        <is>
          <t>100.0: Available public-forge repository URL</t>
        </is>
      </c>
      <c r="E290" s="2" t="inlineStr">
        <is>
          <t>Scored from the populated repository field; inspect only if the URL or host classification is clearly malformed.</t>
        </is>
      </c>
    </row>
    <row r="291">
      <c r="A291" s="2" t="inlineStr">
        <is>
          <t>Thoth Open Metadata</t>
        </is>
      </c>
      <c r="B291" s="2" t="inlineStr">
        <is>
          <t>043 Code of Conduct evidence</t>
        </is>
      </c>
      <c r="C291" s="2" t="inlineStr">
        <is>
          <t>https://thoth.pub/policies/code-of-conduct</t>
        </is>
      </c>
      <c r="D291" s="2" t="inlineStr">
        <is>
          <t>Evidence only</t>
        </is>
      </c>
      <c r="E291" s="2" t="inlineStr">
        <is>
          <t>Check whether the linked policy applies to this community; do not score URL separately.</t>
        </is>
      </c>
    </row>
    <row r="292">
      <c r="A292" s="2" t="inlineStr">
        <is>
          <t>Tropy</t>
        </is>
      </c>
      <c r="B292" s="2" t="inlineStr">
        <is>
          <t>041 contribution guidance URL</t>
        </is>
      </c>
      <c r="C292" s="2" t="inlineStr">
        <is>
          <t>https://github.com/tropy/tropy/blob/main/res/plugins/README.md</t>
        </is>
      </c>
      <c r="D292" s="2" t="inlineStr">
        <is>
          <t>50.0: Candidate general participation page; verify URL</t>
        </is>
      </c>
      <c r="E292" s="2" t="inlineStr">
        <is>
          <t>Scored from the available URL; inspect only if the URL appears suspect or the automatic tier is inaccurate.</t>
        </is>
      </c>
    </row>
    <row r="293">
      <c r="A293" s="2" t="inlineStr">
        <is>
          <t>Tropy</t>
        </is>
      </c>
      <c r="B293" s="2" t="inlineStr">
        <is>
          <t>019 public repository</t>
        </is>
      </c>
      <c r="C293" s="2" t="inlineStr">
        <is>
          <t>https://github.com/tropy/tropy</t>
        </is>
      </c>
      <c r="D293" s="2" t="inlineStr">
        <is>
          <t>100.0: Available public-forge repository URL</t>
        </is>
      </c>
      <c r="E293" s="2" t="inlineStr">
        <is>
          <t>Scored from the populated repository field; inspect only if the URL or host classification is clearly malformed.</t>
        </is>
      </c>
    </row>
    <row r="294">
      <c r="A294" s="2" t="inlineStr">
        <is>
          <t>veraPDF</t>
        </is>
      </c>
      <c r="B294" s="2" t="inlineStr">
        <is>
          <t>019 public repository</t>
        </is>
      </c>
      <c r="C294" s="2" t="inlineStr">
        <is>
          <t>https://github.com/verapdf</t>
        </is>
      </c>
      <c r="D294" s="2" t="inlineStr">
        <is>
          <t>100.0: Available public-forge repository URL</t>
        </is>
      </c>
      <c r="E294" s="2" t="inlineStr">
        <is>
          <t>Scored from the populated repository field; inspect only if the URL or host classification is clearly malformed.</t>
        </is>
      </c>
    </row>
    <row r="295">
      <c r="A295" s="2" t="inlineStr">
        <is>
          <t>ViPER</t>
        </is>
      </c>
      <c r="B295" s="2" t="inlineStr">
        <is>
          <t>041 contribution guidance URL</t>
        </is>
      </c>
      <c r="C295" s="2" t="inlineStr">
        <is>
          <t>https://openpreservation.org/resources/member-groups/</t>
        </is>
      </c>
      <c r="D295" s="2" t="inlineStr">
        <is>
          <t>50.0: Candidate general participation page; verify URL</t>
        </is>
      </c>
      <c r="E295" s="2" t="inlineStr">
        <is>
          <t>Scored from the available URL; inspect only if the URL appears suspect or the automatic tier is inaccurate.</t>
        </is>
      </c>
    </row>
    <row r="296">
      <c r="A296" s="2" t="inlineStr">
        <is>
          <t>ViPER</t>
        </is>
      </c>
      <c r="B296" s="2" t="inlineStr">
        <is>
          <t>019 public repository</t>
        </is>
      </c>
      <c r="C296" s="2" t="inlineStr">
        <is>
          <t>https://github.com/openpreserve/ViPER</t>
        </is>
      </c>
      <c r="D296" s="2" t="inlineStr">
        <is>
          <t>100.0: Available public-forge repository URL</t>
        </is>
      </c>
      <c r="E296" s="2" t="inlineStr">
        <is>
          <t>Scored from the populated repository field; inspect only if the URL or host classification is clearly malformed.</t>
        </is>
      </c>
    </row>
    <row r="297">
      <c r="A297" s="2" t="inlineStr">
        <is>
          <t>Vireo ETD</t>
        </is>
      </c>
      <c r="B297" s="2" t="inlineStr">
        <is>
          <t>019 public repository</t>
        </is>
      </c>
      <c r="C297" s="2" t="inlineStr">
        <is>
          <t>https://github.com/TexasDigitalLibrary/Vireo</t>
        </is>
      </c>
      <c r="D297" s="2" t="inlineStr">
        <is>
          <t>100.0: Available public-forge repository URL</t>
        </is>
      </c>
      <c r="E297" s="2" t="inlineStr">
        <is>
          <t>Scored from the populated repository field; inspect only if the URL or host classification is clearly malformed.</t>
        </is>
      </c>
    </row>
    <row r="298">
      <c r="A298" s="2" t="inlineStr">
        <is>
          <t>VIVO</t>
        </is>
      </c>
      <c r="B298" s="2" t="inlineStr">
        <is>
          <t>041 contribution guidance URL</t>
        </is>
      </c>
      <c r="C298" s="2" t="inlineStr">
        <is>
          <t>https://vivoweb.org/develop-for-vivo/</t>
        </is>
      </c>
      <c r="D298" s="2" t="inlineStr">
        <is>
          <t>50.0: Candidate general participation page; verify URL</t>
        </is>
      </c>
      <c r="E298" s="2" t="inlineStr">
        <is>
          <t>Scored from the available URL; inspect only if the URL appears suspect or the automatic tier is inaccurate.</t>
        </is>
      </c>
    </row>
    <row r="299">
      <c r="A299" s="2" t="inlineStr">
        <is>
          <t>VIVO</t>
        </is>
      </c>
      <c r="B299" s="2" t="inlineStr">
        <is>
          <t>019 public repository</t>
        </is>
      </c>
      <c r="C299" s="2" t="inlineStr">
        <is>
          <t>https://github.com/vivo-project</t>
        </is>
      </c>
      <c r="D299" s="2" t="inlineStr">
        <is>
          <t>100.0: Available public-forge repository URL</t>
        </is>
      </c>
      <c r="E299" s="2" t="inlineStr">
        <is>
          <t>Scored from the populated repository field; inspect only if the URL or host classification is clearly malformed.</t>
        </is>
      </c>
    </row>
    <row r="300">
      <c r="A300" s="2" t="inlineStr">
        <is>
          <t>VuFind®</t>
        </is>
      </c>
      <c r="B300" s="2" t="inlineStr">
        <is>
          <t>938 free-text activity coding</t>
        </is>
      </c>
      <c r="C300"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D300" s="2" t="inlineStr"/>
      <c r="E300" s="2" t="inlineStr">
        <is>
          <t>Confirm or correct categories; add valid Other only if distinct from the 12 named types.</t>
        </is>
      </c>
    </row>
    <row r="301">
      <c r="A301" s="2" t="inlineStr">
        <is>
          <t>VuFind®</t>
        </is>
      </c>
      <c r="B301" s="2" t="inlineStr">
        <is>
          <t>041 contribution guidance URL</t>
        </is>
      </c>
      <c r="C301" s="2" t="inlineStr">
        <is>
          <t>https://github.com/vufind-org/vufind/blob/dev/CONTRIBUTING.md</t>
        </is>
      </c>
      <c r="D301" s="2" t="inlineStr">
        <is>
          <t>100.0: Candidate dedicated contribution guide; verify URL</t>
        </is>
      </c>
      <c r="E301" s="2" t="inlineStr">
        <is>
          <t>Scored from the available URL; inspect only if the URL appears suspect or the automatic tier is inaccurate.</t>
        </is>
      </c>
    </row>
    <row r="302">
      <c r="A302" s="2" t="inlineStr">
        <is>
          <t>VuFind®</t>
        </is>
      </c>
      <c r="B302" s="2" t="inlineStr">
        <is>
          <t>019 public repository</t>
        </is>
      </c>
      <c r="C302" s="2" t="inlineStr">
        <is>
          <t>https://github.com/vufind-org</t>
        </is>
      </c>
      <c r="D302" s="2" t="inlineStr">
        <is>
          <t>100.0: Available public-forge repository URL</t>
        </is>
      </c>
      <c r="E302" s="2" t="inlineStr">
        <is>
          <t>Scored from the populated repository field; inspect only if the URL or host classification is clearly malformed.</t>
        </is>
      </c>
    </row>
    <row r="303">
      <c r="A303" s="2" t="inlineStr">
        <is>
          <t>VuFind®</t>
        </is>
      </c>
      <c r="B303" s="2" t="inlineStr">
        <is>
          <t>043 Code of Conduct evidence</t>
        </is>
      </c>
      <c r="C303" s="2" t="inlineStr">
        <is>
          <t>https://github.com/vufind-org/vufind/blob/dev/CODE_OF_CONDUCT.md</t>
        </is>
      </c>
      <c r="D303" s="2" t="inlineStr">
        <is>
          <t>Evidence only</t>
        </is>
      </c>
      <c r="E303" s="2" t="inlineStr">
        <is>
          <t>Check whether the linked policy applies to this community; do not score URL separately.</t>
        </is>
      </c>
    </row>
    <row r="304">
      <c r="A304" s="2" t="inlineStr">
        <is>
          <t>Zenodo</t>
        </is>
      </c>
      <c r="B304" s="2" t="inlineStr">
        <is>
          <t>041 contribution guidance URL</t>
        </is>
      </c>
      <c r="C304" s="2" t="inlineStr">
        <is>
          <t>https://inveniordm.docs.cern.ch/maintenance/newcomers/</t>
        </is>
      </c>
      <c r="D304" s="2" t="inlineStr">
        <is>
          <t>100.0: Candidate dedicated contribution guide; verify URL</t>
        </is>
      </c>
      <c r="E304" s="2" t="inlineStr">
        <is>
          <t>Scored from the available URL; inspect only if the URL appears suspect or the automatic tier is inaccurate.</t>
        </is>
      </c>
    </row>
    <row r="305">
      <c r="A305" s="2" t="inlineStr">
        <is>
          <t>Zenodo</t>
        </is>
      </c>
      <c r="B305" s="2" t="inlineStr">
        <is>
          <t>019 public repository</t>
        </is>
      </c>
      <c r="C305" s="2" t="inlineStr">
        <is>
          <t>https://github.com/zenodo/zenodo-rdm</t>
        </is>
      </c>
      <c r="D305" s="2" t="inlineStr">
        <is>
          <t>100.0: Available public-forge repository URL</t>
        </is>
      </c>
      <c r="E305" s="2" t="inlineStr">
        <is>
          <t>Scored from the populated repository field; inspect only if the URL or host classification is clearly malformed.</t>
        </is>
      </c>
    </row>
    <row r="306">
      <c r="A306" s="2" t="inlineStr">
        <is>
          <t>Zenodo</t>
        </is>
      </c>
      <c r="B306" s="2" t="inlineStr">
        <is>
          <t>043 Code of Conduct evidence</t>
        </is>
      </c>
      <c r="C306" s="2" t="inlineStr">
        <is>
          <t>https://inveniordm.docs.cern.ch/contribute/code-of-conduct/</t>
        </is>
      </c>
      <c r="D306" s="2" t="inlineStr">
        <is>
          <t>Evidence only</t>
        </is>
      </c>
      <c r="E306" s="2" t="inlineStr">
        <is>
          <t>Check whether the linked policy applies to this community; do not score URL separately.</t>
        </is>
      </c>
    </row>
    <row r="307">
      <c r="A307" s="2" t="inlineStr">
        <is>
          <t>Zotero</t>
        </is>
      </c>
      <c r="B307" s="2" t="inlineStr">
        <is>
          <t>041 contribution guidance URL</t>
        </is>
      </c>
      <c r="C307" s="2" t="inlineStr">
        <is>
          <t>https://www.zotero.org/support/dev/start</t>
        </is>
      </c>
      <c r="D307" s="2" t="inlineStr">
        <is>
          <t>50.0: Candidate general participation page; verify URL</t>
        </is>
      </c>
      <c r="E307" s="2" t="inlineStr">
        <is>
          <t>Scored from the available URL; inspect only if the URL appears suspect or the automatic tier is inaccurate.</t>
        </is>
      </c>
    </row>
    <row r="308">
      <c r="A308" s="2" t="inlineStr">
        <is>
          <t>Zotero</t>
        </is>
      </c>
      <c r="B308" s="2" t="inlineStr">
        <is>
          <t>019 public repository</t>
        </is>
      </c>
      <c r="C308" s="2" t="inlineStr">
        <is>
          <t>https://github.com/zotero</t>
        </is>
      </c>
      <c r="D308" s="2" t="inlineStr">
        <is>
          <t>100.0: Available public-forge repository URL</t>
        </is>
      </c>
      <c r="E308" s="2" t="inlineStr">
        <is>
          <t>Scored from the populated repository field; inspect only if the URL or host classification is clearly malformed.</t>
        </is>
      </c>
    </row>
    <row r="309">
      <c r="A309" s="2" t="inlineStr">
        <is>
          <t>Zotero</t>
        </is>
      </c>
      <c r="B309" s="2" t="inlineStr">
        <is>
          <t>043 Code of Conduct evidence</t>
        </is>
      </c>
      <c r="C309" s="2" t="inlineStr">
        <is>
          <t>https://www.zotero.org/support/forum_guidelines</t>
        </is>
      </c>
      <c r="D309" s="2" t="inlineStr">
        <is>
          <t>Evidence only</t>
        </is>
      </c>
      <c r="E309" s="2" t="inlineStr">
        <is>
          <t>Check whether the linked policy applies to this community; do not score URL separately.</t>
        </is>
      </c>
    </row>
  </sheetData>
  <autoFilter ref="A1:E30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037_community_engagement_status</t>
        </is>
      </c>
      <c r="H1" s="1" t="inlineStr">
        <is>
          <t>038_community_engagement_activities</t>
        </is>
      </c>
      <c r="I1" s="1" t="inlineStr">
        <is>
          <t>938_community_engagement_activities_other</t>
        </is>
      </c>
      <c r="J1" s="1" t="inlineStr">
        <is>
          <t>116_community_engagement_url</t>
        </is>
      </c>
      <c r="K1" s="1" t="inlineStr">
        <is>
          <t>039_contribution_pathways</t>
        </is>
      </c>
      <c r="L1" s="1" t="inlineStr">
        <is>
          <t>040_contribution_opportunities</t>
        </is>
      </c>
      <c r="M1" s="1" t="inlineStr">
        <is>
          <t>940_contribution_opportunities_other</t>
        </is>
      </c>
      <c r="N1" s="1" t="inlineStr">
        <is>
          <t>041_contribution_guidelines</t>
        </is>
      </c>
      <c r="O1" s="1" t="inlineStr">
        <is>
          <t>042_code_of_conduct_status</t>
        </is>
      </c>
      <c r="P1" s="1" t="inlineStr">
        <is>
          <t>043_code_of_conduct_url</t>
        </is>
      </c>
      <c r="Q1" s="1" t="inlineStr">
        <is>
          <t>048_community_governance_status</t>
        </is>
      </c>
      <c r="R1" s="1" t="inlineStr">
        <is>
          <t>049_community_governance_url</t>
        </is>
      </c>
      <c r="S1" s="1" t="inlineStr">
        <is>
          <t>078_membership_numbers</t>
        </is>
      </c>
      <c r="T1" s="1" t="inlineStr">
        <is>
          <t>107_membership_program_url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Implemented/available</t>
        </is>
      </c>
      <c r="H2" s="2" t="n"/>
      <c r="I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2" s="2" t="inlineStr">
        <is>
          <t>https://compass.2i2c.org/organization/mission/   https://docs.2i2c.org/about/service/ https://compass.2i2c.org/open-source/ https://compass.2i2c.org/reference/calendar/</t>
        </is>
      </c>
      <c r="K2" s="2" t="inlineStr">
        <is>
          <t>Considering</t>
        </is>
      </c>
      <c r="L2" s="2" t="n"/>
      <c r="M2" s="2" t="n"/>
      <c r="N2" s="2" t="n"/>
      <c r="O2" s="2" t="inlineStr">
        <is>
          <t>Implemented/available</t>
        </is>
      </c>
      <c r="P2" s="2" t="inlineStr">
        <is>
          <t>https://compass.2i2c.org/code-of-conduct/</t>
        </is>
      </c>
      <c r="Q2" s="2" t="n"/>
      <c r="R2" s="2" t="n"/>
      <c r="S2" s="2" t="n"/>
      <c r="T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is>
      </c>
      <c r="I3" s="2" t="n"/>
      <c r="J3" s="2" t="inlineStr">
        <is>
          <t>https://aptrust.org/resources/interest-groups/ https://aptrust.org/resources/user-groups/ https://aptrust.org/resources/working-groups/ https://aptrust.org/resources/member-meetings/ https://aptrust.org/governance/advisory-committee/</t>
        </is>
      </c>
      <c r="K3" s="2" t="inlineStr">
        <is>
          <t>Implemented/available</t>
        </is>
      </c>
      <c r="L3" s="2" t="inlineStr">
        <is>
          <t>Contribute funds | Contribute to code | Contribute to documentation | Contribute to education or training | Contribute to governance | Contribute to user research or user testing | Contribute to working groups or interest groups</t>
        </is>
      </c>
      <c r="M3" s="2" t="n"/>
      <c r="N3" s="2" t="inlineStr">
        <is>
          <t>https://aptrust.org/resources/working-groups/</t>
        </is>
      </c>
      <c r="O3" s="2" t="inlineStr">
        <is>
          <t>Implemented/available</t>
        </is>
      </c>
      <c r="P3" s="2" t="inlineStr">
        <is>
          <t>https://www.diglib.org/about/code-of-conduct/</t>
        </is>
      </c>
      <c r="Q3" s="2" t="inlineStr">
        <is>
          <t>Formal</t>
        </is>
      </c>
      <c r="R3" s="2" t="inlineStr">
        <is>
          <t>https://aptrust.org/resources/policies/#governance-manual</t>
        </is>
      </c>
      <c r="S3" s="2" t="n">
        <v>21</v>
      </c>
      <c r="T3" s="2" t="inlineStr">
        <is>
          <t>https://aptrust.org/members/</t>
        </is>
      </c>
    </row>
    <row r="4">
      <c r="A4" s="2" t="inlineStr">
        <is>
          <t>AfricArXiv</t>
        </is>
      </c>
      <c r="B4" s="2" t="inlineStr">
        <is>
          <t>UbuntuNet Alliance</t>
        </is>
      </c>
      <c r="C4" s="2" t="inlineStr">
        <is>
          <t>https://africarxiv.org/</t>
        </is>
      </c>
      <c r="D4" s="2" t="inlineStr">
        <is>
          <t>MW</t>
        </is>
      </c>
      <c r="E4" s="2" t="inlineStr">
        <is>
          <t>Repository service</t>
        </is>
      </c>
      <c r="F4" s="2" t="n"/>
      <c r="G4" s="2" t="inlineStr">
        <is>
          <t>Considering</t>
        </is>
      </c>
      <c r="H4" s="2" t="n"/>
      <c r="I4" s="2" t="n"/>
      <c r="J4" s="2" t="n"/>
      <c r="K4" s="2" t="inlineStr">
        <is>
          <t>Unknown</t>
        </is>
      </c>
      <c r="L4" s="2" t="n"/>
      <c r="M4" s="2" t="n"/>
      <c r="N4" s="2" t="n"/>
      <c r="O4" s="2" t="inlineStr">
        <is>
          <t>Implemented/available</t>
        </is>
      </c>
      <c r="P4" s="2" t="inlineStr">
        <is>
          <t>https://access2perspectives.org/code-of-conduct/</t>
        </is>
      </c>
      <c r="Q4" s="2" t="inlineStr">
        <is>
          <t>Ad hoc</t>
        </is>
      </c>
      <c r="R4" s="2" t="n"/>
      <c r="S4" s="2" t="n"/>
      <c r="T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n"/>
      <c r="I5" s="2" t="n"/>
      <c r="J5" s="2" t="inlineStr">
        <is>
          <t>https://www.archesproject.org/community-participation/</t>
        </is>
      </c>
      <c r="K5" s="2" t="inlineStr">
        <is>
          <t>Unknown</t>
        </is>
      </c>
      <c r="L5" s="2" t="n"/>
      <c r="M5" s="2" t="n"/>
      <c r="N5" s="2" t="inlineStr">
        <is>
          <t>https://github.com/archesproject/arches/blob/master/CONTRIBUTING.md</t>
        </is>
      </c>
      <c r="O5" s="2" t="inlineStr">
        <is>
          <t>Implemented/available</t>
        </is>
      </c>
      <c r="P5" s="2" t="inlineStr">
        <is>
          <t>https://www.archesproject.org/code-of-conduct/</t>
        </is>
      </c>
      <c r="Q5" s="2" t="inlineStr">
        <is>
          <t>Formal</t>
        </is>
      </c>
      <c r="R5" s="2" t="inlineStr">
        <is>
          <t>https://www.archesproject.org/archesgovernance/</t>
        </is>
      </c>
      <c r="S5" s="2" t="n"/>
      <c r="T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inlineStr">
        <is>
          <t>Community calls | Conference participation | Interest, working, user, or advisory groups | Mailing lists and discussion forums (including Slack) | Staff roles with responsibility for community engagement | Volunteer or ambassador network | Webinars and training</t>
        </is>
      </c>
      <c r="I6"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J6" s="2" t="inlineStr">
        <is>
          <t>https://metro.org/code-of-conduct</t>
        </is>
      </c>
      <c r="K6" s="2" t="inlineStr">
        <is>
          <t>Implemented/available</t>
        </is>
      </c>
      <c r="L6" s="2" t="inlineStr">
        <is>
          <t>Contribute to code | Contribute to documentation | Contribute to working groups or interest groups</t>
        </is>
      </c>
      <c r="M6" s="2" t="n"/>
      <c r="N6" s="2" t="inlineStr">
        <is>
          <t>https://docs.archipelago.nyc/1.5.0/giveortake/</t>
        </is>
      </c>
      <c r="O6" s="2" t="inlineStr">
        <is>
          <t>Implemented/available</t>
        </is>
      </c>
      <c r="P6" s="2" t="inlineStr">
        <is>
          <t>https://docs.archipelago.nyc/1.5.0/CODE_OF_CONDUCT/</t>
        </is>
      </c>
      <c r="Q6" s="2" t="inlineStr">
        <is>
          <t>Formal</t>
        </is>
      </c>
      <c r="R6" s="2" t="inlineStr">
        <is>
          <t>https://metro.org/wp-content/uploads/2025/05/METROBylaws20242.pdf</t>
        </is>
      </c>
      <c r="S6" s="2" t="n"/>
      <c r="T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Implemented/available</t>
        </is>
      </c>
      <c r="H7" s="2" t="n"/>
      <c r="I7" s="2" t="n"/>
      <c r="J7" s="2" t="inlineStr">
        <is>
          <t>https://arks.org/community/</t>
        </is>
      </c>
      <c r="K7" s="2" t="inlineStr">
        <is>
          <t>Implemented/available</t>
        </is>
      </c>
      <c r="L7" s="2" t="inlineStr">
        <is>
          <t>Contribute funds | Contribute to code | Contribute to documentation | Contribute to education or training | Contribute to working groups or interest groups</t>
        </is>
      </c>
      <c r="M7" s="2" t="n"/>
      <c r="N7" s="2" t="inlineStr">
        <is>
          <t>https://arks.org/community/</t>
        </is>
      </c>
      <c r="O7" s="2" t="inlineStr">
        <is>
          <t>Implemented/available</t>
        </is>
      </c>
      <c r="P7" s="2" t="inlineStr">
        <is>
          <t>https://arks.org/about/ark-community-code-of-conduct/</t>
        </is>
      </c>
      <c r="Q7" s="2" t="inlineStr">
        <is>
          <t>Ad hoc</t>
        </is>
      </c>
      <c r="R7" s="2" t="n"/>
      <c r="S7" s="2" t="n"/>
      <c r="T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Implemented/available</t>
        </is>
      </c>
      <c r="H8" s="2" t="n"/>
      <c r="I8" s="2" t="n"/>
      <c r="J8" s="2" t="inlineStr">
        <is>
          <t>https://groups.google.com/g/archivematica</t>
        </is>
      </c>
      <c r="K8" s="2" t="inlineStr">
        <is>
          <t>Unknown</t>
        </is>
      </c>
      <c r="L8" s="2" t="n"/>
      <c r="M8" s="2" t="n"/>
      <c r="N8" s="2" t="inlineStr">
        <is>
          <t>https://contributors.artefactual.com/</t>
        </is>
      </c>
      <c r="O8" s="2" t="inlineStr">
        <is>
          <t>Unknown</t>
        </is>
      </c>
      <c r="P8" s="2" t="inlineStr">
        <is>
          <t>https://github.com/artefactual/archivematica/blob/qa/1.x/CODE_OF_CONDUCT.md</t>
        </is>
      </c>
      <c r="Q8" s="2" t="n"/>
      <c r="R8" s="2" t="n"/>
      <c r="S8" s="2" t="n"/>
      <c r="T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Annual meetings | Blogs | Community calls | Conference participation | Interest, working, user, or advisory groups | Mailing lists and discussion forums (including Slack) | Social media | Staff roles with responsibility for community engagement | Webinars and training</t>
        </is>
      </c>
      <c r="I9" s="2" t="n"/>
      <c r="J9" s="2" t="inlineStr">
        <is>
          <t>https://archivesspace.atlassian.net/wiki/spaces/ADC/pages/16449553/Contribute+to+ArchivesSpace</t>
        </is>
      </c>
      <c r="K9" s="2" t="inlineStr">
        <is>
          <t>Unknown</t>
        </is>
      </c>
      <c r="L9" s="2" t="n"/>
      <c r="M9" s="2" t="n"/>
      <c r="N9" s="2" t="inlineStr">
        <is>
          <t>https://archivesspace.atlassian.net/wiki/spaces/ADC/pages/16449553/Contribute+to+ArchivesSpace</t>
        </is>
      </c>
      <c r="O9" s="2" t="inlineStr">
        <is>
          <t>Implemented/available</t>
        </is>
      </c>
      <c r="P9" s="2" t="inlineStr">
        <is>
          <t>https://archivesspace.org/archivesspace-code-of-conduct</t>
        </is>
      </c>
      <c r="Q9" s="2" t="inlineStr">
        <is>
          <t>Formal</t>
        </is>
      </c>
      <c r="R9" s="2" t="inlineStr">
        <is>
          <t>https://archivesspace.org/governance-board-and-councils</t>
        </is>
      </c>
      <c r="S9" s="2" t="n">
        <v>500</v>
      </c>
      <c r="T9" s="2" t="inlineStr">
        <is>
          <t>https://archivesspace.org/membership/member-benefits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Blogs | Community calls | Conference participation | Development sprints | Interest, working, user, or advisory groups | Social media | Staff roles with responsibility for community engagement | Webinars and training</t>
        </is>
      </c>
      <c r="I10" s="2" t="n"/>
      <c r="J10" s="2" t="inlineStr">
        <is>
          <t>https://catalogue.openaire.eu/service/openaire.argos/resourcesAndSupport</t>
        </is>
      </c>
      <c r="K10" s="2" t="inlineStr">
        <is>
          <t>Unknown</t>
        </is>
      </c>
      <c r="L10" s="2" t="n"/>
      <c r="M10" s="2" t="n"/>
      <c r="N10" s="2" t="n"/>
      <c r="O10" s="2" t="inlineStr">
        <is>
          <t>Implemented/available</t>
        </is>
      </c>
      <c r="P10" s="2" t="inlineStr">
        <is>
          <t>https://openaire.flarum.cloud/p/2-guidelines</t>
        </is>
      </c>
      <c r="Q10" s="2" t="inlineStr">
        <is>
          <t>Formal</t>
        </is>
      </c>
      <c r="R10" s="2" t="inlineStr">
        <is>
          <t>https://www.openaire.eu/organisation-2</t>
        </is>
      </c>
      <c r="S10" s="2" t="n">
        <v>52</v>
      </c>
      <c r="T10" s="2" t="inlineStr">
        <is>
          <t>https://www.openaire.eu/members</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n"/>
      <c r="I11"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J11" s="2" t="n"/>
      <c r="K11" s="2" t="inlineStr">
        <is>
          <t>Implemented/available</t>
        </is>
      </c>
      <c r="L11" s="2" t="inlineStr">
        <is>
          <t>Contribute funds | Contribute to code | Contribute to working groups or interest groups</t>
        </is>
      </c>
      <c r="M11" s="2" t="n"/>
      <c r="N11" s="2" t="inlineStr">
        <is>
          <t>https://info.arxiv.org/labs/index.html</t>
        </is>
      </c>
      <c r="O11" s="2" t="inlineStr">
        <is>
          <t>Implemented/available</t>
        </is>
      </c>
      <c r="P11" s="2" t="inlineStr">
        <is>
          <t>https://info.arxiv.org/help/policies/code_of_conduct.html</t>
        </is>
      </c>
      <c r="Q11" s="2" t="inlineStr">
        <is>
          <t>Formal</t>
        </is>
      </c>
      <c r="R11" s="2" t="inlineStr">
        <is>
          <t>https://info.arxiv.org/about/arXiv_bylaws.html</t>
        </is>
      </c>
      <c r="S11" s="2" t="n">
        <v>290</v>
      </c>
      <c r="T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In progress</t>
        </is>
      </c>
      <c r="H12" s="2" t="n"/>
      <c r="I12" s="2" t="n"/>
      <c r="J12" s="2" t="n"/>
      <c r="K12" s="2" t="inlineStr">
        <is>
          <t>Unknown</t>
        </is>
      </c>
      <c r="L12" s="2" t="n"/>
      <c r="M12" s="2" t="n"/>
      <c r="N12" s="2" t="inlineStr">
        <is>
          <t>https://contributors.artefactual.com/cheatsheet.htmlbute_code</t>
        </is>
      </c>
      <c r="O12" s="2" t="inlineStr">
        <is>
          <t>Unknown</t>
        </is>
      </c>
      <c r="P12" s="2" t="inlineStr">
        <is>
          <t>https://wiki.accesstomemory.org/wiki/Resources/User_forum#Code_of_conduct</t>
        </is>
      </c>
      <c r="Q12" s="2" t="n"/>
      <c r="R12" s="2" t="n"/>
      <c r="S12" s="2" t="n"/>
      <c r="T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Annual meetings | Community calls | Conference participation | Interest, working, user, or advisory groups | Mailing lists and discussion forums (including Slack)</t>
        </is>
      </c>
      <c r="I13" s="2" t="n"/>
      <c r="J13" s="2" t="inlineStr">
        <is>
          <t>https://avalon.samvera.org/contact</t>
        </is>
      </c>
      <c r="K13" s="2" t="inlineStr">
        <is>
          <t>Unknown</t>
        </is>
      </c>
      <c r="L13" s="2" t="inlineStr">
        <is>
          <t>Contribute funds | Contribute to code | Contribute to documentation | Contribute to education or training | Contribute to governance | Contribute to user research or user testing</t>
        </is>
      </c>
      <c r="M13" s="2" t="n"/>
      <c r="N13" s="2" t="inlineStr">
        <is>
          <t>https://samvera.atlassian.net/wiki/x/KACfh</t>
        </is>
      </c>
      <c r="O13" s="2" t="inlineStr">
        <is>
          <t>Implemented/available</t>
        </is>
      </c>
      <c r="P13" s="2" t="inlineStr">
        <is>
          <t>https://samvera.atlassian.net/wiki/x/nAwnG</t>
        </is>
      </c>
      <c r="Q13" s="2" t="inlineStr">
        <is>
          <t>Formal</t>
        </is>
      </c>
      <c r="R13" s="2" t="inlineStr">
        <is>
          <t>https://samvera.atlassian.net/wiki/spaces/samvera/pages/1387986974/Samvera+Bylaws</t>
        </is>
      </c>
      <c r="S13" s="2" t="n"/>
      <c r="T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Annual meetings | Blogs | Conference participation | Mailing lists and discussion forums (including Slack) | Social media | Volunteer or ambassador network | Webinars and training</t>
        </is>
      </c>
      <c r="I14" s="2" t="n"/>
      <c r="J14" s="2" t="inlineStr">
        <is>
          <t>https://about.biodiversitylibrary.org/get-involved/</t>
        </is>
      </c>
      <c r="K14" s="2" t="inlineStr">
        <is>
          <t>Unknown</t>
        </is>
      </c>
      <c r="L14" s="2" t="inlineStr">
        <is>
          <t>Contribute funds</t>
        </is>
      </c>
      <c r="M14" s="2" t="n"/>
      <c r="N14" s="2" t="inlineStr">
        <is>
          <t>https://about.biodiversitylibrary.org/get-involved/</t>
        </is>
      </c>
      <c r="O14" s="2" t="inlineStr">
        <is>
          <t>Implemented/available</t>
        </is>
      </c>
      <c r="P14" s="2" t="inlineStr">
        <is>
          <t>https://about.biodiversitylibrary.org/about/bhl-code-of-conduct/</t>
        </is>
      </c>
      <c r="Q14" s="2" t="inlineStr">
        <is>
          <t>Formal</t>
        </is>
      </c>
      <c r="R14" s="2" t="inlineStr">
        <is>
          <t>https://about.biodiversitylibrary.org/about/bylaws/</t>
        </is>
      </c>
      <c r="S14" s="2" t="n">
        <v>38</v>
      </c>
      <c r="T14" s="2" t="inlineStr">
        <is>
          <t>https://about.biodiversitylibrary.org/about/bhl-consortium/</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Implemented/available</t>
        </is>
      </c>
      <c r="H15" s="2" t="n"/>
      <c r="I15"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J15" s="2" t="n"/>
      <c r="K15" s="2" t="inlineStr">
        <is>
          <t>Unknown</t>
        </is>
      </c>
      <c r="L15" s="2" t="n"/>
      <c r="M15" s="2" t="n"/>
      <c r="N15" s="2" t="n"/>
      <c r="O15" s="2" t="inlineStr">
        <is>
          <t>Considering</t>
        </is>
      </c>
      <c r="P15" s="2" t="n"/>
      <c r="Q15" s="2" t="inlineStr">
        <is>
          <t>Ad hoc</t>
        </is>
      </c>
      <c r="R15" s="2" t="n"/>
      <c r="S15" s="2" t="n"/>
      <c r="T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Annual meetings | Blogs | Community calls | Interest, working, user, or advisory groups | Mailing lists and discussion forums (including Slack) | Staff roles with responsibility for community engagement | Webinars and training</t>
        </is>
      </c>
      <c r="I16" s="2" t="n"/>
      <c r="J16" s="2" t="inlineStr">
        <is>
          <t>https://bitcuratorconsortium.org/get-involved/</t>
        </is>
      </c>
      <c r="K16" s="2" t="inlineStr">
        <is>
          <t>Unknown</t>
        </is>
      </c>
      <c r="L16" s="2" t="inlineStr">
        <is>
          <t>Contribute to code | Contribute to documentation | Contribute to education or training | Contribute to governance | Contribute to working groups or interest groups</t>
        </is>
      </c>
      <c r="M16" s="2" t="n"/>
      <c r="N16" s="2" t="inlineStr">
        <is>
          <t>https://bitcuratorconsortium.org/for-developers/</t>
        </is>
      </c>
      <c r="O16" s="2" t="inlineStr">
        <is>
          <t>Implemented/available</t>
        </is>
      </c>
      <c r="P16" s="2" t="inlineStr">
        <is>
          <t>https://bitcuratorconsortium.org/code-of-conduct/</t>
        </is>
      </c>
      <c r="Q16" s="2" t="inlineStr">
        <is>
          <t>Formal</t>
        </is>
      </c>
      <c r="R16" s="2" t="inlineStr">
        <is>
          <t>https://bitcuratorconsortium.org/bitcurator-consortium-charter/</t>
        </is>
      </c>
      <c r="S16" s="2" t="n">
        <v>30</v>
      </c>
      <c r="T16" s="2" t="inlineStr">
        <is>
          <t>https://bitcuratorconsortium.org/get-involved/</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Implemented/available</t>
        </is>
      </c>
      <c r="H17" s="2" t="inlineStr">
        <is>
          <t>Blogs | Community calls | Conference participation | Development sprints | Mailing lists and discussion forums (including Slack) | Social media | User research | Volunteer or ambassador network | Webinars and training</t>
        </is>
      </c>
      <c r="I17" s="2" t="n"/>
      <c r="J17" s="2" t="inlineStr">
        <is>
          <t>https://github.com/projectblacklight/blacklight/wiki#support</t>
        </is>
      </c>
      <c r="K17" s="2" t="inlineStr">
        <is>
          <t>Unknown</t>
        </is>
      </c>
      <c r="L17" s="2" t="inlineStr">
        <is>
          <t>Contribute funds | Contribute to code | Contribute to documentation | Contribute to education or training | Contribute to governance | Contribute to user research or user testing | Contribute to working groups or interest groups</t>
        </is>
      </c>
      <c r="M17" s="2" t="n"/>
      <c r="N17" s="2" t="inlineStr">
        <is>
          <t>https://github.com/projectblacklight/blacklight/wiki#contributing-to-blacklight</t>
        </is>
      </c>
      <c r="O17" s="2" t="inlineStr">
        <is>
          <t>In progress</t>
        </is>
      </c>
      <c r="P17" s="2" t="n"/>
      <c r="Q17" s="2" t="inlineStr">
        <is>
          <t>Ad hoc</t>
        </is>
      </c>
      <c r="R17" s="2" t="n"/>
      <c r="S17" s="2" t="n"/>
      <c r="T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In progress</t>
        </is>
      </c>
      <c r="H18" s="2" t="n"/>
      <c r="I18" s="2" t="n"/>
      <c r="J18" s="2" t="n"/>
      <c r="K18" s="2" t="inlineStr">
        <is>
          <t>Unknown</t>
        </is>
      </c>
      <c r="L18" s="2" t="n"/>
      <c r="M18" s="2" t="n"/>
      <c r="N18" s="2" t="n"/>
      <c r="O18" s="2" t="inlineStr">
        <is>
          <t>Implemented/available</t>
        </is>
      </c>
      <c r="P18" s="2" t="inlineStr">
        <is>
          <t>https://brcris.ibict.br/about</t>
        </is>
      </c>
      <c r="Q18" s="2" t="inlineStr">
        <is>
          <t>Ad hoc</t>
        </is>
      </c>
      <c r="R18" s="2" t="n"/>
      <c r="S18" s="2" t="n"/>
      <c r="T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Implemented/available</t>
        </is>
      </c>
      <c r="H19" s="2" t="inlineStr">
        <is>
          <t>Social media</t>
        </is>
      </c>
      <c r="I19" s="2" t="n"/>
      <c r="J19" s="2" t="inlineStr">
        <is>
          <t>https://forum.webrecorder.net/</t>
        </is>
      </c>
      <c r="K19" s="2" t="inlineStr">
        <is>
          <t>Unknown</t>
        </is>
      </c>
      <c r="L19" s="2" t="inlineStr">
        <is>
          <t>Contribute to code | Contribute to documentation</t>
        </is>
      </c>
      <c r="M19" s="2" t="n"/>
      <c r="N19" s="2" t="n"/>
      <c r="O19" s="2" t="inlineStr">
        <is>
          <t>Implemented/available</t>
        </is>
      </c>
      <c r="P19" s="2" t="inlineStr">
        <is>
          <t>https://github.com/webrecorder/browsertrix?tab=coc-ov-file</t>
        </is>
      </c>
      <c r="Q19" s="2" t="n"/>
      <c r="R19" s="2" t="n"/>
      <c r="S19" s="2" t="n"/>
      <c r="T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n"/>
      <c r="I20" s="2" t="n"/>
      <c r="J20" s="2" t="inlineStr">
        <is>
          <t>https://clockss.org/digital-archive-community/</t>
        </is>
      </c>
      <c r="K20" s="2" t="inlineStr">
        <is>
          <t>Unknown</t>
        </is>
      </c>
      <c r="L20" s="2" t="n"/>
      <c r="M20" s="2" t="n"/>
      <c r="N20" s="2" t="n"/>
      <c r="O20" s="2" t="inlineStr">
        <is>
          <t>Considering</t>
        </is>
      </c>
      <c r="P20" s="2" t="n"/>
      <c r="Q20" s="2" t="inlineStr">
        <is>
          <t>Formal</t>
        </is>
      </c>
      <c r="R20" s="2" t="inlineStr">
        <is>
          <t>https://clockss.org/wp-content/uploads/2024/03/DIGITAL-DISTRIBUTED-COMMUNITY-ARCHIVE-ByLaws.pdf</t>
        </is>
      </c>
      <c r="S20" s="2" t="n">
        <v>968</v>
      </c>
      <c r="T20" s="2" t="inlineStr">
        <is>
          <t>https://clockss.org/join-clockss/</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Blogs | Community calls | Development sprints | Volunteer or ambassador network</t>
        </is>
      </c>
      <c r="I21" s="2" t="n"/>
      <c r="J21" s="2" t="inlineStr">
        <is>
          <t>https://coar-repositories.org/wp-content/uploads/2025/07/COAR-IRD-Responsible-Organisation-Curation-Processes-website-July-2025.pdf</t>
        </is>
      </c>
      <c r="K21" s="2" t="inlineStr">
        <is>
          <t>Unknown</t>
        </is>
      </c>
      <c r="L21" s="2" t="inlineStr">
        <is>
          <t>Contribute to documentation | Contribute to user research or user testing</t>
        </is>
      </c>
      <c r="M21" s="2" t="n"/>
      <c r="N21" s="2" t="inlineStr">
        <is>
          <t>https://coar-repositories.org/what-we-do/coar-international-repository-directory/</t>
        </is>
      </c>
      <c r="O21" s="2" t="inlineStr">
        <is>
          <t>In progress</t>
        </is>
      </c>
      <c r="P21" s="2" t="n"/>
      <c r="Q21" s="2" t="inlineStr">
        <is>
          <t>Ad hoc</t>
        </is>
      </c>
      <c r="R21" s="2" t="n"/>
      <c r="S21" s="2" t="n"/>
      <c r="T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Blogs | Conference participation | Interest, working, user, or advisory groups | Mailing lists and discussion forums (including Slack) | Webinars and training</t>
        </is>
      </c>
      <c r="I22" s="2" t="n"/>
      <c r="J22" s="2" t="inlineStr">
        <is>
          <t>https://coar-notify.net/2024/notify-developers-meeting-2024/</t>
        </is>
      </c>
      <c r="K22" s="2" t="inlineStr">
        <is>
          <t>Unknown</t>
        </is>
      </c>
      <c r="L22" s="2" t="inlineStr">
        <is>
          <t>Contribute to code | Contribute to documentation | Contribute to education or training | Contribute to user research or user testing | Contribute to working groups or interest groups</t>
        </is>
      </c>
      <c r="M22" s="2" t="n"/>
      <c r="N22" s="2" t="inlineStr">
        <is>
          <t>https://coar-notify.net/guide/</t>
        </is>
      </c>
      <c r="O22" s="2" t="inlineStr">
        <is>
          <t>Considering</t>
        </is>
      </c>
      <c r="P22" s="2" t="n"/>
      <c r="Q22" s="2" t="inlineStr">
        <is>
          <t>Ad hoc</t>
        </is>
      </c>
      <c r="R22" s="2" t="n"/>
      <c r="S22" s="2" t="n"/>
      <c r="T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Implemented/available</t>
        </is>
      </c>
      <c r="H23" s="2" t="n"/>
      <c r="I23" s="2" t="n"/>
      <c r="J23" s="2" t="inlineStr">
        <is>
          <t>https://support.collectiveaccess.org</t>
        </is>
      </c>
      <c r="K23" s="2" t="inlineStr">
        <is>
          <t>Unknown</t>
        </is>
      </c>
      <c r="L23" s="2" t="n"/>
      <c r="M23" s="2" t="n"/>
      <c r="N23" s="2" t="inlineStr">
        <is>
          <t>https://collectiveaccess.org</t>
        </is>
      </c>
      <c r="O23" s="2" t="inlineStr">
        <is>
          <t>Unknown</t>
        </is>
      </c>
      <c r="P23" s="2" t="inlineStr">
        <is>
          <t>https://collectiveaccess.org</t>
        </is>
      </c>
      <c r="Q23" s="2" t="inlineStr">
        <is>
          <t>Ad hoc</t>
        </is>
      </c>
      <c r="R23" s="2" t="n"/>
      <c r="S23" s="2" t="n"/>
      <c r="T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n"/>
      <c r="I24"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J24" s="2" t="inlineStr">
        <is>
          <t>https://blog.core.ac.uk/2022/05/23/core-our-commitment-to-the-principles-of-open-scholarly-infrastructure/</t>
        </is>
      </c>
      <c r="K24" s="2" t="inlineStr">
        <is>
          <t>Implemented/available</t>
        </is>
      </c>
      <c r="L24" s="2" t="inlineStr">
        <is>
          <t>Contribute funds | Contribute to code | Contribute to documentation | Other</t>
        </is>
      </c>
      <c r="M24" s="2" t="n"/>
      <c r="N24" s="2" t="inlineStr">
        <is>
          <t>https://core.ac.uk/governance/supporters</t>
        </is>
      </c>
      <c r="O24" s="2" t="inlineStr">
        <is>
          <t>Implemented/available</t>
        </is>
      </c>
      <c r="P24" s="2" t="inlineStr">
        <is>
          <t>https://github.com/oacore/search/blob/master/CODE_OF_CONDUCT.md</t>
        </is>
      </c>
      <c r="Q24" s="2" t="inlineStr">
        <is>
          <t>Formal</t>
        </is>
      </c>
      <c r="R24" s="2" t="inlineStr">
        <is>
          <t>https://core.ac.uk/governance</t>
        </is>
      </c>
      <c r="S24" s="2" t="n"/>
      <c r="T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Annual meetings | Blogs | Community calls | Conference participation | Interest, working, user, or advisory groups | Mailing lists and discussion forums (including Slack) | Social media | Webinars and training</t>
        </is>
      </c>
      <c r="I25"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J25" s="2" t="inlineStr">
        <is>
          <t>https://www.countermetrics.org/about/strategy/</t>
        </is>
      </c>
      <c r="K25" s="2" t="inlineStr">
        <is>
          <t>Implemented/available</t>
        </is>
      </c>
      <c r="L25" s="2" t="inlineStr">
        <is>
          <t>Contribute funds | Contribute to documentation | Contribute to education or training | Contribute to governance | Contribute to working groups or interest groups</t>
        </is>
      </c>
      <c r="M25" s="2" t="n"/>
      <c r="N25" s="2" t="inlineStr">
        <is>
          <t>https://www.countermetrics.org/about/how-we-work/</t>
        </is>
      </c>
      <c r="O25" s="2" t="inlineStr">
        <is>
          <t>Implemented/available</t>
        </is>
      </c>
      <c r="P25" s="2" t="inlineStr">
        <is>
          <t>https://www.countermetrics.org/about/how-we-work/</t>
        </is>
      </c>
      <c r="Q25" s="2" t="inlineStr">
        <is>
          <t>Formal</t>
        </is>
      </c>
      <c r="R25" s="2" t="inlineStr">
        <is>
          <t>https://find-and-update.company-information.service.gov.uk/company/04865179/filing-history</t>
        </is>
      </c>
      <c r="S25" s="2" t="n"/>
      <c r="T25" s="2" t="inlineStr">
        <is>
          <t>https://www.countermetrics.org/members/</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n"/>
      <c r="I26" s="2" t="inlineStr">
        <is>
          <t>Dedicated Community Engagement Manager role, annual Global Summit for community members, periodic Community Conversations on emerging topics such as AI and Creative Commons, Community Spotlights on blog</t>
        </is>
      </c>
      <c r="J26" s="2" t="n"/>
      <c r="K26" s="2" t="inlineStr">
        <is>
          <t>Implemented/available</t>
        </is>
      </c>
      <c r="L26" s="2" t="inlineStr">
        <is>
          <t>Contribute funds | Contribute to code | Contribute to working groups or interest groups</t>
        </is>
      </c>
      <c r="M26" s="2" t="n"/>
      <c r="N26" s="2" t="inlineStr">
        <is>
          <t>https://network.creativecommons.org/get-involved/</t>
        </is>
      </c>
      <c r="O26" s="2" t="inlineStr">
        <is>
          <t>Implemented/available</t>
        </is>
      </c>
      <c r="P26" s="2" t="inlineStr">
        <is>
          <t>https://creativecommons.org/code-of-conduct/</t>
        </is>
      </c>
      <c r="Q26" s="2" t="n"/>
      <c r="R26" s="2" t="n"/>
      <c r="S26" s="2" t="n">
        <v>0</v>
      </c>
      <c r="T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n"/>
      <c r="I27"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J27" s="2" t="inlineStr">
        <is>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is>
      </c>
      <c r="K27" s="2" t="inlineStr">
        <is>
          <t>Implemented/available</t>
        </is>
      </c>
      <c r="L27" s="2" t="inlineStr">
        <is>
          <t>Contribute funds | Contribute to code | Contribute to documentation | Contribute to education or training | Contribute to working groups or interest groups</t>
        </is>
      </c>
      <c r="M27" s="2" t="n"/>
      <c r="N27" s="2" t="inlineStr">
        <is>
          <t>https://www.crossref.org/community</t>
        </is>
      </c>
      <c r="O27" s="2" t="inlineStr">
        <is>
          <t>Implemented/available</t>
        </is>
      </c>
      <c r="P27" s="2" t="inlineStr">
        <is>
          <t>https://www.crossref.org/code-of-conduct/</t>
        </is>
      </c>
      <c r="Q27" s="2" t="inlineStr">
        <is>
          <t>Formal</t>
        </is>
      </c>
      <c r="R27" s="2" t="inlineStr">
        <is>
          <t>https://www.crossref.org/board-and-governance/bylaws/</t>
        </is>
      </c>
      <c r="S27" s="2" t="n">
        <v>20000</v>
      </c>
      <c r="T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Considering</t>
        </is>
      </c>
      <c r="H28" s="2" t="n"/>
      <c r="I28" s="2" t="n"/>
      <c r="J28" s="2" t="n"/>
      <c r="K28" s="2" t="inlineStr">
        <is>
          <t>Unknown</t>
        </is>
      </c>
      <c r="L28" s="2" t="n"/>
      <c r="M28" s="2" t="n"/>
      <c r="N28" s="2" t="n"/>
      <c r="O28" s="2" t="inlineStr">
        <is>
          <t>Considering</t>
        </is>
      </c>
      <c r="P28" s="2" t="n"/>
      <c r="Q28" s="2" t="n"/>
      <c r="R28" s="2" t="n"/>
      <c r="S28" s="2" t="n"/>
      <c r="T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n"/>
      <c r="I29" s="2" t="n"/>
      <c r="J29" s="2" t="inlineStr">
        <is>
          <t>https://aptrust.org/resources/user-groups/dart-user-group/</t>
        </is>
      </c>
      <c r="K29" s="2" t="inlineStr">
        <is>
          <t>Unknown</t>
        </is>
      </c>
      <c r="L29" s="2" t="inlineStr">
        <is>
          <t>Contribute funds | Contribute to code | Contribute to documentation | Contribute to education or training | Contribute to governance | Contribute to user research or user testing | Contribute to working groups or interest groups</t>
        </is>
      </c>
      <c r="M29" s="2" t="n"/>
      <c r="N29" s="2" t="inlineStr">
        <is>
          <t>https://aptrust.org/documentation-page/dart-digital-archivists-resource-tool/</t>
        </is>
      </c>
      <c r="O29" s="2" t="inlineStr">
        <is>
          <t>Considering</t>
        </is>
      </c>
      <c r="P29" s="2" t="n"/>
      <c r="Q29" s="2" t="inlineStr">
        <is>
          <t>Formal</t>
        </is>
      </c>
      <c r="R29" s="2" t="inlineStr">
        <is>
          <t>https://aptrust.org/resources/policies/#governance-manual</t>
        </is>
      </c>
      <c r="S29" s="2" t="n"/>
      <c r="T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Annual meetings | Blogs | Conference participation | Mailing lists and discussion forums (including Slack) | Staff roles with responsibility for community engagement | User research | Webinars and training</t>
        </is>
      </c>
      <c r="I30" s="2" t="n"/>
      <c r="J30" s="2" t="n"/>
      <c r="K30" s="2" t="inlineStr">
        <is>
          <t>Unknown</t>
        </is>
      </c>
      <c r="L30" s="2" t="inlineStr">
        <is>
          <t>Contribute to working groups or interest groups</t>
        </is>
      </c>
      <c r="M30" s="2" t="n"/>
      <c r="N30" s="2" t="n"/>
      <c r="O30" s="2" t="inlineStr">
        <is>
          <t>Considering</t>
        </is>
      </c>
      <c r="P30" s="2" t="n"/>
      <c r="Q30" s="2" t="inlineStr">
        <is>
          <t>Ad hoc</t>
        </is>
      </c>
      <c r="R30" s="2" t="n"/>
      <c r="S30" s="2" t="n"/>
      <c r="T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Blogs | Conference participation | Interest, working, user, or advisory groups | Mailing lists and discussion forums (including Slack) | Social media | Webinars and training</t>
        </is>
      </c>
      <c r="I31" s="2" t="n"/>
      <c r="J31" s="2" t="inlineStr">
        <is>
          <t>https://makedatacount.org/get-involved/</t>
        </is>
      </c>
      <c r="K31" s="2" t="inlineStr">
        <is>
          <t>Unknown</t>
        </is>
      </c>
      <c r="L31" s="2" t="inlineStr">
        <is>
          <t>Other</t>
        </is>
      </c>
      <c r="M31" s="2" t="inlineStr">
        <is>
          <t>Groups can contribute citations to the Corpus</t>
        </is>
      </c>
      <c r="N31" s="2" t="inlineStr">
        <is>
          <t>https://makedatacount.org/get-involved/</t>
        </is>
      </c>
      <c r="O31" s="2" t="inlineStr">
        <is>
          <t>Not planning</t>
        </is>
      </c>
      <c r="P31" s="2" t="n"/>
      <c r="Q31" s="2" t="inlineStr">
        <is>
          <t>Ad hoc</t>
        </is>
      </c>
      <c r="R31" s="2" t="n"/>
      <c r="S31" s="2" t="n"/>
      <c r="T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n"/>
      <c r="I32"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J32" s="2" t="inlineStr">
        <is>
          <t>https://datacite.org/cesg/  https://datacite.org/blog/our-commitment-to-posi/  https://datacite.org/what-we-do/</t>
        </is>
      </c>
      <c r="K32" s="2" t="inlineStr">
        <is>
          <t>Considering</t>
        </is>
      </c>
      <c r="L32" s="2" t="inlineStr">
        <is>
          <t>Contribute funds | Contribute to documentation | Contribute to working groups or interest groups | Other</t>
        </is>
      </c>
      <c r="M32" s="2" t="n"/>
      <c r="N32" s="2" t="inlineStr">
        <is>
          <t>https://datacite.org/roadmap/</t>
        </is>
      </c>
      <c r="O32" s="2" t="inlineStr">
        <is>
          <t>Implemented/available</t>
        </is>
      </c>
      <c r="P32" s="2" t="inlineStr">
        <is>
          <t>https://datacite.org/datacite-code-of-conduct</t>
        </is>
      </c>
      <c r="Q32" s="2" t="inlineStr">
        <is>
          <t>Formal</t>
        </is>
      </c>
      <c r="R32" s="2" t="inlineStr">
        <is>
          <t>https://datacite.org/wp-content/uploads/2023/06/Statutes_26April2022.pdf</t>
        </is>
      </c>
      <c r="S32" s="2" t="n">
        <v>1389</v>
      </c>
      <c r="T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Annual meetings | Blogs | Community calls | Conference participation | Interest, working, user, or advisory groups | Mailing lists and discussion forums (including Slack) | Social media | User research | Volunteer or ambassador network | Webinars and training</t>
        </is>
      </c>
      <c r="I33" s="2" t="n"/>
      <c r="J33" s="2" t="inlineStr">
        <is>
          <t>https://discord.gg/MW3H9tdMcT</t>
        </is>
      </c>
      <c r="K33" s="2" t="inlineStr">
        <is>
          <t>Unknown</t>
        </is>
      </c>
      <c r="L33" s="2" t="inlineStr">
        <is>
          <t>Contribute to code | Contribute to documentation | Contribute to education or training | Contribute to governance | Contribute to user research or user testing</t>
        </is>
      </c>
      <c r="M33" s="2" t="n"/>
      <c r="N33" s="2" t="inlineStr">
        <is>
          <t>https://guide.ds-wizard.org/en/latest/more/development/contributing.html</t>
        </is>
      </c>
      <c r="O33" s="2" t="inlineStr">
        <is>
          <t>Implemented/available</t>
        </is>
      </c>
      <c r="P33" s="2" t="inlineStr">
        <is>
          <t>https://discord.com/channels/693010138302513174/1102900416783597620</t>
        </is>
      </c>
      <c r="Q33" s="2" t="inlineStr">
        <is>
          <t>Ad hoc</t>
        </is>
      </c>
      <c r="R33" s="2" t="n"/>
      <c r="S33" s="2" t="n"/>
      <c r="T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n"/>
      <c r="I34"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J34" s="2" t="inlineStr">
        <is>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is>
      </c>
      <c r="K34" s="2" t="inlineStr">
        <is>
          <t>Implemented/available</t>
        </is>
      </c>
      <c r="L34" s="2" t="inlineStr">
        <is>
          <t>Contribute to code | Contribute to documentation | Contribute to education or training | Contribute to working groups or interest groups</t>
        </is>
      </c>
      <c r="M34" s="2" t="n"/>
      <c r="N34" s="2" t="inlineStr">
        <is>
          <t>https://dataverse.org/community-calls</t>
        </is>
      </c>
      <c r="O34" s="2" t="inlineStr">
        <is>
          <t>Implemented/available</t>
        </is>
      </c>
      <c r="P34" s="2" t="inlineStr">
        <is>
          <t>https://github.com/IQSS/dataverse/blob/develop/CODE_OF_CONDUCT.md</t>
        </is>
      </c>
      <c r="Q34" s="2" t="inlineStr">
        <is>
          <t>Ad hoc</t>
        </is>
      </c>
      <c r="R34" s="2" t="n"/>
      <c r="S34" s="2" t="n">
        <v>0</v>
      </c>
      <c r="T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Community calls | Conference participation | Interest, working, user, or advisory groups | Webinars and training</t>
        </is>
      </c>
      <c r="I35" s="2" t="n"/>
      <c r="J35" s="2" t="inlineStr">
        <is>
          <t>https://gitlab.unige.ch/dlcm/community/dlcm-backend/-/blob/master/CODE_OF_CONDUCT.adoc?ref_type=heads</t>
        </is>
      </c>
      <c r="K35" s="2" t="inlineStr">
        <is>
          <t>Unknown</t>
        </is>
      </c>
      <c r="L35" s="2" t="n"/>
      <c r="M35" s="2" t="n"/>
      <c r="N35" s="2" t="inlineStr">
        <is>
          <t>https://gitlab.unige.ch/dlcm/community/dlcm-backend/-/blob/master/CONTRIBUTING.adoc?ref_type=heads</t>
        </is>
      </c>
      <c r="O35" s="2" t="inlineStr">
        <is>
          <t>Implemented/available</t>
        </is>
      </c>
      <c r="P35" s="2" t="inlineStr">
        <is>
          <t>https://gitlab.unige.ch/dlcm/community/dlcm-backend/-/blob/master/CODE_OF_CONDUCT.adoc?ref_type=heads</t>
        </is>
      </c>
      <c r="Q35" s="2" t="n"/>
      <c r="R35" s="2" t="n"/>
      <c r="S35" s="2" t="n">
        <v>5</v>
      </c>
      <c r="T35" s="2" t="inlineStr">
        <is>
          <t>https://olos.swiss/pricing/memberships</t>
        </is>
      </c>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Community calls | Conference participation | Interest, working, user, or advisory groups | Webinars and training</t>
        </is>
      </c>
      <c r="I36" s="2" t="n"/>
      <c r="J36" s="2" t="inlineStr">
        <is>
          <t>https://olos.swiss/events</t>
        </is>
      </c>
      <c r="K36" s="2" t="inlineStr">
        <is>
          <t>Unknown</t>
        </is>
      </c>
      <c r="L36" s="2" t="n"/>
      <c r="M36" s="2" t="n"/>
      <c r="N36" s="2" t="inlineStr">
        <is>
          <t>https://gitlab.unige.ch/dlcm/ui/dlcm-portal/-/blob/master/CONTRIBUTING.adoc?ref_type=heads</t>
        </is>
      </c>
      <c r="O36" s="2" t="inlineStr">
        <is>
          <t>Implemented/available</t>
        </is>
      </c>
      <c r="P36" s="2" t="inlineStr">
        <is>
          <t>https://gitlab.unige.ch/dlcm/ui/dlcm-portal/-/blob/master/CODE_OF_CONDUCT.adoc?ref_type=heads</t>
        </is>
      </c>
      <c r="Q36" s="2" t="n"/>
      <c r="R36" s="2" t="n"/>
      <c r="S36" s="2" t="n"/>
      <c r="T36" s="2" t="inlineStr">
        <is>
          <t>https://olos.swiss/pricing/memberships</t>
        </is>
      </c>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Implemented/available</t>
        </is>
      </c>
      <c r="H37" s="2" t="inlineStr">
        <is>
          <t>Blogs | Community calls | Conference participation | Mailing lists and discussion forums (including Slack) | Social media | Staff roles with responsibility for community engagement | User research | Webinars and training</t>
        </is>
      </c>
      <c r="I37" s="2" t="n"/>
      <c r="J37" s="2" t="n"/>
      <c r="K37" s="2" t="inlineStr">
        <is>
          <t>Unknown</t>
        </is>
      </c>
      <c r="L37" s="2" t="inlineStr">
        <is>
          <t>Other</t>
        </is>
      </c>
      <c r="M37" s="2" t="n"/>
      <c r="N37" s="2" t="n"/>
      <c r="O37" s="2" t="inlineStr">
        <is>
          <t>Not planning</t>
        </is>
      </c>
      <c r="P37" s="2" t="n"/>
      <c r="Q37" s="2" t="n"/>
      <c r="R37" s="2" t="n"/>
      <c r="S37" s="2" t="n"/>
      <c r="T37" s="2" t="inlineStr">
        <is>
          <t>https://dmptool.org/public_orgs</t>
        </is>
      </c>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Blogs | Community calls | Conference participation | Interest, working, user, or advisory groups | Social media | User research | Volunteer or ambassador network | Webinars and training | Other</t>
        </is>
      </c>
      <c r="I38"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J38" s="2" t="n"/>
      <c r="K38" s="2" t="inlineStr">
        <is>
          <t>Unknown</t>
        </is>
      </c>
      <c r="L38" s="2" t="inlineStr">
        <is>
          <t>Contribute to code | Contribute to documentation | Contribute to education or training | Contribute to user research or user testing | Contribute to working groups or interest groups</t>
        </is>
      </c>
      <c r="M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N38" s="2" t="n"/>
      <c r="O38" s="2" t="inlineStr">
        <is>
          <t>Implemented/available</t>
        </is>
      </c>
      <c r="P38" s="2" t="inlineStr">
        <is>
          <t>https://doaj.org/code-of-conduct/</t>
        </is>
      </c>
      <c r="Q38" s="2" t="inlineStr">
        <is>
          <t>Formal</t>
        </is>
      </c>
      <c r="R38" s="2" t="inlineStr">
        <is>
          <t>https://doaj.org/about/advisory-board-council/</t>
        </is>
      </c>
      <c r="S38" s="2" t="n">
        <v>600</v>
      </c>
      <c r="T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Implemented/available</t>
        </is>
      </c>
      <c r="H39" s="2" t="n"/>
      <c r="I39" s="2" t="inlineStr">
        <is>
          <t>Workshops and presentations at conferences. There is a community chat answering users and developers questions since 2015.
W3C TAG Ethical Web Principles: &lt;a href="https://www.w3.org/TR/ethical-web-principles/" target="_blank"&gt;https://www.w3.org/TR/ethical-web-principles/&lt;/a&gt;</t>
        </is>
      </c>
      <c r="J39" s="2" t="inlineStr">
        <is>
          <t>https://www.w3.org/TR/ethical-web-principles/</t>
        </is>
      </c>
      <c r="K39" s="2" t="inlineStr">
        <is>
          <t>Unknown</t>
        </is>
      </c>
      <c r="L39" s="2" t="inlineStr">
        <is>
          <t>Contribute funds | Contribute to code | Contribute to documentation | Contribute to education or training</t>
        </is>
      </c>
      <c r="M39" s="2" t="n"/>
      <c r="N39" s="2" t="inlineStr">
        <is>
          <t>https://github.com/linkeddata/dokieli</t>
        </is>
      </c>
      <c r="O39" s="2" t="inlineStr">
        <is>
          <t>Implemented/available</t>
        </is>
      </c>
      <c r="P39" s="2" t="inlineStr">
        <is>
          <t>https://github.com/linkeddata/dokieli/blob/main/CODE-OF-CONDUCT.md</t>
        </is>
      </c>
      <c r="Q39" s="2" t="n"/>
      <c r="R39" s="2" t="n"/>
      <c r="S39" s="2" t="n"/>
      <c r="T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n"/>
      <c r="I40"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J40" s="2" t="inlineStr">
        <is>
          <t>https://blog.datadryad.org/2020/12/08/dryads-commitment-to-the-principles-of-open-scholarly-infrastructure/.</t>
        </is>
      </c>
      <c r="K40" s="2" t="inlineStr">
        <is>
          <t>Unknown</t>
        </is>
      </c>
      <c r="L40" s="2" t="inlineStr">
        <is>
          <t>Contribute funds | Contribute to education or training | Contribute to governance | Contribute to working groups or interest groups</t>
        </is>
      </c>
      <c r="M40" s="2" t="n"/>
      <c r="N40" s="2" t="n"/>
      <c r="O40" s="2" t="inlineStr">
        <is>
          <t>Implemented/available</t>
        </is>
      </c>
      <c r="P40" s="2" t="inlineStr">
        <is>
          <t>https://datadryad.org/stash/code_of_conduct</t>
        </is>
      </c>
      <c r="Q40" s="2" t="inlineStr">
        <is>
          <t>Formal</t>
        </is>
      </c>
      <c r="R40" s="2" t="inlineStr">
        <is>
          <t>https://datadryad.org/docs/DryadBylaws.pdf</t>
        </is>
      </c>
      <c r="S40" s="2" t="n">
        <v>84</v>
      </c>
      <c r="T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Annual meetings | Conference participation | Development sprints | Interest, working, user, or advisory groups | Mailing lists and discussion forums (including Slack) | Staff roles with responsibility for community engagement | Webinars and training</t>
        </is>
      </c>
      <c r="I41" s="2" t="inlineStr">
        <is>
          <t>COAR Next Generation Repositories Principles &lt;a href="https://ngr.coar-repositories.org/principles/" target="_blank"&gt;https://ngr.coar-repositories.org/principles/&lt;/a&gt;</t>
        </is>
      </c>
      <c r="J41" s="2" t="inlineStr">
        <is>
          <t>https://dspace.org/join-the-community/</t>
        </is>
      </c>
      <c r="K41" s="2" t="inlineStr">
        <is>
          <t>Implemented/available</t>
        </is>
      </c>
      <c r="L41" s="2" t="inlineStr">
        <is>
          <t>Contribute funds | Contribute to code | Contribute to documentation | Contribute to education or training | Contribute to governance | Contribute to peer reviews | Contribute to working groups or interest groups</t>
        </is>
      </c>
      <c r="M41" s="2" t="n"/>
      <c r="N41" s="2" t="inlineStr">
        <is>
          <t>https://dspace.org/community-contributors/</t>
        </is>
      </c>
      <c r="O41" s="2" t="inlineStr">
        <is>
          <t>Implemented/available</t>
        </is>
      </c>
      <c r="P41" s="2" t="inlineStr">
        <is>
          <t>https://www.lyrasis.org/about/Pages/Code-of-Conduct.aspx</t>
        </is>
      </c>
      <c r="Q41" s="2" t="inlineStr">
        <is>
          <t>Formal</t>
        </is>
      </c>
      <c r="R41" s="2" t="inlineStr">
        <is>
          <t>https://dspace.org/governance</t>
        </is>
      </c>
      <c r="S41" s="2" t="n">
        <v>103</v>
      </c>
      <c r="T41" s="2" t="inlineStr">
        <is>
          <t>https://dspace.org/meet-our-members/</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Implemented/available</t>
        </is>
      </c>
      <c r="H42" s="2" t="n"/>
      <c r="I42" s="2" t="n"/>
      <c r="J42" s="2" t="n"/>
      <c r="K42" s="2" t="inlineStr">
        <is>
          <t>Unknown</t>
        </is>
      </c>
      <c r="L42" s="2" t="n"/>
      <c r="M42" s="2" t="n"/>
      <c r="N42" s="2" t="inlineStr">
        <is>
          <t>https://github.com/duracloud/duracloud/blob/develop/CONTRIBUTING.md</t>
        </is>
      </c>
      <c r="O42" s="2" t="inlineStr">
        <is>
          <t>Implemented/available</t>
        </is>
      </c>
      <c r="P42" s="2" t="inlineStr">
        <is>
          <t>https://lyrasis.org/code-of-conduct/</t>
        </is>
      </c>
      <c r="Q42" s="2" t="n"/>
      <c r="R42" s="2" t="n"/>
      <c r="S42" s="2" t="n"/>
      <c r="T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In progress</t>
        </is>
      </c>
      <c r="H43" s="2" t="n"/>
      <c r="I43" s="2" t="n"/>
      <c r="J43" s="2" t="n"/>
      <c r="K43" s="2" t="inlineStr">
        <is>
          <t>Unknown</t>
        </is>
      </c>
      <c r="L43" s="2" t="n"/>
      <c r="M43" s="2" t="n"/>
      <c r="N43" s="2" t="n"/>
      <c r="O43" s="2" t="inlineStr">
        <is>
          <t>Considering</t>
        </is>
      </c>
      <c r="P43" s="2" t="n"/>
      <c r="Q43" s="2" t="inlineStr">
        <is>
          <t>Ad hoc</t>
        </is>
      </c>
      <c r="R43" s="2" t="inlineStr">
        <is>
          <t>https://www.episciences.org/governance/</t>
        </is>
      </c>
      <c r="S43" s="2" t="n"/>
      <c r="T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Implemented/available</t>
        </is>
      </c>
      <c r="H44" s="2" t="n"/>
      <c r="I44" s="2" t="n"/>
      <c r="J44" s="2" t="inlineStr">
        <is>
          <t>https://community.eprints.org</t>
        </is>
      </c>
      <c r="K44" s="2" t="inlineStr">
        <is>
          <t>Unknown</t>
        </is>
      </c>
      <c r="L44" s="2" t="n"/>
      <c r="M44" s="2" t="n"/>
      <c r="N44" s="2" t="inlineStr">
        <is>
          <t>https://wiki.eprints.org/w/Main_Page#Contributing_to_the_Wiki;</t>
        </is>
      </c>
      <c r="O44" s="2" t="inlineStr">
        <is>
          <t>In progress</t>
        </is>
      </c>
      <c r="P44" s="2" t="n"/>
      <c r="Q44" s="2" t="n"/>
      <c r="R44" s="2" t="n"/>
      <c r="S44" s="2" t="n"/>
      <c r="T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n"/>
      <c r="I45" s="2" t="inlineStr">
        <is>
          <t>DORA, Dimensions charter, Helsinki initiative</t>
        </is>
      </c>
      <c r="J45" s="2" t="inlineStr">
        <is>
          <t>https://www.coalition-publi.ca/community</t>
        </is>
      </c>
      <c r="K45" s="2" t="inlineStr">
        <is>
          <t>Implemented/available</t>
        </is>
      </c>
      <c r="L45" s="2" t="inlineStr">
        <is>
          <t>Contribute to education or training | Contribute to peer reviews</t>
        </is>
      </c>
      <c r="M45" s="2" t="n"/>
      <c r="N45" s="2" t="inlineStr">
        <is>
          <t>https://www.erudit.org/public/documents/TOR_CoalitionPublica_Journal%20User%20Group.pdf</t>
        </is>
      </c>
      <c r="O45" s="2" t="inlineStr">
        <is>
          <t>Implemented/available</t>
        </is>
      </c>
      <c r="P45" s="2" t="inlineStr">
        <is>
          <t>https://www.erudit.org/public/documents/CoalitionPublica_bilingue.pdf</t>
        </is>
      </c>
      <c r="Q45" s="2" t="inlineStr">
        <is>
          <t>Formal</t>
        </is>
      </c>
      <c r="R45" s="2" t="inlineStr">
        <is>
          <t>https://apropos.erudit.org/direction-et-conseils/?lang=en</t>
        </is>
      </c>
      <c r="S45" s="2" t="n">
        <v>1200</v>
      </c>
      <c r="T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n"/>
      <c r="I46"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J46" s="2" t="inlineStr">
        <is>
          <t>https://europepmc.org/Outreach  http://blog.europepmc.org/2022/02/EPMC-adopts-POSI.html</t>
        </is>
      </c>
      <c r="K46" s="2" t="inlineStr">
        <is>
          <t>Implemented/available</t>
        </is>
      </c>
      <c r="L46" s="2" t="inlineStr">
        <is>
          <t>Contribute to code | Contribute to education or training | Contribute to user research or user testing</t>
        </is>
      </c>
      <c r="M46" s="2" t="n"/>
      <c r="N46" s="2" t="inlineStr">
        <is>
          <t>https://europepmc.org/Outreach</t>
        </is>
      </c>
      <c r="O46" s="2" t="inlineStr">
        <is>
          <t>Implemented/available</t>
        </is>
      </c>
      <c r="P46" s="2" t="inlineStr">
        <is>
          <t>https://www.embl.org/about/info/course-and-conference-office/information-for-participants/code-of-conduct/</t>
        </is>
      </c>
      <c r="Q46" s="2" t="inlineStr">
        <is>
          <t>Formal</t>
        </is>
      </c>
      <c r="R46" s="2" t="inlineStr">
        <is>
          <t>https://europepmc.org/Governance</t>
        </is>
      </c>
      <c r="S46" s="2" t="n"/>
      <c r="T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Implemented/available</t>
        </is>
      </c>
      <c r="H47" s="2" t="inlineStr">
        <is>
          <t>Annual meetings | Blogs | Conference participation | Social media | User research | Webinars and training</t>
        </is>
      </c>
      <c r="I47" s="2" t="n"/>
      <c r="J47" s="2" t="inlineStr">
        <is>
          <t>https://fair-wizard.com/blog</t>
        </is>
      </c>
      <c r="K47" s="2" t="inlineStr">
        <is>
          <t>Unknown</t>
        </is>
      </c>
      <c r="L47" s="2" t="inlineStr">
        <is>
          <t>Contribute to documentation | Contribute to education or training | Contribute to working groups or interest groups | Other</t>
        </is>
      </c>
      <c r="M47" s="2" t="inlineStr">
        <is>
          <t>Content creation</t>
        </is>
      </c>
      <c r="N47" s="2" t="n"/>
      <c r="O47" s="2" t="inlineStr">
        <is>
          <t>Considering</t>
        </is>
      </c>
      <c r="P47" s="2" t="n"/>
      <c r="Q47" s="2" t="inlineStr">
        <is>
          <t>Ad hoc</t>
        </is>
      </c>
      <c r="R47" s="2" t="n"/>
      <c r="S47" s="2" t="n"/>
      <c r="T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is>
      </c>
      <c r="I48"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J48" s="2" t="inlineStr">
        <is>
          <t>https://fedorarepository.org/join-the-community/</t>
        </is>
      </c>
      <c r="K48" s="2" t="inlineStr">
        <is>
          <t>Implemented/available</t>
        </is>
      </c>
      <c r="L48" s="2" t="inlineStr">
        <is>
          <t>Contribute funds | Contribute to code | Contribute to documentation | Contribute to education or training | Contribute to governance | Contribute to peer reviews | Contribute to user research or user testing | Contribute to working groups or interest groups</t>
        </is>
      </c>
      <c r="M48" s="2" t="n"/>
      <c r="N48" s="2" t="inlineStr">
        <is>
          <t>https://wiki.lyrasis.org/display/FF/Developer+Resources</t>
        </is>
      </c>
      <c r="O48" s="2" t="inlineStr">
        <is>
          <t>Implemented/available</t>
        </is>
      </c>
      <c r="P48" s="2" t="inlineStr">
        <is>
          <t>https://www.lyrasis.org/about/Pages/Code-of-Conduct.aspx</t>
        </is>
      </c>
      <c r="Q48" s="2" t="inlineStr">
        <is>
          <t>Formal</t>
        </is>
      </c>
      <c r="R48" s="2" t="inlineStr">
        <is>
          <t>https://wiki.lyrasis.org/display/FF/Project+Governance</t>
        </is>
      </c>
      <c r="S48" s="2" t="n">
        <v>46</v>
      </c>
      <c r="T48" s="2" t="inlineStr">
        <is>
          <t>https://fedorarepository.org/meet-our-members/</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Annual meetings | Conference participation | Interest, working, user, or advisory groups | Mailing lists and discussion forums (including Slack) | Social media | Staff roles with responsibility for community engagement | User research | Webinars and training</t>
        </is>
      </c>
      <c r="I49" s="2" t="n"/>
      <c r="J49" s="2" t="inlineStr">
        <is>
          <t>https://openpreservation.org/resources/</t>
        </is>
      </c>
      <c r="K49" s="2" t="inlineStr">
        <is>
          <t>Unknown</t>
        </is>
      </c>
      <c r="L49" s="2" t="inlineStr">
        <is>
          <t>Contribute to code | Contribute to documentation | Contribute to working groups or interest groups</t>
        </is>
      </c>
      <c r="M49" s="2" t="n"/>
      <c r="N49" s="2" t="inlineStr">
        <is>
          <t>https://openpreservation.org/resources/member-groups/</t>
        </is>
      </c>
      <c r="O49" s="2" t="inlineStr">
        <is>
          <t>Considering</t>
        </is>
      </c>
      <c r="P49" s="2" t="n"/>
      <c r="Q49" s="2" t="inlineStr">
        <is>
          <t>Formal</t>
        </is>
      </c>
      <c r="R49" s="2" t="n"/>
      <c r="S49" s="2" t="n">
        <v>32</v>
      </c>
      <c r="T49" s="2" t="inlineStr">
        <is>
          <t>https://openpreservation.org/membership/why-join/</t>
        </is>
      </c>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n"/>
      <c r="I50"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J50" s="2" t="n"/>
      <c r="K50" s="2" t="inlineStr">
        <is>
          <t>Unknown</t>
        </is>
      </c>
      <c r="L50" s="2" t="inlineStr">
        <is>
          <t>Contribute to code | Contribute to working groups or interest groups</t>
        </is>
      </c>
      <c r="M50" s="2" t="n"/>
      <c r="N50" s="2" t="n"/>
      <c r="O50" s="2" t="inlineStr">
        <is>
          <t>Implemented/available</t>
        </is>
      </c>
      <c r="P50" s="2" t="inlineStr">
        <is>
          <t>https://www.fulcrum.org/terms/</t>
        </is>
      </c>
      <c r="Q50" s="2" t="inlineStr">
        <is>
          <t>Ad hoc</t>
        </is>
      </c>
      <c r="R50" s="2" t="n"/>
      <c r="S50" s="2" t="n">
        <v>1</v>
      </c>
      <c r="T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n"/>
      <c r="I51" s="2" t="n"/>
      <c r="J51" s="2" t="inlineStr">
        <is>
          <t>https://galaxyproject.org/community/</t>
        </is>
      </c>
      <c r="K51" s="2" t="inlineStr">
        <is>
          <t>Unknown</t>
        </is>
      </c>
      <c r="L51" s="2" t="n"/>
      <c r="M51" s="2" t="n"/>
      <c r="N51" s="2" t="inlineStr">
        <is>
          <t>https://galaxyproject.org/community/contributing/</t>
        </is>
      </c>
      <c r="O51" s="2" t="inlineStr">
        <is>
          <t>Implemented/available</t>
        </is>
      </c>
      <c r="P51" s="2" t="inlineStr">
        <is>
          <t>https://galaxyproject.org/community/coc/</t>
        </is>
      </c>
      <c r="Q51" s="2" t="inlineStr">
        <is>
          <t>Formal</t>
        </is>
      </c>
      <c r="R51" s="2" t="inlineStr">
        <is>
          <t>https://galaxyproject.org/community/governance/</t>
        </is>
      </c>
      <c r="S51" s="2" t="n"/>
      <c r="T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Blogs | Community calls | Conference participation | Development sprints | Mailing lists and discussion forums (including Slack) | Social media</t>
        </is>
      </c>
      <c r="I52" s="2" t="n"/>
      <c r="J52" s="2" t="inlineStr">
        <is>
          <t>https://geoserver.org/comm/</t>
        </is>
      </c>
      <c r="K52" s="2" t="inlineStr">
        <is>
          <t>Unknown</t>
        </is>
      </c>
      <c r="L52" s="2" t="inlineStr">
        <is>
          <t>Contribute to code</t>
        </is>
      </c>
      <c r="M52" s="2" t="n"/>
      <c r="N52" s="2" t="inlineStr">
        <is>
          <t>https://github.com/geoserver/geoserver/blob/main/CONTRIBUTING.md</t>
        </is>
      </c>
      <c r="O52" s="2" t="inlineStr">
        <is>
          <t>Implemented/available</t>
        </is>
      </c>
      <c r="P52" s="2" t="inlineStr">
        <is>
          <t>https://geoserver.org/comm/userlist-guidelines.html</t>
        </is>
      </c>
      <c r="Q52" s="2" t="inlineStr">
        <is>
          <t>Formal</t>
        </is>
      </c>
      <c r="R52" s="2" t="inlineStr">
        <is>
          <t>https://docs.geoserver.org/latest/en/developer/policies/index.html</t>
        </is>
      </c>
      <c r="S52" s="2" t="n"/>
      <c r="T52" s="2" t="inlineStr">
        <is>
          <t>https://geoserver.org/devel/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3"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J53" s="2" t="n"/>
      <c r="K53" s="2" t="inlineStr">
        <is>
          <t>Implemented/available</t>
        </is>
      </c>
      <c r="L53" s="2" t="inlineStr">
        <is>
          <t>Contribute funds | Contribute to code | Contribute to documentation | Contribute to education or training | Contribute to governance | Contribute to working groups or interest groups</t>
        </is>
      </c>
      <c r="M53" s="2" t="n"/>
      <c r="N53" s="2" t="inlineStr">
        <is>
          <t>https://samvera.atlassian.net/wiki/spaces/samvera/pages/405211682/Getting+Started+in+the+Samvera+Community</t>
        </is>
      </c>
      <c r="O53" s="2" t="inlineStr">
        <is>
          <t>Implemented/available</t>
        </is>
      </c>
      <c r="P53" s="2" t="inlineStr">
        <is>
          <t>https://samvera.atlassian.net/wiki/spaces/samvera/pages/405212316/Samvera+Code+of+Conduct+and+Anti-Harassment+Policy</t>
        </is>
      </c>
      <c r="Q53" s="2" t="inlineStr">
        <is>
          <t>Formal</t>
        </is>
      </c>
      <c r="R53" s="2" t="inlineStr">
        <is>
          <t>https://samvera.atlassian.net/wiki/spaces/samvera/pages/1387986974/Samvera+Bylaws</t>
        </is>
      </c>
      <c r="S53" s="2" t="n">
        <v>31</v>
      </c>
      <c r="T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4" s="2" t="n"/>
      <c r="J54" s="2" t="inlineStr">
        <is>
          <t>https://samvera.atlassian.net/wiki/spaces/samvera/pages/405211682/Getting+Started+in+the+Samvera+Community</t>
        </is>
      </c>
      <c r="K54" s="2" t="inlineStr">
        <is>
          <t>Unknown</t>
        </is>
      </c>
      <c r="L54" s="2" t="inlineStr">
        <is>
          <t>Contribute funds | Contribute to code | Contribute to documentation | Contribute to education or training | Contribute to governance | Contribute to user research or user testing | Contribute to working groups or interest groups</t>
        </is>
      </c>
      <c r="M54" s="2" t="n"/>
      <c r="N54" s="2" t="inlineStr">
        <is>
          <t>https://samvera.atlassian.net/wiki/spaces/samvera/pages/405211658/Licensed+software+acceptance+procedure</t>
        </is>
      </c>
      <c r="O54" s="2" t="inlineStr">
        <is>
          <t>Implemented/available</t>
        </is>
      </c>
      <c r="P54" s="2" t="inlineStr">
        <is>
          <t>https://samvera.atlassian.net/wiki/spaces/samvera/pages/1947631640/Samvera+Community+Guidelines</t>
        </is>
      </c>
      <c r="Q54" s="2" t="inlineStr">
        <is>
          <t>Formal</t>
        </is>
      </c>
      <c r="R54" s="2" t="inlineStr">
        <is>
          <t>https://samvera.atlassian.net/wiki/spaces/samvera/pages/1387986974/Samvera+Bylaws</t>
        </is>
      </c>
      <c r="S54" s="2" t="n">
        <v>30</v>
      </c>
      <c r="T54" s="2" t="inlineStr">
        <is>
          <t>https://samvera.atlassian.net/wiki/spaces/samvera/pages/1872461833/About+Samvera+Partners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n"/>
      <c r="I55"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J55" s="2" t="inlineStr">
        <is>
          <t>https://www.go-fair.org/fair-principles/</t>
        </is>
      </c>
      <c r="K55" s="2" t="inlineStr">
        <is>
          <t>Unknown</t>
        </is>
      </c>
      <c r="L55" s="2" t="inlineStr">
        <is>
          <t>Contribute funds | Contribute to code | Contribute to documentation | Contribute to education or training | Contribute to working groups or interest groups</t>
        </is>
      </c>
      <c r="M55" s="2" t="n"/>
      <c r="N55" s="2" t="inlineStr">
        <is>
          <t>https://iiif.io/get-involved/</t>
        </is>
      </c>
      <c r="O55" s="2" t="inlineStr">
        <is>
          <t>Implemented/available</t>
        </is>
      </c>
      <c r="P55" s="2" t="inlineStr">
        <is>
          <t>https://iiif.io/event/conduct/</t>
        </is>
      </c>
      <c r="Q55" s="2" t="inlineStr">
        <is>
          <t>Formal</t>
        </is>
      </c>
      <c r="R55" s="2" t="inlineStr">
        <is>
          <t>https://iiif.io/community/coordinating-committee/</t>
        </is>
      </c>
      <c r="S55" s="2" t="n">
        <v>65</v>
      </c>
      <c r="T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n"/>
      <c r="J56" s="2" t="n"/>
      <c r="K56" s="2" t="inlineStr">
        <is>
          <t>Unknown</t>
        </is>
      </c>
      <c r="L56" s="2" t="inlineStr">
        <is>
          <t>Not applicable</t>
        </is>
      </c>
      <c r="M56" s="2" t="n"/>
      <c r="N56" s="2" t="n"/>
      <c r="O56" s="2" t="inlineStr">
        <is>
          <t>Unknown</t>
        </is>
      </c>
      <c r="P56" s="2" t="n"/>
      <c r="Q56" s="2" t="n"/>
      <c r="R56" s="2" t="n"/>
      <c r="S56" s="2" t="n"/>
      <c r="T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n"/>
      <c r="I57" s="2" t="n"/>
      <c r="J57" s="2" t="inlineStr">
        <is>
          <t>https://ev.igsn.org/communities</t>
        </is>
      </c>
      <c r="K57" s="2" t="inlineStr">
        <is>
          <t>Unknown</t>
        </is>
      </c>
      <c r="L57" s="2" t="n"/>
      <c r="M57" s="2" t="n"/>
      <c r="N57" s="2" t="n"/>
      <c r="O57" s="2" t="inlineStr">
        <is>
          <t>Considering</t>
        </is>
      </c>
      <c r="P57" s="2" t="n"/>
      <c r="Q57" s="2" t="n"/>
      <c r="R57" s="2" t="inlineStr">
        <is>
          <t>https://ev.igsn.org/membership/igsn-statutes-en</t>
        </is>
      </c>
      <c r="S57" s="2" t="n">
        <v>18</v>
      </c>
      <c r="T57" s="2" t="inlineStr">
        <is>
          <t>https://ev.igsn.org/resources/igsn-agents-and-registration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n"/>
      <c r="I58"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J58" s="2" t="n"/>
      <c r="K58" s="2" t="inlineStr">
        <is>
          <t>Unknown</t>
        </is>
      </c>
      <c r="L58" s="2" t="inlineStr">
        <is>
          <t>Contribute funds | Contribute to code | Contribute to documentation | Contribute to education or training | Contribute to working groups or interest groups</t>
        </is>
      </c>
      <c r="M58" s="2" t="n"/>
      <c r="N58" s="2" t="inlineStr">
        <is>
          <t>https://inveniordm.docs.cern.ch/maintenance/newcomers/</t>
        </is>
      </c>
      <c r="O58" s="2" t="inlineStr">
        <is>
          <t>Implemented/available</t>
        </is>
      </c>
      <c r="P58" s="2" t="inlineStr">
        <is>
          <t>https://inveniosoftware.org/governance/</t>
        </is>
      </c>
      <c r="Q58" s="2" t="inlineStr">
        <is>
          <t>Formal</t>
        </is>
      </c>
      <c r="R58" s="2" t="inlineStr">
        <is>
          <t>https://inveniosoftware.org/governance/</t>
        </is>
      </c>
      <c r="S58" s="2" t="n">
        <v>0</v>
      </c>
      <c r="T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is>
      </c>
      <c r="I59" s="2" t="n"/>
      <c r="J59" s="2" t="inlineStr">
        <is>
          <t>https://irods.org/events/</t>
        </is>
      </c>
      <c r="K59" s="2" t="inlineStr">
        <is>
          <t>Implemented/available</t>
        </is>
      </c>
      <c r="L59" s="2" t="inlineStr">
        <is>
          <t>Contribute funds | Contribute to code | Contribute to documentation | Contribute to education or training | Contribute to governance | Contribute to user research or user testing | Contribute to working groups or interest groups</t>
        </is>
      </c>
      <c r="M59" s="2" t="n"/>
      <c r="N59" s="2" t="inlineStr">
        <is>
          <t>https://docs.irods.org/5.0.1/developers/contributing/</t>
        </is>
      </c>
      <c r="O59" s="2" t="inlineStr">
        <is>
          <t>Implemented/available</t>
        </is>
      </c>
      <c r="P59" s="2" t="inlineStr">
        <is>
          <t>https://irods.org/code-of-conduct/</t>
        </is>
      </c>
      <c r="Q59" s="2" t="inlineStr">
        <is>
          <t>Ad hoc</t>
        </is>
      </c>
      <c r="R59" s="2" t="inlineStr">
        <is>
          <t>https://irods.org/uploads/2014/09/bylaws_v113015.pdf</t>
        </is>
      </c>
      <c r="S59" s="2" t="n">
        <v>25</v>
      </c>
      <c r="T59" s="2" t="inlineStr">
        <is>
          <t>https://irods.org/consortium-membership/</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60"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60" s="2" t="n"/>
      <c r="K60" s="2" t="inlineStr">
        <is>
          <t>Implemented/available</t>
        </is>
      </c>
      <c r="L60" s="2" t="inlineStr">
        <is>
          <t>Contribute funds | Contribute to code | Contribute to documentation | Contribute to education or training | Contribute to governance | Contribute to user research or user testing | Contribute to working groups or interest groups</t>
        </is>
      </c>
      <c r="M60" s="2" t="n"/>
      <c r="N60" s="2" t="inlineStr">
        <is>
          <t>https://www.islandora.ca/community</t>
        </is>
      </c>
      <c r="O60" s="2" t="inlineStr">
        <is>
          <t>Implemented/available</t>
        </is>
      </c>
      <c r="P60" s="2" t="inlineStr">
        <is>
          <t>https://www.islandora.ca/code-of-conduct</t>
        </is>
      </c>
      <c r="Q60" s="2" t="n"/>
      <c r="R60" s="2" t="n"/>
      <c r="S60" s="2" t="n"/>
      <c r="T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We are planning to complete a POSI evaluation.</t>
        </is>
      </c>
      <c r="J61" s="2" t="inlineStr">
        <is>
          <t>https://discord.com/invite/MdPpd4cSTC</t>
        </is>
      </c>
      <c r="K61" s="2" t="inlineStr">
        <is>
          <t>Unknown</t>
        </is>
      </c>
      <c r="L61" s="2" t="inlineStr">
        <is>
          <t>Contribute to code | Contribute to documentation</t>
        </is>
      </c>
      <c r="M61" s="2" t="n"/>
      <c r="N61" s="2" t="inlineStr">
        <is>
          <t>https://discord.com/invite/MdPpd4cSTC</t>
        </is>
      </c>
      <c r="O61" s="2" t="inlineStr">
        <is>
          <t>Implemented/available</t>
        </is>
      </c>
      <c r="P61" s="2" t="inlineStr">
        <is>
          <t>https://github.com/BirkbeckCTP/janeway/blob/master/CODE_OF_CONDUCT.md</t>
        </is>
      </c>
      <c r="Q61" s="2" t="inlineStr">
        <is>
          <t>Ad hoc</t>
        </is>
      </c>
      <c r="R61" s="2" t="n"/>
      <c r="S61" s="2" t="n">
        <v>40</v>
      </c>
      <c r="T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Annual meetings | Blogs | Community calls | Development sprints | Interest, working, user, or advisory groups | Mailing lists and discussion forums (including Slack) | Social media | Staff roles with responsibility for community engagement | Webinars and training</t>
        </is>
      </c>
      <c r="I62" s="2" t="n"/>
      <c r="J62" s="2" t="inlineStr">
        <is>
          <t>https://openpreservation.org/resources/</t>
        </is>
      </c>
      <c r="K62" s="2" t="inlineStr">
        <is>
          <t>Unknown</t>
        </is>
      </c>
      <c r="L62" s="2" t="inlineStr">
        <is>
          <t>Not applicable</t>
        </is>
      </c>
      <c r="M62" s="2" t="n"/>
      <c r="N62" s="2" t="inlineStr">
        <is>
          <t>https://jhove.openpreservation.org/about/</t>
        </is>
      </c>
      <c r="O62" s="2" t="inlineStr">
        <is>
          <t>In progress</t>
        </is>
      </c>
      <c r="P62" s="2" t="n"/>
      <c r="Q62" s="2" t="inlineStr">
        <is>
          <t>Ad hoc</t>
        </is>
      </c>
      <c r="R62" s="2" t="n"/>
      <c r="S62" s="2" t="n">
        <v>32</v>
      </c>
      <c r="T62" s="2" t="inlineStr">
        <is>
          <t>https://openpreservation.org/membership/</t>
        </is>
      </c>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Considering</t>
        </is>
      </c>
      <c r="H63" s="2" t="n"/>
      <c r="I63" s="2" t="n"/>
      <c r="J63" s="2" t="n"/>
      <c r="K63" s="2" t="inlineStr">
        <is>
          <t>Considering</t>
        </is>
      </c>
      <c r="L63" s="2" t="n"/>
      <c r="M63" s="2" t="n"/>
      <c r="N63" s="2" t="n"/>
      <c r="O63" s="2" t="inlineStr">
        <is>
          <t>In progress</t>
        </is>
      </c>
      <c r="P63" s="2" t="n"/>
      <c r="Q63" s="2" t="inlineStr">
        <is>
          <t>Formal</t>
        </is>
      </c>
      <c r="R63" s="2" t="n"/>
      <c r="S63" s="2" t="n">
        <v>11</v>
      </c>
      <c r="T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Implemented/available</t>
        </is>
      </c>
      <c r="H64" s="2" t="n"/>
      <c r="I64" s="2" t="inlineStr">
        <is>
          <t>Multiple &lt;a href="https://manifoldapp.org/community" target="_blank"&gt;communication channels&lt;/a&gt;</t>
        </is>
      </c>
      <c r="J64" s="2" t="n"/>
      <c r="K64" s="2" t="inlineStr">
        <is>
          <t>In progress</t>
        </is>
      </c>
      <c r="L64" s="2" t="inlineStr">
        <is>
          <t>Contribute to code</t>
        </is>
      </c>
      <c r="M64" s="2" t="n"/>
      <c r="N64" s="2" t="inlineStr">
        <is>
          <t>https://manifoldscholar.github.io/manifold-docusaurus/docs/developers/local_development</t>
        </is>
      </c>
      <c r="O64" s="2" t="inlineStr">
        <is>
          <t>Unknown</t>
        </is>
      </c>
      <c r="P64" s="2" t="n"/>
      <c r="Q64" s="2" t="n"/>
      <c r="R64" s="2" t="n"/>
      <c r="S64" s="2" t="n">
        <v>37</v>
      </c>
      <c r="T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Implemented/available</t>
        </is>
      </c>
      <c r="H65" s="2" t="inlineStr">
        <is>
          <t>Blogs | Conference participation | Mailing lists and discussion forums (including Slack) | Social media | Staff roles with responsibility for community engagement | User research | Volunteer or ambassador network | Webinars and training | Other</t>
        </is>
      </c>
      <c r="I65"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J65" s="2" t="n"/>
      <c r="K65" s="2" t="inlineStr">
        <is>
          <t>Considering</t>
        </is>
      </c>
      <c r="L65" s="2" t="inlineStr">
        <is>
          <t>Contribute to documentation</t>
        </is>
      </c>
      <c r="M65" s="2" t="n"/>
      <c r="N65" s="2" t="n"/>
      <c r="O65" s="2" t="inlineStr">
        <is>
          <t>Considering</t>
        </is>
      </c>
      <c r="P65" s="2" t="n"/>
      <c r="Q65" s="2" t="inlineStr">
        <is>
          <t>Ad hoc</t>
        </is>
      </c>
      <c r="R65" s="2" t="n"/>
      <c r="S65" s="2" t="n"/>
      <c r="T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Conference participation | Mailing lists and discussion forums (including Slack)</t>
        </is>
      </c>
      <c r="I66" s="2" t="n"/>
      <c r="J66" s="2" t="inlineStr">
        <is>
          <t>https://listserv.loc.gov/cgi-bin/wa?SUBED1=mets&amp;A=1</t>
        </is>
      </c>
      <c r="K66" s="2" t="inlineStr">
        <is>
          <t>Implemented/available</t>
        </is>
      </c>
      <c r="L66" s="2" t="inlineStr">
        <is>
          <t>Contribute to code | Contribute to documentation | Contribute to education or training | Contribute to user research or user testing</t>
        </is>
      </c>
      <c r="M66" s="2" t="n"/>
      <c r="N66" s="2" t="inlineStr">
        <is>
          <t>https://github.com/mets/wiki/wiki/Board-Membership-Criteria-&amp;-Procedures</t>
        </is>
      </c>
      <c r="O66" s="2" t="inlineStr">
        <is>
          <t>Not planning</t>
        </is>
      </c>
      <c r="P66" s="2" t="n"/>
      <c r="Q66" s="2" t="inlineStr">
        <is>
          <t>Ad hoc</t>
        </is>
      </c>
      <c r="R66" s="2" t="inlineStr">
        <is>
          <t>https://www.loc.gov/standards/mets/mets-boardprocedures.html</t>
        </is>
      </c>
      <c r="S66" s="2" t="n"/>
      <c r="T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Implemented/available</t>
        </is>
      </c>
      <c r="H67" s="2" t="n"/>
      <c r="I67"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J67" s="2" t="n"/>
      <c r="K67" s="2" t="inlineStr">
        <is>
          <t>Implemented/available</t>
        </is>
      </c>
      <c r="L67" s="2" t="inlineStr">
        <is>
          <t>Contribute to code | Contribute to documentation | Contribute to education or training | Contribute to working groups or interest groups</t>
        </is>
      </c>
      <c r="M67" s="2" t="n"/>
      <c r="N67" s="2" t="inlineStr">
        <is>
          <t>https://github.com/ProjectMirador/mirador/discussions</t>
        </is>
      </c>
      <c r="O67" s="2" t="inlineStr">
        <is>
          <t>Implemented/available</t>
        </is>
      </c>
      <c r="P67" s="2" t="inlineStr">
        <is>
          <t>https://github.com/ProjectMirador/mirador/blob/master/CODE_OF_CONDUCT.md</t>
        </is>
      </c>
      <c r="Q67" s="2" t="inlineStr">
        <is>
          <t>Ad hoc</t>
        </is>
      </c>
      <c r="R67" s="2" t="n"/>
      <c r="S67" s="2" t="n"/>
      <c r="T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Implemented/available</t>
        </is>
      </c>
      <c r="H68" s="2" t="n"/>
      <c r="I68"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J68" s="2" t="n"/>
      <c r="K68" s="2" t="inlineStr">
        <is>
          <t>Implemented/available</t>
        </is>
      </c>
      <c r="L68" s="2" t="inlineStr">
        <is>
          <t>Contribute to code | Contribute to documentation</t>
        </is>
      </c>
      <c r="M68" s="2" t="n"/>
      <c r="N68" s="2" t="inlineStr">
        <is>
          <t>https://github.com/MukurtuCMS/mukurtucms#developers</t>
        </is>
      </c>
      <c r="O68" s="2" t="inlineStr">
        <is>
          <t>In progress</t>
        </is>
      </c>
      <c r="P68" s="2" t="n"/>
      <c r="Q68" s="2" t="inlineStr">
        <is>
          <t>Ad hoc</t>
        </is>
      </c>
      <c r="R68" s="2" t="n"/>
      <c r="S68" s="2" t="n"/>
      <c r="T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n"/>
      <c r="J69" s="2" t="n"/>
      <c r="K69" s="2" t="inlineStr">
        <is>
          <t>Unknown</t>
        </is>
      </c>
      <c r="L69" s="2" t="n"/>
      <c r="M69" s="2" t="n"/>
      <c r="N69" s="2" t="inlineStr">
        <is>
          <t>https://github.com/MyCoRe-Org/mycore/blob/main/CONTRIBUTING.md</t>
        </is>
      </c>
      <c r="O69" s="2" t="inlineStr">
        <is>
          <t>Unknown</t>
        </is>
      </c>
      <c r="P69" s="2" t="inlineStr">
        <is>
          <t>https://www.mycore.de/site/community/</t>
        </is>
      </c>
      <c r="Q69" s="2" t="inlineStr">
        <is>
          <t>Ad hoc</t>
        </is>
      </c>
      <c r="R69" s="2" t="n"/>
      <c r="S69" s="2" t="n"/>
      <c r="T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n"/>
      <c r="I70" s="2" t="n"/>
      <c r="J70" s="2" t="inlineStr">
        <is>
          <t>https://scientific-python.org/calendars/</t>
        </is>
      </c>
      <c r="K70" s="2" t="inlineStr">
        <is>
          <t>Unknown</t>
        </is>
      </c>
      <c r="L70" s="2" t="n"/>
      <c r="M70" s="2" t="n"/>
      <c r="N70" s="2" t="inlineStr">
        <is>
          <t>https://numpy.org/contribute/</t>
        </is>
      </c>
      <c r="O70" s="2" t="inlineStr">
        <is>
          <t>Implemented/available</t>
        </is>
      </c>
      <c r="P70" s="2" t="inlineStr">
        <is>
          <t>https://numpy.org/code-of-conduct/</t>
        </is>
      </c>
      <c r="Q70" s="2" t="inlineStr">
        <is>
          <t>Formal</t>
        </is>
      </c>
      <c r="R70" s="2" t="inlineStr">
        <is>
          <t>https://numpy.org/devdocs/dev/governance/index.html</t>
        </is>
      </c>
      <c r="S70" s="2" t="n"/>
      <c r="T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n"/>
      <c r="I71" s="2" t="n"/>
      <c r="J71" s="2" t="inlineStr">
        <is>
          <t>https://oa.works/newsletter/</t>
        </is>
      </c>
      <c r="K71" s="2" t="inlineStr">
        <is>
          <t>Unknown</t>
        </is>
      </c>
      <c r="L71" s="2" t="n"/>
      <c r="M71" s="2" t="n"/>
      <c r="N71" s="2" t="n"/>
      <c r="O71" s="2" t="inlineStr">
        <is>
          <t>Considering</t>
        </is>
      </c>
      <c r="P71" s="2" t="n"/>
      <c r="Q71" s="2" t="inlineStr">
        <is>
          <t>Formal</t>
        </is>
      </c>
      <c r="R71" s="2" t="inlineStr">
        <is>
          <t>https://oa.works/about/governance/articles-of-governance/</t>
        </is>
      </c>
      <c r="S71" s="2" t="n"/>
      <c r="T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n"/>
      <c r="I72"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J72" s="2" t="n"/>
      <c r="K72" s="2" t="inlineStr">
        <is>
          <t>Implemented/available</t>
        </is>
      </c>
      <c r="L72" s="2" t="inlineStr">
        <is>
          <t>Contribute funds | Contribute to code | Contribute to documentation | Contribute to education or training | Contribute to working groups or interest groups</t>
        </is>
      </c>
      <c r="M72" s="2" t="n"/>
      <c r="N72" s="2" t="inlineStr">
        <is>
          <t>https://www.oaswitchboard.org/get-involved</t>
        </is>
      </c>
      <c r="O72" s="2" t="inlineStr">
        <is>
          <t>Implemented/available</t>
        </is>
      </c>
      <c r="P72" s="2" t="inlineStr">
        <is>
          <t>https://www.oaswitchboard.org/governance</t>
        </is>
      </c>
      <c r="Q72" s="2" t="inlineStr">
        <is>
          <t>Formal</t>
        </is>
      </c>
      <c r="R72" s="2" t="inlineStr">
        <is>
          <t>https://www.oaswitchboard.org/governance</t>
        </is>
      </c>
      <c r="S72" s="2" t="n">
        <v>200</v>
      </c>
      <c r="T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In progress</t>
        </is>
      </c>
      <c r="H73" s="2" t="n"/>
      <c r="I73"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J73" s="2" t="n"/>
      <c r="K73" s="2" t="inlineStr">
        <is>
          <t>Implemented/available</t>
        </is>
      </c>
      <c r="L73" s="2" t="inlineStr">
        <is>
          <t>Contribute to code | Contribute to documentation</t>
        </is>
      </c>
      <c r="M73" s="2" t="n"/>
      <c r="N73" s="2" t="inlineStr">
        <is>
          <t>https://forum.omeka.org/faq</t>
        </is>
      </c>
      <c r="O73" s="2" t="inlineStr">
        <is>
          <t>Implemented/available</t>
        </is>
      </c>
      <c r="P73" s="2" t="inlineStr">
        <is>
          <t>https://forum.omeka.org/faq</t>
        </is>
      </c>
      <c r="Q73" s="2" t="inlineStr">
        <is>
          <t>Ad hoc</t>
        </is>
      </c>
      <c r="R73" s="2" t="inlineStr">
        <is>
          <t>https://digitalscholar.org/assets/downloads/Corporation%20for%20Digital%20Scholarship%20%E2%80%93%20Articles%20of%20Incorporation.pdf</t>
        </is>
      </c>
      <c r="S73" s="2" t="n">
        <v>0</v>
      </c>
      <c r="T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Blogs | Community calls | Conference participation | Interest, working, user, or advisory groups | Mailing lists and discussion forums (including Slack) | Social media | Staff roles with responsibility for community engagement | User research | Webinars and training</t>
        </is>
      </c>
      <c r="I74" s="2" t="n"/>
      <c r="J74" s="2" t="inlineStr">
        <is>
          <t>https://graph.openaire.eu/community-calls</t>
        </is>
      </c>
      <c r="K74" s="2" t="inlineStr">
        <is>
          <t>Unknown</t>
        </is>
      </c>
      <c r="L74" s="2" t="n"/>
      <c r="M74" s="2" t="n"/>
      <c r="N74" s="2" t="n"/>
      <c r="O74" s="2" t="inlineStr">
        <is>
          <t>Implemented/available</t>
        </is>
      </c>
      <c r="P74" s="2" t="inlineStr">
        <is>
          <t>https://openaire.flarum.cloud/p/2-guidelines</t>
        </is>
      </c>
      <c r="Q74" s="2" t="inlineStr">
        <is>
          <t>Formal</t>
        </is>
      </c>
      <c r="R74" s="2" t="inlineStr">
        <is>
          <t>https://www.openaire.eu/organisation-2</t>
        </is>
      </c>
      <c r="S74" s="2" t="n">
        <v>52</v>
      </c>
      <c r="T74" s="2" t="inlineStr">
        <is>
          <t>https://www.openaire.eu/members</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n"/>
      <c r="I7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J75" s="2" t="n"/>
      <c r="K75" s="2" t="inlineStr">
        <is>
          <t>Not planning</t>
        </is>
      </c>
      <c r="L75" s="2" t="inlineStr">
        <is>
          <t>Contribute to code</t>
        </is>
      </c>
      <c r="M75" s="2" t="n"/>
      <c r="N75" s="2" t="inlineStr">
        <is>
          <t>https://groups.google.com/g/openalex-users?pli=1</t>
        </is>
      </c>
      <c r="O75" s="2" t="inlineStr">
        <is>
          <t>Not planning</t>
        </is>
      </c>
      <c r="P75" s="2" t="n"/>
      <c r="Q75" s="2" t="inlineStr">
        <is>
          <t>Formal</t>
        </is>
      </c>
      <c r="R75" s="2" t="n"/>
      <c r="S75" s="2" t="n"/>
      <c r="T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Implemented/available</t>
        </is>
      </c>
      <c r="H76" s="2" t="inlineStr">
        <is>
          <t>Blogs | Conference participation | Social media | Webinars and training</t>
        </is>
      </c>
      <c r="I76" s="2" t="n"/>
      <c r="J76" s="2" t="inlineStr">
        <is>
          <t>https://openapc.github.io/</t>
        </is>
      </c>
      <c r="K76" s="2" t="inlineStr">
        <is>
          <t>Unknown</t>
        </is>
      </c>
      <c r="L76" s="2" t="n"/>
      <c r="M76" s="2" t="n"/>
      <c r="N76" s="2" t="inlineStr">
        <is>
          <t>https://github.com/OpenAPC/openapc-de/wiki/Data-Submission-Handout</t>
        </is>
      </c>
      <c r="O76" s="2" t="inlineStr">
        <is>
          <t>Implemented/available</t>
        </is>
      </c>
      <c r="P76" s="2" t="inlineStr">
        <is>
          <t>https://github.com/OpenAPC/openapc-de/blob/master/CONDUCT.md</t>
        </is>
      </c>
      <c r="Q76" s="2" t="n"/>
      <c r="R76" s="2" t="n"/>
      <c r="S76" s="2" t="n"/>
      <c r="T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Considering</t>
        </is>
      </c>
      <c r="H77" s="2" t="inlineStr">
        <is>
          <t>Annual meetings | Blogs | Conference participation | Interest, working, user, or advisory groups | Social media | Staff roles with responsibility for community engagement | Webinars and training</t>
        </is>
      </c>
      <c r="I77" s="2" t="n"/>
      <c r="J77" s="2" t="n"/>
      <c r="K77" s="2" t="inlineStr">
        <is>
          <t>Implemented/available</t>
        </is>
      </c>
      <c r="L77" s="2" t="inlineStr">
        <is>
          <t>Contribute funds | Contribute to code | Contribute to documentation | Contribute to education or training | Contribute to working groups or interest groups</t>
        </is>
      </c>
      <c r="M77" s="2" t="n"/>
      <c r="N77" s="2" t="inlineStr">
        <is>
          <t>https://opencitations.net/wp-content/uploads/pdf/membership.pdf</t>
        </is>
      </c>
      <c r="O77" s="2" t="inlineStr">
        <is>
          <t>Implemented/available</t>
        </is>
      </c>
      <c r="P77" s="2" t="inlineStr">
        <is>
          <t>https://opencitations.net/wp-content/uploads/pdf/oc_bodies.pdf</t>
        </is>
      </c>
      <c r="Q77" s="2" t="inlineStr">
        <is>
          <t>Formal</t>
        </is>
      </c>
      <c r="R77" s="2" t="inlineStr">
        <is>
          <t>https://opencitations.net/wp-content/uploads/pdf/oc_bodies.pdf</t>
        </is>
      </c>
      <c r="S77" s="2" t="n">
        <v>21</v>
      </c>
      <c r="T77" s="2" t="inlineStr">
        <is>
          <t>https://opencitations.net/members-and-donors/</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Implemented/available</t>
        </is>
      </c>
      <c r="H78" s="2" t="inlineStr">
        <is>
          <t>Blogs | Community calls | Conference participation | Mailing lists and discussion forums (including Slack) | Webinars and training</t>
        </is>
      </c>
      <c r="I78" s="2" t="n"/>
      <c r="J78" s="2" t="inlineStr">
        <is>
          <t>https://www.opencost.de/mailingliste/</t>
        </is>
      </c>
      <c r="K78" s="2" t="inlineStr">
        <is>
          <t>Unknown</t>
        </is>
      </c>
      <c r="L78" s="2" t="n"/>
      <c r="M78" s="2" t="n"/>
      <c r="N78" s="2" t="inlineStr">
        <is>
          <t>https://github.com/opencost-de/opencost/tree/main</t>
        </is>
      </c>
      <c r="O78" s="2" t="inlineStr">
        <is>
          <t>Not planning</t>
        </is>
      </c>
      <c r="P78" s="2" t="n"/>
      <c r="Q78" s="2" t="n"/>
      <c r="R78" s="2" t="n"/>
      <c r="S78" s="2" t="n"/>
      <c r="T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Blogs | Community calls | Social media | Webinars and training | Other</t>
        </is>
      </c>
      <c r="I79" s="2" t="n"/>
      <c r="J79" s="2" t="inlineStr">
        <is>
          <t>https://blog.okfn.org/2025/03/13/meet-the-organisations-selected-to-pilot-the-open-data-editor/</t>
        </is>
      </c>
      <c r="K79" s="2" t="inlineStr">
        <is>
          <t>Unknown</t>
        </is>
      </c>
      <c r="L79" s="2" t="inlineStr">
        <is>
          <t>Contribute to user research or user testing</t>
        </is>
      </c>
      <c r="M79" s="2" t="n"/>
      <c r="N79" s="2" t="inlineStr">
        <is>
          <t>https://opendataeditor.okfn.org/contributing/contribution-guidelines</t>
        </is>
      </c>
      <c r="O79" s="2" t="inlineStr">
        <is>
          <t>Implemented/available</t>
        </is>
      </c>
      <c r="P79" s="2" t="inlineStr">
        <is>
          <t>https://okfn.org/en/code-of-conduct/</t>
        </is>
      </c>
      <c r="Q79" s="2" t="inlineStr">
        <is>
          <t>Formal</t>
        </is>
      </c>
      <c r="R79" s="2" t="inlineStr">
        <is>
          <t>https://okfn.org/en/who-we-are/governance/</t>
        </is>
      </c>
      <c r="S79" s="2" t="n"/>
      <c r="T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n"/>
      <c r="I80"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J80" s="2" t="n"/>
      <c r="K80" s="2" t="inlineStr">
        <is>
          <t>Unknown</t>
        </is>
      </c>
      <c r="L80" s="2" t="inlineStr">
        <is>
          <t>Contribute to working groups or interest groups</t>
        </is>
      </c>
      <c r="M80" s="2" t="n"/>
      <c r="N80" s="2" t="n"/>
      <c r="O80" s="2" t="inlineStr">
        <is>
          <t>Considering</t>
        </is>
      </c>
      <c r="P80" s="2" t="n"/>
      <c r="Q80" s="2" t="inlineStr">
        <is>
          <t>Formal</t>
        </is>
      </c>
      <c r="R80" s="2" t="inlineStr">
        <is>
          <t>https://www.openedition.org/19221</t>
        </is>
      </c>
      <c r="S80" s="2" t="n">
        <v>130</v>
      </c>
      <c r="T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n"/>
      <c r="I8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1" s="2" t="n"/>
      <c r="K81" s="2" t="inlineStr">
        <is>
          <t>Implemented/available</t>
        </is>
      </c>
      <c r="L81" s="2" t="inlineStr">
        <is>
          <t>Contribute funds | Contribute to code | Contribute to documentation | Contribute to education or training | Contribute to working groups or interest groups</t>
        </is>
      </c>
      <c r="M81" s="2" t="n"/>
      <c r="N81" s="2" t="inlineStr">
        <is>
          <t>https://pkp.sfu.ca/community/members/contribute/</t>
        </is>
      </c>
      <c r="O81" s="2" t="inlineStr">
        <is>
          <t>Implemented/available</t>
        </is>
      </c>
      <c r="P81" s="2" t="inlineStr">
        <is>
          <t>https://pkp.sfu.ca/code/</t>
        </is>
      </c>
      <c r="Q81" s="2" t="inlineStr">
        <is>
          <t>Formal</t>
        </is>
      </c>
      <c r="R81" s="2" t="inlineStr">
        <is>
          <t>http://www.sfu.ca/policies/gazette/board.html</t>
        </is>
      </c>
      <c r="S81" s="2" t="n">
        <v>105</v>
      </c>
      <c r="T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n"/>
      <c r="I82"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2" s="2" t="n"/>
      <c r="K82" s="2" t="inlineStr">
        <is>
          <t>Implemented/available</t>
        </is>
      </c>
      <c r="L82" s="2" t="inlineStr">
        <is>
          <t>Contribute funds | Contribute to code | Contribute to documentation | Contribute to education or training | Contribute to working groups or interest groups</t>
        </is>
      </c>
      <c r="M82" s="2" t="n"/>
      <c r="N82" s="2" t="inlineStr">
        <is>
          <t>https://pkp.sfu.ca/community/members/contribute/</t>
        </is>
      </c>
      <c r="O82" s="2" t="inlineStr">
        <is>
          <t>Implemented/available</t>
        </is>
      </c>
      <c r="P82" s="2" t="inlineStr">
        <is>
          <t>https://pkp.sfu.ca/code/</t>
        </is>
      </c>
      <c r="Q82" s="2" t="inlineStr">
        <is>
          <t>Formal</t>
        </is>
      </c>
      <c r="R82" s="2" t="inlineStr">
        <is>
          <t>http://www.sfu.ca/policies/gazette/board.html</t>
        </is>
      </c>
      <c r="S82" s="2" t="n">
        <v>105</v>
      </c>
      <c r="T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n"/>
      <c r="I83"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3" s="2" t="n"/>
      <c r="K83" s="2" t="inlineStr">
        <is>
          <t>Implemented/available</t>
        </is>
      </c>
      <c r="L83" s="2" t="inlineStr">
        <is>
          <t>Contribute funds | Contribute to code | Contribute to documentation | Contribute to education or training | Contribute to working groups or interest groups</t>
        </is>
      </c>
      <c r="M83" s="2" t="n"/>
      <c r="N83" s="2" t="inlineStr">
        <is>
          <t>https://pkp.sfu.ca/community/members/contribute/</t>
        </is>
      </c>
      <c r="O83" s="2" t="inlineStr">
        <is>
          <t>Implemented/available</t>
        </is>
      </c>
      <c r="P83" s="2" t="inlineStr">
        <is>
          <t>https://pkp.sfu.ca/code/</t>
        </is>
      </c>
      <c r="Q83" s="2" t="inlineStr">
        <is>
          <t>Formal</t>
        </is>
      </c>
      <c r="R83" s="2" t="inlineStr">
        <is>
          <t>https://pkp.sfu.ca/about/governance/advisory/</t>
        </is>
      </c>
      <c r="S83" s="2" t="n">
        <v>105</v>
      </c>
      <c r="T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Implemented/available</t>
        </is>
      </c>
      <c r="H84" s="2" t="n"/>
      <c r="I84" s="2" t="n"/>
      <c r="J84" s="2" t="inlineStr">
        <is>
          <t>https://make.wordpress.org/openverse/</t>
        </is>
      </c>
      <c r="K84" s="2" t="inlineStr">
        <is>
          <t>Unknown</t>
        </is>
      </c>
      <c r="L84" s="2" t="n"/>
      <c r="M84" s="2" t="n"/>
      <c r="N84" s="2" t="inlineStr">
        <is>
          <t>https://docs.openverse.org/general/contributing.html</t>
        </is>
      </c>
      <c r="O84" s="2" t="inlineStr">
        <is>
          <t>Implemented/available</t>
        </is>
      </c>
      <c r="P84" s="2" t="inlineStr">
        <is>
          <t>https://github.com/WordPress/openverse?tab=coc-ov-file</t>
        </is>
      </c>
      <c r="Q84" s="2" t="inlineStr">
        <is>
          <t>Ad hoc</t>
        </is>
      </c>
      <c r="R84" s="2" t="inlineStr">
        <is>
          <t>https://docs.openverse.org/meta/decision_making/index.html</t>
        </is>
      </c>
      <c r="S84" s="2" t="n"/>
      <c r="T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Considering</t>
        </is>
      </c>
      <c r="H85" s="2" t="n"/>
      <c r="I85" s="2" t="n"/>
      <c r="J85" s="2" t="n"/>
      <c r="K85" s="2" t="inlineStr">
        <is>
          <t>Considering</t>
        </is>
      </c>
      <c r="L85" s="2" t="n"/>
      <c r="M85" s="2" t="n"/>
      <c r="N85" s="2" t="n"/>
      <c r="O85" s="2" t="inlineStr">
        <is>
          <t>Considering</t>
        </is>
      </c>
      <c r="P85" s="2" t="n"/>
      <c r="Q85" s="2" t="n"/>
      <c r="R85" s="2" t="n"/>
      <c r="S85" s="2" t="n">
        <v>1</v>
      </c>
      <c r="T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n"/>
      <c r="I86"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J86" s="2" t="n"/>
      <c r="K86" s="2" t="inlineStr">
        <is>
          <t>Implemented/available</t>
        </is>
      </c>
      <c r="L86" s="2" t="inlineStr">
        <is>
          <t>Contribute funds | Contribute to code | Contribute to documentation | Contribute to education or training | Contribute to working groups or interest groups | Other</t>
        </is>
      </c>
      <c r="M86" s="2" t="n"/>
      <c r="N86" s="2" t="inlineStr">
        <is>
          <t>https://github.com/CenterForOpenScience/cos.io/blob/master/TERMS_OF_USE.md</t>
        </is>
      </c>
      <c r="O86" s="2" t="inlineStr">
        <is>
          <t>Implemented/available</t>
        </is>
      </c>
      <c r="P86" s="2" t="inlineStr">
        <is>
          <t>https://github.com/CenterForOpenScience/cos.io/blob/master/TERMS_OF_USE.md</t>
        </is>
      </c>
      <c r="Q86" s="2" t="inlineStr">
        <is>
          <t>Formal</t>
        </is>
      </c>
      <c r="R86" s="2" t="inlineStr">
        <is>
          <t>https://osf.io/pjnse</t>
        </is>
      </c>
      <c r="S86" s="2" t="n">
        <v>75</v>
      </c>
      <c r="T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Not planning</t>
        </is>
      </c>
      <c r="H87" s="2" t="n"/>
      <c r="I87" s="2" t="n"/>
      <c r="J87" s="2" t="n"/>
      <c r="K87" s="2" t="inlineStr">
        <is>
          <t>Implemented/available</t>
        </is>
      </c>
      <c r="L87" s="2" t="inlineStr">
        <is>
          <t>Contribute to code | Contribute to documentation | Contribute to education or training</t>
        </is>
      </c>
      <c r="M87" s="2" t="n"/>
      <c r="N87" s="2" t="inlineStr">
        <is>
          <t>https://github.com/OCFL/spec/wiki/Change-Suggestion-and-Resolution-Process</t>
        </is>
      </c>
      <c r="O87" s="2" t="inlineStr">
        <is>
          <t>Not planning</t>
        </is>
      </c>
      <c r="P87" s="2" t="n"/>
      <c r="Q87" s="2" t="n"/>
      <c r="R87" s="2" t="n"/>
      <c r="S87" s="2" t="n"/>
      <c r="T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n"/>
      <c r="I88"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J88" s="2" t="n"/>
      <c r="K88" s="2" t="inlineStr">
        <is>
          <t>Unknown</t>
        </is>
      </c>
      <c r="L88" s="2" t="inlineStr">
        <is>
          <t>Other</t>
        </is>
      </c>
      <c r="M88" s="2" t="n"/>
      <c r="N88" s="2" t="n"/>
      <c r="O88" s="2" t="inlineStr">
        <is>
          <t>Implemented/available</t>
        </is>
      </c>
      <c r="P88" s="2" t="inlineStr">
        <is>
          <t>https://peercommunityin.org/2022/12/21/pci-code-of-conduct/</t>
        </is>
      </c>
      <c r="Q88" s="2" t="inlineStr">
        <is>
          <t>Formal</t>
        </is>
      </c>
      <c r="R88" s="2" t="n"/>
      <c r="S88" s="2" t="n">
        <v>80</v>
      </c>
      <c r="T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n"/>
      <c r="I89" s="2" t="n"/>
      <c r="J89" s="2" t="inlineStr">
        <is>
          <t>https://pkp.sfu.ca/community/</t>
        </is>
      </c>
      <c r="K89" s="2" t="inlineStr">
        <is>
          <t>Unknown</t>
        </is>
      </c>
      <c r="L89" s="2" t="n"/>
      <c r="M89" s="2" t="n"/>
      <c r="N89" s="2" t="inlineStr">
        <is>
          <t>https://pkp.sfu.ca/community/members/contribute/</t>
        </is>
      </c>
      <c r="O89" s="2" t="inlineStr">
        <is>
          <t>Implemented/available</t>
        </is>
      </c>
      <c r="P89" s="2" t="inlineStr">
        <is>
          <t>https://pkp.sfu.ca/code/</t>
        </is>
      </c>
      <c r="Q89" s="2" t="inlineStr">
        <is>
          <t>Formal</t>
        </is>
      </c>
      <c r="R89" s="2" t="inlineStr">
        <is>
          <t>http://www.sfu.ca/policies/gazette/board.html</t>
        </is>
      </c>
      <c r="S89" s="2" t="n"/>
      <c r="T89" s="2" t="inlineStr">
        <is>
          <t>https://pkp.sfu.ca/community/members/</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90"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J90" s="2" t="inlineStr">
        <is>
          <t>https://prereview.org/trainings</t>
        </is>
      </c>
      <c r="K90" s="2" t="inlineStr">
        <is>
          <t>Implemented/available</t>
        </is>
      </c>
      <c r="L90" s="2" t="inlineStr">
        <is>
          <t>Contribute funds | Contribute to documentation | Contribute to education or training | Contribute to peer reviews | Contribute to user research or user testing | Contribute to working groups or interest groups | Other</t>
        </is>
      </c>
      <c r="M90" s="2" t="inlineStr">
        <is>
          <t>PREreview runs an annual Champions Program, more information here: https://prereview.org/trainings#prereview-champions-program</t>
        </is>
      </c>
      <c r="N90" s="2" t="inlineStr">
        <is>
          <t>https://prereview.org/how-to-use</t>
        </is>
      </c>
      <c r="O90" s="2" t="inlineStr">
        <is>
          <t>Implemented/available</t>
        </is>
      </c>
      <c r="P90" s="2" t="inlineStr">
        <is>
          <t>https://prereview.org/code-of-conduct</t>
        </is>
      </c>
      <c r="Q90" s="2" t="inlineStr">
        <is>
          <t>Ad hoc</t>
        </is>
      </c>
      <c r="R90" s="2" t="n"/>
      <c r="S90" s="2" t="n">
        <v>0</v>
      </c>
      <c r="T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Implemented/available</t>
        </is>
      </c>
      <c r="H91" s="2" t="n"/>
      <c r="I91"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J91" s="2" t="n"/>
      <c r="K91" s="2" t="inlineStr">
        <is>
          <t>Implemented/available</t>
        </is>
      </c>
      <c r="L91" s="2" t="inlineStr">
        <is>
          <t>Contribute to code | Contribute to documentation | Contribute to education or training</t>
        </is>
      </c>
      <c r="M91" s="2" t="n"/>
      <c r="N91" s="2" t="n"/>
      <c r="O91" s="2" t="inlineStr">
        <is>
          <t>Considering</t>
        </is>
      </c>
      <c r="P91" s="2" t="n"/>
      <c r="Q91" s="2" t="n"/>
      <c r="R91" s="2" t="n"/>
      <c r="S91" s="2" t="n">
        <v>0</v>
      </c>
      <c r="T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In progress</t>
        </is>
      </c>
      <c r="H92" s="2" t="n"/>
      <c r="I92" s="2" t="n"/>
      <c r="J92" s="2" t="n"/>
      <c r="K92" s="2" t="inlineStr">
        <is>
          <t>Implemented/available</t>
        </is>
      </c>
      <c r="L92" s="2" t="inlineStr">
        <is>
          <t>Contribute funds | Contribute to code | Contribute to documentation | Contribute to working groups or interest groups</t>
        </is>
      </c>
      <c r="M92" s="2" t="n"/>
      <c r="N92" s="2" t="inlineStr">
        <is>
          <t>https://github.com/eclipse-pass/main/blob/main/CONTRIBUTING.md</t>
        </is>
      </c>
      <c r="O92" s="2" t="inlineStr">
        <is>
          <t>Implemented/available</t>
        </is>
      </c>
      <c r="P92" s="2" t="inlineStr">
        <is>
          <t>https://www.eclipse.org/org/documents/Community_Code_of_Conduct.php</t>
        </is>
      </c>
      <c r="Q92" s="2" t="inlineStr">
        <is>
          <t>Formal</t>
        </is>
      </c>
      <c r="R92" s="2" t="inlineStr">
        <is>
          <t>https://www.eclipse.org/org/workinggroups/about.php</t>
        </is>
      </c>
      <c r="S92" s="2" t="n"/>
      <c r="T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Implemented/available</t>
        </is>
      </c>
      <c r="H93" s="2" t="inlineStr">
        <is>
          <t>Blogs | Conference participation | Development sprints | Mailing lists and discussion forums (including Slack) | Social media | Staff roles with responsibility for community engagement | User research | Webinars and training</t>
        </is>
      </c>
      <c r="I93" s="2" t="n"/>
      <c r="J93" s="2" t="inlineStr">
        <is>
          <t>https://catalyst.coop/events/</t>
        </is>
      </c>
      <c r="K93" s="2" t="inlineStr">
        <is>
          <t>Unknown</t>
        </is>
      </c>
      <c r="L93" s="2" t="n"/>
      <c r="M93" s="2" t="n"/>
      <c r="N93" s="2" t="inlineStr">
        <is>
          <t>https://catalystcoop-pudl.readthedocs.io/en/latest/CONTRIBUTING.html</t>
        </is>
      </c>
      <c r="O93" s="2" t="inlineStr">
        <is>
          <t>Implemented/available</t>
        </is>
      </c>
      <c r="P93" s="2" t="inlineStr">
        <is>
          <t>https://catalystcoop-pudl.readthedocs.io/en/latest/code_of_conduct.html</t>
        </is>
      </c>
      <c r="Q93" s="2" t="inlineStr">
        <is>
          <t>Ad hoc</t>
        </is>
      </c>
      <c r="R93" s="2" t="inlineStr">
        <is>
          <t>https://catalystcoop-handbook.readthedocs.io/en/latest/bylaws.html</t>
        </is>
      </c>
      <c r="S93" s="2" t="n">
        <v>9</v>
      </c>
      <c r="T93" s="2" t="inlineStr">
        <is>
          <t>https://opencollective.com/catalyst-cooperative/projects/pudl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n"/>
      <c r="I94"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J94" s="2" t="n"/>
      <c r="K94" s="2" t="inlineStr">
        <is>
          <t>Implemented/available</t>
        </is>
      </c>
      <c r="L94" s="2" t="inlineStr">
        <is>
          <t>Contribute funds | Contribute to code | Contribute to documentation | Contribute to working groups or interest groups</t>
        </is>
      </c>
      <c r="M94" s="2" t="n"/>
      <c r="N94" s="2" t="inlineStr">
        <is>
          <t>https://github.com/pubpub/pubpub/discussions</t>
        </is>
      </c>
      <c r="O94" s="2" t="inlineStr">
        <is>
          <t>Implemented/available</t>
        </is>
      </c>
      <c r="P94" s="2" t="inlineStr">
        <is>
          <t>https://www.pubpub.org/legal/aup</t>
        </is>
      </c>
      <c r="Q94" s="2" t="inlineStr">
        <is>
          <t>Ad hoc</t>
        </is>
      </c>
      <c r="R94" s="2" t="n"/>
      <c r="S94" s="2" t="n">
        <v>52</v>
      </c>
      <c r="T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inlineStr">
        <is>
          <t>Blogs | Conference participation | Social media</t>
        </is>
      </c>
      <c r="I95" s="2" t="n"/>
      <c r="J95" s="2" t="n"/>
      <c r="K95" s="2" t="inlineStr">
        <is>
          <t>Unknown</t>
        </is>
      </c>
      <c r="L95" s="2" t="inlineStr">
        <is>
          <t>Contribute funds | Contribute to code | Contribute to documentation | Contribute to education or training | Contribute to governance | Contribute to user research or user testing | Contribute to working groups or interest groups</t>
        </is>
      </c>
      <c r="M95" s="2" t="n"/>
      <c r="N95" s="2" t="n"/>
      <c r="O95" s="2" t="inlineStr">
        <is>
          <t>Not planning</t>
        </is>
      </c>
      <c r="P95" s="2" t="n"/>
      <c r="Q95" s="2" t="n"/>
      <c r="R95" s="2" t="n"/>
      <c r="S95" s="2" t="n"/>
      <c r="T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In progress</t>
        </is>
      </c>
      <c r="H96" s="2" t="n"/>
      <c r="I96" s="2" t="n"/>
      <c r="J96" s="2" t="n"/>
      <c r="K96" s="2" t="inlineStr">
        <is>
          <t>Unknown</t>
        </is>
      </c>
      <c r="L96" s="2" t="n"/>
      <c r="M96" s="2" t="n"/>
      <c r="N96" s="2" t="inlineStr">
        <is>
          <t>https://www.pyopensci.org/handbook/CONTRIBUTING.html</t>
        </is>
      </c>
      <c r="O96" s="2" t="inlineStr">
        <is>
          <t>Implemented/available</t>
        </is>
      </c>
      <c r="P96" s="2" t="inlineStr">
        <is>
          <t>https://www.pyopensci.org/handbook/CODE_OF_CONDUCT.html</t>
        </is>
      </c>
      <c r="Q96" s="2" t="inlineStr">
        <is>
          <t>Ad hoc</t>
        </is>
      </c>
      <c r="R96" s="2" t="inlineStr">
        <is>
          <t>https://www.pyopensci.org/handbook/governance/index.html</t>
        </is>
      </c>
      <c r="S96" s="2" t="n"/>
      <c r="T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Implemented/available</t>
        </is>
      </c>
      <c r="H97" s="2" t="inlineStr">
        <is>
          <t>Annual meetings | Blogs | Community calls | Conference participation | Mailing lists and discussion forums (including Slack) | User research | Webinars and training</t>
        </is>
      </c>
      <c r="I97" s="2" t="n"/>
      <c r="J97" s="2" t="inlineStr">
        <is>
          <t>https://renku.notion.site/f9caf41b579f474b8007803b007e3999?v=58b6d0870a8f42c5bfc64e3c640d7b4a</t>
        </is>
      </c>
      <c r="K97" s="2" t="inlineStr">
        <is>
          <t>Implemented/available</t>
        </is>
      </c>
      <c r="L97" s="2" t="inlineStr">
        <is>
          <t>Contribute to code | Contribute to documentation | Contribute to education or training | Contribute to user research or user testing</t>
        </is>
      </c>
      <c r="M97" s="2" t="n"/>
      <c r="N97" s="2" t="inlineStr">
        <is>
          <t>https://github.com/SwissDataScienceCenter/renku/blob/master/CONTRIBUTING.rst</t>
        </is>
      </c>
      <c r="O97" s="2" t="inlineStr">
        <is>
          <t>Considering</t>
        </is>
      </c>
      <c r="P97" s="2" t="n"/>
      <c r="Q97" s="2" t="n"/>
      <c r="R97" s="2" t="n"/>
      <c r="S97" s="2" t="n"/>
      <c r="T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Implemented/available</t>
        </is>
      </c>
      <c r="H98" s="2" t="inlineStr">
        <is>
          <t>Blogs | Mailing lists and discussion forums (including Slack) | Staff roles with responsibility for community engagement | Volunteer or ambassador network</t>
        </is>
      </c>
      <c r="I98" s="2" t="n"/>
      <c r="J98" s="2" t="inlineStr">
        <is>
          <t>https://ideas.repec.org/volunteers.html</t>
        </is>
      </c>
      <c r="K98" s="2" t="inlineStr">
        <is>
          <t>Unknown</t>
        </is>
      </c>
      <c r="L98" s="2" t="inlineStr">
        <is>
          <t>Contribute funds | Contribute to code | Contribute to user research or user testing | Other</t>
        </is>
      </c>
      <c r="M98" s="2" t="inlineStr">
        <is>
          <t>Sponsor hardware, editor for alert service, contribute metadata</t>
        </is>
      </c>
      <c r="N98" s="2" t="n"/>
      <c r="O98" s="2" t="inlineStr">
        <is>
          <t>Not planning</t>
        </is>
      </c>
      <c r="P98" s="2" t="n"/>
      <c r="Q98" s="2" t="inlineStr">
        <is>
          <t>Ad hoc</t>
        </is>
      </c>
      <c r="R98" s="2" t="inlineStr">
        <is>
          <t>https://governance.repec.org/rules.html</t>
        </is>
      </c>
      <c r="S98" s="2" t="n"/>
      <c r="T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Annual meetings | Blogs | Community calls | Conference participation | Interest, working, user, or advisory groups | Mailing lists and discussion forums (including Slack) | Social media | Staff roles with responsibility for community engagement | Webinars and training | Other</t>
        </is>
      </c>
      <c r="I99"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J99" s="2" t="inlineStr">
        <is>
          <t>https://ror.org/community</t>
        </is>
      </c>
      <c r="K99" s="2" t="inlineStr">
        <is>
          <t>Implemented/available</t>
        </is>
      </c>
      <c r="L99" s="2" t="inlineStr">
        <is>
          <t>Contribute funds | Contribute to code | Contribute to documentation | Contribute to education or training | Contribute to working groups or interest groups</t>
        </is>
      </c>
      <c r="M99" s="2" t="n"/>
      <c r="N99" s="2" t="inlineStr">
        <is>
          <t>https://ror.readme.io/docs/get-involved</t>
        </is>
      </c>
      <c r="O99" s="2" t="inlineStr">
        <is>
          <t>Implemented/available</t>
        </is>
      </c>
      <c r="P99" s="2" t="inlineStr">
        <is>
          <t>https://ror.org/community/code-of-conduct/</t>
        </is>
      </c>
      <c r="Q99" s="2" t="inlineStr">
        <is>
          <t>Formal</t>
        </is>
      </c>
      <c r="R99" s="2" t="inlineStr">
        <is>
          <t>https://ror.org/community/#steering-group</t>
        </is>
      </c>
      <c r="S99" s="2" t="n">
        <v>0</v>
      </c>
      <c r="T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n"/>
      <c r="J100" s="2" t="n"/>
      <c r="K100" s="2" t="inlineStr">
        <is>
          <t>Implemented/available</t>
        </is>
      </c>
      <c r="L100" s="2" t="inlineStr">
        <is>
          <t>Contribute funds | Contribute to code | Contribute to education or training</t>
        </is>
      </c>
      <c r="M100" s="2" t="n"/>
      <c r="N100" s="2" t="inlineStr">
        <is>
          <t>https://discord.gg/HvbD4dNPFh</t>
        </is>
      </c>
      <c r="O100" s="2" t="inlineStr">
        <is>
          <t>Considering</t>
        </is>
      </c>
      <c r="P100" s="2" t="n"/>
      <c r="Q100" s="2" t="inlineStr">
        <is>
          <t>Ad hoc</t>
        </is>
      </c>
      <c r="R100" s="2" t="n"/>
      <c r="S100" s="2" t="n">
        <v>18</v>
      </c>
      <c r="T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Implemented/available</t>
        </is>
      </c>
      <c r="H101" s="2" t="inlineStr">
        <is>
          <t>Annual meetings | Blogs | Conference participation | Mailing lists and discussion forums (including Slack) | Social media | User research</t>
        </is>
      </c>
      <c r="I101" s="2" t="n"/>
      <c r="J101" s="2" t="inlineStr">
        <is>
          <t>https://www.researchspace.com/community</t>
        </is>
      </c>
      <c r="K101" s="2" t="inlineStr">
        <is>
          <t>Unknown</t>
        </is>
      </c>
      <c r="L101" s="2" t="inlineStr">
        <is>
          <t>Contribute to code | Contribute to user research or user testing</t>
        </is>
      </c>
      <c r="M101" s="2" t="n"/>
      <c r="N101" s="2" t="inlineStr">
        <is>
          <t>https://www.researchspace.com/community</t>
        </is>
      </c>
      <c r="O101" s="2" t="inlineStr">
        <is>
          <t>Implemented/available</t>
        </is>
      </c>
      <c r="P101" s="2" t="inlineStr">
        <is>
          <t>https://github.com/rspace-os/rspace-web?tab=coc-ov-file</t>
        </is>
      </c>
      <c r="Q101" s="2" t="n"/>
      <c r="R101" s="2" t="n"/>
      <c r="S101" s="2" t="n"/>
      <c r="T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n"/>
      <c r="I102" s="2" t="n"/>
      <c r="J102" s="2" t="inlineStr">
        <is>
          <t>https://blog.sciety.org/get-involved/</t>
        </is>
      </c>
      <c r="K102" s="2" t="inlineStr">
        <is>
          <t>Unknown</t>
        </is>
      </c>
      <c r="L102" s="2" t="n"/>
      <c r="M102" s="2" t="n"/>
      <c r="N102" s="2" t="n"/>
      <c r="O102" s="2" t="inlineStr">
        <is>
          <t>Considering</t>
        </is>
      </c>
      <c r="P102" s="2" t="n"/>
      <c r="Q102" s="2" t="inlineStr">
        <is>
          <t>Formal</t>
        </is>
      </c>
      <c r="R102" s="2" t="n"/>
      <c r="S102" s="2" t="n">
        <v>26</v>
      </c>
      <c r="T102" s="2" t="inlineStr">
        <is>
          <t>https://sciety.org/groups</t>
        </is>
      </c>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Implemented/available</t>
        </is>
      </c>
      <c r="H103" s="2" t="inlineStr">
        <is>
          <t>Blogs | Social media | Staff roles with responsibility for community engagement | User research</t>
        </is>
      </c>
      <c r="I103" s="2" t="n"/>
      <c r="J103" s="2" t="inlineStr">
        <is>
          <t>https://youtu.be/GOC1_iHG8tM?feature=shared</t>
        </is>
      </c>
      <c r="K103" s="2" t="inlineStr">
        <is>
          <t>Unknown</t>
        </is>
      </c>
      <c r="L103" s="2" t="n"/>
      <c r="M103" s="2" t="n"/>
      <c r="N103" s="2" t="inlineStr">
        <is>
          <t>https://help.synapse.org/docs/Synapse-User-Account-Types.2007072795.html</t>
        </is>
      </c>
      <c r="O103" s="2" t="inlineStr">
        <is>
          <t>Implemented/available</t>
        </is>
      </c>
      <c r="P103" s="2" t="inlineStr">
        <is>
          <t>https://help.synapse.org/docs/Synapse-Governance.2004255211.html</t>
        </is>
      </c>
      <c r="Q103" s="2" t="n"/>
      <c r="R103" s="2" t="n"/>
      <c r="S103" s="2" t="n"/>
      <c r="T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Implemented/available</t>
        </is>
      </c>
      <c r="H104" s="2" t="n"/>
      <c r="I104" s="2" t="n"/>
      <c r="J104" s="2" t="n"/>
      <c r="K104" s="2" t="inlineStr">
        <is>
          <t>Unknown</t>
        </is>
      </c>
      <c r="L104" s="2" t="n"/>
      <c r="M104" s="2" t="n"/>
      <c r="N104" s="2" t="inlineStr">
        <is>
          <t>https://cyber.harvard.edu/hoap/Get_started_as_a_tagger</t>
        </is>
      </c>
      <c r="O104" s="2" t="inlineStr">
        <is>
          <t>Unknown</t>
        </is>
      </c>
      <c r="P104" s="2" t="inlineStr">
        <is>
          <t>https://cyber.harvard.edu/hoap/TagTeam_terms_of_service</t>
        </is>
      </c>
      <c r="Q104" s="2" t="inlineStr">
        <is>
          <t>Ad hoc</t>
        </is>
      </c>
      <c r="R104" s="2" t="n"/>
      <c r="S104" s="2" t="n">
        <v>425</v>
      </c>
      <c r="T104" s="2" t="inlineStr">
        <is>
          <t>https://cyber.harvard.edu/hoap/TagTeam_FAQ#How_do_I_get_a_TagTeam_account?</t>
        </is>
      </c>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Annual meetings | Blogs | Community calls | Conference participation | Interest, working, user, or advisory groups | Social media | User research | Webinars and training</t>
        </is>
      </c>
      <c r="I105" s="2" t="n"/>
      <c r="J105" s="2" t="inlineStr">
        <is>
          <t>https://thoth.pub/about/about-us#our-governance</t>
        </is>
      </c>
      <c r="K105" s="2" t="inlineStr">
        <is>
          <t>Considering</t>
        </is>
      </c>
      <c r="L105" s="2" t="inlineStr">
        <is>
          <t>Contribute funds | Contribute to code | Contribute to documentation | Contribute to governance | Contribute to user research or user testing | Contribute to working groups or interest groups</t>
        </is>
      </c>
      <c r="M105" s="2" t="n"/>
      <c r="N105" s="2" t="n"/>
      <c r="O105" s="2" t="inlineStr">
        <is>
          <t>Implemented/available</t>
        </is>
      </c>
      <c r="P105" s="2" t="inlineStr">
        <is>
          <t>https://thoth.pub/policies/code-of-conduct</t>
        </is>
      </c>
      <c r="Q105" s="2" t="inlineStr">
        <is>
          <t>Formal</t>
        </is>
      </c>
      <c r="R105" s="2" t="inlineStr">
        <is>
          <t>https://find-and-update.company-information.service.gov.uk/company/14549556/filing-history</t>
        </is>
      </c>
      <c r="S105" s="2" t="n">
        <v>30</v>
      </c>
      <c r="T105" s="2" t="inlineStr">
        <is>
          <t>https://thoth.pub/support-us</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Blogs | Mailing lists and discussion forums (including Slack) | Social media</t>
        </is>
      </c>
      <c r="I106" s="2" t="n"/>
      <c r="J106" s="2" t="inlineStr">
        <is>
          <t>https://tropy.org/blog/</t>
        </is>
      </c>
      <c r="K106" s="2" t="inlineStr">
        <is>
          <t>Unknown</t>
        </is>
      </c>
      <c r="L106" s="2" t="inlineStr">
        <is>
          <t>Contribute to code</t>
        </is>
      </c>
      <c r="M106" s="2" t="n"/>
      <c r="N106" s="2" t="inlineStr">
        <is>
          <t>https://github.com/tropy/tropy/blob/main/res/plugins/README.md</t>
        </is>
      </c>
      <c r="O106" s="2" t="inlineStr">
        <is>
          <t>Considering</t>
        </is>
      </c>
      <c r="P106" s="2" t="n"/>
      <c r="Q106" s="2" t="inlineStr">
        <is>
          <t>Ad hoc</t>
        </is>
      </c>
      <c r="R106" s="2" t="inlineStr">
        <is>
          <t>https://digitalscholar.org/assets/downloads/Corporation%20for%20Digital%20Scholarship%20%E2%80%93%20Bylaws.pdf</t>
        </is>
      </c>
      <c r="S106" s="2" t="n"/>
      <c r="T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Implemented/available</t>
        </is>
      </c>
      <c r="H107" s="2" t="inlineStr">
        <is>
          <t>Development sprints | Interest, working, user, or advisory groups | Mailing lists and discussion forums (including Slack) | Staff roles with responsibility for community engagement | User research</t>
        </is>
      </c>
      <c r="I107" s="2" t="n"/>
      <c r="J107" s="2" t="inlineStr">
        <is>
          <t>https://verapdf.org/community/</t>
        </is>
      </c>
      <c r="K107" s="2" t="inlineStr">
        <is>
          <t>Unknown</t>
        </is>
      </c>
      <c r="L107" s="2" t="n"/>
      <c r="M107" s="2" t="n"/>
      <c r="N107" s="2" t="n"/>
      <c r="O107" s="2" t="inlineStr">
        <is>
          <t>In progress</t>
        </is>
      </c>
      <c r="P107" s="2" t="n"/>
      <c r="Q107" s="2" t="inlineStr">
        <is>
          <t>Formal</t>
        </is>
      </c>
      <c r="R107" s="2" t="n"/>
      <c r="S107" s="2" t="n"/>
      <c r="T107" s="2" t="inlineStr">
        <is>
          <t>https://verapdf.org/donate/</t>
        </is>
      </c>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Annual meetings | Conference participation | Interest, working, user, or advisory groups | Mailing lists and discussion forums (including Slack) | Social media | Staff roles with responsibility for community engagement | User research | Webinars and training</t>
        </is>
      </c>
      <c r="I108" s="2" t="n"/>
      <c r="J108" s="2" t="inlineStr">
        <is>
          <t>https://openpreservation.org/resources/</t>
        </is>
      </c>
      <c r="K108" s="2" t="inlineStr">
        <is>
          <t>Unknown</t>
        </is>
      </c>
      <c r="L108" s="2" t="inlineStr">
        <is>
          <t>Contribute to code | Contribute to documentation | Contribute to user research or user testing | Contribute to working groups or interest groups</t>
        </is>
      </c>
      <c r="M108" s="2" t="n"/>
      <c r="N108" s="2" t="inlineStr">
        <is>
          <t>https://openpreservation.org/resources/member-groups/</t>
        </is>
      </c>
      <c r="O108" s="2" t="inlineStr">
        <is>
          <t>In progress</t>
        </is>
      </c>
      <c r="P108" s="2" t="n"/>
      <c r="Q108" s="2" t="inlineStr">
        <is>
          <t>Formal</t>
        </is>
      </c>
      <c r="R108" s="2" t="n"/>
      <c r="S108" s="2" t="n">
        <v>32</v>
      </c>
      <c r="T108" s="2" t="inlineStr">
        <is>
          <t>https://openpreservation.org/membership/why-join/</t>
        </is>
      </c>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is>
      </c>
      <c r="I109" s="2" t="n"/>
      <c r="J109" s="2" t="inlineStr">
        <is>
          <t>https://texasdigitallibrary.atlassian.net/wiki/spaces/VUG/pages/2233303049/Contact+Us</t>
        </is>
      </c>
      <c r="K109" s="2" t="inlineStr">
        <is>
          <t>Unknown</t>
        </is>
      </c>
      <c r="L109" s="2" t="inlineStr">
        <is>
          <t>Contribute funds | Contribute to code | Contribute to documentation | Contribute to education or training | Contribute to governance | Contribute to user research or user testing | Contribute to working groups or interest groups</t>
        </is>
      </c>
      <c r="M109" s="2" t="n"/>
      <c r="N109" s="2" t="n"/>
      <c r="O109" s="2" t="inlineStr">
        <is>
          <t>Not planning</t>
        </is>
      </c>
      <c r="P109" s="2" t="n"/>
      <c r="Q109" s="2" t="inlineStr">
        <is>
          <t>Formal</t>
        </is>
      </c>
      <c r="R109" s="2" t="inlineStr">
        <is>
          <t>https://texasdigitallibrary.atlassian.net/wiki/x/9YBuOw</t>
        </is>
      </c>
      <c r="S109" s="2" t="n">
        <v>14</v>
      </c>
      <c r="T109" s="2" t="inlineStr">
        <is>
          <t>https://www.tdl.org/community/members/membership/</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Annual meetings | Blogs | Community calls | Conference participation | Development sprints | Mailing lists and discussion forums (including Slack) | Social media | Staff roles with responsibility for community engagement | Volunteer or ambassador network | Webinars and training</t>
        </is>
      </c>
      <c r="I110" s="2" t="n"/>
      <c r="J110" s="2" t="inlineStr">
        <is>
          <t>https://vivoweb.org/community/</t>
        </is>
      </c>
      <c r="K110" s="2" t="inlineStr">
        <is>
          <t>Unknown</t>
        </is>
      </c>
      <c r="L110" s="2" t="inlineStr">
        <is>
          <t>Contribute funds | Contribute to code | Contribute to documentation | Contribute to education or training | Contribute to governance | Contribute to user research or user testing | Contribute to working groups or interest groups</t>
        </is>
      </c>
      <c r="M110" s="2" t="n"/>
      <c r="N110" s="2" t="inlineStr">
        <is>
          <t>https://vivoweb.org/develop-for-vivo/</t>
        </is>
      </c>
      <c r="O110" s="2" t="inlineStr">
        <is>
          <t>Considering</t>
        </is>
      </c>
      <c r="P110" s="2" t="n"/>
      <c r="Q110" s="2" t="inlineStr">
        <is>
          <t>Formal</t>
        </is>
      </c>
      <c r="R110" s="2" t="inlineStr">
        <is>
          <t>https://wiki.lyrasis.org/display/VIVO/VIVO+Project+Charter+v+1.1</t>
        </is>
      </c>
      <c r="S110" s="2" t="n">
        <v>14</v>
      </c>
      <c r="T110" s="2" t="inlineStr">
        <is>
          <t>https://vivoweb.org/meet-our-members/</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Annual meetings | Community calls | Conference participation | Mailing lists and discussion forums (including Slack) | Social media | Webinars and training</t>
        </is>
      </c>
      <c r="I111"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J111" s="2" t="n"/>
      <c r="K111" s="2" t="inlineStr">
        <is>
          <t>Implemented/available</t>
        </is>
      </c>
      <c r="L111" s="2" t="inlineStr">
        <is>
          <t>Contribute funds | Contribute to code | Contribute to documentation | Contribute to education or training | Contribute to governance | Contribute to working groups or interest groups</t>
        </is>
      </c>
      <c r="M111" s="2" t="n"/>
      <c r="N111" s="2" t="inlineStr">
        <is>
          <t>https://github.com/vufind-org/vufind/blob/dev/CONTRIBUTING.md</t>
        </is>
      </c>
      <c r="O111" s="2" t="inlineStr">
        <is>
          <t>Implemented/available</t>
        </is>
      </c>
      <c r="P111" s="2" t="inlineStr">
        <is>
          <t>https://github.com/vufind-org/vufind/blob/dev/CODE_OF_CONDUCT.md</t>
        </is>
      </c>
      <c r="Q111" s="2" t="inlineStr">
        <is>
          <t>Formal</t>
        </is>
      </c>
      <c r="R111" s="2" t="inlineStr">
        <is>
          <t>https://github.com/vufind-org/vufind/blob/dev/GOVERNANCE.md</t>
        </is>
      </c>
      <c r="S111" s="2" t="n">
        <v>10</v>
      </c>
      <c r="T111" s="2" t="inlineStr">
        <is>
          <t>https://vufind.org/wiki/community:membership_levels_and_benefits</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Not planning</t>
        </is>
      </c>
      <c r="H112" s="2" t="n"/>
      <c r="I112" s="2" t="n"/>
      <c r="J112" s="2" t="n"/>
      <c r="K112" s="2" t="inlineStr">
        <is>
          <t>Implemented/available</t>
        </is>
      </c>
      <c r="L112" s="2" t="inlineStr">
        <is>
          <t>Contribute funds | Contribute to code | Contribute to documentation | Contribute to education or training</t>
        </is>
      </c>
      <c r="M112" s="2" t="n"/>
      <c r="N112" s="2" t="inlineStr">
        <is>
          <t>https://inveniordm.docs.cern.ch/maintenance/newcomers/</t>
        </is>
      </c>
      <c r="O112" s="2" t="inlineStr">
        <is>
          <t>Implemented/available</t>
        </is>
      </c>
      <c r="P112" s="2" t="inlineStr">
        <is>
          <t>https://inveniordm.docs.cern.ch/contribute/code-of-conduct/</t>
        </is>
      </c>
      <c r="Q112" s="2" t="inlineStr">
        <is>
          <t>Ad hoc</t>
        </is>
      </c>
      <c r="R112" s="2" t="n"/>
      <c r="S112" s="2" t="n">
        <v>0</v>
      </c>
      <c r="T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Blogs | Mailing lists and discussion forums (including Slack) | Social media | Staff roles with responsibility for community engagement</t>
        </is>
      </c>
      <c r="I113" s="2" t="n"/>
      <c r="J113" s="2" t="inlineStr">
        <is>
          <t>https://www.zotero.org/getinvolved</t>
        </is>
      </c>
      <c r="K113" s="2" t="inlineStr">
        <is>
          <t>Unknown</t>
        </is>
      </c>
      <c r="L113" s="2" t="inlineStr">
        <is>
          <t>Contribute funds | Contribute to code | Contribute to documentation</t>
        </is>
      </c>
      <c r="M113" s="2" t="n"/>
      <c r="N113" s="2" t="inlineStr">
        <is>
          <t>https://www.zotero.org/support/dev/start</t>
        </is>
      </c>
      <c r="O113" s="2" t="inlineStr">
        <is>
          <t>Implemented/available</t>
        </is>
      </c>
      <c r="P113" s="2" t="inlineStr">
        <is>
          <t>https://www.zotero.org/support/forum_guidelines</t>
        </is>
      </c>
      <c r="Q113" s="2" t="inlineStr">
        <is>
          <t>Ad hoc</t>
        </is>
      </c>
      <c r="R113" s="2" t="inlineStr">
        <is>
          <t>https://digitalscholar.org/assets/downloads/Corporation%20for%20Digital%20Scholarship%20%E2%80%93%20Bylaws.pdf</t>
        </is>
      </c>
      <c r="S113" s="2" t="n"/>
      <c r="T113" s="2" t="n"/>
    </row>
  </sheetData>
  <autoFilter ref="A1:T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43" customWidth="1" min="3" max="3"/>
  </cols>
  <sheetData>
    <row r="1">
      <c r="A1" s="1" t="inlineStr">
        <is>
          <t>Check</t>
        </is>
      </c>
      <c r="B1" s="1" t="inlineStr">
        <is>
          <t>Expected</t>
        </is>
      </c>
      <c r="C1" s="1" t="inlineStr">
        <is>
          <t>Workbook value / rule</t>
        </is>
      </c>
    </row>
    <row r="2">
      <c r="A2" s="2" t="inlineStr">
        <is>
          <t>Number of metrics</t>
        </is>
      </c>
      <c r="B2" s="2" t="n">
        <v>6</v>
      </c>
      <c r="C2" s="2" t="n">
        <v>6</v>
      </c>
    </row>
    <row r="3">
      <c r="A3" s="2" t="inlineStr">
        <is>
          <t>Total exact weight</t>
        </is>
      </c>
      <c r="B3" s="2" t="n">
        <v>1</v>
      </c>
      <c r="C3" s="2" t="n">
        <v>1</v>
      </c>
    </row>
    <row r="4">
      <c r="A4" s="2" t="inlineStr">
        <is>
          <t>038 denominator</t>
        </is>
      </c>
      <c r="B4" s="2" t="n">
        <v>13</v>
      </c>
      <c r="C4" s="2" t="inlineStr">
        <is>
          <t>12 named activity types + valid Other</t>
        </is>
      </c>
    </row>
    <row r="5">
      <c r="A5" s="2" t="inlineStr">
        <is>
          <t>040 denominator</t>
        </is>
      </c>
      <c r="B5" s="2" t="n">
        <v>9</v>
      </c>
      <c r="C5" s="2" t="inlineStr">
        <is>
          <t>8 named contribution routes + valid Other</t>
        </is>
      </c>
    </row>
    <row r="6">
      <c r="A6" s="2" t="inlineStr">
        <is>
          <t>Standalone 116 metric</t>
        </is>
      </c>
      <c r="B6" s="2" t="n">
        <v>0</v>
      </c>
      <c r="C6" s="2" t="inlineStr">
        <is>
          <t>Removed; evidence only</t>
        </is>
      </c>
    </row>
    <row r="7">
      <c r="A7" s="2" t="inlineStr">
        <is>
          <t>048 community governance metric</t>
        </is>
      </c>
      <c r="B7" s="2" t="n">
        <v>0</v>
      </c>
      <c r="C7" s="2" t="inlineStr">
        <is>
          <t>Not included</t>
        </is>
      </c>
    </row>
    <row r="8">
      <c r="A8" s="2" t="inlineStr">
        <is>
          <t>Performance bands</t>
        </is>
      </c>
      <c r="B8" s="2" t="n">
        <v>0</v>
      </c>
      <c r="C8" s="2" t="inlineStr">
        <is>
          <t>None</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2026-10-15T08:48:10Z</dcterms:created>
  <dcterms:modified xsi:type="dcterms:W3CDTF">2026-10-15T08:48:10Z</dcterms:modified>
</cp:coreProperties>
</file>